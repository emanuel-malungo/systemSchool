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UTA" state="visible" r:id="rId4"/>
  </sheets>
  <calcPr calcId="171027"/>
</workbook>
</file>

<file path=xl/sharedStrings.xml><?xml version="1.0" encoding="utf-8"?>
<sst xmlns="http://schemas.openxmlformats.org/spreadsheetml/2006/main" count="96" uniqueCount="56">
  <si>
    <t>INSTITUTO TÉCNICO PRIVADO DE SAÚDE JOMORAIS</t>
  </si>
  <si>
    <t/>
  </si>
  <si>
    <t>PAUTA DE APROVEITAMENTO ESCOLAR</t>
  </si>
  <si>
    <r>
      <rPr>
        <b/>
        <color rgb="FF555555"/>
        <sz val="10"/>
        <rFont val="Segoe UI"/>
      </rPr>
      <t xml:space="preserve">ÁREA DE FORMAÇÃO: </t>
    </r>
    <r>
      <rPr>
        <b/>
        <color rgb="FF0070C0"/>
        <sz val="10"/>
        <rFont val="Segoe UI"/>
      </rPr>
      <t>SAÚDE</t>
    </r>
  </si>
  <si>
    <t>O Director do Instituto</t>
  </si>
  <si>
    <t>CURSO:</t>
  </si>
  <si>
    <t>INFORMÁTICA</t>
  </si>
  <si>
    <t>TRIMESTRE:</t>
  </si>
  <si>
    <t>I TRIMESTRE</t>
  </si>
  <si>
    <t>________________________________________</t>
  </si>
  <si>
    <t>CLASSE:</t>
  </si>
  <si>
    <t>13ªCLASSE</t>
  </si>
  <si>
    <t>TURMA:</t>
  </si>
  <si>
    <t>13ª INFORMÁTICA</t>
  </si>
  <si>
    <t>ALUNOS:</t>
  </si>
  <si>
    <t>GABRIEL PRÓSPERO MABIALA</t>
  </si>
  <si>
    <t>PERÍODO:</t>
  </si>
  <si>
    <t>TODO DIA</t>
  </si>
  <si>
    <t>ANO LECTIVO:</t>
  </si>
  <si>
    <t>2022/2023</t>
  </si>
  <si>
    <t>EMISSÃO:</t>
  </si>
  <si>
    <t>07/06/26</t>
  </si>
  <si>
    <t>DATA ______ / ______ / 2026</t>
  </si>
  <si>
    <t>Nº</t>
  </si>
  <si>
    <t>Nº PROC</t>
  </si>
  <si>
    <t>NOME</t>
  </si>
  <si>
    <t>DISCIPLINA A REPETIR</t>
  </si>
  <si>
    <t>PROJECTO TECNOLÓGICO</t>
  </si>
  <si>
    <t>OBS</t>
  </si>
  <si>
    <t>MÉDIA</t>
  </si>
  <si>
    <t>Idade</t>
  </si>
  <si>
    <t>Género</t>
  </si>
  <si>
    <t>DADOS ESTATÍSTICOS</t>
  </si>
  <si>
    <t>FALTAS</t>
  </si>
  <si>
    <t>MT1º</t>
  </si>
  <si>
    <t>MATRICULADOS</t>
  </si>
  <si>
    <t>TRANSITA</t>
  </si>
  <si>
    <t>N/TRANSITA</t>
  </si>
  <si>
    <t>Desistido/a</t>
  </si>
  <si>
    <t>J</t>
  </si>
  <si>
    <t>I</t>
  </si>
  <si>
    <t>M</t>
  </si>
  <si>
    <t>F</t>
  </si>
  <si>
    <t>OSVALDO SÉRGIO DUMBI SILVA</t>
  </si>
  <si>
    <t>PROJE</t>
  </si>
  <si>
    <t>-</t>
  </si>
  <si>
    <t>JOÃO KINHUMBA BAMENI</t>
  </si>
  <si>
    <t>JOÃO SIMBA MBEUA MATIABA</t>
  </si>
  <si>
    <t>SIMÃO PRECIL ZOLA</t>
  </si>
  <si>
    <t>SILVÉRIO ERNESTO PRESO</t>
  </si>
  <si>
    <t>SERAFIM CASSI MANANGA</t>
  </si>
  <si>
    <t>DATA DO CONSELHO DE TURMA ______ / ______ / 2026</t>
  </si>
  <si>
    <t>A Directora de Turma</t>
  </si>
  <si>
    <t>O Subdirector Pedagógico</t>
  </si>
  <si>
    <t>_____________________________________</t>
  </si>
  <si>
    <t>Alberto Sassa Tati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</si>
</sst>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5" x14ac:knownFonts="1">
    <font>
      <color theme="1"/>
      <family val="2"/>
      <scheme val="minor"/>
      <sz val="11"/>
      <name val="Calibri"/>
    </font>
    <font>
      <b/>
      <color rgb="FF1F497D"/>
      <sz val="16"/>
      <name val="Segoe UI"/>
    </font>
    <font>
      <b/>
      <color rgb="FF1F497D"/>
      <sz val="14"/>
      <name val="Segoe UI"/>
    </font>
    <font>
      <b/>
      <i/>
      <color rgb="FF555555"/>
      <sz val="10"/>
      <name val="Segoe UI"/>
    </font>
    <font>
      <b/>
      <color rgb="FF555555"/>
      <sz val="9"/>
      <name val="Segoe UI"/>
    </font>
    <font>
      <b/>
      <color rgb="FF1F497D"/>
      <sz val="9"/>
      <name val="Segoe UI"/>
    </font>
    <font>
      <b/>
      <color rgb="FFFF0000"/>
      <sz val="9"/>
      <name val="Segoe UI"/>
    </font>
    <font>
      <color rgb="FF888888"/>
      <sz val="10"/>
      <name val="Segoe UI"/>
    </font>
    <font>
      <b/>
      <color rgb="FF333333"/>
      <sz val="9"/>
      <name val="Segoe UI"/>
    </font>
    <font>
      <b/>
      <color rgb="FF333333"/>
      <sz val="10"/>
      <name val="Segoe UI"/>
    </font>
    <font>
      <b/>
      <sz val="10"/>
      <name val="Calibri"/>
    </font>
    <font>
      <b/>
      <color rgb="FF005080"/>
      <sz val="9"/>
      <name val="Calibri"/>
    </font>
    <font>
      <b/>
      <sz val="11"/>
      <name val="Calibri"/>
    </font>
    <font>
      <b/>
      <sz val="8"/>
      <name val="Calibri"/>
    </font>
    <font>
      <b/>
      <color rgb="FFC00000"/>
      <sz val="8"/>
      <name val="Calibri"/>
    </font>
    <font>
      <b/>
      <sz val="7"/>
      <name val="Calibri"/>
    </font>
    <font>
      <sz val="9"/>
      <name val="Calibri"/>
    </font>
    <font>
      <b/>
      <sz val="9"/>
      <name val="Calibri"/>
    </font>
    <font>
      <i/>
      <sz val="8"/>
      <name val="Calibri"/>
    </font>
    <font>
      <color rgb="FF7F7F7F"/>
      <sz val="9"/>
      <name val="Calibri"/>
    </font>
    <font>
      <b/>
      <color rgb="FFFF0000"/>
      <sz val="9"/>
      <name val="Calibri"/>
    </font>
    <font>
      <b/>
      <color rgb="FF0070C0"/>
      <sz val="10"/>
      <name val="Calibri"/>
    </font>
    <font>
      <b/>
      <color rgb="FFC00000"/>
      <sz val="10"/>
      <name val="Calibri"/>
    </font>
    <font>
      <b/>
      <color rgb="FF0070C0"/>
      <sz val="9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7FA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F497D"/>
      </bottom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/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bottom"/>
    </xf>
    <xf numFmtId="0" fontId="4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textRotation="90"/>
    </xf>
    <xf numFmtId="0" fontId="12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64" fontId="20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23" fillId="0" borderId="7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64000</xdr:colOff>
      <xdr:row>1</xdr:row>
      <xdr:rowOff>18000</xdr:rowOff>
    </xdr:from>
    <xdr:ext cx="523875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9"/>
  <sheetViews>
    <sheetView workbookViewId="0"/>
  </sheetViews>
  <sheetFormatPr defaultRowHeight="15" outlineLevelRow="0" outlineLevelCol="0" x14ac:dyDescent="55"/>
  <cols>
    <col min="1" max="1" width="2" customWidth="1"/>
    <col min="2" max="2" width="4" customWidth="1"/>
    <col min="3" max="3" width="10" customWidth="1"/>
    <col min="4" max="4" width="30" customWidth="1"/>
    <col min="5" max="5" width="16" customWidth="1"/>
    <col min="6" max="7" width="4" customWidth="1"/>
    <col min="8" max="8" width="7" customWidth="1"/>
    <col min="9" max="9" width="12" customWidth="1"/>
    <col min="11" max="11" width="7" customWidth="1"/>
    <col min="12" max="12" width="8" customWidth="1"/>
    <col min="13" max="20" width="6" customWidth="1"/>
  </cols>
  <sheetData>
    <row r="1" ht="10" customHeight="1" x14ac:dyDescent="0.25"/>
    <row r="2" ht="18" customHeight="1" spans="4:18" x14ac:dyDescent="0.25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8" customHeight="1" spans="4:18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8" customHeight="1" spans="4:18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18" customHeight="1" spans="2:20" x14ac:dyDescent="0.25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2" customHeight="1" x14ac:dyDescent="0.25"/>
    <row r="7" ht="25" customHeight="1" spans="2:18" x14ac:dyDescent="0.25">
      <c r="B7" s="3" t="s">
        <v>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8" customHeight="1" spans="2:18" x14ac:dyDescent="0.25">
      <c r="B8" s="4" t="s">
        <v>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10" customHeight="1" x14ac:dyDescent="0.25"/>
    <row r="10" ht="20" customHeight="1" spans="2:18" x14ac:dyDescent="0.25">
      <c r="B10" s="5" t="s">
        <v>4</v>
      </c>
      <c r="C10" s="5"/>
      <c r="D10" s="5"/>
      <c r="F10" s="6" t="s">
        <v>5</v>
      </c>
      <c r="G10" s="7" t="s">
        <v>6</v>
      </c>
      <c r="H10" s="7"/>
      <c r="I10" s="7"/>
      <c r="J10" s="7"/>
      <c r="K10" s="7"/>
      <c r="L10" s="7"/>
      <c r="N10" s="6" t="s">
        <v>7</v>
      </c>
      <c r="O10" s="8" t="s">
        <v>8</v>
      </c>
      <c r="P10" s="8"/>
      <c r="Q10" s="8"/>
      <c r="R10" s="8"/>
    </row>
    <row r="11" ht="20" customHeight="1" spans="2:18" x14ac:dyDescent="0.25">
      <c r="B11" s="9" t="s">
        <v>9</v>
      </c>
      <c r="C11" s="9"/>
      <c r="D11" s="9"/>
      <c r="F11" s="10" t="s">
        <v>10</v>
      </c>
      <c r="G11" s="11" t="s">
        <v>11</v>
      </c>
      <c r="H11" s="11"/>
      <c r="I11" s="12" t="s">
        <v>12</v>
      </c>
      <c r="J11" s="13" t="s">
        <v>13</v>
      </c>
      <c r="K11" s="13"/>
      <c r="L11" s="13"/>
      <c r="N11" s="10" t="s">
        <v>14</v>
      </c>
      <c r="O11" s="14">
        <f>CONCATENATE("Total: ", COUNTIF(L17:L22,"M")+COUNTIF(L17:L22,"F"), " (M: ", COUNTIF(L17:L22,"M"), ", F: ", COUNTIF(L17:L22,"F"), ")")</f>
      </c>
      <c r="P11" s="14"/>
      <c r="Q11" s="14"/>
      <c r="R11" s="14"/>
    </row>
    <row r="12" ht="20" customHeight="1" spans="2:18" x14ac:dyDescent="0.25">
      <c r="B12" s="15" t="s">
        <v>15</v>
      </c>
      <c r="C12" s="15"/>
      <c r="D12" s="15"/>
      <c r="F12" s="16" t="s">
        <v>16</v>
      </c>
      <c r="G12" s="17" t="s">
        <v>17</v>
      </c>
      <c r="H12" s="17"/>
      <c r="I12" s="18" t="s">
        <v>18</v>
      </c>
      <c r="J12" s="17" t="s">
        <v>19</v>
      </c>
      <c r="K12" s="17"/>
      <c r="L12" s="17"/>
      <c r="N12" s="16" t="s">
        <v>20</v>
      </c>
      <c r="O12" s="17" t="s">
        <v>21</v>
      </c>
      <c r="P12" s="17"/>
      <c r="Q12" s="17"/>
      <c r="R12" s="17"/>
    </row>
    <row r="13" ht="20" customHeight="1" spans="2:4" x14ac:dyDescent="0.25">
      <c r="B13" s="19" t="s">
        <v>22</v>
      </c>
      <c r="C13" s="19"/>
      <c r="D13" s="19"/>
    </row>
    <row r="14" ht="25" customHeight="1" spans="2:20" x14ac:dyDescent="0.25">
      <c r="B14" s="20" t="s">
        <v>23</v>
      </c>
      <c r="C14" s="20" t="s">
        <v>24</v>
      </c>
      <c r="D14" s="20" t="s">
        <v>25</v>
      </c>
      <c r="E14" s="20" t="s">
        <v>26</v>
      </c>
      <c r="F14" s="21" t="s">
        <v>27</v>
      </c>
      <c r="G14" s="21"/>
      <c r="H14" s="21"/>
      <c r="I14" s="22" t="s">
        <v>28</v>
      </c>
      <c r="J14" s="22" t="s">
        <v>29</v>
      </c>
      <c r="K14" s="23" t="s">
        <v>30</v>
      </c>
      <c r="L14" s="23" t="s">
        <v>31</v>
      </c>
      <c r="M14" s="24" t="s">
        <v>32</v>
      </c>
      <c r="N14" s="24"/>
      <c r="O14" s="24"/>
      <c r="P14" s="24"/>
      <c r="Q14" s="24"/>
      <c r="R14" s="24"/>
      <c r="S14" s="24"/>
      <c r="T14" s="24"/>
    </row>
    <row r="15" ht="18" customHeight="1" spans="2:20" x14ac:dyDescent="0.25">
      <c r="B15" s="20"/>
      <c r="C15" s="20"/>
      <c r="D15" s="20"/>
      <c r="E15" s="20"/>
      <c r="F15" s="25" t="s">
        <v>33</v>
      </c>
      <c r="G15" s="25"/>
      <c r="H15" s="26" t="s">
        <v>34</v>
      </c>
      <c r="I15" s="22"/>
      <c r="J15" s="22"/>
      <c r="K15" s="23"/>
      <c r="L15" s="23"/>
      <c r="M15" s="25" t="s">
        <v>35</v>
      </c>
      <c r="N15" s="25"/>
      <c r="O15" s="25" t="s">
        <v>36</v>
      </c>
      <c r="P15" s="25"/>
      <c r="Q15" s="25" t="s">
        <v>37</v>
      </c>
      <c r="R15" s="25"/>
      <c r="S15" s="25" t="s">
        <v>38</v>
      </c>
      <c r="T15" s="25"/>
    </row>
    <row r="16" ht="15" customHeight="1" spans="2:20" x14ac:dyDescent="0.25">
      <c r="B16" s="20"/>
      <c r="C16" s="20"/>
      <c r="D16" s="20"/>
      <c r="E16" s="20"/>
      <c r="F16" s="27" t="s">
        <v>39</v>
      </c>
      <c r="G16" s="27" t="s">
        <v>40</v>
      </c>
      <c r="H16" s="26"/>
      <c r="I16" s="22"/>
      <c r="J16" s="22"/>
      <c r="K16" s="23"/>
      <c r="L16" s="23"/>
      <c r="M16" s="25" t="s">
        <v>41</v>
      </c>
      <c r="N16" s="25" t="s">
        <v>42</v>
      </c>
      <c r="O16" s="25" t="s">
        <v>41</v>
      </c>
      <c r="P16" s="25" t="s">
        <v>42</v>
      </c>
      <c r="Q16" s="25" t="s">
        <v>41</v>
      </c>
      <c r="R16" s="25" t="s">
        <v>42</v>
      </c>
      <c r="S16" s="25" t="s">
        <v>41</v>
      </c>
      <c r="T16" s="25" t="s">
        <v>42</v>
      </c>
    </row>
    <row r="17" ht="20" customHeight="1" spans="2:20" x14ac:dyDescent="0.25">
      <c r="B17" s="28">
        <v>1</v>
      </c>
      <c r="C17" s="28">
        <v>5</v>
      </c>
      <c r="D17" s="29" t="s">
        <v>43</v>
      </c>
      <c r="E17" s="30" t="s">
        <v>44</v>
      </c>
      <c r="F17" s="31" t="s">
        <v>45</v>
      </c>
      <c r="G17" s="31" t="s">
        <v>45</v>
      </c>
      <c r="H17" s="32">
        <v>9.8</v>
      </c>
      <c r="I17" s="33" t="s">
        <v>37</v>
      </c>
      <c r="J17" s="32">
        <f>AVERAGE(H17)</f>
      </c>
      <c r="K17" s="28">
        <v>23</v>
      </c>
      <c r="L17" s="28" t="s">
        <v>41</v>
      </c>
      <c r="M17" s="34">
        <f>COUNTIF(L17:L22,"M")</f>
      </c>
      <c r="N17" s="35">
        <f>COUNTIF(L17:L22,"F")</f>
      </c>
      <c r="O17" s="34">
        <f>COUNTIFS(I17:I22,"TRANSITA",L17:L22,"M")</f>
      </c>
      <c r="P17" s="35">
        <f>COUNTIFS(I17:I22,"TRANSITA",L17:L22,"F")</f>
      </c>
      <c r="Q17" s="34">
        <f>COUNTIFS(I17:I22,"N/TRANSITA",L17:L22,"M")</f>
      </c>
      <c r="R17" s="35">
        <f>COUNTIFS(I17:I22,"N/TRANSITA",L17:L22,"F")</f>
      </c>
      <c r="S17" s="34">
        <f>COUNTIFS(I17:I22,"DESISTIDO",L17:L22,"M")</f>
      </c>
      <c r="T17" s="35">
        <f>COUNTIFS(I17:I22,"DESISTIDA",L17:L22,"F")</f>
      </c>
    </row>
    <row r="18" ht="20" customHeight="1" spans="2:20" x14ac:dyDescent="0.25">
      <c r="B18" s="28">
        <v>2</v>
      </c>
      <c r="C18" s="28">
        <v>7</v>
      </c>
      <c r="D18" s="29" t="s">
        <v>46</v>
      </c>
      <c r="E18" s="30" t="s">
        <v>1</v>
      </c>
      <c r="F18" s="31" t="s">
        <v>45</v>
      </c>
      <c r="G18" s="31" t="s">
        <v>45</v>
      </c>
      <c r="H18" s="31" t="s">
        <v>45</v>
      </c>
      <c r="I18" s="36" t="s">
        <v>45</v>
      </c>
      <c r="J18" s="36" t="s">
        <v>45</v>
      </c>
      <c r="K18" s="28">
        <v>28</v>
      </c>
      <c r="L18" s="28" t="s">
        <v>41</v>
      </c>
      <c r="M18" s="34"/>
      <c r="N18" s="35"/>
      <c r="O18" s="34"/>
      <c r="P18" s="35"/>
      <c r="Q18" s="34"/>
      <c r="R18" s="35"/>
      <c r="S18" s="34"/>
      <c r="T18" s="35"/>
    </row>
    <row r="19" ht="20" customHeight="1" spans="2:20" x14ac:dyDescent="0.25">
      <c r="B19" s="28">
        <v>3</v>
      </c>
      <c r="C19" s="28">
        <v>9</v>
      </c>
      <c r="D19" s="29" t="s">
        <v>47</v>
      </c>
      <c r="E19" s="30" t="s">
        <v>1</v>
      </c>
      <c r="F19" s="31" t="s">
        <v>45</v>
      </c>
      <c r="G19" s="31" t="s">
        <v>45</v>
      </c>
      <c r="H19" s="37">
        <v>14.2</v>
      </c>
      <c r="I19" s="38" t="s">
        <v>36</v>
      </c>
      <c r="J19" s="37">
        <f>AVERAGE(H19)</f>
      </c>
      <c r="K19" s="28">
        <v>23</v>
      </c>
      <c r="L19" s="28" t="s">
        <v>41</v>
      </c>
      <c r="M19" s="34"/>
      <c r="N19" s="35"/>
      <c r="O19" s="34"/>
      <c r="P19" s="35"/>
      <c r="Q19" s="34"/>
      <c r="R19" s="35"/>
      <c r="S19" s="34"/>
      <c r="T19" s="35"/>
    </row>
    <row r="20" ht="20" customHeight="1" spans="2:20" x14ac:dyDescent="0.25">
      <c r="B20" s="28">
        <v>4</v>
      </c>
      <c r="C20" s="28">
        <v>10</v>
      </c>
      <c r="D20" s="29" t="s">
        <v>48</v>
      </c>
      <c r="E20" s="30" t="s">
        <v>1</v>
      </c>
      <c r="F20" s="31" t="s">
        <v>45</v>
      </c>
      <c r="G20" s="31" t="s">
        <v>45</v>
      </c>
      <c r="H20" s="31" t="s">
        <v>45</v>
      </c>
      <c r="I20" s="36" t="s">
        <v>45</v>
      </c>
      <c r="J20" s="36" t="s">
        <v>45</v>
      </c>
      <c r="K20" s="28">
        <v>24</v>
      </c>
      <c r="L20" s="28" t="s">
        <v>41</v>
      </c>
      <c r="M20" s="34"/>
      <c r="N20" s="35"/>
      <c r="O20" s="34"/>
      <c r="P20" s="35"/>
      <c r="Q20" s="34"/>
      <c r="R20" s="35"/>
      <c r="S20" s="34"/>
      <c r="T20" s="35"/>
    </row>
    <row r="21" ht="20" customHeight="1" spans="2:20" x14ac:dyDescent="0.25">
      <c r="B21" s="28">
        <v>5</v>
      </c>
      <c r="C21" s="28">
        <v>1758</v>
      </c>
      <c r="D21" s="29" t="s">
        <v>49</v>
      </c>
      <c r="E21" s="30" t="s">
        <v>1</v>
      </c>
      <c r="F21" s="31" t="s">
        <v>45</v>
      </c>
      <c r="G21" s="31" t="s">
        <v>45</v>
      </c>
      <c r="H21" s="37">
        <v>11</v>
      </c>
      <c r="I21" s="38" t="s">
        <v>36</v>
      </c>
      <c r="J21" s="37">
        <f>AVERAGE(H21)</f>
      </c>
      <c r="K21" s="28">
        <v>26</v>
      </c>
      <c r="L21" s="28" t="s">
        <v>41</v>
      </c>
      <c r="M21" s="34"/>
      <c r="N21" s="35"/>
      <c r="O21" s="34"/>
      <c r="P21" s="35"/>
      <c r="Q21" s="34"/>
      <c r="R21" s="35"/>
      <c r="S21" s="34"/>
      <c r="T21" s="35"/>
    </row>
    <row r="22" ht="20" customHeight="1" spans="2:20" x14ac:dyDescent="0.25">
      <c r="B22" s="28">
        <v>6</v>
      </c>
      <c r="C22" s="28">
        <v>1771</v>
      </c>
      <c r="D22" s="29" t="s">
        <v>50</v>
      </c>
      <c r="E22" s="30" t="s">
        <v>1</v>
      </c>
      <c r="F22" s="31" t="s">
        <v>45</v>
      </c>
      <c r="G22" s="31" t="s">
        <v>45</v>
      </c>
      <c r="H22" s="37">
        <v>13.2</v>
      </c>
      <c r="I22" s="38" t="s">
        <v>36</v>
      </c>
      <c r="J22" s="37">
        <f>AVERAGE(H22)</f>
      </c>
      <c r="K22" s="28">
        <v>23</v>
      </c>
      <c r="L22" s="28" t="s">
        <v>41</v>
      </c>
      <c r="M22" s="34"/>
      <c r="N22" s="35"/>
      <c r="O22" s="34"/>
      <c r="P22" s="35"/>
      <c r="Q22" s="34"/>
      <c r="R22" s="35"/>
      <c r="S22" s="34"/>
      <c r="T22" s="35"/>
    </row>
    <row r="24" spans="2:6" x14ac:dyDescent="0.25">
      <c r="B24" s="39" t="s">
        <v>51</v>
      </c>
      <c r="C24" s="39"/>
      <c r="D24" s="39"/>
      <c r="E24" s="39"/>
      <c r="F24" s="39"/>
    </row>
    <row r="27" spans="2:12" x14ac:dyDescent="0.25">
      <c r="B27" s="40" t="s">
        <v>52</v>
      </c>
      <c r="C27" s="40"/>
      <c r="D27" s="40"/>
      <c r="E27" s="40"/>
      <c r="F27" s="40"/>
      <c r="I27" t="s">
        <v>53</v>
      </c>
      <c r="J27"/>
      <c r="K27"/>
      <c r="L27"/>
    </row>
    <row r="28" spans="2:12" x14ac:dyDescent="0.25">
      <c r="B28" s="41" t="s">
        <v>54</v>
      </c>
      <c r="C28" s="41"/>
      <c r="D28" s="41"/>
      <c r="E28" s="41"/>
      <c r="F28" s="41"/>
      <c r="I28" t="s">
        <v>54</v>
      </c>
      <c r="J28"/>
      <c r="K28"/>
      <c r="L28"/>
    </row>
    <row r="29" spans="2:12" x14ac:dyDescent="0.25">
      <c r="B29" s="42" t="s">
        <v>1</v>
      </c>
      <c r="C29" s="42"/>
      <c r="D29" s="42"/>
      <c r="E29" s="42"/>
      <c r="F29" s="42"/>
      <c r="I29" t="s">
        <v>55</v>
      </c>
      <c r="J29"/>
      <c r="K29"/>
      <c r="L29"/>
    </row>
  </sheetData>
  <mergeCells count="47">
    <mergeCell ref="D2:R4"/>
    <mergeCell ref="B5:T5"/>
    <mergeCell ref="B7:R7"/>
    <mergeCell ref="B8:R8"/>
    <mergeCell ref="B10:D10"/>
    <mergeCell ref="G10:L10"/>
    <mergeCell ref="O10:R10"/>
    <mergeCell ref="B11:D11"/>
    <mergeCell ref="G11:H11"/>
    <mergeCell ref="J11:L11"/>
    <mergeCell ref="O11:R11"/>
    <mergeCell ref="B12:D12"/>
    <mergeCell ref="G12:H12"/>
    <mergeCell ref="J12:L12"/>
    <mergeCell ref="O12:R12"/>
    <mergeCell ref="B13:D13"/>
    <mergeCell ref="F14:H14"/>
    <mergeCell ref="M14:T14"/>
    <mergeCell ref="B14:B16"/>
    <mergeCell ref="C14:C16"/>
    <mergeCell ref="D14:D16"/>
    <mergeCell ref="E14:E16"/>
    <mergeCell ref="F15:G15"/>
    <mergeCell ref="I14:I16"/>
    <mergeCell ref="J14:J16"/>
    <mergeCell ref="K14:K16"/>
    <mergeCell ref="L14:L16"/>
    <mergeCell ref="M15:N15"/>
    <mergeCell ref="O15:P15"/>
    <mergeCell ref="Q15:R15"/>
    <mergeCell ref="S15:T15"/>
    <mergeCell ref="H15:H16"/>
    <mergeCell ref="M17:M22"/>
    <mergeCell ref="N17:N22"/>
    <mergeCell ref="O17:O22"/>
    <mergeCell ref="P17:P22"/>
    <mergeCell ref="Q17:Q22"/>
    <mergeCell ref="R17:R22"/>
    <mergeCell ref="S17:S22"/>
    <mergeCell ref="T17:T22"/>
    <mergeCell ref="B24:F24"/>
    <mergeCell ref="B27:F27"/>
    <mergeCell ref="I27:L27"/>
    <mergeCell ref="B28:F28"/>
    <mergeCell ref="I28:L28"/>
    <mergeCell ref="B29:F29"/>
    <mergeCell ref="I29:L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PAUTA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2026-06-07T07:40:54Z</dcterms:created>
  <dcterms:modified xsi:type="dcterms:W3CDTF">2026-06-07T07:40:54Z</dcterms:modified>
</cp:coreProperties>
</file>