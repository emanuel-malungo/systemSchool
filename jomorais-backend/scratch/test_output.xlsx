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<sst xmlns="http://schemas.openxmlformats.org/spreadsheetml/2006/main" count="93" uniqueCount="53">
  <si>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</si>
  <si>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</si>
  <si>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</si>
  <si>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</si>
  <si>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</si>
  <si>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</si>
  <si>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</si>
  <si>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</si>
  <si>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</si>
  <si>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</si>
  <si>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</si>
  <si>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</si>
  <si>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</si>
  <si>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</si>
  <si>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</si>
  <si>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</si>
  <si>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</si>
  <si>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</si>
  <si>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</si>
  <si>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</si>
  <si>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</si>
  <si>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</si>
  <si>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</si>
  <si>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</si>
  <si>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MATEMÁTICA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</si>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</sst>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5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sz val="10"/>
      <name val="Calibri"/>
    </font>
    <font>
      <b/>
      <color rgb="FF005080"/>
      <sz val="9"/>
      <name val="Calibri"/>
    </font>
    <font>
      <b/>
      <sz val="11"/>
      <name val="Calibri"/>
    </font>
    <font>
      <b/>
      <sz val="8"/>
      <name val="Calibri"/>
    </font>
    <font>
      <b/>
      <color rgb="FFC00000"/>
      <sz val="8"/>
      <name val="Calibri"/>
    </font>
    <font>
      <b/>
      <sz val="7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textRotation="90"/>
    </xf>
    <xf numFmtId="0" fontId="11" fillId="2" borderId="4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6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0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6" t="s">
        <v>21</v>
      </c>
      <c r="E14" s="16" t="s">
        <v>22</v>
      </c>
      <c r="F14" s="17" t="s">
        <v>23</v>
      </c>
      <c r="G14" s="17"/>
      <c r="H14" s="17"/>
      <c r="I14" s="17" t="s">
        <v>24</v>
      </c>
      <c r="J14" s="17"/>
      <c r="K14" s="17"/>
      <c r="L14" s="17" t="s">
        <v>25</v>
      </c>
      <c r="M14" s="17"/>
      <c r="N14" s="17"/>
      <c r="O14" s="18" t="s">
        <v>26</v>
      </c>
      <c r="P14" s="18" t="s">
        <v>27</v>
      </c>
      <c r="Q14" s="19" t="s">
        <v>28</v>
      </c>
      <c r="R14" s="19" t="s">
        <v>29</v>
      </c>
      <c r="S14" s="20" t="s">
        <v>30</v>
      </c>
      <c r="T14" s="20"/>
      <c r="U14" s="20"/>
      <c r="V14" s="20"/>
      <c r="W14" s="20"/>
      <c r="X14" s="20"/>
      <c r="Y14" s="20"/>
      <c r="Z14" s="20"/>
    </row>
    <row r="15" ht="18" customHeight="1" spans="2:26" x14ac:dyDescent="0.25">
      <c r="B15" s="16"/>
      <c r="C15" s="16"/>
      <c r="D15" s="16"/>
      <c r="E15" s="16"/>
      <c r="F15" s="21" t="s">
        <v>31</v>
      </c>
      <c r="G15" s="21"/>
      <c r="H15" s="22" t="s">
        <v>32</v>
      </c>
      <c r="I15" s="21" t="s">
        <v>31</v>
      </c>
      <c r="J15" s="21"/>
      <c r="K15" s="22" t="s">
        <v>32</v>
      </c>
      <c r="L15" s="21" t="s">
        <v>31</v>
      </c>
      <c r="M15" s="21"/>
      <c r="N15" s="22" t="s">
        <v>32</v>
      </c>
      <c r="O15" s="18"/>
      <c r="P15" s="18"/>
      <c r="Q15" s="19"/>
      <c r="R15" s="19"/>
      <c r="S15" s="21" t="s">
        <v>33</v>
      </c>
      <c r="T15" s="21"/>
      <c r="U15" s="21" t="s">
        <v>34</v>
      </c>
      <c r="V15" s="21"/>
      <c r="W15" s="21" t="s">
        <v>35</v>
      </c>
      <c r="X15" s="21"/>
      <c r="Y15" s="21" t="s">
        <v>36</v>
      </c>
      <c r="Z15" s="21"/>
    </row>
    <row r="16" ht="15" customHeight="1" spans="2:26" x14ac:dyDescent="0.25">
      <c r="B16" s="16"/>
      <c r="C16" s="16"/>
      <c r="D16" s="16"/>
      <c r="E16" s="16"/>
      <c r="F16" s="23" t="s">
        <v>37</v>
      </c>
      <c r="G16" s="23" t="s">
        <v>38</v>
      </c>
      <c r="H16" s="22"/>
      <c r="I16" s="23" t="s">
        <v>37</v>
      </c>
      <c r="J16" s="23" t="s">
        <v>38</v>
      </c>
      <c r="K16" s="22"/>
      <c r="L16" s="23" t="s">
        <v>37</v>
      </c>
      <c r="M16" s="23" t="s">
        <v>38</v>
      </c>
      <c r="N16" s="22"/>
      <c r="O16" s="18"/>
      <c r="P16" s="18"/>
      <c r="Q16" s="19"/>
      <c r="R16" s="19"/>
      <c r="S16" s="21" t="s">
        <v>39</v>
      </c>
      <c r="T16" s="21" t="s">
        <v>40</v>
      </c>
      <c r="U16" s="21" t="s">
        <v>39</v>
      </c>
      <c r="V16" s="21" t="s">
        <v>40</v>
      </c>
      <c r="W16" s="21" t="s">
        <v>39</v>
      </c>
      <c r="X16" s="21" t="s">
        <v>40</v>
      </c>
      <c r="Y16" s="21" t="s">
        <v>39</v>
      </c>
      <c r="Z16" s="21" t="s">
        <v>40</v>
      </c>
    </row>
    <row r="17" ht="20" customHeight="1" spans="2:26" x14ac:dyDescent="0.25">
      <c r="B17" s="24">
        <v>1</v>
      </c>
      <c r="C17" s="24">
        <v>101</v>
      </c>
      <c r="D17" s="25" t="s">
        <v>41</v>
      </c>
      <c r="E17" s="26" t="s">
        <v>42</v>
      </c>
      <c r="F17" s="27" t="s">
        <v>43</v>
      </c>
      <c r="G17" s="27" t="s">
        <v>43</v>
      </c>
      <c r="H17" s="28">
        <v>9</v>
      </c>
      <c r="I17" s="27" t="s">
        <v>43</v>
      </c>
      <c r="J17" s="24">
        <v>2</v>
      </c>
      <c r="K17" s="29">
        <v>14.5</v>
      </c>
      <c r="L17" s="27" t="s">
        <v>43</v>
      </c>
      <c r="M17" s="24">
        <v>1</v>
      </c>
      <c r="N17" s="29">
        <v>12</v>
      </c>
      <c r="O17" s="30" t="s">
        <v>34</v>
      </c>
      <c r="P17" s="29">
        <f>AVERAGE(H17,K17,N17)</f>
      </c>
      <c r="Q17" s="24">
        <v>18</v>
      </c>
      <c r="R17" s="24" t="s">
        <v>39</v>
      </c>
      <c r="S17" s="31">
        <f>COUNTIF(R17:R19,"M")</f>
      </c>
      <c r="T17" s="32">
        <f>COUNTIF(R17:R19,"F")</f>
      </c>
      <c r="U17" s="31">
        <f>COUNTIFS(O17:O19,"TRANSITA",R17:R19,"M")</f>
      </c>
      <c r="V17" s="32">
        <f>COUNTIFS(O17:O19,"TRANSITA",R17:R19,"F")</f>
      </c>
      <c r="W17" s="31">
        <f>COUNTIFS(O17:O19,"N/TRANSITA",R17:R19,"M")</f>
      </c>
      <c r="X17" s="32">
        <f>COUNTIFS(O17:O19,"N/TRANSITA",R17:R19,"F")</f>
      </c>
      <c r="Y17" s="31">
        <f>COUNTIFS(O17:O19,"DESISTIDO",R17:R19,"M")</f>
      </c>
      <c r="Z17" s="32">
        <f>COUNTIFS(O17:O19,"DESISTIDA",R17:R19,"F")</f>
      </c>
    </row>
    <row r="18" ht="20" customHeight="1" spans="2:18" x14ac:dyDescent="0.25">
      <c r="B18" s="24">
        <v>2</v>
      </c>
      <c r="C18" s="24">
        <v>102</v>
      </c>
      <c r="D18" s="25" t="s">
        <v>44</v>
      </c>
      <c r="E18" s="26" t="s">
        <v>1</v>
      </c>
      <c r="F18" s="27" t="s">
        <v>43</v>
      </c>
      <c r="G18" s="24">
        <v>1</v>
      </c>
      <c r="H18" s="29">
        <v>11.5</v>
      </c>
      <c r="I18" s="27" t="s">
        <v>43</v>
      </c>
      <c r="J18" s="27" t="s">
        <v>43</v>
      </c>
      <c r="K18" s="29">
        <v>16</v>
      </c>
      <c r="L18" s="27" t="s">
        <v>43</v>
      </c>
      <c r="M18" s="27" t="s">
        <v>43</v>
      </c>
      <c r="N18" s="29">
        <v>15</v>
      </c>
      <c r="O18" s="30" t="s">
        <v>34</v>
      </c>
      <c r="P18" s="29">
        <f>AVERAGE(H18,K18,N18)</f>
      </c>
      <c r="Q18" s="24">
        <v>19</v>
      </c>
      <c r="R18" s="24" t="s">
        <v>40</v>
      </c>
    </row>
    <row r="19" ht="20" customHeight="1" spans="2:18" x14ac:dyDescent="0.25">
      <c r="B19" s="24">
        <v>3</v>
      </c>
      <c r="C19" s="24">
        <v>103</v>
      </c>
      <c r="D19" s="25" t="s">
        <v>45</v>
      </c>
      <c r="E19" s="26" t="s">
        <v>1</v>
      </c>
      <c r="F19" s="27" t="s">
        <v>43</v>
      </c>
      <c r="G19" s="27" t="s">
        <v>43</v>
      </c>
      <c r="H19" s="27" t="s">
        <v>43</v>
      </c>
      <c r="I19" s="27" t="s">
        <v>43</v>
      </c>
      <c r="J19" s="27" t="s">
        <v>43</v>
      </c>
      <c r="K19" s="27" t="s">
        <v>43</v>
      </c>
      <c r="L19" s="27" t="s">
        <v>43</v>
      </c>
      <c r="M19" s="27" t="s">
        <v>43</v>
      </c>
      <c r="N19" s="27" t="s">
        <v>43</v>
      </c>
      <c r="O19" s="33" t="s">
        <v>46</v>
      </c>
      <c r="P19" s="34" t="s">
        <v>43</v>
      </c>
      <c r="Q19" s="24">
        <v>17</v>
      </c>
      <c r="R19" s="24" t="s">
        <v>39</v>
      </c>
    </row>
    <row r="21" spans="2:6" x14ac:dyDescent="0.25">
      <c r="B21" s="35" t="s">
        <v>47</v>
      </c>
      <c r="C21" s="35"/>
      <c r="D21" s="35"/>
      <c r="E21" s="35"/>
      <c r="F21" s="35"/>
    </row>
    <row r="24" spans="2:15" x14ac:dyDescent="0.25">
      <c r="B24" s="36" t="s">
        <v>48</v>
      </c>
      <c r="C24" s="36"/>
      <c r="D24" s="36"/>
      <c r="E24" s="36"/>
      <c r="F24" s="36"/>
      <c r="L24" s="36" t="s">
        <v>49</v>
      </c>
      <c r="M24" s="36"/>
      <c r="N24" s="36"/>
      <c r="O24" s="36"/>
    </row>
    <row r="25" spans="2:15" x14ac:dyDescent="0.25">
      <c r="B25" s="37" t="s">
        <v>50</v>
      </c>
      <c r="C25" s="37"/>
      <c r="D25" s="37"/>
      <c r="E25" s="37"/>
      <c r="F25" s="37"/>
      <c r="L25" s="37" t="s">
        <v>50</v>
      </c>
      <c r="M25" s="37"/>
      <c r="N25" s="37"/>
      <c r="O25" s="37"/>
    </row>
    <row r="26" spans="2:15" x14ac:dyDescent="0.25">
      <c r="B26" s="38" t="s">
        <v>51</v>
      </c>
      <c r="C26" s="38"/>
      <c r="D26" s="38"/>
      <c r="E26" s="38"/>
      <c r="F26" s="38"/>
      <c r="L26" s="38" t="s">
        <v>52</v>
      </c>
      <c r="M26" s="38"/>
      <c r="N26" s="38"/>
      <c r="O26" s="38"/>
    </row>
  </sheetData>
  <mergeCells count="45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H15:H16"/>
    <mergeCell ref="K15:K16"/>
    <mergeCell ref="N15:N16"/>
    <mergeCell ref="B21:F21"/>
    <mergeCell ref="B24:F24"/>
    <mergeCell ref="L24:O24"/>
    <mergeCell ref="B25:F25"/>
    <mergeCell ref="L25:O25"/>
    <mergeCell ref="B26:F26"/>
    <mergeCell ref="L26:O26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2026-06-20T17:47:23Z</dcterms:created>
  <dcterms:modified xsi:type="dcterms:W3CDTF">2026-06-20T17:47:23Z</dcterms:modified>
</cp:coreProperties>
</file>