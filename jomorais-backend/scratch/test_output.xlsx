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<sst xmlns="http://schemas.openxmlformats.org/spreadsheetml/2006/main" count="94" uniqueCount="53">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</sst>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0" fillId="0" borderId="4" xfId="0" applyBorder="1"/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5"/>
      <c r="I16" s="22" t="s">
        <v>37</v>
      </c>
      <c r="J16" s="22" t="s">
        <v>38</v>
      </c>
      <c r="K16" s="25"/>
      <c r="L16" s="22" t="s">
        <v>37</v>
      </c>
      <c r="M16" s="22" t="s">
        <v>38</v>
      </c>
      <c r="N16" s="25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6">
        <v>1</v>
      </c>
      <c r="C17" s="26">
        <v>101</v>
      </c>
      <c r="D17" s="27" t="s">
        <v>41</v>
      </c>
      <c r="E17" s="28" t="s">
        <v>42</v>
      </c>
      <c r="F17" s="29" t="s">
        <v>43</v>
      </c>
      <c r="G17" s="29" t="s">
        <v>43</v>
      </c>
      <c r="H17" s="30">
        <v>9</v>
      </c>
      <c r="I17" s="29" t="s">
        <v>43</v>
      </c>
      <c r="J17" s="26">
        <v>2</v>
      </c>
      <c r="K17" s="31">
        <v>14.5</v>
      </c>
      <c r="L17" s="29" t="s">
        <v>43</v>
      </c>
      <c r="M17" s="26">
        <v>1</v>
      </c>
      <c r="N17" s="31">
        <v>12</v>
      </c>
      <c r="O17" s="32" t="s">
        <v>34</v>
      </c>
      <c r="P17" s="31">
        <f>AVERAGE(H17,K17,N17)</f>
      </c>
      <c r="Q17" s="26">
        <v>18</v>
      </c>
      <c r="R17" s="26" t="s">
        <v>39</v>
      </c>
      <c r="S17" s="33">
        <f>COUNTIF(R17:R19,"M")</f>
      </c>
      <c r="T17" s="34">
        <f>COUNTIF(R17:R19,"F")</f>
      </c>
      <c r="U17" s="33">
        <f>COUNTIFS(O17:O19,"TRANSITA",R17:R19,"M")</f>
      </c>
      <c r="V17" s="34">
        <f>COUNTIFS(O17:O19,"TRANSITA",R17:R19,"F")</f>
      </c>
      <c r="W17" s="33">
        <f>COUNTIFS(O17:O19,"N/TRANSITA",R17:R19,"M")</f>
      </c>
      <c r="X17" s="34">
        <f>COUNTIFS(O17:O19,"N/TRANSITA",R17:R19,"F")</f>
      </c>
      <c r="Y17" s="33">
        <f>COUNTIFS(O17:O19,"DESISTIDO",R17:R19,"M")</f>
      </c>
      <c r="Z17" s="34">
        <f>COUNTIFS(O17:O19,"DESISTIDA",R17:R19,"F")</f>
      </c>
    </row>
    <row r="18" ht="20" customHeight="1" spans="2:18" x14ac:dyDescent="0.25">
      <c r="B18" s="26">
        <v>2</v>
      </c>
      <c r="C18" s="26">
        <v>102</v>
      </c>
      <c r="D18" s="27" t="s">
        <v>44</v>
      </c>
      <c r="E18" s="28" t="s">
        <v>1</v>
      </c>
      <c r="F18" s="29" t="s">
        <v>43</v>
      </c>
      <c r="G18" s="26">
        <v>1</v>
      </c>
      <c r="H18" s="31">
        <v>11.5</v>
      </c>
      <c r="I18" s="29" t="s">
        <v>43</v>
      </c>
      <c r="J18" s="29" t="s">
        <v>43</v>
      </c>
      <c r="K18" s="31">
        <v>16</v>
      </c>
      <c r="L18" s="29" t="s">
        <v>43</v>
      </c>
      <c r="M18" s="29" t="s">
        <v>43</v>
      </c>
      <c r="N18" s="31">
        <v>15</v>
      </c>
      <c r="O18" s="32" t="s">
        <v>34</v>
      </c>
      <c r="P18" s="31">
        <f>AVERAGE(H18,K18,N18)</f>
      </c>
      <c r="Q18" s="26">
        <v>19</v>
      </c>
      <c r="R18" s="26" t="s">
        <v>40</v>
      </c>
    </row>
    <row r="19" ht="20" customHeight="1" spans="2:18" x14ac:dyDescent="0.25">
      <c r="B19" s="26">
        <v>3</v>
      </c>
      <c r="C19" s="26">
        <v>103</v>
      </c>
      <c r="D19" s="27" t="s">
        <v>45</v>
      </c>
      <c r="E19" s="28" t="s">
        <v>1</v>
      </c>
      <c r="F19" s="29" t="s">
        <v>43</v>
      </c>
      <c r="G19" s="29" t="s">
        <v>43</v>
      </c>
      <c r="H19" s="29" t="s">
        <v>43</v>
      </c>
      <c r="I19" s="29" t="s">
        <v>43</v>
      </c>
      <c r="J19" s="29" t="s">
        <v>43</v>
      </c>
      <c r="K19" s="29" t="s">
        <v>43</v>
      </c>
      <c r="L19" s="29" t="s">
        <v>43</v>
      </c>
      <c r="M19" s="29" t="s">
        <v>43</v>
      </c>
      <c r="N19" s="29" t="s">
        <v>43</v>
      </c>
      <c r="O19" s="35" t="s">
        <v>46</v>
      </c>
      <c r="P19" s="36" t="s">
        <v>43</v>
      </c>
      <c r="Q19" s="26">
        <v>17</v>
      </c>
      <c r="R19" s="26" t="s">
        <v>39</v>
      </c>
    </row>
    <row r="20" ht="25" customHeight="1" spans="2:18" x14ac:dyDescent="0.25">
      <c r="B20" s="26" t="s">
        <v>47</v>
      </c>
      <c r="C20" s="26"/>
      <c r="D20" s="26"/>
      <c r="E20" s="26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</row>
    <row r="21" spans="2:6" x14ac:dyDescent="0.25">
      <c r="B21" s="37" t="s">
        <v>47</v>
      </c>
      <c r="C21" s="37"/>
      <c r="D21" s="37"/>
      <c r="E21" s="37"/>
      <c r="F21" s="37"/>
    </row>
    <row r="24" spans="2:15" x14ac:dyDescent="0.25">
      <c r="B24" s="38" t="s">
        <v>48</v>
      </c>
      <c r="C24" s="38"/>
      <c r="D24" s="38"/>
      <c r="E24" s="38"/>
      <c r="F24" s="38"/>
      <c r="L24" s="38" t="s">
        <v>49</v>
      </c>
      <c r="M24" s="38"/>
      <c r="N24" s="38"/>
      <c r="O24" s="38"/>
    </row>
    <row r="25" spans="2:15" x14ac:dyDescent="0.25">
      <c r="B25" s="39" t="s">
        <v>50</v>
      </c>
      <c r="C25" s="39"/>
      <c r="D25" s="39"/>
      <c r="E25" s="39"/>
      <c r="F25" s="39"/>
      <c r="L25" s="39" t="s">
        <v>50</v>
      </c>
      <c r="M25" s="39"/>
      <c r="N25" s="39"/>
      <c r="O25" s="39"/>
    </row>
    <row r="26" spans="2:15" x14ac:dyDescent="0.25">
      <c r="B26" s="40" t="s">
        <v>51</v>
      </c>
      <c r="C26" s="40"/>
      <c r="D26" s="40"/>
      <c r="E26" s="40"/>
      <c r="F26" s="40"/>
      <c r="L26" s="40" t="s">
        <v>52</v>
      </c>
      <c r="M26" s="40"/>
      <c r="N26" s="40"/>
      <c r="O26" s="40"/>
    </row>
  </sheetData>
  <mergeCells count="43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B20:E20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2026-06-20T19:28:11Z</dcterms:created>
  <dcterms:modified xsi:type="dcterms:W3CDTF">2026-06-20T19:28:11Z</dcterms:modified>
</cp:coreProperties>
</file>