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UTA" state="visible" r:id="rId4"/>
  </sheets>
  <calcPr calcId="171027"/>
</workbook>
</file>

<file path=xl/sharedStrings.xml><?xml version="1.0" encoding="utf-8"?>
<sst xmlns="http://schemas.openxmlformats.org/spreadsheetml/2006/main" count="93" uniqueCount="53">
  <si>
    <t>INSTITUTO TÉCNICO PRIVADO DE SAÚDE JOMORAIS</t>
  </si>
  <si>
    <t/>
  </si>
  <si>
    <t>PAUTA DE APROVEITAMENTO ESCOLAR</t>
  </si>
  <si>
    <r>
      <rPr>
        <b/>
        <sz val="18"/>
        <rFont val="Algerian"/>
      </rPr>
      <t xml:space="preserve">ÁREA DE FORMAÇÃO: </t>
    </r>
    <r>
      <rPr>
        <b/>
        <color rgb="FF0070C0"/>
        <sz val="18"/>
        <rFont val="Algerian"/>
      </rPr>
      <t>SAÚDE</t>
    </r>
  </si>
  <si>
    <t>10ª CLASSE</t>
  </si>
  <si>
    <r>
      <rPr>
        <b/>
        <color rgb="FF000000"/>
        <sz val="26"/>
        <rFont val="Calibri"/>
      </rPr>
      <t xml:space="preserve">CURSO: </t>
    </r>
    <r>
      <rPr>
        <b/>
        <color rgb="FF0070C0"/>
        <sz val="26"/>
        <rFont val="Calibri"/>
      </rPr>
      <t/>
    </r>
  </si>
  <si>
    <r>
      <rPr>
        <b/>
        <color rgb="FF0070C0"/>
        <sz val="14"/>
        <rFont val="Calibri"/>
      </rPr>
      <t xml:space="preserve">PERÍODO: </t>
    </r>
    <r>
      <rPr>
        <b/>
        <color rgb="FFFF0000"/>
        <sz val="14"/>
        <rFont val="Calibri"/>
      </rPr>
      <t>VESPERTINO</t>
    </r>
  </si>
  <si>
    <t>O Director do Instituto</t>
  </si>
  <si>
    <r>
      <rPr>
        <b/>
        <color rgb="FF0070C0"/>
        <sz val="14"/>
        <rFont val="Calibri"/>
      </rPr>
      <t>2º</t>
    </r>
    <r>
      <t xml:space="preserve"> </t>
    </r>
    <r>
      <rPr>
        <b/>
        <color rgb="FFFF0000"/>
        <sz val="14"/>
        <rFont val="Calibri"/>
      </rPr>
      <t>TRIMESTRE</t>
    </r>
  </si>
  <si>
    <t>MF:</t>
  </si>
  <si>
    <t>20/06/26</t>
  </si>
  <si>
    <t>____________________________</t>
  </si>
  <si>
    <t>TURMA:</t>
  </si>
  <si>
    <t>10ª ÚNICA-ANÁLISES CLÌNICAS-MATINAL</t>
  </si>
  <si>
    <t>M:</t>
  </si>
  <si>
    <t>GABRIEL PRÓSPERO MABIALA</t>
  </si>
  <si>
    <r>
      <rPr>
        <b/>
        <color rgb="FF0070C0"/>
        <sz val="12"/>
        <rFont val="Calibri"/>
      </rPr>
      <t xml:space="preserve">ANO LECTIVO: </t>
    </r>
    <r>
      <rPr>
        <b/>
        <color rgb="FFFF0000"/>
        <sz val="12"/>
        <rFont val="Calibri"/>
      </rPr>
      <t>2025/2026</t>
    </r>
  </si>
  <si>
    <t>F:</t>
  </si>
  <si>
    <t>DATA ____ / ____ / 2026</t>
  </si>
  <si>
    <t>Nº</t>
  </si>
  <si>
    <t>Nº PROC</t>
  </si>
  <si>
    <t>NOME</t>
  </si>
  <si>
    <t>DISCIPLINA A REPETIR</t>
  </si>
  <si>
    <t>Física</t>
  </si>
  <si>
    <t>Mat.</t>
  </si>
  <si>
    <t>Química</t>
  </si>
  <si>
    <t>OBS</t>
  </si>
  <si>
    <t>MÉDIA</t>
  </si>
  <si>
    <t>Idade</t>
  </si>
  <si>
    <t>Género</t>
  </si>
  <si>
    <t>DADOS ESTATÍSTICOS</t>
  </si>
  <si>
    <t>FALTAS</t>
  </si>
  <si>
    <t>MT2º</t>
  </si>
  <si>
    <t>MATRICULADOS</t>
  </si>
  <si>
    <t>TRANSITA</t>
  </si>
  <si>
    <t>N/TRANSITA</t>
  </si>
  <si>
    <t>Desistido/a</t>
  </si>
  <si>
    <t>J</t>
  </si>
  <si>
    <t>I</t>
  </si>
  <si>
    <t>M</t>
  </si>
  <si>
    <t>F</t>
  </si>
  <si>
    <t>AFONSO GOMES</t>
  </si>
  <si>
    <t>Físic</t>
  </si>
  <si>
    <t>-</t>
  </si>
  <si>
    <t>MARIA SOUSA</t>
  </si>
  <si>
    <t>PEDRO ANTUNES</t>
  </si>
  <si>
    <t>DESISTIDO</t>
  </si>
  <si>
    <t>DATA DO CONSELHO DE TURMA ______ / ______ / 2026</t>
  </si>
  <si>
    <t>A Directora de Turma</t>
  </si>
  <si>
    <t>O Subdirector Pedagógico</t>
  </si>
  <si>
    <t>_____________________________________</t>
  </si>
  <si>
    <t>RUTH DEMBI QUIFOCO ZEMBO</t>
  </si>
  <si>
    <t>ALBERTO SASSA TATI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</si>
</sst>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7" x14ac:knownFonts="1">
    <font>
      <color theme="1"/>
      <family val="2"/>
      <scheme val="minor"/>
      <sz val="11"/>
      <name val="Calibri"/>
    </font>
    <font>
      <b/>
      <sz val="20"/>
      <name val="Calibri"/>
    </font>
    <font>
      <b/>
      <sz val="20"/>
      <name val="Arial Rounded MT Bold"/>
    </font>
    <font>
      <b/>
      <color rgb="FF0070C0"/>
      <sz val="14"/>
      <name val="Calibri"/>
    </font>
    <font>
      <b/>
      <color rgb="FF000000"/>
      <sz val="12"/>
      <name val="Blackadder ITC"/>
    </font>
    <font>
      <b/>
      <color rgb="FF000000"/>
      <sz val="14"/>
      <name val="Calibri"/>
    </font>
    <font>
      <b/>
      <color rgb="FF000000"/>
      <sz val="11"/>
      <name val="Calibri"/>
    </font>
    <font>
      <b/>
      <color rgb="FFFF0000"/>
      <sz val="14"/>
      <name val="Calibri"/>
    </font>
    <font>
      <b/>
      <color rgb="FF000000"/>
      <sz val="11"/>
      <name val="Agency FB"/>
    </font>
    <font>
      <b/>
      <i/>
      <sz val="9"/>
      <name val="Calibri"/>
    </font>
    <font>
      <b/>
      <color rgb="FF0070C0"/>
      <sz val="9"/>
      <name val="Agency FB"/>
    </font>
    <font>
      <b/>
      <sz val="10"/>
      <name val="Calibri"/>
    </font>
    <font>
      <b/>
      <sz val="11"/>
      <name val="Calibri"/>
    </font>
    <font>
      <b/>
      <i/>
      <sz val="8"/>
      <name val="Calibri"/>
    </font>
    <font>
      <b/>
      <i/>
      <color rgb="FFFF0000"/>
      <sz val="10"/>
      <name val="Calibri"/>
    </font>
    <font>
      <b/>
      <sz val="8"/>
      <name val="Calibri"/>
    </font>
    <font>
      <sz val="9"/>
      <name val="Calibri"/>
    </font>
    <font>
      <b/>
      <sz val="9"/>
      <name val="Calibri"/>
    </font>
    <font>
      <i/>
      <sz val="8"/>
      <name val="Calibri"/>
    </font>
    <font>
      <color rgb="FF7F7F7F"/>
      <sz val="9"/>
      <name val="Calibri"/>
    </font>
    <font>
      <b/>
      <color rgb="FFFF0000"/>
      <sz val="9"/>
      <name val="Calibri"/>
    </font>
    <font>
      <b/>
      <color rgb="FF0070C0"/>
      <sz val="9"/>
      <name val="Calibri"/>
    </font>
    <font>
      <b/>
      <color rgb="FF0070C0"/>
      <sz val="10"/>
      <name val="Calibri"/>
    </font>
    <font>
      <b/>
      <color rgb="FFC00000"/>
      <sz val="10"/>
      <name val="Calibri"/>
    </font>
    <font>
      <b/>
      <i/>
      <color rgb="FF7F7F7F"/>
      <sz val="9"/>
      <name val="Calibri"/>
    </font>
    <font>
      <b/>
      <sz val="12"/>
      <name val="Blackadder ITC"/>
    </font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rgb="FF385723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1" xfId="0" applyBorder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bottom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 vertical="center" wrapText="1" textRotation="45"/>
    </xf>
    <xf numFmtId="0" fontId="9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textRotation="90"/>
    </xf>
    <xf numFmtId="0" fontId="12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left" vertical="center"/>
    </xf>
    <xf numFmtId="0" fontId="18" fillId="0" borderId="4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164" fontId="20" fillId="0" borderId="4" xfId="0" applyNumberFormat="1" applyFont="1" applyBorder="1" applyAlignment="1">
      <alignment horizontal="center" vertical="center"/>
    </xf>
    <xf numFmtId="164" fontId="21" fillId="0" borderId="4" xfId="0" applyNumberFormat="1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/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64000</xdr:colOff>
      <xdr:row>1</xdr:row>
      <xdr:rowOff>18000</xdr:rowOff>
    </xdr:from>
    <xdr:ext cx="523875" cy="5238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P25"/>
  <sheetViews>
    <sheetView workbookViewId="0" showGridLines="0"/>
  </sheetViews>
  <sheetFormatPr defaultRowHeight="15" outlineLevelRow="0" outlineLevelCol="0" x14ac:dyDescent="55"/>
  <cols>
    <col min="1" max="1" width="2" customWidth="1"/>
    <col min="2" max="2" width="4" customWidth="1"/>
    <col min="3" max="3" width="10" customWidth="1"/>
    <col min="4" max="4" width="32" customWidth="1"/>
    <col min="5" max="5" width="16" customWidth="1"/>
    <col min="6" max="7" width="4" customWidth="1"/>
    <col min="8" max="8" width="7" customWidth="1"/>
    <col min="9" max="10" width="4" customWidth="1"/>
    <col min="11" max="11" width="7" customWidth="1"/>
    <col min="12" max="13" width="4" customWidth="1"/>
    <col min="14" max="14" width="7" customWidth="1"/>
    <col min="15" max="15" width="12" customWidth="1"/>
    <col min="17" max="17" width="7" customWidth="1"/>
    <col min="18" max="18" width="8" customWidth="1"/>
    <col min="19" max="26" width="4" customWidth="1"/>
  </cols>
  <sheetData>
    <row r="1" ht="10" customHeight="1" x14ac:dyDescent="0.25"/>
    <row r="2" ht="18" customHeight="1" spans="4:42" x14ac:dyDescent="0.25">
      <c r="D2" s="1" t="s">
        <v>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ht="18" customHeight="1" spans="4:42" x14ac:dyDescent="0.25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ht="18" customHeight="1" spans="4:42" x14ac:dyDescent="0.25"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ht="18" customHeight="1" spans="2:42" x14ac:dyDescent="0.25">
      <c r="B5" s="2" t="s">
        <v>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</row>
    <row r="6" ht="12" customHeight="1" x14ac:dyDescent="0.25"/>
    <row r="7" ht="30" customHeight="1" spans="2:42" x14ac:dyDescent="0.25">
      <c r="B7" s="3" t="s">
        <v>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</row>
    <row r="8" ht="25" customHeight="1" spans="3:42" x14ac:dyDescent="0.25">
      <c r="C8" s="4" t="s">
        <v>3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</row>
    <row r="9" ht="16.5" customHeight="1" spans="7:36" x14ac:dyDescent="0.25">
      <c r="G9" s="5" t="s">
        <v>4</v>
      </c>
      <c r="H9" s="5"/>
      <c r="I9" s="5"/>
      <c r="J9" s="5"/>
      <c r="K9" s="5"/>
      <c r="L9" s="5"/>
      <c r="M9" s="5"/>
      <c r="N9" s="5"/>
      <c r="P9" s="6" t="s">
        <v>5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G9" s="7" t="s">
        <v>6</v>
      </c>
      <c r="AH9" s="7"/>
      <c r="AI9" s="7"/>
      <c r="AJ9" s="7"/>
    </row>
    <row r="10" ht="18" customHeight="1" spans="2:42" x14ac:dyDescent="0.25">
      <c r="B10" s="8" t="s">
        <v>7</v>
      </c>
      <c r="C10" s="8"/>
      <c r="D10" s="8"/>
      <c r="G10" s="5"/>
      <c r="H10" s="5"/>
      <c r="I10" s="5"/>
      <c r="J10" s="5"/>
      <c r="K10" s="5"/>
      <c r="L10" s="5"/>
      <c r="M10" s="5"/>
      <c r="N10" s="5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G10" s="7" t="s">
        <v>8</v>
      </c>
      <c r="AH10" s="7"/>
      <c r="AI10" s="7"/>
      <c r="AJ10" s="7"/>
      <c r="AK10" s="9" t="s">
        <v>9</v>
      </c>
      <c r="AL10" s="10">
        <f>COUNTIF(R17:R19,"M")+COUNTIF(R17:R19,"F")</f>
      </c>
      <c r="AM10" s="11" t="s">
        <v>10</v>
      </c>
      <c r="AN10" s="11"/>
      <c r="AO10" s="11"/>
      <c r="AP10" s="11"/>
    </row>
    <row r="11" ht="20.25" customHeight="1" spans="2:42" x14ac:dyDescent="0.25">
      <c r="B11" s="12" t="s">
        <v>11</v>
      </c>
      <c r="C11" s="12"/>
      <c r="D11" s="12"/>
      <c r="G11" s="5" t="s">
        <v>12</v>
      </c>
      <c r="H11" s="5"/>
      <c r="I11" s="13" t="s">
        <v>13</v>
      </c>
      <c r="J11" s="13"/>
      <c r="K11" s="13"/>
      <c r="L11" s="13"/>
      <c r="M11" s="13"/>
      <c r="N11" s="13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G11" s="7"/>
      <c r="AH11" s="7"/>
      <c r="AI11" s="7"/>
      <c r="AJ11" s="7"/>
      <c r="AK11" s="9" t="s">
        <v>14</v>
      </c>
      <c r="AL11" s="9">
        <f>COUNTIF(R17:R19,"M")</f>
      </c>
      <c r="AM11" s="11"/>
      <c r="AN11" s="11"/>
      <c r="AO11" s="11"/>
      <c r="AP11" s="11"/>
    </row>
    <row r="12" ht="19.5" customHeight="1" spans="2:42" x14ac:dyDescent="0.25">
      <c r="B12" s="9" t="s">
        <v>15</v>
      </c>
      <c r="C12" s="9"/>
      <c r="D12" s="9"/>
      <c r="G12" s="5"/>
      <c r="H12" s="5"/>
      <c r="I12" s="13"/>
      <c r="J12" s="13"/>
      <c r="K12" s="13"/>
      <c r="L12" s="13"/>
      <c r="M12" s="13"/>
      <c r="N12" s="13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 t="s">
        <v>16</v>
      </c>
      <c r="AG12" s="7"/>
      <c r="AH12" s="7"/>
      <c r="AI12" s="7"/>
      <c r="AJ12" s="7"/>
      <c r="AK12" s="9" t="s">
        <v>17</v>
      </c>
      <c r="AL12" s="14">
        <f>COUNTIF(R17:R19,"F")</f>
      </c>
      <c r="AM12" s="11"/>
      <c r="AN12" s="11"/>
      <c r="AO12" s="11"/>
      <c r="AP12" s="11"/>
    </row>
    <row r="13" ht="20.25" customHeight="1" spans="2:4" x14ac:dyDescent="0.25">
      <c r="B13" s="15" t="s">
        <v>18</v>
      </c>
      <c r="C13" s="15"/>
      <c r="D13" s="15"/>
    </row>
    <row r="14" ht="25" customHeight="1" spans="2:26" x14ac:dyDescent="0.25">
      <c r="B14" s="16" t="s">
        <v>19</v>
      </c>
      <c r="C14" s="16" t="s">
        <v>20</v>
      </c>
      <c r="D14" s="17" t="s">
        <v>21</v>
      </c>
      <c r="E14" s="17" t="s">
        <v>22</v>
      </c>
      <c r="F14" s="18" t="s">
        <v>23</v>
      </c>
      <c r="G14" s="18"/>
      <c r="H14" s="18"/>
      <c r="I14" s="18" t="s">
        <v>24</v>
      </c>
      <c r="J14" s="18"/>
      <c r="K14" s="18"/>
      <c r="L14" s="18" t="s">
        <v>25</v>
      </c>
      <c r="M14" s="18"/>
      <c r="N14" s="18"/>
      <c r="O14" s="19" t="s">
        <v>26</v>
      </c>
      <c r="P14" s="19" t="s">
        <v>27</v>
      </c>
      <c r="Q14" s="20" t="s">
        <v>28</v>
      </c>
      <c r="R14" s="20" t="s">
        <v>29</v>
      </c>
      <c r="S14" s="21" t="s">
        <v>30</v>
      </c>
      <c r="T14" s="21"/>
      <c r="U14" s="21"/>
      <c r="V14" s="21"/>
      <c r="W14" s="21"/>
      <c r="X14" s="21"/>
      <c r="Y14" s="21"/>
      <c r="Z14" s="21"/>
    </row>
    <row r="15" ht="18" customHeight="1" spans="2:26" x14ac:dyDescent="0.25">
      <c r="B15" s="16"/>
      <c r="C15" s="16"/>
      <c r="D15" s="17"/>
      <c r="E15" s="17"/>
      <c r="F15" s="22" t="s">
        <v>31</v>
      </c>
      <c r="G15" s="22"/>
      <c r="H15" s="23" t="s">
        <v>32</v>
      </c>
      <c r="I15" s="22" t="s">
        <v>31</v>
      </c>
      <c r="J15" s="22"/>
      <c r="K15" s="23" t="s">
        <v>32</v>
      </c>
      <c r="L15" s="22" t="s">
        <v>31</v>
      </c>
      <c r="M15" s="22"/>
      <c r="N15" s="23" t="s">
        <v>32</v>
      </c>
      <c r="O15" s="19"/>
      <c r="P15" s="19"/>
      <c r="Q15" s="20"/>
      <c r="R15" s="20"/>
      <c r="S15" s="24" t="s">
        <v>33</v>
      </c>
      <c r="T15" s="24"/>
      <c r="U15" s="24" t="s">
        <v>34</v>
      </c>
      <c r="V15" s="24"/>
      <c r="W15" s="24" t="s">
        <v>35</v>
      </c>
      <c r="X15" s="24"/>
      <c r="Y15" s="24" t="s">
        <v>36</v>
      </c>
      <c r="Z15" s="24"/>
    </row>
    <row r="16" ht="15" customHeight="1" spans="2:26" x14ac:dyDescent="0.25">
      <c r="B16" s="16"/>
      <c r="C16" s="16"/>
      <c r="D16" s="17"/>
      <c r="E16" s="17"/>
      <c r="F16" s="22" t="s">
        <v>37</v>
      </c>
      <c r="G16" s="22" t="s">
        <v>38</v>
      </c>
      <c r="H16" s="23"/>
      <c r="I16" s="22" t="s">
        <v>37</v>
      </c>
      <c r="J16" s="22" t="s">
        <v>38</v>
      </c>
      <c r="K16" s="23"/>
      <c r="L16" s="22" t="s">
        <v>37</v>
      </c>
      <c r="M16" s="22" t="s">
        <v>38</v>
      </c>
      <c r="N16" s="23"/>
      <c r="O16" s="19"/>
      <c r="P16" s="19"/>
      <c r="Q16" s="20"/>
      <c r="R16" s="20"/>
      <c r="S16" s="24" t="s">
        <v>39</v>
      </c>
      <c r="T16" s="24" t="s">
        <v>40</v>
      </c>
      <c r="U16" s="24" t="s">
        <v>39</v>
      </c>
      <c r="V16" s="24" t="s">
        <v>40</v>
      </c>
      <c r="W16" s="24" t="s">
        <v>39</v>
      </c>
      <c r="X16" s="24" t="s">
        <v>40</v>
      </c>
      <c r="Y16" s="24" t="s">
        <v>39</v>
      </c>
      <c r="Z16" s="24" t="s">
        <v>40</v>
      </c>
    </row>
    <row r="17" ht="20" customHeight="1" spans="2:26" x14ac:dyDescent="0.25">
      <c r="B17" s="25">
        <v>1</v>
      </c>
      <c r="C17" s="25">
        <v>101</v>
      </c>
      <c r="D17" s="26" t="s">
        <v>41</v>
      </c>
      <c r="E17" s="27" t="s">
        <v>42</v>
      </c>
      <c r="F17" s="28" t="s">
        <v>43</v>
      </c>
      <c r="G17" s="28" t="s">
        <v>43</v>
      </c>
      <c r="H17" s="29">
        <v>9</v>
      </c>
      <c r="I17" s="28" t="s">
        <v>43</v>
      </c>
      <c r="J17" s="25">
        <v>2</v>
      </c>
      <c r="K17" s="30">
        <v>14.5</v>
      </c>
      <c r="L17" s="28" t="s">
        <v>43</v>
      </c>
      <c r="M17" s="25">
        <v>1</v>
      </c>
      <c r="N17" s="30">
        <v>12</v>
      </c>
      <c r="O17" s="31" t="s">
        <v>34</v>
      </c>
      <c r="P17" s="30">
        <f>AVERAGE(H17,K17,N17)</f>
      </c>
      <c r="Q17" s="25">
        <v>18</v>
      </c>
      <c r="R17" s="25" t="s">
        <v>39</v>
      </c>
      <c r="S17" s="32">
        <f>COUNTIF(R17:R19,"M")</f>
      </c>
      <c r="T17" s="33">
        <f>COUNTIF(R17:R19,"F")</f>
      </c>
      <c r="U17" s="32">
        <f>COUNTIFS(O17:O19,"TRANSITA",R17:R19,"M")</f>
      </c>
      <c r="V17" s="33">
        <f>COUNTIFS(O17:O19,"TRANSITA",R17:R19,"F")</f>
      </c>
      <c r="W17" s="32">
        <f>COUNTIFS(O17:O19,"N/TRANSITA",R17:R19,"M")</f>
      </c>
      <c r="X17" s="33">
        <f>COUNTIFS(O17:O19,"N/TRANSITA",R17:R19,"F")</f>
      </c>
      <c r="Y17" s="32">
        <f>COUNTIFS(O17:O19,"DESISTIDO",R17:R19,"M")</f>
      </c>
      <c r="Z17" s="33">
        <f>COUNTIFS(O17:O19,"DESISTIDA",R17:R19,"F")</f>
      </c>
    </row>
    <row r="18" ht="20" customHeight="1" spans="2:18" x14ac:dyDescent="0.25">
      <c r="B18" s="25">
        <v>2</v>
      </c>
      <c r="C18" s="25">
        <v>102</v>
      </c>
      <c r="D18" s="26" t="s">
        <v>44</v>
      </c>
      <c r="E18" s="27" t="s">
        <v>1</v>
      </c>
      <c r="F18" s="28" t="s">
        <v>43</v>
      </c>
      <c r="G18" s="25">
        <v>1</v>
      </c>
      <c r="H18" s="30">
        <v>11.5</v>
      </c>
      <c r="I18" s="28" t="s">
        <v>43</v>
      </c>
      <c r="J18" s="28" t="s">
        <v>43</v>
      </c>
      <c r="K18" s="30">
        <v>16</v>
      </c>
      <c r="L18" s="28" t="s">
        <v>43</v>
      </c>
      <c r="M18" s="28" t="s">
        <v>43</v>
      </c>
      <c r="N18" s="30">
        <v>15</v>
      </c>
      <c r="O18" s="31" t="s">
        <v>34</v>
      </c>
      <c r="P18" s="30">
        <f>AVERAGE(H18,K18,N18)</f>
      </c>
      <c r="Q18" s="25">
        <v>19</v>
      </c>
      <c r="R18" s="25" t="s">
        <v>40</v>
      </c>
    </row>
    <row r="19" ht="20" customHeight="1" spans="2:18" x14ac:dyDescent="0.25">
      <c r="B19" s="25">
        <v>3</v>
      </c>
      <c r="C19" s="25">
        <v>103</v>
      </c>
      <c r="D19" s="26" t="s">
        <v>45</v>
      </c>
      <c r="E19" s="27" t="s">
        <v>1</v>
      </c>
      <c r="F19" s="28" t="s">
        <v>43</v>
      </c>
      <c r="G19" s="28" t="s">
        <v>43</v>
      </c>
      <c r="H19" s="28" t="s">
        <v>43</v>
      </c>
      <c r="I19" s="28" t="s">
        <v>43</v>
      </c>
      <c r="J19" s="28" t="s">
        <v>43</v>
      </c>
      <c r="K19" s="28" t="s">
        <v>43</v>
      </c>
      <c r="L19" s="28" t="s">
        <v>43</v>
      </c>
      <c r="M19" s="28" t="s">
        <v>43</v>
      </c>
      <c r="N19" s="28" t="s">
        <v>43</v>
      </c>
      <c r="O19" s="34" t="s">
        <v>46</v>
      </c>
      <c r="P19" s="35" t="s">
        <v>43</v>
      </c>
      <c r="Q19" s="25">
        <v>17</v>
      </c>
      <c r="R19" s="25" t="s">
        <v>39</v>
      </c>
    </row>
    <row r="20" ht="25" customHeight="1" spans="2:14" x14ac:dyDescent="0.25">
      <c r="B20" s="25" t="s">
        <v>47</v>
      </c>
      <c r="C20" s="25"/>
      <c r="D20" s="25"/>
      <c r="E20" s="25"/>
      <c r="F20" s="36"/>
      <c r="G20" s="36"/>
      <c r="H20" s="36"/>
      <c r="I20" s="36"/>
      <c r="J20" s="36"/>
      <c r="K20" s="36"/>
      <c r="L20" s="36"/>
      <c r="M20" s="36"/>
      <c r="N20" s="36"/>
    </row>
    <row r="23" spans="2:15" x14ac:dyDescent="0.25">
      <c r="B23" s="37" t="s">
        <v>48</v>
      </c>
      <c r="C23" s="37"/>
      <c r="D23" s="37"/>
      <c r="E23" s="37"/>
      <c r="F23" s="37"/>
      <c r="L23" s="37" t="s">
        <v>49</v>
      </c>
      <c r="M23" s="37"/>
      <c r="N23" s="37"/>
      <c r="O23" s="37"/>
    </row>
    <row r="24" spans="2:15" x14ac:dyDescent="0.25">
      <c r="B24" s="38" t="s">
        <v>50</v>
      </c>
      <c r="C24" s="38"/>
      <c r="D24" s="38"/>
      <c r="E24" s="38"/>
      <c r="F24" s="38"/>
      <c r="L24" s="38" t="s">
        <v>50</v>
      </c>
      <c r="M24" s="38"/>
      <c r="N24" s="38"/>
      <c r="O24" s="38"/>
    </row>
    <row r="25" spans="2:15" x14ac:dyDescent="0.25">
      <c r="B25" s="39" t="s">
        <v>51</v>
      </c>
      <c r="C25" s="39"/>
      <c r="D25" s="39"/>
      <c r="E25" s="39"/>
      <c r="F25" s="39"/>
      <c r="L25" s="39" t="s">
        <v>52</v>
      </c>
      <c r="M25" s="39"/>
      <c r="N25" s="39"/>
      <c r="O25" s="39"/>
    </row>
  </sheetData>
  <mergeCells count="48">
    <mergeCell ref="D2:AP4"/>
    <mergeCell ref="B5:AP5"/>
    <mergeCell ref="B7:AP7"/>
    <mergeCell ref="C8:AP8"/>
    <mergeCell ref="G9:N10"/>
    <mergeCell ref="P9:AE12"/>
    <mergeCell ref="AG9:AJ9"/>
    <mergeCell ref="B10:D10"/>
    <mergeCell ref="AG10:AJ11"/>
    <mergeCell ref="AM10:AP12"/>
    <mergeCell ref="B11:D11"/>
    <mergeCell ref="G11:H12"/>
    <mergeCell ref="I11:N12"/>
    <mergeCell ref="B12:D12"/>
    <mergeCell ref="AF12:AJ12"/>
    <mergeCell ref="B13:D13"/>
    <mergeCell ref="F14:H14"/>
    <mergeCell ref="I14:K14"/>
    <mergeCell ref="L14:N14"/>
    <mergeCell ref="S14:Z14"/>
    <mergeCell ref="B14:B16"/>
    <mergeCell ref="C14:C16"/>
    <mergeCell ref="D14:D16"/>
    <mergeCell ref="E14:E16"/>
    <mergeCell ref="F15:G15"/>
    <mergeCell ref="I15:J15"/>
    <mergeCell ref="L15:M15"/>
    <mergeCell ref="O14:O16"/>
    <mergeCell ref="P14:P16"/>
    <mergeCell ref="Q14:Q16"/>
    <mergeCell ref="R14:R16"/>
    <mergeCell ref="S15:T15"/>
    <mergeCell ref="U15:V15"/>
    <mergeCell ref="W15:X15"/>
    <mergeCell ref="Y15:Z15"/>
    <mergeCell ref="H15:H16"/>
    <mergeCell ref="K15:K16"/>
    <mergeCell ref="N15:N16"/>
    <mergeCell ref="B20:E20"/>
    <mergeCell ref="F20:G20"/>
    <mergeCell ref="I20:J20"/>
    <mergeCell ref="L20:M20"/>
    <mergeCell ref="B23:F23"/>
    <mergeCell ref="L23:O23"/>
    <mergeCell ref="B24:F24"/>
    <mergeCell ref="L24:O24"/>
    <mergeCell ref="B25:F25"/>
    <mergeCell ref="L25:O25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PAUTA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2026-06-20T19:59:26Z</dcterms:created>
  <dcterms:modified xsi:type="dcterms:W3CDTF">2026-06-20T19:59:26Z</dcterms:modified>
</cp:coreProperties>
</file>