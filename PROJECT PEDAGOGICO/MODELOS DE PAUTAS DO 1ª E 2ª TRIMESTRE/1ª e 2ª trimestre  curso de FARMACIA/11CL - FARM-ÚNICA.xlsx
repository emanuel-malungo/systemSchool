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CUMENTOS-SDP-CEITPSJM-2025-2026\SUPERVISÃO DE TURNOS\VESPERTINO\SAUDE\FM\11CL - FM-UNICA - SAMUEL BERNUARIO\"/>
    </mc:Choice>
  </mc:AlternateContent>
  <bookViews>
    <workbookView xWindow="0" yWindow="0" windowWidth="20496" windowHeight="7752" tabRatio="882"/>
  </bookViews>
  <sheets>
    <sheet name="1ºT-11ª-FAR-UNICA-PAUTA" sheetId="27" r:id="rId1"/>
    <sheet name="2ºT-11ª-FAR-UNICA-PAUTA" sheetId="34" r:id="rId2"/>
    <sheet name="11CL-FAR-L PORT" sheetId="2" r:id="rId3"/>
    <sheet name="11CL-FAR-MAT" sheetId="18" r:id="rId4"/>
    <sheet name="11CL-FAR-BIOL" sheetId="19" r:id="rId5"/>
    <sheet name="11CL-FAR-INGLES" sheetId="15" r:id="rId6"/>
    <sheet name="11CL-FAR-PATOL" sheetId="21" r:id="rId7"/>
    <sheet name="11CL-FAR-MPARASITOL" sheetId="22" r:id="rId8"/>
    <sheet name="11CL-FAR-FARMACOL" sheetId="16" r:id="rId9"/>
    <sheet name="11CL-FAR-FARMACOG" sheetId="23" r:id="rId10"/>
    <sheet name="11CL-FAR-TPM" sheetId="30" r:id="rId11"/>
    <sheet name="11CL-FAR-QCA ORG." sheetId="33" r:id="rId12"/>
    <sheet name="11CL-FAR-ED. FIS" sheetId="17" r:id="rId13"/>
    <sheet name="11CL-FAR-BOTANICA" sheetId="24" r:id="rId14"/>
    <sheet name="11CL-FAR-AFH" sheetId="31" r:id="rId15"/>
  </sheets>
  <externalReferences>
    <externalReference r:id="rId1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34" l="1"/>
  <c r="K18" i="34"/>
  <c r="N18" i="34"/>
  <c r="Q18" i="34"/>
  <c r="T18" i="34"/>
  <c r="W18" i="34"/>
  <c r="Z18" i="34"/>
  <c r="AC18" i="34"/>
  <c r="AI18" i="34"/>
  <c r="AL18" i="34"/>
  <c r="AO18" i="34"/>
  <c r="AR18" i="34"/>
  <c r="H19" i="34"/>
  <c r="K19" i="34"/>
  <c r="N19" i="34"/>
  <c r="Q19" i="34"/>
  <c r="T19" i="34"/>
  <c r="W19" i="34"/>
  <c r="Z19" i="34"/>
  <c r="AC19" i="34"/>
  <c r="AI19" i="34"/>
  <c r="AL19" i="34"/>
  <c r="AO19" i="34"/>
  <c r="AR19" i="34"/>
  <c r="H20" i="34"/>
  <c r="K20" i="34"/>
  <c r="N20" i="34"/>
  <c r="Q20" i="34"/>
  <c r="T20" i="34"/>
  <c r="W20" i="34"/>
  <c r="Z20" i="34"/>
  <c r="AC20" i="34"/>
  <c r="AI20" i="34"/>
  <c r="AL20" i="34"/>
  <c r="AO20" i="34"/>
  <c r="AR20" i="34"/>
  <c r="H21" i="34"/>
  <c r="K21" i="34"/>
  <c r="N21" i="34"/>
  <c r="Q21" i="34"/>
  <c r="T21" i="34"/>
  <c r="W21" i="34"/>
  <c r="Z21" i="34"/>
  <c r="AC21" i="34"/>
  <c r="AI21" i="34"/>
  <c r="AL21" i="34"/>
  <c r="AO21" i="34"/>
  <c r="AR21" i="34"/>
  <c r="H22" i="34"/>
  <c r="K22" i="34"/>
  <c r="N22" i="34"/>
  <c r="Q22" i="34"/>
  <c r="T22" i="34"/>
  <c r="W22" i="34"/>
  <c r="Z22" i="34"/>
  <c r="AC22" i="34"/>
  <c r="AI22" i="34"/>
  <c r="AL22" i="34"/>
  <c r="AO22" i="34"/>
  <c r="AR22" i="34"/>
  <c r="H23" i="34"/>
  <c r="K23" i="34"/>
  <c r="N23" i="34"/>
  <c r="Q23" i="34"/>
  <c r="T23" i="34"/>
  <c r="W23" i="34"/>
  <c r="Z23" i="34"/>
  <c r="AC23" i="34"/>
  <c r="AI23" i="34"/>
  <c r="AL23" i="34"/>
  <c r="AO23" i="34"/>
  <c r="AR23" i="34"/>
  <c r="H24" i="34"/>
  <c r="K24" i="34"/>
  <c r="N24" i="34"/>
  <c r="Q24" i="34"/>
  <c r="T24" i="34"/>
  <c r="W24" i="34"/>
  <c r="Z24" i="34"/>
  <c r="AC24" i="34"/>
  <c r="AI24" i="34"/>
  <c r="AL24" i="34"/>
  <c r="AO24" i="34"/>
  <c r="AR24" i="34"/>
  <c r="H25" i="34"/>
  <c r="K25" i="34"/>
  <c r="N25" i="34"/>
  <c r="Q25" i="34"/>
  <c r="T25" i="34"/>
  <c r="W25" i="34"/>
  <c r="Z25" i="34"/>
  <c r="AC25" i="34"/>
  <c r="AI25" i="34"/>
  <c r="AL25" i="34"/>
  <c r="AO25" i="34"/>
  <c r="AR25" i="34"/>
  <c r="H26" i="34"/>
  <c r="K26" i="34"/>
  <c r="N26" i="34"/>
  <c r="Q26" i="34"/>
  <c r="T26" i="34"/>
  <c r="W26" i="34"/>
  <c r="Z26" i="34"/>
  <c r="AC26" i="34"/>
  <c r="AI26" i="34"/>
  <c r="AL26" i="34"/>
  <c r="AO26" i="34"/>
  <c r="AR26" i="34"/>
  <c r="H27" i="34"/>
  <c r="K27" i="34"/>
  <c r="N27" i="34"/>
  <c r="Q27" i="34"/>
  <c r="T27" i="34"/>
  <c r="W27" i="34"/>
  <c r="Z27" i="34"/>
  <c r="AC27" i="34"/>
  <c r="AI27" i="34"/>
  <c r="AL27" i="34"/>
  <c r="AO27" i="34"/>
  <c r="AR27" i="34"/>
  <c r="H28" i="34"/>
  <c r="K28" i="34"/>
  <c r="N28" i="34"/>
  <c r="Q28" i="34"/>
  <c r="T28" i="34"/>
  <c r="W28" i="34"/>
  <c r="Z28" i="34"/>
  <c r="AC28" i="34"/>
  <c r="AI28" i="34"/>
  <c r="AL28" i="34"/>
  <c r="AO28" i="34"/>
  <c r="AR28" i="34"/>
  <c r="H29" i="34"/>
  <c r="K29" i="34"/>
  <c r="N29" i="34"/>
  <c r="Q29" i="34"/>
  <c r="T29" i="34"/>
  <c r="W29" i="34"/>
  <c r="Z29" i="34"/>
  <c r="AC29" i="34"/>
  <c r="AI29" i="34"/>
  <c r="AL29" i="34"/>
  <c r="AO29" i="34"/>
  <c r="AR29" i="34"/>
  <c r="H30" i="34"/>
  <c r="K30" i="34"/>
  <c r="N30" i="34"/>
  <c r="Q30" i="34"/>
  <c r="T30" i="34"/>
  <c r="W30" i="34"/>
  <c r="Z30" i="34"/>
  <c r="AC30" i="34"/>
  <c r="AI30" i="34"/>
  <c r="AL30" i="34"/>
  <c r="AO30" i="34"/>
  <c r="AR30" i="34"/>
  <c r="H31" i="34"/>
  <c r="K31" i="34"/>
  <c r="N31" i="34"/>
  <c r="Q31" i="34"/>
  <c r="T31" i="34"/>
  <c r="W31" i="34"/>
  <c r="Z31" i="34"/>
  <c r="AC31" i="34"/>
  <c r="AI31" i="34"/>
  <c r="AL31" i="34"/>
  <c r="AO31" i="34"/>
  <c r="AR31" i="34"/>
  <c r="H32" i="34"/>
  <c r="K32" i="34"/>
  <c r="N32" i="34"/>
  <c r="Q32" i="34"/>
  <c r="T32" i="34"/>
  <c r="W32" i="34"/>
  <c r="Z32" i="34"/>
  <c r="AC32" i="34"/>
  <c r="AI32" i="34"/>
  <c r="AL32" i="34"/>
  <c r="AO32" i="34"/>
  <c r="AR32" i="34"/>
  <c r="H33" i="34"/>
  <c r="K33" i="34"/>
  <c r="N33" i="34"/>
  <c r="Q33" i="34"/>
  <c r="T33" i="34"/>
  <c r="W33" i="34"/>
  <c r="Z33" i="34"/>
  <c r="AC33" i="34"/>
  <c r="AI33" i="34"/>
  <c r="AL33" i="34"/>
  <c r="AO33" i="34"/>
  <c r="AR33" i="34"/>
  <c r="H34" i="34"/>
  <c r="K34" i="34"/>
  <c r="N34" i="34"/>
  <c r="Q34" i="34"/>
  <c r="T34" i="34"/>
  <c r="W34" i="34"/>
  <c r="Z34" i="34"/>
  <c r="AC34" i="34"/>
  <c r="AI34" i="34"/>
  <c r="AL34" i="34"/>
  <c r="AO34" i="34"/>
  <c r="AR34" i="34"/>
  <c r="H35" i="34"/>
  <c r="K35" i="34"/>
  <c r="N35" i="34"/>
  <c r="Q35" i="34"/>
  <c r="T35" i="34"/>
  <c r="W35" i="34"/>
  <c r="Z35" i="34"/>
  <c r="AC35" i="34"/>
  <c r="AI35" i="34"/>
  <c r="AL35" i="34"/>
  <c r="AO35" i="34"/>
  <c r="AR35" i="34"/>
  <c r="H36" i="34"/>
  <c r="K36" i="34"/>
  <c r="N36" i="34"/>
  <c r="Q36" i="34"/>
  <c r="T36" i="34"/>
  <c r="W36" i="34"/>
  <c r="Z36" i="34"/>
  <c r="AC36" i="34"/>
  <c r="AF36" i="34"/>
  <c r="AI36" i="34"/>
  <c r="AL36" i="34"/>
  <c r="AO36" i="34"/>
  <c r="AR36" i="34"/>
  <c r="H37" i="34"/>
  <c r="K37" i="34"/>
  <c r="N37" i="34"/>
  <c r="Q37" i="34"/>
  <c r="T37" i="34"/>
  <c r="W37" i="34"/>
  <c r="Z37" i="34"/>
  <c r="AC37" i="34"/>
  <c r="AI37" i="34"/>
  <c r="AL37" i="34"/>
  <c r="AO37" i="34"/>
  <c r="AR37" i="34"/>
  <c r="H38" i="34"/>
  <c r="K38" i="34"/>
  <c r="N38" i="34"/>
  <c r="Q38" i="34"/>
  <c r="T38" i="34"/>
  <c r="W38" i="34"/>
  <c r="Z38" i="34"/>
  <c r="AC38" i="34"/>
  <c r="AI38" i="34"/>
  <c r="AL38" i="34"/>
  <c r="AO38" i="34"/>
  <c r="AR38" i="34"/>
  <c r="H39" i="34"/>
  <c r="K39" i="34"/>
  <c r="N39" i="34"/>
  <c r="Q39" i="34"/>
  <c r="T39" i="34"/>
  <c r="W39" i="34"/>
  <c r="Z39" i="34"/>
  <c r="AC39" i="34"/>
  <c r="AI39" i="34"/>
  <c r="AL39" i="34"/>
  <c r="AO39" i="34"/>
  <c r="AR39" i="34"/>
  <c r="H40" i="34"/>
  <c r="K40" i="34"/>
  <c r="N40" i="34"/>
  <c r="Q40" i="34"/>
  <c r="T40" i="34"/>
  <c r="W40" i="34"/>
  <c r="Z40" i="34"/>
  <c r="AC40" i="34"/>
  <c r="AI40" i="34"/>
  <c r="AL40" i="34"/>
  <c r="AO40" i="34"/>
  <c r="AR40" i="34"/>
  <c r="H41" i="34"/>
  <c r="K41" i="34"/>
  <c r="N41" i="34"/>
  <c r="Q41" i="34"/>
  <c r="T41" i="34"/>
  <c r="W41" i="34"/>
  <c r="Z41" i="34"/>
  <c r="AC41" i="34"/>
  <c r="AI41" i="34"/>
  <c r="AL41" i="34"/>
  <c r="AO41" i="34"/>
  <c r="AR41" i="34"/>
  <c r="H42" i="34"/>
  <c r="K42" i="34"/>
  <c r="N42" i="34"/>
  <c r="Q42" i="34"/>
  <c r="T42" i="34"/>
  <c r="W42" i="34"/>
  <c r="Z42" i="34"/>
  <c r="AC42" i="34"/>
  <c r="AI42" i="34"/>
  <c r="AL42" i="34"/>
  <c r="AO42" i="34"/>
  <c r="AR42" i="34"/>
  <c r="H43" i="34"/>
  <c r="K43" i="34"/>
  <c r="N43" i="34"/>
  <c r="Q43" i="34"/>
  <c r="T43" i="34"/>
  <c r="W43" i="34"/>
  <c r="Z43" i="34"/>
  <c r="AC43" i="34"/>
  <c r="AF43" i="34"/>
  <c r="AI43" i="34"/>
  <c r="AL43" i="34"/>
  <c r="AO43" i="34"/>
  <c r="AR43" i="34"/>
  <c r="H44" i="34"/>
  <c r="K44" i="34"/>
  <c r="N44" i="34"/>
  <c r="Q44" i="34"/>
  <c r="T44" i="34"/>
  <c r="W44" i="34"/>
  <c r="Z44" i="34"/>
  <c r="AC44" i="34"/>
  <c r="AI44" i="34"/>
  <c r="AL44" i="34"/>
  <c r="AO44" i="34"/>
  <c r="AR44" i="34"/>
  <c r="H45" i="34"/>
  <c r="K45" i="34"/>
  <c r="N45" i="34"/>
  <c r="Q45" i="34"/>
  <c r="T45" i="34"/>
  <c r="W45" i="34"/>
  <c r="Z45" i="34"/>
  <c r="AC45" i="34"/>
  <c r="AI45" i="34"/>
  <c r="AL45" i="34"/>
  <c r="AO45" i="34"/>
  <c r="AR45" i="34"/>
  <c r="H46" i="34"/>
  <c r="K46" i="34"/>
  <c r="N46" i="34"/>
  <c r="Q46" i="34"/>
  <c r="T46" i="34"/>
  <c r="W46" i="34"/>
  <c r="Z46" i="34"/>
  <c r="AC46" i="34"/>
  <c r="AI46" i="34"/>
  <c r="AL46" i="34"/>
  <c r="AO46" i="34"/>
  <c r="AR46" i="34"/>
  <c r="H47" i="34"/>
  <c r="K47" i="34"/>
  <c r="N47" i="34"/>
  <c r="Q47" i="34"/>
  <c r="T47" i="34"/>
  <c r="W47" i="34"/>
  <c r="Z47" i="34"/>
  <c r="AC47" i="34"/>
  <c r="AI47" i="34"/>
  <c r="AL47" i="34"/>
  <c r="AO47" i="34"/>
  <c r="AR47" i="34"/>
  <c r="H48" i="34"/>
  <c r="K48" i="34"/>
  <c r="N48" i="34"/>
  <c r="Q48" i="34"/>
  <c r="T48" i="34"/>
  <c r="W48" i="34"/>
  <c r="Z48" i="34"/>
  <c r="AC48" i="34"/>
  <c r="AI48" i="34"/>
  <c r="AL48" i="34"/>
  <c r="AO48" i="34"/>
  <c r="AR48" i="34"/>
  <c r="H49" i="34"/>
  <c r="K49" i="34"/>
  <c r="N49" i="34"/>
  <c r="Q49" i="34"/>
  <c r="T49" i="34"/>
  <c r="W49" i="34"/>
  <c r="Z49" i="34"/>
  <c r="AC49" i="34"/>
  <c r="AI49" i="34"/>
  <c r="AL49" i="34"/>
  <c r="AO49" i="34"/>
  <c r="AR49" i="34"/>
  <c r="H50" i="34"/>
  <c r="K50" i="34"/>
  <c r="N50" i="34"/>
  <c r="Q50" i="34"/>
  <c r="T50" i="34"/>
  <c r="W50" i="34"/>
  <c r="Z50" i="34"/>
  <c r="AC50" i="34"/>
  <c r="AI50" i="34"/>
  <c r="AL50" i="34"/>
  <c r="AO50" i="34"/>
  <c r="AR50" i="34"/>
  <c r="H51" i="34"/>
  <c r="K51" i="34"/>
  <c r="N51" i="34"/>
  <c r="Q51" i="34"/>
  <c r="T51" i="34"/>
  <c r="W51" i="34"/>
  <c r="Z51" i="34"/>
  <c r="AC51" i="34"/>
  <c r="AI51" i="34"/>
  <c r="AL51" i="34"/>
  <c r="AO51" i="34"/>
  <c r="AR51" i="34"/>
  <c r="H52" i="34"/>
  <c r="K52" i="34"/>
  <c r="N52" i="34"/>
  <c r="Q52" i="34"/>
  <c r="T52" i="34"/>
  <c r="W52" i="34"/>
  <c r="Z52" i="34"/>
  <c r="AC52" i="34"/>
  <c r="AI52" i="34"/>
  <c r="AL52" i="34"/>
  <c r="AO52" i="34"/>
  <c r="AR52" i="34"/>
  <c r="H53" i="34"/>
  <c r="K53" i="34"/>
  <c r="N53" i="34"/>
  <c r="Q53" i="34"/>
  <c r="T53" i="34"/>
  <c r="W53" i="34"/>
  <c r="Z53" i="34"/>
  <c r="AC53" i="34"/>
  <c r="AI53" i="34"/>
  <c r="AL53" i="34"/>
  <c r="AO53" i="34"/>
  <c r="AR53" i="34"/>
  <c r="H54" i="34"/>
  <c r="K54" i="34"/>
  <c r="N54" i="34"/>
  <c r="Q54" i="34"/>
  <c r="T54" i="34"/>
  <c r="W54" i="34"/>
  <c r="Z54" i="34"/>
  <c r="AC54" i="34"/>
  <c r="AI54" i="34"/>
  <c r="AL54" i="34"/>
  <c r="AO54" i="34"/>
  <c r="AR54" i="34"/>
  <c r="H55" i="34"/>
  <c r="K55" i="34"/>
  <c r="N55" i="34"/>
  <c r="Q55" i="34"/>
  <c r="T55" i="34"/>
  <c r="W55" i="34"/>
  <c r="Z55" i="34"/>
  <c r="AC55" i="34"/>
  <c r="AI55" i="34"/>
  <c r="AL55" i="34"/>
  <c r="AO55" i="34"/>
  <c r="AR55" i="34"/>
  <c r="H56" i="34"/>
  <c r="K56" i="34"/>
  <c r="N56" i="34"/>
  <c r="Q56" i="34"/>
  <c r="T56" i="34"/>
  <c r="W56" i="34"/>
  <c r="Z56" i="34"/>
  <c r="AC56" i="34"/>
  <c r="AI56" i="34"/>
  <c r="AL56" i="34"/>
  <c r="AO56" i="34"/>
  <c r="AR56" i="34"/>
  <c r="H57" i="34"/>
  <c r="K57" i="34"/>
  <c r="N57" i="34"/>
  <c r="Q57" i="34"/>
  <c r="T57" i="34"/>
  <c r="W57" i="34"/>
  <c r="Z57" i="34"/>
  <c r="AC57" i="34"/>
  <c r="AF57" i="34"/>
  <c r="AI57" i="34"/>
  <c r="AL57" i="34"/>
  <c r="AO57" i="34"/>
  <c r="AR57" i="34"/>
  <c r="H58" i="34"/>
  <c r="K58" i="34"/>
  <c r="N58" i="34"/>
  <c r="Q58" i="34"/>
  <c r="T58" i="34"/>
  <c r="W58" i="34"/>
  <c r="Z58" i="34"/>
  <c r="AC58" i="34"/>
  <c r="AI58" i="34"/>
  <c r="AL58" i="34"/>
  <c r="AO58" i="34"/>
  <c r="AR58" i="34"/>
  <c r="H59" i="34"/>
  <c r="K59" i="34"/>
  <c r="N59" i="34"/>
  <c r="Q59" i="34"/>
  <c r="T59" i="34"/>
  <c r="W59" i="34"/>
  <c r="Z59" i="34"/>
  <c r="AC59" i="34"/>
  <c r="AI59" i="34"/>
  <c r="AL59" i="34"/>
  <c r="AO59" i="34"/>
  <c r="AR59" i="34"/>
  <c r="H60" i="34"/>
  <c r="K60" i="34"/>
  <c r="N60" i="34"/>
  <c r="Q60" i="34"/>
  <c r="T60" i="34"/>
  <c r="W60" i="34"/>
  <c r="Z60" i="34"/>
  <c r="AC60" i="34"/>
  <c r="AF60" i="34"/>
  <c r="AI60" i="34"/>
  <c r="AL60" i="34"/>
  <c r="AO60" i="34"/>
  <c r="AR60" i="34"/>
  <c r="H61" i="34"/>
  <c r="K61" i="34"/>
  <c r="N61" i="34"/>
  <c r="Q61" i="34"/>
  <c r="T61" i="34"/>
  <c r="W61" i="34"/>
  <c r="Z61" i="34"/>
  <c r="AC61" i="34"/>
  <c r="AF61" i="34"/>
  <c r="AI61" i="34"/>
  <c r="AL61" i="34"/>
  <c r="AO61" i="34"/>
  <c r="AR61" i="34"/>
  <c r="H62" i="34"/>
  <c r="K62" i="34"/>
  <c r="N62" i="34"/>
  <c r="Q62" i="34"/>
  <c r="T62" i="34"/>
  <c r="W62" i="34"/>
  <c r="Z62" i="34"/>
  <c r="AC62" i="34"/>
  <c r="AI62" i="34"/>
  <c r="AL62" i="34"/>
  <c r="AO62" i="34"/>
  <c r="AR62" i="34"/>
  <c r="H63" i="34"/>
  <c r="K63" i="34"/>
  <c r="N63" i="34"/>
  <c r="Q63" i="34"/>
  <c r="T63" i="34"/>
  <c r="W63" i="34"/>
  <c r="Z63" i="34"/>
  <c r="AC63" i="34"/>
  <c r="AI63" i="34"/>
  <c r="AL63" i="34"/>
  <c r="AO63" i="34"/>
  <c r="AR63" i="34"/>
  <c r="H64" i="34"/>
  <c r="K64" i="34"/>
  <c r="N64" i="34"/>
  <c r="Q64" i="34"/>
  <c r="T64" i="34"/>
  <c r="W64" i="34"/>
  <c r="Z64" i="34"/>
  <c r="AC64" i="34"/>
  <c r="AI64" i="34"/>
  <c r="AL64" i="34"/>
  <c r="AO64" i="34"/>
  <c r="AR64" i="34"/>
  <c r="H65" i="34"/>
  <c r="K65" i="34"/>
  <c r="N65" i="34"/>
  <c r="Q65" i="34"/>
  <c r="T65" i="34"/>
  <c r="W65" i="34"/>
  <c r="Z65" i="34"/>
  <c r="AC65" i="34"/>
  <c r="AI65" i="34"/>
  <c r="AL65" i="34"/>
  <c r="AO65" i="34"/>
  <c r="AR65" i="34"/>
  <c r="H66" i="34"/>
  <c r="K66" i="34"/>
  <c r="N66" i="34"/>
  <c r="Q66" i="34"/>
  <c r="T66" i="34"/>
  <c r="W66" i="34"/>
  <c r="Z66" i="34"/>
  <c r="AC66" i="34"/>
  <c r="AF66" i="34"/>
  <c r="AI66" i="34"/>
  <c r="AL66" i="34"/>
  <c r="AO66" i="34"/>
  <c r="AR66" i="34"/>
  <c r="H67" i="34"/>
  <c r="K67" i="34"/>
  <c r="N67" i="34"/>
  <c r="Q67" i="34"/>
  <c r="T67" i="34"/>
  <c r="W67" i="34"/>
  <c r="Z67" i="34"/>
  <c r="AC67" i="34"/>
  <c r="AI67" i="34"/>
  <c r="AL67" i="34"/>
  <c r="AO67" i="34"/>
  <c r="AR67" i="34"/>
  <c r="H68" i="34"/>
  <c r="K68" i="34"/>
  <c r="N68" i="34"/>
  <c r="Q68" i="34"/>
  <c r="T68" i="34"/>
  <c r="W68" i="34"/>
  <c r="Z68" i="34"/>
  <c r="AC68" i="34"/>
  <c r="AI68" i="34"/>
  <c r="AL68" i="34"/>
  <c r="AO68" i="34"/>
  <c r="AR68" i="34"/>
  <c r="H69" i="34"/>
  <c r="K69" i="34"/>
  <c r="N69" i="34"/>
  <c r="Q69" i="34"/>
  <c r="T69" i="34"/>
  <c r="W69" i="34"/>
  <c r="Z69" i="34"/>
  <c r="AC69" i="34"/>
  <c r="AI69" i="34"/>
  <c r="AL69" i="34"/>
  <c r="AO69" i="34"/>
  <c r="AR69" i="34"/>
  <c r="H70" i="34"/>
  <c r="K70" i="34"/>
  <c r="N70" i="34"/>
  <c r="Q70" i="34"/>
  <c r="T70" i="34"/>
  <c r="W70" i="34"/>
  <c r="Z70" i="34"/>
  <c r="AC70" i="34"/>
  <c r="AI70" i="34"/>
  <c r="AL70" i="34"/>
  <c r="AO70" i="34"/>
  <c r="AR70" i="34"/>
  <c r="H71" i="34"/>
  <c r="K71" i="34"/>
  <c r="N71" i="34"/>
  <c r="Q71" i="34"/>
  <c r="T71" i="34"/>
  <c r="W71" i="34"/>
  <c r="Z71" i="34"/>
  <c r="AC71" i="34"/>
  <c r="AI71" i="34"/>
  <c r="AL71" i="34"/>
  <c r="AO71" i="34"/>
  <c r="AR71" i="34"/>
  <c r="AR17" i="34"/>
  <c r="AO17" i="34"/>
  <c r="AL17" i="34"/>
  <c r="AI17" i="34"/>
  <c r="AC17" i="34"/>
  <c r="Z17" i="34"/>
  <c r="W17" i="34"/>
  <c r="T17" i="34"/>
  <c r="Q17" i="34"/>
  <c r="N17" i="34"/>
  <c r="K17" i="34"/>
  <c r="H17" i="34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AT60" i="34" l="1"/>
  <c r="AT43" i="34"/>
  <c r="AT36" i="34"/>
  <c r="BD17" i="34"/>
  <c r="BC17" i="34"/>
  <c r="BC18" i="34" s="1"/>
  <c r="BB17" i="34"/>
  <c r="BA17" i="34"/>
  <c r="BA18" i="34" s="1"/>
  <c r="AZ17" i="34"/>
  <c r="AY17" i="34"/>
  <c r="AX17" i="34"/>
  <c r="AW17" i="34"/>
  <c r="AW18" i="34" s="1"/>
  <c r="AI12" i="34"/>
  <c r="AI10" i="34" s="1"/>
  <c r="AI11" i="34"/>
  <c r="W58" i="27"/>
  <c r="W59" i="27"/>
  <c r="W60" i="27"/>
  <c r="W62" i="27"/>
  <c r="W63" i="27"/>
  <c r="W64" i="27"/>
  <c r="W65" i="27"/>
  <c r="AY18" i="34" l="1"/>
  <c r="J63" i="31"/>
  <c r="K63" i="31" s="1"/>
  <c r="J62" i="31"/>
  <c r="K62" i="31" s="1"/>
  <c r="J61" i="31"/>
  <c r="K61" i="31" s="1"/>
  <c r="J60" i="31"/>
  <c r="K60" i="31" s="1"/>
  <c r="J59" i="31"/>
  <c r="K59" i="31" s="1"/>
  <c r="J58" i="31"/>
  <c r="K58" i="31" s="1"/>
  <c r="J57" i="31"/>
  <c r="K57" i="31" s="1"/>
  <c r="J56" i="31"/>
  <c r="K56" i="31" s="1"/>
  <c r="J55" i="31"/>
  <c r="K55" i="31" s="1"/>
  <c r="J54" i="31"/>
  <c r="K54" i="31" s="1"/>
  <c r="J53" i="31"/>
  <c r="K53" i="31" s="1"/>
  <c r="J52" i="31"/>
  <c r="K52" i="31" s="1"/>
  <c r="J51" i="31"/>
  <c r="K51" i="31" s="1"/>
  <c r="J50" i="31"/>
  <c r="K50" i="31" s="1"/>
  <c r="J49" i="31"/>
  <c r="K49" i="31" s="1"/>
  <c r="J48" i="31"/>
  <c r="K48" i="31" s="1"/>
  <c r="J47" i="31"/>
  <c r="K47" i="31" s="1"/>
  <c r="J46" i="31"/>
  <c r="K46" i="31" s="1"/>
  <c r="J45" i="31"/>
  <c r="K45" i="31" s="1"/>
  <c r="J44" i="31"/>
  <c r="K44" i="31" s="1"/>
  <c r="J43" i="31"/>
  <c r="K43" i="31" s="1"/>
  <c r="J42" i="31"/>
  <c r="K42" i="31" s="1"/>
  <c r="J41" i="31"/>
  <c r="K41" i="31" s="1"/>
  <c r="J40" i="31"/>
  <c r="K40" i="31" s="1"/>
  <c r="J39" i="31"/>
  <c r="K39" i="31" s="1"/>
  <c r="J38" i="31"/>
  <c r="K38" i="31" s="1"/>
  <c r="J37" i="31"/>
  <c r="K37" i="31" s="1"/>
  <c r="J36" i="31"/>
  <c r="K36" i="31" s="1"/>
  <c r="J35" i="31"/>
  <c r="K35" i="31" s="1"/>
  <c r="J34" i="31"/>
  <c r="K34" i="31" s="1"/>
  <c r="J33" i="31"/>
  <c r="K33" i="31" s="1"/>
  <c r="J32" i="31"/>
  <c r="K32" i="31" s="1"/>
  <c r="J31" i="31"/>
  <c r="K31" i="31" s="1"/>
  <c r="J30" i="31"/>
  <c r="K30" i="31" s="1"/>
  <c r="J29" i="31"/>
  <c r="K29" i="31" s="1"/>
  <c r="J28" i="31"/>
  <c r="K28" i="31" s="1"/>
  <c r="J27" i="31"/>
  <c r="K27" i="31" s="1"/>
  <c r="J26" i="31"/>
  <c r="K26" i="31" s="1"/>
  <c r="J25" i="31"/>
  <c r="K25" i="31" s="1"/>
  <c r="J24" i="31"/>
  <c r="K24" i="31" s="1"/>
  <c r="J23" i="31"/>
  <c r="K23" i="31" s="1"/>
  <c r="J22" i="31"/>
  <c r="K22" i="31" s="1"/>
  <c r="J21" i="31"/>
  <c r="K21" i="31" s="1"/>
  <c r="J20" i="31"/>
  <c r="K20" i="31" s="1"/>
  <c r="J19" i="31"/>
  <c r="K19" i="31" s="1"/>
  <c r="J18" i="31"/>
  <c r="K18" i="31" s="1"/>
  <c r="J17" i="31"/>
  <c r="K17" i="31" s="1"/>
  <c r="J16" i="31"/>
  <c r="K16" i="31" s="1"/>
  <c r="J15" i="31"/>
  <c r="K15" i="31" s="1"/>
  <c r="J14" i="31"/>
  <c r="K14" i="31" s="1"/>
  <c r="J13" i="31"/>
  <c r="K13" i="31" s="1"/>
  <c r="J12" i="31"/>
  <c r="K12" i="31" s="1"/>
  <c r="J11" i="31"/>
  <c r="K11" i="31" s="1"/>
  <c r="J10" i="31"/>
  <c r="K10" i="31" s="1"/>
  <c r="J9" i="31"/>
  <c r="K9" i="31" s="1"/>
  <c r="K63" i="15" l="1"/>
  <c r="J63" i="15"/>
  <c r="J62" i="15"/>
  <c r="K62" i="15" s="1"/>
  <c r="K61" i="15"/>
  <c r="J61" i="15"/>
  <c r="J60" i="15"/>
  <c r="K60" i="15" s="1"/>
  <c r="K59" i="15"/>
  <c r="J59" i="15"/>
  <c r="J58" i="15"/>
  <c r="K58" i="15" s="1"/>
  <c r="K57" i="15"/>
  <c r="J57" i="15"/>
  <c r="J56" i="15"/>
  <c r="K56" i="15" s="1"/>
  <c r="K55" i="15"/>
  <c r="J55" i="15"/>
  <c r="J54" i="15"/>
  <c r="K54" i="15" s="1"/>
  <c r="K53" i="15"/>
  <c r="J53" i="15"/>
  <c r="J52" i="15"/>
  <c r="K52" i="15" s="1"/>
  <c r="K51" i="15"/>
  <c r="J51" i="15"/>
  <c r="J50" i="15"/>
  <c r="K50" i="15" s="1"/>
  <c r="K49" i="15"/>
  <c r="J49" i="15"/>
  <c r="J48" i="15"/>
  <c r="K48" i="15" s="1"/>
  <c r="K47" i="15"/>
  <c r="J47" i="15"/>
  <c r="J46" i="15"/>
  <c r="K46" i="15" s="1"/>
  <c r="K45" i="15"/>
  <c r="J45" i="15"/>
  <c r="J44" i="15"/>
  <c r="K44" i="15" s="1"/>
  <c r="K43" i="15"/>
  <c r="J43" i="15"/>
  <c r="J42" i="15"/>
  <c r="K42" i="15" s="1"/>
  <c r="K41" i="15"/>
  <c r="J41" i="15"/>
  <c r="J40" i="15"/>
  <c r="K40" i="15" s="1"/>
  <c r="K39" i="15"/>
  <c r="J39" i="15"/>
  <c r="J38" i="15"/>
  <c r="K38" i="15" s="1"/>
  <c r="K37" i="15"/>
  <c r="J37" i="15"/>
  <c r="J36" i="15"/>
  <c r="K36" i="15" s="1"/>
  <c r="K35" i="15"/>
  <c r="J35" i="15"/>
  <c r="J34" i="15"/>
  <c r="K34" i="15" s="1"/>
  <c r="K33" i="15"/>
  <c r="J33" i="15"/>
  <c r="J32" i="15"/>
  <c r="K32" i="15" s="1"/>
  <c r="K31" i="15"/>
  <c r="J31" i="15"/>
  <c r="J30" i="15"/>
  <c r="K30" i="15" s="1"/>
  <c r="K29" i="15"/>
  <c r="J29" i="15"/>
  <c r="J28" i="15"/>
  <c r="K28" i="15" s="1"/>
  <c r="K27" i="15"/>
  <c r="J27" i="15"/>
  <c r="J26" i="15"/>
  <c r="K26" i="15" s="1"/>
  <c r="K25" i="15"/>
  <c r="J25" i="15"/>
  <c r="J24" i="15"/>
  <c r="K24" i="15" s="1"/>
  <c r="K23" i="15"/>
  <c r="J23" i="15"/>
  <c r="J22" i="15"/>
  <c r="K22" i="15" s="1"/>
  <c r="K21" i="15"/>
  <c r="J21" i="15"/>
  <c r="J20" i="15"/>
  <c r="K20" i="15" s="1"/>
  <c r="K19" i="15"/>
  <c r="J19" i="15"/>
  <c r="J18" i="15"/>
  <c r="K18" i="15" s="1"/>
  <c r="K17" i="15"/>
  <c r="J17" i="15"/>
  <c r="J16" i="15"/>
  <c r="K16" i="15" s="1"/>
  <c r="K15" i="15"/>
  <c r="J15" i="15"/>
  <c r="J14" i="15"/>
  <c r="K14" i="15" s="1"/>
  <c r="K13" i="15"/>
  <c r="J13" i="15"/>
  <c r="J12" i="15"/>
  <c r="K12" i="15" s="1"/>
  <c r="K11" i="15"/>
  <c r="J11" i="15"/>
  <c r="J10" i="15"/>
  <c r="K10" i="15" s="1"/>
  <c r="K9" i="15"/>
  <c r="J9" i="15"/>
  <c r="J63" i="23" l="1"/>
  <c r="K63" i="23" s="1"/>
  <c r="J62" i="23"/>
  <c r="K62" i="23" s="1"/>
  <c r="J61" i="23"/>
  <c r="K61" i="23" s="1"/>
  <c r="J60" i="23"/>
  <c r="K60" i="23" s="1"/>
  <c r="J59" i="23"/>
  <c r="K59" i="23" s="1"/>
  <c r="J58" i="23"/>
  <c r="K58" i="23" s="1"/>
  <c r="J57" i="23"/>
  <c r="K57" i="23" s="1"/>
  <c r="J56" i="23"/>
  <c r="K56" i="23" s="1"/>
  <c r="J55" i="23"/>
  <c r="K55" i="23" s="1"/>
  <c r="J54" i="23"/>
  <c r="K54" i="23" s="1"/>
  <c r="J53" i="23"/>
  <c r="K53" i="23" s="1"/>
  <c r="J52" i="23"/>
  <c r="K52" i="23" s="1"/>
  <c r="J51" i="23"/>
  <c r="K51" i="23" s="1"/>
  <c r="J50" i="23"/>
  <c r="K50" i="23" s="1"/>
  <c r="J49" i="23"/>
  <c r="K49" i="23" s="1"/>
  <c r="J48" i="23"/>
  <c r="K48" i="23" s="1"/>
  <c r="J47" i="23"/>
  <c r="K47" i="23" s="1"/>
  <c r="J46" i="23"/>
  <c r="K46" i="23" s="1"/>
  <c r="J45" i="23"/>
  <c r="K45" i="23" s="1"/>
  <c r="J44" i="23"/>
  <c r="K44" i="23" s="1"/>
  <c r="J43" i="23"/>
  <c r="K43" i="23" s="1"/>
  <c r="J42" i="23"/>
  <c r="K42" i="23" s="1"/>
  <c r="J41" i="23"/>
  <c r="K41" i="23" s="1"/>
  <c r="J40" i="23"/>
  <c r="K40" i="23" s="1"/>
  <c r="J39" i="23"/>
  <c r="K39" i="23" s="1"/>
  <c r="J38" i="23"/>
  <c r="K38" i="23" s="1"/>
  <c r="J37" i="23"/>
  <c r="K37" i="23" s="1"/>
  <c r="J36" i="23"/>
  <c r="K36" i="23" s="1"/>
  <c r="J35" i="23"/>
  <c r="K35" i="23" s="1"/>
  <c r="J34" i="23"/>
  <c r="K34" i="23" s="1"/>
  <c r="J33" i="23"/>
  <c r="K33" i="23" s="1"/>
  <c r="J32" i="23"/>
  <c r="K32" i="23" s="1"/>
  <c r="J31" i="23"/>
  <c r="K31" i="23" s="1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2" i="23"/>
  <c r="K12" i="23" s="1"/>
  <c r="J11" i="23"/>
  <c r="K11" i="23" s="1"/>
  <c r="J10" i="23"/>
  <c r="K10" i="23" s="1"/>
  <c r="J9" i="23"/>
  <c r="K9" i="23" s="1"/>
  <c r="J63" i="16"/>
  <c r="K63" i="16" s="1"/>
  <c r="J62" i="16"/>
  <c r="K62" i="16" s="1"/>
  <c r="J61" i="16"/>
  <c r="K61" i="16" s="1"/>
  <c r="J60" i="16"/>
  <c r="K60" i="16" s="1"/>
  <c r="J59" i="16"/>
  <c r="K59" i="16" s="1"/>
  <c r="J58" i="16"/>
  <c r="K58" i="16" s="1"/>
  <c r="J57" i="16"/>
  <c r="K57" i="16" s="1"/>
  <c r="J56" i="16"/>
  <c r="K56" i="16" s="1"/>
  <c r="J55" i="16"/>
  <c r="K55" i="16" s="1"/>
  <c r="J54" i="16"/>
  <c r="K54" i="16" s="1"/>
  <c r="J53" i="16"/>
  <c r="K53" i="16" s="1"/>
  <c r="J52" i="16"/>
  <c r="K52" i="16" s="1"/>
  <c r="J51" i="16"/>
  <c r="K51" i="16" s="1"/>
  <c r="J50" i="16"/>
  <c r="K50" i="16" s="1"/>
  <c r="J49" i="16"/>
  <c r="K49" i="16" s="1"/>
  <c r="J48" i="16"/>
  <c r="K48" i="16" s="1"/>
  <c r="J47" i="16"/>
  <c r="K47" i="16" s="1"/>
  <c r="J46" i="16"/>
  <c r="K46" i="16" s="1"/>
  <c r="J45" i="16"/>
  <c r="K45" i="16" s="1"/>
  <c r="J44" i="16"/>
  <c r="K44" i="16" s="1"/>
  <c r="J43" i="16"/>
  <c r="K43" i="16" s="1"/>
  <c r="J42" i="16"/>
  <c r="K42" i="16" s="1"/>
  <c r="J41" i="16"/>
  <c r="K41" i="16" s="1"/>
  <c r="J40" i="16"/>
  <c r="K40" i="16" s="1"/>
  <c r="J39" i="16"/>
  <c r="K39" i="16" s="1"/>
  <c r="J38" i="16"/>
  <c r="K38" i="16" s="1"/>
  <c r="J37" i="16"/>
  <c r="K37" i="16" s="1"/>
  <c r="J36" i="16"/>
  <c r="K36" i="16" s="1"/>
  <c r="J35" i="16"/>
  <c r="K35" i="16" s="1"/>
  <c r="J34" i="16"/>
  <c r="K34" i="16" s="1"/>
  <c r="J33" i="16"/>
  <c r="K33" i="16" s="1"/>
  <c r="J32" i="16"/>
  <c r="K32" i="16" s="1"/>
  <c r="J31" i="16"/>
  <c r="K31" i="16" s="1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K25" i="16" s="1"/>
  <c r="J24" i="16"/>
  <c r="K24" i="16" s="1"/>
  <c r="J23" i="16"/>
  <c r="K23" i="16" s="1"/>
  <c r="K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E63" i="22" l="1"/>
  <c r="J63" i="22" s="1"/>
  <c r="K63" i="22" s="1"/>
  <c r="E62" i="22"/>
  <c r="J62" i="22" s="1"/>
  <c r="K62" i="22" s="1"/>
  <c r="J61" i="22"/>
  <c r="K61" i="22" s="1"/>
  <c r="E61" i="22"/>
  <c r="E60" i="22"/>
  <c r="J60" i="22" s="1"/>
  <c r="K60" i="22" s="1"/>
  <c r="E59" i="22"/>
  <c r="J59" i="22" s="1"/>
  <c r="K59" i="22" s="1"/>
  <c r="J58" i="22"/>
  <c r="J57" i="22"/>
  <c r="K57" i="22" s="1"/>
  <c r="E57" i="22"/>
  <c r="E56" i="22"/>
  <c r="J56" i="22" s="1"/>
  <c r="K56" i="22" s="1"/>
  <c r="E55" i="22"/>
  <c r="J55" i="22" s="1"/>
  <c r="K55" i="22" s="1"/>
  <c r="K54" i="22"/>
  <c r="J54" i="22"/>
  <c r="J53" i="22"/>
  <c r="E52" i="22"/>
  <c r="J52" i="22" s="1"/>
  <c r="K52" i="22" s="1"/>
  <c r="E51" i="22"/>
  <c r="J51" i="22" s="1"/>
  <c r="K51" i="22" s="1"/>
  <c r="E50" i="22"/>
  <c r="J50" i="22" s="1"/>
  <c r="K50" i="22" s="1"/>
  <c r="J49" i="22"/>
  <c r="E48" i="22"/>
  <c r="J48" i="22" s="1"/>
  <c r="K48" i="22" s="1"/>
  <c r="J47" i="22"/>
  <c r="K47" i="22" s="1"/>
  <c r="E47" i="22"/>
  <c r="J46" i="22"/>
  <c r="K46" i="22" s="1"/>
  <c r="E45" i="22"/>
  <c r="J45" i="22" s="1"/>
  <c r="K45" i="22" s="1"/>
  <c r="J44" i="22"/>
  <c r="K44" i="22" s="1"/>
  <c r="E44" i="22"/>
  <c r="E43" i="22"/>
  <c r="J43" i="22" s="1"/>
  <c r="K43" i="22" s="1"/>
  <c r="E42" i="22"/>
  <c r="J42" i="22" s="1"/>
  <c r="K42" i="22" s="1"/>
  <c r="E41" i="22"/>
  <c r="J41" i="22" s="1"/>
  <c r="K41" i="22" s="1"/>
  <c r="J40" i="22"/>
  <c r="K40" i="22" s="1"/>
  <c r="J39" i="22"/>
  <c r="K39" i="22" s="1"/>
  <c r="J38" i="22"/>
  <c r="K38" i="22" s="1"/>
  <c r="E38" i="22"/>
  <c r="E37" i="22"/>
  <c r="J37" i="22" s="1"/>
  <c r="K37" i="22" s="1"/>
  <c r="E36" i="22"/>
  <c r="J36" i="22" s="1"/>
  <c r="K36" i="22" s="1"/>
  <c r="E35" i="22"/>
  <c r="J35" i="22" s="1"/>
  <c r="K35" i="22" s="1"/>
  <c r="J34" i="22"/>
  <c r="K34" i="22" s="1"/>
  <c r="E34" i="22"/>
  <c r="E33" i="22"/>
  <c r="J33" i="22" s="1"/>
  <c r="K33" i="22" s="1"/>
  <c r="E32" i="22"/>
  <c r="J32" i="22" s="1"/>
  <c r="K32" i="22" s="1"/>
  <c r="K31" i="22"/>
  <c r="J31" i="22"/>
  <c r="E30" i="22"/>
  <c r="J30" i="22" s="1"/>
  <c r="K30" i="22" s="1"/>
  <c r="E29" i="22"/>
  <c r="J29" i="22" s="1"/>
  <c r="K29" i="22" s="1"/>
  <c r="E28" i="22"/>
  <c r="J28" i="22" s="1"/>
  <c r="K28" i="22" s="1"/>
  <c r="J27" i="22"/>
  <c r="K27" i="22" s="1"/>
  <c r="E27" i="22"/>
  <c r="E26" i="22"/>
  <c r="J26" i="22" s="1"/>
  <c r="K26" i="22" s="1"/>
  <c r="E25" i="22"/>
  <c r="J25" i="22" s="1"/>
  <c r="K25" i="22" s="1"/>
  <c r="E24" i="22"/>
  <c r="J24" i="22" s="1"/>
  <c r="K24" i="22" s="1"/>
  <c r="J23" i="22"/>
  <c r="K23" i="22" s="1"/>
  <c r="E23" i="22"/>
  <c r="E22" i="22"/>
  <c r="J22" i="22" s="1"/>
  <c r="K22" i="22" s="1"/>
  <c r="E21" i="22"/>
  <c r="J21" i="22" s="1"/>
  <c r="K21" i="22" s="1"/>
  <c r="E20" i="22"/>
  <c r="J20" i="22" s="1"/>
  <c r="K20" i="22" s="1"/>
  <c r="J19" i="22"/>
  <c r="K19" i="22" s="1"/>
  <c r="E19" i="22"/>
  <c r="E18" i="22"/>
  <c r="J18" i="22" s="1"/>
  <c r="K18" i="22" s="1"/>
  <c r="E17" i="22"/>
  <c r="J17" i="22" s="1"/>
  <c r="K17" i="22" s="1"/>
  <c r="E16" i="22"/>
  <c r="J16" i="22" s="1"/>
  <c r="K16" i="22" s="1"/>
  <c r="J15" i="22"/>
  <c r="K15" i="22" s="1"/>
  <c r="E15" i="22"/>
  <c r="E14" i="22"/>
  <c r="J14" i="22" s="1"/>
  <c r="K14" i="22" s="1"/>
  <c r="E13" i="22"/>
  <c r="J13" i="22" s="1"/>
  <c r="K13" i="22" s="1"/>
  <c r="E12" i="22"/>
  <c r="J12" i="22" s="1"/>
  <c r="K12" i="22" s="1"/>
  <c r="J11" i="22"/>
  <c r="K11" i="22" s="1"/>
  <c r="E11" i="22"/>
  <c r="E10" i="22"/>
  <c r="J10" i="22" s="1"/>
  <c r="K10" i="22" s="1"/>
  <c r="E9" i="22"/>
  <c r="J9" i="22" s="1"/>
  <c r="K9" i="22" s="1"/>
  <c r="J63" i="21"/>
  <c r="K63" i="21" s="1"/>
  <c r="J62" i="21"/>
  <c r="K62" i="21" s="1"/>
  <c r="J61" i="21"/>
  <c r="K61" i="21" s="1"/>
  <c r="J60" i="21"/>
  <c r="K60" i="21" s="1"/>
  <c r="J59" i="21"/>
  <c r="K59" i="21" s="1"/>
  <c r="J58" i="21"/>
  <c r="K58" i="21" s="1"/>
  <c r="J57" i="21"/>
  <c r="K57" i="21" s="1"/>
  <c r="J56" i="21"/>
  <c r="K56" i="21" s="1"/>
  <c r="J55" i="21"/>
  <c r="K55" i="21" s="1"/>
  <c r="J54" i="21"/>
  <c r="K54" i="21" s="1"/>
  <c r="J53" i="21"/>
  <c r="K53" i="21" s="1"/>
  <c r="J52" i="21"/>
  <c r="K52" i="21" s="1"/>
  <c r="J51" i="21"/>
  <c r="K51" i="21" s="1"/>
  <c r="J50" i="21"/>
  <c r="K50" i="21" s="1"/>
  <c r="J49" i="21"/>
  <c r="K49" i="21" s="1"/>
  <c r="J48" i="21"/>
  <c r="K48" i="21" s="1"/>
  <c r="J47" i="21"/>
  <c r="K47" i="21" s="1"/>
  <c r="J46" i="21"/>
  <c r="K46" i="21" s="1"/>
  <c r="J45" i="21"/>
  <c r="K45" i="21" s="1"/>
  <c r="J44" i="21"/>
  <c r="K44" i="21" s="1"/>
  <c r="J43" i="21"/>
  <c r="K43" i="21" s="1"/>
  <c r="J42" i="21"/>
  <c r="K42" i="21" s="1"/>
  <c r="J41" i="21"/>
  <c r="K41" i="21" s="1"/>
  <c r="J40" i="21"/>
  <c r="K40" i="21" s="1"/>
  <c r="J39" i="21"/>
  <c r="K39" i="21" s="1"/>
  <c r="J38" i="21"/>
  <c r="K38" i="21" s="1"/>
  <c r="J37" i="21"/>
  <c r="K37" i="21" s="1"/>
  <c r="J36" i="21"/>
  <c r="K36" i="21" s="1"/>
  <c r="J35" i="21"/>
  <c r="K35" i="21" s="1"/>
  <c r="J34" i="21"/>
  <c r="K34" i="21" s="1"/>
  <c r="J33" i="21"/>
  <c r="K33" i="21" s="1"/>
  <c r="J32" i="21"/>
  <c r="K32" i="21" s="1"/>
  <c r="J31" i="21"/>
  <c r="K31" i="21" s="1"/>
  <c r="J30" i="21"/>
  <c r="K30" i="21" s="1"/>
  <c r="J29" i="21"/>
  <c r="K29" i="21" s="1"/>
  <c r="J28" i="21"/>
  <c r="K28" i="21" s="1"/>
  <c r="J27" i="21"/>
  <c r="K27" i="21" s="1"/>
  <c r="J26" i="21"/>
  <c r="K26" i="21" s="1"/>
  <c r="J25" i="21"/>
  <c r="K25" i="21" s="1"/>
  <c r="J24" i="21"/>
  <c r="K24" i="21" s="1"/>
  <c r="J23" i="21"/>
  <c r="K23" i="21" s="1"/>
  <c r="J22" i="21"/>
  <c r="K22" i="21" s="1"/>
  <c r="J21" i="21"/>
  <c r="K21" i="21" s="1"/>
  <c r="J20" i="21"/>
  <c r="K20" i="21" s="1"/>
  <c r="J19" i="21"/>
  <c r="K19" i="21" s="1"/>
  <c r="J18" i="21"/>
  <c r="K18" i="21" s="1"/>
  <c r="J17" i="21"/>
  <c r="K17" i="21" s="1"/>
  <c r="K16" i="21"/>
  <c r="J16" i="21"/>
  <c r="J15" i="21"/>
  <c r="K15" i="21" s="1"/>
  <c r="J14" i="21"/>
  <c r="K14" i="21" s="1"/>
  <c r="J13" i="21"/>
  <c r="K13" i="21" s="1"/>
  <c r="J12" i="21"/>
  <c r="K12" i="21" s="1"/>
  <c r="J11" i="21"/>
  <c r="K11" i="21" s="1"/>
  <c r="J10" i="21"/>
  <c r="K10" i="21" s="1"/>
  <c r="J9" i="21"/>
  <c r="K9" i="21" s="1"/>
  <c r="K58" i="22" l="1"/>
  <c r="AT66" i="34"/>
  <c r="W66" i="27"/>
  <c r="K53" i="22"/>
  <c r="AT61" i="34"/>
  <c r="W61" i="27"/>
  <c r="K49" i="22"/>
  <c r="W57" i="27"/>
  <c r="AT57" i="34"/>
  <c r="J63" i="19"/>
  <c r="K63" i="19" s="1"/>
  <c r="J62" i="19"/>
  <c r="K62" i="19" s="1"/>
  <c r="J61" i="19"/>
  <c r="K61" i="19" s="1"/>
  <c r="J60" i="19"/>
  <c r="K60" i="19" s="1"/>
  <c r="J59" i="19"/>
  <c r="K59" i="19" s="1"/>
  <c r="J58" i="19"/>
  <c r="K58" i="19" s="1"/>
  <c r="J57" i="19"/>
  <c r="K57" i="19" s="1"/>
  <c r="J56" i="19"/>
  <c r="K56" i="19" s="1"/>
  <c r="J55" i="19"/>
  <c r="K55" i="19" s="1"/>
  <c r="J54" i="19"/>
  <c r="K54" i="19" s="1"/>
  <c r="J53" i="19"/>
  <c r="K53" i="19" s="1"/>
  <c r="J52" i="19"/>
  <c r="K52" i="19" s="1"/>
  <c r="J51" i="19"/>
  <c r="K51" i="19" s="1"/>
  <c r="J50" i="19"/>
  <c r="K50" i="19" s="1"/>
  <c r="J49" i="19"/>
  <c r="K49" i="19" s="1"/>
  <c r="J48" i="19"/>
  <c r="K48" i="19" s="1"/>
  <c r="J47" i="19"/>
  <c r="K47" i="19" s="1"/>
  <c r="J46" i="19"/>
  <c r="K46" i="19" s="1"/>
  <c r="J45" i="19"/>
  <c r="K45" i="19" s="1"/>
  <c r="J44" i="19"/>
  <c r="K44" i="19" s="1"/>
  <c r="J43" i="19"/>
  <c r="K43" i="19" s="1"/>
  <c r="J42" i="19"/>
  <c r="K42" i="19" s="1"/>
  <c r="J41" i="19"/>
  <c r="K41" i="19" s="1"/>
  <c r="J40" i="19"/>
  <c r="K40" i="19" s="1"/>
  <c r="J39" i="19"/>
  <c r="K39" i="19" s="1"/>
  <c r="J38" i="19"/>
  <c r="K38" i="19" s="1"/>
  <c r="J37" i="19"/>
  <c r="K37" i="19" s="1"/>
  <c r="J36" i="19"/>
  <c r="K36" i="19" s="1"/>
  <c r="J35" i="19"/>
  <c r="K35" i="19" s="1"/>
  <c r="J34" i="19"/>
  <c r="K34" i="19" s="1"/>
  <c r="J33" i="19"/>
  <c r="K33" i="19" s="1"/>
  <c r="J32" i="19"/>
  <c r="K32" i="19" s="1"/>
  <c r="J31" i="19"/>
  <c r="K31" i="19" s="1"/>
  <c r="J30" i="19"/>
  <c r="K30" i="19" s="1"/>
  <c r="J29" i="19"/>
  <c r="K29" i="19" s="1"/>
  <c r="J28" i="19"/>
  <c r="K28" i="19" s="1"/>
  <c r="J27" i="19"/>
  <c r="K27" i="19" s="1"/>
  <c r="J26" i="19"/>
  <c r="K26" i="19" s="1"/>
  <c r="J25" i="19"/>
  <c r="K25" i="19" s="1"/>
  <c r="J24" i="19"/>
  <c r="K24" i="19" s="1"/>
  <c r="J23" i="19"/>
  <c r="K23" i="19" s="1"/>
  <c r="J22" i="19"/>
  <c r="K22" i="19" s="1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K15" i="19" s="1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J63" i="18" l="1"/>
  <c r="K63" i="18" s="1"/>
  <c r="J62" i="18"/>
  <c r="K62" i="18" s="1"/>
  <c r="J61" i="18"/>
  <c r="K61" i="18" s="1"/>
  <c r="J60" i="18"/>
  <c r="K60" i="18" s="1"/>
  <c r="J59" i="18"/>
  <c r="K59" i="18" s="1"/>
  <c r="J58" i="18"/>
  <c r="K58" i="18" s="1"/>
  <c r="J57" i="18"/>
  <c r="K57" i="18" s="1"/>
  <c r="J56" i="18"/>
  <c r="K56" i="18" s="1"/>
  <c r="J55" i="18"/>
  <c r="K55" i="18" s="1"/>
  <c r="J54" i="18"/>
  <c r="K54" i="18" s="1"/>
  <c r="J53" i="18"/>
  <c r="K53" i="18" s="1"/>
  <c r="J52" i="18"/>
  <c r="K52" i="18" s="1"/>
  <c r="J51" i="18"/>
  <c r="K51" i="18" s="1"/>
  <c r="J50" i="18"/>
  <c r="K50" i="18" s="1"/>
  <c r="J49" i="18"/>
  <c r="K49" i="18" s="1"/>
  <c r="J48" i="18"/>
  <c r="K48" i="18" s="1"/>
  <c r="J47" i="18"/>
  <c r="K47" i="18" s="1"/>
  <c r="J46" i="18"/>
  <c r="K46" i="18" s="1"/>
  <c r="J45" i="18"/>
  <c r="K45" i="18" s="1"/>
  <c r="J44" i="18"/>
  <c r="K44" i="18" s="1"/>
  <c r="J43" i="18"/>
  <c r="K43" i="18" s="1"/>
  <c r="J42" i="18"/>
  <c r="K42" i="18" s="1"/>
  <c r="J41" i="18"/>
  <c r="K41" i="18" s="1"/>
  <c r="J40" i="18"/>
  <c r="K40" i="18" s="1"/>
  <c r="J39" i="18"/>
  <c r="K39" i="18" s="1"/>
  <c r="J38" i="18"/>
  <c r="K38" i="18" s="1"/>
  <c r="J37" i="18"/>
  <c r="K37" i="18" s="1"/>
  <c r="J36" i="18"/>
  <c r="K36" i="18" s="1"/>
  <c r="J35" i="18"/>
  <c r="K35" i="18" s="1"/>
  <c r="J34" i="18"/>
  <c r="K34" i="18" s="1"/>
  <c r="J33" i="18"/>
  <c r="K33" i="18" s="1"/>
  <c r="J32" i="18"/>
  <c r="K32" i="18" s="1"/>
  <c r="J31" i="18"/>
  <c r="K31" i="18" s="1"/>
  <c r="J30" i="18"/>
  <c r="K30" i="18" s="1"/>
  <c r="J29" i="18"/>
  <c r="K29" i="18" s="1"/>
  <c r="J28" i="18"/>
  <c r="K28" i="18" s="1"/>
  <c r="J27" i="18"/>
  <c r="K27" i="18" s="1"/>
  <c r="J26" i="18"/>
  <c r="K26" i="18" s="1"/>
  <c r="J25" i="18"/>
  <c r="K25" i="18" s="1"/>
  <c r="J24" i="18"/>
  <c r="K24" i="18" s="1"/>
  <c r="J23" i="18"/>
  <c r="K23" i="18" s="1"/>
  <c r="J22" i="18"/>
  <c r="K22" i="18" s="1"/>
  <c r="J21" i="18"/>
  <c r="K21" i="18" s="1"/>
  <c r="J20" i="18"/>
  <c r="K20" i="18" s="1"/>
  <c r="J19" i="18"/>
  <c r="K19" i="18" s="1"/>
  <c r="J18" i="18"/>
  <c r="K18" i="18" s="1"/>
  <c r="J17" i="18"/>
  <c r="K17" i="18" s="1"/>
  <c r="J16" i="18"/>
  <c r="K16" i="18" s="1"/>
  <c r="J15" i="18"/>
  <c r="K15" i="18" s="1"/>
  <c r="J14" i="18"/>
  <c r="K14" i="18" s="1"/>
  <c r="J13" i="18"/>
  <c r="K13" i="18" s="1"/>
  <c r="J12" i="18"/>
  <c r="K12" i="18" s="1"/>
  <c r="J11" i="18"/>
  <c r="K11" i="18" s="1"/>
  <c r="J10" i="18"/>
  <c r="K10" i="18" s="1"/>
  <c r="J9" i="18"/>
  <c r="K9" i="18" s="1"/>
  <c r="J63" i="33" l="1"/>
  <c r="K63" i="33" s="1"/>
  <c r="J62" i="33"/>
  <c r="K62" i="33" s="1"/>
  <c r="J61" i="33"/>
  <c r="K61" i="33" s="1"/>
  <c r="J60" i="33"/>
  <c r="K60" i="33" s="1"/>
  <c r="J59" i="33"/>
  <c r="K59" i="33" s="1"/>
  <c r="J58" i="33"/>
  <c r="K58" i="33" s="1"/>
  <c r="J57" i="33"/>
  <c r="K57" i="33" s="1"/>
  <c r="J56" i="33"/>
  <c r="K56" i="33" s="1"/>
  <c r="J55" i="33"/>
  <c r="K55" i="33" s="1"/>
  <c r="J54" i="33"/>
  <c r="K54" i="33" s="1"/>
  <c r="J53" i="33"/>
  <c r="K53" i="33" s="1"/>
  <c r="J52" i="33"/>
  <c r="K52" i="33" s="1"/>
  <c r="J51" i="33"/>
  <c r="K51" i="33" s="1"/>
  <c r="J50" i="33"/>
  <c r="K50" i="33" s="1"/>
  <c r="J49" i="33"/>
  <c r="K49" i="33" s="1"/>
  <c r="J48" i="33"/>
  <c r="K48" i="33" s="1"/>
  <c r="J47" i="33"/>
  <c r="K47" i="33" s="1"/>
  <c r="J46" i="33"/>
  <c r="K46" i="33" s="1"/>
  <c r="J45" i="33"/>
  <c r="K45" i="33" s="1"/>
  <c r="J44" i="33"/>
  <c r="K44" i="33" s="1"/>
  <c r="J43" i="33"/>
  <c r="K43" i="33" s="1"/>
  <c r="J42" i="33"/>
  <c r="K42" i="33" s="1"/>
  <c r="J41" i="33"/>
  <c r="K41" i="33" s="1"/>
  <c r="J40" i="33"/>
  <c r="K40" i="33" s="1"/>
  <c r="J39" i="33"/>
  <c r="K39" i="33" s="1"/>
  <c r="J38" i="33"/>
  <c r="K38" i="33" s="1"/>
  <c r="J37" i="33"/>
  <c r="K37" i="33" s="1"/>
  <c r="J36" i="33"/>
  <c r="K36" i="33" s="1"/>
  <c r="J35" i="33"/>
  <c r="K35" i="33" s="1"/>
  <c r="J34" i="33"/>
  <c r="K34" i="33" s="1"/>
  <c r="J33" i="33"/>
  <c r="K33" i="33" s="1"/>
  <c r="J32" i="33"/>
  <c r="K32" i="33" s="1"/>
  <c r="J31" i="33"/>
  <c r="K31" i="33" s="1"/>
  <c r="J30" i="33"/>
  <c r="K30" i="33" s="1"/>
  <c r="J29" i="33"/>
  <c r="K29" i="33" s="1"/>
  <c r="J28" i="33"/>
  <c r="K28" i="33" s="1"/>
  <c r="J27" i="33"/>
  <c r="K27" i="33" s="1"/>
  <c r="J26" i="33"/>
  <c r="K26" i="33" s="1"/>
  <c r="J25" i="33"/>
  <c r="K25" i="33" s="1"/>
  <c r="J24" i="33"/>
  <c r="K24" i="33" s="1"/>
  <c r="J23" i="33"/>
  <c r="K23" i="33" s="1"/>
  <c r="J22" i="33"/>
  <c r="K22" i="33" s="1"/>
  <c r="J21" i="33"/>
  <c r="K21" i="33" s="1"/>
  <c r="J20" i="33"/>
  <c r="K20" i="33" s="1"/>
  <c r="J19" i="33"/>
  <c r="K19" i="33" s="1"/>
  <c r="J18" i="33"/>
  <c r="K18" i="33" s="1"/>
  <c r="J17" i="33"/>
  <c r="K17" i="33" s="1"/>
  <c r="J16" i="33"/>
  <c r="K16" i="33" s="1"/>
  <c r="J15" i="33"/>
  <c r="K15" i="33" s="1"/>
  <c r="J14" i="33"/>
  <c r="K14" i="33" s="1"/>
  <c r="J13" i="33"/>
  <c r="K13" i="33" s="1"/>
  <c r="J12" i="33"/>
  <c r="K12" i="33" s="1"/>
  <c r="J11" i="33"/>
  <c r="K11" i="33" s="1"/>
  <c r="J10" i="33"/>
  <c r="K10" i="33" s="1"/>
  <c r="J9" i="33"/>
  <c r="K9" i="33" s="1"/>
  <c r="J63" i="17" l="1"/>
  <c r="K63" i="17" s="1"/>
  <c r="J62" i="17"/>
  <c r="K62" i="17" s="1"/>
  <c r="J61" i="17"/>
  <c r="K61" i="17" s="1"/>
  <c r="J60" i="17"/>
  <c r="K60" i="17" s="1"/>
  <c r="J59" i="17"/>
  <c r="K59" i="17" s="1"/>
  <c r="J58" i="17"/>
  <c r="K58" i="17" s="1"/>
  <c r="J57" i="17"/>
  <c r="K57" i="17" s="1"/>
  <c r="J56" i="17"/>
  <c r="K56" i="17" s="1"/>
  <c r="J55" i="17"/>
  <c r="K55" i="17" s="1"/>
  <c r="J54" i="17"/>
  <c r="K54" i="17" s="1"/>
  <c r="J53" i="17"/>
  <c r="K53" i="17" s="1"/>
  <c r="J52" i="17"/>
  <c r="K52" i="17" s="1"/>
  <c r="J51" i="17"/>
  <c r="K51" i="17" s="1"/>
  <c r="J50" i="17"/>
  <c r="K50" i="17" s="1"/>
  <c r="J49" i="17"/>
  <c r="K49" i="17" s="1"/>
  <c r="J48" i="17"/>
  <c r="K48" i="17" s="1"/>
  <c r="J47" i="17"/>
  <c r="K47" i="17" s="1"/>
  <c r="J46" i="17"/>
  <c r="K46" i="17" s="1"/>
  <c r="J45" i="17"/>
  <c r="K45" i="17" s="1"/>
  <c r="J44" i="17"/>
  <c r="K44" i="17" s="1"/>
  <c r="J43" i="17"/>
  <c r="K43" i="17" s="1"/>
  <c r="J42" i="17"/>
  <c r="K42" i="17" s="1"/>
  <c r="J41" i="17"/>
  <c r="K41" i="17" s="1"/>
  <c r="J40" i="17"/>
  <c r="K40" i="17" s="1"/>
  <c r="J39" i="17"/>
  <c r="K39" i="17" s="1"/>
  <c r="J38" i="17"/>
  <c r="K38" i="17" s="1"/>
  <c r="J37" i="17"/>
  <c r="K37" i="17" s="1"/>
  <c r="J36" i="17"/>
  <c r="K36" i="17" s="1"/>
  <c r="J35" i="17"/>
  <c r="K35" i="17" s="1"/>
  <c r="J34" i="17"/>
  <c r="K34" i="17" s="1"/>
  <c r="J33" i="17"/>
  <c r="K33" i="17" s="1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K26" i="17" s="1"/>
  <c r="J25" i="17"/>
  <c r="K25" i="17" s="1"/>
  <c r="J24" i="17"/>
  <c r="K24" i="17" s="1"/>
  <c r="J23" i="17"/>
  <c r="K23" i="17" s="1"/>
  <c r="J22" i="17"/>
  <c r="K22" i="17" s="1"/>
  <c r="J21" i="17"/>
  <c r="K21" i="17" s="1"/>
  <c r="J20" i="17"/>
  <c r="K20" i="17" s="1"/>
  <c r="J19" i="17"/>
  <c r="K19" i="17" s="1"/>
  <c r="J18" i="17"/>
  <c r="K18" i="17" s="1"/>
  <c r="J17" i="17"/>
  <c r="K17" i="17" s="1"/>
  <c r="J16" i="17"/>
  <c r="K16" i="17" s="1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J63" i="24" l="1"/>
  <c r="K63" i="24" s="1"/>
  <c r="J62" i="24"/>
  <c r="K62" i="24" s="1"/>
  <c r="J61" i="24"/>
  <c r="K61" i="24" s="1"/>
  <c r="J60" i="24"/>
  <c r="K60" i="24" s="1"/>
  <c r="J59" i="24"/>
  <c r="K59" i="24" s="1"/>
  <c r="J58" i="24"/>
  <c r="K58" i="24" s="1"/>
  <c r="J57" i="24"/>
  <c r="K57" i="24" s="1"/>
  <c r="J56" i="24"/>
  <c r="K56" i="24" s="1"/>
  <c r="J55" i="24"/>
  <c r="K55" i="24" s="1"/>
  <c r="J54" i="24"/>
  <c r="K54" i="24" s="1"/>
  <c r="J53" i="24"/>
  <c r="K53" i="24" s="1"/>
  <c r="J52" i="24"/>
  <c r="K52" i="24" s="1"/>
  <c r="J51" i="24"/>
  <c r="K51" i="24" s="1"/>
  <c r="J50" i="24"/>
  <c r="K50" i="24" s="1"/>
  <c r="J49" i="24"/>
  <c r="K49" i="24" s="1"/>
  <c r="J48" i="24"/>
  <c r="K48" i="24" s="1"/>
  <c r="J47" i="24"/>
  <c r="K47" i="24" s="1"/>
  <c r="J46" i="24"/>
  <c r="K46" i="24" s="1"/>
  <c r="J45" i="24"/>
  <c r="K45" i="24" s="1"/>
  <c r="J44" i="24"/>
  <c r="K44" i="24" s="1"/>
  <c r="J43" i="24"/>
  <c r="K43" i="24" s="1"/>
  <c r="J42" i="24"/>
  <c r="K42" i="24" s="1"/>
  <c r="J41" i="24"/>
  <c r="K41" i="24" s="1"/>
  <c r="J40" i="24"/>
  <c r="K40" i="24" s="1"/>
  <c r="J39" i="24"/>
  <c r="K39" i="24" s="1"/>
  <c r="J38" i="24"/>
  <c r="K38" i="24" s="1"/>
  <c r="J37" i="24"/>
  <c r="K37" i="24" s="1"/>
  <c r="J36" i="24"/>
  <c r="K36" i="24" s="1"/>
  <c r="J35" i="24"/>
  <c r="K35" i="24" s="1"/>
  <c r="J34" i="24"/>
  <c r="K34" i="24" s="1"/>
  <c r="J33" i="24"/>
  <c r="K33" i="24" s="1"/>
  <c r="J32" i="24"/>
  <c r="K32" i="24" s="1"/>
  <c r="J31" i="24"/>
  <c r="K31" i="24" s="1"/>
  <c r="J30" i="24"/>
  <c r="K30" i="24" s="1"/>
  <c r="J29" i="24"/>
  <c r="K29" i="24" s="1"/>
  <c r="J28" i="24"/>
  <c r="K28" i="24" s="1"/>
  <c r="J27" i="24"/>
  <c r="K27" i="24" s="1"/>
  <c r="J26" i="24"/>
  <c r="K26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K17" i="24" s="1"/>
  <c r="J16" i="24"/>
  <c r="K16" i="24" s="1"/>
  <c r="J15" i="24"/>
  <c r="K15" i="24" s="1"/>
  <c r="J14" i="24"/>
  <c r="K14" i="24" s="1"/>
  <c r="J13" i="24"/>
  <c r="K13" i="24" s="1"/>
  <c r="J12" i="24"/>
  <c r="K12" i="24" s="1"/>
  <c r="J11" i="24"/>
  <c r="K11" i="24" s="1"/>
  <c r="J10" i="24"/>
  <c r="K10" i="24" s="1"/>
  <c r="J9" i="24"/>
  <c r="K9" i="24" s="1"/>
  <c r="H62" i="27" l="1"/>
  <c r="K62" i="27"/>
  <c r="N62" i="27"/>
  <c r="Q62" i="27"/>
  <c r="T62" i="27"/>
  <c r="Z62" i="27"/>
  <c r="AC62" i="27"/>
  <c r="AI62" i="27"/>
  <c r="AL62" i="27"/>
  <c r="AO62" i="27"/>
  <c r="AR62" i="27"/>
  <c r="Q54" i="18"/>
  <c r="R54" i="18"/>
  <c r="X54" i="18"/>
  <c r="Q55" i="18"/>
  <c r="R55" i="18"/>
  <c r="X55" i="18"/>
  <c r="Q56" i="18"/>
  <c r="R56" i="18" s="1"/>
  <c r="X56" i="18"/>
  <c r="Q54" i="19"/>
  <c r="R54" i="19" s="1"/>
  <c r="X54" i="19"/>
  <c r="Q55" i="19"/>
  <c r="Y55" i="19" s="1"/>
  <c r="Z55" i="19" s="1"/>
  <c r="X55" i="19"/>
  <c r="Q56" i="19"/>
  <c r="R56" i="19"/>
  <c r="X56" i="19"/>
  <c r="Q54" i="15"/>
  <c r="R54" i="15" s="1"/>
  <c r="X54" i="15"/>
  <c r="Q55" i="15"/>
  <c r="R55" i="15" s="1"/>
  <c r="X55" i="15"/>
  <c r="Q56" i="15"/>
  <c r="Y56" i="15" s="1"/>
  <c r="Z56" i="15" s="1"/>
  <c r="X56" i="15"/>
  <c r="Q54" i="21"/>
  <c r="R54" i="21"/>
  <c r="X54" i="21"/>
  <c r="Q55" i="21"/>
  <c r="Y55" i="21" s="1"/>
  <c r="Z55" i="21" s="1"/>
  <c r="R55" i="21"/>
  <c r="X55" i="21"/>
  <c r="Q56" i="21"/>
  <c r="R56" i="21" s="1"/>
  <c r="X56" i="21"/>
  <c r="Q54" i="22"/>
  <c r="Y54" i="22" s="1"/>
  <c r="Z54" i="22" s="1"/>
  <c r="R54" i="22"/>
  <c r="X54" i="22"/>
  <c r="Q55" i="22"/>
  <c r="R55" i="22"/>
  <c r="X55" i="22"/>
  <c r="Q56" i="22"/>
  <c r="R56" i="22"/>
  <c r="X56" i="22"/>
  <c r="Y56" i="22"/>
  <c r="Z56" i="22" s="1"/>
  <c r="Q54" i="16"/>
  <c r="R54" i="16" s="1"/>
  <c r="X54" i="16"/>
  <c r="Q55" i="16"/>
  <c r="Y55" i="16" s="1"/>
  <c r="Z55" i="16" s="1"/>
  <c r="R55" i="16"/>
  <c r="X55" i="16"/>
  <c r="Q56" i="16"/>
  <c r="R56" i="16"/>
  <c r="X56" i="16"/>
  <c r="Q54" i="23"/>
  <c r="R54" i="23" s="1"/>
  <c r="X54" i="23"/>
  <c r="Y54" i="23"/>
  <c r="Z54" i="23" s="1"/>
  <c r="Q55" i="23"/>
  <c r="R55" i="23" s="1"/>
  <c r="X55" i="23"/>
  <c r="Q56" i="23"/>
  <c r="Y56" i="23" s="1"/>
  <c r="Z56" i="23" s="1"/>
  <c r="R56" i="23"/>
  <c r="X56" i="23"/>
  <c r="J54" i="30"/>
  <c r="K54" i="30" s="1"/>
  <c r="Q54" i="30"/>
  <c r="AF62" i="34" s="1"/>
  <c r="AT62" i="34" s="1"/>
  <c r="X54" i="30"/>
  <c r="J55" i="30"/>
  <c r="K55" i="30"/>
  <c r="Q55" i="30"/>
  <c r="AF63" i="34" s="1"/>
  <c r="AT63" i="34" s="1"/>
  <c r="X55" i="30"/>
  <c r="J56" i="30"/>
  <c r="K56" i="30"/>
  <c r="Q56" i="30"/>
  <c r="X56" i="30"/>
  <c r="Q54" i="33"/>
  <c r="Y54" i="33" s="1"/>
  <c r="Z54" i="33" s="1"/>
  <c r="X54" i="33"/>
  <c r="Q55" i="33"/>
  <c r="R55" i="33" s="1"/>
  <c r="X55" i="33"/>
  <c r="Q56" i="33"/>
  <c r="Y56" i="33" s="1"/>
  <c r="Z56" i="33" s="1"/>
  <c r="R56" i="33"/>
  <c r="X56" i="33"/>
  <c r="Q54" i="17"/>
  <c r="R54" i="17" s="1"/>
  <c r="X54" i="17"/>
  <c r="Q55" i="17"/>
  <c r="Y55" i="17" s="1"/>
  <c r="Z55" i="17" s="1"/>
  <c r="X55" i="17"/>
  <c r="Q56" i="17"/>
  <c r="R56" i="17"/>
  <c r="X56" i="17"/>
  <c r="Q54" i="24"/>
  <c r="R54" i="24" s="1"/>
  <c r="X54" i="24"/>
  <c r="Q55" i="24"/>
  <c r="R55" i="24" s="1"/>
  <c r="X55" i="24"/>
  <c r="Q56" i="24"/>
  <c r="Y56" i="24" s="1"/>
  <c r="Z56" i="24" s="1"/>
  <c r="X56" i="24"/>
  <c r="Q54" i="31"/>
  <c r="R54" i="31"/>
  <c r="X54" i="31"/>
  <c r="Q55" i="31"/>
  <c r="Y55" i="31" s="1"/>
  <c r="Z55" i="31" s="1"/>
  <c r="R55" i="31"/>
  <c r="X55" i="31"/>
  <c r="Q56" i="31"/>
  <c r="R56" i="31" s="1"/>
  <c r="X56" i="31"/>
  <c r="Q54" i="2"/>
  <c r="Y54" i="2" s="1"/>
  <c r="Z54" i="2" s="1"/>
  <c r="X54" i="2"/>
  <c r="Q55" i="2"/>
  <c r="R55" i="2"/>
  <c r="X55" i="2"/>
  <c r="Q56" i="2"/>
  <c r="R56" i="2" s="1"/>
  <c r="X56" i="2"/>
  <c r="R56" i="30" l="1"/>
  <c r="AF64" i="34"/>
  <c r="AT64" i="34" s="1"/>
  <c r="Y55" i="30"/>
  <c r="Z55" i="30" s="1"/>
  <c r="R55" i="30"/>
  <c r="R54" i="30"/>
  <c r="AF62" i="27"/>
  <c r="Y56" i="2"/>
  <c r="Z56" i="2" s="1"/>
  <c r="R54" i="2"/>
  <c r="R56" i="15"/>
  <c r="Y54" i="15"/>
  <c r="Z54" i="15" s="1"/>
  <c r="R55" i="19"/>
  <c r="Y56" i="18"/>
  <c r="Z56" i="18" s="1"/>
  <c r="R54" i="33"/>
  <c r="R55" i="17"/>
  <c r="Y54" i="24"/>
  <c r="Z54" i="24" s="1"/>
  <c r="AT62" i="27"/>
  <c r="R56" i="24"/>
  <c r="Y56" i="31"/>
  <c r="Z56" i="31" s="1"/>
  <c r="Y54" i="17"/>
  <c r="Z54" i="17" s="1"/>
  <c r="Y56" i="30"/>
  <c r="Z56" i="30" s="1"/>
  <c r="Y55" i="23"/>
  <c r="Z55" i="23" s="1"/>
  <c r="Y56" i="21"/>
  <c r="Z56" i="21" s="1"/>
  <c r="Y54" i="19"/>
  <c r="Z54" i="19" s="1"/>
  <c r="Y54" i="18"/>
  <c r="Z54" i="18" s="1"/>
  <c r="Y55" i="24"/>
  <c r="Z55" i="24" s="1"/>
  <c r="Y54" i="16"/>
  <c r="Z54" i="16" s="1"/>
  <c r="Y55" i="15"/>
  <c r="Z55" i="15" s="1"/>
  <c r="Y55" i="2"/>
  <c r="Z55" i="2" s="1"/>
  <c r="Y54" i="31"/>
  <c r="Z54" i="31" s="1"/>
  <c r="Y56" i="17"/>
  <c r="Z56" i="17" s="1"/>
  <c r="Y55" i="33"/>
  <c r="Z55" i="33" s="1"/>
  <c r="Y54" i="30"/>
  <c r="Z54" i="30" s="1"/>
  <c r="Y56" i="16"/>
  <c r="Z56" i="16" s="1"/>
  <c r="Y55" i="22"/>
  <c r="Z55" i="22" s="1"/>
  <c r="Y54" i="21"/>
  <c r="Z54" i="21" s="1"/>
  <c r="Y56" i="19"/>
  <c r="Z56" i="19" s="1"/>
  <c r="Y55" i="18"/>
  <c r="Z55" i="18" s="1"/>
  <c r="H39" i="27"/>
  <c r="K39" i="27"/>
  <c r="N39" i="27"/>
  <c r="Q39" i="27"/>
  <c r="T39" i="27"/>
  <c r="W39" i="27"/>
  <c r="Z39" i="27"/>
  <c r="AC39" i="27"/>
  <c r="AF39" i="27"/>
  <c r="AI39" i="27"/>
  <c r="AL39" i="27"/>
  <c r="AO39" i="27"/>
  <c r="AR39" i="27"/>
  <c r="Q31" i="18"/>
  <c r="Y31" i="18" s="1"/>
  <c r="Z31" i="18" s="1"/>
  <c r="X31" i="18"/>
  <c r="Q31" i="19"/>
  <c r="R31" i="19"/>
  <c r="X31" i="19"/>
  <c r="Q31" i="15"/>
  <c r="R31" i="15" s="1"/>
  <c r="X31" i="15"/>
  <c r="Q31" i="21"/>
  <c r="R31" i="21" s="1"/>
  <c r="X31" i="21"/>
  <c r="Q31" i="22"/>
  <c r="Y31" i="22" s="1"/>
  <c r="Z31" i="22" s="1"/>
  <c r="R31" i="22"/>
  <c r="X31" i="22"/>
  <c r="Q31" i="16"/>
  <c r="R31" i="16"/>
  <c r="X31" i="16"/>
  <c r="Q31" i="23"/>
  <c r="R31" i="23" s="1"/>
  <c r="X31" i="23"/>
  <c r="J31" i="30"/>
  <c r="K31" i="30"/>
  <c r="Q31" i="30"/>
  <c r="X31" i="30"/>
  <c r="Q31" i="33"/>
  <c r="Y31" i="33" s="1"/>
  <c r="Z31" i="33" s="1"/>
  <c r="X31" i="33"/>
  <c r="Q31" i="17"/>
  <c r="R31" i="17" s="1"/>
  <c r="X31" i="17"/>
  <c r="Q31" i="24"/>
  <c r="R31" i="24" s="1"/>
  <c r="X31" i="24"/>
  <c r="Q31" i="31"/>
  <c r="R31" i="31" s="1"/>
  <c r="X31" i="31"/>
  <c r="Q31" i="2"/>
  <c r="Y31" i="2" s="1"/>
  <c r="Z31" i="2" s="1"/>
  <c r="X31" i="2"/>
  <c r="R31" i="30" l="1"/>
  <c r="AF39" i="34"/>
  <c r="AT39" i="34" s="1"/>
  <c r="R31" i="2"/>
  <c r="Y31" i="15"/>
  <c r="Z31" i="15" s="1"/>
  <c r="Y31" i="23"/>
  <c r="Z31" i="23" s="1"/>
  <c r="R31" i="18"/>
  <c r="R31" i="33"/>
  <c r="Y31" i="24"/>
  <c r="Z31" i="24" s="1"/>
  <c r="AT39" i="27"/>
  <c r="Y31" i="31"/>
  <c r="Z31" i="31" s="1"/>
  <c r="Y31" i="30"/>
  <c r="Z31" i="30" s="1"/>
  <c r="Y31" i="21"/>
  <c r="Z31" i="21" s="1"/>
  <c r="Y31" i="17"/>
  <c r="Z31" i="17" s="1"/>
  <c r="Y31" i="16"/>
  <c r="Z31" i="16" s="1"/>
  <c r="Y31" i="19"/>
  <c r="Z31" i="19" s="1"/>
  <c r="H18" i="27"/>
  <c r="K18" i="27"/>
  <c r="N18" i="27"/>
  <c r="Q18" i="27"/>
  <c r="T18" i="27"/>
  <c r="Z18" i="27"/>
  <c r="AC18" i="27"/>
  <c r="AF18" i="27"/>
  <c r="AI18" i="27"/>
  <c r="AL18" i="27"/>
  <c r="AO18" i="27"/>
  <c r="AR18" i="27"/>
  <c r="H19" i="27"/>
  <c r="K19" i="27"/>
  <c r="N19" i="27"/>
  <c r="Q19" i="27"/>
  <c r="T19" i="27"/>
  <c r="Z19" i="27"/>
  <c r="AC19" i="27"/>
  <c r="AF19" i="27"/>
  <c r="AI19" i="27"/>
  <c r="AL19" i="27"/>
  <c r="AO19" i="27"/>
  <c r="AR19" i="27"/>
  <c r="H20" i="27"/>
  <c r="K20" i="27"/>
  <c r="N20" i="27"/>
  <c r="Q20" i="27"/>
  <c r="T20" i="27"/>
  <c r="Z20" i="27"/>
  <c r="AC20" i="27"/>
  <c r="AF20" i="27"/>
  <c r="AI20" i="27"/>
  <c r="AL20" i="27"/>
  <c r="AO20" i="27"/>
  <c r="AR20" i="27"/>
  <c r="H21" i="27"/>
  <c r="K21" i="27"/>
  <c r="N21" i="27"/>
  <c r="Q21" i="27"/>
  <c r="T21" i="27"/>
  <c r="Z21" i="27"/>
  <c r="AC21" i="27"/>
  <c r="AF21" i="27"/>
  <c r="AI21" i="27"/>
  <c r="AL21" i="27"/>
  <c r="AO21" i="27"/>
  <c r="AR21" i="27"/>
  <c r="H22" i="27"/>
  <c r="K22" i="27"/>
  <c r="N22" i="27"/>
  <c r="Q22" i="27"/>
  <c r="T22" i="27"/>
  <c r="Z22" i="27"/>
  <c r="AC22" i="27"/>
  <c r="AF22" i="27"/>
  <c r="AI22" i="27"/>
  <c r="AL22" i="27"/>
  <c r="AO22" i="27"/>
  <c r="AR22" i="27"/>
  <c r="H23" i="27"/>
  <c r="K23" i="27"/>
  <c r="N23" i="27"/>
  <c r="Q23" i="27"/>
  <c r="T23" i="27"/>
  <c r="Z23" i="27"/>
  <c r="AC23" i="27"/>
  <c r="AF23" i="27"/>
  <c r="AI23" i="27"/>
  <c r="AL23" i="27"/>
  <c r="AO23" i="27"/>
  <c r="AR23" i="27"/>
  <c r="H24" i="27"/>
  <c r="K24" i="27"/>
  <c r="N24" i="27"/>
  <c r="Q24" i="27"/>
  <c r="T24" i="27"/>
  <c r="Z24" i="27"/>
  <c r="AC24" i="27"/>
  <c r="AF24" i="27"/>
  <c r="AI24" i="27"/>
  <c r="AL24" i="27"/>
  <c r="AO24" i="27"/>
  <c r="AR24" i="27"/>
  <c r="H25" i="27"/>
  <c r="K25" i="27"/>
  <c r="N25" i="27"/>
  <c r="Q25" i="27"/>
  <c r="T25" i="27"/>
  <c r="Z25" i="27"/>
  <c r="AC25" i="27"/>
  <c r="AF25" i="27"/>
  <c r="AI25" i="27"/>
  <c r="AL25" i="27"/>
  <c r="AO25" i="27"/>
  <c r="AR25" i="27"/>
  <c r="H26" i="27"/>
  <c r="K26" i="27"/>
  <c r="N26" i="27"/>
  <c r="Q26" i="27"/>
  <c r="T26" i="27"/>
  <c r="Z26" i="27"/>
  <c r="AC26" i="27"/>
  <c r="AF26" i="27"/>
  <c r="AI26" i="27"/>
  <c r="AL26" i="27"/>
  <c r="AO26" i="27"/>
  <c r="AR26" i="27"/>
  <c r="H27" i="27"/>
  <c r="K27" i="27"/>
  <c r="N27" i="27"/>
  <c r="Q27" i="27"/>
  <c r="T27" i="27"/>
  <c r="Z27" i="27"/>
  <c r="AC27" i="27"/>
  <c r="AF27" i="27"/>
  <c r="AI27" i="27"/>
  <c r="AL27" i="27"/>
  <c r="AO27" i="27"/>
  <c r="AR27" i="27"/>
  <c r="H28" i="27"/>
  <c r="K28" i="27"/>
  <c r="N28" i="27"/>
  <c r="Q28" i="27"/>
  <c r="T28" i="27"/>
  <c r="Z28" i="27"/>
  <c r="AC28" i="27"/>
  <c r="AF28" i="27"/>
  <c r="AI28" i="27"/>
  <c r="AL28" i="27"/>
  <c r="AO28" i="27"/>
  <c r="AR28" i="27"/>
  <c r="H29" i="27"/>
  <c r="K29" i="27"/>
  <c r="N29" i="27"/>
  <c r="Q29" i="27"/>
  <c r="T29" i="27"/>
  <c r="Z29" i="27"/>
  <c r="AC29" i="27"/>
  <c r="AF29" i="27"/>
  <c r="AI29" i="27"/>
  <c r="AL29" i="27"/>
  <c r="AO29" i="27"/>
  <c r="AR29" i="27"/>
  <c r="H30" i="27"/>
  <c r="K30" i="27"/>
  <c r="N30" i="27"/>
  <c r="Q30" i="27"/>
  <c r="T30" i="27"/>
  <c r="Z30" i="27"/>
  <c r="AC30" i="27"/>
  <c r="AF30" i="27"/>
  <c r="AI30" i="27"/>
  <c r="AL30" i="27"/>
  <c r="AO30" i="27"/>
  <c r="AR30" i="27"/>
  <c r="H31" i="27"/>
  <c r="K31" i="27"/>
  <c r="N31" i="27"/>
  <c r="Q31" i="27"/>
  <c r="T31" i="27"/>
  <c r="Z31" i="27"/>
  <c r="AC31" i="27"/>
  <c r="AF31" i="27"/>
  <c r="AI31" i="27"/>
  <c r="AL31" i="27"/>
  <c r="AO31" i="27"/>
  <c r="AR31" i="27"/>
  <c r="H32" i="27"/>
  <c r="K32" i="27"/>
  <c r="N32" i="27"/>
  <c r="Q32" i="27"/>
  <c r="T32" i="27"/>
  <c r="Z32" i="27"/>
  <c r="AC32" i="27"/>
  <c r="AF32" i="27"/>
  <c r="AI32" i="27"/>
  <c r="AL32" i="27"/>
  <c r="AO32" i="27"/>
  <c r="AR32" i="27"/>
  <c r="H33" i="27"/>
  <c r="K33" i="27"/>
  <c r="N33" i="27"/>
  <c r="Q33" i="27"/>
  <c r="T33" i="27"/>
  <c r="Z33" i="27"/>
  <c r="AC33" i="27"/>
  <c r="AF33" i="27"/>
  <c r="AI33" i="27"/>
  <c r="AL33" i="27"/>
  <c r="AO33" i="27"/>
  <c r="AR33" i="27"/>
  <c r="H34" i="27"/>
  <c r="K34" i="27"/>
  <c r="N34" i="27"/>
  <c r="Q34" i="27"/>
  <c r="T34" i="27"/>
  <c r="Z34" i="27"/>
  <c r="AC34" i="27"/>
  <c r="AF34" i="27"/>
  <c r="AI34" i="27"/>
  <c r="AL34" i="27"/>
  <c r="AO34" i="27"/>
  <c r="AR34" i="27"/>
  <c r="H35" i="27"/>
  <c r="K35" i="27"/>
  <c r="N35" i="27"/>
  <c r="Q35" i="27"/>
  <c r="T35" i="27"/>
  <c r="Z35" i="27"/>
  <c r="AC35" i="27"/>
  <c r="AF35" i="27"/>
  <c r="AI35" i="27"/>
  <c r="AL35" i="27"/>
  <c r="AO35" i="27"/>
  <c r="AR35" i="27"/>
  <c r="H36" i="27"/>
  <c r="K36" i="27"/>
  <c r="N36" i="27"/>
  <c r="Q36" i="27"/>
  <c r="T36" i="27"/>
  <c r="Z36" i="27"/>
  <c r="AC36" i="27"/>
  <c r="AF36" i="27"/>
  <c r="AI36" i="27"/>
  <c r="AL36" i="27"/>
  <c r="AO36" i="27"/>
  <c r="AR36" i="27"/>
  <c r="H37" i="27"/>
  <c r="K37" i="27"/>
  <c r="N37" i="27"/>
  <c r="Q37" i="27"/>
  <c r="T37" i="27"/>
  <c r="Z37" i="27"/>
  <c r="AC37" i="27"/>
  <c r="AF37" i="27"/>
  <c r="AI37" i="27"/>
  <c r="AL37" i="27"/>
  <c r="AO37" i="27"/>
  <c r="AR37" i="27"/>
  <c r="H38" i="27"/>
  <c r="K38" i="27"/>
  <c r="N38" i="27"/>
  <c r="Q38" i="27"/>
  <c r="T38" i="27"/>
  <c r="Z38" i="27"/>
  <c r="AC38" i="27"/>
  <c r="AF38" i="27"/>
  <c r="AI38" i="27"/>
  <c r="AL38" i="27"/>
  <c r="AO38" i="27"/>
  <c r="AR38" i="27"/>
  <c r="H40" i="27"/>
  <c r="K40" i="27"/>
  <c r="N40" i="27"/>
  <c r="Q40" i="27"/>
  <c r="T40" i="27"/>
  <c r="Z40" i="27"/>
  <c r="AC40" i="27"/>
  <c r="AF40" i="27"/>
  <c r="AI40" i="27"/>
  <c r="AL40" i="27"/>
  <c r="AO40" i="27"/>
  <c r="AR40" i="27"/>
  <c r="H41" i="27"/>
  <c r="K41" i="27"/>
  <c r="N41" i="27"/>
  <c r="Q41" i="27"/>
  <c r="T41" i="27"/>
  <c r="Z41" i="27"/>
  <c r="AC41" i="27"/>
  <c r="AF41" i="27"/>
  <c r="AI41" i="27"/>
  <c r="AL41" i="27"/>
  <c r="AO41" i="27"/>
  <c r="AR41" i="27"/>
  <c r="H42" i="27"/>
  <c r="K42" i="27"/>
  <c r="N42" i="27"/>
  <c r="Q42" i="27"/>
  <c r="T42" i="27"/>
  <c r="Z42" i="27"/>
  <c r="AC42" i="27"/>
  <c r="AF42" i="27"/>
  <c r="AI42" i="27"/>
  <c r="AL42" i="27"/>
  <c r="AO42" i="27"/>
  <c r="AR42" i="27"/>
  <c r="H43" i="27"/>
  <c r="K43" i="27"/>
  <c r="N43" i="27"/>
  <c r="Q43" i="27"/>
  <c r="T43" i="27"/>
  <c r="Z43" i="27"/>
  <c r="AC43" i="27"/>
  <c r="AF43" i="27"/>
  <c r="AI43" i="27"/>
  <c r="AL43" i="27"/>
  <c r="AO43" i="27"/>
  <c r="AR43" i="27"/>
  <c r="H44" i="27"/>
  <c r="K44" i="27"/>
  <c r="N44" i="27"/>
  <c r="Q44" i="27"/>
  <c r="T44" i="27"/>
  <c r="Z44" i="27"/>
  <c r="AC44" i="27"/>
  <c r="AF44" i="27"/>
  <c r="AI44" i="27"/>
  <c r="AL44" i="27"/>
  <c r="AO44" i="27"/>
  <c r="AR44" i="27"/>
  <c r="H45" i="27"/>
  <c r="K45" i="27"/>
  <c r="N45" i="27"/>
  <c r="Q45" i="27"/>
  <c r="T45" i="27"/>
  <c r="Z45" i="27"/>
  <c r="AC45" i="27"/>
  <c r="AF45" i="27"/>
  <c r="AI45" i="27"/>
  <c r="AL45" i="27"/>
  <c r="AO45" i="27"/>
  <c r="AR45" i="27"/>
  <c r="H46" i="27"/>
  <c r="K46" i="27"/>
  <c r="N46" i="27"/>
  <c r="Q46" i="27"/>
  <c r="T46" i="27"/>
  <c r="Z46" i="27"/>
  <c r="AC46" i="27"/>
  <c r="AF46" i="27"/>
  <c r="AI46" i="27"/>
  <c r="AL46" i="27"/>
  <c r="AO46" i="27"/>
  <c r="AR46" i="27"/>
  <c r="H47" i="27"/>
  <c r="K47" i="27"/>
  <c r="N47" i="27"/>
  <c r="Q47" i="27"/>
  <c r="T47" i="27"/>
  <c r="W47" i="27"/>
  <c r="Z47" i="27"/>
  <c r="AC47" i="27"/>
  <c r="AF47" i="27"/>
  <c r="AI47" i="27"/>
  <c r="AL47" i="27"/>
  <c r="AO47" i="27"/>
  <c r="AR47" i="27"/>
  <c r="H48" i="27"/>
  <c r="K48" i="27"/>
  <c r="N48" i="27"/>
  <c r="Q48" i="27"/>
  <c r="T48" i="27"/>
  <c r="W48" i="27"/>
  <c r="Z48" i="27"/>
  <c r="AC48" i="27"/>
  <c r="AF48" i="27"/>
  <c r="AI48" i="27"/>
  <c r="AL48" i="27"/>
  <c r="AO48" i="27"/>
  <c r="AR48" i="27"/>
  <c r="H49" i="27"/>
  <c r="K49" i="27"/>
  <c r="N49" i="27"/>
  <c r="Q49" i="27"/>
  <c r="T49" i="27"/>
  <c r="Z49" i="27"/>
  <c r="AC49" i="27"/>
  <c r="AF49" i="27"/>
  <c r="AI49" i="27"/>
  <c r="AL49" i="27"/>
  <c r="AO49" i="27"/>
  <c r="AR49" i="27"/>
  <c r="H50" i="27"/>
  <c r="K50" i="27"/>
  <c r="N50" i="27"/>
  <c r="Q50" i="27"/>
  <c r="T50" i="27"/>
  <c r="Z50" i="27"/>
  <c r="AC50" i="27"/>
  <c r="AF50" i="27"/>
  <c r="AI50" i="27"/>
  <c r="AL50" i="27"/>
  <c r="AO50" i="27"/>
  <c r="AR50" i="27"/>
  <c r="H51" i="27"/>
  <c r="K51" i="27"/>
  <c r="N51" i="27"/>
  <c r="Q51" i="27"/>
  <c r="T51" i="27"/>
  <c r="Z51" i="27"/>
  <c r="AC51" i="27"/>
  <c r="AF51" i="27"/>
  <c r="AI51" i="27"/>
  <c r="AL51" i="27"/>
  <c r="AO51" i="27"/>
  <c r="AR51" i="27"/>
  <c r="H52" i="27"/>
  <c r="K52" i="27"/>
  <c r="N52" i="27"/>
  <c r="Q52" i="27"/>
  <c r="T52" i="27"/>
  <c r="Z52" i="27"/>
  <c r="AC52" i="27"/>
  <c r="AF52" i="27"/>
  <c r="AI52" i="27"/>
  <c r="AL52" i="27"/>
  <c r="AO52" i="27"/>
  <c r="AR52" i="27"/>
  <c r="H53" i="27"/>
  <c r="K53" i="27"/>
  <c r="N53" i="27"/>
  <c r="Q53" i="27"/>
  <c r="T53" i="27"/>
  <c r="Z53" i="27"/>
  <c r="AC53" i="27"/>
  <c r="AF53" i="27"/>
  <c r="AI53" i="27"/>
  <c r="AL53" i="27"/>
  <c r="AO53" i="27"/>
  <c r="AR53" i="27"/>
  <c r="H54" i="27"/>
  <c r="K54" i="27"/>
  <c r="N54" i="27"/>
  <c r="Q54" i="27"/>
  <c r="T54" i="27"/>
  <c r="W54" i="27"/>
  <c r="Z54" i="27"/>
  <c r="AC54" i="27"/>
  <c r="AF54" i="27"/>
  <c r="AI54" i="27"/>
  <c r="AL54" i="27"/>
  <c r="AO54" i="27"/>
  <c r="AR54" i="27"/>
  <c r="H55" i="27"/>
  <c r="K55" i="27"/>
  <c r="N55" i="27"/>
  <c r="Q55" i="27"/>
  <c r="T55" i="27"/>
  <c r="Z55" i="27"/>
  <c r="AC55" i="27"/>
  <c r="AF55" i="27"/>
  <c r="AI55" i="27"/>
  <c r="AL55" i="27"/>
  <c r="AO55" i="27"/>
  <c r="AR55" i="27"/>
  <c r="H56" i="27"/>
  <c r="K56" i="27"/>
  <c r="N56" i="27"/>
  <c r="Q56" i="27"/>
  <c r="T56" i="27"/>
  <c r="Z56" i="27"/>
  <c r="AC56" i="27"/>
  <c r="AI56" i="27"/>
  <c r="AL56" i="27"/>
  <c r="AO56" i="27"/>
  <c r="AR56" i="27"/>
  <c r="H57" i="27"/>
  <c r="K57" i="27"/>
  <c r="N57" i="27"/>
  <c r="Q57" i="27"/>
  <c r="T57" i="27"/>
  <c r="Z57" i="27"/>
  <c r="AC57" i="27"/>
  <c r="AF57" i="27"/>
  <c r="AI57" i="27"/>
  <c r="AL57" i="27"/>
  <c r="AO57" i="27"/>
  <c r="AR57" i="27"/>
  <c r="H58" i="27"/>
  <c r="K58" i="27"/>
  <c r="N58" i="27"/>
  <c r="Q58" i="27"/>
  <c r="T58" i="27"/>
  <c r="Z58" i="27"/>
  <c r="AC58" i="27"/>
  <c r="AF58" i="27"/>
  <c r="AI58" i="27"/>
  <c r="AL58" i="27"/>
  <c r="AO58" i="27"/>
  <c r="AR58" i="27"/>
  <c r="H59" i="27"/>
  <c r="K59" i="27"/>
  <c r="N59" i="27"/>
  <c r="Q59" i="27"/>
  <c r="T59" i="27"/>
  <c r="Z59" i="27"/>
  <c r="AC59" i="27"/>
  <c r="AF59" i="27"/>
  <c r="AI59" i="27"/>
  <c r="AL59" i="27"/>
  <c r="AO59" i="27"/>
  <c r="AR59" i="27"/>
  <c r="H60" i="27"/>
  <c r="K60" i="27"/>
  <c r="N60" i="27"/>
  <c r="Q60" i="27"/>
  <c r="T60" i="27"/>
  <c r="Z60" i="27"/>
  <c r="AC60" i="27"/>
  <c r="AF60" i="27"/>
  <c r="AI60" i="27"/>
  <c r="AL60" i="27"/>
  <c r="AO60" i="27"/>
  <c r="AR60" i="27"/>
  <c r="H61" i="27"/>
  <c r="K61" i="27"/>
  <c r="N61" i="27"/>
  <c r="Q61" i="27"/>
  <c r="T61" i="27"/>
  <c r="Z61" i="27"/>
  <c r="AC61" i="27"/>
  <c r="AF61" i="27"/>
  <c r="AI61" i="27"/>
  <c r="AL61" i="27"/>
  <c r="AO61" i="27"/>
  <c r="AR61" i="27"/>
  <c r="H63" i="27"/>
  <c r="K63" i="27"/>
  <c r="N63" i="27"/>
  <c r="Q63" i="27"/>
  <c r="T63" i="27"/>
  <c r="Z63" i="27"/>
  <c r="AC63" i="27"/>
  <c r="AF63" i="27"/>
  <c r="AI63" i="27"/>
  <c r="AL63" i="27"/>
  <c r="AO63" i="27"/>
  <c r="AR63" i="27"/>
  <c r="H64" i="27"/>
  <c r="K64" i="27"/>
  <c r="N64" i="27"/>
  <c r="Q64" i="27"/>
  <c r="T64" i="27"/>
  <c r="Z64" i="27"/>
  <c r="AC64" i="27"/>
  <c r="AF64" i="27"/>
  <c r="AI64" i="27"/>
  <c r="AL64" i="27"/>
  <c r="AO64" i="27"/>
  <c r="AR64" i="27"/>
  <c r="H65" i="27"/>
  <c r="K65" i="27"/>
  <c r="N65" i="27"/>
  <c r="Q65" i="27"/>
  <c r="T65" i="27"/>
  <c r="Z65" i="27"/>
  <c r="AC65" i="27"/>
  <c r="AF65" i="27"/>
  <c r="AI65" i="27"/>
  <c r="AL65" i="27"/>
  <c r="AO65" i="27"/>
  <c r="AR65" i="27"/>
  <c r="H66" i="27"/>
  <c r="K66" i="27"/>
  <c r="N66" i="27"/>
  <c r="Q66" i="27"/>
  <c r="T66" i="27"/>
  <c r="Z66" i="27"/>
  <c r="AC66" i="27"/>
  <c r="AF66" i="27"/>
  <c r="AI66" i="27"/>
  <c r="AL66" i="27"/>
  <c r="AO66" i="27"/>
  <c r="AR66" i="27"/>
  <c r="H67" i="27"/>
  <c r="K67" i="27"/>
  <c r="N67" i="27"/>
  <c r="Q67" i="27"/>
  <c r="T67" i="27"/>
  <c r="Z67" i="27"/>
  <c r="AC67" i="27"/>
  <c r="AF67" i="27"/>
  <c r="AI67" i="27"/>
  <c r="AL67" i="27"/>
  <c r="AO67" i="27"/>
  <c r="AR67" i="27"/>
  <c r="H68" i="27"/>
  <c r="K68" i="27"/>
  <c r="N68" i="27"/>
  <c r="Q68" i="27"/>
  <c r="T68" i="27"/>
  <c r="Z68" i="27"/>
  <c r="AC68" i="27"/>
  <c r="AF68" i="27"/>
  <c r="AI68" i="27"/>
  <c r="AL68" i="27"/>
  <c r="AO68" i="27"/>
  <c r="AR68" i="27"/>
  <c r="H69" i="27"/>
  <c r="K69" i="27"/>
  <c r="N69" i="27"/>
  <c r="Q69" i="27"/>
  <c r="T69" i="27"/>
  <c r="Z69" i="27"/>
  <c r="AC69" i="27"/>
  <c r="AF69" i="27"/>
  <c r="AI69" i="27"/>
  <c r="AL69" i="27"/>
  <c r="AO69" i="27"/>
  <c r="AR69" i="27"/>
  <c r="H70" i="27"/>
  <c r="K70" i="27"/>
  <c r="N70" i="27"/>
  <c r="Q70" i="27"/>
  <c r="T70" i="27"/>
  <c r="Z70" i="27"/>
  <c r="AC70" i="27"/>
  <c r="AF70" i="27"/>
  <c r="AI70" i="27"/>
  <c r="AL70" i="27"/>
  <c r="AO70" i="27"/>
  <c r="AR70" i="27"/>
  <c r="H71" i="27"/>
  <c r="K71" i="27"/>
  <c r="N71" i="27"/>
  <c r="Q71" i="27"/>
  <c r="T71" i="27"/>
  <c r="Z71" i="27"/>
  <c r="AC71" i="27"/>
  <c r="AF71" i="27"/>
  <c r="AI71" i="27"/>
  <c r="AL71" i="27"/>
  <c r="AO71" i="27"/>
  <c r="AR71" i="27"/>
  <c r="Q46" i="18"/>
  <c r="R46" i="18"/>
  <c r="X46" i="18"/>
  <c r="Q47" i="18"/>
  <c r="R47" i="18" s="1"/>
  <c r="X47" i="18"/>
  <c r="Q46" i="19"/>
  <c r="R46" i="19" s="1"/>
  <c r="X46" i="19"/>
  <c r="Y46" i="19"/>
  <c r="Z46" i="19" s="1"/>
  <c r="Q47" i="19"/>
  <c r="R47" i="19" s="1"/>
  <c r="X47" i="19"/>
  <c r="Q46" i="15"/>
  <c r="R46" i="15"/>
  <c r="X46" i="15"/>
  <c r="Q47" i="15"/>
  <c r="R47" i="15" s="1"/>
  <c r="X47" i="15"/>
  <c r="Q46" i="21"/>
  <c r="R46" i="21" s="1"/>
  <c r="X46" i="21"/>
  <c r="Q47" i="21"/>
  <c r="R47" i="21" s="1"/>
  <c r="X47" i="21"/>
  <c r="Q46" i="22"/>
  <c r="R46" i="22"/>
  <c r="X46" i="22"/>
  <c r="Q47" i="22"/>
  <c r="R47" i="22"/>
  <c r="X47" i="22"/>
  <c r="Q46" i="16"/>
  <c r="R46" i="16" s="1"/>
  <c r="X46" i="16"/>
  <c r="Q47" i="16"/>
  <c r="R47" i="16" s="1"/>
  <c r="X47" i="16"/>
  <c r="Q46" i="23"/>
  <c r="R46" i="23" s="1"/>
  <c r="X46" i="23"/>
  <c r="Q47" i="23"/>
  <c r="R47" i="23"/>
  <c r="X47" i="23"/>
  <c r="J46" i="30"/>
  <c r="K46" i="30"/>
  <c r="Q46" i="30"/>
  <c r="X46" i="30"/>
  <c r="J47" i="30"/>
  <c r="K47" i="30"/>
  <c r="Q47" i="30"/>
  <c r="X47" i="30"/>
  <c r="Q46" i="33"/>
  <c r="R46" i="33"/>
  <c r="X46" i="33"/>
  <c r="Q47" i="33"/>
  <c r="R47" i="33" s="1"/>
  <c r="X47" i="33"/>
  <c r="Q46" i="17"/>
  <c r="R46" i="17" s="1"/>
  <c r="X46" i="17"/>
  <c r="Y46" i="17"/>
  <c r="Z46" i="17" s="1"/>
  <c r="Q47" i="17"/>
  <c r="R47" i="17" s="1"/>
  <c r="X47" i="17"/>
  <c r="Q46" i="24"/>
  <c r="R46" i="24"/>
  <c r="X46" i="24"/>
  <c r="Q47" i="24"/>
  <c r="R47" i="24"/>
  <c r="X47" i="24"/>
  <c r="Q46" i="31"/>
  <c r="R46" i="31" s="1"/>
  <c r="X46" i="31"/>
  <c r="Y46" i="31"/>
  <c r="Z46" i="31" s="1"/>
  <c r="Q47" i="31"/>
  <c r="R47" i="31" s="1"/>
  <c r="X47" i="31"/>
  <c r="Q46" i="2"/>
  <c r="R46" i="2" s="1"/>
  <c r="X46" i="2"/>
  <c r="Q47" i="2"/>
  <c r="R47" i="2"/>
  <c r="X47" i="2"/>
  <c r="R47" i="30" l="1"/>
  <c r="AF55" i="34"/>
  <c r="AT55" i="34" s="1"/>
  <c r="R46" i="30"/>
  <c r="AF54" i="34"/>
  <c r="AT54" i="34" s="1"/>
  <c r="Y46" i="30"/>
  <c r="Z46" i="30" s="1"/>
  <c r="Y46" i="16"/>
  <c r="Z46" i="16" s="1"/>
  <c r="Y46" i="21"/>
  <c r="Z46" i="21" s="1"/>
  <c r="AT54" i="27"/>
  <c r="Y47" i="31"/>
  <c r="Z47" i="31" s="1"/>
  <c r="Y47" i="17"/>
  <c r="Z47" i="17" s="1"/>
  <c r="Y47" i="30"/>
  <c r="Z47" i="30" s="1"/>
  <c r="Y47" i="16"/>
  <c r="Z47" i="16" s="1"/>
  <c r="Y47" i="21"/>
  <c r="Z47" i="21" s="1"/>
  <c r="Y47" i="19"/>
  <c r="Z47" i="19" s="1"/>
  <c r="Y46" i="2"/>
  <c r="Z46" i="2" s="1"/>
  <c r="Y46" i="24"/>
  <c r="Z46" i="24" s="1"/>
  <c r="Y46" i="33"/>
  <c r="Z46" i="33" s="1"/>
  <c r="Y46" i="23"/>
  <c r="Z46" i="23" s="1"/>
  <c r="Y46" i="22"/>
  <c r="Z46" i="22" s="1"/>
  <c r="Y46" i="15"/>
  <c r="Z46" i="15" s="1"/>
  <c r="Y46" i="18"/>
  <c r="Z46" i="18" s="1"/>
  <c r="Y47" i="2"/>
  <c r="Z47" i="2" s="1"/>
  <c r="Y47" i="24"/>
  <c r="Z47" i="24" s="1"/>
  <c r="Y47" i="33"/>
  <c r="Z47" i="33" s="1"/>
  <c r="Y47" i="23"/>
  <c r="Z47" i="23" s="1"/>
  <c r="Y47" i="15"/>
  <c r="Z47" i="15" s="1"/>
  <c r="Y47" i="18"/>
  <c r="Z47" i="18" s="1"/>
  <c r="AT48" i="27"/>
  <c r="AT47" i="27"/>
  <c r="Q39" i="18"/>
  <c r="Y39" i="18" s="1"/>
  <c r="Z39" i="18" s="1"/>
  <c r="R39" i="18"/>
  <c r="X39" i="18"/>
  <c r="Q40" i="18"/>
  <c r="R40" i="18"/>
  <c r="X40" i="18"/>
  <c r="Q41" i="18"/>
  <c r="R41" i="18"/>
  <c r="X41" i="18"/>
  <c r="Y41" i="18"/>
  <c r="Z41" i="18" s="1"/>
  <c r="Q42" i="18"/>
  <c r="X42" i="18"/>
  <c r="Q43" i="18"/>
  <c r="Y43" i="18" s="1"/>
  <c r="Z43" i="18" s="1"/>
  <c r="R43" i="18"/>
  <c r="X43" i="18"/>
  <c r="Q39" i="19"/>
  <c r="R39" i="19"/>
  <c r="X39" i="19"/>
  <c r="Q40" i="19"/>
  <c r="R40" i="19" s="1"/>
  <c r="X40" i="19"/>
  <c r="Y40" i="19"/>
  <c r="Z40" i="19" s="1"/>
  <c r="Q41" i="19"/>
  <c r="X41" i="19"/>
  <c r="Q42" i="19"/>
  <c r="Y42" i="19" s="1"/>
  <c r="Z42" i="19" s="1"/>
  <c r="R42" i="19"/>
  <c r="X42" i="19"/>
  <c r="Q43" i="19"/>
  <c r="R43" i="19"/>
  <c r="X43" i="19"/>
  <c r="Q39" i="15"/>
  <c r="Y39" i="15" s="1"/>
  <c r="Z39" i="15" s="1"/>
  <c r="X39" i="15"/>
  <c r="Q40" i="15"/>
  <c r="X40" i="15"/>
  <c r="Q41" i="15"/>
  <c r="Y41" i="15" s="1"/>
  <c r="Z41" i="15" s="1"/>
  <c r="X41" i="15"/>
  <c r="Q42" i="15"/>
  <c r="R42" i="15"/>
  <c r="X42" i="15"/>
  <c r="Q43" i="15"/>
  <c r="Y43" i="15" s="1"/>
  <c r="Z43" i="15" s="1"/>
  <c r="X43" i="15"/>
  <c r="Q39" i="21"/>
  <c r="X39" i="21"/>
  <c r="Q40" i="21"/>
  <c r="Y40" i="21" s="1"/>
  <c r="Z40" i="21" s="1"/>
  <c r="X40" i="21"/>
  <c r="Q41" i="21"/>
  <c r="R41" i="21"/>
  <c r="X41" i="21"/>
  <c r="Q42" i="21"/>
  <c r="Y42" i="21" s="1"/>
  <c r="Z42" i="21" s="1"/>
  <c r="R42" i="21"/>
  <c r="X42" i="21"/>
  <c r="Q43" i="21"/>
  <c r="X43" i="21"/>
  <c r="Q39" i="22"/>
  <c r="Y39" i="22" s="1"/>
  <c r="Z39" i="22" s="1"/>
  <c r="R39" i="22"/>
  <c r="X39" i="22"/>
  <c r="Q40" i="22"/>
  <c r="R40" i="22"/>
  <c r="X40" i="22"/>
  <c r="Q41" i="22"/>
  <c r="R41" i="22" s="1"/>
  <c r="X41" i="22"/>
  <c r="Q42" i="22"/>
  <c r="X42" i="22"/>
  <c r="Q43" i="22"/>
  <c r="R43" i="22"/>
  <c r="X43" i="22"/>
  <c r="Q39" i="16"/>
  <c r="R39" i="16" s="1"/>
  <c r="X39" i="16"/>
  <c r="Q40" i="16"/>
  <c r="Y40" i="16" s="1"/>
  <c r="Z40" i="16" s="1"/>
  <c r="R40" i="16"/>
  <c r="X40" i="16"/>
  <c r="Q41" i="16"/>
  <c r="X41" i="16"/>
  <c r="Q42" i="16"/>
  <c r="Y42" i="16" s="1"/>
  <c r="Z42" i="16" s="1"/>
  <c r="R42" i="16"/>
  <c r="X42" i="16"/>
  <c r="Q43" i="16"/>
  <c r="R43" i="16" s="1"/>
  <c r="X43" i="16"/>
  <c r="Q39" i="23"/>
  <c r="R39" i="23" s="1"/>
  <c r="X39" i="23"/>
  <c r="Q40" i="23"/>
  <c r="X40" i="23"/>
  <c r="Q41" i="23"/>
  <c r="Y41" i="23" s="1"/>
  <c r="Z41" i="23" s="1"/>
  <c r="R41" i="23"/>
  <c r="X41" i="23"/>
  <c r="Q42" i="23"/>
  <c r="R42" i="23" s="1"/>
  <c r="X42" i="23"/>
  <c r="Q43" i="23"/>
  <c r="R43" i="23" s="1"/>
  <c r="X43" i="23"/>
  <c r="J39" i="30"/>
  <c r="K39" i="30"/>
  <c r="Q39" i="30"/>
  <c r="AF47" i="34" s="1"/>
  <c r="AT47" i="34" s="1"/>
  <c r="X39" i="30"/>
  <c r="J40" i="30"/>
  <c r="K40" i="30"/>
  <c r="Q40" i="30"/>
  <c r="X40" i="30"/>
  <c r="J41" i="30"/>
  <c r="Q41" i="30"/>
  <c r="AF49" i="34" s="1"/>
  <c r="AT49" i="34" s="1"/>
  <c r="X41" i="30"/>
  <c r="J42" i="30"/>
  <c r="K42" i="30"/>
  <c r="Q42" i="30"/>
  <c r="AF50" i="34" s="1"/>
  <c r="AT50" i="34" s="1"/>
  <c r="X42" i="30"/>
  <c r="J43" i="30"/>
  <c r="K43" i="30"/>
  <c r="Q43" i="30"/>
  <c r="AF51" i="34" s="1"/>
  <c r="AT51" i="34" s="1"/>
  <c r="X43" i="30"/>
  <c r="Q39" i="33"/>
  <c r="Y39" i="33" s="1"/>
  <c r="Z39" i="33" s="1"/>
  <c r="X39" i="33"/>
  <c r="Q40" i="33"/>
  <c r="R40" i="33" s="1"/>
  <c r="X40" i="33"/>
  <c r="Q41" i="33"/>
  <c r="R41" i="33" s="1"/>
  <c r="X41" i="33"/>
  <c r="Q42" i="33"/>
  <c r="X42" i="33"/>
  <c r="Q43" i="33"/>
  <c r="Y43" i="33" s="1"/>
  <c r="Z43" i="33" s="1"/>
  <c r="X43" i="33"/>
  <c r="Q39" i="17"/>
  <c r="R39" i="17" s="1"/>
  <c r="X39" i="17"/>
  <c r="Q40" i="17"/>
  <c r="R40" i="17"/>
  <c r="X40" i="17"/>
  <c r="Y40" i="17"/>
  <c r="Z40" i="17" s="1"/>
  <c r="Q41" i="17"/>
  <c r="X41" i="17"/>
  <c r="Q42" i="17"/>
  <c r="Y42" i="17" s="1"/>
  <c r="Z42" i="17" s="1"/>
  <c r="R42" i="17"/>
  <c r="X42" i="17"/>
  <c r="Q43" i="17"/>
  <c r="R43" i="17" s="1"/>
  <c r="X43" i="17"/>
  <c r="Q39" i="24"/>
  <c r="R39" i="24" s="1"/>
  <c r="X39" i="24"/>
  <c r="Y39" i="24"/>
  <c r="Z39" i="24" s="1"/>
  <c r="Q40" i="24"/>
  <c r="X40" i="24"/>
  <c r="Q41" i="24"/>
  <c r="Y41" i="24" s="1"/>
  <c r="Z41" i="24" s="1"/>
  <c r="R41" i="24"/>
  <c r="X41" i="24"/>
  <c r="Q42" i="24"/>
  <c r="R42" i="24"/>
  <c r="X42" i="24"/>
  <c r="Q43" i="24"/>
  <c r="R43" i="24" s="1"/>
  <c r="X43" i="24"/>
  <c r="Y43" i="24"/>
  <c r="Z43" i="24" s="1"/>
  <c r="Q39" i="31"/>
  <c r="X39" i="31"/>
  <c r="Q40" i="31"/>
  <c r="Y40" i="31" s="1"/>
  <c r="Z40" i="31" s="1"/>
  <c r="R40" i="31"/>
  <c r="X40" i="31"/>
  <c r="Q41" i="31"/>
  <c r="R41" i="31"/>
  <c r="X41" i="31"/>
  <c r="Q42" i="31"/>
  <c r="R42" i="31" s="1"/>
  <c r="X42" i="31"/>
  <c r="Y42" i="31"/>
  <c r="Z42" i="31" s="1"/>
  <c r="Q43" i="31"/>
  <c r="X43" i="31"/>
  <c r="Q39" i="2"/>
  <c r="Y39" i="2" s="1"/>
  <c r="Z39" i="2" s="1"/>
  <c r="X39" i="2"/>
  <c r="Q40" i="2"/>
  <c r="R40" i="2"/>
  <c r="X40" i="2"/>
  <c r="Q41" i="2"/>
  <c r="R41" i="2" s="1"/>
  <c r="X41" i="2"/>
  <c r="Q42" i="2"/>
  <c r="R42" i="2" s="1"/>
  <c r="X42" i="2"/>
  <c r="Q43" i="2"/>
  <c r="Y43" i="2" s="1"/>
  <c r="Z43" i="2" s="1"/>
  <c r="X43" i="2"/>
  <c r="Y47" i="22"/>
  <c r="Z47" i="22" s="1"/>
  <c r="R42" i="30" l="1"/>
  <c r="Y42" i="30"/>
  <c r="Z42" i="30" s="1"/>
  <c r="R41" i="30"/>
  <c r="Y40" i="30"/>
  <c r="Z40" i="30" s="1"/>
  <c r="AF48" i="34"/>
  <c r="AT48" i="34" s="1"/>
  <c r="R40" i="30"/>
  <c r="R43" i="2"/>
  <c r="Y41" i="2"/>
  <c r="Z41" i="2" s="1"/>
  <c r="R39" i="2"/>
  <c r="R43" i="15"/>
  <c r="R39" i="15"/>
  <c r="R41" i="15"/>
  <c r="Y43" i="23"/>
  <c r="Z43" i="23" s="1"/>
  <c r="Y39" i="23"/>
  <c r="Z39" i="23" s="1"/>
  <c r="R40" i="21"/>
  <c r="R43" i="33"/>
  <c r="Y41" i="33"/>
  <c r="Z41" i="33" s="1"/>
  <c r="R39" i="33"/>
  <c r="W50" i="27"/>
  <c r="AT50" i="27" s="1"/>
  <c r="W51" i="27"/>
  <c r="AT51" i="27" s="1"/>
  <c r="W49" i="27"/>
  <c r="AT49" i="27" s="1"/>
  <c r="Y41" i="22"/>
  <c r="Z41" i="22" s="1"/>
  <c r="W55" i="27"/>
  <c r="Y43" i="22"/>
  <c r="Z43" i="22" s="1"/>
  <c r="Y40" i="2"/>
  <c r="Z40" i="2" s="1"/>
  <c r="R43" i="31"/>
  <c r="Y43" i="31"/>
  <c r="Z43" i="31" s="1"/>
  <c r="R39" i="31"/>
  <c r="Y39" i="31"/>
  <c r="Z39" i="31" s="1"/>
  <c r="Y42" i="24"/>
  <c r="Z42" i="24" s="1"/>
  <c r="R40" i="24"/>
  <c r="Y40" i="24"/>
  <c r="Z40" i="24" s="1"/>
  <c r="Y43" i="17"/>
  <c r="Z43" i="17" s="1"/>
  <c r="R41" i="17"/>
  <c r="Y41" i="17"/>
  <c r="Z41" i="17" s="1"/>
  <c r="Y39" i="17"/>
  <c r="Z39" i="17" s="1"/>
  <c r="R42" i="33"/>
  <c r="Y42" i="33"/>
  <c r="Z42" i="33" s="1"/>
  <c r="Y40" i="33"/>
  <c r="Z40" i="33" s="1"/>
  <c r="R43" i="30"/>
  <c r="Y43" i="30"/>
  <c r="Z43" i="30" s="1"/>
  <c r="K41" i="30"/>
  <c r="Y41" i="30"/>
  <c r="Z41" i="30" s="1"/>
  <c r="R39" i="30"/>
  <c r="Y39" i="30"/>
  <c r="Z39" i="30" s="1"/>
  <c r="Y42" i="23"/>
  <c r="Z42" i="23" s="1"/>
  <c r="R40" i="23"/>
  <c r="Y40" i="23"/>
  <c r="Z40" i="23" s="1"/>
  <c r="Y43" i="16"/>
  <c r="Z43" i="16" s="1"/>
  <c r="R41" i="16"/>
  <c r="Y41" i="16"/>
  <c r="Z41" i="16" s="1"/>
  <c r="Y39" i="16"/>
  <c r="Z39" i="16" s="1"/>
  <c r="R42" i="22"/>
  <c r="Y42" i="22"/>
  <c r="Z42" i="22" s="1"/>
  <c r="Y40" i="22"/>
  <c r="Z40" i="22" s="1"/>
  <c r="R43" i="21"/>
  <c r="Y43" i="21"/>
  <c r="Z43" i="21" s="1"/>
  <c r="Y41" i="21"/>
  <c r="Z41" i="21" s="1"/>
  <c r="R39" i="21"/>
  <c r="Y39" i="21"/>
  <c r="Z39" i="21" s="1"/>
  <c r="Y42" i="15"/>
  <c r="Z42" i="15" s="1"/>
  <c r="R40" i="15"/>
  <c r="Y40" i="15"/>
  <c r="Z40" i="15" s="1"/>
  <c r="Y43" i="19"/>
  <c r="Z43" i="19" s="1"/>
  <c r="R41" i="19"/>
  <c r="Y41" i="19"/>
  <c r="Z41" i="19" s="1"/>
  <c r="Y39" i="19"/>
  <c r="Z39" i="19" s="1"/>
  <c r="R42" i="18"/>
  <c r="Y42" i="18"/>
  <c r="Z42" i="18" s="1"/>
  <c r="Y40" i="18"/>
  <c r="Z40" i="18" s="1"/>
  <c r="Y41" i="31"/>
  <c r="Z41" i="31" s="1"/>
  <c r="Y42" i="2"/>
  <c r="Z42" i="2" s="1"/>
  <c r="Q25" i="18" l="1"/>
  <c r="R25" i="18" s="1"/>
  <c r="X25" i="18"/>
  <c r="Q26" i="18"/>
  <c r="R26" i="18" s="1"/>
  <c r="X26" i="18"/>
  <c r="Q25" i="19"/>
  <c r="R25" i="19" s="1"/>
  <c r="X25" i="19"/>
  <c r="Q26" i="19"/>
  <c r="R26" i="19" s="1"/>
  <c r="X26" i="19"/>
  <c r="Q25" i="15"/>
  <c r="R25" i="15" s="1"/>
  <c r="X25" i="15"/>
  <c r="Q26" i="15"/>
  <c r="R26" i="15" s="1"/>
  <c r="X26" i="15"/>
  <c r="Q25" i="21"/>
  <c r="R25" i="21" s="1"/>
  <c r="X25" i="21"/>
  <c r="Q26" i="21"/>
  <c r="R26" i="21" s="1"/>
  <c r="X26" i="21"/>
  <c r="W33" i="27"/>
  <c r="Q25" i="22"/>
  <c r="R25" i="22" s="1"/>
  <c r="X25" i="22"/>
  <c r="W34" i="27"/>
  <c r="Q26" i="22"/>
  <c r="R26" i="22" s="1"/>
  <c r="X26" i="22"/>
  <c r="Q25" i="16"/>
  <c r="R25" i="16" s="1"/>
  <c r="X25" i="16"/>
  <c r="Y26" i="16"/>
  <c r="Z26" i="16" s="1"/>
  <c r="Q26" i="16"/>
  <c r="R26" i="16" s="1"/>
  <c r="X26" i="16"/>
  <c r="Q25" i="23"/>
  <c r="R25" i="23" s="1"/>
  <c r="X25" i="23"/>
  <c r="Q26" i="23"/>
  <c r="R26" i="23"/>
  <c r="X26" i="23"/>
  <c r="J25" i="30"/>
  <c r="K25" i="30" s="1"/>
  <c r="Q25" i="30"/>
  <c r="AF33" i="34" s="1"/>
  <c r="AT33" i="34" s="1"/>
  <c r="X25" i="30"/>
  <c r="J26" i="30"/>
  <c r="K26" i="30" s="1"/>
  <c r="Q26" i="30"/>
  <c r="X26" i="30"/>
  <c r="Q25" i="33"/>
  <c r="R25" i="33" s="1"/>
  <c r="X25" i="33"/>
  <c r="Q26" i="33"/>
  <c r="R26" i="33" s="1"/>
  <c r="X26" i="33"/>
  <c r="Q25" i="17"/>
  <c r="R25" i="17"/>
  <c r="X25" i="17"/>
  <c r="Q26" i="17"/>
  <c r="R26" i="17" s="1"/>
  <c r="X26" i="17"/>
  <c r="Q25" i="24"/>
  <c r="R25" i="24" s="1"/>
  <c r="X25" i="24"/>
  <c r="Q26" i="24"/>
  <c r="R26" i="24"/>
  <c r="X26" i="24"/>
  <c r="Q25" i="31"/>
  <c r="R25" i="31" s="1"/>
  <c r="X25" i="31"/>
  <c r="Q26" i="31"/>
  <c r="R26" i="31" s="1"/>
  <c r="X26" i="31"/>
  <c r="Q25" i="2"/>
  <c r="R25" i="2" s="1"/>
  <c r="X25" i="2"/>
  <c r="Q26" i="2"/>
  <c r="R26" i="2" s="1"/>
  <c r="X26" i="2"/>
  <c r="R26" i="30" l="1"/>
  <c r="AF34" i="34"/>
  <c r="AT34" i="34" s="1"/>
  <c r="R25" i="30"/>
  <c r="Y25" i="30"/>
  <c r="Z25" i="30" s="1"/>
  <c r="Y26" i="15"/>
  <c r="Z26" i="15" s="1"/>
  <c r="Y25" i="16"/>
  <c r="Z25" i="16" s="1"/>
  <c r="Y26" i="19"/>
  <c r="Z26" i="19" s="1"/>
  <c r="Y25" i="33"/>
  <c r="Z25" i="33" s="1"/>
  <c r="Y25" i="21"/>
  <c r="Z25" i="21" s="1"/>
  <c r="Y26" i="21"/>
  <c r="Z26" i="21" s="1"/>
  <c r="Y25" i="31"/>
  <c r="Z25" i="31" s="1"/>
  <c r="Y26" i="24"/>
  <c r="Z26" i="24" s="1"/>
  <c r="Y25" i="24"/>
  <c r="Z25" i="24" s="1"/>
  <c r="Y25" i="2"/>
  <c r="Z25" i="2" s="1"/>
  <c r="Y26" i="31"/>
  <c r="Z26" i="31" s="1"/>
  <c r="Y26" i="23"/>
  <c r="Z26" i="23" s="1"/>
  <c r="Y25" i="23"/>
  <c r="Z25" i="23" s="1"/>
  <c r="Y25" i="22"/>
  <c r="Z25" i="22" s="1"/>
  <c r="Y25" i="19"/>
  <c r="Z25" i="19" s="1"/>
  <c r="Y25" i="17"/>
  <c r="Z25" i="17" s="1"/>
  <c r="Y26" i="17"/>
  <c r="Z26" i="17" s="1"/>
  <c r="Y26" i="30"/>
  <c r="Z26" i="30" s="1"/>
  <c r="Y25" i="15"/>
  <c r="Z25" i="15" s="1"/>
  <c r="Y25" i="18"/>
  <c r="Z25" i="18" s="1"/>
  <c r="Y26" i="2"/>
  <c r="Z26" i="2" s="1"/>
  <c r="Y26" i="33"/>
  <c r="Z26" i="33" s="1"/>
  <c r="Y26" i="22"/>
  <c r="Z26" i="22" s="1"/>
  <c r="Y26" i="18"/>
  <c r="Z26" i="18" s="1"/>
  <c r="R22" i="16"/>
  <c r="R18" i="16"/>
  <c r="Q32" i="2" l="1"/>
  <c r="R32" i="2" s="1"/>
  <c r="X32" i="2"/>
  <c r="Q33" i="2"/>
  <c r="R33" i="2" s="1"/>
  <c r="X33" i="2"/>
  <c r="Y33" i="2" s="1"/>
  <c r="Z33" i="2" s="1"/>
  <c r="Q34" i="2"/>
  <c r="R34" i="2" s="1"/>
  <c r="X34" i="2"/>
  <c r="Q35" i="2"/>
  <c r="R35" i="2" s="1"/>
  <c r="X35" i="2"/>
  <c r="Q36" i="2"/>
  <c r="R36" i="2" s="1"/>
  <c r="X36" i="2"/>
  <c r="Q37" i="2"/>
  <c r="R37" i="2" s="1"/>
  <c r="X37" i="2"/>
  <c r="Q38" i="2"/>
  <c r="R38" i="2" s="1"/>
  <c r="X38" i="2"/>
  <c r="Q44" i="2"/>
  <c r="R44" i="2" s="1"/>
  <c r="X44" i="2"/>
  <c r="Q45" i="2"/>
  <c r="R45" i="2" s="1"/>
  <c r="X45" i="2"/>
  <c r="Q48" i="2"/>
  <c r="R48" i="2" s="1"/>
  <c r="X48" i="2"/>
  <c r="Q32" i="18"/>
  <c r="R32" i="18" s="1"/>
  <c r="X32" i="18"/>
  <c r="Q33" i="18"/>
  <c r="R33" i="18" s="1"/>
  <c r="X33" i="18"/>
  <c r="Q34" i="18"/>
  <c r="R34" i="18" s="1"/>
  <c r="X34" i="18"/>
  <c r="Q35" i="18"/>
  <c r="R35" i="18" s="1"/>
  <c r="X35" i="18"/>
  <c r="Q36" i="18"/>
  <c r="R36" i="18" s="1"/>
  <c r="X36" i="18"/>
  <c r="Q37" i="18"/>
  <c r="R37" i="18" s="1"/>
  <c r="X37" i="18"/>
  <c r="Q38" i="18"/>
  <c r="R38" i="18" s="1"/>
  <c r="X38" i="18"/>
  <c r="Q44" i="18"/>
  <c r="R44" i="18" s="1"/>
  <c r="X44" i="18"/>
  <c r="Q45" i="18"/>
  <c r="R45" i="18" s="1"/>
  <c r="X45" i="18"/>
  <c r="Y45" i="18" s="1"/>
  <c r="Z45" i="18" s="1"/>
  <c r="Q48" i="18"/>
  <c r="R48" i="18" s="1"/>
  <c r="X48" i="18"/>
  <c r="Q32" i="19"/>
  <c r="R32" i="19" s="1"/>
  <c r="X32" i="19"/>
  <c r="Q33" i="19"/>
  <c r="R33" i="19" s="1"/>
  <c r="X33" i="19"/>
  <c r="Q34" i="19"/>
  <c r="R34" i="19" s="1"/>
  <c r="X34" i="19"/>
  <c r="Q35" i="19"/>
  <c r="R35" i="19" s="1"/>
  <c r="X35" i="19"/>
  <c r="Q36" i="19"/>
  <c r="R36" i="19" s="1"/>
  <c r="X36" i="19"/>
  <c r="Q37" i="19"/>
  <c r="R37" i="19" s="1"/>
  <c r="X37" i="19"/>
  <c r="Q38" i="19"/>
  <c r="R38" i="19" s="1"/>
  <c r="X38" i="19"/>
  <c r="Q44" i="19"/>
  <c r="R44" i="19" s="1"/>
  <c r="X44" i="19"/>
  <c r="Q45" i="19"/>
  <c r="R45" i="19" s="1"/>
  <c r="X45" i="19"/>
  <c r="Q48" i="19"/>
  <c r="R48" i="19" s="1"/>
  <c r="X48" i="19"/>
  <c r="Q32" i="15"/>
  <c r="R32" i="15" s="1"/>
  <c r="X32" i="15"/>
  <c r="Q33" i="15"/>
  <c r="R33" i="15" s="1"/>
  <c r="X33" i="15"/>
  <c r="Q34" i="15"/>
  <c r="R34" i="15" s="1"/>
  <c r="X34" i="15"/>
  <c r="Q35" i="15"/>
  <c r="R35" i="15" s="1"/>
  <c r="X35" i="15"/>
  <c r="Q36" i="15"/>
  <c r="R36" i="15" s="1"/>
  <c r="X36" i="15"/>
  <c r="Q37" i="15"/>
  <c r="R37" i="15" s="1"/>
  <c r="X37" i="15"/>
  <c r="Q38" i="15"/>
  <c r="R38" i="15" s="1"/>
  <c r="X38" i="15"/>
  <c r="Q44" i="15"/>
  <c r="R44" i="15" s="1"/>
  <c r="X44" i="15"/>
  <c r="Q45" i="15"/>
  <c r="R45" i="15" s="1"/>
  <c r="X45" i="15"/>
  <c r="Q48" i="15"/>
  <c r="R48" i="15" s="1"/>
  <c r="X48" i="15"/>
  <c r="Q32" i="21"/>
  <c r="R32" i="21" s="1"/>
  <c r="X32" i="21"/>
  <c r="Q33" i="21"/>
  <c r="R33" i="21" s="1"/>
  <c r="X33" i="21"/>
  <c r="Y33" i="21" s="1"/>
  <c r="Z33" i="21" s="1"/>
  <c r="Q34" i="21"/>
  <c r="R34" i="21" s="1"/>
  <c r="X34" i="21"/>
  <c r="Q35" i="21"/>
  <c r="R35" i="21" s="1"/>
  <c r="X35" i="21"/>
  <c r="Q36" i="21"/>
  <c r="R36" i="21" s="1"/>
  <c r="X36" i="21"/>
  <c r="Q37" i="21"/>
  <c r="R37" i="21" s="1"/>
  <c r="X37" i="21"/>
  <c r="Q38" i="21"/>
  <c r="R38" i="21" s="1"/>
  <c r="X38" i="21"/>
  <c r="Q44" i="21"/>
  <c r="R44" i="21" s="1"/>
  <c r="X44" i="21"/>
  <c r="Q45" i="21"/>
  <c r="R45" i="21" s="1"/>
  <c r="X45" i="21"/>
  <c r="Q48" i="21"/>
  <c r="R48" i="21" s="1"/>
  <c r="X48" i="21"/>
  <c r="W40" i="27"/>
  <c r="Q32" i="22"/>
  <c r="R32" i="22" s="1"/>
  <c r="X32" i="22"/>
  <c r="W41" i="27"/>
  <c r="Q33" i="22"/>
  <c r="R33" i="22" s="1"/>
  <c r="X33" i="22"/>
  <c r="W42" i="27"/>
  <c r="Q34" i="22"/>
  <c r="R34" i="22" s="1"/>
  <c r="X34" i="22"/>
  <c r="W43" i="27"/>
  <c r="Q35" i="22"/>
  <c r="R35" i="22" s="1"/>
  <c r="X35" i="22"/>
  <c r="W44" i="27"/>
  <c r="Q36" i="22"/>
  <c r="R36" i="22" s="1"/>
  <c r="X36" i="22"/>
  <c r="W45" i="27"/>
  <c r="Q37" i="22"/>
  <c r="R37" i="22" s="1"/>
  <c r="X37" i="22"/>
  <c r="W46" i="27"/>
  <c r="Q38" i="22"/>
  <c r="R38" i="22" s="1"/>
  <c r="X38" i="22"/>
  <c r="Q44" i="22"/>
  <c r="R44" i="22" s="1"/>
  <c r="X44" i="22"/>
  <c r="W53" i="27"/>
  <c r="Q45" i="22"/>
  <c r="R45" i="22" s="1"/>
  <c r="X45" i="22"/>
  <c r="AT55" i="27"/>
  <c r="W56" i="27"/>
  <c r="Q48" i="22"/>
  <c r="R48" i="22" s="1"/>
  <c r="X48" i="22"/>
  <c r="Q32" i="16"/>
  <c r="R32" i="16" s="1"/>
  <c r="X32" i="16"/>
  <c r="Q33" i="16"/>
  <c r="R33" i="16" s="1"/>
  <c r="X33" i="16"/>
  <c r="Q34" i="16"/>
  <c r="R34" i="16" s="1"/>
  <c r="X34" i="16"/>
  <c r="Q35" i="16"/>
  <c r="R35" i="16" s="1"/>
  <c r="X35" i="16"/>
  <c r="Q36" i="16"/>
  <c r="R36" i="16" s="1"/>
  <c r="X36" i="16"/>
  <c r="Q37" i="16"/>
  <c r="R37" i="16" s="1"/>
  <c r="X37" i="16"/>
  <c r="Q38" i="16"/>
  <c r="R38" i="16" s="1"/>
  <c r="X38" i="16"/>
  <c r="Q44" i="16"/>
  <c r="R44" i="16" s="1"/>
  <c r="X44" i="16"/>
  <c r="Q45" i="16"/>
  <c r="R45" i="16" s="1"/>
  <c r="X45" i="16"/>
  <c r="Q48" i="16"/>
  <c r="R48" i="16" s="1"/>
  <c r="X48" i="16"/>
  <c r="J32" i="30"/>
  <c r="Q32" i="30"/>
  <c r="X32" i="30"/>
  <c r="J33" i="30"/>
  <c r="K33" i="30" s="1"/>
  <c r="Q33" i="30"/>
  <c r="X33" i="30"/>
  <c r="J34" i="30"/>
  <c r="Q34" i="30"/>
  <c r="X34" i="30"/>
  <c r="J35" i="30"/>
  <c r="K35" i="30" s="1"/>
  <c r="Q35" i="30"/>
  <c r="R35" i="30" s="1"/>
  <c r="X35" i="30"/>
  <c r="J36" i="30"/>
  <c r="Q36" i="30"/>
  <c r="X36" i="30"/>
  <c r="J37" i="30"/>
  <c r="K37" i="30" s="1"/>
  <c r="Q37" i="30"/>
  <c r="X37" i="30"/>
  <c r="J38" i="30"/>
  <c r="Q38" i="30"/>
  <c r="X38" i="30"/>
  <c r="J44" i="30"/>
  <c r="Q44" i="30"/>
  <c r="X44" i="30"/>
  <c r="J45" i="30"/>
  <c r="K45" i="30" s="1"/>
  <c r="Q45" i="30"/>
  <c r="X45" i="30"/>
  <c r="J48" i="30"/>
  <c r="Q48" i="30"/>
  <c r="X48" i="30"/>
  <c r="Q32" i="33"/>
  <c r="R32" i="33" s="1"/>
  <c r="X32" i="33"/>
  <c r="Q33" i="33"/>
  <c r="R33" i="33" s="1"/>
  <c r="X33" i="33"/>
  <c r="Q34" i="33"/>
  <c r="R34" i="33" s="1"/>
  <c r="X34" i="33"/>
  <c r="Q35" i="33"/>
  <c r="R35" i="33" s="1"/>
  <c r="X35" i="33"/>
  <c r="Q36" i="33"/>
  <c r="R36" i="33" s="1"/>
  <c r="X36" i="33"/>
  <c r="Q37" i="33"/>
  <c r="R37" i="33" s="1"/>
  <c r="X37" i="33"/>
  <c r="Q38" i="33"/>
  <c r="R38" i="33" s="1"/>
  <c r="X38" i="33"/>
  <c r="Q44" i="33"/>
  <c r="R44" i="33" s="1"/>
  <c r="X44" i="33"/>
  <c r="Q45" i="33"/>
  <c r="R45" i="33" s="1"/>
  <c r="X45" i="33"/>
  <c r="Q48" i="33"/>
  <c r="R48" i="33" s="1"/>
  <c r="X48" i="33"/>
  <c r="Q32" i="17"/>
  <c r="R32" i="17" s="1"/>
  <c r="X32" i="17"/>
  <c r="Q33" i="17"/>
  <c r="R33" i="17" s="1"/>
  <c r="X33" i="17"/>
  <c r="Q34" i="17"/>
  <c r="R34" i="17" s="1"/>
  <c r="X34" i="17"/>
  <c r="Q35" i="17"/>
  <c r="X35" i="17"/>
  <c r="Q36" i="17"/>
  <c r="R36" i="17" s="1"/>
  <c r="X36" i="17"/>
  <c r="Q37" i="17"/>
  <c r="R37" i="17" s="1"/>
  <c r="X37" i="17"/>
  <c r="Q38" i="17"/>
  <c r="R38" i="17" s="1"/>
  <c r="X38" i="17"/>
  <c r="Q44" i="17"/>
  <c r="R44" i="17" s="1"/>
  <c r="X44" i="17"/>
  <c r="Q45" i="17"/>
  <c r="R45" i="17" s="1"/>
  <c r="X45" i="17"/>
  <c r="Q48" i="17"/>
  <c r="R48" i="17" s="1"/>
  <c r="X48" i="17"/>
  <c r="Q32" i="24"/>
  <c r="R32" i="24" s="1"/>
  <c r="X32" i="24"/>
  <c r="Q33" i="24"/>
  <c r="R33" i="24" s="1"/>
  <c r="X33" i="24"/>
  <c r="Q34" i="24"/>
  <c r="R34" i="24" s="1"/>
  <c r="X34" i="24"/>
  <c r="Q35" i="24"/>
  <c r="R35" i="24" s="1"/>
  <c r="X35" i="24"/>
  <c r="Q36" i="24"/>
  <c r="R36" i="24" s="1"/>
  <c r="X36" i="24"/>
  <c r="Q37" i="24"/>
  <c r="R37" i="24" s="1"/>
  <c r="X37" i="24"/>
  <c r="Q38" i="24"/>
  <c r="R38" i="24" s="1"/>
  <c r="X38" i="24"/>
  <c r="Q44" i="24"/>
  <c r="R44" i="24" s="1"/>
  <c r="X44" i="24"/>
  <c r="Q45" i="24"/>
  <c r="R45" i="24" s="1"/>
  <c r="X45" i="24"/>
  <c r="Q48" i="24"/>
  <c r="R48" i="24" s="1"/>
  <c r="X48" i="24"/>
  <c r="Q32" i="31"/>
  <c r="R32" i="31" s="1"/>
  <c r="X32" i="31"/>
  <c r="Q33" i="31"/>
  <c r="R33" i="31" s="1"/>
  <c r="X33" i="31"/>
  <c r="Q34" i="31"/>
  <c r="R34" i="31" s="1"/>
  <c r="X34" i="31"/>
  <c r="Q35" i="31"/>
  <c r="R35" i="31" s="1"/>
  <c r="X35" i="31"/>
  <c r="Q36" i="31"/>
  <c r="R36" i="31" s="1"/>
  <c r="X36" i="31"/>
  <c r="Q37" i="31"/>
  <c r="X37" i="31"/>
  <c r="Q38" i="31"/>
  <c r="R38" i="31" s="1"/>
  <c r="X38" i="31"/>
  <c r="Q44" i="31"/>
  <c r="R44" i="31" s="1"/>
  <c r="X44" i="31"/>
  <c r="Q45" i="31"/>
  <c r="R45" i="31" s="1"/>
  <c r="X45" i="31"/>
  <c r="Q48" i="31"/>
  <c r="R48" i="31" s="1"/>
  <c r="X48" i="31"/>
  <c r="Q32" i="23"/>
  <c r="R32" i="23" s="1"/>
  <c r="X32" i="23"/>
  <c r="Q33" i="23"/>
  <c r="R33" i="23" s="1"/>
  <c r="X33" i="23"/>
  <c r="Q34" i="23"/>
  <c r="R34" i="23" s="1"/>
  <c r="X34" i="23"/>
  <c r="Q35" i="23"/>
  <c r="R35" i="23" s="1"/>
  <c r="X35" i="23"/>
  <c r="Q36" i="23"/>
  <c r="R36" i="23" s="1"/>
  <c r="X36" i="23"/>
  <c r="Q37" i="23"/>
  <c r="R37" i="23" s="1"/>
  <c r="X37" i="23"/>
  <c r="Q38" i="23"/>
  <c r="R38" i="23" s="1"/>
  <c r="X38" i="23"/>
  <c r="Q44" i="23"/>
  <c r="R44" i="23" s="1"/>
  <c r="X44" i="23"/>
  <c r="Q45" i="23"/>
  <c r="R45" i="23" s="1"/>
  <c r="X45" i="23"/>
  <c r="Q48" i="23"/>
  <c r="R48" i="23" s="1"/>
  <c r="X48" i="23"/>
  <c r="R48" i="30" l="1"/>
  <c r="AF56" i="34"/>
  <c r="AT56" i="34" s="1"/>
  <c r="R45" i="30"/>
  <c r="AF53" i="34"/>
  <c r="AT53" i="34" s="1"/>
  <c r="R44" i="30"/>
  <c r="AF52" i="34"/>
  <c r="AT52" i="34" s="1"/>
  <c r="R38" i="30"/>
  <c r="AF46" i="34"/>
  <c r="AT46" i="34" s="1"/>
  <c r="R37" i="30"/>
  <c r="AF45" i="34"/>
  <c r="AT45" i="34" s="1"/>
  <c r="R36" i="30"/>
  <c r="AF44" i="34"/>
  <c r="AT44" i="34" s="1"/>
  <c r="R34" i="30"/>
  <c r="AF42" i="34"/>
  <c r="AT42" i="34" s="1"/>
  <c r="R33" i="30"/>
  <c r="AF41" i="34"/>
  <c r="AT41" i="34" s="1"/>
  <c r="R32" i="30"/>
  <c r="AF40" i="34"/>
  <c r="AT40" i="34" s="1"/>
  <c r="Y48" i="23"/>
  <c r="Z48" i="23" s="1"/>
  <c r="Y48" i="16"/>
  <c r="Z48" i="16" s="1"/>
  <c r="Y37" i="16"/>
  <c r="Z37" i="16" s="1"/>
  <c r="Y48" i="19"/>
  <c r="Z48" i="19" s="1"/>
  <c r="Y37" i="19"/>
  <c r="Z37" i="19" s="1"/>
  <c r="Y35" i="18"/>
  <c r="Z35" i="18" s="1"/>
  <c r="K48" i="30"/>
  <c r="AF56" i="27"/>
  <c r="Y35" i="22"/>
  <c r="Z35" i="22" s="1"/>
  <c r="W52" i="27"/>
  <c r="AT52" i="27" s="1"/>
  <c r="AT56" i="27"/>
  <c r="AT53" i="27"/>
  <c r="Y45" i="33"/>
  <c r="Z45" i="33" s="1"/>
  <c r="Y35" i="33"/>
  <c r="Z35" i="33" s="1"/>
  <c r="Y33" i="30"/>
  <c r="Z33" i="30" s="1"/>
  <c r="Y48" i="22"/>
  <c r="Z48" i="22" s="1"/>
  <c r="Y37" i="22"/>
  <c r="Z37" i="22" s="1"/>
  <c r="Y45" i="21"/>
  <c r="Z45" i="21" s="1"/>
  <c r="Y35" i="21"/>
  <c r="Z35" i="21" s="1"/>
  <c r="Y33" i="15"/>
  <c r="Z33" i="15" s="1"/>
  <c r="Y48" i="18"/>
  <c r="Z48" i="18" s="1"/>
  <c r="Y37" i="18"/>
  <c r="Z37" i="18" s="1"/>
  <c r="Y45" i="2"/>
  <c r="Z45" i="2" s="1"/>
  <c r="Y35" i="2"/>
  <c r="Z35" i="2" s="1"/>
  <c r="Y48" i="31"/>
  <c r="Z48" i="31" s="1"/>
  <c r="Y45" i="31"/>
  <c r="Z45" i="31" s="1"/>
  <c r="Y33" i="24"/>
  <c r="Z33" i="24" s="1"/>
  <c r="Y33" i="17"/>
  <c r="Z33" i="17" s="1"/>
  <c r="Y48" i="30"/>
  <c r="Z48" i="30" s="1"/>
  <c r="Y37" i="30"/>
  <c r="Z37" i="30" s="1"/>
  <c r="Y45" i="16"/>
  <c r="Z45" i="16" s="1"/>
  <c r="Y35" i="16"/>
  <c r="Z35" i="16" s="1"/>
  <c r="Y33" i="22"/>
  <c r="Z33" i="22" s="1"/>
  <c r="Y48" i="15"/>
  <c r="Z48" i="15" s="1"/>
  <c r="Y37" i="15"/>
  <c r="Z37" i="15" s="1"/>
  <c r="Y45" i="19"/>
  <c r="Z45" i="19" s="1"/>
  <c r="Y35" i="19"/>
  <c r="Z35" i="19" s="1"/>
  <c r="Y33" i="18"/>
  <c r="Z33" i="18" s="1"/>
  <c r="Y32" i="33"/>
  <c r="Z32" i="33" s="1"/>
  <c r="Y44" i="22"/>
  <c r="Z44" i="22" s="1"/>
  <c r="Y44" i="18"/>
  <c r="Z44" i="18" s="1"/>
  <c r="Y34" i="18"/>
  <c r="Z34" i="18" s="1"/>
  <c r="Y36" i="23"/>
  <c r="Z36" i="23" s="1"/>
  <c r="Y33" i="23"/>
  <c r="Z33" i="23" s="1"/>
  <c r="Y35" i="31"/>
  <c r="Z35" i="31" s="1"/>
  <c r="Y38" i="23"/>
  <c r="Z38" i="23" s="1"/>
  <c r="Y35" i="23"/>
  <c r="Z35" i="23" s="1"/>
  <c r="Y37" i="31"/>
  <c r="Z37" i="31" s="1"/>
  <c r="R37" i="31"/>
  <c r="Y38" i="24"/>
  <c r="Z38" i="24" s="1"/>
  <c r="Y36" i="17"/>
  <c r="Z36" i="17" s="1"/>
  <c r="Y44" i="33"/>
  <c r="Z44" i="33" s="1"/>
  <c r="Y34" i="33"/>
  <c r="Z34" i="33" s="1"/>
  <c r="Y32" i="30"/>
  <c r="Z32" i="30" s="1"/>
  <c r="K32" i="30"/>
  <c r="Y38" i="16"/>
  <c r="Z38" i="16" s="1"/>
  <c r="Y36" i="22"/>
  <c r="Z36" i="22" s="1"/>
  <c r="Y44" i="21"/>
  <c r="Z44" i="21" s="1"/>
  <c r="Y34" i="21"/>
  <c r="Z34" i="21" s="1"/>
  <c r="Y32" i="15"/>
  <c r="Z32" i="15" s="1"/>
  <c r="Y38" i="19"/>
  <c r="Z38" i="19" s="1"/>
  <c r="Y36" i="18"/>
  <c r="Z36" i="18" s="1"/>
  <c r="Y44" i="2"/>
  <c r="Z44" i="2" s="1"/>
  <c r="Y34" i="2"/>
  <c r="Z34" i="2" s="1"/>
  <c r="Y38" i="30"/>
  <c r="Z38" i="30" s="1"/>
  <c r="K38" i="30"/>
  <c r="Y33" i="33"/>
  <c r="Z33" i="33" s="1"/>
  <c r="Y45" i="22"/>
  <c r="Z45" i="22" s="1"/>
  <c r="Y36" i="24"/>
  <c r="Z36" i="24" s="1"/>
  <c r="Y38" i="15"/>
  <c r="Z38" i="15" s="1"/>
  <c r="Y37" i="23"/>
  <c r="Z37" i="23" s="1"/>
  <c r="Y44" i="23"/>
  <c r="Z44" i="23" s="1"/>
  <c r="Y34" i="31"/>
  <c r="Z34" i="31" s="1"/>
  <c r="Y32" i="24"/>
  <c r="Z32" i="24" s="1"/>
  <c r="Y38" i="17"/>
  <c r="Z38" i="17" s="1"/>
  <c r="Y35" i="17"/>
  <c r="Z35" i="17" s="1"/>
  <c r="R35" i="17"/>
  <c r="Y36" i="33"/>
  <c r="Z36" i="33" s="1"/>
  <c r="Y44" i="30"/>
  <c r="Z44" i="30" s="1"/>
  <c r="K44" i="30"/>
  <c r="Y34" i="30"/>
  <c r="Z34" i="30" s="1"/>
  <c r="K34" i="30"/>
  <c r="Y32" i="16"/>
  <c r="Z32" i="16" s="1"/>
  <c r="Y38" i="22"/>
  <c r="Z38" i="22" s="1"/>
  <c r="Y36" i="21"/>
  <c r="Z36" i="21" s="1"/>
  <c r="Y44" i="15"/>
  <c r="Z44" i="15" s="1"/>
  <c r="Y34" i="15"/>
  <c r="Z34" i="15" s="1"/>
  <c r="Y32" i="19"/>
  <c r="Z32" i="19" s="1"/>
  <c r="Y38" i="18"/>
  <c r="Z38" i="18" s="1"/>
  <c r="Y36" i="2"/>
  <c r="Z36" i="2" s="1"/>
  <c r="Y32" i="2"/>
  <c r="Z32" i="2" s="1"/>
  <c r="Y34" i="23"/>
  <c r="Z34" i="23" s="1"/>
  <c r="Y34" i="17"/>
  <c r="Z34" i="17" s="1"/>
  <c r="Y36" i="16"/>
  <c r="Z36" i="16" s="1"/>
  <c r="Y34" i="22"/>
  <c r="Z34" i="22" s="1"/>
  <c r="Y32" i="21"/>
  <c r="Z32" i="21" s="1"/>
  <c r="Y45" i="23"/>
  <c r="Z45" i="23" s="1"/>
  <c r="Y34" i="24"/>
  <c r="Z34" i="24" s="1"/>
  <c r="Y32" i="17"/>
  <c r="Z32" i="17" s="1"/>
  <c r="Y38" i="33"/>
  <c r="Z38" i="33" s="1"/>
  <c r="Y36" i="30"/>
  <c r="Z36" i="30" s="1"/>
  <c r="K36" i="30"/>
  <c r="Y44" i="16"/>
  <c r="Z44" i="16" s="1"/>
  <c r="Y34" i="16"/>
  <c r="Z34" i="16" s="1"/>
  <c r="Y32" i="22"/>
  <c r="Z32" i="22" s="1"/>
  <c r="Y38" i="21"/>
  <c r="Z38" i="21" s="1"/>
  <c r="Y36" i="15"/>
  <c r="Z36" i="15" s="1"/>
  <c r="Y44" i="19"/>
  <c r="Z44" i="19" s="1"/>
  <c r="Y34" i="19"/>
  <c r="Z34" i="19" s="1"/>
  <c r="Y32" i="18"/>
  <c r="Z32" i="18" s="1"/>
  <c r="Y38" i="2"/>
  <c r="Z38" i="2" s="1"/>
  <c r="Y44" i="17"/>
  <c r="Z44" i="17" s="1"/>
  <c r="Y36" i="19"/>
  <c r="Z36" i="19" s="1"/>
  <c r="Y33" i="31"/>
  <c r="Z33" i="31" s="1"/>
  <c r="Y48" i="17"/>
  <c r="Z48" i="17" s="1"/>
  <c r="Y37" i="17"/>
  <c r="Z37" i="17" s="1"/>
  <c r="Y48" i="33"/>
  <c r="Z48" i="33" s="1"/>
  <c r="Y37" i="33"/>
  <c r="Z37" i="33" s="1"/>
  <c r="Y45" i="30"/>
  <c r="Z45" i="30" s="1"/>
  <c r="Y35" i="30"/>
  <c r="Z35" i="30" s="1"/>
  <c r="Y33" i="16"/>
  <c r="Z33" i="16" s="1"/>
  <c r="Y48" i="21"/>
  <c r="Z48" i="21" s="1"/>
  <c r="Y37" i="21"/>
  <c r="Z37" i="21" s="1"/>
  <c r="Y45" i="15"/>
  <c r="Z45" i="15" s="1"/>
  <c r="Y35" i="15"/>
  <c r="Z35" i="15" s="1"/>
  <c r="Y33" i="19"/>
  <c r="Z33" i="19" s="1"/>
  <c r="Y48" i="2"/>
  <c r="Z48" i="2" s="1"/>
  <c r="Y37" i="2"/>
  <c r="Z37" i="2" s="1"/>
  <c r="Y32" i="23"/>
  <c r="Z32" i="23" s="1"/>
  <c r="Y32" i="31"/>
  <c r="Z32" i="31" s="1"/>
  <c r="Y45" i="24"/>
  <c r="Z45" i="24" s="1"/>
  <c r="Y35" i="24"/>
  <c r="Z35" i="24" s="1"/>
  <c r="Y36" i="31"/>
  <c r="Z36" i="31" s="1"/>
  <c r="Y48" i="24"/>
  <c r="Z48" i="24" s="1"/>
  <c r="Y37" i="24"/>
  <c r="Z37" i="24" s="1"/>
  <c r="Y45" i="17"/>
  <c r="Z45" i="17" s="1"/>
  <c r="Y38" i="31"/>
  <c r="Z38" i="31" s="1"/>
  <c r="Y44" i="24"/>
  <c r="Z44" i="24" s="1"/>
  <c r="Y44" i="31"/>
  <c r="Z44" i="31" s="1"/>
  <c r="Q63" i="21"/>
  <c r="R63" i="21" s="1"/>
  <c r="Q62" i="21"/>
  <c r="R62" i="21" s="1"/>
  <c r="Q61" i="21"/>
  <c r="R61" i="21" s="1"/>
  <c r="Q60" i="21"/>
  <c r="R60" i="21" s="1"/>
  <c r="Q59" i="21"/>
  <c r="R59" i="21" s="1"/>
  <c r="Q58" i="21"/>
  <c r="R58" i="21" s="1"/>
  <c r="Q57" i="21"/>
  <c r="R57" i="21" s="1"/>
  <c r="Q53" i="21"/>
  <c r="R53" i="21" s="1"/>
  <c r="Q52" i="21"/>
  <c r="R52" i="21" s="1"/>
  <c r="Q51" i="21"/>
  <c r="R51" i="21" s="1"/>
  <c r="Q50" i="21"/>
  <c r="R50" i="21" s="1"/>
  <c r="Q49" i="21"/>
  <c r="R49" i="21" s="1"/>
  <c r="Q30" i="21"/>
  <c r="R30" i="21" s="1"/>
  <c r="Q29" i="21"/>
  <c r="R29" i="21" s="1"/>
  <c r="Q28" i="21"/>
  <c r="R28" i="21" s="1"/>
  <c r="Q27" i="21"/>
  <c r="R27" i="21" s="1"/>
  <c r="Q24" i="21"/>
  <c r="R24" i="21" s="1"/>
  <c r="Q23" i="21"/>
  <c r="R23" i="21" s="1"/>
  <c r="Q22" i="21"/>
  <c r="R22" i="21" s="1"/>
  <c r="Q21" i="21"/>
  <c r="R21" i="21" s="1"/>
  <c r="Q20" i="21"/>
  <c r="R20" i="21" s="1"/>
  <c r="Q19" i="21"/>
  <c r="R19" i="21" s="1"/>
  <c r="Q18" i="21"/>
  <c r="R18" i="21" s="1"/>
  <c r="Q17" i="21"/>
  <c r="R17" i="21" s="1"/>
  <c r="Q16" i="21"/>
  <c r="R16" i="21" s="1"/>
  <c r="Q15" i="21"/>
  <c r="R15" i="21" s="1"/>
  <c r="Q14" i="21"/>
  <c r="R14" i="21" s="1"/>
  <c r="Q13" i="21"/>
  <c r="R13" i="21" s="1"/>
  <c r="Q12" i="21"/>
  <c r="R12" i="21" s="1"/>
  <c r="Q11" i="21"/>
  <c r="R11" i="21" s="1"/>
  <c r="Q10" i="21"/>
  <c r="R10" i="21" s="1"/>
  <c r="Q9" i="21"/>
  <c r="R9" i="21" s="1"/>
  <c r="Q63" i="23"/>
  <c r="R63" i="23" s="1"/>
  <c r="Q62" i="23"/>
  <c r="R62" i="23" s="1"/>
  <c r="Q61" i="23"/>
  <c r="R61" i="23" s="1"/>
  <c r="Q60" i="23"/>
  <c r="R60" i="23" s="1"/>
  <c r="Q59" i="23"/>
  <c r="R59" i="23" s="1"/>
  <c r="Q58" i="23"/>
  <c r="R58" i="23" s="1"/>
  <c r="Q57" i="23"/>
  <c r="R57" i="23" s="1"/>
  <c r="Q53" i="23"/>
  <c r="R53" i="23" s="1"/>
  <c r="Q52" i="23"/>
  <c r="R52" i="23" s="1"/>
  <c r="Q51" i="23"/>
  <c r="R51" i="23" s="1"/>
  <c r="Q50" i="23"/>
  <c r="R50" i="23" s="1"/>
  <c r="Q49" i="23"/>
  <c r="R49" i="23" s="1"/>
  <c r="Q30" i="23"/>
  <c r="R30" i="23" s="1"/>
  <c r="Q29" i="23"/>
  <c r="R29" i="23" s="1"/>
  <c r="Q28" i="23"/>
  <c r="R28" i="23" s="1"/>
  <c r="Q27" i="23"/>
  <c r="R27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Q17" i="23"/>
  <c r="R17" i="23" s="1"/>
  <c r="Q16" i="23"/>
  <c r="R16" i="23" s="1"/>
  <c r="Q15" i="23"/>
  <c r="R15" i="23" s="1"/>
  <c r="Q14" i="23"/>
  <c r="R14" i="23" s="1"/>
  <c r="Q13" i="23"/>
  <c r="R13" i="23" s="1"/>
  <c r="Q12" i="23"/>
  <c r="R12" i="23" s="1"/>
  <c r="Q11" i="23"/>
  <c r="R11" i="23" s="1"/>
  <c r="Q10" i="23"/>
  <c r="R10" i="23" s="1"/>
  <c r="Q9" i="23"/>
  <c r="R9" i="23" s="1"/>
  <c r="Q63" i="16" l="1"/>
  <c r="R63" i="16" s="1"/>
  <c r="Q62" i="16"/>
  <c r="R62" i="16" s="1"/>
  <c r="Q61" i="16"/>
  <c r="R61" i="16" s="1"/>
  <c r="Q60" i="16"/>
  <c r="R60" i="16" s="1"/>
  <c r="Q59" i="16"/>
  <c r="R59" i="16" s="1"/>
  <c r="Q58" i="16"/>
  <c r="R58" i="16" s="1"/>
  <c r="Q57" i="16"/>
  <c r="R57" i="16" s="1"/>
  <c r="Q53" i="16"/>
  <c r="R53" i="16" s="1"/>
  <c r="Q52" i="16"/>
  <c r="R52" i="16" s="1"/>
  <c r="Q51" i="16"/>
  <c r="R51" i="16" s="1"/>
  <c r="Q50" i="16"/>
  <c r="R50" i="16" s="1"/>
  <c r="Q49" i="16"/>
  <c r="R49" i="16" s="1"/>
  <c r="Q30" i="16"/>
  <c r="R30" i="16" s="1"/>
  <c r="Q29" i="16"/>
  <c r="R29" i="16" s="1"/>
  <c r="Q28" i="16"/>
  <c r="R28" i="16" s="1"/>
  <c r="Q27" i="16"/>
  <c r="R27" i="16" s="1"/>
  <c r="Q24" i="16"/>
  <c r="R24" i="16" s="1"/>
  <c r="Q23" i="16"/>
  <c r="R23" i="16" s="1"/>
  <c r="Q21" i="16"/>
  <c r="R21" i="16" s="1"/>
  <c r="Q20" i="16"/>
  <c r="R20" i="16" s="1"/>
  <c r="Q19" i="16"/>
  <c r="R19" i="16" s="1"/>
  <c r="Q17" i="16"/>
  <c r="R17" i="16" s="1"/>
  <c r="Q16" i="16"/>
  <c r="R16" i="16" s="1"/>
  <c r="Q15" i="16"/>
  <c r="R15" i="16" s="1"/>
  <c r="Q14" i="16"/>
  <c r="R14" i="16" s="1"/>
  <c r="Q13" i="16"/>
  <c r="R13" i="16" s="1"/>
  <c r="Q12" i="16"/>
  <c r="R12" i="16" s="1"/>
  <c r="Q11" i="16"/>
  <c r="R11" i="16" s="1"/>
  <c r="Q10" i="16"/>
  <c r="R10" i="16" s="1"/>
  <c r="Q9" i="16"/>
  <c r="R9" i="16" s="1"/>
  <c r="Q63" i="15" l="1"/>
  <c r="R63" i="15" s="1"/>
  <c r="Q62" i="15"/>
  <c r="R62" i="15" s="1"/>
  <c r="Q61" i="15"/>
  <c r="R61" i="15" s="1"/>
  <c r="Q60" i="15"/>
  <c r="R60" i="15" s="1"/>
  <c r="Q59" i="15"/>
  <c r="R59" i="15" s="1"/>
  <c r="Q58" i="15"/>
  <c r="R58" i="15" s="1"/>
  <c r="Q57" i="15"/>
  <c r="R57" i="15" s="1"/>
  <c r="Q53" i="15"/>
  <c r="R53" i="15" s="1"/>
  <c r="Q52" i="15"/>
  <c r="R52" i="15" s="1"/>
  <c r="Q51" i="15"/>
  <c r="R51" i="15" s="1"/>
  <c r="Q50" i="15"/>
  <c r="R50" i="15" s="1"/>
  <c r="Q49" i="15"/>
  <c r="R49" i="15" s="1"/>
  <c r="Q30" i="15"/>
  <c r="R30" i="15" s="1"/>
  <c r="Q29" i="15"/>
  <c r="R29" i="15" s="1"/>
  <c r="Q28" i="15"/>
  <c r="R28" i="15" s="1"/>
  <c r="Q27" i="15"/>
  <c r="R27" i="15" s="1"/>
  <c r="Q24" i="15"/>
  <c r="R24" i="15" s="1"/>
  <c r="Q23" i="15"/>
  <c r="R23" i="15" s="1"/>
  <c r="Q22" i="15"/>
  <c r="R22" i="15" s="1"/>
  <c r="Q21" i="15"/>
  <c r="R21" i="15" s="1"/>
  <c r="Q20" i="15"/>
  <c r="R20" i="15" s="1"/>
  <c r="Q19" i="15"/>
  <c r="R19" i="15" s="1"/>
  <c r="Q18" i="15"/>
  <c r="R18" i="15" s="1"/>
  <c r="Q17" i="15"/>
  <c r="R17" i="15" s="1"/>
  <c r="Q16" i="15"/>
  <c r="R16" i="15" s="1"/>
  <c r="Q15" i="15"/>
  <c r="R15" i="15" s="1"/>
  <c r="Q14" i="15"/>
  <c r="R14" i="15" s="1"/>
  <c r="Q13" i="15"/>
  <c r="R13" i="15" s="1"/>
  <c r="Q12" i="15"/>
  <c r="R12" i="15" s="1"/>
  <c r="Q11" i="15"/>
  <c r="R11" i="15" s="1"/>
  <c r="Q10" i="15"/>
  <c r="R10" i="15" s="1"/>
  <c r="Q9" i="15"/>
  <c r="R9" i="15" s="1"/>
  <c r="Q63" i="33" l="1"/>
  <c r="R63" i="33" s="1"/>
  <c r="Q62" i="33"/>
  <c r="R62" i="33" s="1"/>
  <c r="Q61" i="33"/>
  <c r="R61" i="33" s="1"/>
  <c r="Q60" i="33"/>
  <c r="R60" i="33" s="1"/>
  <c r="Q59" i="33"/>
  <c r="R59" i="33" s="1"/>
  <c r="Q58" i="33"/>
  <c r="R58" i="33" s="1"/>
  <c r="Q57" i="33"/>
  <c r="R57" i="33" s="1"/>
  <c r="Q53" i="33"/>
  <c r="R53" i="33" s="1"/>
  <c r="Q52" i="33"/>
  <c r="R52" i="33" s="1"/>
  <c r="Q51" i="33"/>
  <c r="R51" i="33" s="1"/>
  <c r="Q50" i="33"/>
  <c r="R50" i="33" s="1"/>
  <c r="Q49" i="33"/>
  <c r="R49" i="33" s="1"/>
  <c r="Q30" i="33"/>
  <c r="R30" i="33" s="1"/>
  <c r="Q29" i="33"/>
  <c r="R29" i="33" s="1"/>
  <c r="Q28" i="33"/>
  <c r="R28" i="33" s="1"/>
  <c r="Q27" i="33"/>
  <c r="R27" i="33" s="1"/>
  <c r="Q24" i="33"/>
  <c r="R24" i="33" s="1"/>
  <c r="Q23" i="33"/>
  <c r="R23" i="33" s="1"/>
  <c r="Q22" i="33"/>
  <c r="R22" i="33" s="1"/>
  <c r="Q21" i="33"/>
  <c r="R21" i="33" s="1"/>
  <c r="Q20" i="33"/>
  <c r="R20" i="33" s="1"/>
  <c r="Q19" i="33"/>
  <c r="R19" i="33" s="1"/>
  <c r="Q18" i="33"/>
  <c r="R18" i="33" s="1"/>
  <c r="Q17" i="33"/>
  <c r="R17" i="33" s="1"/>
  <c r="Q16" i="33"/>
  <c r="R16" i="33" s="1"/>
  <c r="Q15" i="33"/>
  <c r="R15" i="33" s="1"/>
  <c r="Q14" i="33"/>
  <c r="R14" i="33" s="1"/>
  <c r="Q13" i="33"/>
  <c r="R13" i="33" s="1"/>
  <c r="Q12" i="33"/>
  <c r="R12" i="33" s="1"/>
  <c r="Q11" i="33"/>
  <c r="R11" i="33" s="1"/>
  <c r="Q10" i="33"/>
  <c r="R10" i="33" s="1"/>
  <c r="Q9" i="33"/>
  <c r="R9" i="33" s="1"/>
  <c r="Q63" i="18" l="1"/>
  <c r="R63" i="18" s="1"/>
  <c r="Q62" i="18"/>
  <c r="R62" i="18" s="1"/>
  <c r="Q61" i="18"/>
  <c r="R61" i="18" s="1"/>
  <c r="Q60" i="18"/>
  <c r="R60" i="18" s="1"/>
  <c r="Q59" i="18"/>
  <c r="R59" i="18" s="1"/>
  <c r="Q58" i="18"/>
  <c r="R58" i="18" s="1"/>
  <c r="Q57" i="18"/>
  <c r="R57" i="18" s="1"/>
  <c r="Q53" i="18"/>
  <c r="R53" i="18" s="1"/>
  <c r="Q52" i="18"/>
  <c r="R52" i="18" s="1"/>
  <c r="Q51" i="18"/>
  <c r="R51" i="18" s="1"/>
  <c r="Q50" i="18"/>
  <c r="R50" i="18" s="1"/>
  <c r="Q49" i="18"/>
  <c r="R49" i="18" s="1"/>
  <c r="Q30" i="18"/>
  <c r="R30" i="18" s="1"/>
  <c r="Q29" i="18"/>
  <c r="R29" i="18" s="1"/>
  <c r="Q28" i="18"/>
  <c r="R28" i="18" s="1"/>
  <c r="Q27" i="18"/>
  <c r="R27" i="18" s="1"/>
  <c r="Q24" i="18"/>
  <c r="R24" i="18" s="1"/>
  <c r="Q23" i="18"/>
  <c r="R23" i="18" s="1"/>
  <c r="Q22" i="18"/>
  <c r="R22" i="18" s="1"/>
  <c r="Q21" i="18"/>
  <c r="R21" i="18" s="1"/>
  <c r="Q20" i="18"/>
  <c r="R20" i="18" s="1"/>
  <c r="Q19" i="18"/>
  <c r="R19" i="18" s="1"/>
  <c r="Q18" i="18"/>
  <c r="R18" i="18" s="1"/>
  <c r="Q17" i="18"/>
  <c r="R17" i="18" s="1"/>
  <c r="Q16" i="18"/>
  <c r="R16" i="18" s="1"/>
  <c r="Q15" i="18"/>
  <c r="R15" i="18" s="1"/>
  <c r="Q14" i="18"/>
  <c r="R14" i="18" s="1"/>
  <c r="Q13" i="18"/>
  <c r="R13" i="18" s="1"/>
  <c r="Q12" i="18"/>
  <c r="R12" i="18" s="1"/>
  <c r="Q11" i="18"/>
  <c r="R11" i="18" s="1"/>
  <c r="Q10" i="18"/>
  <c r="R10" i="18" s="1"/>
  <c r="Q9" i="18"/>
  <c r="R9" i="18" s="1"/>
  <c r="Q63" i="22" l="1"/>
  <c r="R63" i="22" s="1"/>
  <c r="W71" i="27"/>
  <c r="Q62" i="22"/>
  <c r="R62" i="22" s="1"/>
  <c r="Q61" i="22"/>
  <c r="R61" i="22" s="1"/>
  <c r="Q60" i="22"/>
  <c r="R60" i="22" s="1"/>
  <c r="Q59" i="22"/>
  <c r="R59" i="22" s="1"/>
  <c r="Q58" i="22"/>
  <c r="R58" i="22" s="1"/>
  <c r="Q57" i="22"/>
  <c r="R57" i="22" s="1"/>
  <c r="Q53" i="22"/>
  <c r="R53" i="22" s="1"/>
  <c r="Q52" i="22"/>
  <c r="R52" i="22" s="1"/>
  <c r="Q51" i="22"/>
  <c r="R51" i="22" s="1"/>
  <c r="Q50" i="22"/>
  <c r="R50" i="22" s="1"/>
  <c r="Q49" i="22"/>
  <c r="R49" i="22" s="1"/>
  <c r="Q30" i="22"/>
  <c r="R30" i="22" s="1"/>
  <c r="W38" i="27"/>
  <c r="Q29" i="22"/>
  <c r="R29" i="22" s="1"/>
  <c r="W37" i="27"/>
  <c r="Q28" i="22"/>
  <c r="R28" i="22" s="1"/>
  <c r="W36" i="27"/>
  <c r="Q27" i="22"/>
  <c r="R27" i="22" s="1"/>
  <c r="W35" i="27"/>
  <c r="Q24" i="22"/>
  <c r="R24" i="22" s="1"/>
  <c r="W32" i="27"/>
  <c r="Q23" i="22"/>
  <c r="R23" i="22" s="1"/>
  <c r="W31" i="27"/>
  <c r="Q22" i="22"/>
  <c r="R22" i="22" s="1"/>
  <c r="W30" i="27"/>
  <c r="Q21" i="22"/>
  <c r="R21" i="22" s="1"/>
  <c r="W29" i="27"/>
  <c r="Q20" i="22"/>
  <c r="R20" i="22" s="1"/>
  <c r="W28" i="27"/>
  <c r="Q19" i="22"/>
  <c r="R19" i="22" s="1"/>
  <c r="W27" i="27"/>
  <c r="Q18" i="22"/>
  <c r="R18" i="22" s="1"/>
  <c r="W26" i="27"/>
  <c r="Q17" i="22"/>
  <c r="R17" i="22" s="1"/>
  <c r="W25" i="27"/>
  <c r="Q16" i="22"/>
  <c r="R16" i="22" s="1"/>
  <c r="W24" i="27"/>
  <c r="Q15" i="22"/>
  <c r="R15" i="22" s="1"/>
  <c r="W23" i="27"/>
  <c r="Q14" i="22"/>
  <c r="R14" i="22" s="1"/>
  <c r="W22" i="27"/>
  <c r="Q13" i="22"/>
  <c r="R13" i="22" s="1"/>
  <c r="W21" i="27"/>
  <c r="Q12" i="22"/>
  <c r="R12" i="22" s="1"/>
  <c r="W20" i="27"/>
  <c r="Q11" i="22"/>
  <c r="R11" i="22" s="1"/>
  <c r="W19" i="27"/>
  <c r="Q10" i="22"/>
  <c r="R10" i="22" s="1"/>
  <c r="W18" i="27"/>
  <c r="Q9" i="22"/>
  <c r="R9" i="22" s="1"/>
  <c r="AT57" i="27" l="1"/>
  <c r="AT61" i="27"/>
  <c r="AT66" i="27"/>
  <c r="W68" i="27"/>
  <c r="AT68" i="27" s="1"/>
  <c r="AT58" i="27"/>
  <c r="AT63" i="27"/>
  <c r="AT59" i="27"/>
  <c r="AT64" i="27"/>
  <c r="W70" i="27"/>
  <c r="AT70" i="27" s="1"/>
  <c r="AT60" i="27"/>
  <c r="AT65" i="27"/>
  <c r="W67" i="27"/>
  <c r="AT67" i="27" s="1"/>
  <c r="W69" i="27"/>
  <c r="AT69" i="27" s="1"/>
  <c r="Q63" i="31"/>
  <c r="R63" i="31" s="1"/>
  <c r="Q62" i="31"/>
  <c r="R62" i="31" s="1"/>
  <c r="Q61" i="31"/>
  <c r="R61" i="31" s="1"/>
  <c r="Q60" i="31"/>
  <c r="R60" i="31" s="1"/>
  <c r="Q59" i="31"/>
  <c r="R59" i="31" s="1"/>
  <c r="Q58" i="31"/>
  <c r="R58" i="31" s="1"/>
  <c r="Q57" i="31"/>
  <c r="R57" i="31" s="1"/>
  <c r="Q53" i="31"/>
  <c r="R53" i="31" s="1"/>
  <c r="Q52" i="31"/>
  <c r="R52" i="31" s="1"/>
  <c r="Q51" i="31"/>
  <c r="R51" i="31" s="1"/>
  <c r="Q50" i="31"/>
  <c r="R50" i="31" s="1"/>
  <c r="Q49" i="31"/>
  <c r="R49" i="31" s="1"/>
  <c r="Q30" i="31"/>
  <c r="R30" i="31" s="1"/>
  <c r="Q29" i="31"/>
  <c r="R29" i="31" s="1"/>
  <c r="Q28" i="31"/>
  <c r="R28" i="31" s="1"/>
  <c r="Q27" i="31"/>
  <c r="R27" i="31" s="1"/>
  <c r="Q24" i="31"/>
  <c r="R24" i="31" s="1"/>
  <c r="Q23" i="31"/>
  <c r="R23" i="31" s="1"/>
  <c r="Q22" i="31"/>
  <c r="R22" i="31" s="1"/>
  <c r="Q21" i="31"/>
  <c r="R21" i="31" s="1"/>
  <c r="Q20" i="31"/>
  <c r="R20" i="31" s="1"/>
  <c r="Q19" i="31"/>
  <c r="R19" i="31" s="1"/>
  <c r="Q18" i="31"/>
  <c r="R18" i="31" s="1"/>
  <c r="Q17" i="31"/>
  <c r="R17" i="31" s="1"/>
  <c r="Q16" i="31"/>
  <c r="R16" i="31" s="1"/>
  <c r="Q15" i="31"/>
  <c r="R15" i="31" s="1"/>
  <c r="Q14" i="31"/>
  <c r="R14" i="31" s="1"/>
  <c r="Q13" i="31"/>
  <c r="R13" i="31" s="1"/>
  <c r="Q12" i="31"/>
  <c r="R12" i="31" s="1"/>
  <c r="Q11" i="31"/>
  <c r="R11" i="31" s="1"/>
  <c r="Q10" i="31"/>
  <c r="R10" i="31" s="1"/>
  <c r="Q9" i="31"/>
  <c r="R9" i="31" s="1"/>
  <c r="Q63" i="24" l="1"/>
  <c r="R63" i="24" s="1"/>
  <c r="Q62" i="24"/>
  <c r="R62" i="24" s="1"/>
  <c r="Q61" i="24"/>
  <c r="R61" i="24" s="1"/>
  <c r="Q60" i="24"/>
  <c r="R60" i="24" s="1"/>
  <c r="Q59" i="24"/>
  <c r="R59" i="24" s="1"/>
  <c r="Q58" i="24"/>
  <c r="R58" i="24" s="1"/>
  <c r="Q57" i="24"/>
  <c r="R57" i="24" s="1"/>
  <c r="Q53" i="24"/>
  <c r="R53" i="24" s="1"/>
  <c r="Q52" i="24"/>
  <c r="R52" i="24" s="1"/>
  <c r="Q51" i="24"/>
  <c r="R51" i="24" s="1"/>
  <c r="Q50" i="24"/>
  <c r="R50" i="24" s="1"/>
  <c r="Q49" i="24"/>
  <c r="R49" i="24" s="1"/>
  <c r="Q30" i="24"/>
  <c r="R30" i="24" s="1"/>
  <c r="Q29" i="24"/>
  <c r="R29" i="24" s="1"/>
  <c r="Q28" i="24"/>
  <c r="R28" i="24" s="1"/>
  <c r="Q27" i="24"/>
  <c r="R27" i="24" s="1"/>
  <c r="Q24" i="24"/>
  <c r="R24" i="24" s="1"/>
  <c r="Q23" i="24"/>
  <c r="R23" i="24" s="1"/>
  <c r="Q22" i="24"/>
  <c r="R22" i="24" s="1"/>
  <c r="Q21" i="24"/>
  <c r="R21" i="24" s="1"/>
  <c r="Q20" i="24"/>
  <c r="R20" i="24" s="1"/>
  <c r="Q19" i="24"/>
  <c r="R19" i="24" s="1"/>
  <c r="Q18" i="24"/>
  <c r="R18" i="24" s="1"/>
  <c r="Q17" i="24"/>
  <c r="R17" i="24" s="1"/>
  <c r="Q16" i="24"/>
  <c r="R16" i="24" s="1"/>
  <c r="Q15" i="24"/>
  <c r="R15" i="24" s="1"/>
  <c r="Q14" i="24"/>
  <c r="R14" i="24" s="1"/>
  <c r="Q13" i="24"/>
  <c r="R13" i="24" s="1"/>
  <c r="Q12" i="24"/>
  <c r="R12" i="24" s="1"/>
  <c r="Q11" i="24"/>
  <c r="R11" i="24" s="1"/>
  <c r="Q10" i="24"/>
  <c r="R10" i="24" s="1"/>
  <c r="Q9" i="24"/>
  <c r="R9" i="24" s="1"/>
  <c r="Q63" i="2" l="1"/>
  <c r="R63" i="2" s="1"/>
  <c r="Q62" i="2"/>
  <c r="R62" i="2" s="1"/>
  <c r="Q61" i="2"/>
  <c r="R61" i="2" s="1"/>
  <c r="Q60" i="2"/>
  <c r="R60" i="2" s="1"/>
  <c r="Q59" i="2"/>
  <c r="R59" i="2" s="1"/>
  <c r="Q58" i="2"/>
  <c r="R58" i="2" s="1"/>
  <c r="Q57" i="2"/>
  <c r="R57" i="2" s="1"/>
  <c r="Q53" i="2"/>
  <c r="R53" i="2" s="1"/>
  <c r="Q52" i="2"/>
  <c r="R52" i="2" s="1"/>
  <c r="Q51" i="2"/>
  <c r="R51" i="2" s="1"/>
  <c r="Q50" i="2"/>
  <c r="R50" i="2" s="1"/>
  <c r="Q49" i="2"/>
  <c r="R49" i="2" s="1"/>
  <c r="Q30" i="2"/>
  <c r="R30" i="2" s="1"/>
  <c r="Q29" i="2"/>
  <c r="R29" i="2" s="1"/>
  <c r="Q28" i="2"/>
  <c r="R28" i="2" s="1"/>
  <c r="Q27" i="2"/>
  <c r="R27" i="2" s="1"/>
  <c r="Q24" i="2"/>
  <c r="R24" i="2" s="1"/>
  <c r="Q23" i="2"/>
  <c r="R23" i="2" s="1"/>
  <c r="Q22" i="2"/>
  <c r="R22" i="2" s="1"/>
  <c r="Q21" i="2"/>
  <c r="R21" i="2" s="1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63" i="19"/>
  <c r="R63" i="19" s="1"/>
  <c r="Q62" i="19"/>
  <c r="R62" i="19" s="1"/>
  <c r="Q61" i="19"/>
  <c r="R61" i="19" s="1"/>
  <c r="Q60" i="19"/>
  <c r="R60" i="19" s="1"/>
  <c r="Q59" i="19"/>
  <c r="R59" i="19" s="1"/>
  <c r="Q58" i="19"/>
  <c r="R58" i="19" s="1"/>
  <c r="Q57" i="19"/>
  <c r="R57" i="19" s="1"/>
  <c r="Q53" i="19"/>
  <c r="R53" i="19" s="1"/>
  <c r="Q52" i="19"/>
  <c r="R52" i="19" s="1"/>
  <c r="Q51" i="19"/>
  <c r="R51" i="19" s="1"/>
  <c r="Q50" i="19"/>
  <c r="R50" i="19" s="1"/>
  <c r="Q49" i="19"/>
  <c r="R49" i="19" s="1"/>
  <c r="Q30" i="19"/>
  <c r="R30" i="19" s="1"/>
  <c r="Q29" i="19"/>
  <c r="R29" i="19" s="1"/>
  <c r="Q28" i="19"/>
  <c r="R28" i="19" s="1"/>
  <c r="Q27" i="19"/>
  <c r="R27" i="19" s="1"/>
  <c r="Q24" i="19"/>
  <c r="R24" i="19" s="1"/>
  <c r="Q23" i="19"/>
  <c r="R23" i="19" s="1"/>
  <c r="Q22" i="19"/>
  <c r="R22" i="19" s="1"/>
  <c r="Q21" i="19"/>
  <c r="R21" i="19" s="1"/>
  <c r="Q20" i="19"/>
  <c r="R20" i="19" s="1"/>
  <c r="Q19" i="19"/>
  <c r="R19" i="19" s="1"/>
  <c r="Q18" i="19"/>
  <c r="R18" i="19" s="1"/>
  <c r="Q17" i="19"/>
  <c r="R17" i="19" s="1"/>
  <c r="Q16" i="19"/>
  <c r="R16" i="19" s="1"/>
  <c r="Q15" i="19"/>
  <c r="R15" i="19" s="1"/>
  <c r="Q14" i="19"/>
  <c r="R14" i="19" s="1"/>
  <c r="Q13" i="19"/>
  <c r="R13" i="19" s="1"/>
  <c r="Q12" i="19"/>
  <c r="R12" i="19" s="1"/>
  <c r="Q11" i="19"/>
  <c r="R11" i="19" s="1"/>
  <c r="Q10" i="19"/>
  <c r="R10" i="19" s="1"/>
  <c r="Q9" i="19"/>
  <c r="R9" i="19" s="1"/>
  <c r="Q63" i="30" l="1"/>
  <c r="J63" i="30"/>
  <c r="Q62" i="30"/>
  <c r="J62" i="30"/>
  <c r="Q61" i="30"/>
  <c r="J61" i="30"/>
  <c r="Q60" i="30"/>
  <c r="J60" i="30"/>
  <c r="Q59" i="30"/>
  <c r="J59" i="30"/>
  <c r="Q58" i="30"/>
  <c r="R58" i="30" s="1"/>
  <c r="J58" i="30"/>
  <c r="Q57" i="30"/>
  <c r="J57" i="30"/>
  <c r="Q53" i="30"/>
  <c r="R53" i="30" s="1"/>
  <c r="J53" i="30"/>
  <c r="Q52" i="30"/>
  <c r="R52" i="30" s="1"/>
  <c r="J52" i="30"/>
  <c r="Q51" i="30"/>
  <c r="J51" i="30"/>
  <c r="Q50" i="30"/>
  <c r="J50" i="30"/>
  <c r="Q49" i="30"/>
  <c r="R49" i="30" s="1"/>
  <c r="J49" i="30"/>
  <c r="Q30" i="30"/>
  <c r="J30" i="30"/>
  <c r="K30" i="30" s="1"/>
  <c r="Q29" i="30"/>
  <c r="J29" i="30"/>
  <c r="K29" i="30" s="1"/>
  <c r="Q28" i="30"/>
  <c r="R28" i="30" s="1"/>
  <c r="J28" i="30"/>
  <c r="K28" i="30" s="1"/>
  <c r="Q27" i="30"/>
  <c r="J27" i="30"/>
  <c r="K27" i="30" s="1"/>
  <c r="Q24" i="30"/>
  <c r="J24" i="30"/>
  <c r="K24" i="30" s="1"/>
  <c r="Q23" i="30"/>
  <c r="J23" i="30"/>
  <c r="K23" i="30" s="1"/>
  <c r="Q22" i="30"/>
  <c r="J22" i="30"/>
  <c r="K22" i="30" s="1"/>
  <c r="Q21" i="30"/>
  <c r="J21" i="30"/>
  <c r="Q20" i="30"/>
  <c r="J20" i="30"/>
  <c r="Q19" i="30"/>
  <c r="J19" i="30"/>
  <c r="K19" i="30" s="1"/>
  <c r="Q18" i="30"/>
  <c r="J18" i="30"/>
  <c r="K18" i="30" s="1"/>
  <c r="Q17" i="30"/>
  <c r="J17" i="30"/>
  <c r="K17" i="30" s="1"/>
  <c r="Q16" i="30"/>
  <c r="J16" i="30"/>
  <c r="K16" i="30" s="1"/>
  <c r="Q15" i="30"/>
  <c r="J15" i="30"/>
  <c r="K15" i="30" s="1"/>
  <c r="Q14" i="30"/>
  <c r="J14" i="30"/>
  <c r="K14" i="30" s="1"/>
  <c r="Q13" i="30"/>
  <c r="J13" i="30"/>
  <c r="K13" i="30" s="1"/>
  <c r="Q12" i="30"/>
  <c r="J12" i="30"/>
  <c r="K12" i="30" s="1"/>
  <c r="Q11" i="30"/>
  <c r="J11" i="30"/>
  <c r="K11" i="30" s="1"/>
  <c r="Q10" i="30"/>
  <c r="J10" i="30"/>
  <c r="K10" i="30" s="1"/>
  <c r="Q9" i="30"/>
  <c r="J9" i="30"/>
  <c r="K9" i="30" s="1"/>
  <c r="R63" i="30" l="1"/>
  <c r="AF71" i="34"/>
  <c r="AT71" i="34" s="1"/>
  <c r="R62" i="30"/>
  <c r="AF70" i="34"/>
  <c r="AT70" i="34" s="1"/>
  <c r="R61" i="30"/>
  <c r="AF69" i="34"/>
  <c r="AT69" i="34" s="1"/>
  <c r="R60" i="30"/>
  <c r="AF68" i="34"/>
  <c r="AT68" i="34" s="1"/>
  <c r="R59" i="30"/>
  <c r="AF67" i="34"/>
  <c r="AT67" i="34" s="1"/>
  <c r="R57" i="30"/>
  <c r="AF65" i="34"/>
  <c r="AT65" i="34" s="1"/>
  <c r="R51" i="30"/>
  <c r="AF59" i="34"/>
  <c r="AT59" i="34" s="1"/>
  <c r="R50" i="30"/>
  <c r="AF58" i="34"/>
  <c r="AT58" i="34" s="1"/>
  <c r="R30" i="30"/>
  <c r="AF38" i="34"/>
  <c r="AT38" i="34" s="1"/>
  <c r="R29" i="30"/>
  <c r="AF37" i="34"/>
  <c r="AT37" i="34" s="1"/>
  <c r="R27" i="30"/>
  <c r="AF35" i="34"/>
  <c r="AT35" i="34" s="1"/>
  <c r="R24" i="30"/>
  <c r="AF32" i="34"/>
  <c r="AT32" i="34" s="1"/>
  <c r="R23" i="30"/>
  <c r="AF31" i="34"/>
  <c r="AT31" i="34" s="1"/>
  <c r="R22" i="30"/>
  <c r="AF30" i="34"/>
  <c r="AT30" i="34" s="1"/>
  <c r="R21" i="30"/>
  <c r="AF29" i="34"/>
  <c r="AT29" i="34" s="1"/>
  <c r="R20" i="30"/>
  <c r="AF28" i="34"/>
  <c r="AT28" i="34" s="1"/>
  <c r="R19" i="30"/>
  <c r="AF27" i="34"/>
  <c r="AT27" i="34" s="1"/>
  <c r="R18" i="30"/>
  <c r="AF26" i="34"/>
  <c r="AT26" i="34" s="1"/>
  <c r="R17" i="30"/>
  <c r="AF25" i="34"/>
  <c r="AT25" i="34" s="1"/>
  <c r="R16" i="30"/>
  <c r="AF24" i="34"/>
  <c r="AT24" i="34" s="1"/>
  <c r="R15" i="30"/>
  <c r="AF23" i="34"/>
  <c r="AT23" i="34" s="1"/>
  <c r="R14" i="30"/>
  <c r="AF22" i="34"/>
  <c r="AT22" i="34" s="1"/>
  <c r="R13" i="30"/>
  <c r="AF21" i="34"/>
  <c r="AT21" i="34" s="1"/>
  <c r="R12" i="30"/>
  <c r="AF20" i="34"/>
  <c r="AT20" i="34" s="1"/>
  <c r="R11" i="30"/>
  <c r="AF19" i="34"/>
  <c r="AT19" i="34" s="1"/>
  <c r="R10" i="30"/>
  <c r="AF18" i="34"/>
  <c r="AT18" i="34" s="1"/>
  <c r="R9" i="30"/>
  <c r="AF17" i="34"/>
  <c r="AT17" i="34" s="1"/>
  <c r="K21" i="30"/>
  <c r="K20" i="30"/>
  <c r="K52" i="30"/>
  <c r="K57" i="30"/>
  <c r="K61" i="30"/>
  <c r="K51" i="30"/>
  <c r="K49" i="30"/>
  <c r="K53" i="30"/>
  <c r="K58" i="30"/>
  <c r="K62" i="30"/>
  <c r="K60" i="30"/>
  <c r="K50" i="30"/>
  <c r="K59" i="30"/>
  <c r="K63" i="30"/>
  <c r="Q63" i="17"/>
  <c r="R63" i="17" s="1"/>
  <c r="Q62" i="17"/>
  <c r="R62" i="17" s="1"/>
  <c r="Q61" i="17"/>
  <c r="R61" i="17" s="1"/>
  <c r="Q60" i="17"/>
  <c r="R60" i="17" s="1"/>
  <c r="Q59" i="17"/>
  <c r="R59" i="17" s="1"/>
  <c r="Q58" i="17"/>
  <c r="R58" i="17" s="1"/>
  <c r="Q57" i="17"/>
  <c r="R57" i="17" s="1"/>
  <c r="Q53" i="17"/>
  <c r="R53" i="17" s="1"/>
  <c r="Q52" i="17"/>
  <c r="R52" i="17" s="1"/>
  <c r="Q51" i="17"/>
  <c r="R51" i="17" s="1"/>
  <c r="Q50" i="17"/>
  <c r="R50" i="17" s="1"/>
  <c r="Q49" i="17"/>
  <c r="R49" i="17" s="1"/>
  <c r="Q30" i="17"/>
  <c r="R30" i="17" s="1"/>
  <c r="Q29" i="17"/>
  <c r="R29" i="17" s="1"/>
  <c r="Q28" i="17"/>
  <c r="R28" i="17" s="1"/>
  <c r="Q27" i="17"/>
  <c r="R27" i="17" s="1"/>
  <c r="Q24" i="17"/>
  <c r="R24" i="17" s="1"/>
  <c r="Q23" i="17"/>
  <c r="R23" i="17" s="1"/>
  <c r="Q22" i="17"/>
  <c r="R22" i="17" s="1"/>
  <c r="Q21" i="17"/>
  <c r="R21" i="17" s="1"/>
  <c r="Q20" i="17"/>
  <c r="R20" i="17" s="1"/>
  <c r="Q19" i="17"/>
  <c r="R19" i="17" s="1"/>
  <c r="Q18" i="17"/>
  <c r="R18" i="17" s="1"/>
  <c r="Q17" i="17"/>
  <c r="R17" i="17" s="1"/>
  <c r="Q16" i="17"/>
  <c r="R16" i="17" s="1"/>
  <c r="Q15" i="17"/>
  <c r="R15" i="17" s="1"/>
  <c r="Q14" i="17"/>
  <c r="R14" i="17" s="1"/>
  <c r="Q13" i="17"/>
  <c r="R13" i="17" s="1"/>
  <c r="Q12" i="17"/>
  <c r="R12" i="17" s="1"/>
  <c r="Q11" i="17"/>
  <c r="R11" i="17" s="1"/>
  <c r="Q10" i="17"/>
  <c r="R10" i="17" s="1"/>
  <c r="Q9" i="17"/>
  <c r="R9" i="17" s="1"/>
  <c r="AY66" i="34" l="1"/>
  <c r="AT28" i="27"/>
  <c r="AT29" i="27"/>
  <c r="AT42" i="27"/>
  <c r="AT46" i="27"/>
  <c r="AT43" i="27"/>
  <c r="AT44" i="27"/>
  <c r="AT41" i="27"/>
  <c r="AT45" i="27"/>
  <c r="X63" i="33"/>
  <c r="X62" i="33"/>
  <c r="Y62" i="33" s="1"/>
  <c r="Z62" i="33" s="1"/>
  <c r="X61" i="33"/>
  <c r="X60" i="33"/>
  <c r="X59" i="33"/>
  <c r="Y59" i="33" s="1"/>
  <c r="Z59" i="33" s="1"/>
  <c r="X58" i="33"/>
  <c r="X57" i="33"/>
  <c r="Y57" i="33" s="1"/>
  <c r="Z57" i="33" s="1"/>
  <c r="X53" i="33"/>
  <c r="Y53" i="33" s="1"/>
  <c r="Z53" i="33" s="1"/>
  <c r="X52" i="33"/>
  <c r="Y52" i="33" s="1"/>
  <c r="Z52" i="33" s="1"/>
  <c r="X51" i="33"/>
  <c r="X50" i="33"/>
  <c r="Y50" i="33" s="1"/>
  <c r="Z50" i="33" s="1"/>
  <c r="X49" i="33"/>
  <c r="Y49" i="33" s="1"/>
  <c r="Z49" i="33" s="1"/>
  <c r="X30" i="33"/>
  <c r="Y30" i="33" s="1"/>
  <c r="Z30" i="33" s="1"/>
  <c r="X29" i="33"/>
  <c r="Y29" i="33" s="1"/>
  <c r="Z29" i="33" s="1"/>
  <c r="X28" i="33"/>
  <c r="X27" i="33"/>
  <c r="Y27" i="33" s="1"/>
  <c r="Z27" i="33" s="1"/>
  <c r="X24" i="33"/>
  <c r="Y24" i="33" s="1"/>
  <c r="Z24" i="33" s="1"/>
  <c r="X23" i="33"/>
  <c r="Y23" i="33" s="1"/>
  <c r="Z23" i="33" s="1"/>
  <c r="X22" i="33"/>
  <c r="X21" i="33"/>
  <c r="Y21" i="33" s="1"/>
  <c r="Z21" i="33" s="1"/>
  <c r="X20" i="33"/>
  <c r="Y20" i="33" s="1"/>
  <c r="Z20" i="33" s="1"/>
  <c r="X19" i="33"/>
  <c r="X18" i="33"/>
  <c r="X17" i="33"/>
  <c r="Y17" i="33" s="1"/>
  <c r="Z17" i="33" s="1"/>
  <c r="X16" i="33"/>
  <c r="Y16" i="33" s="1"/>
  <c r="Z16" i="33" s="1"/>
  <c r="X15" i="33"/>
  <c r="Y15" i="33" s="1"/>
  <c r="Z15" i="33" s="1"/>
  <c r="X14" i="33"/>
  <c r="X13" i="33"/>
  <c r="X12" i="33"/>
  <c r="X11" i="33"/>
  <c r="X10" i="33"/>
  <c r="Y10" i="33" s="1"/>
  <c r="Z10" i="33" s="1"/>
  <c r="X9" i="33"/>
  <c r="AI17" i="27"/>
  <c r="X11" i="18"/>
  <c r="X12" i="18"/>
  <c r="X13" i="18"/>
  <c r="X14" i="18"/>
  <c r="Y14" i="18" s="1"/>
  <c r="Z14" i="18" s="1"/>
  <c r="X15" i="18"/>
  <c r="Y15" i="18" s="1"/>
  <c r="Z15" i="18" s="1"/>
  <c r="X16" i="18"/>
  <c r="Y16" i="18" s="1"/>
  <c r="Z16" i="18" s="1"/>
  <c r="X17" i="18"/>
  <c r="Y17" i="18" s="1"/>
  <c r="Z17" i="18" s="1"/>
  <c r="X18" i="18"/>
  <c r="Y18" i="18" s="1"/>
  <c r="Z18" i="18" s="1"/>
  <c r="X19" i="18"/>
  <c r="X20" i="18"/>
  <c r="Y20" i="18" s="1"/>
  <c r="Z20" i="18" s="1"/>
  <c r="X21" i="18"/>
  <c r="Y21" i="18" s="1"/>
  <c r="Z21" i="18" s="1"/>
  <c r="X22" i="18"/>
  <c r="X23" i="18"/>
  <c r="Y23" i="18" s="1"/>
  <c r="Z23" i="18" s="1"/>
  <c r="X24" i="18"/>
  <c r="Y24" i="18" s="1"/>
  <c r="Z24" i="18" s="1"/>
  <c r="X27" i="18"/>
  <c r="X28" i="18"/>
  <c r="Y28" i="18" s="1"/>
  <c r="Z28" i="18" s="1"/>
  <c r="X29" i="18"/>
  <c r="X30" i="18"/>
  <c r="X49" i="18"/>
  <c r="Y49" i="18" s="1"/>
  <c r="Z49" i="18" s="1"/>
  <c r="X50" i="18"/>
  <c r="X51" i="18"/>
  <c r="X52" i="18"/>
  <c r="X53" i="18"/>
  <c r="X57" i="18"/>
  <c r="X58" i="18"/>
  <c r="Y58" i="18" s="1"/>
  <c r="Z58" i="18" s="1"/>
  <c r="X59" i="18"/>
  <c r="Y59" i="18" s="1"/>
  <c r="Z59" i="18" s="1"/>
  <c r="X60" i="18"/>
  <c r="X11" i="19"/>
  <c r="Y11" i="19" s="1"/>
  <c r="Z11" i="19" s="1"/>
  <c r="X12" i="19"/>
  <c r="X13" i="19"/>
  <c r="X14" i="19"/>
  <c r="Y14" i="19" s="1"/>
  <c r="Z14" i="19" s="1"/>
  <c r="X15" i="19"/>
  <c r="X16" i="19"/>
  <c r="Y16" i="19" s="1"/>
  <c r="Z16" i="19" s="1"/>
  <c r="X17" i="19"/>
  <c r="Y17" i="19" s="1"/>
  <c r="Z17" i="19" s="1"/>
  <c r="X18" i="19"/>
  <c r="Y18" i="19" s="1"/>
  <c r="Z18" i="19" s="1"/>
  <c r="X19" i="19"/>
  <c r="Y19" i="19" s="1"/>
  <c r="Z19" i="19" s="1"/>
  <c r="X20" i="19"/>
  <c r="Y20" i="19" s="1"/>
  <c r="Z20" i="19" s="1"/>
  <c r="X21" i="19"/>
  <c r="Y21" i="19" s="1"/>
  <c r="Z21" i="19" s="1"/>
  <c r="X22" i="19"/>
  <c r="X23" i="19"/>
  <c r="Y23" i="19" s="1"/>
  <c r="Z23" i="19" s="1"/>
  <c r="X24" i="19"/>
  <c r="X27" i="19"/>
  <c r="Y27" i="19" s="1"/>
  <c r="Z27" i="19" s="1"/>
  <c r="X28" i="19"/>
  <c r="Y28" i="19" s="1"/>
  <c r="Z28" i="19" s="1"/>
  <c r="X29" i="19"/>
  <c r="X30" i="19"/>
  <c r="X49" i="19"/>
  <c r="Y49" i="19" s="1"/>
  <c r="Z49" i="19" s="1"/>
  <c r="X50" i="19"/>
  <c r="Y50" i="19" s="1"/>
  <c r="Z50" i="19" s="1"/>
  <c r="X51" i="19"/>
  <c r="Y51" i="19" s="1"/>
  <c r="Z51" i="19" s="1"/>
  <c r="X52" i="19"/>
  <c r="Y52" i="19" s="1"/>
  <c r="Z52" i="19" s="1"/>
  <c r="X53" i="19"/>
  <c r="X57" i="19"/>
  <c r="X58" i="19"/>
  <c r="X59" i="19"/>
  <c r="X60" i="19"/>
  <c r="X11" i="15"/>
  <c r="Y11" i="15" s="1"/>
  <c r="Z11" i="15" s="1"/>
  <c r="X12" i="15"/>
  <c r="X13" i="15"/>
  <c r="Y13" i="15" s="1"/>
  <c r="Z13" i="15" s="1"/>
  <c r="X14" i="15"/>
  <c r="X15" i="15"/>
  <c r="X16" i="15"/>
  <c r="Y16" i="15" s="1"/>
  <c r="Z16" i="15" s="1"/>
  <c r="X17" i="15"/>
  <c r="Y17" i="15" s="1"/>
  <c r="Z17" i="15" s="1"/>
  <c r="X18" i="15"/>
  <c r="Y18" i="15" s="1"/>
  <c r="Z18" i="15" s="1"/>
  <c r="X19" i="15"/>
  <c r="Y19" i="15" s="1"/>
  <c r="Z19" i="15" s="1"/>
  <c r="X20" i="15"/>
  <c r="Y20" i="15" s="1"/>
  <c r="Z20" i="15" s="1"/>
  <c r="X21" i="15"/>
  <c r="X22" i="15"/>
  <c r="Y22" i="15" s="1"/>
  <c r="Z22" i="15" s="1"/>
  <c r="X23" i="15"/>
  <c r="Y23" i="15" s="1"/>
  <c r="Z23" i="15" s="1"/>
  <c r="X24" i="15"/>
  <c r="X27" i="15"/>
  <c r="X28" i="15"/>
  <c r="X29" i="15"/>
  <c r="Y29" i="15" s="1"/>
  <c r="Z29" i="15" s="1"/>
  <c r="X30" i="15"/>
  <c r="X49" i="15"/>
  <c r="Y49" i="15" s="1"/>
  <c r="Z49" i="15" s="1"/>
  <c r="X50" i="15"/>
  <c r="X51" i="15"/>
  <c r="Y51" i="15" s="1"/>
  <c r="Z51" i="15" s="1"/>
  <c r="X52" i="15"/>
  <c r="X53" i="15"/>
  <c r="X57" i="15"/>
  <c r="X58" i="15"/>
  <c r="Y58" i="15" s="1"/>
  <c r="Z58" i="15" s="1"/>
  <c r="X59" i="15"/>
  <c r="Y59" i="15" s="1"/>
  <c r="Z59" i="15" s="1"/>
  <c r="X60" i="15"/>
  <c r="Y60" i="15" s="1"/>
  <c r="Z60" i="15" s="1"/>
  <c r="X11" i="21"/>
  <c r="Y11" i="21" s="1"/>
  <c r="Z11" i="21" s="1"/>
  <c r="X12" i="21"/>
  <c r="X13" i="21"/>
  <c r="X14" i="21"/>
  <c r="Y14" i="21" s="1"/>
  <c r="Z14" i="21" s="1"/>
  <c r="X15" i="21"/>
  <c r="Y15" i="21" s="1"/>
  <c r="Z15" i="21" s="1"/>
  <c r="X16" i="21"/>
  <c r="Y16" i="21" s="1"/>
  <c r="Z16" i="21" s="1"/>
  <c r="X17" i="21"/>
  <c r="Y17" i="21" s="1"/>
  <c r="Z17" i="21" s="1"/>
  <c r="X18" i="21"/>
  <c r="X19" i="21"/>
  <c r="X20" i="21"/>
  <c r="Y20" i="21" s="1"/>
  <c r="Z20" i="21" s="1"/>
  <c r="X21" i="21"/>
  <c r="Y21" i="21" s="1"/>
  <c r="Z21" i="21" s="1"/>
  <c r="X22" i="21"/>
  <c r="Y22" i="21" s="1"/>
  <c r="Z22" i="21" s="1"/>
  <c r="X23" i="21"/>
  <c r="X24" i="21"/>
  <c r="X27" i="21"/>
  <c r="Y27" i="21" s="1"/>
  <c r="Z27" i="21" s="1"/>
  <c r="X28" i="21"/>
  <c r="X29" i="21"/>
  <c r="X30" i="21"/>
  <c r="Y30" i="21" s="1"/>
  <c r="Z30" i="21" s="1"/>
  <c r="X49" i="21"/>
  <c r="Y49" i="21" s="1"/>
  <c r="Z49" i="21" s="1"/>
  <c r="X50" i="21"/>
  <c r="Y50" i="21" s="1"/>
  <c r="Z50" i="21" s="1"/>
  <c r="X51" i="21"/>
  <c r="Y51" i="21" s="1"/>
  <c r="Z51" i="21" s="1"/>
  <c r="X52" i="21"/>
  <c r="X53" i="21"/>
  <c r="X57" i="21"/>
  <c r="Y57" i="21" s="1"/>
  <c r="Z57" i="21" s="1"/>
  <c r="X58" i="21"/>
  <c r="X59" i="21"/>
  <c r="Y59" i="21" s="1"/>
  <c r="Z59" i="21" s="1"/>
  <c r="X60" i="21"/>
  <c r="X11" i="22"/>
  <c r="Y11" i="22" s="1"/>
  <c r="Z11" i="22" s="1"/>
  <c r="X12" i="22"/>
  <c r="X13" i="22"/>
  <c r="Y13" i="22" s="1"/>
  <c r="Z13" i="22" s="1"/>
  <c r="X14" i="22"/>
  <c r="X15" i="22"/>
  <c r="Y15" i="22" s="1"/>
  <c r="Z15" i="22" s="1"/>
  <c r="X16" i="22"/>
  <c r="Y16" i="22" s="1"/>
  <c r="Z16" i="22" s="1"/>
  <c r="X17" i="22"/>
  <c r="X18" i="22"/>
  <c r="X19" i="22"/>
  <c r="Y19" i="22" s="1"/>
  <c r="Z19" i="22" s="1"/>
  <c r="X20" i="22"/>
  <c r="Y20" i="22" s="1"/>
  <c r="Z20" i="22" s="1"/>
  <c r="X21" i="22"/>
  <c r="Y21" i="22" s="1"/>
  <c r="Z21" i="22" s="1"/>
  <c r="X22" i="22"/>
  <c r="X23" i="22"/>
  <c r="X24" i="22"/>
  <c r="Y24" i="22" s="1"/>
  <c r="Z24" i="22" s="1"/>
  <c r="X27" i="22"/>
  <c r="Y27" i="22" s="1"/>
  <c r="Z27" i="22" s="1"/>
  <c r="X28" i="22"/>
  <c r="X29" i="22"/>
  <c r="Y29" i="22" s="1"/>
  <c r="Z29" i="22" s="1"/>
  <c r="X30" i="22"/>
  <c r="X49" i="22"/>
  <c r="X50" i="22"/>
  <c r="Y50" i="22" s="1"/>
  <c r="Z50" i="22" s="1"/>
  <c r="X51" i="22"/>
  <c r="X52" i="22"/>
  <c r="X53" i="22"/>
  <c r="X57" i="22"/>
  <c r="Y57" i="22" s="1"/>
  <c r="Z57" i="22" s="1"/>
  <c r="X58" i="22"/>
  <c r="X59" i="22"/>
  <c r="X60" i="22"/>
  <c r="Y60" i="22" s="1"/>
  <c r="Z60" i="22" s="1"/>
  <c r="X11" i="16"/>
  <c r="Y11" i="16" s="1"/>
  <c r="Z11" i="16" s="1"/>
  <c r="X12" i="16"/>
  <c r="Y12" i="16" s="1"/>
  <c r="Z12" i="16" s="1"/>
  <c r="X13" i="16"/>
  <c r="X14" i="16"/>
  <c r="Y14" i="16" s="1"/>
  <c r="Z14" i="16" s="1"/>
  <c r="X15" i="16"/>
  <c r="Y15" i="16" s="1"/>
  <c r="Z15" i="16" s="1"/>
  <c r="X16" i="16"/>
  <c r="X17" i="16"/>
  <c r="X18" i="16"/>
  <c r="X19" i="16"/>
  <c r="X20" i="16"/>
  <c r="Y20" i="16" s="1"/>
  <c r="Z20" i="16" s="1"/>
  <c r="X21" i="16"/>
  <c r="X22" i="16"/>
  <c r="Y22" i="16" s="1"/>
  <c r="Z22" i="16" s="1"/>
  <c r="X23" i="16"/>
  <c r="Y23" i="16" s="1"/>
  <c r="Z23" i="16" s="1"/>
  <c r="X24" i="16"/>
  <c r="X27" i="16"/>
  <c r="X28" i="16"/>
  <c r="Y28" i="16" s="1"/>
  <c r="Z28" i="16" s="1"/>
  <c r="X29" i="16"/>
  <c r="X30" i="16"/>
  <c r="Y30" i="16" s="1"/>
  <c r="Z30" i="16" s="1"/>
  <c r="X49" i="16"/>
  <c r="Y49" i="16" s="1"/>
  <c r="Z49" i="16" s="1"/>
  <c r="X50" i="16"/>
  <c r="X51" i="16"/>
  <c r="X52" i="16"/>
  <c r="X53" i="16"/>
  <c r="Y53" i="16" s="1"/>
  <c r="Z53" i="16" s="1"/>
  <c r="X57" i="16"/>
  <c r="X58" i="16"/>
  <c r="X59" i="16"/>
  <c r="Y59" i="16" s="1"/>
  <c r="Z59" i="16" s="1"/>
  <c r="X60" i="16"/>
  <c r="X11" i="23"/>
  <c r="X12" i="23"/>
  <c r="Y12" i="23" s="1"/>
  <c r="Z12" i="23" s="1"/>
  <c r="X13" i="23"/>
  <c r="X14" i="23"/>
  <c r="X15" i="23"/>
  <c r="X16" i="23"/>
  <c r="X17" i="23"/>
  <c r="X18" i="23"/>
  <c r="X19" i="23"/>
  <c r="X20" i="23"/>
  <c r="Y20" i="23" s="1"/>
  <c r="Z20" i="23" s="1"/>
  <c r="X21" i="23"/>
  <c r="X22" i="23"/>
  <c r="X23" i="23"/>
  <c r="X24" i="23"/>
  <c r="X27" i="23"/>
  <c r="X28" i="23"/>
  <c r="X29" i="23"/>
  <c r="X30" i="23"/>
  <c r="Y30" i="23" s="1"/>
  <c r="Z30" i="23" s="1"/>
  <c r="X49" i="23"/>
  <c r="Y49" i="23" s="1"/>
  <c r="Z49" i="23" s="1"/>
  <c r="X50" i="23"/>
  <c r="Y50" i="23" s="1"/>
  <c r="Z50" i="23" s="1"/>
  <c r="X51" i="23"/>
  <c r="X52" i="23"/>
  <c r="X53" i="23"/>
  <c r="X57" i="23"/>
  <c r="X58" i="23"/>
  <c r="X59" i="23"/>
  <c r="Y59" i="23" s="1"/>
  <c r="Z59" i="23" s="1"/>
  <c r="X60" i="23"/>
  <c r="Y60" i="23" s="1"/>
  <c r="Z60" i="23" s="1"/>
  <c r="X11" i="30"/>
  <c r="Y11" i="30" s="1"/>
  <c r="Z11" i="30" s="1"/>
  <c r="X12" i="30"/>
  <c r="X13" i="30"/>
  <c r="X14" i="30"/>
  <c r="Y14" i="30" s="1"/>
  <c r="Z14" i="30" s="1"/>
  <c r="X15" i="30"/>
  <c r="Y15" i="30" s="1"/>
  <c r="Z15" i="30" s="1"/>
  <c r="X16" i="30"/>
  <c r="Y16" i="30" s="1"/>
  <c r="Z16" i="30" s="1"/>
  <c r="X17" i="30"/>
  <c r="Y17" i="30" s="1"/>
  <c r="Z17" i="30" s="1"/>
  <c r="X18" i="30"/>
  <c r="Y18" i="30" s="1"/>
  <c r="Z18" i="30" s="1"/>
  <c r="X19" i="30"/>
  <c r="X20" i="30"/>
  <c r="Y20" i="30" s="1"/>
  <c r="Z20" i="30" s="1"/>
  <c r="X21" i="30"/>
  <c r="X22" i="30"/>
  <c r="Y22" i="30" s="1"/>
  <c r="Z22" i="30" s="1"/>
  <c r="X23" i="30"/>
  <c r="Y23" i="30" s="1"/>
  <c r="Z23" i="30" s="1"/>
  <c r="X24" i="30"/>
  <c r="X27" i="30"/>
  <c r="Y27" i="30" s="1"/>
  <c r="Z27" i="30" s="1"/>
  <c r="X28" i="30"/>
  <c r="Y28" i="30" s="1"/>
  <c r="Z28" i="30" s="1"/>
  <c r="X29" i="30"/>
  <c r="X30" i="30"/>
  <c r="X49" i="30"/>
  <c r="X50" i="30"/>
  <c r="X51" i="30"/>
  <c r="Y51" i="30" s="1"/>
  <c r="Z51" i="30" s="1"/>
  <c r="X52" i="30"/>
  <c r="Y52" i="30" s="1"/>
  <c r="Z52" i="30" s="1"/>
  <c r="X53" i="30"/>
  <c r="X57" i="30"/>
  <c r="Y57" i="30" s="1"/>
  <c r="Z57" i="30" s="1"/>
  <c r="X58" i="30"/>
  <c r="Y58" i="30" s="1"/>
  <c r="Z58" i="30" s="1"/>
  <c r="X59" i="30"/>
  <c r="X60" i="30"/>
  <c r="Y60" i="30" s="1"/>
  <c r="Z60" i="30" s="1"/>
  <c r="X11" i="17"/>
  <c r="X12" i="17"/>
  <c r="X13" i="17"/>
  <c r="X14" i="17"/>
  <c r="X15" i="17"/>
  <c r="X16" i="17"/>
  <c r="Y16" i="17" s="1"/>
  <c r="Z16" i="17" s="1"/>
  <c r="X17" i="17"/>
  <c r="X18" i="17"/>
  <c r="X19" i="17"/>
  <c r="Y19" i="17" s="1"/>
  <c r="Z19" i="17" s="1"/>
  <c r="X20" i="17"/>
  <c r="Y20" i="17" s="1"/>
  <c r="Z20" i="17" s="1"/>
  <c r="X21" i="17"/>
  <c r="X22" i="17"/>
  <c r="Y22" i="17" s="1"/>
  <c r="Z22" i="17" s="1"/>
  <c r="X23" i="17"/>
  <c r="X24" i="17"/>
  <c r="Y24" i="17" s="1"/>
  <c r="Z24" i="17" s="1"/>
  <c r="X27" i="17"/>
  <c r="X28" i="17"/>
  <c r="X29" i="17"/>
  <c r="Y29" i="17" s="1"/>
  <c r="Z29" i="17" s="1"/>
  <c r="X30" i="17"/>
  <c r="Y30" i="17" s="1"/>
  <c r="Z30" i="17" s="1"/>
  <c r="X49" i="17"/>
  <c r="X50" i="17"/>
  <c r="Y50" i="17" s="1"/>
  <c r="Z50" i="17" s="1"/>
  <c r="X51" i="17"/>
  <c r="X52" i="17"/>
  <c r="Y52" i="17" s="1"/>
  <c r="Z52" i="17" s="1"/>
  <c r="X53" i="17"/>
  <c r="Y53" i="17" s="1"/>
  <c r="Z53" i="17" s="1"/>
  <c r="X57" i="17"/>
  <c r="Y57" i="17" s="1"/>
  <c r="Z57" i="17" s="1"/>
  <c r="X58" i="17"/>
  <c r="X59" i="17"/>
  <c r="Y59" i="17" s="1"/>
  <c r="Z59" i="17" s="1"/>
  <c r="X60" i="17"/>
  <c r="Y60" i="17" s="1"/>
  <c r="Z60" i="17" s="1"/>
  <c r="X11" i="24"/>
  <c r="Y11" i="24" s="1"/>
  <c r="Z11" i="24" s="1"/>
  <c r="X12" i="24"/>
  <c r="X13" i="24"/>
  <c r="X14" i="24"/>
  <c r="X15" i="24"/>
  <c r="X16" i="24"/>
  <c r="Y16" i="24" s="1"/>
  <c r="Z16" i="24" s="1"/>
  <c r="X17" i="24"/>
  <c r="X18" i="24"/>
  <c r="X19" i="24"/>
  <c r="Y19" i="24" s="1"/>
  <c r="Z19" i="24" s="1"/>
  <c r="X20" i="24"/>
  <c r="Y20" i="24" s="1"/>
  <c r="Z20" i="24" s="1"/>
  <c r="X21" i="24"/>
  <c r="Y21" i="24" s="1"/>
  <c r="Z21" i="24" s="1"/>
  <c r="X22" i="24"/>
  <c r="X23" i="24"/>
  <c r="Y23" i="24" s="1"/>
  <c r="Z23" i="24" s="1"/>
  <c r="X24" i="24"/>
  <c r="X27" i="24"/>
  <c r="Y27" i="24" s="1"/>
  <c r="Z27" i="24" s="1"/>
  <c r="X28" i="24"/>
  <c r="X29" i="24"/>
  <c r="X30" i="24"/>
  <c r="X49" i="24"/>
  <c r="Y49" i="24" s="1"/>
  <c r="Z49" i="24" s="1"/>
  <c r="X50" i="24"/>
  <c r="Y50" i="24" s="1"/>
  <c r="Z50" i="24" s="1"/>
  <c r="X51" i="24"/>
  <c r="X52" i="24"/>
  <c r="Y52" i="24" s="1"/>
  <c r="Z52" i="24" s="1"/>
  <c r="X53" i="24"/>
  <c r="X57" i="24"/>
  <c r="Y57" i="24" s="1"/>
  <c r="Z57" i="24" s="1"/>
  <c r="X58" i="24"/>
  <c r="X59" i="24"/>
  <c r="X60" i="24"/>
  <c r="Y60" i="24" s="1"/>
  <c r="Z60" i="24" s="1"/>
  <c r="X11" i="31"/>
  <c r="Y11" i="31" s="1"/>
  <c r="Z11" i="31" s="1"/>
  <c r="X12" i="31"/>
  <c r="X13" i="31"/>
  <c r="Y13" i="31" s="1"/>
  <c r="Z13" i="31" s="1"/>
  <c r="X14" i="31"/>
  <c r="Y14" i="31" s="1"/>
  <c r="Z14" i="31" s="1"/>
  <c r="X15" i="31"/>
  <c r="Y15" i="31" s="1"/>
  <c r="Z15" i="31" s="1"/>
  <c r="X16" i="31"/>
  <c r="X17" i="31"/>
  <c r="Y17" i="31" s="1"/>
  <c r="Z17" i="31" s="1"/>
  <c r="X18" i="31"/>
  <c r="Y18" i="31" s="1"/>
  <c r="Z18" i="31" s="1"/>
  <c r="X19" i="31"/>
  <c r="Y19" i="31" s="1"/>
  <c r="Z19" i="31" s="1"/>
  <c r="X20" i="31"/>
  <c r="X21" i="31"/>
  <c r="Y21" i="31" s="1"/>
  <c r="Z21" i="31" s="1"/>
  <c r="X22" i="31"/>
  <c r="Y22" i="31" s="1"/>
  <c r="Z22" i="31" s="1"/>
  <c r="X23" i="31"/>
  <c r="Y23" i="31" s="1"/>
  <c r="Z23" i="31" s="1"/>
  <c r="X24" i="31"/>
  <c r="X27" i="31"/>
  <c r="X28" i="31"/>
  <c r="X29" i="31"/>
  <c r="Y29" i="31" s="1"/>
  <c r="Z29" i="31" s="1"/>
  <c r="X30" i="31"/>
  <c r="Y30" i="31" s="1"/>
  <c r="Z30" i="31" s="1"/>
  <c r="X49" i="31"/>
  <c r="X50" i="31"/>
  <c r="X51" i="31"/>
  <c r="Y51" i="31" s="1"/>
  <c r="Z51" i="31" s="1"/>
  <c r="X52" i="31"/>
  <c r="Y52" i="31" s="1"/>
  <c r="Z52" i="31" s="1"/>
  <c r="X53" i="31"/>
  <c r="Y53" i="31" s="1"/>
  <c r="Z53" i="31" s="1"/>
  <c r="X57" i="31"/>
  <c r="X58" i="31"/>
  <c r="Y58" i="31" s="1"/>
  <c r="Z58" i="31" s="1"/>
  <c r="X59" i="31"/>
  <c r="Y59" i="31" s="1"/>
  <c r="Z59" i="31" s="1"/>
  <c r="X60" i="31"/>
  <c r="Y60" i="31" s="1"/>
  <c r="Z60" i="31" s="1"/>
  <c r="X11" i="2"/>
  <c r="Y11" i="2" s="1"/>
  <c r="Z11" i="2" s="1"/>
  <c r="X12" i="2"/>
  <c r="Y12" i="2" s="1"/>
  <c r="Z12" i="2" s="1"/>
  <c r="X13" i="2"/>
  <c r="Y13" i="2" s="1"/>
  <c r="Z13" i="2" s="1"/>
  <c r="X14" i="2"/>
  <c r="Y14" i="2" s="1"/>
  <c r="Z14" i="2" s="1"/>
  <c r="X15" i="2"/>
  <c r="Y15" i="2" s="1"/>
  <c r="Z15" i="2" s="1"/>
  <c r="X16" i="2"/>
  <c r="X17" i="2"/>
  <c r="Y17" i="2" s="1"/>
  <c r="Z17" i="2" s="1"/>
  <c r="X18" i="2"/>
  <c r="Y18" i="2" s="1"/>
  <c r="Z18" i="2" s="1"/>
  <c r="X19" i="2"/>
  <c r="X20" i="2"/>
  <c r="Y20" i="2" s="1"/>
  <c r="Z20" i="2" s="1"/>
  <c r="X21" i="2"/>
  <c r="X22" i="2"/>
  <c r="Y22" i="2" s="1"/>
  <c r="Z22" i="2" s="1"/>
  <c r="X23" i="2"/>
  <c r="X24" i="2"/>
  <c r="Y24" i="2" s="1"/>
  <c r="Z24" i="2" s="1"/>
  <c r="X27" i="2"/>
  <c r="Y27" i="2" s="1"/>
  <c r="Z27" i="2" s="1"/>
  <c r="X28" i="2"/>
  <c r="X29" i="2"/>
  <c r="Y29" i="2" s="1"/>
  <c r="Z29" i="2" s="1"/>
  <c r="X30" i="2"/>
  <c r="Y30" i="2" s="1"/>
  <c r="Z30" i="2" s="1"/>
  <c r="X49" i="2"/>
  <c r="Y49" i="2" s="1"/>
  <c r="Z49" i="2" s="1"/>
  <c r="X50" i="2"/>
  <c r="Y50" i="2" s="1"/>
  <c r="Z50" i="2" s="1"/>
  <c r="X51" i="2"/>
  <c r="X52" i="2"/>
  <c r="Y52" i="2" s="1"/>
  <c r="Z52" i="2" s="1"/>
  <c r="X53" i="2"/>
  <c r="Y53" i="2" s="1"/>
  <c r="Z53" i="2" s="1"/>
  <c r="X57" i="2"/>
  <c r="Y57" i="2" s="1"/>
  <c r="Z57" i="2" s="1"/>
  <c r="X58" i="2"/>
  <c r="Y58" i="2" s="1"/>
  <c r="Z58" i="2" s="1"/>
  <c r="X59" i="2"/>
  <c r="X60" i="2"/>
  <c r="Y60" i="2" s="1"/>
  <c r="Z60" i="2" s="1"/>
  <c r="X63" i="31"/>
  <c r="Y63" i="31" s="1"/>
  <c r="Z63" i="31" s="1"/>
  <c r="X62" i="31"/>
  <c r="X61" i="31"/>
  <c r="Y61" i="31" s="1"/>
  <c r="Z61" i="31" s="1"/>
  <c r="X10" i="31"/>
  <c r="X9" i="31"/>
  <c r="AR17" i="27"/>
  <c r="X63" i="30"/>
  <c r="X62" i="30"/>
  <c r="Y62" i="30" s="1"/>
  <c r="Z62" i="30" s="1"/>
  <c r="X61" i="30"/>
  <c r="X10" i="30"/>
  <c r="X9" i="30"/>
  <c r="Y9" i="30" s="1"/>
  <c r="Z9" i="30" s="1"/>
  <c r="AF17" i="27"/>
  <c r="Y29" i="16"/>
  <c r="Z29" i="16" s="1"/>
  <c r="Y51" i="16"/>
  <c r="Z51" i="16" s="1"/>
  <c r="Y28" i="2"/>
  <c r="Z28" i="2" s="1"/>
  <c r="Y58" i="21"/>
  <c r="Z58" i="21" s="1"/>
  <c r="Y60" i="21"/>
  <c r="Z60" i="21" s="1"/>
  <c r="Y51" i="23"/>
  <c r="Z51" i="23" s="1"/>
  <c r="Y22" i="23"/>
  <c r="Z22" i="23" s="1"/>
  <c r="Y27" i="23"/>
  <c r="Z27" i="23" s="1"/>
  <c r="Y21" i="23"/>
  <c r="Z21" i="23" s="1"/>
  <c r="Y13" i="21"/>
  <c r="Z13" i="21" s="1"/>
  <c r="Y28" i="21"/>
  <c r="Z28" i="21" s="1"/>
  <c r="Y17" i="23"/>
  <c r="Z17" i="23" s="1"/>
  <c r="Y14" i="23"/>
  <c r="Z14" i="23" s="1"/>
  <c r="Y18" i="23"/>
  <c r="Z18" i="23" s="1"/>
  <c r="Y13" i="23"/>
  <c r="Z13" i="23" s="1"/>
  <c r="Y27" i="18"/>
  <c r="Z27" i="18" s="1"/>
  <c r="Y57" i="18"/>
  <c r="Z57" i="18" s="1"/>
  <c r="Y22" i="18"/>
  <c r="Z22" i="18" s="1"/>
  <c r="Y61" i="33"/>
  <c r="Z61" i="33" s="1"/>
  <c r="Y60" i="16"/>
  <c r="Z60" i="16" s="1"/>
  <c r="Y50" i="16"/>
  <c r="Z50" i="16" s="1"/>
  <c r="Y21" i="16"/>
  <c r="Z21" i="16" s="1"/>
  <c r="Y59" i="24"/>
  <c r="Z59" i="24" s="1"/>
  <c r="Y28" i="24"/>
  <c r="Z28" i="24" s="1"/>
  <c r="Y15" i="24"/>
  <c r="Z15" i="24" s="1"/>
  <c r="Y19" i="2"/>
  <c r="Z19" i="2" s="1"/>
  <c r="Y23" i="2"/>
  <c r="Z23" i="2" s="1"/>
  <c r="Y53" i="19"/>
  <c r="Z53" i="19" s="1"/>
  <c r="Y12" i="17"/>
  <c r="Z12" i="17" s="1"/>
  <c r="Y12" i="15"/>
  <c r="Z12" i="15" s="1"/>
  <c r="Y24" i="15"/>
  <c r="Z24" i="15" s="1"/>
  <c r="Y50" i="15"/>
  <c r="Z50" i="15" s="1"/>
  <c r="Y22" i="19"/>
  <c r="Z22" i="19" s="1"/>
  <c r="Y24" i="31"/>
  <c r="Z24" i="31" s="1"/>
  <c r="Y58" i="24"/>
  <c r="Z58" i="24" s="1"/>
  <c r="Y57" i="23"/>
  <c r="Z57" i="23" s="1"/>
  <c r="Y53" i="23"/>
  <c r="Z53" i="23" s="1"/>
  <c r="Y24" i="23"/>
  <c r="Z24" i="23" s="1"/>
  <c r="Y19" i="23"/>
  <c r="Z19" i="23" s="1"/>
  <c r="Y58" i="16"/>
  <c r="Z58" i="16" s="1"/>
  <c r="Y52" i="16"/>
  <c r="Z52" i="16" s="1"/>
  <c r="Y17" i="16"/>
  <c r="Z17" i="16" s="1"/>
  <c r="Y12" i="22"/>
  <c r="Z12" i="22" s="1"/>
  <c r="Y23" i="17"/>
  <c r="Z23" i="17" s="1"/>
  <c r="Y30" i="24"/>
  <c r="Z30" i="24" s="1"/>
  <c r="Y28" i="17"/>
  <c r="Z28" i="17" s="1"/>
  <c r="Y11" i="17"/>
  <c r="Z11" i="17" s="1"/>
  <c r="Y52" i="21"/>
  <c r="Z52" i="21" s="1"/>
  <c r="Y52" i="15"/>
  <c r="Z52" i="15" s="1"/>
  <c r="Y30" i="19"/>
  <c r="Z30" i="19" s="1"/>
  <c r="Y50" i="18"/>
  <c r="Z50" i="18" s="1"/>
  <c r="Y49" i="22"/>
  <c r="Z49" i="22" s="1"/>
  <c r="Y12" i="18"/>
  <c r="Z12" i="18" s="1"/>
  <c r="Y59" i="2"/>
  <c r="Z59" i="2" s="1"/>
  <c r="Y12" i="31"/>
  <c r="Z12" i="31" s="1"/>
  <c r="Y13" i="24"/>
  <c r="Z13" i="24" s="1"/>
  <c r="Y27" i="17"/>
  <c r="Z27" i="17" s="1"/>
  <c r="Y13" i="17"/>
  <c r="Z13" i="17" s="1"/>
  <c r="Y59" i="30"/>
  <c r="Z59" i="30" s="1"/>
  <c r="Y24" i="30"/>
  <c r="Z24" i="30" s="1"/>
  <c r="Y58" i="23"/>
  <c r="Z58" i="23" s="1"/>
  <c r="Y23" i="23"/>
  <c r="Z23" i="23" s="1"/>
  <c r="Y57" i="16"/>
  <c r="Z57" i="16" s="1"/>
  <c r="Y59" i="22"/>
  <c r="Z59" i="22" s="1"/>
  <c r="Y53" i="22"/>
  <c r="Z53" i="22" s="1"/>
  <c r="Y22" i="22"/>
  <c r="Z22" i="22" s="1"/>
  <c r="Y18" i="22"/>
  <c r="Z18" i="22" s="1"/>
  <c r="Y18" i="21"/>
  <c r="Z18" i="21" s="1"/>
  <c r="Y49" i="17"/>
  <c r="Z49" i="17" s="1"/>
  <c r="Y15" i="17"/>
  <c r="Z15" i="17" s="1"/>
  <c r="Y30" i="30"/>
  <c r="Z30" i="30" s="1"/>
  <c r="Y13" i="30"/>
  <c r="Z13" i="30" s="1"/>
  <c r="Y29" i="23"/>
  <c r="Z29" i="23" s="1"/>
  <c r="Y28" i="22"/>
  <c r="Z28" i="22" s="1"/>
  <c r="Y13" i="19"/>
  <c r="Z13" i="19" s="1"/>
  <c r="Y51" i="33"/>
  <c r="Z51" i="33" s="1"/>
  <c r="Y23" i="21"/>
  <c r="Z23" i="21" s="1"/>
  <c r="Y14" i="15"/>
  <c r="Z14" i="15" s="1"/>
  <c r="Y28" i="31"/>
  <c r="Z28" i="31" s="1"/>
  <c r="Y16" i="31"/>
  <c r="Z16" i="31" s="1"/>
  <c r="Y51" i="17"/>
  <c r="Z51" i="17" s="1"/>
  <c r="Y17" i="17"/>
  <c r="Z17" i="17" s="1"/>
  <c r="Y14" i="17"/>
  <c r="Z14" i="17" s="1"/>
  <c r="Y49" i="30"/>
  <c r="Z49" i="30" s="1"/>
  <c r="Y29" i="30"/>
  <c r="Z29" i="30" s="1"/>
  <c r="Y12" i="30"/>
  <c r="Z12" i="30" s="1"/>
  <c r="Y28" i="23"/>
  <c r="Z28" i="23" s="1"/>
  <c r="Y16" i="23"/>
  <c r="Z16" i="23" s="1"/>
  <c r="Y11" i="23"/>
  <c r="Z11" i="23" s="1"/>
  <c r="Y27" i="16"/>
  <c r="Z27" i="16" s="1"/>
  <c r="Y19" i="16"/>
  <c r="Z19" i="16" s="1"/>
  <c r="Y14" i="22"/>
  <c r="Z14" i="22" s="1"/>
  <c r="Y24" i="21"/>
  <c r="Z24" i="21" s="1"/>
  <c r="Y19" i="21"/>
  <c r="Z19" i="21" s="1"/>
  <c r="Y12" i="21"/>
  <c r="Z12" i="21" s="1"/>
  <c r="Y51" i="2"/>
  <c r="Z51" i="2" s="1"/>
  <c r="Y51" i="24"/>
  <c r="Z51" i="24" s="1"/>
  <c r="Y52" i="22"/>
  <c r="Z52" i="22" s="1"/>
  <c r="Y57" i="19"/>
  <c r="Z57" i="19" s="1"/>
  <c r="Y29" i="18"/>
  <c r="Z29" i="18" s="1"/>
  <c r="Y22" i="24"/>
  <c r="Z22" i="24" s="1"/>
  <c r="Y21" i="30"/>
  <c r="Z21" i="30" s="1"/>
  <c r="Y21" i="2"/>
  <c r="Z21" i="2" s="1"/>
  <c r="Y16" i="2"/>
  <c r="Z16" i="2" s="1"/>
  <c r="Y49" i="31"/>
  <c r="Z49" i="31" s="1"/>
  <c r="Y53" i="24"/>
  <c r="Z53" i="24" s="1"/>
  <c r="Y21" i="17"/>
  <c r="Z21" i="17" s="1"/>
  <c r="Y18" i="17"/>
  <c r="Z18" i="17" s="1"/>
  <c r="Y53" i="30"/>
  <c r="Z53" i="30" s="1"/>
  <c r="Y50" i="30"/>
  <c r="Z50" i="30" s="1"/>
  <c r="Y19" i="30"/>
  <c r="Z19" i="30" s="1"/>
  <c r="Y52" i="23"/>
  <c r="Z52" i="23" s="1"/>
  <c r="Y15" i="23"/>
  <c r="Z15" i="23" s="1"/>
  <c r="Y16" i="16"/>
  <c r="Z16" i="16" s="1"/>
  <c r="Y13" i="16"/>
  <c r="Z13" i="16" s="1"/>
  <c r="Y53" i="21"/>
  <c r="Z53" i="21" s="1"/>
  <c r="Y29" i="21"/>
  <c r="Z29" i="21" s="1"/>
  <c r="Y57" i="15"/>
  <c r="Z57" i="15" s="1"/>
  <c r="Y24" i="19"/>
  <c r="Z24" i="19" s="1"/>
  <c r="Y28" i="15"/>
  <c r="Z28" i="15" s="1"/>
  <c r="Y60" i="18"/>
  <c r="Z60" i="18" s="1"/>
  <c r="Y30" i="15"/>
  <c r="Z30" i="15" s="1"/>
  <c r="Y27" i="15"/>
  <c r="Z27" i="15" s="1"/>
  <c r="Y60" i="19"/>
  <c r="Z60" i="19" s="1"/>
  <c r="Y29" i="19"/>
  <c r="Z29" i="19" s="1"/>
  <c r="Y12" i="19"/>
  <c r="Z12" i="19" s="1"/>
  <c r="Y11" i="18"/>
  <c r="Z11" i="18" s="1"/>
  <c r="Y15" i="15"/>
  <c r="Z15" i="15" s="1"/>
  <c r="Y30" i="18"/>
  <c r="Z30" i="18" s="1"/>
  <c r="Y13" i="18"/>
  <c r="Z13" i="18" s="1"/>
  <c r="Y53" i="15"/>
  <c r="Z53" i="15" s="1"/>
  <c r="Y51" i="18"/>
  <c r="Z51" i="18" s="1"/>
  <c r="Y11" i="33"/>
  <c r="Z11" i="33" s="1"/>
  <c r="Y21" i="15"/>
  <c r="Z21" i="15" s="1"/>
  <c r="Y53" i="18"/>
  <c r="Z53" i="18" s="1"/>
  <c r="Y19" i="18"/>
  <c r="Z19" i="18" s="1"/>
  <c r="Y29" i="24"/>
  <c r="Z29" i="24" s="1"/>
  <c r="Y12" i="24"/>
  <c r="Z12" i="24" s="1"/>
  <c r="Y18" i="24"/>
  <c r="Z18" i="24" s="1"/>
  <c r="Y24" i="24"/>
  <c r="Z24" i="24" s="1"/>
  <c r="Y58" i="17"/>
  <c r="Z58" i="17" s="1"/>
  <c r="Y18" i="16"/>
  <c r="Z18" i="16" s="1"/>
  <c r="Y51" i="22"/>
  <c r="Z51" i="22" s="1"/>
  <c r="Y17" i="22"/>
  <c r="Z17" i="22" s="1"/>
  <c r="Y24" i="16"/>
  <c r="Z24" i="16" s="1"/>
  <c r="Y58" i="22"/>
  <c r="Z58" i="22" s="1"/>
  <c r="Y23" i="22"/>
  <c r="Z23" i="22" s="1"/>
  <c r="Y30" i="22"/>
  <c r="Z30" i="22" s="1"/>
  <c r="Y9" i="31"/>
  <c r="Z9" i="31" s="1"/>
  <c r="Y61" i="30"/>
  <c r="Z61" i="30" s="1"/>
  <c r="Y63" i="30"/>
  <c r="Z63" i="30" s="1"/>
  <c r="Y10" i="30"/>
  <c r="Z10" i="30" s="1"/>
  <c r="Y10" i="31"/>
  <c r="Z10" i="31" s="1"/>
  <c r="W17" i="27"/>
  <c r="Z17" i="27"/>
  <c r="Q17" i="27"/>
  <c r="AO17" i="27"/>
  <c r="H17" i="27"/>
  <c r="N17" i="27"/>
  <c r="AL17" i="27"/>
  <c r="T17" i="27"/>
  <c r="BD17" i="27"/>
  <c r="BC17" i="27"/>
  <c r="BB17" i="27"/>
  <c r="BA17" i="27"/>
  <c r="AZ17" i="27"/>
  <c r="AY17" i="27"/>
  <c r="AX17" i="27"/>
  <c r="AW17" i="27"/>
  <c r="AI12" i="27"/>
  <c r="AI11" i="27"/>
  <c r="AC17" i="27"/>
  <c r="X10" i="15"/>
  <c r="Y10" i="15" s="1"/>
  <c r="Z10" i="15" s="1"/>
  <c r="X10" i="16"/>
  <c r="Y10" i="16" s="1"/>
  <c r="Z10" i="16" s="1"/>
  <c r="X10" i="17"/>
  <c r="X10" i="18"/>
  <c r="Y10" i="18" s="1"/>
  <c r="Z10" i="18" s="1"/>
  <c r="X10" i="19"/>
  <c r="Y10" i="19" s="1"/>
  <c r="Z10" i="19" s="1"/>
  <c r="X10" i="21"/>
  <c r="Y10" i="21" s="1"/>
  <c r="Z10" i="21" s="1"/>
  <c r="X10" i="22"/>
  <c r="Y10" i="22" s="1"/>
  <c r="Z10" i="22" s="1"/>
  <c r="X10" i="23"/>
  <c r="Y10" i="23" s="1"/>
  <c r="Z10" i="23" s="1"/>
  <c r="X10" i="24"/>
  <c r="Y10" i="24" s="1"/>
  <c r="Z10" i="24" s="1"/>
  <c r="X10" i="2"/>
  <c r="Y10" i="2" s="1"/>
  <c r="Z10" i="2" s="1"/>
  <c r="Y10" i="17"/>
  <c r="Z10" i="17" s="1"/>
  <c r="X63" i="24"/>
  <c r="Y63" i="24" s="1"/>
  <c r="Z63" i="24" s="1"/>
  <c r="X62" i="24"/>
  <c r="X61" i="24"/>
  <c r="X9" i="24"/>
  <c r="Y9" i="24" s="1"/>
  <c r="Z9" i="24" s="1"/>
  <c r="X63" i="23"/>
  <c r="Y63" i="23" s="1"/>
  <c r="Z63" i="23" s="1"/>
  <c r="X62" i="23"/>
  <c r="X61" i="23"/>
  <c r="Y61" i="23" s="1"/>
  <c r="Z61" i="23" s="1"/>
  <c r="X9" i="23"/>
  <c r="Y9" i="23" s="1"/>
  <c r="Z9" i="23" s="1"/>
  <c r="X63" i="22"/>
  <c r="X62" i="22"/>
  <c r="Y62" i="22" s="1"/>
  <c r="Z62" i="22" s="1"/>
  <c r="X61" i="22"/>
  <c r="Y61" i="22" s="1"/>
  <c r="Z61" i="22" s="1"/>
  <c r="X9" i="22"/>
  <c r="Y9" i="22" s="1"/>
  <c r="Z9" i="22" s="1"/>
  <c r="X63" i="21"/>
  <c r="Y63" i="21" s="1"/>
  <c r="Z63" i="21" s="1"/>
  <c r="X62" i="21"/>
  <c r="Y62" i="21" s="1"/>
  <c r="Z62" i="21" s="1"/>
  <c r="X61" i="21"/>
  <c r="X9" i="21"/>
  <c r="Y9" i="21" s="1"/>
  <c r="Z9" i="21" s="1"/>
  <c r="X63" i="19"/>
  <c r="Y63" i="19" s="1"/>
  <c r="Z63" i="19" s="1"/>
  <c r="X62" i="19"/>
  <c r="Y62" i="19" s="1"/>
  <c r="Z62" i="19" s="1"/>
  <c r="X61" i="19"/>
  <c r="X9" i="19"/>
  <c r="X63" i="18"/>
  <c r="Y63" i="18" s="1"/>
  <c r="Z63" i="18" s="1"/>
  <c r="X62" i="18"/>
  <c r="Y62" i="18" s="1"/>
  <c r="Z62" i="18" s="1"/>
  <c r="X61" i="18"/>
  <c r="Y61" i="18" s="1"/>
  <c r="Z61" i="18" s="1"/>
  <c r="X9" i="18"/>
  <c r="K17" i="27"/>
  <c r="X63" i="17"/>
  <c r="Y63" i="17" s="1"/>
  <c r="Z63" i="17" s="1"/>
  <c r="X62" i="17"/>
  <c r="Y62" i="17" s="1"/>
  <c r="Z62" i="17" s="1"/>
  <c r="X61" i="17"/>
  <c r="Y61" i="17" s="1"/>
  <c r="Z61" i="17" s="1"/>
  <c r="X9" i="17"/>
  <c r="Y9" i="17" s="1"/>
  <c r="Z9" i="17" s="1"/>
  <c r="X63" i="16"/>
  <c r="Y63" i="16" s="1"/>
  <c r="Z63" i="16" s="1"/>
  <c r="X62" i="16"/>
  <c r="Y62" i="16" s="1"/>
  <c r="Z62" i="16" s="1"/>
  <c r="X61" i="16"/>
  <c r="Y61" i="16" s="1"/>
  <c r="Z61" i="16" s="1"/>
  <c r="X9" i="16"/>
  <c r="X63" i="15"/>
  <c r="Y63" i="15" s="1"/>
  <c r="Z63" i="15" s="1"/>
  <c r="X62" i="15"/>
  <c r="Y62" i="15" s="1"/>
  <c r="Z62" i="15" s="1"/>
  <c r="X61" i="15"/>
  <c r="Y61" i="15" s="1"/>
  <c r="Z61" i="15" s="1"/>
  <c r="X9" i="15"/>
  <c r="Y9" i="15" s="1"/>
  <c r="Z9" i="15" s="1"/>
  <c r="Y62" i="24"/>
  <c r="Z62" i="24" s="1"/>
  <c r="Y61" i="19"/>
  <c r="Z61" i="19" s="1"/>
  <c r="Y63" i="22"/>
  <c r="Z63" i="22" s="1"/>
  <c r="Y9" i="18"/>
  <c r="Z9" i="18" s="1"/>
  <c r="Y9" i="16"/>
  <c r="Z9" i="16" s="1"/>
  <c r="Y61" i="21"/>
  <c r="Z61" i="21" s="1"/>
  <c r="Y62" i="23"/>
  <c r="Z62" i="23" s="1"/>
  <c r="Y61" i="24"/>
  <c r="Z61" i="24" s="1"/>
  <c r="Y9" i="19"/>
  <c r="Z9" i="19" s="1"/>
  <c r="X63" i="2"/>
  <c r="Y63" i="2" s="1"/>
  <c r="Z63" i="2" s="1"/>
  <c r="X62" i="2"/>
  <c r="Y62" i="2" s="1"/>
  <c r="Z62" i="2" s="1"/>
  <c r="X61" i="2"/>
  <c r="Y61" i="2" s="1"/>
  <c r="Z61" i="2" s="1"/>
  <c r="X9" i="2"/>
  <c r="Y9" i="2" s="1"/>
  <c r="Z9" i="2" s="1"/>
  <c r="AE8" i="23" l="1"/>
  <c r="AA8" i="15"/>
  <c r="AE8" i="22"/>
  <c r="AD8" i="15"/>
  <c r="AD8" i="16"/>
  <c r="AA8" i="30"/>
  <c r="AE8" i="30"/>
  <c r="AE8" i="15"/>
  <c r="BA18" i="27"/>
  <c r="AD8" i="21"/>
  <c r="AE8" i="17"/>
  <c r="AE8" i="21"/>
  <c r="AC8" i="21"/>
  <c r="AA8" i="21"/>
  <c r="AD8" i="22"/>
  <c r="AC8" i="17"/>
  <c r="AB8" i="15"/>
  <c r="AA8" i="16"/>
  <c r="AB8" i="21"/>
  <c r="AA8" i="22"/>
  <c r="AC8" i="30"/>
  <c r="AB8" i="16"/>
  <c r="AA10" i="16" s="1"/>
  <c r="AB8" i="22"/>
  <c r="AA8" i="23"/>
  <c r="AD8" i="30"/>
  <c r="AC8" i="15"/>
  <c r="AA8" i="17"/>
  <c r="AC8" i="16"/>
  <c r="AB8" i="17"/>
  <c r="AC8" i="22"/>
  <c r="AB8" i="23"/>
  <c r="AC8" i="23"/>
  <c r="AE8" i="16"/>
  <c r="AD8" i="17"/>
  <c r="AD8" i="23"/>
  <c r="AB8" i="30"/>
  <c r="AB8" i="2"/>
  <c r="AW18" i="27"/>
  <c r="BC18" i="27"/>
  <c r="AC8" i="2"/>
  <c r="AD8" i="2"/>
  <c r="AE8" i="2"/>
  <c r="AA8" i="2"/>
  <c r="AT31" i="27"/>
  <c r="AY18" i="27"/>
  <c r="AI10" i="27"/>
  <c r="AT27" i="27"/>
  <c r="AT32" i="27"/>
  <c r="AT36" i="27"/>
  <c r="AT18" i="27"/>
  <c r="AT35" i="27"/>
  <c r="AT21" i="27"/>
  <c r="AT30" i="27"/>
  <c r="AT24" i="27"/>
  <c r="AT37" i="27"/>
  <c r="AT26" i="27"/>
  <c r="AT20" i="27"/>
  <c r="Y15" i="19"/>
  <c r="Z15" i="19" s="1"/>
  <c r="AD8" i="19" s="1"/>
  <c r="Y58" i="19"/>
  <c r="Z58" i="19" s="1"/>
  <c r="AT22" i="27"/>
  <c r="AT17" i="27"/>
  <c r="AT33" i="27"/>
  <c r="Y59" i="19"/>
  <c r="Z59" i="19" s="1"/>
  <c r="AT34" i="27"/>
  <c r="Y9" i="33"/>
  <c r="Z9" i="33" s="1"/>
  <c r="Y14" i="33"/>
  <c r="Z14" i="33" s="1"/>
  <c r="Y63" i="33"/>
  <c r="Z63" i="33" s="1"/>
  <c r="Y12" i="33"/>
  <c r="Z12" i="33" s="1"/>
  <c r="Y22" i="33"/>
  <c r="Z22" i="33" s="1"/>
  <c r="AT25" i="27"/>
  <c r="Y60" i="33"/>
  <c r="Z60" i="33" s="1"/>
  <c r="Y28" i="33"/>
  <c r="Z28" i="33" s="1"/>
  <c r="AT38" i="27"/>
  <c r="Y13" i="33"/>
  <c r="Z13" i="33" s="1"/>
  <c r="Y18" i="33"/>
  <c r="Z18" i="33" s="1"/>
  <c r="Y58" i="33"/>
  <c r="Z58" i="33" s="1"/>
  <c r="Y19" i="33"/>
  <c r="Z19" i="33" s="1"/>
  <c r="AT19" i="27"/>
  <c r="AT71" i="27"/>
  <c r="Y62" i="31"/>
  <c r="Z62" i="31" s="1"/>
  <c r="Y20" i="31"/>
  <c r="Z20" i="31" s="1"/>
  <c r="AT23" i="27"/>
  <c r="Y27" i="31"/>
  <c r="Z27" i="31" s="1"/>
  <c r="AT40" i="27"/>
  <c r="Y50" i="31"/>
  <c r="Z50" i="31" s="1"/>
  <c r="Y57" i="31"/>
  <c r="Z57" i="31" s="1"/>
  <c r="Y52" i="18"/>
  <c r="Z52" i="18" s="1"/>
  <c r="AE8" i="18" s="1"/>
  <c r="Y17" i="24"/>
  <c r="Z17" i="24" s="1"/>
  <c r="Y14" i="24"/>
  <c r="Z14" i="24" s="1"/>
  <c r="AC8" i="24" s="1"/>
  <c r="AA10" i="15" l="1"/>
  <c r="AA10" i="30"/>
  <c r="AA10" i="22"/>
  <c r="AB8" i="31"/>
  <c r="AD8" i="24"/>
  <c r="AA10" i="21"/>
  <c r="AA10" i="2"/>
  <c r="AB8" i="33"/>
  <c r="AA8" i="33"/>
  <c r="AC8" i="33"/>
  <c r="AE8" i="33"/>
  <c r="AD8" i="33"/>
  <c r="AB8" i="24"/>
  <c r="AE8" i="31"/>
  <c r="AA10" i="17"/>
  <c r="AE8" i="24"/>
  <c r="AA8" i="31"/>
  <c r="AA8" i="24"/>
  <c r="AA8" i="19"/>
  <c r="AD8" i="31"/>
  <c r="AA10" i="23"/>
  <c r="AC8" i="19"/>
  <c r="AD8" i="18"/>
  <c r="AB8" i="19"/>
  <c r="AC8" i="18"/>
  <c r="AE8" i="19"/>
  <c r="AB8" i="18"/>
  <c r="AC8" i="31"/>
  <c r="AA8" i="18"/>
  <c r="AY66" i="27"/>
  <c r="AA10" i="31" l="1"/>
  <c r="AA10" i="33"/>
  <c r="AA10" i="24"/>
  <c r="AA10" i="18"/>
  <c r="AA10" i="19"/>
</calcChain>
</file>

<file path=xl/comments1.xml><?xml version="1.0" encoding="utf-8"?>
<comments xmlns="http://schemas.openxmlformats.org/spreadsheetml/2006/main">
  <authors>
    <author>Operadores</author>
  </authors>
  <commentList>
    <comment ref="B76" authorId="0" shapeId="0">
      <text>
        <r>
          <rPr>
            <b/>
            <sz val="9"/>
            <color indexed="81"/>
            <rFont val="Tahoma"/>
            <family val="2"/>
          </rPr>
          <t>Operadores: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Operadores</author>
  </authors>
  <commentList>
    <comment ref="B76" authorId="0" shapeId="0">
      <text>
        <r>
          <rPr>
            <b/>
            <sz val="9"/>
            <color indexed="81"/>
            <rFont val="Tahoma"/>
            <family val="2"/>
          </rPr>
          <t>Operadores: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<sst xmlns="http://schemas.openxmlformats.org/spreadsheetml/2006/main" count="1895" uniqueCount="158">
  <si>
    <t>M</t>
  </si>
  <si>
    <t>F</t>
  </si>
  <si>
    <t>TRANSITA</t>
  </si>
  <si>
    <t>N/TRANSITA</t>
  </si>
  <si>
    <t>O Subdirector Pedagógico</t>
  </si>
  <si>
    <r>
      <t xml:space="preserve">Disciplina: </t>
    </r>
    <r>
      <rPr>
        <b/>
        <sz val="12"/>
        <color indexed="8"/>
        <rFont val="Times New Roman"/>
        <family val="1"/>
      </rPr>
      <t xml:space="preserve"> Língua Portuguesa</t>
    </r>
  </si>
  <si>
    <t>Nome do (a) Aluno (a)</t>
  </si>
  <si>
    <t>MFD</t>
  </si>
  <si>
    <t>OBS</t>
  </si>
  <si>
    <t>MAC</t>
  </si>
  <si>
    <t>NPP</t>
  </si>
  <si>
    <t>NPT</t>
  </si>
  <si>
    <t>MT1</t>
  </si>
  <si>
    <t>MT2</t>
  </si>
  <si>
    <t>MT3</t>
  </si>
  <si>
    <t>_______________________________</t>
  </si>
  <si>
    <t>___________________________</t>
  </si>
  <si>
    <t>ALBERTO SASSA TATI</t>
  </si>
  <si>
    <r>
      <t xml:space="preserve">Disciplina: </t>
    </r>
    <r>
      <rPr>
        <b/>
        <sz val="12"/>
        <color indexed="8"/>
        <rFont val="Times New Roman"/>
        <family val="1"/>
      </rPr>
      <t xml:space="preserve"> Matemática</t>
    </r>
  </si>
  <si>
    <t>NPR1</t>
  </si>
  <si>
    <t>NPR2</t>
  </si>
  <si>
    <r>
      <t>N</t>
    </r>
    <r>
      <rPr>
        <b/>
        <sz val="12"/>
        <color indexed="8"/>
        <rFont val="Agency FB"/>
        <family val="2"/>
      </rPr>
      <t>º</t>
    </r>
  </si>
  <si>
    <t>Avaliações/I Trimestre</t>
  </si>
  <si>
    <t>Avaliações/II Trimestre</t>
  </si>
  <si>
    <t>Avaliações/IIITrimestre</t>
  </si>
  <si>
    <t>FALTAS</t>
  </si>
  <si>
    <t>J/I</t>
  </si>
  <si>
    <r>
      <t xml:space="preserve"> Turma:</t>
    </r>
    <r>
      <rPr>
        <b/>
        <sz val="12"/>
        <color theme="1"/>
        <rFont val="Times New Roman"/>
        <family val="1"/>
      </rPr>
      <t xml:space="preserve"> Única</t>
    </r>
  </si>
  <si>
    <r>
      <t xml:space="preserve">Curso: </t>
    </r>
    <r>
      <rPr>
        <b/>
        <sz val="12"/>
        <color theme="1"/>
        <rFont val="Times New Roman"/>
        <family val="1"/>
      </rPr>
      <t>FARMÁCIA</t>
    </r>
  </si>
  <si>
    <t>E.E.F</t>
  </si>
  <si>
    <t>O (A) Professor (a)</t>
  </si>
  <si>
    <t>MINI-PAUTA - TÉCNICO DE SAÚDE</t>
  </si>
  <si>
    <r>
      <t xml:space="preserve">Disciplina: </t>
    </r>
    <r>
      <rPr>
        <b/>
        <sz val="12"/>
        <color indexed="8"/>
        <rFont val="Times New Roman"/>
        <family val="1"/>
      </rPr>
      <t xml:space="preserve"> Língua Inglesa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</si>
  <si>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Educação Física</t>
    </r>
  </si>
  <si>
    <r>
      <t xml:space="preserve">  Turma:</t>
    </r>
    <r>
      <rPr>
        <b/>
        <sz val="12"/>
        <color theme="1"/>
        <rFont val="Times New Roman"/>
        <family val="1"/>
      </rPr>
      <t xml:space="preserve"> Única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</si>
  <si>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Biologia 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</si>
  <si>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Patologia 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</si>
  <si>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Microparasitologia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</si>
  <si>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Farmacognosia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</si>
  <si>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Botânica</t>
    </r>
  </si>
  <si>
    <r>
      <t xml:space="preserve">Classe: </t>
    </r>
    <r>
      <rPr>
        <b/>
        <sz val="12"/>
        <color theme="1"/>
        <rFont val="Times New Roman"/>
        <family val="1"/>
      </rPr>
      <t>11ª</t>
    </r>
  </si>
  <si>
    <r>
      <t xml:space="preserve">Período: </t>
    </r>
    <r>
      <rPr>
        <b/>
        <sz val="12"/>
        <color theme="1"/>
        <rFont val="Times New Roman"/>
        <family val="1"/>
      </rPr>
      <t>Vespertino</t>
    </r>
  </si>
  <si>
    <t xml:space="preserve">                   INSTITUTO TÉCNICP PRIVADO DE SAÚDE JOMORAIS</t>
  </si>
  <si>
    <r>
      <t xml:space="preserve">                     INSTITUTO TÉCNICO PRIVADO DE SA</t>
    </r>
    <r>
      <rPr>
        <b/>
        <sz val="20"/>
        <color theme="1"/>
        <rFont val="Calibri"/>
        <family val="2"/>
      </rPr>
      <t>ÚDE</t>
    </r>
    <r>
      <rPr>
        <b/>
        <sz val="20"/>
        <color theme="1"/>
        <rFont val="Calibri"/>
        <family val="2"/>
        <scheme val="minor"/>
      </rPr>
      <t xml:space="preserve"> JOMORAIS</t>
    </r>
  </si>
  <si>
    <t>PAUTA DE APROVEITAMENTO ESCOLAR</t>
  </si>
  <si>
    <r>
      <t xml:space="preserve">ÁREA DE FORMAÇÃO: </t>
    </r>
    <r>
      <rPr>
        <b/>
        <sz val="16"/>
        <color rgb="FF0070C0"/>
        <rFont val="Algerian"/>
        <family val="5"/>
      </rPr>
      <t>SAÚDE</t>
    </r>
  </si>
  <si>
    <r>
      <t xml:space="preserve">CURSO: </t>
    </r>
    <r>
      <rPr>
        <b/>
        <sz val="28"/>
        <color rgb="FF0070C0"/>
        <rFont val="Calibri"/>
        <family val="2"/>
        <scheme val="minor"/>
      </rPr>
      <t>FARM</t>
    </r>
    <r>
      <rPr>
        <b/>
        <sz val="28"/>
        <color rgb="FF0070C0"/>
        <rFont val="Calibri"/>
        <family val="2"/>
      </rPr>
      <t>ÁCIA</t>
    </r>
  </si>
  <si>
    <r>
      <rPr>
        <b/>
        <sz val="14"/>
        <color rgb="FF0070C0"/>
        <rFont val="Calibri"/>
        <family val="2"/>
        <scheme val="minor"/>
      </rPr>
      <t>PER</t>
    </r>
    <r>
      <rPr>
        <b/>
        <sz val="14"/>
        <color rgb="FF0070C0"/>
        <rFont val="Calibri"/>
        <family val="2"/>
      </rPr>
      <t>ÍODO:</t>
    </r>
    <r>
      <rPr>
        <b/>
        <sz val="14"/>
        <color rgb="FFFF0000"/>
        <rFont val="Calibri"/>
        <family val="2"/>
      </rPr>
      <t xml:space="preserve"> VESPERTNO</t>
    </r>
  </si>
  <si>
    <t>O Director do Instituto</t>
  </si>
  <si>
    <t>MF:</t>
  </si>
  <si>
    <t>________________________________________</t>
  </si>
  <si>
    <t>TURMA:</t>
  </si>
  <si>
    <r>
      <rPr>
        <b/>
        <sz val="14"/>
        <color rgb="FFFF0000"/>
        <rFont val="Calibri"/>
        <family val="2"/>
      </rPr>
      <t>Ú</t>
    </r>
    <r>
      <rPr>
        <b/>
        <sz val="9.8000000000000007"/>
        <color rgb="FFFF0000"/>
        <rFont val="Calibri"/>
        <family val="2"/>
      </rPr>
      <t>NICA</t>
    </r>
  </si>
  <si>
    <r>
      <t>GABRIEL PR</t>
    </r>
    <r>
      <rPr>
        <b/>
        <sz val="14"/>
        <color theme="1"/>
        <rFont val="Calibri"/>
        <family val="2"/>
      </rPr>
      <t>ÓSPERO MABIALA</t>
    </r>
  </si>
  <si>
    <t>Nº</t>
  </si>
  <si>
    <t>Nº PROC</t>
  </si>
  <si>
    <t>NOME</t>
  </si>
  <si>
    <t>DISCIPLINA A REPETIR</t>
  </si>
  <si>
    <t>L. Port</t>
  </si>
  <si>
    <t>Inglês</t>
  </si>
  <si>
    <t>Ed. Física</t>
  </si>
  <si>
    <t>Biologia</t>
  </si>
  <si>
    <t>Idade</t>
  </si>
  <si>
    <t>Género</t>
  </si>
  <si>
    <t>DADOS ESTATÍSTICOS</t>
  </si>
  <si>
    <t>MATRICULADOS</t>
  </si>
  <si>
    <t>Desistido/a</t>
  </si>
  <si>
    <t>J</t>
  </si>
  <si>
    <t>I</t>
  </si>
  <si>
    <t>_____________________________________</t>
  </si>
  <si>
    <t>11ª CLASSE</t>
  </si>
  <si>
    <t>Patologia</t>
  </si>
  <si>
    <t>Botânica</t>
  </si>
  <si>
    <t>MÉDIA</t>
  </si>
  <si>
    <t>MÁXIMA</t>
  </si>
  <si>
    <t>NOME DO/A ALUNO/A</t>
  </si>
  <si>
    <t>IDADE:</t>
  </si>
  <si>
    <r>
      <rPr>
        <b/>
        <sz val="14"/>
        <color rgb="FF0070C0"/>
        <rFont val="Calibri"/>
        <family val="2"/>
      </rPr>
      <t xml:space="preserve">1º </t>
    </r>
    <r>
      <rPr>
        <b/>
        <sz val="14"/>
        <color rgb="FFFF0000"/>
        <rFont val="Calibri"/>
        <family val="2"/>
      </rPr>
      <t>TRIMESTRE</t>
    </r>
  </si>
  <si>
    <t>MT1º</t>
  </si>
  <si>
    <t>ODirector de Turma</t>
  </si>
  <si>
    <t>Mat.</t>
  </si>
  <si>
    <t>Micoparasit.</t>
  </si>
  <si>
    <t>Farmacologia</t>
  </si>
  <si>
    <t>Farmacog.</t>
  </si>
  <si>
    <t>TPM</t>
  </si>
  <si>
    <t>Qca Org.</t>
  </si>
  <si>
    <t>A.F.H</t>
  </si>
  <si>
    <r>
      <t xml:space="preserve">                              Disciplina: </t>
    </r>
    <r>
      <rPr>
        <b/>
        <sz val="12"/>
        <color indexed="8"/>
        <rFont val="Times New Roman"/>
        <family val="1"/>
      </rPr>
      <t xml:space="preserve"> Farmacologia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</si>
  <si>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Técnica de Produção de Medicamento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</si>
  <si>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Química Orgânica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</si>
  <si>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Anatomina e Fisiologia Humana</t>
    </r>
  </si>
  <si>
    <t>SAMUEL BERNUÁRIO CALINHA</t>
  </si>
  <si>
    <r>
      <rPr>
        <b/>
        <sz val="14"/>
        <color theme="4"/>
        <rFont val="Calibri"/>
        <family val="2"/>
        <scheme val="minor"/>
      </rPr>
      <t>ANO LECTIVO</t>
    </r>
    <r>
      <rPr>
        <b/>
        <sz val="14"/>
        <color theme="1"/>
        <rFont val="Calibri"/>
        <family val="2"/>
        <scheme val="minor"/>
      </rPr>
      <t xml:space="preserve">: </t>
    </r>
    <r>
      <rPr>
        <b/>
        <sz val="14"/>
        <color rgb="FFFF0000"/>
        <rFont val="Calibri"/>
        <family val="2"/>
        <scheme val="minor"/>
      </rPr>
      <t>2025/2026</t>
    </r>
    <r>
      <rPr>
        <b/>
        <sz val="14"/>
        <color theme="1"/>
        <rFont val="Calibri"/>
        <family val="2"/>
        <scheme val="minor"/>
      </rPr>
      <t xml:space="preserve"> </t>
    </r>
  </si>
  <si>
    <t>DATA DO CONSELHO DE TURMA______/______/2025</t>
  </si>
  <si>
    <t>DATA______/______/2025</t>
  </si>
  <si>
    <t>Amélia Mauricio Macaia</t>
  </si>
  <si>
    <t>Angelina Umba Esperança Luyeye</t>
  </si>
  <si>
    <t>Armindo Maciala Mendes</t>
  </si>
  <si>
    <t>Beatriz Lelo Nombo</t>
  </si>
  <si>
    <t>Carolina Zuzi Nhimi</t>
  </si>
  <si>
    <t>Catarina Simba Buela</t>
  </si>
  <si>
    <t>Cecília Suami Lando Massiala</t>
  </si>
  <si>
    <t>Clara Sungo Buati Chiânica</t>
  </si>
  <si>
    <t>Clementina Paca V. Guimbi</t>
  </si>
  <si>
    <t>Cleúsia Da Conceição Mboco Kilombo</t>
  </si>
  <si>
    <t>Damália Isaias Bumba</t>
  </si>
  <si>
    <t>Divina Pemba Dembe</t>
  </si>
  <si>
    <t>Emíliana Pemba Baza Jonace</t>
  </si>
  <si>
    <t>Esmênia Constância Pedro Mendes</t>
  </si>
  <si>
    <t>Esperança Muanda</t>
  </si>
  <si>
    <t>Esperança Velância Gomes</t>
  </si>
  <si>
    <t>Eunice Domingas Umbar</t>
  </si>
  <si>
    <t>Faustino Cardoso</t>
  </si>
  <si>
    <t>Felicidade Buzi Guerra</t>
  </si>
  <si>
    <t>Filipe Binjunga Futi</t>
  </si>
  <si>
    <t>Graça Tucola Mavungo</t>
  </si>
  <si>
    <t>Imaculada Da Conceiãção Cungi Zau</t>
  </si>
  <si>
    <t>Isabel Buanga Lelo Mendes</t>
  </si>
  <si>
    <t>Isabel Domingas Futi</t>
  </si>
  <si>
    <t>Joana Bizi Muanda Bungo</t>
  </si>
  <si>
    <t>Jaquelina Malonda Muanda Mbumba</t>
  </si>
  <si>
    <t>José Mavungo Dungi</t>
  </si>
  <si>
    <t>Jose Nhimi Cesse</t>
  </si>
  <si>
    <t>Lino Futi Dinis</t>
  </si>
  <si>
    <t>Lúcia Figueira Banza</t>
  </si>
  <si>
    <t>Madalena Conde Tanzi</t>
  </si>
  <si>
    <t>Maria Alexandrina Zau Futi</t>
  </si>
  <si>
    <t>Maria Celestina Sambo Celestino</t>
  </si>
  <si>
    <t>Maria Macaia</t>
  </si>
  <si>
    <t>Maria Madalena Mombo</t>
  </si>
  <si>
    <t>Maria Suami Bungo</t>
  </si>
  <si>
    <t>Mateus Ndombe Muanda</t>
  </si>
  <si>
    <t>Miguel Luimba Soca</t>
  </si>
  <si>
    <t>Mónica Malonda Das Neves Zau</t>
  </si>
  <si>
    <t>Ortáncia Luemba Pitra</t>
  </si>
  <si>
    <t>Paulo De Jesus Camango André</t>
  </si>
  <si>
    <t>Perpétua Teresa Vuili Kilombo</t>
  </si>
  <si>
    <t>Rosangela Andreia Pedro Brás Tati</t>
  </si>
  <si>
    <t>Simélia Milando Pungui</t>
  </si>
  <si>
    <t>Teresa Ndonda Costa</t>
  </si>
  <si>
    <t>Teresa Tchiânica Londa Futi</t>
  </si>
  <si>
    <t>Tiago Nguala Puna Vela</t>
  </si>
  <si>
    <t>Virgínia Béua Bachi</t>
  </si>
  <si>
    <t>Zacarias Bungo Nguimbi</t>
  </si>
  <si>
    <r>
      <rPr>
        <sz val="12"/>
        <color theme="1"/>
        <rFont val="Times New Roman"/>
        <family val="1"/>
      </rPr>
      <t>DATA:</t>
    </r>
    <r>
      <rPr>
        <b/>
        <sz val="12"/>
        <color theme="1"/>
        <rFont val="Times New Roman"/>
        <family val="1"/>
      </rPr>
      <t xml:space="preserve"> 12/12/2025</t>
    </r>
  </si>
  <si>
    <r>
      <t>DATA:</t>
    </r>
    <r>
      <rPr>
        <b/>
        <sz val="12"/>
        <color theme="1"/>
        <rFont val="Times New Roman"/>
        <family val="1"/>
      </rPr>
      <t xml:space="preserve"> 12/12/2025</t>
    </r>
  </si>
  <si>
    <r>
      <t>Ano Lectivo:</t>
    </r>
    <r>
      <rPr>
        <b/>
        <sz val="12"/>
        <color theme="1"/>
        <rFont val="Times New Roman"/>
        <family val="1"/>
      </rPr>
      <t>2025/2026</t>
    </r>
  </si>
  <si>
    <t>Alice Cungi Alfredo</t>
  </si>
  <si>
    <t>Lídia Pemba Muel</t>
  </si>
  <si>
    <t>Josefina Milonge Poba Ndoqui</t>
  </si>
  <si>
    <t>DESISTIDA</t>
  </si>
  <si>
    <t>Maria de Fátima Zau</t>
  </si>
  <si>
    <t>Helena Ernestina Pemba Cole</t>
  </si>
  <si>
    <t>Paulina Malonda Simba Panzo</t>
  </si>
  <si>
    <t xml:space="preserve">                                           </t>
  </si>
  <si>
    <t xml:space="preserve"> </t>
  </si>
  <si>
    <r>
      <rPr>
        <b/>
        <sz val="14"/>
        <color rgb="FF0070C0"/>
        <rFont val="Calibri"/>
        <family val="2"/>
      </rPr>
      <t xml:space="preserve">2º </t>
    </r>
    <r>
      <rPr>
        <b/>
        <sz val="14"/>
        <color rgb="FFFF0000"/>
        <rFont val="Calibri"/>
        <family val="2"/>
      </rPr>
      <t>TRIMESTRE</t>
    </r>
  </si>
  <si>
    <t>MT2º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</si>
</sst>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\-mm\-yyyy;@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Blackadder ITC"/>
      <family val="5"/>
    </font>
    <font>
      <b/>
      <sz val="14"/>
      <color theme="1"/>
      <name val="Agency FB"/>
      <family val="2"/>
    </font>
    <font>
      <sz val="10"/>
      <name val="Arial"/>
      <family val="2"/>
    </font>
    <font>
      <b/>
      <sz val="11"/>
      <color theme="1"/>
      <name val="Agency FB"/>
      <family val="2"/>
    </font>
    <font>
      <b/>
      <sz val="12"/>
      <color theme="1"/>
      <name val="Agency FB"/>
      <family val="2"/>
    </font>
    <font>
      <sz val="12"/>
      <color theme="1"/>
      <name val="Agency FB"/>
      <family val="2"/>
    </font>
    <font>
      <b/>
      <sz val="12"/>
      <color indexed="8"/>
      <name val="Agency FB"/>
      <family val="2"/>
    </font>
    <font>
      <sz val="12"/>
      <color rgb="FF000000"/>
      <name val="Agency FB"/>
      <family val="2"/>
    </font>
    <font>
      <sz val="14"/>
      <color theme="1"/>
      <name val="Agency FB"/>
      <family val="2"/>
    </font>
    <font>
      <b/>
      <sz val="20"/>
      <color theme="1"/>
      <name val="Papyrus"/>
      <family val="4"/>
    </font>
    <font>
      <sz val="10"/>
      <color theme="1"/>
      <name val="Arial Narrow"/>
      <family val="2"/>
    </font>
    <font>
      <sz val="14"/>
      <color rgb="FF0070C0"/>
      <name val="Agency FB"/>
      <family val="2"/>
    </font>
    <font>
      <sz val="14"/>
      <color rgb="FFFF0000"/>
      <name val="Agency FB"/>
      <family val="2"/>
    </font>
    <font>
      <b/>
      <sz val="20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theme="1"/>
      <name val="Algerian"/>
      <family val="5"/>
    </font>
    <font>
      <sz val="10"/>
      <color rgb="FF000000"/>
      <name val="Arial Narrow"/>
      <family val="2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Arial Rounded MT Bold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Algerian"/>
      <family val="5"/>
    </font>
    <font>
      <b/>
      <sz val="16"/>
      <color rgb="FF0070C0"/>
      <name val="Algerian"/>
      <family val="5"/>
    </font>
    <font>
      <b/>
      <i/>
      <sz val="11"/>
      <color theme="1"/>
      <name val="Agency FB"/>
      <family val="2"/>
    </font>
    <font>
      <b/>
      <sz val="14"/>
      <color rgb="FF0070C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rgb="FF0070C0"/>
      <name val="Calibri"/>
      <family val="2"/>
      <scheme val="minor"/>
    </font>
    <font>
      <b/>
      <sz val="28"/>
      <color rgb="FF0070C0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Blackadder ITC"/>
      <family val="5"/>
    </font>
    <font>
      <b/>
      <sz val="9.8000000000000007"/>
      <color rgb="FFFF0000"/>
      <name val="Calibri"/>
      <family val="2"/>
    </font>
    <font>
      <b/>
      <sz val="16"/>
      <color rgb="FF0070C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4"/>
      <name val="Calibri"/>
      <family val="2"/>
      <scheme val="minor"/>
    </font>
    <font>
      <sz val="11"/>
      <color theme="1"/>
      <name val="Agency FB"/>
      <family val="2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i/>
      <sz val="8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theme="1"/>
      <name val="Arial Black"/>
      <family val="2"/>
    </font>
    <font>
      <sz val="11"/>
      <color rgb="FF0070C0"/>
      <name val="Arial Black"/>
      <family val="2"/>
    </font>
    <font>
      <sz val="10"/>
      <color rgb="FF000000"/>
      <name val="Agency FB"/>
      <family val="2"/>
    </font>
    <font>
      <b/>
      <sz val="10"/>
      <color rgb="FFFF0000"/>
      <name val="Calibri"/>
      <family val="2"/>
      <scheme val="minor"/>
    </font>
    <font>
      <sz val="14"/>
      <color theme="1"/>
      <name val="Blackadder ITC"/>
      <family val="5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Agency FB"/>
    </font>
    <font>
      <b/>
      <sz val="18"/>
      <color rgb="FF0070C0"/>
      <name val="Agency FB"/>
      <family val="2"/>
    </font>
    <font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000000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ashDot">
        <color indexed="64"/>
      </top>
      <bottom/>
      <diagonal/>
    </border>
    <border>
      <left/>
      <right style="dashDot">
        <color indexed="64"/>
      </right>
      <top style="dashDot">
        <color indexed="64"/>
      </top>
      <bottom/>
      <diagonal/>
    </border>
    <border>
      <left/>
      <right/>
      <top/>
      <bottom style="dashDot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ashDot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9" fillId="0" borderId="0">
      <alignment vertical="center"/>
    </xf>
    <xf numFmtId="0" fontId="9" fillId="0" borderId="0">
      <alignment vertical="center"/>
    </xf>
    <xf numFmtId="0" fontId="14" fillId="0" borderId="0"/>
  </cellStyleXfs>
  <cellXfs count="362">
    <xf numFmtId="0" fontId="0" fillId="0" borderId="0" xfId="0"/>
    <xf numFmtId="0" fontId="3" fillId="0" borderId="0" xfId="0" applyFont="1" applyAlignment="1">
      <alignment horizontal="center" vertical="top"/>
    </xf>
    <xf numFmtId="0" fontId="2" fillId="0" borderId="0" xfId="0" applyFont="1" applyAlignment="1"/>
    <xf numFmtId="0" fontId="0" fillId="0" borderId="0" xfId="0" applyBorder="1"/>
    <xf numFmtId="0" fontId="0" fillId="0" borderId="0" xfId="0" applyBorder="1" applyAlignment="1"/>
    <xf numFmtId="0" fontId="12" fillId="0" borderId="0" xfId="0" applyFont="1" applyBorder="1" applyAlignment="1"/>
    <xf numFmtId="0" fontId="7" fillId="0" borderId="0" xfId="0" applyFont="1" applyBorder="1" applyAlignment="1">
      <alignment horizontal="center"/>
    </xf>
    <xf numFmtId="0" fontId="4" fillId="0" borderId="0" xfId="0" applyFont="1" applyAlignme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7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164" fontId="17" fillId="0" borderId="1" xfId="0" applyNumberFormat="1" applyFont="1" applyBorder="1" applyAlignment="1">
      <alignment horizontal="center"/>
    </xf>
    <xf numFmtId="164" fontId="17" fillId="0" borderId="15" xfId="0" applyNumberFormat="1" applyFont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 vertical="top"/>
    </xf>
    <xf numFmtId="0" fontId="16" fillId="0" borderId="14" xfId="0" applyFont="1" applyBorder="1" applyAlignment="1">
      <alignment horizontal="center" vertical="top"/>
    </xf>
    <xf numFmtId="0" fontId="16" fillId="0" borderId="25" xfId="0" applyFont="1" applyBorder="1" applyAlignment="1">
      <alignment horizontal="center" vertical="top"/>
    </xf>
    <xf numFmtId="1" fontId="17" fillId="0" borderId="20" xfId="0" applyNumberFormat="1" applyFont="1" applyBorder="1" applyAlignment="1">
      <alignment horizontal="center"/>
    </xf>
    <xf numFmtId="1" fontId="17" fillId="0" borderId="22" xfId="0" applyNumberFormat="1" applyFont="1" applyBorder="1" applyAlignment="1">
      <alignment horizontal="center"/>
    </xf>
    <xf numFmtId="1" fontId="17" fillId="0" borderId="13" xfId="0" applyNumberFormat="1" applyFont="1" applyBorder="1" applyAlignment="1">
      <alignment horizontal="center"/>
    </xf>
    <xf numFmtId="164" fontId="17" fillId="0" borderId="24" xfId="0" applyNumberFormat="1" applyFont="1" applyBorder="1" applyAlignment="1">
      <alignment horizontal="center" vertical="center"/>
    </xf>
    <xf numFmtId="164" fontId="17" fillId="0" borderId="25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vertical="center" wrapText="1"/>
    </xf>
    <xf numFmtId="0" fontId="19" fillId="0" borderId="21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7" fillId="0" borderId="28" xfId="0" applyFont="1" applyBorder="1" applyAlignment="1"/>
    <xf numFmtId="0" fontId="17" fillId="0" borderId="20" xfId="0" applyFont="1" applyBorder="1" applyAlignment="1">
      <alignment horizontal="center"/>
    </xf>
    <xf numFmtId="0" fontId="25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7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6" fillId="0" borderId="0" xfId="0" applyFont="1"/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52" fillId="0" borderId="0" xfId="0" applyFont="1"/>
    <xf numFmtId="0" fontId="52" fillId="0" borderId="0" xfId="0" applyFont="1" applyAlignment="1">
      <alignment vertical="center"/>
    </xf>
    <xf numFmtId="0" fontId="53" fillId="0" borderId="46" xfId="0" applyFont="1" applyBorder="1" applyAlignment="1">
      <alignment horizontal="center" vertical="center"/>
    </xf>
    <xf numFmtId="0" fontId="53" fillId="0" borderId="47" xfId="0" applyFont="1" applyBorder="1" applyAlignment="1">
      <alignment horizontal="center" vertical="center"/>
    </xf>
    <xf numFmtId="0" fontId="53" fillId="0" borderId="4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59" fillId="4" borderId="50" xfId="0" applyFont="1" applyFill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/>
    </xf>
    <xf numFmtId="0" fontId="0" fillId="4" borderId="55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59" fillId="4" borderId="53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ont="1" applyFill="1"/>
    <xf numFmtId="0" fontId="0" fillId="4" borderId="58" xfId="0" applyFont="1" applyFill="1" applyBorder="1" applyAlignment="1">
      <alignment horizontal="center" vertical="center"/>
    </xf>
    <xf numFmtId="0" fontId="0" fillId="4" borderId="59" xfId="0" applyFont="1" applyFill="1" applyBorder="1" applyAlignment="1">
      <alignment horizontal="center" vertical="center"/>
    </xf>
    <xf numFmtId="0" fontId="59" fillId="4" borderId="56" xfId="0" applyFont="1" applyFill="1" applyBorder="1" applyAlignment="1">
      <alignment horizontal="center" vertical="center"/>
    </xf>
    <xf numFmtId="0" fontId="65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30" fillId="0" borderId="0" xfId="0" applyFont="1" applyAlignment="1"/>
    <xf numFmtId="0" fontId="29" fillId="0" borderId="63" xfId="0" applyFont="1" applyBorder="1" applyAlignment="1">
      <alignment vertical="center" wrapText="1"/>
    </xf>
    <xf numFmtId="0" fontId="29" fillId="0" borderId="3" xfId="0" applyFont="1" applyBorder="1" applyAlignment="1">
      <alignment vertical="center" wrapText="1"/>
    </xf>
    <xf numFmtId="0" fontId="64" fillId="0" borderId="3" xfId="0" applyFont="1" applyBorder="1" applyAlignment="1">
      <alignment horizontal="center" vertical="center" wrapText="1"/>
    </xf>
    <xf numFmtId="0" fontId="22" fillId="0" borderId="64" xfId="0" applyFont="1" applyBorder="1" applyAlignment="1">
      <alignment vertical="center" wrapText="1"/>
    </xf>
    <xf numFmtId="164" fontId="30" fillId="4" borderId="51" xfId="0" applyNumberFormat="1" applyFont="1" applyFill="1" applyBorder="1" applyAlignment="1">
      <alignment horizontal="center" vertical="center"/>
    </xf>
    <xf numFmtId="164" fontId="30" fillId="4" borderId="54" xfId="0" applyNumberFormat="1" applyFont="1" applyFill="1" applyBorder="1" applyAlignment="1">
      <alignment horizontal="center" vertical="center"/>
    </xf>
    <xf numFmtId="164" fontId="30" fillId="4" borderId="57" xfId="0" applyNumberFormat="1" applyFont="1" applyFill="1" applyBorder="1" applyAlignment="1">
      <alignment horizontal="center" vertical="center"/>
    </xf>
    <xf numFmtId="0" fontId="1" fillId="0" borderId="0" xfId="1"/>
    <xf numFmtId="0" fontId="0" fillId="0" borderId="1" xfId="1" applyFont="1" applyBorder="1"/>
    <xf numFmtId="0" fontId="53" fillId="4" borderId="49" xfId="0" applyFont="1" applyFill="1" applyBorder="1" applyAlignment="1">
      <alignment horizontal="center" vertical="center"/>
    </xf>
    <xf numFmtId="0" fontId="53" fillId="4" borderId="47" xfId="0" applyFont="1" applyFill="1" applyBorder="1" applyAlignment="1">
      <alignment horizontal="center" vertical="center"/>
    </xf>
    <xf numFmtId="0" fontId="70" fillId="2" borderId="19" xfId="0" applyFont="1" applyFill="1" applyBorder="1" applyAlignment="1">
      <alignment horizontal="center"/>
    </xf>
    <xf numFmtId="0" fontId="70" fillId="2" borderId="2" xfId="0" applyFont="1" applyFill="1" applyBorder="1" applyAlignment="1">
      <alignment horizontal="center"/>
    </xf>
    <xf numFmtId="0" fontId="70" fillId="2" borderId="23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/>
    </xf>
    <xf numFmtId="0" fontId="70" fillId="2" borderId="14" xfId="0" applyFont="1" applyFill="1" applyBorder="1" applyAlignment="1">
      <alignment horizontal="center"/>
    </xf>
    <xf numFmtId="0" fontId="70" fillId="2" borderId="15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1" fontId="70" fillId="0" borderId="19" xfId="0" applyNumberFormat="1" applyFont="1" applyBorder="1" applyAlignment="1">
      <alignment horizontal="center"/>
    </xf>
    <xf numFmtId="1" fontId="70" fillId="0" borderId="2" xfId="0" applyNumberFormat="1" applyFont="1" applyBorder="1" applyAlignment="1">
      <alignment horizontal="center"/>
    </xf>
    <xf numFmtId="0" fontId="70" fillId="0" borderId="2" xfId="0" applyFont="1" applyBorder="1" applyAlignment="1">
      <alignment horizontal="center"/>
    </xf>
    <xf numFmtId="164" fontId="70" fillId="0" borderId="24" xfId="0" applyNumberFormat="1" applyFont="1" applyBorder="1" applyAlignment="1">
      <alignment horizontal="center" vertical="center"/>
    </xf>
    <xf numFmtId="0" fontId="70" fillId="0" borderId="19" xfId="0" applyFont="1" applyBorder="1" applyAlignment="1">
      <alignment horizontal="center"/>
    </xf>
    <xf numFmtId="164" fontId="70" fillId="0" borderId="2" xfId="0" applyNumberFormat="1" applyFont="1" applyBorder="1" applyAlignment="1">
      <alignment horizontal="center"/>
    </xf>
    <xf numFmtId="0" fontId="70" fillId="0" borderId="23" xfId="0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64" fontId="70" fillId="0" borderId="1" xfId="0" applyNumberFormat="1" applyFont="1" applyBorder="1" applyAlignment="1">
      <alignment horizontal="center"/>
    </xf>
    <xf numFmtId="1" fontId="70" fillId="0" borderId="1" xfId="0" applyNumberFormat="1" applyFont="1" applyBorder="1" applyAlignment="1">
      <alignment horizontal="center"/>
    </xf>
    <xf numFmtId="1" fontId="70" fillId="0" borderId="15" xfId="0" applyNumberFormat="1" applyFont="1" applyBorder="1" applyAlignment="1">
      <alignment horizontal="center"/>
    </xf>
    <xf numFmtId="0" fontId="70" fillId="0" borderId="15" xfId="0" applyFont="1" applyBorder="1" applyAlignment="1">
      <alignment horizontal="center"/>
    </xf>
    <xf numFmtId="164" fontId="70" fillId="0" borderId="25" xfId="0" applyNumberFormat="1" applyFont="1" applyBorder="1" applyAlignment="1">
      <alignment horizontal="center" vertical="center"/>
    </xf>
    <xf numFmtId="0" fontId="70" fillId="0" borderId="14" xfId="0" applyFont="1" applyBorder="1" applyAlignment="1">
      <alignment horizontal="center"/>
    </xf>
    <xf numFmtId="164" fontId="70" fillId="0" borderId="1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0" fillId="0" borderId="0" xfId="0" applyFont="1" applyBorder="1" applyAlignment="1">
      <alignment horizont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left"/>
    </xf>
    <xf numFmtId="165" fontId="49" fillId="4" borderId="0" xfId="0" applyNumberFormat="1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1" fontId="70" fillId="0" borderId="23" xfId="0" applyNumberFormat="1" applyFont="1" applyBorder="1" applyAlignment="1">
      <alignment horizontal="center"/>
    </xf>
    <xf numFmtId="1" fontId="70" fillId="0" borderId="14" xfId="0" applyNumberFormat="1" applyFont="1" applyBorder="1" applyAlignment="1">
      <alignment horizontal="center"/>
    </xf>
    <xf numFmtId="0" fontId="19" fillId="6" borderId="68" xfId="0" applyNumberFormat="1" applyFont="1" applyFill="1" applyBorder="1" applyAlignment="1">
      <alignment horizontal="center"/>
    </xf>
    <xf numFmtId="1" fontId="17" fillId="4" borderId="19" xfId="0" applyNumberFormat="1" applyFont="1" applyFill="1" applyBorder="1" applyAlignment="1">
      <alignment horizontal="center"/>
    </xf>
    <xf numFmtId="1" fontId="17" fillId="4" borderId="2" xfId="0" applyNumberFormat="1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164" fontId="17" fillId="4" borderId="24" xfId="0" applyNumberFormat="1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7" fillId="4" borderId="19" xfId="0" applyFont="1" applyFill="1" applyBorder="1" applyAlignment="1">
      <alignment horizontal="center"/>
    </xf>
    <xf numFmtId="164" fontId="17" fillId="4" borderId="2" xfId="0" applyNumberFormat="1" applyFont="1" applyFill="1" applyBorder="1" applyAlignment="1">
      <alignment horizontal="center"/>
    </xf>
    <xf numFmtId="0" fontId="19" fillId="4" borderId="23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7" fillId="4" borderId="23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164" fontId="17" fillId="4" borderId="1" xfId="0" applyNumberFormat="1" applyFont="1" applyFill="1" applyBorder="1" applyAlignment="1">
      <alignment horizontal="center"/>
    </xf>
    <xf numFmtId="1" fontId="17" fillId="4" borderId="23" xfId="0" applyNumberFormat="1" applyFont="1" applyFill="1" applyBorder="1" applyAlignment="1">
      <alignment horizontal="center"/>
    </xf>
    <xf numFmtId="1" fontId="17" fillId="4" borderId="1" xfId="0" applyNumberFormat="1" applyFont="1" applyFill="1" applyBorder="1" applyAlignment="1">
      <alignment horizontal="center"/>
    </xf>
    <xf numFmtId="1" fontId="17" fillId="4" borderId="14" xfId="0" applyNumberFormat="1" applyFont="1" applyFill="1" applyBorder="1" applyAlignment="1">
      <alignment horizontal="center"/>
    </xf>
    <xf numFmtId="1" fontId="17" fillId="4" borderId="15" xfId="0" applyNumberFormat="1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164" fontId="17" fillId="4" borderId="25" xfId="0" applyNumberFormat="1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17" fillId="4" borderId="14" xfId="0" applyFont="1" applyFill="1" applyBorder="1" applyAlignment="1">
      <alignment horizontal="center"/>
    </xf>
    <xf numFmtId="164" fontId="17" fillId="4" borderId="15" xfId="0" applyNumberFormat="1" applyFont="1" applyFill="1" applyBorder="1" applyAlignment="1">
      <alignment horizontal="center"/>
    </xf>
    <xf numFmtId="1" fontId="19" fillId="4" borderId="65" xfId="0" applyNumberFormat="1" applyFont="1" applyFill="1" applyBorder="1" applyAlignment="1">
      <alignment horizontal="center"/>
    </xf>
    <xf numFmtId="1" fontId="19" fillId="4" borderId="66" xfId="0" applyNumberFormat="1" applyFont="1" applyFill="1" applyBorder="1" applyAlignment="1">
      <alignment horizontal="center"/>
    </xf>
    <xf numFmtId="0" fontId="19" fillId="4" borderId="66" xfId="0" applyNumberFormat="1" applyFont="1" applyFill="1" applyBorder="1" applyAlignment="1">
      <alignment horizontal="center"/>
    </xf>
    <xf numFmtId="164" fontId="19" fillId="4" borderId="71" xfId="0" applyNumberFormat="1" applyFont="1" applyFill="1" applyBorder="1" applyAlignment="1">
      <alignment horizontal="center" vertical="center"/>
    </xf>
    <xf numFmtId="0" fontId="19" fillId="6" borderId="65" xfId="0" applyNumberFormat="1" applyFont="1" applyFill="1" applyBorder="1" applyAlignment="1">
      <alignment horizontal="center"/>
    </xf>
    <xf numFmtId="0" fontId="19" fillId="6" borderId="66" xfId="0" applyNumberFormat="1" applyFont="1" applyFill="1" applyBorder="1" applyAlignment="1">
      <alignment horizontal="center"/>
    </xf>
    <xf numFmtId="0" fontId="19" fillId="4" borderId="65" xfId="0" applyNumberFormat="1" applyFont="1" applyFill="1" applyBorder="1" applyAlignment="1">
      <alignment horizontal="center"/>
    </xf>
    <xf numFmtId="0" fontId="19" fillId="6" borderId="67" xfId="0" applyNumberFormat="1" applyFont="1" applyFill="1" applyBorder="1" applyAlignment="1">
      <alignment horizontal="center"/>
    </xf>
    <xf numFmtId="0" fontId="19" fillId="4" borderId="67" xfId="0" applyNumberFormat="1" applyFont="1" applyFill="1" applyBorder="1" applyAlignment="1">
      <alignment horizontal="center"/>
    </xf>
    <xf numFmtId="0" fontId="19" fillId="4" borderId="68" xfId="0" applyNumberFormat="1" applyFont="1" applyFill="1" applyBorder="1" applyAlignment="1">
      <alignment horizontal="center"/>
    </xf>
    <xf numFmtId="1" fontId="19" fillId="4" borderId="67" xfId="0" applyNumberFormat="1" applyFont="1" applyFill="1" applyBorder="1" applyAlignment="1">
      <alignment horizontal="center"/>
    </xf>
    <xf numFmtId="1" fontId="19" fillId="4" borderId="68" xfId="0" applyNumberFormat="1" applyFont="1" applyFill="1" applyBorder="1" applyAlignment="1">
      <alignment horizontal="center"/>
    </xf>
    <xf numFmtId="1" fontId="19" fillId="4" borderId="69" xfId="0" applyNumberFormat="1" applyFont="1" applyFill="1" applyBorder="1" applyAlignment="1">
      <alignment horizontal="center"/>
    </xf>
    <xf numFmtId="1" fontId="19" fillId="4" borderId="70" xfId="0" applyNumberFormat="1" applyFont="1" applyFill="1" applyBorder="1" applyAlignment="1">
      <alignment horizontal="center"/>
    </xf>
    <xf numFmtId="0" fontId="19" fillId="4" borderId="70" xfId="0" applyNumberFormat="1" applyFont="1" applyFill="1" applyBorder="1" applyAlignment="1">
      <alignment horizontal="center"/>
    </xf>
    <xf numFmtId="164" fontId="19" fillId="4" borderId="72" xfId="0" applyNumberFormat="1" applyFont="1" applyFill="1" applyBorder="1" applyAlignment="1">
      <alignment horizontal="center" vertical="center"/>
    </xf>
    <xf numFmtId="0" fontId="19" fillId="6" borderId="69" xfId="0" applyNumberFormat="1" applyFont="1" applyFill="1" applyBorder="1" applyAlignment="1">
      <alignment horizontal="center"/>
    </xf>
    <xf numFmtId="0" fontId="19" fillId="6" borderId="70" xfId="0" applyNumberFormat="1" applyFont="1" applyFill="1" applyBorder="1" applyAlignment="1">
      <alignment horizontal="center"/>
    </xf>
    <xf numFmtId="0" fontId="19" fillId="4" borderId="69" xfId="0" applyNumberFormat="1" applyFont="1" applyFill="1" applyBorder="1" applyAlignment="1">
      <alignment horizontal="center"/>
    </xf>
    <xf numFmtId="0" fontId="72" fillId="0" borderId="73" xfId="0" applyFont="1" applyBorder="1" applyAlignment="1">
      <alignment horizontal="center" vertical="center" wrapText="1"/>
    </xf>
    <xf numFmtId="0" fontId="72" fillId="0" borderId="48" xfId="0" applyFont="1" applyBorder="1" applyAlignment="1">
      <alignment horizontal="center" vertical="center" wrapText="1"/>
    </xf>
    <xf numFmtId="0" fontId="72" fillId="0" borderId="75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62" xfId="0" applyFont="1" applyBorder="1" applyAlignment="1">
      <alignment horizontal="center" vertical="center" wrapText="1"/>
    </xf>
    <xf numFmtId="0" fontId="72" fillId="0" borderId="76" xfId="0" applyFont="1" applyBorder="1" applyAlignment="1">
      <alignment horizontal="center" vertical="center" wrapText="1"/>
    </xf>
    <xf numFmtId="0" fontId="72" fillId="0" borderId="51" xfId="0" applyFont="1" applyBorder="1" applyAlignment="1">
      <alignment horizontal="center" vertical="center" wrapText="1"/>
    </xf>
    <xf numFmtId="0" fontId="72" fillId="0" borderId="54" xfId="0" applyFont="1" applyBorder="1" applyAlignment="1">
      <alignment horizontal="center" vertical="center" wrapText="1"/>
    </xf>
    <xf numFmtId="0" fontId="72" fillId="2" borderId="54" xfId="0" applyFont="1" applyFill="1" applyBorder="1" applyAlignment="1">
      <alignment horizontal="center" vertical="center" wrapText="1"/>
    </xf>
    <xf numFmtId="0" fontId="72" fillId="0" borderId="57" xfId="0" applyFont="1" applyBorder="1" applyAlignment="1">
      <alignment horizontal="center" vertical="center" wrapText="1"/>
    </xf>
    <xf numFmtId="0" fontId="72" fillId="0" borderId="51" xfId="0" applyFont="1" applyBorder="1" applyAlignment="1">
      <alignment vertical="center" wrapText="1"/>
    </xf>
    <xf numFmtId="0" fontId="72" fillId="0" borderId="54" xfId="0" applyFont="1" applyBorder="1" applyAlignment="1">
      <alignment vertical="center" wrapText="1"/>
    </xf>
    <xf numFmtId="0" fontId="72" fillId="0" borderId="57" xfId="0" applyFont="1" applyBorder="1" applyAlignment="1">
      <alignment vertical="center" wrapText="1"/>
    </xf>
    <xf numFmtId="0" fontId="17" fillId="4" borderId="8" xfId="0" applyFont="1" applyFill="1" applyBorder="1" applyAlignment="1">
      <alignment horizontal="center"/>
    </xf>
    <xf numFmtId="0" fontId="17" fillId="4" borderId="22" xfId="0" applyFont="1" applyFill="1" applyBorder="1" applyAlignment="1">
      <alignment horizontal="center"/>
    </xf>
    <xf numFmtId="0" fontId="17" fillId="4" borderId="13" xfId="0" applyFont="1" applyFill="1" applyBorder="1" applyAlignment="1">
      <alignment horizontal="center"/>
    </xf>
    <xf numFmtId="0" fontId="70" fillId="4" borderId="2" xfId="0" applyFont="1" applyFill="1" applyBorder="1" applyAlignment="1">
      <alignment horizontal="center"/>
    </xf>
    <xf numFmtId="164" fontId="70" fillId="4" borderId="24" xfId="0" applyNumberFormat="1" applyFont="1" applyFill="1" applyBorder="1" applyAlignment="1">
      <alignment horizontal="center" vertical="center"/>
    </xf>
    <xf numFmtId="0" fontId="70" fillId="4" borderId="19" xfId="0" applyFont="1" applyFill="1" applyBorder="1" applyAlignment="1">
      <alignment horizontal="center"/>
    </xf>
    <xf numFmtId="164" fontId="70" fillId="4" borderId="2" xfId="0" applyNumberFormat="1" applyFont="1" applyFill="1" applyBorder="1" applyAlignment="1">
      <alignment horizontal="center"/>
    </xf>
    <xf numFmtId="0" fontId="70" fillId="4" borderId="23" xfId="0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/>
    </xf>
    <xf numFmtId="164" fontId="70" fillId="4" borderId="1" xfId="0" applyNumberFormat="1" applyFont="1" applyFill="1" applyBorder="1" applyAlignment="1">
      <alignment horizontal="center"/>
    </xf>
    <xf numFmtId="0" fontId="70" fillId="4" borderId="15" xfId="0" applyFont="1" applyFill="1" applyBorder="1" applyAlignment="1">
      <alignment horizontal="center"/>
    </xf>
    <xf numFmtId="164" fontId="70" fillId="4" borderId="25" xfId="0" applyNumberFormat="1" applyFont="1" applyFill="1" applyBorder="1" applyAlignment="1">
      <alignment horizontal="center" vertical="center"/>
    </xf>
    <xf numFmtId="0" fontId="70" fillId="4" borderId="14" xfId="0" applyFont="1" applyFill="1" applyBorder="1" applyAlignment="1">
      <alignment horizontal="center"/>
    </xf>
    <xf numFmtId="164" fontId="70" fillId="4" borderId="15" xfId="0" applyNumberFormat="1" applyFont="1" applyFill="1" applyBorder="1" applyAlignment="1">
      <alignment horizontal="center"/>
    </xf>
    <xf numFmtId="0" fontId="72" fillId="0" borderId="8" xfId="0" applyFont="1" applyBorder="1" applyAlignment="1">
      <alignment vertical="center" wrapText="1"/>
    </xf>
    <xf numFmtId="0" fontId="72" fillId="0" borderId="22" xfId="0" applyFont="1" applyBorder="1" applyAlignment="1">
      <alignment vertical="center" wrapText="1"/>
    </xf>
    <xf numFmtId="0" fontId="72" fillId="0" borderId="13" xfId="0" applyFont="1" applyBorder="1" applyAlignment="1">
      <alignment vertical="center" wrapText="1"/>
    </xf>
    <xf numFmtId="0" fontId="0" fillId="0" borderId="61" xfId="0" applyBorder="1" applyAlignment="1">
      <alignment horizontal="center"/>
    </xf>
    <xf numFmtId="164" fontId="70" fillId="0" borderId="19" xfId="0" applyNumberFormat="1" applyFont="1" applyBorder="1" applyAlignment="1">
      <alignment horizontal="center"/>
    </xf>
    <xf numFmtId="164" fontId="70" fillId="0" borderId="23" xfId="0" applyNumberFormat="1" applyFont="1" applyBorder="1" applyAlignment="1">
      <alignment horizontal="center"/>
    </xf>
    <xf numFmtId="164" fontId="70" fillId="0" borderId="14" xfId="0" applyNumberFormat="1" applyFont="1" applyBorder="1" applyAlignment="1">
      <alignment horizontal="center"/>
    </xf>
    <xf numFmtId="164" fontId="11" fillId="4" borderId="77" xfId="0" applyNumberFormat="1" applyFont="1" applyFill="1" applyBorder="1" applyAlignment="1">
      <alignment horizontal="center" vertical="center"/>
    </xf>
    <xf numFmtId="0" fontId="60" fillId="4" borderId="78" xfId="0" applyFont="1" applyFill="1" applyBorder="1" applyAlignment="1">
      <alignment horizontal="center" vertical="center"/>
    </xf>
    <xf numFmtId="0" fontId="60" fillId="4" borderId="79" xfId="0" applyFont="1" applyFill="1" applyBorder="1" applyAlignment="1">
      <alignment horizontal="center" vertical="center"/>
    </xf>
    <xf numFmtId="164" fontId="11" fillId="4" borderId="80" xfId="0" applyNumberFormat="1" applyFont="1" applyFill="1" applyBorder="1" applyAlignment="1">
      <alignment horizontal="center" vertical="center"/>
    </xf>
    <xf numFmtId="0" fontId="60" fillId="4" borderId="81" xfId="0" applyFont="1" applyFill="1" applyBorder="1" applyAlignment="1">
      <alignment horizontal="center" vertical="center"/>
    </xf>
    <xf numFmtId="164" fontId="11" fillId="4" borderId="78" xfId="0" applyNumberFormat="1" applyFont="1" applyFill="1" applyBorder="1" applyAlignment="1">
      <alignment horizontal="center" vertical="center"/>
    </xf>
    <xf numFmtId="164" fontId="11" fillId="4" borderId="50" xfId="0" applyNumberFormat="1" applyFont="1" applyFill="1" applyBorder="1" applyAlignment="1">
      <alignment horizontal="center" vertical="center"/>
    </xf>
    <xf numFmtId="164" fontId="11" fillId="4" borderId="79" xfId="0" applyNumberFormat="1" applyFont="1" applyFill="1" applyBorder="1" applyAlignment="1">
      <alignment horizontal="center" vertical="center"/>
    </xf>
    <xf numFmtId="164" fontId="11" fillId="4" borderId="82" xfId="0" applyNumberFormat="1" applyFont="1" applyFill="1" applyBorder="1" applyAlignment="1">
      <alignment horizontal="center" vertical="center"/>
    </xf>
    <xf numFmtId="164" fontId="11" fillId="4" borderId="81" xfId="0" applyNumberFormat="1" applyFont="1" applyFill="1" applyBorder="1" applyAlignment="1">
      <alignment horizontal="center" vertical="center"/>
    </xf>
    <xf numFmtId="164" fontId="11" fillId="4" borderId="63" xfId="0" applyNumberFormat="1" applyFont="1" applyFill="1" applyBorder="1" applyAlignment="1">
      <alignment horizontal="center" vertical="center"/>
    </xf>
    <xf numFmtId="164" fontId="11" fillId="4" borderId="83" xfId="0" applyNumberFormat="1" applyFont="1" applyFill="1" applyBorder="1" applyAlignment="1">
      <alignment horizontal="center" vertical="center"/>
    </xf>
    <xf numFmtId="0" fontId="60" fillId="4" borderId="52" xfId="0" applyFont="1" applyFill="1" applyBorder="1" applyAlignment="1">
      <alignment horizontal="center" vertical="center"/>
    </xf>
    <xf numFmtId="0" fontId="60" fillId="4" borderId="1" xfId="0" applyFont="1" applyFill="1" applyBorder="1" applyAlignment="1">
      <alignment horizontal="center" vertical="center"/>
    </xf>
    <xf numFmtId="164" fontId="11" fillId="4" borderId="84" xfId="0" applyNumberFormat="1" applyFont="1" applyFill="1" applyBorder="1" applyAlignment="1">
      <alignment horizontal="center" vertical="center"/>
    </xf>
    <xf numFmtId="0" fontId="60" fillId="4" borderId="55" xfId="0" applyFont="1" applyFill="1" applyBorder="1" applyAlignment="1">
      <alignment horizontal="center" vertical="center"/>
    </xf>
    <xf numFmtId="164" fontId="11" fillId="4" borderId="52" xfId="0" applyNumberFormat="1" applyFont="1" applyFill="1" applyBorder="1" applyAlignment="1">
      <alignment horizontal="center" vertical="center"/>
    </xf>
    <xf numFmtId="164" fontId="11" fillId="4" borderId="53" xfId="0" applyNumberFormat="1" applyFont="1" applyFill="1" applyBorder="1" applyAlignment="1">
      <alignment horizontal="center" vertical="center"/>
    </xf>
    <xf numFmtId="164" fontId="11" fillId="4" borderId="85" xfId="0" applyNumberFormat="1" applyFont="1" applyFill="1" applyBorder="1" applyAlignment="1">
      <alignment horizontal="center" vertical="center"/>
    </xf>
    <xf numFmtId="164" fontId="11" fillId="4" borderId="55" xfId="0" applyNumberFormat="1" applyFont="1" applyFill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 vertical="center"/>
    </xf>
    <xf numFmtId="164" fontId="11" fillId="4" borderId="86" xfId="0" applyNumberFormat="1" applyFont="1" applyFill="1" applyBorder="1" applyAlignment="1">
      <alignment horizontal="center" vertical="center"/>
    </xf>
    <xf numFmtId="0" fontId="60" fillId="4" borderId="87" xfId="0" applyFont="1" applyFill="1" applyBorder="1" applyAlignment="1">
      <alignment horizontal="center" vertical="center"/>
    </xf>
    <xf numFmtId="0" fontId="60" fillId="4" borderId="59" xfId="0" applyFont="1" applyFill="1" applyBorder="1" applyAlignment="1">
      <alignment horizontal="center" vertical="center"/>
    </xf>
    <xf numFmtId="164" fontId="11" fillId="4" borderId="88" xfId="0" applyNumberFormat="1" applyFont="1" applyFill="1" applyBorder="1" applyAlignment="1">
      <alignment horizontal="center" vertical="center"/>
    </xf>
    <xf numFmtId="0" fontId="60" fillId="4" borderId="58" xfId="0" applyFont="1" applyFill="1" applyBorder="1" applyAlignment="1">
      <alignment horizontal="center" vertical="center"/>
    </xf>
    <xf numFmtId="164" fontId="11" fillId="4" borderId="87" xfId="0" applyNumberFormat="1" applyFont="1" applyFill="1" applyBorder="1" applyAlignment="1">
      <alignment horizontal="center" vertical="center"/>
    </xf>
    <xf numFmtId="164" fontId="11" fillId="4" borderId="56" xfId="0" applyNumberFormat="1" applyFont="1" applyFill="1" applyBorder="1" applyAlignment="1">
      <alignment horizontal="center" vertical="center"/>
    </xf>
    <xf numFmtId="164" fontId="11" fillId="4" borderId="59" xfId="0" applyNumberFormat="1" applyFont="1" applyFill="1" applyBorder="1" applyAlignment="1">
      <alignment horizontal="center" vertical="center"/>
    </xf>
    <xf numFmtId="164" fontId="11" fillId="4" borderId="89" xfId="0" applyNumberFormat="1" applyFont="1" applyFill="1" applyBorder="1" applyAlignment="1">
      <alignment horizontal="center" vertical="center"/>
    </xf>
    <xf numFmtId="164" fontId="11" fillId="4" borderId="58" xfId="0" applyNumberFormat="1" applyFont="1" applyFill="1" applyBorder="1" applyAlignment="1">
      <alignment horizontal="center" vertical="center"/>
    </xf>
    <xf numFmtId="164" fontId="11" fillId="4" borderId="64" xfId="0" applyNumberFormat="1" applyFont="1" applyFill="1" applyBorder="1" applyAlignment="1">
      <alignment horizontal="center" vertical="center"/>
    </xf>
    <xf numFmtId="0" fontId="0" fillId="4" borderId="81" xfId="0" applyFont="1" applyFill="1" applyBorder="1" applyAlignment="1">
      <alignment horizontal="center" vertical="center"/>
    </xf>
    <xf numFmtId="0" fontId="0" fillId="4" borderId="79" xfId="0" applyFont="1" applyFill="1" applyBorder="1" applyAlignment="1">
      <alignment horizontal="center" vertical="center"/>
    </xf>
    <xf numFmtId="1" fontId="17" fillId="0" borderId="19" xfId="0" applyNumberFormat="1" applyFont="1" applyFill="1" applyBorder="1" applyAlignment="1">
      <alignment horizontal="center"/>
    </xf>
    <xf numFmtId="1" fontId="17" fillId="0" borderId="2" xfId="0" applyNumberFormat="1" applyFont="1" applyFill="1" applyBorder="1" applyAlignment="1">
      <alignment horizontal="center"/>
    </xf>
    <xf numFmtId="0" fontId="17" fillId="0" borderId="2" xfId="0" applyFont="1" applyFill="1" applyBorder="1" applyAlignment="1">
      <alignment horizontal="center"/>
    </xf>
    <xf numFmtId="164" fontId="17" fillId="0" borderId="24" xfId="0" applyNumberFormat="1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1" fontId="17" fillId="0" borderId="23" xfId="0" applyNumberFormat="1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0" fillId="0" borderId="0" xfId="0" applyFont="1" applyBorder="1" applyAlignment="1">
      <alignment horizontal="center"/>
    </xf>
    <xf numFmtId="0" fontId="4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54" fillId="4" borderId="37" xfId="0" applyFont="1" applyFill="1" applyBorder="1" applyAlignment="1">
      <alignment horizontal="center" vertical="center" textRotation="45"/>
    </xf>
    <xf numFmtId="0" fontId="54" fillId="4" borderId="43" xfId="0" applyFont="1" applyFill="1" applyBorder="1" applyAlignment="1">
      <alignment horizontal="center" vertical="center" textRotation="45"/>
    </xf>
    <xf numFmtId="0" fontId="53" fillId="4" borderId="38" xfId="0" applyFont="1" applyFill="1" applyBorder="1" applyAlignment="1">
      <alignment horizontal="center" vertical="center"/>
    </xf>
    <xf numFmtId="0" fontId="53" fillId="4" borderId="44" xfId="0" applyFont="1" applyFill="1" applyBorder="1" applyAlignment="1">
      <alignment horizontal="center" vertical="center"/>
    </xf>
    <xf numFmtId="0" fontId="53" fillId="4" borderId="37" xfId="0" applyFont="1" applyFill="1" applyBorder="1" applyAlignment="1">
      <alignment horizontal="center" vertical="center"/>
    </xf>
    <xf numFmtId="0" fontId="53" fillId="4" borderId="43" xfId="0" applyFont="1" applyFill="1" applyBorder="1" applyAlignment="1">
      <alignment horizontal="center" vertical="center"/>
    </xf>
    <xf numFmtId="0" fontId="71" fillId="4" borderId="39" xfId="0" applyFont="1" applyFill="1" applyBorder="1" applyAlignment="1">
      <alignment horizontal="center" vertical="center"/>
    </xf>
    <xf numFmtId="0" fontId="71" fillId="4" borderId="40" xfId="0" applyFont="1" applyFill="1" applyBorder="1" applyAlignment="1">
      <alignment horizontal="center" vertical="center"/>
    </xf>
    <xf numFmtId="0" fontId="71" fillId="4" borderId="4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3" fillId="4" borderId="37" xfId="0" applyFont="1" applyFill="1" applyBorder="1" applyAlignment="1">
      <alignment horizontal="center" vertical="center" textRotation="45"/>
    </xf>
    <xf numFmtId="0" fontId="53" fillId="4" borderId="43" xfId="0" applyFont="1" applyFill="1" applyBorder="1" applyAlignment="1">
      <alignment horizontal="center" vertical="center" textRotation="45"/>
    </xf>
    <xf numFmtId="0" fontId="56" fillId="4" borderId="39" xfId="0" applyFont="1" applyFill="1" applyBorder="1" applyAlignment="1">
      <alignment horizontal="center" vertical="center"/>
    </xf>
    <xf numFmtId="0" fontId="56" fillId="4" borderId="40" xfId="0" applyFont="1" applyFill="1" applyBorder="1" applyAlignment="1">
      <alignment horizontal="center" vertical="center"/>
    </xf>
    <xf numFmtId="0" fontId="57" fillId="4" borderId="37" xfId="0" applyFont="1" applyFill="1" applyBorder="1" applyAlignment="1">
      <alignment horizontal="center" vertical="center"/>
    </xf>
    <xf numFmtId="0" fontId="57" fillId="4" borderId="48" xfId="0" applyFont="1" applyFill="1" applyBorder="1" applyAlignment="1">
      <alignment horizontal="center" vertical="center"/>
    </xf>
    <xf numFmtId="0" fontId="25" fillId="0" borderId="0" xfId="0" applyFont="1" applyAlignment="1">
      <alignment horizontal="left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0" fillId="0" borderId="0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47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right" vertical="center"/>
    </xf>
    <xf numFmtId="0" fontId="38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165" fontId="49" fillId="3" borderId="35" xfId="0" applyNumberFormat="1" applyFont="1" applyFill="1" applyBorder="1" applyAlignment="1">
      <alignment horizontal="center" vertical="center"/>
    </xf>
    <xf numFmtId="165" fontId="49" fillId="3" borderId="4" xfId="0" applyNumberFormat="1" applyFont="1" applyFill="1" applyBorder="1" applyAlignment="1">
      <alignment horizontal="center" vertical="center"/>
    </xf>
    <xf numFmtId="165" fontId="49" fillId="3" borderId="36" xfId="0" applyNumberFormat="1" applyFont="1" applyFill="1" applyBorder="1" applyAlignment="1">
      <alignment horizontal="center" vertical="center"/>
    </xf>
    <xf numFmtId="165" fontId="49" fillId="3" borderId="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2" fillId="0" borderId="3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54" fillId="0" borderId="39" xfId="0" applyFont="1" applyBorder="1" applyAlignment="1">
      <alignment horizontal="center" vertical="center"/>
    </xf>
    <xf numFmtId="0" fontId="54" fillId="0" borderId="41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vertical="center"/>
    </xf>
    <xf numFmtId="0" fontId="71" fillId="0" borderId="41" xfId="0" applyFont="1" applyBorder="1" applyAlignment="1">
      <alignment horizontal="center" vertical="center"/>
    </xf>
    <xf numFmtId="0" fontId="71" fillId="0" borderId="39" xfId="0" applyFont="1" applyBorder="1" applyAlignment="1">
      <alignment horizontal="center" vertical="center"/>
    </xf>
    <xf numFmtId="0" fontId="54" fillId="0" borderId="40" xfId="0" applyFont="1" applyBorder="1" applyAlignment="1">
      <alignment horizontal="center" vertical="center"/>
    </xf>
    <xf numFmtId="0" fontId="56" fillId="0" borderId="40" xfId="0" applyFont="1" applyBorder="1" applyAlignment="1">
      <alignment horizontal="center" vertical="center"/>
    </xf>
    <xf numFmtId="0" fontId="56" fillId="0" borderId="3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5" fillId="0" borderId="37" xfId="0" applyFont="1" applyBorder="1" applyAlignment="1">
      <alignment horizontal="center" vertical="center" wrapText="1"/>
    </xf>
    <xf numFmtId="0" fontId="55" fillId="0" borderId="43" xfId="0" applyFont="1" applyBorder="1" applyAlignment="1">
      <alignment horizontal="center" vertical="center" wrapText="1"/>
    </xf>
    <xf numFmtId="0" fontId="55" fillId="0" borderId="42" xfId="0" applyFont="1" applyBorder="1" applyAlignment="1">
      <alignment horizontal="center" vertical="center" wrapText="1"/>
    </xf>
    <xf numFmtId="0" fontId="55" fillId="0" borderId="45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62" fillId="0" borderId="52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0" fillId="0" borderId="37" xfId="1" applyFont="1" applyBorder="1" applyAlignment="1">
      <alignment horizontal="center" vertical="center"/>
    </xf>
    <xf numFmtId="0" fontId="0" fillId="0" borderId="43" xfId="1" applyFont="1" applyBorder="1" applyAlignment="1">
      <alignment horizontal="center" vertical="center"/>
    </xf>
    <xf numFmtId="164" fontId="26" fillId="0" borderId="42" xfId="1" applyNumberFormat="1" applyFont="1" applyBorder="1" applyAlignment="1">
      <alignment horizontal="center" vertical="center"/>
    </xf>
    <xf numFmtId="164" fontId="26" fillId="0" borderId="45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6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7" fillId="0" borderId="0" xfId="0" applyFont="1" applyAlignment="1">
      <alignment horizontal="center"/>
    </xf>
    <xf numFmtId="0" fontId="10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28" xfId="0" applyFont="1" applyBorder="1" applyAlignment="1">
      <alignment horizontal="left" indent="15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21" fillId="0" borderId="1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28" fillId="0" borderId="34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 textRotation="45"/>
    </xf>
    <xf numFmtId="0" fontId="13" fillId="0" borderId="12" xfId="0" applyFont="1" applyBorder="1" applyAlignment="1">
      <alignment horizontal="center" vertical="center" textRotation="45"/>
    </xf>
    <xf numFmtId="0" fontId="13" fillId="0" borderId="4" xfId="0" applyFont="1" applyBorder="1" applyAlignment="1">
      <alignment horizontal="center" vertical="center" textRotation="45"/>
    </xf>
    <xf numFmtId="0" fontId="13" fillId="0" borderId="5" xfId="0" applyFont="1" applyBorder="1" applyAlignment="1">
      <alignment horizontal="center" vertical="center" textRotation="45"/>
    </xf>
    <xf numFmtId="0" fontId="16" fillId="0" borderId="8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26" xfId="0" applyFont="1" applyBorder="1" applyAlignment="1">
      <alignment horizontal="center" vertical="top"/>
    </xf>
    <xf numFmtId="0" fontId="28" fillId="0" borderId="0" xfId="0" applyFont="1" applyBorder="1" applyAlignment="1">
      <alignment horizontal="center"/>
    </xf>
    <xf numFmtId="0" fontId="28" fillId="0" borderId="90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28" xfId="0" applyFont="1" applyBorder="1" applyAlignment="1">
      <alignment horizontal="left"/>
    </xf>
  </cellXfs>
  <cellStyles count="5">
    <cellStyle name="Normal" xfId="0" builtinId="0"/>
    <cellStyle name="Normal 2" xfId="2"/>
    <cellStyle name="Normal 2 2" xfId="3"/>
    <cellStyle name="Normal 2 2 2" xfId="4"/>
    <cellStyle name="Normal 8" xfId="1"/>
  </cellStyles>
  <dxfs count="440"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B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B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B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theme="4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5C9BD5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4</xdr:row>
      <xdr:rowOff>27215</xdr:rowOff>
    </xdr:from>
    <xdr:to>
      <xdr:col>44</xdr:col>
      <xdr:colOff>612321</xdr:colOff>
      <xdr:row>4</xdr:row>
      <xdr:rowOff>27216</xdr:rowOff>
    </xdr:to>
    <xdr:cxnSp macro="">
      <xdr:nvCxnSpPr>
        <xdr:cNvPr id="2" name="Conexão recta 4"/>
        <xdr:cNvCxnSpPr/>
      </xdr:nvCxnSpPr>
      <xdr:spPr>
        <a:xfrm flipV="1">
          <a:off x="164166" y="522515"/>
          <a:ext cx="16545405" cy="1"/>
        </a:xfrm>
        <a:prstGeom prst="line">
          <a:avLst/>
        </a:prstGeom>
        <a:ln w="381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11205</xdr:colOff>
      <xdr:row>1</xdr:row>
      <xdr:rowOff>78441</xdr:rowOff>
    </xdr:from>
    <xdr:to>
      <xdr:col>2</xdr:col>
      <xdr:colOff>638734</xdr:colOff>
      <xdr:row>4</xdr:row>
      <xdr:rowOff>0</xdr:rowOff>
    </xdr:to>
    <xdr:pic>
      <xdr:nvPicPr>
        <xdr:cNvPr id="3" name="Imagem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30" y="202266"/>
          <a:ext cx="865654" cy="2930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4</xdr:row>
      <xdr:rowOff>27215</xdr:rowOff>
    </xdr:from>
    <xdr:to>
      <xdr:col>44</xdr:col>
      <xdr:colOff>612321</xdr:colOff>
      <xdr:row>4</xdr:row>
      <xdr:rowOff>27216</xdr:rowOff>
    </xdr:to>
    <xdr:cxnSp macro="">
      <xdr:nvCxnSpPr>
        <xdr:cNvPr id="2" name="Conexão recta 4"/>
        <xdr:cNvCxnSpPr/>
      </xdr:nvCxnSpPr>
      <xdr:spPr>
        <a:xfrm flipV="1">
          <a:off x="169881" y="514895"/>
          <a:ext cx="18364680" cy="1"/>
        </a:xfrm>
        <a:prstGeom prst="line">
          <a:avLst/>
        </a:prstGeom>
        <a:ln w="381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11205</xdr:colOff>
      <xdr:row>1</xdr:row>
      <xdr:rowOff>78441</xdr:rowOff>
    </xdr:from>
    <xdr:to>
      <xdr:col>2</xdr:col>
      <xdr:colOff>638734</xdr:colOff>
      <xdr:row>4</xdr:row>
      <xdr:rowOff>0</xdr:rowOff>
    </xdr:to>
    <xdr:pic>
      <xdr:nvPicPr>
        <xdr:cNvPr id="3" name="Imagem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45" y="200361"/>
          <a:ext cx="871369" cy="28731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12</xdr:col>
          <xdr:colOff>327660</xdr:colOff>
          <xdr:row>65</xdr:row>
          <xdr:rowOff>22860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6" name="Imagem 5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38100</xdr:colOff>
          <xdr:row>65</xdr:row>
          <xdr:rowOff>22860</xdr:rowOff>
        </xdr:to>
        <xdr:sp macro="" textlink="">
          <xdr:nvSpPr>
            <xdr:cNvPr id="18433" name="Object 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144780</xdr:colOff>
          <xdr:row>65</xdr:row>
          <xdr:rowOff>22860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38100</xdr:colOff>
          <xdr:row>65</xdr:row>
          <xdr:rowOff>22860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106680</xdr:colOff>
          <xdr:row>65</xdr:row>
          <xdr:rowOff>22860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144780</xdr:colOff>
          <xdr:row>65</xdr:row>
          <xdr:rowOff>22860</xdr:rowOff>
        </xdr:to>
        <xdr:sp macro="" textlink="">
          <xdr:nvSpPr>
            <xdr:cNvPr id="22529" name="Object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83820</xdr:colOff>
          <xdr:row>65</xdr:row>
          <xdr:rowOff>22860</xdr:rowOff>
        </xdr:to>
        <xdr:sp macro="" textlink="">
          <xdr:nvSpPr>
            <xdr:cNvPr id="16385" name="Object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38100</xdr:colOff>
          <xdr:row>65</xdr:row>
          <xdr:rowOff>22860</xdr:rowOff>
        </xdr:to>
        <xdr:sp macro="" textlink="">
          <xdr:nvSpPr>
            <xdr:cNvPr id="23553" name="Object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38100</xdr:colOff>
          <xdr:row>65</xdr:row>
          <xdr:rowOff>22860</xdr:rowOff>
        </xdr:to>
        <xdr:sp macro="" textlink="">
          <xdr:nvSpPr>
            <xdr:cNvPr id="65537" name="Object 1" hidden="1">
              <a:extLst>
                <a:ext uri="{63B3BB69-23CF-44E3-9099-C40C66FF867C}">
                  <a14:compatExt spid="_x0000_s655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22860</xdr:colOff>
          <xdr:row>65</xdr:row>
          <xdr:rowOff>22860</xdr:rowOff>
        </xdr:to>
        <xdr:sp macro="" textlink="">
          <xdr:nvSpPr>
            <xdr:cNvPr id="68609" name="Object 1" hidden="1">
              <a:extLst>
                <a:ext uri="{63B3BB69-23CF-44E3-9099-C40C66FF867C}">
                  <a14:compatExt spid="_x0000_s686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12</xdr:col>
          <xdr:colOff>327660</xdr:colOff>
          <xdr:row>65</xdr:row>
          <xdr:rowOff>22860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68580</xdr:colOff>
          <xdr:row>65</xdr:row>
          <xdr:rowOff>22860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63</xdr:row>
          <xdr:rowOff>160020</xdr:rowOff>
        </xdr:from>
        <xdr:to>
          <xdr:col>13</xdr:col>
          <xdr:colOff>68580</xdr:colOff>
          <xdr:row>65</xdr:row>
          <xdr:rowOff>22860</xdr:rowOff>
        </xdr:to>
        <xdr:sp macro="" textlink="">
          <xdr:nvSpPr>
            <xdr:cNvPr id="66561" name="Object 1" hidden="1">
              <a:extLst>
                <a:ext uri="{63B3BB69-23CF-44E3-9099-C40C66FF867C}">
                  <a14:compatExt spid="_x0000_s665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OS-SDP-CEITPSJM-2025-2026\SUPERVIS&#195;O%20DE%20TURNOS\RECEP&#199;&#195;O%20DE%20MINI%20PAUTAS\I%20TRIMESTRE\VENANCIO\11CL%20-%20PATOL%20e%20MICROPARASITOL%20-%20F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CL-FAR-PATOL"/>
      <sheetName val="11CL-FAR-MPARASITOL"/>
    </sheetNames>
    <sheetDataSet>
      <sheetData sheetId="0" refreshError="1">
        <row r="9">
          <cell r="E9">
            <v>0</v>
          </cell>
        </row>
        <row r="10">
          <cell r="E10">
            <v>20</v>
          </cell>
        </row>
        <row r="11">
          <cell r="E11">
            <v>20</v>
          </cell>
        </row>
        <row r="12">
          <cell r="E12">
            <v>20</v>
          </cell>
        </row>
        <row r="13">
          <cell r="E13">
            <v>20</v>
          </cell>
        </row>
        <row r="14">
          <cell r="E14">
            <v>0</v>
          </cell>
        </row>
        <row r="15">
          <cell r="E15">
            <v>20</v>
          </cell>
        </row>
        <row r="16">
          <cell r="E16">
            <v>0</v>
          </cell>
        </row>
        <row r="17">
          <cell r="E17">
            <v>20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20</v>
          </cell>
        </row>
        <row r="21">
          <cell r="E21">
            <v>20</v>
          </cell>
        </row>
        <row r="22">
          <cell r="E22">
            <v>20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16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20</v>
          </cell>
        </row>
        <row r="32">
          <cell r="E32">
            <v>20</v>
          </cell>
        </row>
        <row r="33">
          <cell r="E33">
            <v>20</v>
          </cell>
        </row>
        <row r="34">
          <cell r="E34">
            <v>0</v>
          </cell>
        </row>
        <row r="35">
          <cell r="E35">
            <v>20</v>
          </cell>
        </row>
        <row r="36">
          <cell r="E36">
            <v>20</v>
          </cell>
        </row>
        <row r="37">
          <cell r="E37">
            <v>20</v>
          </cell>
        </row>
        <row r="38">
          <cell r="E38">
            <v>0</v>
          </cell>
        </row>
        <row r="39">
          <cell r="E39">
            <v>20</v>
          </cell>
        </row>
        <row r="40">
          <cell r="E40">
            <v>20</v>
          </cell>
        </row>
        <row r="41">
          <cell r="E41">
            <v>20</v>
          </cell>
        </row>
        <row r="42">
          <cell r="E42">
            <v>20</v>
          </cell>
        </row>
        <row r="43">
          <cell r="E43">
            <v>10</v>
          </cell>
        </row>
        <row r="44">
          <cell r="E44">
            <v>20</v>
          </cell>
        </row>
        <row r="46">
          <cell r="E46">
            <v>20</v>
          </cell>
        </row>
        <row r="47">
          <cell r="E47">
            <v>20</v>
          </cell>
        </row>
        <row r="48">
          <cell r="E48">
            <v>20</v>
          </cell>
        </row>
        <row r="50">
          <cell r="E50">
            <v>0</v>
          </cell>
        </row>
        <row r="51">
          <cell r="E51">
            <v>0</v>
          </cell>
        </row>
        <row r="52">
          <cell r="E52">
            <v>20</v>
          </cell>
        </row>
        <row r="54">
          <cell r="E54">
            <v>0</v>
          </cell>
        </row>
        <row r="55">
          <cell r="E55">
            <v>20</v>
          </cell>
        </row>
        <row r="56">
          <cell r="E56">
            <v>20</v>
          </cell>
        </row>
        <row r="57">
          <cell r="E57">
            <v>20</v>
          </cell>
        </row>
        <row r="58">
          <cell r="E58">
            <v>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1.doc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4.emf"/><Relationship Id="rId4" Type="http://schemas.openxmlformats.org/officeDocument/2006/relationships/oleObject" Target="../embeddings/Microsoft_Word_97_-_2003_Document2.doc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5.emf"/><Relationship Id="rId4" Type="http://schemas.openxmlformats.org/officeDocument/2006/relationships/oleObject" Target="../embeddings/Microsoft_Word_97_-_2003_Document3.doc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6.emf"/><Relationship Id="rId4" Type="http://schemas.openxmlformats.org/officeDocument/2006/relationships/oleObject" Target="../embeddings/Microsoft_Word_97_-_2003_Document4.doc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4.emf"/><Relationship Id="rId4" Type="http://schemas.openxmlformats.org/officeDocument/2006/relationships/oleObject" Target="../embeddings/Microsoft_Word_97_-_2003_Document5.doc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7.emf"/><Relationship Id="rId4" Type="http://schemas.openxmlformats.org/officeDocument/2006/relationships/oleObject" Target="../embeddings/Microsoft_Word_97_-_2003_Document6.doc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8.emf"/><Relationship Id="rId4" Type="http://schemas.openxmlformats.org/officeDocument/2006/relationships/oleObject" Target="../embeddings/Microsoft_Word_97_-_2003_Document7.doc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9.emf"/><Relationship Id="rId4" Type="http://schemas.openxmlformats.org/officeDocument/2006/relationships/oleObject" Target="../embeddings/Microsoft_Word_97_-_2003_Document8.doc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0.emf"/><Relationship Id="rId4" Type="http://schemas.openxmlformats.org/officeDocument/2006/relationships/oleObject" Target="../embeddings/Microsoft_Word_97_-_2003_Document9.doc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11.emf"/><Relationship Id="rId4" Type="http://schemas.openxmlformats.org/officeDocument/2006/relationships/oleObject" Target="../embeddings/Microsoft_Word_97_-_2003_Document10.doc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2.emf"/><Relationship Id="rId4" Type="http://schemas.openxmlformats.org/officeDocument/2006/relationships/oleObject" Target="../embeddings/Microsoft_Word_97_-_2003_Document11.doc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5" Type="http://schemas.openxmlformats.org/officeDocument/2006/relationships/image" Target="../media/image13.emf"/><Relationship Id="rId4" Type="http://schemas.openxmlformats.org/officeDocument/2006/relationships/oleObject" Target="../embeddings/Microsoft_Word_97_-_2003_Document12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00FF"/>
  </sheetPr>
  <dimension ref="A1:BE81"/>
  <sheetViews>
    <sheetView showGridLines="0" tabSelected="1" showWhiteSpace="0" topLeftCell="A10" zoomScale="60" zoomScaleNormal="60" zoomScalePageLayoutView="55" workbookViewId="0">
      <selection activeCell="X47" sqref="X47"/>
    </sheetView>
  </sheetViews>
  <sheetFormatPr defaultRowHeight="14.4" x14ac:dyDescent="0.3"/>
  <cols>
    <col min="1" max="1" width="1.33203125" customWidth="1"/>
    <col min="2" max="2" width="3.5546875" customWidth="1"/>
    <col min="3" max="3" width="11.44140625" customWidth="1"/>
    <col min="4" max="4" width="46.44140625" customWidth="1"/>
    <col min="5" max="5" width="27.5546875" customWidth="1"/>
    <col min="6" max="7" width="2.6640625" customWidth="1"/>
    <col min="8" max="8" width="6.5546875" customWidth="1"/>
    <col min="9" max="10" width="2.6640625" customWidth="1"/>
    <col min="11" max="11" width="7" customWidth="1"/>
    <col min="12" max="13" width="2.6640625" customWidth="1"/>
    <col min="14" max="14" width="6.88671875" customWidth="1"/>
    <col min="15" max="16" width="2.6640625" customWidth="1"/>
    <col min="17" max="17" width="7.33203125" customWidth="1"/>
    <col min="18" max="19" width="2.6640625" customWidth="1"/>
    <col min="20" max="20" width="6.88671875" customWidth="1"/>
    <col min="21" max="22" width="2.6640625" customWidth="1"/>
    <col min="23" max="23" width="6.6640625" customWidth="1"/>
    <col min="24" max="25" width="2.6640625" customWidth="1"/>
    <col min="26" max="26" width="7.6640625" customWidth="1"/>
    <col min="27" max="27" width="3.6640625" customWidth="1"/>
    <col min="28" max="28" width="3.109375" customWidth="1"/>
    <col min="29" max="29" width="7.6640625" customWidth="1"/>
    <col min="30" max="30" width="3" customWidth="1"/>
    <col min="31" max="31" width="3.109375" customWidth="1"/>
    <col min="32" max="32" width="6.6640625" customWidth="1"/>
    <col min="33" max="33" width="3.44140625" customWidth="1"/>
    <col min="34" max="34" width="4.6640625" customWidth="1"/>
    <col min="35" max="35" width="6.88671875" customWidth="1"/>
    <col min="36" max="37" width="3.44140625" customWidth="1"/>
    <col min="38" max="38" width="6.88671875" customWidth="1"/>
    <col min="39" max="40" width="4" customWidth="1"/>
    <col min="41" max="41" width="6.88671875" customWidth="1"/>
    <col min="42" max="42" width="3.44140625" customWidth="1"/>
    <col min="43" max="43" width="3.33203125" customWidth="1"/>
    <col min="44" max="44" width="7" customWidth="1"/>
    <col min="45" max="45" width="15.44140625" customWidth="1"/>
    <col min="46" max="46" width="8.6640625" customWidth="1"/>
    <col min="51" max="56" width="9.6640625" bestFit="1" customWidth="1"/>
  </cols>
  <sheetData>
    <row r="1" spans="1:56" ht="9.9" customHeight="1" x14ac:dyDescent="0.5">
      <c r="A1" s="272" t="s">
        <v>43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88"/>
    </row>
    <row r="2" spans="1:56" ht="9.9" customHeight="1" x14ac:dyDescent="0.5">
      <c r="A2" s="272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88"/>
    </row>
    <row r="3" spans="1:56" ht="9.9" customHeight="1" x14ac:dyDescent="0.5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2"/>
      <c r="AP3" s="272"/>
      <c r="AQ3" s="272"/>
      <c r="AR3" s="272"/>
      <c r="AS3" s="272"/>
      <c r="AT3" s="88"/>
    </row>
    <row r="4" spans="1:56" ht="9.9" customHeight="1" x14ac:dyDescent="0.5">
      <c r="A4" s="272"/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88"/>
    </row>
    <row r="5" spans="1:56" ht="9.9" customHeight="1" x14ac:dyDescent="0.4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</row>
    <row r="6" spans="1:56" ht="9.9" customHeight="1" x14ac:dyDescent="0.4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</row>
    <row r="7" spans="1:56" ht="15" customHeight="1" x14ac:dyDescent="0.3">
      <c r="B7" s="273" t="s">
        <v>44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89"/>
    </row>
    <row r="8" spans="1:56" ht="22.5" customHeight="1" x14ac:dyDescent="0.3">
      <c r="B8" s="93"/>
      <c r="C8" s="274" t="s">
        <v>45</v>
      </c>
      <c r="D8" s="274"/>
      <c r="E8" s="274"/>
      <c r="F8" s="274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  <c r="AD8" s="274"/>
      <c r="AE8" s="274"/>
      <c r="AF8" s="274"/>
      <c r="AG8" s="274"/>
      <c r="AH8" s="274"/>
      <c r="AI8" s="274"/>
      <c r="AJ8" s="274"/>
      <c r="AK8" s="274"/>
      <c r="AL8" s="274"/>
      <c r="AM8" s="274"/>
      <c r="AN8" s="274"/>
      <c r="AO8" s="274"/>
      <c r="AP8" s="274"/>
      <c r="AQ8" s="274"/>
      <c r="AR8" s="274"/>
      <c r="AS8" s="274"/>
      <c r="AT8" s="90"/>
    </row>
    <row r="9" spans="1:56" ht="16.5" customHeight="1" x14ac:dyDescent="0.7">
      <c r="B9" s="42"/>
      <c r="C9" s="42"/>
      <c r="D9" s="42"/>
      <c r="E9" s="42"/>
      <c r="F9" s="42"/>
      <c r="G9" s="42"/>
      <c r="H9" s="275" t="s">
        <v>70</v>
      </c>
      <c r="I9" s="275"/>
      <c r="J9" s="275"/>
      <c r="K9" s="275"/>
      <c r="L9" s="43"/>
      <c r="M9" s="276" t="s">
        <v>46</v>
      </c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114"/>
      <c r="AB9" s="114"/>
      <c r="AC9" s="280" t="s">
        <v>47</v>
      </c>
      <c r="AD9" s="280"/>
      <c r="AE9" s="280"/>
      <c r="AF9" s="280"/>
      <c r="AG9" s="280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</row>
    <row r="10" spans="1:56" ht="15" customHeight="1" thickBot="1" x14ac:dyDescent="0.75">
      <c r="B10" s="278" t="s">
        <v>48</v>
      </c>
      <c r="C10" s="278"/>
      <c r="D10" s="278"/>
      <c r="E10" s="91"/>
      <c r="F10" s="42"/>
      <c r="G10" s="42"/>
      <c r="H10" s="275"/>
      <c r="I10" s="275"/>
      <c r="J10" s="275"/>
      <c r="K10" s="275"/>
      <c r="L10" s="44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114"/>
      <c r="AB10" s="114"/>
      <c r="AC10" s="114"/>
      <c r="AD10" s="279" t="s">
        <v>77</v>
      </c>
      <c r="AE10" s="280"/>
      <c r="AF10" s="280"/>
      <c r="AG10" s="280"/>
      <c r="AH10" s="93" t="s">
        <v>49</v>
      </c>
      <c r="AI10" s="92">
        <f>SUM(AI12,AI11)</f>
        <v>55</v>
      </c>
      <c r="AJ10" s="115"/>
      <c r="AK10" s="115"/>
      <c r="AL10" s="115"/>
      <c r="AM10" s="115"/>
      <c r="AN10" s="115"/>
      <c r="AO10" s="115"/>
      <c r="AP10" s="44"/>
      <c r="AQ10" s="44"/>
      <c r="AR10" s="44"/>
      <c r="AS10" s="44"/>
      <c r="AT10" s="44"/>
    </row>
    <row r="11" spans="1:56" ht="18" customHeight="1" thickTop="1" x14ac:dyDescent="0.7">
      <c r="B11" s="265" t="s">
        <v>50</v>
      </c>
      <c r="C11" s="265"/>
      <c r="D11" s="265"/>
      <c r="E11" s="87"/>
      <c r="F11" s="42"/>
      <c r="G11" s="42"/>
      <c r="H11" s="281" t="s">
        <v>51</v>
      </c>
      <c r="I11" s="281"/>
      <c r="J11" s="282" t="s">
        <v>52</v>
      </c>
      <c r="K11" s="283"/>
      <c r="L11" s="45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114"/>
      <c r="AB11" s="114"/>
      <c r="AC11" s="114"/>
      <c r="AD11" s="280"/>
      <c r="AE11" s="280"/>
      <c r="AF11" s="280"/>
      <c r="AG11" s="280"/>
      <c r="AH11" s="93" t="s">
        <v>0</v>
      </c>
      <c r="AI11" s="93">
        <f>COUNTIF(AV17:AV71,"M")</f>
        <v>12</v>
      </c>
      <c r="AJ11" s="116"/>
      <c r="AK11" s="116"/>
      <c r="AL11" s="116"/>
      <c r="AM11" s="116"/>
      <c r="AN11" s="116"/>
      <c r="AO11" s="116"/>
      <c r="AP11" s="44"/>
      <c r="AQ11" s="44"/>
      <c r="AR11" s="284">
        <v>46003</v>
      </c>
      <c r="AS11" s="285"/>
      <c r="AT11" s="119"/>
    </row>
    <row r="12" spans="1:56" ht="16.5" customHeight="1" thickBot="1" x14ac:dyDescent="0.4">
      <c r="B12" s="288" t="s">
        <v>53</v>
      </c>
      <c r="C12" s="288"/>
      <c r="D12" s="288"/>
      <c r="E12" s="93"/>
      <c r="F12" s="42"/>
      <c r="G12" s="42"/>
      <c r="H12" s="281"/>
      <c r="I12" s="281"/>
      <c r="J12" s="283"/>
      <c r="K12" s="283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4"/>
      <c r="Y12" s="44"/>
      <c r="Z12" s="289" t="s">
        <v>92</v>
      </c>
      <c r="AA12" s="289"/>
      <c r="AB12" s="289"/>
      <c r="AC12" s="289"/>
      <c r="AD12" s="289"/>
      <c r="AE12" s="289"/>
      <c r="AF12" s="289"/>
      <c r="AG12" s="289"/>
      <c r="AH12" s="93" t="s">
        <v>1</v>
      </c>
      <c r="AI12" s="46">
        <f>COUNTIF(AV17:AV71,"F")</f>
        <v>43</v>
      </c>
      <c r="AJ12" s="46"/>
      <c r="AK12" s="46"/>
      <c r="AL12" s="46"/>
      <c r="AM12" s="46"/>
      <c r="AN12" s="46"/>
      <c r="AO12" s="46"/>
      <c r="AP12" s="44"/>
      <c r="AQ12" s="44"/>
      <c r="AR12" s="286"/>
      <c r="AS12" s="287"/>
      <c r="AT12" s="119"/>
    </row>
    <row r="13" spans="1:56" ht="19.5" customHeight="1" thickTop="1" thickBot="1" x14ac:dyDescent="0.35">
      <c r="B13" s="265" t="s">
        <v>94</v>
      </c>
      <c r="C13" s="265"/>
      <c r="D13" s="265"/>
      <c r="E13" s="87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7"/>
      <c r="Y13" s="47"/>
      <c r="Z13" s="47"/>
      <c r="AA13" s="47"/>
      <c r="AB13" s="47"/>
      <c r="AC13" s="47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7"/>
      <c r="AT13" s="47"/>
    </row>
    <row r="14" spans="1:56" ht="28.5" customHeight="1" thickBot="1" x14ac:dyDescent="0.35">
      <c r="B14" s="266" t="s">
        <v>54</v>
      </c>
      <c r="C14" s="256" t="s">
        <v>55</v>
      </c>
      <c r="D14" s="258" t="s">
        <v>56</v>
      </c>
      <c r="E14" s="260" t="s">
        <v>57</v>
      </c>
      <c r="F14" s="262" t="s">
        <v>58</v>
      </c>
      <c r="G14" s="263"/>
      <c r="H14" s="264"/>
      <c r="I14" s="294" t="s">
        <v>80</v>
      </c>
      <c r="J14" s="294"/>
      <c r="K14" s="294"/>
      <c r="L14" s="262" t="s">
        <v>61</v>
      </c>
      <c r="M14" s="263"/>
      <c r="N14" s="264"/>
      <c r="O14" s="294" t="s">
        <v>59</v>
      </c>
      <c r="P14" s="294"/>
      <c r="Q14" s="295"/>
      <c r="R14" s="296" t="s">
        <v>71</v>
      </c>
      <c r="S14" s="294"/>
      <c r="T14" s="295"/>
      <c r="U14" s="296" t="s">
        <v>81</v>
      </c>
      <c r="V14" s="294"/>
      <c r="W14" s="295"/>
      <c r="X14" s="296" t="s">
        <v>82</v>
      </c>
      <c r="Y14" s="294"/>
      <c r="Z14" s="294"/>
      <c r="AA14" s="296" t="s">
        <v>83</v>
      </c>
      <c r="AB14" s="294"/>
      <c r="AC14" s="295"/>
      <c r="AD14" s="296" t="s">
        <v>84</v>
      </c>
      <c r="AE14" s="294"/>
      <c r="AF14" s="295"/>
      <c r="AG14" s="296" t="s">
        <v>85</v>
      </c>
      <c r="AH14" s="294"/>
      <c r="AI14" s="294"/>
      <c r="AJ14" s="296" t="s">
        <v>60</v>
      </c>
      <c r="AK14" s="294"/>
      <c r="AL14" s="295"/>
      <c r="AM14" s="294" t="s">
        <v>72</v>
      </c>
      <c r="AN14" s="294"/>
      <c r="AO14" s="295"/>
      <c r="AP14" s="296" t="s">
        <v>86</v>
      </c>
      <c r="AQ14" s="294"/>
      <c r="AR14" s="295"/>
      <c r="AS14" s="290" t="s">
        <v>8</v>
      </c>
      <c r="AT14" s="290" t="s">
        <v>73</v>
      </c>
      <c r="AU14" s="301" t="s">
        <v>62</v>
      </c>
      <c r="AV14" s="303" t="s">
        <v>63</v>
      </c>
      <c r="AW14" s="300" t="s">
        <v>64</v>
      </c>
      <c r="AX14" s="300"/>
      <c r="AY14" s="300"/>
      <c r="AZ14" s="300"/>
      <c r="BA14" s="300"/>
      <c r="BB14" s="300"/>
      <c r="BC14" s="300"/>
      <c r="BD14" s="300"/>
    </row>
    <row r="15" spans="1:56" ht="12.9" customHeight="1" thickBot="1" x14ac:dyDescent="0.35">
      <c r="B15" s="267"/>
      <c r="C15" s="257"/>
      <c r="D15" s="259"/>
      <c r="E15" s="261"/>
      <c r="F15" s="268" t="s">
        <v>25</v>
      </c>
      <c r="G15" s="269"/>
      <c r="H15" s="270" t="s">
        <v>78</v>
      </c>
      <c r="I15" s="298" t="s">
        <v>25</v>
      </c>
      <c r="J15" s="298"/>
      <c r="K15" s="270" t="s">
        <v>78</v>
      </c>
      <c r="L15" s="299" t="s">
        <v>25</v>
      </c>
      <c r="M15" s="298"/>
      <c r="N15" s="270" t="s">
        <v>78</v>
      </c>
      <c r="O15" s="298" t="s">
        <v>25</v>
      </c>
      <c r="P15" s="298"/>
      <c r="Q15" s="270" t="s">
        <v>78</v>
      </c>
      <c r="R15" s="292" t="s">
        <v>25</v>
      </c>
      <c r="S15" s="297"/>
      <c r="T15" s="270" t="s">
        <v>78</v>
      </c>
      <c r="U15" s="292" t="s">
        <v>25</v>
      </c>
      <c r="V15" s="293"/>
      <c r="W15" s="270" t="s">
        <v>78</v>
      </c>
      <c r="X15" s="297" t="s">
        <v>25</v>
      </c>
      <c r="Y15" s="297"/>
      <c r="Z15" s="270" t="s">
        <v>78</v>
      </c>
      <c r="AA15" s="292" t="s">
        <v>25</v>
      </c>
      <c r="AB15" s="297"/>
      <c r="AC15" s="270" t="s">
        <v>78</v>
      </c>
      <c r="AD15" s="292" t="s">
        <v>25</v>
      </c>
      <c r="AE15" s="297"/>
      <c r="AF15" s="270" t="s">
        <v>78</v>
      </c>
      <c r="AG15" s="292" t="s">
        <v>25</v>
      </c>
      <c r="AH15" s="293"/>
      <c r="AI15" s="270" t="s">
        <v>78</v>
      </c>
      <c r="AJ15" s="292" t="s">
        <v>25</v>
      </c>
      <c r="AK15" s="293"/>
      <c r="AL15" s="270" t="s">
        <v>78</v>
      </c>
      <c r="AM15" s="297" t="s">
        <v>25</v>
      </c>
      <c r="AN15" s="297"/>
      <c r="AO15" s="270" t="s">
        <v>78</v>
      </c>
      <c r="AP15" s="292" t="s">
        <v>25</v>
      </c>
      <c r="AQ15" s="293"/>
      <c r="AR15" s="270" t="s">
        <v>78</v>
      </c>
      <c r="AS15" s="291"/>
      <c r="AT15" s="291"/>
      <c r="AU15" s="302"/>
      <c r="AV15" s="304"/>
      <c r="AW15" s="300" t="s">
        <v>65</v>
      </c>
      <c r="AX15" s="300"/>
      <c r="AY15" s="305" t="s">
        <v>2</v>
      </c>
      <c r="AZ15" s="305"/>
      <c r="BA15" s="306" t="s">
        <v>3</v>
      </c>
      <c r="BB15" s="306"/>
      <c r="BC15" s="307" t="s">
        <v>66</v>
      </c>
      <c r="BD15" s="307"/>
    </row>
    <row r="16" spans="1:56" ht="12.9" customHeight="1" thickBot="1" x14ac:dyDescent="0.35">
      <c r="B16" s="267"/>
      <c r="C16" s="257"/>
      <c r="D16" s="259"/>
      <c r="E16" s="261"/>
      <c r="F16" s="79" t="s">
        <v>67</v>
      </c>
      <c r="G16" s="80" t="s">
        <v>68</v>
      </c>
      <c r="H16" s="271"/>
      <c r="I16" s="49" t="s">
        <v>67</v>
      </c>
      <c r="J16" s="50" t="s">
        <v>68</v>
      </c>
      <c r="K16" s="271"/>
      <c r="L16" s="51" t="s">
        <v>67</v>
      </c>
      <c r="M16" s="50" t="s">
        <v>68</v>
      </c>
      <c r="N16" s="271"/>
      <c r="O16" s="49" t="s">
        <v>67</v>
      </c>
      <c r="P16" s="50" t="s">
        <v>68</v>
      </c>
      <c r="Q16" s="271"/>
      <c r="R16" s="51" t="s">
        <v>67</v>
      </c>
      <c r="S16" s="50" t="s">
        <v>68</v>
      </c>
      <c r="T16" s="271"/>
      <c r="U16" s="51" t="s">
        <v>67</v>
      </c>
      <c r="V16" s="50" t="s">
        <v>68</v>
      </c>
      <c r="W16" s="271"/>
      <c r="X16" s="49" t="s">
        <v>67</v>
      </c>
      <c r="Y16" s="50" t="s">
        <v>68</v>
      </c>
      <c r="Z16" s="271"/>
      <c r="AA16" s="51" t="s">
        <v>67</v>
      </c>
      <c r="AB16" s="50" t="s">
        <v>68</v>
      </c>
      <c r="AC16" s="271"/>
      <c r="AD16" s="51" t="s">
        <v>67</v>
      </c>
      <c r="AE16" s="50" t="s">
        <v>68</v>
      </c>
      <c r="AF16" s="271"/>
      <c r="AG16" s="51" t="s">
        <v>67</v>
      </c>
      <c r="AH16" s="50" t="s">
        <v>68</v>
      </c>
      <c r="AI16" s="271"/>
      <c r="AJ16" s="51" t="s">
        <v>67</v>
      </c>
      <c r="AK16" s="50" t="s">
        <v>68</v>
      </c>
      <c r="AL16" s="271"/>
      <c r="AM16" s="49" t="s">
        <v>67</v>
      </c>
      <c r="AN16" s="50" t="s">
        <v>68</v>
      </c>
      <c r="AO16" s="271"/>
      <c r="AP16" s="51" t="s">
        <v>67</v>
      </c>
      <c r="AQ16" s="50" t="s">
        <v>68</v>
      </c>
      <c r="AR16" s="271"/>
      <c r="AS16" s="291"/>
      <c r="AT16" s="291"/>
      <c r="AU16" s="302"/>
      <c r="AV16" s="304"/>
      <c r="AW16" s="94" t="s">
        <v>0</v>
      </c>
      <c r="AX16" s="94" t="s">
        <v>1</v>
      </c>
      <c r="AY16" s="52" t="s">
        <v>0</v>
      </c>
      <c r="AZ16" s="52" t="s">
        <v>1</v>
      </c>
      <c r="BA16" s="52" t="s">
        <v>0</v>
      </c>
      <c r="BB16" s="52" t="s">
        <v>1</v>
      </c>
      <c r="BC16" s="52" t="s">
        <v>0</v>
      </c>
      <c r="BD16" s="52" t="s">
        <v>1</v>
      </c>
    </row>
    <row r="17" spans="2:56" ht="19.5" customHeight="1" thickTop="1" thickBot="1" x14ac:dyDescent="0.35">
      <c r="B17" s="53">
        <v>1</v>
      </c>
      <c r="C17" s="172">
        <v>4068</v>
      </c>
      <c r="D17" s="176" t="s">
        <v>147</v>
      </c>
      <c r="E17" s="70"/>
      <c r="F17" s="232"/>
      <c r="G17" s="233"/>
      <c r="H17" s="200">
        <f>SUM('11CL-FAR-L PORT'!J9)</f>
        <v>9.3333333333333339</v>
      </c>
      <c r="I17" s="201"/>
      <c r="J17" s="202"/>
      <c r="K17" s="203">
        <f>SUM('11CL-FAR-MAT'!J9)</f>
        <v>6.666666666666667</v>
      </c>
      <c r="L17" s="204"/>
      <c r="M17" s="202"/>
      <c r="N17" s="200">
        <f>SUM('11CL-FAR-BIOL'!J9)</f>
        <v>11.666666666666666</v>
      </c>
      <c r="O17" s="205"/>
      <c r="P17" s="202"/>
      <c r="Q17" s="203">
        <f>SUM('11CL-FAR-INGLES'!J9)</f>
        <v>8</v>
      </c>
      <c r="R17" s="204"/>
      <c r="S17" s="202"/>
      <c r="T17" s="200">
        <f>SUM('11CL-FAR-PATOL'!J9)</f>
        <v>3</v>
      </c>
      <c r="U17" s="204"/>
      <c r="V17" s="202"/>
      <c r="W17" s="200">
        <f>SUM('11CL-FAR-MPARASITOL'!J9)</f>
        <v>1.1666666666666667</v>
      </c>
      <c r="X17" s="205"/>
      <c r="Y17" s="202"/>
      <c r="Z17" s="203">
        <f>SUM('11CL-FAR-FARMACOL'!J9)</f>
        <v>8.6666666666666661</v>
      </c>
      <c r="AA17" s="206"/>
      <c r="AB17" s="207"/>
      <c r="AC17" s="208">
        <f>SUM('11CL-FAR-FARMACOG'!J9)</f>
        <v>7.833333333333333</v>
      </c>
      <c r="AD17" s="209"/>
      <c r="AE17" s="202"/>
      <c r="AF17" s="200">
        <f>SUM('11CL-FAR-TPM'!J9)</f>
        <v>10</v>
      </c>
      <c r="AG17" s="209"/>
      <c r="AH17" s="207"/>
      <c r="AI17" s="200">
        <f>SUM('11CL-FAR-QCA ORG.'!J9)</f>
        <v>9.3333333333333339</v>
      </c>
      <c r="AJ17" s="206"/>
      <c r="AK17" s="207"/>
      <c r="AL17" s="208">
        <f>SUM('11CL-FAR-ED. FIS'!J9)</f>
        <v>12</v>
      </c>
      <c r="AM17" s="210"/>
      <c r="AN17" s="207"/>
      <c r="AO17" s="210">
        <f>SUM('11CL-FAR-BOTANICA'!J9)</f>
        <v>8</v>
      </c>
      <c r="AP17" s="209"/>
      <c r="AQ17" s="202"/>
      <c r="AR17" s="200">
        <f>SUM('11CL-FAR-AFH'!J9)</f>
        <v>8.3333333333333339</v>
      </c>
      <c r="AS17" s="54" t="s">
        <v>3</v>
      </c>
      <c r="AT17" s="74">
        <f t="shared" ref="AT17:AT40" si="0">AVERAGE(H17:AR17)</f>
        <v>7.9999999999999991</v>
      </c>
      <c r="AU17" s="166">
        <v>22</v>
      </c>
      <c r="AV17" s="169" t="s">
        <v>1</v>
      </c>
      <c r="AW17" s="55">
        <f>COUNTIF(AV17:AV71,"M")</f>
        <v>12</v>
      </c>
      <c r="AX17" s="56">
        <f>COUNTIF(AV17:AV71,"F")</f>
        <v>43</v>
      </c>
      <c r="AY17" s="57">
        <f>COUNTIFS(AS17:AS71,"Transita",AV17:AV71,"M")</f>
        <v>1</v>
      </c>
      <c r="AZ17" s="57">
        <f>COUNTIFS(AS17:AS71,"Transita",AV17:AV71,"F")</f>
        <v>2</v>
      </c>
      <c r="BA17" s="57">
        <f>COUNTIFS(AS17:AS71,"N/Transita",AV17:AV71,"M")</f>
        <v>11</v>
      </c>
      <c r="BB17" s="57">
        <f>COUNTIFS(AS17:AS71,"N/Transita",AV17:AV71,"F")</f>
        <v>37</v>
      </c>
      <c r="BC17" s="57">
        <f>COUNTIFS(AS17:AS71,"DESISTIDO",AV17:AV71,"M")</f>
        <v>0</v>
      </c>
      <c r="BD17" s="57">
        <f>COUNTIFS(AS17:AS71,"DESISTIDA",AV17:AV71,"F")</f>
        <v>4</v>
      </c>
    </row>
    <row r="18" spans="2:56" ht="19.5" customHeight="1" thickBot="1" x14ac:dyDescent="0.35">
      <c r="B18" s="58">
        <v>2</v>
      </c>
      <c r="C18" s="173">
        <v>3983</v>
      </c>
      <c r="D18" s="177" t="s">
        <v>95</v>
      </c>
      <c r="E18" s="71"/>
      <c r="F18" s="59"/>
      <c r="G18" s="60"/>
      <c r="H18" s="211">
        <f>SUM('11CL-FAR-L PORT'!J10)</f>
        <v>9.8333333333333339</v>
      </c>
      <c r="I18" s="212"/>
      <c r="J18" s="213"/>
      <c r="K18" s="214">
        <f>SUM('11CL-FAR-MAT'!J10)</f>
        <v>7.833333333333333</v>
      </c>
      <c r="L18" s="215"/>
      <c r="M18" s="213"/>
      <c r="N18" s="211">
        <f>SUM('11CL-FAR-BIOL'!J10)</f>
        <v>11.666666666666666</v>
      </c>
      <c r="O18" s="216"/>
      <c r="P18" s="213"/>
      <c r="Q18" s="214">
        <f>SUM('11CL-FAR-INGLES'!J10)</f>
        <v>13.333333333333334</v>
      </c>
      <c r="R18" s="215"/>
      <c r="S18" s="213"/>
      <c r="T18" s="211">
        <f>SUM('11CL-FAR-PATOL'!J10)</f>
        <v>11</v>
      </c>
      <c r="U18" s="215"/>
      <c r="V18" s="213"/>
      <c r="W18" s="211">
        <f>SUM('11CL-FAR-MPARASITOL'!J10)</f>
        <v>9.6666666666666661</v>
      </c>
      <c r="X18" s="216"/>
      <c r="Y18" s="213"/>
      <c r="Z18" s="214">
        <f>SUM('11CL-FAR-FARMACOL'!J10)</f>
        <v>10.666666666666666</v>
      </c>
      <c r="AA18" s="217"/>
      <c r="AB18" s="120"/>
      <c r="AC18" s="218">
        <f>SUM('11CL-FAR-FARMACOG'!J10)</f>
        <v>12</v>
      </c>
      <c r="AD18" s="219"/>
      <c r="AE18" s="213"/>
      <c r="AF18" s="211">
        <f>SUM('11CL-FAR-TPM'!J10)</f>
        <v>11.333333333333334</v>
      </c>
      <c r="AG18" s="219"/>
      <c r="AH18" s="120"/>
      <c r="AI18" s="211">
        <f>SUM('11CL-FAR-QCA ORG.'!J10)</f>
        <v>9.8333333333333339</v>
      </c>
      <c r="AJ18" s="217"/>
      <c r="AK18" s="120"/>
      <c r="AL18" s="218">
        <f>SUM('11CL-FAR-ED. FIS'!J10)</f>
        <v>15</v>
      </c>
      <c r="AM18" s="220"/>
      <c r="AN18" s="120"/>
      <c r="AO18" s="220">
        <f>SUM('11CL-FAR-BOTANICA'!J10)</f>
        <v>8.8333333333333339</v>
      </c>
      <c r="AP18" s="219"/>
      <c r="AQ18" s="213"/>
      <c r="AR18" s="211">
        <f>SUM('11CL-FAR-AFH'!J10)</f>
        <v>16.333333333333332</v>
      </c>
      <c r="AS18" s="61" t="s">
        <v>3</v>
      </c>
      <c r="AT18" s="75">
        <f t="shared" si="0"/>
        <v>11.333333333333334</v>
      </c>
      <c r="AU18" s="167">
        <v>18</v>
      </c>
      <c r="AV18" s="170" t="s">
        <v>1</v>
      </c>
      <c r="AW18" s="308">
        <f>SUM(AW17:AX17)</f>
        <v>55</v>
      </c>
      <c r="AX18" s="309"/>
      <c r="AY18" s="310">
        <f>SUM(AY16:AZ17)</f>
        <v>3</v>
      </c>
      <c r="AZ18" s="310"/>
      <c r="BA18" s="309">
        <f>SUM(BA16:BB17)</f>
        <v>48</v>
      </c>
      <c r="BB18" s="309"/>
      <c r="BC18" s="309">
        <f>SUM(BC16:BD17)</f>
        <v>4</v>
      </c>
      <c r="BD18" s="309"/>
    </row>
    <row r="19" spans="2:56" s="62" customFormat="1" ht="19.5" customHeight="1" thickBot="1" x14ac:dyDescent="0.35">
      <c r="B19" s="58">
        <v>3</v>
      </c>
      <c r="C19" s="173">
        <v>4163</v>
      </c>
      <c r="D19" s="177" t="s">
        <v>96</v>
      </c>
      <c r="E19" s="72"/>
      <c r="F19" s="59"/>
      <c r="G19" s="60"/>
      <c r="H19" s="211">
        <f>SUM('11CL-FAR-L PORT'!J11)</f>
        <v>11.333333333333334</v>
      </c>
      <c r="I19" s="212"/>
      <c r="J19" s="213"/>
      <c r="K19" s="214">
        <f>SUM('11CL-FAR-MAT'!J11)</f>
        <v>12.5</v>
      </c>
      <c r="L19" s="215"/>
      <c r="M19" s="213"/>
      <c r="N19" s="211">
        <f>SUM('11CL-FAR-BIOL'!J11)</f>
        <v>10.333333333333334</v>
      </c>
      <c r="O19" s="216"/>
      <c r="P19" s="213"/>
      <c r="Q19" s="214">
        <f>SUM('11CL-FAR-INGLES'!J11)</f>
        <v>12.333333333333334</v>
      </c>
      <c r="R19" s="215"/>
      <c r="S19" s="213"/>
      <c r="T19" s="211">
        <f>SUM('11CL-FAR-PATOL'!J11)</f>
        <v>12.666666666666666</v>
      </c>
      <c r="U19" s="215"/>
      <c r="V19" s="213"/>
      <c r="W19" s="211">
        <f>SUM('11CL-FAR-MPARASITOL'!J11)</f>
        <v>9</v>
      </c>
      <c r="X19" s="216"/>
      <c r="Y19" s="213"/>
      <c r="Z19" s="214">
        <f>SUM('11CL-FAR-FARMACOL'!J11)</f>
        <v>14</v>
      </c>
      <c r="AA19" s="217"/>
      <c r="AB19" s="120"/>
      <c r="AC19" s="218">
        <f>SUM('11CL-FAR-FARMACOG'!J11)</f>
        <v>9.3333333333333339</v>
      </c>
      <c r="AD19" s="219"/>
      <c r="AE19" s="213"/>
      <c r="AF19" s="211">
        <f>SUM('11CL-FAR-TPM'!J11)</f>
        <v>7</v>
      </c>
      <c r="AG19" s="219"/>
      <c r="AH19" s="120"/>
      <c r="AI19" s="211">
        <f>SUM('11CL-FAR-QCA ORG.'!J11)</f>
        <v>11.333333333333334</v>
      </c>
      <c r="AJ19" s="217"/>
      <c r="AK19" s="120"/>
      <c r="AL19" s="218">
        <f>SUM('11CL-FAR-ED. FIS'!J11)</f>
        <v>14</v>
      </c>
      <c r="AM19" s="220"/>
      <c r="AN19" s="120"/>
      <c r="AO19" s="220">
        <f>SUM('11CL-FAR-BOTANICA'!J11)</f>
        <v>9</v>
      </c>
      <c r="AP19" s="219"/>
      <c r="AQ19" s="213"/>
      <c r="AR19" s="211">
        <f>SUM('11CL-FAR-AFH'!J11)</f>
        <v>8.1666666666666661</v>
      </c>
      <c r="AS19" s="61" t="s">
        <v>3</v>
      </c>
      <c r="AT19" s="75">
        <f t="shared" si="0"/>
        <v>10.846153846153843</v>
      </c>
      <c r="AU19" s="167">
        <v>20</v>
      </c>
      <c r="AV19" s="170" t="s">
        <v>1</v>
      </c>
    </row>
    <row r="20" spans="2:56" ht="19.5" customHeight="1" thickBot="1" x14ac:dyDescent="0.35">
      <c r="B20" s="58">
        <v>4</v>
      </c>
      <c r="C20" s="173">
        <v>3939</v>
      </c>
      <c r="D20" s="177" t="s">
        <v>97</v>
      </c>
      <c r="E20" s="71"/>
      <c r="F20" s="59"/>
      <c r="G20" s="60"/>
      <c r="H20" s="211">
        <f>SUM('11CL-FAR-L PORT'!J12)</f>
        <v>16.666666666666668</v>
      </c>
      <c r="I20" s="212"/>
      <c r="J20" s="213"/>
      <c r="K20" s="214">
        <f>SUM('11CL-FAR-MAT'!J12)</f>
        <v>20</v>
      </c>
      <c r="L20" s="215"/>
      <c r="M20" s="213"/>
      <c r="N20" s="211">
        <f>SUM('11CL-FAR-BIOL'!J12)</f>
        <v>17.333333333333332</v>
      </c>
      <c r="O20" s="216"/>
      <c r="P20" s="213"/>
      <c r="Q20" s="214">
        <f>SUM('11CL-FAR-INGLES'!J12)</f>
        <v>19</v>
      </c>
      <c r="R20" s="215"/>
      <c r="S20" s="213"/>
      <c r="T20" s="211">
        <f>SUM('11CL-FAR-PATOL'!J12)</f>
        <v>14.666666666666666</v>
      </c>
      <c r="U20" s="215"/>
      <c r="V20" s="213"/>
      <c r="W20" s="211">
        <f>SUM('11CL-FAR-MPARASITOL'!J12)</f>
        <v>12</v>
      </c>
      <c r="X20" s="216"/>
      <c r="Y20" s="213"/>
      <c r="Z20" s="214">
        <f>SUM('11CL-FAR-FARMACOL'!J12)</f>
        <v>14</v>
      </c>
      <c r="AA20" s="217"/>
      <c r="AB20" s="120"/>
      <c r="AC20" s="218">
        <f>SUM('11CL-FAR-FARMACOG'!J12)</f>
        <v>10</v>
      </c>
      <c r="AD20" s="219"/>
      <c r="AE20" s="213"/>
      <c r="AF20" s="211">
        <f>SUM('11CL-FAR-TPM'!J12)</f>
        <v>15</v>
      </c>
      <c r="AG20" s="219"/>
      <c r="AH20" s="120"/>
      <c r="AI20" s="211">
        <f>SUM('11CL-FAR-QCA ORG.'!J12)</f>
        <v>16.666666666666668</v>
      </c>
      <c r="AJ20" s="217"/>
      <c r="AK20" s="120"/>
      <c r="AL20" s="218">
        <f>SUM('11CL-FAR-ED. FIS'!J12)</f>
        <v>17</v>
      </c>
      <c r="AM20" s="220"/>
      <c r="AN20" s="120"/>
      <c r="AO20" s="220">
        <f>SUM('11CL-FAR-BOTANICA'!J12)</f>
        <v>16.5</v>
      </c>
      <c r="AP20" s="219"/>
      <c r="AQ20" s="213"/>
      <c r="AR20" s="211">
        <f>SUM('11CL-FAR-AFH'!J12)</f>
        <v>17.666666666666668</v>
      </c>
      <c r="AS20" s="61" t="s">
        <v>2</v>
      </c>
      <c r="AT20" s="75">
        <f t="shared" si="0"/>
        <v>15.884615384615385</v>
      </c>
      <c r="AU20" s="167">
        <v>20</v>
      </c>
      <c r="AV20" s="170" t="s">
        <v>0</v>
      </c>
    </row>
    <row r="21" spans="2:56" ht="19.5" customHeight="1" thickBot="1" x14ac:dyDescent="0.35">
      <c r="B21" s="58">
        <v>5</v>
      </c>
      <c r="C21" s="173">
        <v>3461</v>
      </c>
      <c r="D21" s="177" t="s">
        <v>98</v>
      </c>
      <c r="E21" s="71"/>
      <c r="F21" s="59"/>
      <c r="G21" s="60"/>
      <c r="H21" s="211">
        <f>SUM('11CL-FAR-L PORT'!J13)</f>
        <v>15.666666666666666</v>
      </c>
      <c r="I21" s="212"/>
      <c r="J21" s="213"/>
      <c r="K21" s="214">
        <f>SUM('11CL-FAR-MAT'!J13)</f>
        <v>6</v>
      </c>
      <c r="L21" s="215"/>
      <c r="M21" s="213"/>
      <c r="N21" s="211">
        <f>SUM('11CL-FAR-BIOL'!J13)</f>
        <v>15.333333333333334</v>
      </c>
      <c r="O21" s="216"/>
      <c r="P21" s="213"/>
      <c r="Q21" s="214">
        <f>SUM('11CL-FAR-INGLES'!J13)</f>
        <v>16.666666666666668</v>
      </c>
      <c r="R21" s="215"/>
      <c r="S21" s="213"/>
      <c r="T21" s="211">
        <f>SUM('11CL-FAR-PATOL'!J13)</f>
        <v>16.666666666666668</v>
      </c>
      <c r="U21" s="215"/>
      <c r="V21" s="213"/>
      <c r="W21" s="211">
        <f>SUM('11CL-FAR-MPARASITOL'!J13)</f>
        <v>10</v>
      </c>
      <c r="X21" s="216"/>
      <c r="Y21" s="213"/>
      <c r="Z21" s="214">
        <f>SUM('11CL-FAR-FARMACOL'!J13)</f>
        <v>15.333333333333334</v>
      </c>
      <c r="AA21" s="217"/>
      <c r="AB21" s="120"/>
      <c r="AC21" s="218">
        <f>SUM('11CL-FAR-FARMACOG'!J13)</f>
        <v>15.333333333333334</v>
      </c>
      <c r="AD21" s="219"/>
      <c r="AE21" s="213"/>
      <c r="AF21" s="211">
        <f>SUM('11CL-FAR-TPM'!J13)</f>
        <v>16</v>
      </c>
      <c r="AG21" s="219"/>
      <c r="AH21" s="120"/>
      <c r="AI21" s="211">
        <f>SUM('11CL-FAR-QCA ORG.'!J13)</f>
        <v>15.666666666666666</v>
      </c>
      <c r="AJ21" s="217"/>
      <c r="AK21" s="120"/>
      <c r="AL21" s="218">
        <f>SUM('11CL-FAR-ED. FIS'!J13)</f>
        <v>15</v>
      </c>
      <c r="AM21" s="220"/>
      <c r="AN21" s="120"/>
      <c r="AO21" s="220">
        <f>SUM('11CL-FAR-BOTANICA'!J13)</f>
        <v>14.5</v>
      </c>
      <c r="AP21" s="219"/>
      <c r="AQ21" s="213"/>
      <c r="AR21" s="211">
        <f>SUM('11CL-FAR-AFH'!J13)</f>
        <v>14.833333333333334</v>
      </c>
      <c r="AS21" s="61" t="s">
        <v>3</v>
      </c>
      <c r="AT21" s="75">
        <f t="shared" si="0"/>
        <v>14.384615384615385</v>
      </c>
      <c r="AU21" s="167">
        <v>17</v>
      </c>
      <c r="AV21" s="170" t="s">
        <v>1</v>
      </c>
    </row>
    <row r="22" spans="2:56" ht="19.5" customHeight="1" thickBot="1" x14ac:dyDescent="0.35">
      <c r="B22" s="58">
        <v>6</v>
      </c>
      <c r="C22" s="173">
        <v>4030</v>
      </c>
      <c r="D22" s="177" t="s">
        <v>99</v>
      </c>
      <c r="E22" s="71"/>
      <c r="F22" s="59"/>
      <c r="G22" s="60"/>
      <c r="H22" s="211">
        <f>SUM('11CL-FAR-L PORT'!J14)</f>
        <v>13.333333333333334</v>
      </c>
      <c r="I22" s="212"/>
      <c r="J22" s="213"/>
      <c r="K22" s="214">
        <f>SUM('11CL-FAR-MAT'!J14)</f>
        <v>13.333333333333334</v>
      </c>
      <c r="L22" s="215"/>
      <c r="M22" s="213"/>
      <c r="N22" s="211">
        <f>SUM('11CL-FAR-BIOL'!J14)</f>
        <v>8.3333333333333339</v>
      </c>
      <c r="O22" s="216"/>
      <c r="P22" s="213"/>
      <c r="Q22" s="214">
        <f>SUM('11CL-FAR-INGLES'!J14)</f>
        <v>12</v>
      </c>
      <c r="R22" s="215"/>
      <c r="S22" s="213"/>
      <c r="T22" s="211">
        <f>SUM('11CL-FAR-PATOL'!J14)</f>
        <v>9.8333333333333339</v>
      </c>
      <c r="U22" s="215"/>
      <c r="V22" s="213"/>
      <c r="W22" s="211">
        <f>SUM('11CL-FAR-MPARASITOL'!J14)</f>
        <v>3.6666666666666665</v>
      </c>
      <c r="X22" s="216"/>
      <c r="Y22" s="213"/>
      <c r="Z22" s="214">
        <f>SUM('11CL-FAR-FARMACOL'!J14)</f>
        <v>12.666666666666666</v>
      </c>
      <c r="AA22" s="217"/>
      <c r="AB22" s="120"/>
      <c r="AC22" s="218">
        <f>SUM('11CL-FAR-FARMACOG'!J14)</f>
        <v>10</v>
      </c>
      <c r="AD22" s="219"/>
      <c r="AE22" s="213"/>
      <c r="AF22" s="211">
        <f>SUM('11CL-FAR-TPM'!J14)</f>
        <v>13.666666666666666</v>
      </c>
      <c r="AG22" s="219"/>
      <c r="AH22" s="120"/>
      <c r="AI22" s="211">
        <f>SUM('11CL-FAR-QCA ORG.'!J14)</f>
        <v>13.333333333333334</v>
      </c>
      <c r="AJ22" s="217"/>
      <c r="AK22" s="120"/>
      <c r="AL22" s="218">
        <f>SUM('11CL-FAR-ED. FIS'!J14)</f>
        <v>13</v>
      </c>
      <c r="AM22" s="220"/>
      <c r="AN22" s="120"/>
      <c r="AO22" s="220">
        <f>SUM('11CL-FAR-BOTANICA'!J14)</f>
        <v>11.666666666666666</v>
      </c>
      <c r="AP22" s="219"/>
      <c r="AQ22" s="213"/>
      <c r="AR22" s="211">
        <f>SUM('11CL-FAR-AFH'!J14)</f>
        <v>16.5</v>
      </c>
      <c r="AS22" s="61" t="s">
        <v>3</v>
      </c>
      <c r="AT22" s="75">
        <f t="shared" si="0"/>
        <v>11.641025641025642</v>
      </c>
      <c r="AU22" s="167">
        <v>20</v>
      </c>
      <c r="AV22" s="170" t="s">
        <v>1</v>
      </c>
    </row>
    <row r="23" spans="2:56" ht="19.5" customHeight="1" thickBot="1" x14ac:dyDescent="0.35">
      <c r="B23" s="58">
        <v>7</v>
      </c>
      <c r="C23" s="173">
        <v>3086</v>
      </c>
      <c r="D23" s="177" t="s">
        <v>100</v>
      </c>
      <c r="E23" s="71"/>
      <c r="F23" s="59"/>
      <c r="G23" s="60"/>
      <c r="H23" s="211">
        <f>SUM('11CL-FAR-L PORT'!J15)</f>
        <v>9</v>
      </c>
      <c r="I23" s="212"/>
      <c r="J23" s="213"/>
      <c r="K23" s="214">
        <f>SUM('11CL-FAR-MAT'!J15)</f>
        <v>17.666666666666668</v>
      </c>
      <c r="L23" s="215"/>
      <c r="M23" s="213"/>
      <c r="N23" s="211">
        <f>SUM('11CL-FAR-BIOL'!J15)</f>
        <v>12.666666666666666</v>
      </c>
      <c r="O23" s="216"/>
      <c r="P23" s="213"/>
      <c r="Q23" s="214">
        <f>SUM('11CL-FAR-INGLES'!J15)</f>
        <v>12</v>
      </c>
      <c r="R23" s="215"/>
      <c r="S23" s="213"/>
      <c r="T23" s="211">
        <f>SUM('11CL-FAR-PATOL'!J15)</f>
        <v>11.666666666666666</v>
      </c>
      <c r="U23" s="215"/>
      <c r="V23" s="213"/>
      <c r="W23" s="211">
        <f>SUM('11CL-FAR-MPARASITOL'!J15)</f>
        <v>9.3333333333333339</v>
      </c>
      <c r="X23" s="216"/>
      <c r="Y23" s="213"/>
      <c r="Z23" s="214">
        <f>SUM('11CL-FAR-FARMACOL'!J15)</f>
        <v>11</v>
      </c>
      <c r="AA23" s="217"/>
      <c r="AB23" s="120"/>
      <c r="AC23" s="218">
        <f>SUM('11CL-FAR-FARMACOG'!J15)</f>
        <v>9</v>
      </c>
      <c r="AD23" s="219"/>
      <c r="AE23" s="213"/>
      <c r="AF23" s="211">
        <f>SUM('11CL-FAR-TPM'!J15)</f>
        <v>9.6666666666666661</v>
      </c>
      <c r="AG23" s="219"/>
      <c r="AH23" s="120"/>
      <c r="AI23" s="211">
        <f>SUM('11CL-FAR-QCA ORG.'!J15)</f>
        <v>9</v>
      </c>
      <c r="AJ23" s="217"/>
      <c r="AK23" s="120"/>
      <c r="AL23" s="218">
        <f>SUM('11CL-FAR-ED. FIS'!J15)</f>
        <v>13</v>
      </c>
      <c r="AM23" s="220"/>
      <c r="AN23" s="120"/>
      <c r="AO23" s="220">
        <f>SUM('11CL-FAR-BOTANICA'!J15)</f>
        <v>12</v>
      </c>
      <c r="AP23" s="219"/>
      <c r="AQ23" s="213"/>
      <c r="AR23" s="211">
        <f>SUM('11CL-FAR-AFH'!J15)</f>
        <v>11.166666666666666</v>
      </c>
      <c r="AS23" s="61" t="s">
        <v>3</v>
      </c>
      <c r="AT23" s="75">
        <f t="shared" si="0"/>
        <v>11.320512820512819</v>
      </c>
      <c r="AU23" s="167">
        <v>29</v>
      </c>
      <c r="AV23" s="170" t="s">
        <v>1</v>
      </c>
    </row>
    <row r="24" spans="2:56" ht="19.5" customHeight="1" thickBot="1" x14ac:dyDescent="0.35">
      <c r="B24" s="58">
        <v>8</v>
      </c>
      <c r="C24" s="173">
        <v>4117</v>
      </c>
      <c r="D24" s="177" t="s">
        <v>101</v>
      </c>
      <c r="E24" s="71"/>
      <c r="F24" s="59"/>
      <c r="G24" s="60"/>
      <c r="H24" s="211">
        <f>SUM('11CL-FAR-L PORT'!J16)</f>
        <v>5.833333333333333</v>
      </c>
      <c r="I24" s="212"/>
      <c r="J24" s="213"/>
      <c r="K24" s="214">
        <f>SUM('11CL-FAR-MAT'!J16)</f>
        <v>8</v>
      </c>
      <c r="L24" s="215"/>
      <c r="M24" s="213"/>
      <c r="N24" s="211">
        <f>SUM('11CL-FAR-BIOL'!J16)</f>
        <v>9</v>
      </c>
      <c r="O24" s="216"/>
      <c r="P24" s="213"/>
      <c r="Q24" s="214">
        <f>SUM('11CL-FAR-INGLES'!J16)</f>
        <v>11.666666666666666</v>
      </c>
      <c r="R24" s="215"/>
      <c r="S24" s="213"/>
      <c r="T24" s="211">
        <f>SUM('11CL-FAR-PATOL'!J16)</f>
        <v>1.6666666666666667</v>
      </c>
      <c r="U24" s="215"/>
      <c r="V24" s="213"/>
      <c r="W24" s="211">
        <f>SUM('11CL-FAR-MPARASITOL'!J16)</f>
        <v>2.1666666666666665</v>
      </c>
      <c r="X24" s="216"/>
      <c r="Y24" s="213"/>
      <c r="Z24" s="214">
        <f>SUM('11CL-FAR-FARMACOL'!J16)</f>
        <v>9.6666666666666661</v>
      </c>
      <c r="AA24" s="217"/>
      <c r="AB24" s="120"/>
      <c r="AC24" s="218">
        <f>SUM('11CL-FAR-FARMACOG'!J16)</f>
        <v>10</v>
      </c>
      <c r="AD24" s="219"/>
      <c r="AE24" s="213"/>
      <c r="AF24" s="211">
        <f>SUM('11CL-FAR-TPM'!J16)</f>
        <v>9.3333333333333339</v>
      </c>
      <c r="AG24" s="219"/>
      <c r="AH24" s="120"/>
      <c r="AI24" s="211">
        <f>SUM('11CL-FAR-QCA ORG.'!J16)</f>
        <v>5.833333333333333</v>
      </c>
      <c r="AJ24" s="217"/>
      <c r="AK24" s="120"/>
      <c r="AL24" s="218">
        <f>SUM('11CL-FAR-ED. FIS'!J16)</f>
        <v>15</v>
      </c>
      <c r="AM24" s="220"/>
      <c r="AN24" s="120"/>
      <c r="AO24" s="220">
        <f>SUM('11CL-FAR-BOTANICA'!J16)</f>
        <v>7.5</v>
      </c>
      <c r="AP24" s="219"/>
      <c r="AQ24" s="213"/>
      <c r="AR24" s="211">
        <f>SUM('11CL-FAR-AFH'!J16)</f>
        <v>9</v>
      </c>
      <c r="AS24" s="61" t="s">
        <v>3</v>
      </c>
      <c r="AT24" s="75">
        <f t="shared" si="0"/>
        <v>8.0512820512820511</v>
      </c>
      <c r="AU24" s="167">
        <v>21</v>
      </c>
      <c r="AV24" s="170" t="s">
        <v>0</v>
      </c>
    </row>
    <row r="25" spans="2:56" ht="19.5" customHeight="1" thickBot="1" x14ac:dyDescent="0.35">
      <c r="B25" s="58">
        <v>9</v>
      </c>
      <c r="C25" s="173">
        <v>4080</v>
      </c>
      <c r="D25" s="177" t="s">
        <v>102</v>
      </c>
      <c r="E25" s="71"/>
      <c r="F25" s="59"/>
      <c r="G25" s="60"/>
      <c r="H25" s="211">
        <f>SUM('11CL-FAR-L PORT'!J17)</f>
        <v>13.666666666666666</v>
      </c>
      <c r="I25" s="212"/>
      <c r="J25" s="213"/>
      <c r="K25" s="214">
        <f>SUM('11CL-FAR-MAT'!J17)</f>
        <v>17</v>
      </c>
      <c r="L25" s="215"/>
      <c r="M25" s="213"/>
      <c r="N25" s="211">
        <f>SUM('11CL-FAR-BIOL'!J17)</f>
        <v>12.333333333333334</v>
      </c>
      <c r="O25" s="216"/>
      <c r="P25" s="213"/>
      <c r="Q25" s="214">
        <f>SUM('11CL-FAR-INGLES'!J17)</f>
        <v>15.333333333333334</v>
      </c>
      <c r="R25" s="215"/>
      <c r="S25" s="213"/>
      <c r="T25" s="211">
        <f>SUM('11CL-FAR-PATOL'!J17)</f>
        <v>11.666666666666666</v>
      </c>
      <c r="U25" s="215"/>
      <c r="V25" s="213"/>
      <c r="W25" s="211">
        <f>SUM('11CL-FAR-MPARASITOL'!J17)</f>
        <v>10.666666666666666</v>
      </c>
      <c r="X25" s="216"/>
      <c r="Y25" s="213"/>
      <c r="Z25" s="214">
        <f>SUM('11CL-FAR-FARMACOL'!J17)</f>
        <v>11.5</v>
      </c>
      <c r="AA25" s="217"/>
      <c r="AB25" s="120"/>
      <c r="AC25" s="218">
        <f>SUM('11CL-FAR-FARMACOG'!J17)</f>
        <v>10.333333333333334</v>
      </c>
      <c r="AD25" s="219"/>
      <c r="AE25" s="213"/>
      <c r="AF25" s="211">
        <f>SUM('11CL-FAR-TPM'!J17)</f>
        <v>9</v>
      </c>
      <c r="AG25" s="219"/>
      <c r="AH25" s="120"/>
      <c r="AI25" s="211">
        <f>SUM('11CL-FAR-QCA ORG.'!J17)</f>
        <v>13.666666666666666</v>
      </c>
      <c r="AJ25" s="217"/>
      <c r="AK25" s="120"/>
      <c r="AL25" s="218">
        <f>SUM('11CL-FAR-ED. FIS'!J17)</f>
        <v>14</v>
      </c>
      <c r="AM25" s="220"/>
      <c r="AN25" s="120"/>
      <c r="AO25" s="220">
        <f>SUM('11CL-FAR-BOTANICA'!J17)</f>
        <v>13.833333333333334</v>
      </c>
      <c r="AP25" s="219"/>
      <c r="AQ25" s="213"/>
      <c r="AR25" s="211">
        <f>SUM('11CL-FAR-AFH'!J17)</f>
        <v>10.166666666666666</v>
      </c>
      <c r="AS25" s="61" t="s">
        <v>3</v>
      </c>
      <c r="AT25" s="75">
        <f t="shared" si="0"/>
        <v>12.551282051282053</v>
      </c>
      <c r="AU25" s="167">
        <v>19</v>
      </c>
      <c r="AV25" s="170" t="s">
        <v>1</v>
      </c>
    </row>
    <row r="26" spans="2:56" ht="19.5" customHeight="1" thickBot="1" x14ac:dyDescent="0.35">
      <c r="B26" s="58">
        <v>10</v>
      </c>
      <c r="C26" s="173">
        <v>3986</v>
      </c>
      <c r="D26" s="177" t="s">
        <v>103</v>
      </c>
      <c r="E26" s="71"/>
      <c r="F26" s="59"/>
      <c r="G26" s="60"/>
      <c r="H26" s="211">
        <f>SUM('11CL-FAR-L PORT'!J18)</f>
        <v>10.5</v>
      </c>
      <c r="I26" s="212"/>
      <c r="J26" s="213"/>
      <c r="K26" s="214">
        <f>SUM('11CL-FAR-MAT'!J18)</f>
        <v>8.6666666666666661</v>
      </c>
      <c r="L26" s="215"/>
      <c r="M26" s="213"/>
      <c r="N26" s="211">
        <f>SUM('11CL-FAR-BIOL'!J18)</f>
        <v>10.333333333333334</v>
      </c>
      <c r="O26" s="216"/>
      <c r="P26" s="213"/>
      <c r="Q26" s="214">
        <f>SUM('11CL-FAR-INGLES'!J18)</f>
        <v>4.666666666666667</v>
      </c>
      <c r="R26" s="215"/>
      <c r="S26" s="213"/>
      <c r="T26" s="211">
        <f>SUM('11CL-FAR-PATOL'!J18)</f>
        <v>4.666666666666667</v>
      </c>
      <c r="U26" s="215"/>
      <c r="V26" s="213"/>
      <c r="W26" s="211">
        <f>SUM('11CL-FAR-MPARASITOL'!J18)</f>
        <v>2.5</v>
      </c>
      <c r="X26" s="216"/>
      <c r="Y26" s="213"/>
      <c r="Z26" s="214">
        <f>SUM('11CL-FAR-FARMACOL'!J18)</f>
        <v>9.6666666666666661</v>
      </c>
      <c r="AA26" s="217"/>
      <c r="AB26" s="120"/>
      <c r="AC26" s="218">
        <f>SUM('11CL-FAR-FARMACOG'!J18)</f>
        <v>9.3333333333333339</v>
      </c>
      <c r="AD26" s="219"/>
      <c r="AE26" s="213"/>
      <c r="AF26" s="211">
        <f>SUM('11CL-FAR-TPM'!J18)</f>
        <v>8</v>
      </c>
      <c r="AG26" s="219"/>
      <c r="AH26" s="120"/>
      <c r="AI26" s="211">
        <f>SUM('11CL-FAR-QCA ORG.'!J18)</f>
        <v>10.5</v>
      </c>
      <c r="AJ26" s="217"/>
      <c r="AK26" s="120"/>
      <c r="AL26" s="218">
        <f>SUM('11CL-FAR-ED. FIS'!J18)</f>
        <v>10</v>
      </c>
      <c r="AM26" s="220"/>
      <c r="AN26" s="120"/>
      <c r="AO26" s="220">
        <f>SUM('11CL-FAR-BOTANICA'!J18)</f>
        <v>2</v>
      </c>
      <c r="AP26" s="219"/>
      <c r="AQ26" s="213"/>
      <c r="AR26" s="211">
        <f>SUM('11CL-FAR-AFH'!J18)</f>
        <v>7.5</v>
      </c>
      <c r="AS26" s="61" t="s">
        <v>3</v>
      </c>
      <c r="AT26" s="75">
        <f t="shared" si="0"/>
        <v>7.5641025641025639</v>
      </c>
      <c r="AU26" s="167">
        <v>19</v>
      </c>
      <c r="AV26" s="170" t="s">
        <v>1</v>
      </c>
    </row>
    <row r="27" spans="2:56" ht="19.5" customHeight="1" thickBot="1" x14ac:dyDescent="0.35">
      <c r="B27" s="58">
        <v>11</v>
      </c>
      <c r="C27" s="173">
        <v>4094</v>
      </c>
      <c r="D27" s="177" t="s">
        <v>104</v>
      </c>
      <c r="E27" s="71"/>
      <c r="F27" s="59"/>
      <c r="G27" s="60"/>
      <c r="H27" s="211">
        <f>SUM('11CL-FAR-L PORT'!J19)</f>
        <v>6.666666666666667</v>
      </c>
      <c r="I27" s="212"/>
      <c r="J27" s="213"/>
      <c r="K27" s="214">
        <f>SUM('11CL-FAR-MAT'!J19)</f>
        <v>7.666666666666667</v>
      </c>
      <c r="L27" s="215"/>
      <c r="M27" s="213"/>
      <c r="N27" s="211">
        <f>SUM('11CL-FAR-BIOL'!J19)</f>
        <v>11</v>
      </c>
      <c r="O27" s="216"/>
      <c r="P27" s="213"/>
      <c r="Q27" s="214">
        <f>SUM('11CL-FAR-INGLES'!J19)</f>
        <v>10.333333333333334</v>
      </c>
      <c r="R27" s="215"/>
      <c r="S27" s="213"/>
      <c r="T27" s="211">
        <f>SUM('11CL-FAR-PATOL'!J19)</f>
        <v>3.8333333333333335</v>
      </c>
      <c r="U27" s="215"/>
      <c r="V27" s="213"/>
      <c r="W27" s="211">
        <f>SUM('11CL-FAR-MPARASITOL'!J19)</f>
        <v>4.5</v>
      </c>
      <c r="X27" s="216"/>
      <c r="Y27" s="213"/>
      <c r="Z27" s="214">
        <f>SUM('11CL-FAR-FARMACOL'!J19)</f>
        <v>11.166666666666666</v>
      </c>
      <c r="AA27" s="217"/>
      <c r="AB27" s="120"/>
      <c r="AC27" s="218">
        <f>SUM('11CL-FAR-FARMACOG'!J19)</f>
        <v>10</v>
      </c>
      <c r="AD27" s="219"/>
      <c r="AE27" s="213"/>
      <c r="AF27" s="211">
        <f>SUM('11CL-FAR-TPM'!J19)</f>
        <v>0</v>
      </c>
      <c r="AG27" s="219"/>
      <c r="AH27" s="120"/>
      <c r="AI27" s="211">
        <f>SUM('11CL-FAR-QCA ORG.'!J19)</f>
        <v>6.666666666666667</v>
      </c>
      <c r="AJ27" s="217"/>
      <c r="AK27" s="120"/>
      <c r="AL27" s="218">
        <f>SUM('11CL-FAR-ED. FIS'!J19)</f>
        <v>10</v>
      </c>
      <c r="AM27" s="220"/>
      <c r="AN27" s="120"/>
      <c r="AO27" s="220">
        <f>SUM('11CL-FAR-BOTANICA'!J19)</f>
        <v>4.666666666666667</v>
      </c>
      <c r="AP27" s="219"/>
      <c r="AQ27" s="213"/>
      <c r="AR27" s="211">
        <f>SUM('11CL-FAR-AFH'!J19)</f>
        <v>11.5</v>
      </c>
      <c r="AS27" s="61" t="s">
        <v>3</v>
      </c>
      <c r="AT27" s="75">
        <f t="shared" si="0"/>
        <v>7.5384615384615392</v>
      </c>
      <c r="AU27" s="167">
        <v>19</v>
      </c>
      <c r="AV27" s="170" t="s">
        <v>1</v>
      </c>
    </row>
    <row r="28" spans="2:56" ht="19.5" customHeight="1" thickBot="1" x14ac:dyDescent="0.35">
      <c r="B28" s="58">
        <v>12</v>
      </c>
      <c r="C28" s="173">
        <v>4175</v>
      </c>
      <c r="D28" s="177" t="s">
        <v>105</v>
      </c>
      <c r="E28" s="71"/>
      <c r="F28" s="59"/>
      <c r="G28" s="60"/>
      <c r="H28" s="211">
        <f>SUM('11CL-FAR-L PORT'!J20)</f>
        <v>13</v>
      </c>
      <c r="I28" s="212"/>
      <c r="J28" s="213"/>
      <c r="K28" s="214">
        <f>SUM('11CL-FAR-MAT'!J20)</f>
        <v>14.833333333333334</v>
      </c>
      <c r="L28" s="215"/>
      <c r="M28" s="213"/>
      <c r="N28" s="211">
        <f>SUM('11CL-FAR-BIOL'!J20)</f>
        <v>9.6666666666666661</v>
      </c>
      <c r="O28" s="216"/>
      <c r="P28" s="213"/>
      <c r="Q28" s="214">
        <f>SUM('11CL-FAR-INGLES'!J20)</f>
        <v>13</v>
      </c>
      <c r="R28" s="215"/>
      <c r="S28" s="213"/>
      <c r="T28" s="211">
        <f>SUM('11CL-FAR-PATOL'!J20)</f>
        <v>14.5</v>
      </c>
      <c r="U28" s="215"/>
      <c r="V28" s="213"/>
      <c r="W28" s="211">
        <f>SUM('11CL-FAR-MPARASITOL'!J20)</f>
        <v>10.333333333333334</v>
      </c>
      <c r="X28" s="216"/>
      <c r="Y28" s="213"/>
      <c r="Z28" s="214">
        <f>SUM('11CL-FAR-FARMACOL'!J20)</f>
        <v>13</v>
      </c>
      <c r="AA28" s="217"/>
      <c r="AB28" s="120"/>
      <c r="AC28" s="218">
        <f>SUM('11CL-FAR-FARMACOG'!J20)</f>
        <v>12.5</v>
      </c>
      <c r="AD28" s="219"/>
      <c r="AE28" s="213"/>
      <c r="AF28" s="211">
        <f>SUM('11CL-FAR-TPM'!J20)</f>
        <v>8.6666666666666661</v>
      </c>
      <c r="AG28" s="219"/>
      <c r="AH28" s="120"/>
      <c r="AI28" s="211">
        <f>SUM('11CL-FAR-QCA ORG.'!J20)</f>
        <v>13</v>
      </c>
      <c r="AJ28" s="217"/>
      <c r="AK28" s="120"/>
      <c r="AL28" s="218">
        <f>SUM('11CL-FAR-ED. FIS'!J20)</f>
        <v>11</v>
      </c>
      <c r="AM28" s="220"/>
      <c r="AN28" s="120"/>
      <c r="AO28" s="220">
        <f>SUM('11CL-FAR-BOTANICA'!J20)</f>
        <v>10.666666666666666</v>
      </c>
      <c r="AP28" s="219"/>
      <c r="AQ28" s="213"/>
      <c r="AR28" s="211">
        <f>SUM('11CL-FAR-AFH'!J20)</f>
        <v>10.833333333333334</v>
      </c>
      <c r="AS28" s="61" t="s">
        <v>3</v>
      </c>
      <c r="AT28" s="75">
        <f t="shared" ref="AT28:AT29" si="1">AVERAGE(H28:AR28)</f>
        <v>11.923076923076923</v>
      </c>
      <c r="AU28" s="167">
        <v>22</v>
      </c>
      <c r="AV28" s="170" t="s">
        <v>1</v>
      </c>
    </row>
    <row r="29" spans="2:56" ht="19.5" customHeight="1" thickBot="1" x14ac:dyDescent="0.35">
      <c r="B29" s="58">
        <v>13</v>
      </c>
      <c r="C29" s="173">
        <v>2532</v>
      </c>
      <c r="D29" s="177" t="s">
        <v>106</v>
      </c>
      <c r="E29" s="71"/>
      <c r="F29" s="59"/>
      <c r="G29" s="60"/>
      <c r="H29" s="211">
        <f>SUM('11CL-FAR-L PORT'!J21)</f>
        <v>11.5</v>
      </c>
      <c r="I29" s="212"/>
      <c r="J29" s="213"/>
      <c r="K29" s="214">
        <f>SUM('11CL-FAR-MAT'!J21)</f>
        <v>14.666666666666666</v>
      </c>
      <c r="L29" s="215"/>
      <c r="M29" s="213"/>
      <c r="N29" s="211">
        <f>SUM('11CL-FAR-BIOL'!J21)</f>
        <v>10.333333333333334</v>
      </c>
      <c r="O29" s="216"/>
      <c r="P29" s="213"/>
      <c r="Q29" s="214">
        <f>SUM('11CL-FAR-INGLES'!J21)</f>
        <v>15.333333333333334</v>
      </c>
      <c r="R29" s="215"/>
      <c r="S29" s="213"/>
      <c r="T29" s="211">
        <f>SUM('11CL-FAR-PATOL'!J21)</f>
        <v>14.166666666666666</v>
      </c>
      <c r="U29" s="215"/>
      <c r="V29" s="213"/>
      <c r="W29" s="211">
        <f>SUM('11CL-FAR-MPARASITOL'!J21)</f>
        <v>12.333333333333334</v>
      </c>
      <c r="X29" s="216"/>
      <c r="Y29" s="213"/>
      <c r="Z29" s="214">
        <f>SUM('11CL-FAR-FARMACOL'!J21)</f>
        <v>13.666666666666666</v>
      </c>
      <c r="AA29" s="217"/>
      <c r="AB29" s="120"/>
      <c r="AC29" s="218">
        <f>SUM('11CL-FAR-FARMACOG'!J21)</f>
        <v>11</v>
      </c>
      <c r="AD29" s="219"/>
      <c r="AE29" s="213"/>
      <c r="AF29" s="211">
        <f>SUM('11CL-FAR-TPM'!J21)</f>
        <v>10</v>
      </c>
      <c r="AG29" s="219"/>
      <c r="AH29" s="120"/>
      <c r="AI29" s="211">
        <f>SUM('11CL-FAR-QCA ORG.'!J21)</f>
        <v>11.5</v>
      </c>
      <c r="AJ29" s="217"/>
      <c r="AK29" s="120"/>
      <c r="AL29" s="218">
        <f>SUM('11CL-FAR-ED. FIS'!J21)</f>
        <v>14</v>
      </c>
      <c r="AM29" s="220"/>
      <c r="AN29" s="120"/>
      <c r="AO29" s="220">
        <f>SUM('11CL-FAR-BOTANICA'!J21)</f>
        <v>13.833333333333334</v>
      </c>
      <c r="AP29" s="219"/>
      <c r="AQ29" s="213"/>
      <c r="AR29" s="211">
        <f>SUM('11CL-FAR-AFH'!J21)</f>
        <v>12</v>
      </c>
      <c r="AS29" s="61" t="s">
        <v>3</v>
      </c>
      <c r="AT29" s="75">
        <f t="shared" si="1"/>
        <v>12.641025641025642</v>
      </c>
      <c r="AU29" s="167">
        <v>19</v>
      </c>
      <c r="AV29" s="170" t="s">
        <v>1</v>
      </c>
    </row>
    <row r="30" spans="2:56" ht="19.5" customHeight="1" thickBot="1" x14ac:dyDescent="0.35">
      <c r="B30" s="58">
        <v>14</v>
      </c>
      <c r="C30" s="173">
        <v>3737</v>
      </c>
      <c r="D30" s="177" t="s">
        <v>107</v>
      </c>
      <c r="E30" s="71"/>
      <c r="F30" s="59"/>
      <c r="G30" s="60"/>
      <c r="H30" s="211">
        <f>SUM('11CL-FAR-L PORT'!J22)</f>
        <v>12.333333333333334</v>
      </c>
      <c r="I30" s="212"/>
      <c r="J30" s="213"/>
      <c r="K30" s="214">
        <f>SUM('11CL-FAR-MAT'!J22)</f>
        <v>8</v>
      </c>
      <c r="L30" s="215"/>
      <c r="M30" s="213"/>
      <c r="N30" s="211">
        <f>SUM('11CL-FAR-BIOL'!J22)</f>
        <v>13.666666666666666</v>
      </c>
      <c r="O30" s="216"/>
      <c r="P30" s="213"/>
      <c r="Q30" s="214">
        <f>SUM('11CL-FAR-INGLES'!J22)</f>
        <v>18.666666666666668</v>
      </c>
      <c r="R30" s="215"/>
      <c r="S30" s="213"/>
      <c r="T30" s="211">
        <f>SUM('11CL-FAR-PATOL'!J22)</f>
        <v>16.333333333333332</v>
      </c>
      <c r="U30" s="215"/>
      <c r="V30" s="213"/>
      <c r="W30" s="211">
        <f>SUM('11CL-FAR-MPARASITOL'!J22)</f>
        <v>8.6666666666666661</v>
      </c>
      <c r="X30" s="216"/>
      <c r="Y30" s="213"/>
      <c r="Z30" s="214">
        <f>SUM('11CL-FAR-FARMACOL'!J22)</f>
        <v>0</v>
      </c>
      <c r="AA30" s="217"/>
      <c r="AB30" s="120"/>
      <c r="AC30" s="218">
        <f>SUM('11CL-FAR-FARMACOG'!J22)</f>
        <v>12</v>
      </c>
      <c r="AD30" s="219"/>
      <c r="AE30" s="213"/>
      <c r="AF30" s="211">
        <f>SUM('11CL-FAR-TPM'!J22)</f>
        <v>14.333333333333334</v>
      </c>
      <c r="AG30" s="219"/>
      <c r="AH30" s="120"/>
      <c r="AI30" s="211">
        <f>SUM('11CL-FAR-QCA ORG.'!J22)</f>
        <v>12.333333333333334</v>
      </c>
      <c r="AJ30" s="217"/>
      <c r="AK30" s="120"/>
      <c r="AL30" s="218">
        <f>SUM('11CL-FAR-ED. FIS'!J22)</f>
        <v>16</v>
      </c>
      <c r="AM30" s="220"/>
      <c r="AN30" s="120"/>
      <c r="AO30" s="220">
        <f>SUM('11CL-FAR-BOTANICA'!J22)</f>
        <v>11.666666666666666</v>
      </c>
      <c r="AP30" s="219"/>
      <c r="AQ30" s="213"/>
      <c r="AR30" s="211">
        <f>SUM('11CL-FAR-AFH'!J22)</f>
        <v>14.333333333333334</v>
      </c>
      <c r="AS30" s="61" t="s">
        <v>3</v>
      </c>
      <c r="AT30" s="75">
        <f t="shared" si="0"/>
        <v>12.179487179487179</v>
      </c>
      <c r="AU30" s="167">
        <v>17</v>
      </c>
      <c r="AV30" s="170" t="s">
        <v>1</v>
      </c>
    </row>
    <row r="31" spans="2:56" ht="19.5" customHeight="1" thickBot="1" x14ac:dyDescent="0.35">
      <c r="B31" s="58">
        <v>15</v>
      </c>
      <c r="C31" s="173">
        <v>4160</v>
      </c>
      <c r="D31" s="177" t="s">
        <v>108</v>
      </c>
      <c r="E31" s="71"/>
      <c r="F31" s="59"/>
      <c r="G31" s="60"/>
      <c r="H31" s="211">
        <f>SUM('11CL-FAR-L PORT'!J23)</f>
        <v>12.333333333333334</v>
      </c>
      <c r="I31" s="212"/>
      <c r="J31" s="213"/>
      <c r="K31" s="214">
        <f>SUM('11CL-FAR-MAT'!J23)</f>
        <v>10</v>
      </c>
      <c r="L31" s="215"/>
      <c r="M31" s="213"/>
      <c r="N31" s="211">
        <f>SUM('11CL-FAR-BIOL'!J23)</f>
        <v>11</v>
      </c>
      <c r="O31" s="216"/>
      <c r="P31" s="213"/>
      <c r="Q31" s="214">
        <f>SUM('11CL-FAR-INGLES'!J23)</f>
        <v>11</v>
      </c>
      <c r="R31" s="215"/>
      <c r="S31" s="213"/>
      <c r="T31" s="211">
        <f>SUM('11CL-FAR-PATOL'!J23)</f>
        <v>4.333333333333333</v>
      </c>
      <c r="U31" s="215"/>
      <c r="V31" s="213"/>
      <c r="W31" s="211">
        <f>SUM('11CL-FAR-MPARASITOL'!J23)</f>
        <v>1.8333333333333333</v>
      </c>
      <c r="X31" s="216"/>
      <c r="Y31" s="213"/>
      <c r="Z31" s="214">
        <f>SUM('11CL-FAR-FARMACOL'!J23)</f>
        <v>12.666666666666666</v>
      </c>
      <c r="AA31" s="217"/>
      <c r="AB31" s="120"/>
      <c r="AC31" s="218">
        <f>SUM('11CL-FAR-FARMACOG'!J23)</f>
        <v>9.8333333333333339</v>
      </c>
      <c r="AD31" s="219"/>
      <c r="AE31" s="213"/>
      <c r="AF31" s="211">
        <f>SUM('11CL-FAR-TPM'!J23)</f>
        <v>11.333333333333334</v>
      </c>
      <c r="AG31" s="219"/>
      <c r="AH31" s="120"/>
      <c r="AI31" s="211">
        <f>SUM('11CL-FAR-QCA ORG.'!J23)</f>
        <v>12.333333333333334</v>
      </c>
      <c r="AJ31" s="217"/>
      <c r="AK31" s="120"/>
      <c r="AL31" s="218">
        <f>SUM('11CL-FAR-ED. FIS'!J23)</f>
        <v>14</v>
      </c>
      <c r="AM31" s="220"/>
      <c r="AN31" s="120"/>
      <c r="AO31" s="220">
        <f>SUM('11CL-FAR-BOTANICA'!J23)</f>
        <v>8.3666666666666671</v>
      </c>
      <c r="AP31" s="219"/>
      <c r="AQ31" s="213"/>
      <c r="AR31" s="211">
        <f>SUM('11CL-FAR-AFH'!J23)</f>
        <v>7.333333333333333</v>
      </c>
      <c r="AS31" s="61" t="s">
        <v>3</v>
      </c>
      <c r="AT31" s="75">
        <f t="shared" si="0"/>
        <v>9.7205128205128197</v>
      </c>
      <c r="AU31" s="167">
        <v>16</v>
      </c>
      <c r="AV31" s="170" t="s">
        <v>1</v>
      </c>
    </row>
    <row r="32" spans="2:56" ht="19.5" customHeight="1" thickBot="1" x14ac:dyDescent="0.35">
      <c r="B32" s="58">
        <v>16</v>
      </c>
      <c r="C32" s="173">
        <v>4151</v>
      </c>
      <c r="D32" s="177" t="s">
        <v>109</v>
      </c>
      <c r="E32" s="71"/>
      <c r="F32" s="59"/>
      <c r="G32" s="60"/>
      <c r="H32" s="211">
        <f>SUM('11CL-FAR-L PORT'!J24)</f>
        <v>13.5</v>
      </c>
      <c r="I32" s="212"/>
      <c r="J32" s="213"/>
      <c r="K32" s="214">
        <f>SUM('11CL-FAR-MAT'!J24)</f>
        <v>10.5</v>
      </c>
      <c r="L32" s="215"/>
      <c r="M32" s="213"/>
      <c r="N32" s="211">
        <f>SUM('11CL-FAR-BIOL'!J24)</f>
        <v>9.3333333333333339</v>
      </c>
      <c r="O32" s="216"/>
      <c r="P32" s="213"/>
      <c r="Q32" s="214">
        <f>SUM('11CL-FAR-INGLES'!J24)</f>
        <v>13</v>
      </c>
      <c r="R32" s="215"/>
      <c r="S32" s="213"/>
      <c r="T32" s="211">
        <f>SUM('11CL-FAR-PATOL'!J24)</f>
        <v>6.333333333333333</v>
      </c>
      <c r="U32" s="215"/>
      <c r="V32" s="213"/>
      <c r="W32" s="211">
        <f>SUM('11CL-FAR-MPARASITOL'!J24)</f>
        <v>5.666666666666667</v>
      </c>
      <c r="X32" s="216"/>
      <c r="Y32" s="213"/>
      <c r="Z32" s="214">
        <f>SUM('11CL-FAR-FARMACOL'!J24)</f>
        <v>13</v>
      </c>
      <c r="AA32" s="217"/>
      <c r="AB32" s="120"/>
      <c r="AC32" s="218">
        <f>SUM('11CL-FAR-FARMACOG'!J24)</f>
        <v>12.4</v>
      </c>
      <c r="AD32" s="219"/>
      <c r="AE32" s="213"/>
      <c r="AF32" s="211">
        <f>SUM('11CL-FAR-TPM'!J24)</f>
        <v>7.666666666666667</v>
      </c>
      <c r="AG32" s="219"/>
      <c r="AH32" s="120"/>
      <c r="AI32" s="211">
        <f>SUM('11CL-FAR-QCA ORG.'!J24)</f>
        <v>13.5</v>
      </c>
      <c r="AJ32" s="217"/>
      <c r="AK32" s="120"/>
      <c r="AL32" s="218">
        <f>SUM('11CL-FAR-ED. FIS'!J24)</f>
        <v>14</v>
      </c>
      <c r="AM32" s="220"/>
      <c r="AN32" s="120"/>
      <c r="AO32" s="220">
        <f>SUM('11CL-FAR-BOTANICA'!J24)</f>
        <v>8.6333333333333329</v>
      </c>
      <c r="AP32" s="219"/>
      <c r="AQ32" s="213"/>
      <c r="AR32" s="211">
        <f>SUM('11CL-FAR-AFH'!J24)</f>
        <v>12.666666666666666</v>
      </c>
      <c r="AS32" s="61" t="s">
        <v>3</v>
      </c>
      <c r="AT32" s="75">
        <f t="shared" si="0"/>
        <v>10.784615384615385</v>
      </c>
      <c r="AU32" s="167">
        <v>19</v>
      </c>
      <c r="AV32" s="170" t="s">
        <v>1</v>
      </c>
    </row>
    <row r="33" spans="2:48" ht="19.5" customHeight="1" thickBot="1" x14ac:dyDescent="0.35">
      <c r="B33" s="58">
        <v>17</v>
      </c>
      <c r="C33" s="173">
        <v>4133</v>
      </c>
      <c r="D33" s="177" t="s">
        <v>110</v>
      </c>
      <c r="E33" s="71"/>
      <c r="F33" s="59"/>
      <c r="G33" s="60"/>
      <c r="H33" s="211">
        <f>SUM('11CL-FAR-L PORT'!J25)</f>
        <v>11.666666666666666</v>
      </c>
      <c r="I33" s="212"/>
      <c r="J33" s="213"/>
      <c r="K33" s="214">
        <f>SUM('11CL-FAR-MAT'!J25)</f>
        <v>5.166666666666667</v>
      </c>
      <c r="L33" s="215"/>
      <c r="M33" s="213"/>
      <c r="N33" s="211">
        <f>SUM('11CL-FAR-BIOL'!J25)</f>
        <v>9</v>
      </c>
      <c r="O33" s="216"/>
      <c r="P33" s="213"/>
      <c r="Q33" s="214">
        <f>SUM('11CL-FAR-INGLES'!J25)</f>
        <v>12.666666666666666</v>
      </c>
      <c r="R33" s="215"/>
      <c r="S33" s="213"/>
      <c r="T33" s="211">
        <f>SUM('11CL-FAR-PATOL'!J25)</f>
        <v>5.5</v>
      </c>
      <c r="U33" s="215"/>
      <c r="V33" s="213"/>
      <c r="W33" s="211">
        <f>SUM('11CL-FAR-MPARASITOL'!J25)</f>
        <v>2.1666666666666665</v>
      </c>
      <c r="X33" s="216"/>
      <c r="Y33" s="213"/>
      <c r="Z33" s="214">
        <f>SUM('11CL-FAR-FARMACOL'!J25)</f>
        <v>13</v>
      </c>
      <c r="AA33" s="217"/>
      <c r="AB33" s="120"/>
      <c r="AC33" s="218">
        <f>SUM('11CL-FAR-FARMACOG'!J25)</f>
        <v>8.3333333333333339</v>
      </c>
      <c r="AD33" s="219"/>
      <c r="AE33" s="213"/>
      <c r="AF33" s="211">
        <f>SUM('11CL-FAR-TPM'!J25)</f>
        <v>12.666666666666666</v>
      </c>
      <c r="AG33" s="219"/>
      <c r="AH33" s="120"/>
      <c r="AI33" s="211">
        <f>SUM('11CL-FAR-QCA ORG.'!J25)</f>
        <v>11.666666666666666</v>
      </c>
      <c r="AJ33" s="217"/>
      <c r="AK33" s="120"/>
      <c r="AL33" s="218">
        <f>SUM('11CL-FAR-ED. FIS'!J25)</f>
        <v>13</v>
      </c>
      <c r="AM33" s="220"/>
      <c r="AN33" s="120"/>
      <c r="AO33" s="220">
        <f>SUM('11CL-FAR-BOTANICA'!J25)</f>
        <v>5.666666666666667</v>
      </c>
      <c r="AP33" s="219"/>
      <c r="AQ33" s="213"/>
      <c r="AR33" s="211">
        <f>SUM('11CL-FAR-AFH'!J25)</f>
        <v>8</v>
      </c>
      <c r="AS33" s="61" t="s">
        <v>3</v>
      </c>
      <c r="AT33" s="75">
        <f t="shared" si="0"/>
        <v>9.1153846153846168</v>
      </c>
      <c r="AU33" s="167">
        <v>18</v>
      </c>
      <c r="AV33" s="170" t="s">
        <v>1</v>
      </c>
    </row>
    <row r="34" spans="2:48" ht="19.5" customHeight="1" thickBot="1" x14ac:dyDescent="0.35">
      <c r="B34" s="58">
        <v>18</v>
      </c>
      <c r="C34" s="173">
        <v>2291</v>
      </c>
      <c r="D34" s="177" t="s">
        <v>111</v>
      </c>
      <c r="E34" s="71"/>
      <c r="F34" s="59"/>
      <c r="G34" s="60"/>
      <c r="H34" s="211">
        <f>SUM('11CL-FAR-L PORT'!J26)</f>
        <v>15.166666666666666</v>
      </c>
      <c r="I34" s="212"/>
      <c r="J34" s="213"/>
      <c r="K34" s="214">
        <f>SUM('11CL-FAR-MAT'!J26)</f>
        <v>11.666666666666666</v>
      </c>
      <c r="L34" s="215"/>
      <c r="M34" s="213"/>
      <c r="N34" s="211">
        <f>SUM('11CL-FAR-BIOL'!J26)</f>
        <v>12</v>
      </c>
      <c r="O34" s="216"/>
      <c r="P34" s="213"/>
      <c r="Q34" s="214">
        <f>SUM('11CL-FAR-INGLES'!J26)</f>
        <v>15.333333333333334</v>
      </c>
      <c r="R34" s="215"/>
      <c r="S34" s="213"/>
      <c r="T34" s="211">
        <f>SUM('11CL-FAR-PATOL'!J26)</f>
        <v>5.833333333333333</v>
      </c>
      <c r="U34" s="215"/>
      <c r="V34" s="213"/>
      <c r="W34" s="211">
        <f>SUM('11CL-FAR-MPARASITOL'!J26)</f>
        <v>2.5</v>
      </c>
      <c r="X34" s="216"/>
      <c r="Y34" s="213"/>
      <c r="Z34" s="214">
        <f>SUM('11CL-FAR-FARMACOL'!J26)</f>
        <v>12.666666666666666</v>
      </c>
      <c r="AA34" s="217"/>
      <c r="AB34" s="120"/>
      <c r="AC34" s="218">
        <f>SUM('11CL-FAR-FARMACOG'!J26)</f>
        <v>10.666666666666666</v>
      </c>
      <c r="AD34" s="219"/>
      <c r="AE34" s="213"/>
      <c r="AF34" s="211">
        <f>SUM('11CL-FAR-TPM'!J26)</f>
        <v>9.6666666666666661</v>
      </c>
      <c r="AG34" s="219"/>
      <c r="AH34" s="120"/>
      <c r="AI34" s="211">
        <f>SUM('11CL-FAR-QCA ORG.'!J26)</f>
        <v>15.166666666666666</v>
      </c>
      <c r="AJ34" s="217"/>
      <c r="AK34" s="120"/>
      <c r="AL34" s="218">
        <f>SUM('11CL-FAR-ED. FIS'!J26)</f>
        <v>16</v>
      </c>
      <c r="AM34" s="220"/>
      <c r="AN34" s="120"/>
      <c r="AO34" s="220">
        <f>SUM('11CL-FAR-BOTANICA'!J26)</f>
        <v>6.833333333333333</v>
      </c>
      <c r="AP34" s="219"/>
      <c r="AQ34" s="213"/>
      <c r="AR34" s="211">
        <f>SUM('11CL-FAR-AFH'!J26)</f>
        <v>11.166666666666666</v>
      </c>
      <c r="AS34" s="61" t="s">
        <v>3</v>
      </c>
      <c r="AT34" s="75">
        <f t="shared" si="0"/>
        <v>11.12820512820513</v>
      </c>
      <c r="AU34" s="167">
        <v>16</v>
      </c>
      <c r="AV34" s="170" t="s">
        <v>1</v>
      </c>
    </row>
    <row r="35" spans="2:48" ht="19.5" customHeight="1" thickBot="1" x14ac:dyDescent="0.35">
      <c r="B35" s="58">
        <v>19</v>
      </c>
      <c r="C35" s="173">
        <v>3872</v>
      </c>
      <c r="D35" s="177" t="s">
        <v>112</v>
      </c>
      <c r="E35" s="71"/>
      <c r="F35" s="59"/>
      <c r="G35" s="60"/>
      <c r="H35" s="211">
        <f>SUM('11CL-FAR-L PORT'!J27)</f>
        <v>11.666666666666666</v>
      </c>
      <c r="I35" s="212"/>
      <c r="J35" s="213"/>
      <c r="K35" s="214">
        <f>SUM('11CL-FAR-MAT'!J27)</f>
        <v>12</v>
      </c>
      <c r="L35" s="215"/>
      <c r="M35" s="213"/>
      <c r="N35" s="211">
        <f>SUM('11CL-FAR-BIOL'!J27)</f>
        <v>10.333333333333334</v>
      </c>
      <c r="O35" s="216"/>
      <c r="P35" s="213"/>
      <c r="Q35" s="214">
        <f>SUM('11CL-FAR-INGLES'!J27)</f>
        <v>10.333333333333334</v>
      </c>
      <c r="R35" s="215"/>
      <c r="S35" s="213"/>
      <c r="T35" s="211">
        <f>SUM('11CL-FAR-PATOL'!J27)</f>
        <v>11</v>
      </c>
      <c r="U35" s="215"/>
      <c r="V35" s="213"/>
      <c r="W35" s="211">
        <f>SUM('11CL-FAR-MPARASITOL'!J27)</f>
        <v>8.8333333333333339</v>
      </c>
      <c r="X35" s="216"/>
      <c r="Y35" s="213"/>
      <c r="Z35" s="214">
        <f>SUM('11CL-FAR-FARMACOL'!J27)</f>
        <v>11.666666666666666</v>
      </c>
      <c r="AA35" s="217"/>
      <c r="AB35" s="120"/>
      <c r="AC35" s="218">
        <f>SUM('11CL-FAR-FARMACOG'!J27)</f>
        <v>11.666666666666666</v>
      </c>
      <c r="AD35" s="219"/>
      <c r="AE35" s="213"/>
      <c r="AF35" s="211">
        <f>SUM('11CL-FAR-TPM'!J27)</f>
        <v>12</v>
      </c>
      <c r="AG35" s="219"/>
      <c r="AH35" s="120"/>
      <c r="AI35" s="211">
        <f>SUM('11CL-FAR-QCA ORG.'!J27)</f>
        <v>11.666666666666666</v>
      </c>
      <c r="AJ35" s="217"/>
      <c r="AK35" s="120"/>
      <c r="AL35" s="218">
        <f>SUM('11CL-FAR-ED. FIS'!J27)</f>
        <v>3.3333333333333335</v>
      </c>
      <c r="AM35" s="220"/>
      <c r="AN35" s="120"/>
      <c r="AO35" s="220">
        <f>SUM('11CL-FAR-BOTANICA'!J27)</f>
        <v>13.833333333333334</v>
      </c>
      <c r="AP35" s="219"/>
      <c r="AQ35" s="213"/>
      <c r="AR35" s="211">
        <f>SUM('11CL-FAR-AFH'!J27)</f>
        <v>10.5</v>
      </c>
      <c r="AS35" s="61" t="s">
        <v>3</v>
      </c>
      <c r="AT35" s="75">
        <f t="shared" si="0"/>
        <v>10.679487179487181</v>
      </c>
      <c r="AU35" s="167">
        <v>21</v>
      </c>
      <c r="AV35" s="170" t="s">
        <v>0</v>
      </c>
    </row>
    <row r="36" spans="2:48" ht="19.5" customHeight="1" thickBot="1" x14ac:dyDescent="0.35">
      <c r="B36" s="58">
        <v>20</v>
      </c>
      <c r="C36" s="173">
        <v>4068</v>
      </c>
      <c r="D36" s="177" t="s">
        <v>113</v>
      </c>
      <c r="E36" s="71"/>
      <c r="F36" s="59"/>
      <c r="G36" s="60"/>
      <c r="H36" s="211">
        <f>SUM('11CL-FAR-L PORT'!J28)</f>
        <v>10.583333333333334</v>
      </c>
      <c r="I36" s="212"/>
      <c r="J36" s="213"/>
      <c r="K36" s="214">
        <f>SUM('11CL-FAR-MAT'!J28)</f>
        <v>10.333333333333334</v>
      </c>
      <c r="L36" s="215"/>
      <c r="M36" s="213"/>
      <c r="N36" s="211">
        <f>SUM('11CL-FAR-BIOL'!J28)</f>
        <v>7.666666666666667</v>
      </c>
      <c r="O36" s="216"/>
      <c r="P36" s="213"/>
      <c r="Q36" s="214">
        <f>SUM('11CL-FAR-INGLES'!J28)</f>
        <v>12</v>
      </c>
      <c r="R36" s="215"/>
      <c r="S36" s="213"/>
      <c r="T36" s="211">
        <f>SUM('11CL-FAR-PATOL'!J28)</f>
        <v>1.6666666666666667</v>
      </c>
      <c r="U36" s="215"/>
      <c r="V36" s="213"/>
      <c r="W36" s="211">
        <f>SUM('11CL-FAR-MPARASITOL'!J28)</f>
        <v>3.3333333333333335</v>
      </c>
      <c r="X36" s="216"/>
      <c r="Y36" s="213"/>
      <c r="Z36" s="214">
        <f>SUM('11CL-FAR-FARMACOL'!J28)</f>
        <v>12.333333333333334</v>
      </c>
      <c r="AA36" s="217"/>
      <c r="AB36" s="120"/>
      <c r="AC36" s="218">
        <f>SUM('11CL-FAR-FARMACOG'!J28)</f>
        <v>10.166666666666666</v>
      </c>
      <c r="AD36" s="219"/>
      <c r="AE36" s="213"/>
      <c r="AF36" s="211">
        <f>SUM('11CL-FAR-TPM'!J28)</f>
        <v>0</v>
      </c>
      <c r="AG36" s="219"/>
      <c r="AH36" s="120"/>
      <c r="AI36" s="211">
        <f>SUM('11CL-FAR-QCA ORG.'!J28)</f>
        <v>10.583333333333334</v>
      </c>
      <c r="AJ36" s="217"/>
      <c r="AK36" s="120"/>
      <c r="AL36" s="218">
        <f>SUM('11CL-FAR-ED. FIS'!J28)</f>
        <v>0</v>
      </c>
      <c r="AM36" s="220"/>
      <c r="AN36" s="120"/>
      <c r="AO36" s="220">
        <f>SUM('11CL-FAR-BOTANICA'!J28)</f>
        <v>7.166666666666667</v>
      </c>
      <c r="AP36" s="219"/>
      <c r="AQ36" s="213"/>
      <c r="AR36" s="211">
        <f>SUM('11CL-FAR-AFH'!J28)</f>
        <v>5.666666666666667</v>
      </c>
      <c r="AS36" s="61" t="s">
        <v>3</v>
      </c>
      <c r="AT36" s="75">
        <f t="shared" si="0"/>
        <v>7.0384615384615392</v>
      </c>
      <c r="AU36" s="167">
        <v>17</v>
      </c>
      <c r="AV36" s="170" t="s">
        <v>1</v>
      </c>
    </row>
    <row r="37" spans="2:48" ht="19.5" customHeight="1" thickBot="1" x14ac:dyDescent="0.35">
      <c r="B37" s="58">
        <v>21</v>
      </c>
      <c r="C37" s="173">
        <v>4037</v>
      </c>
      <c r="D37" s="177" t="s">
        <v>114</v>
      </c>
      <c r="E37" s="71"/>
      <c r="F37" s="59"/>
      <c r="G37" s="60"/>
      <c r="H37" s="211">
        <f>SUM('11CL-FAR-L PORT'!J29)</f>
        <v>11.333333333333334</v>
      </c>
      <c r="I37" s="212"/>
      <c r="J37" s="213"/>
      <c r="K37" s="214">
        <f>SUM('11CL-FAR-MAT'!J29)</f>
        <v>15</v>
      </c>
      <c r="L37" s="215"/>
      <c r="M37" s="213"/>
      <c r="N37" s="211">
        <f>SUM('11CL-FAR-BIOL'!J29)</f>
        <v>10.333333333333334</v>
      </c>
      <c r="O37" s="216"/>
      <c r="P37" s="213"/>
      <c r="Q37" s="214">
        <f>SUM('11CL-FAR-INGLES'!J29)</f>
        <v>13</v>
      </c>
      <c r="R37" s="215"/>
      <c r="S37" s="213"/>
      <c r="T37" s="211">
        <f>SUM('11CL-FAR-PATOL'!J29)</f>
        <v>7.166666666666667</v>
      </c>
      <c r="U37" s="215"/>
      <c r="V37" s="213"/>
      <c r="W37" s="211">
        <f>SUM('11CL-FAR-MPARASITOL'!J29)</f>
        <v>2.6666666666666665</v>
      </c>
      <c r="X37" s="216"/>
      <c r="Y37" s="213"/>
      <c r="Z37" s="214">
        <f>SUM('11CL-FAR-FARMACOL'!J29)</f>
        <v>0</v>
      </c>
      <c r="AA37" s="217"/>
      <c r="AB37" s="120"/>
      <c r="AC37" s="218">
        <f>SUM('11CL-FAR-FARMACOG'!J29)</f>
        <v>10.833333333333334</v>
      </c>
      <c r="AD37" s="219"/>
      <c r="AE37" s="213"/>
      <c r="AF37" s="211">
        <f>SUM('11CL-FAR-TPM'!J29)</f>
        <v>10.333333333333334</v>
      </c>
      <c r="AG37" s="219"/>
      <c r="AH37" s="120"/>
      <c r="AI37" s="211">
        <f>SUM('11CL-FAR-QCA ORG.'!J29)</f>
        <v>11.333333333333334</v>
      </c>
      <c r="AJ37" s="217"/>
      <c r="AK37" s="120"/>
      <c r="AL37" s="218">
        <f>SUM('11CL-FAR-ED. FIS'!J29)</f>
        <v>12</v>
      </c>
      <c r="AM37" s="220"/>
      <c r="AN37" s="120"/>
      <c r="AO37" s="220">
        <f>SUM('11CL-FAR-BOTANICA'!J29)</f>
        <v>3.25</v>
      </c>
      <c r="AP37" s="219"/>
      <c r="AQ37" s="213"/>
      <c r="AR37" s="211">
        <f>SUM('11CL-FAR-AFH'!J29)</f>
        <v>10</v>
      </c>
      <c r="AS37" s="61" t="s">
        <v>3</v>
      </c>
      <c r="AT37" s="75">
        <f t="shared" si="0"/>
        <v>9.0192307692307683</v>
      </c>
      <c r="AU37" s="167">
        <v>18</v>
      </c>
      <c r="AV37" s="170" t="s">
        <v>0</v>
      </c>
    </row>
    <row r="38" spans="2:48" ht="19.5" customHeight="1" thickBot="1" x14ac:dyDescent="0.35">
      <c r="B38" s="58">
        <v>22</v>
      </c>
      <c r="C38" s="173">
        <v>3069</v>
      </c>
      <c r="D38" s="177" t="s">
        <v>115</v>
      </c>
      <c r="E38" s="71"/>
      <c r="F38" s="59"/>
      <c r="G38" s="60"/>
      <c r="H38" s="211">
        <f>SUM('11CL-FAR-L PORT'!J30)</f>
        <v>13.666666666666666</v>
      </c>
      <c r="I38" s="212"/>
      <c r="J38" s="213"/>
      <c r="K38" s="214">
        <f>SUM('11CL-FAR-MAT'!J30)</f>
        <v>19.333333333333332</v>
      </c>
      <c r="L38" s="215"/>
      <c r="M38" s="213"/>
      <c r="N38" s="211">
        <f>SUM('11CL-FAR-BIOL'!J30)</f>
        <v>10</v>
      </c>
      <c r="O38" s="216"/>
      <c r="P38" s="213"/>
      <c r="Q38" s="214">
        <f>SUM('11CL-FAR-INGLES'!J30)</f>
        <v>15.666666666666666</v>
      </c>
      <c r="R38" s="215"/>
      <c r="S38" s="213"/>
      <c r="T38" s="211">
        <f>SUM('11CL-FAR-PATOL'!J30)</f>
        <v>5.5</v>
      </c>
      <c r="U38" s="215"/>
      <c r="V38" s="213"/>
      <c r="W38" s="211">
        <f>SUM('11CL-FAR-MPARASITOL'!J30)</f>
        <v>1.6666666666666667</v>
      </c>
      <c r="X38" s="216"/>
      <c r="Y38" s="213"/>
      <c r="Z38" s="214">
        <f>SUM('11CL-FAR-FARMACOL'!J30)</f>
        <v>13</v>
      </c>
      <c r="AA38" s="217"/>
      <c r="AB38" s="120"/>
      <c r="AC38" s="218">
        <f>SUM('11CL-FAR-FARMACOG'!J30)</f>
        <v>10.333333333333334</v>
      </c>
      <c r="AD38" s="219"/>
      <c r="AE38" s="213"/>
      <c r="AF38" s="211">
        <f>SUM('11CL-FAR-TPM'!J30)</f>
        <v>11</v>
      </c>
      <c r="AG38" s="219"/>
      <c r="AH38" s="120"/>
      <c r="AI38" s="211">
        <f>SUM('11CL-FAR-QCA ORG.'!J30)</f>
        <v>13.666666666666666</v>
      </c>
      <c r="AJ38" s="217"/>
      <c r="AK38" s="120"/>
      <c r="AL38" s="218">
        <f>SUM('11CL-FAR-ED. FIS'!J30)</f>
        <v>13</v>
      </c>
      <c r="AM38" s="220"/>
      <c r="AN38" s="120"/>
      <c r="AO38" s="220">
        <f>SUM('11CL-FAR-BOTANICA'!J30)</f>
        <v>15.166666666666666</v>
      </c>
      <c r="AP38" s="219"/>
      <c r="AQ38" s="213"/>
      <c r="AR38" s="211">
        <f>SUM('11CL-FAR-AFH'!J30)</f>
        <v>13</v>
      </c>
      <c r="AS38" s="61" t="s">
        <v>3</v>
      </c>
      <c r="AT38" s="75">
        <f t="shared" si="0"/>
        <v>11.923076923076923</v>
      </c>
      <c r="AU38" s="167">
        <v>43</v>
      </c>
      <c r="AV38" s="170" t="s">
        <v>1</v>
      </c>
    </row>
    <row r="39" spans="2:48" ht="19.5" customHeight="1" thickBot="1" x14ac:dyDescent="0.35">
      <c r="B39" s="58">
        <v>23</v>
      </c>
      <c r="C39" s="173">
        <v>4615</v>
      </c>
      <c r="D39" s="177" t="s">
        <v>152</v>
      </c>
      <c r="E39" s="71"/>
      <c r="F39" s="59"/>
      <c r="G39" s="60"/>
      <c r="H39" s="211">
        <f>SUM('11CL-FAR-L PORT'!J31)</f>
        <v>7.666666666666667</v>
      </c>
      <c r="I39" s="212"/>
      <c r="J39" s="213"/>
      <c r="K39" s="214">
        <f>SUM('11CL-FAR-MAT'!J31)</f>
        <v>0</v>
      </c>
      <c r="L39" s="215"/>
      <c r="M39" s="213"/>
      <c r="N39" s="211">
        <f>SUM('11CL-FAR-BIOL'!J31)</f>
        <v>0</v>
      </c>
      <c r="O39" s="216"/>
      <c r="P39" s="213"/>
      <c r="Q39" s="214">
        <f>SUM('11CL-FAR-INGLES'!J31)</f>
        <v>9.3333333333333339</v>
      </c>
      <c r="R39" s="215"/>
      <c r="S39" s="213"/>
      <c r="T39" s="211">
        <f>SUM('11CL-FAR-PATOL'!J31)</f>
        <v>0</v>
      </c>
      <c r="U39" s="215"/>
      <c r="V39" s="213"/>
      <c r="W39" s="211">
        <f>SUM('11CL-FAR-MPARASITOL'!J31)</f>
        <v>0</v>
      </c>
      <c r="X39" s="216"/>
      <c r="Y39" s="213"/>
      <c r="Z39" s="214">
        <f>SUM('11CL-FAR-FARMACOL'!J31)</f>
        <v>0</v>
      </c>
      <c r="AA39" s="217"/>
      <c r="AB39" s="120"/>
      <c r="AC39" s="218">
        <f>SUM('11CL-FAR-FARMACOG'!J31)</f>
        <v>0</v>
      </c>
      <c r="AD39" s="219"/>
      <c r="AE39" s="213"/>
      <c r="AF39" s="211">
        <f>SUM('11CL-FAR-TPM'!J31)</f>
        <v>0</v>
      </c>
      <c r="AG39" s="219"/>
      <c r="AH39" s="120"/>
      <c r="AI39" s="211">
        <f>SUM('11CL-FAR-QCA ORG.'!J31)</f>
        <v>7.666666666666667</v>
      </c>
      <c r="AJ39" s="217"/>
      <c r="AK39" s="120"/>
      <c r="AL39" s="218">
        <f>SUM('11CL-FAR-ED. FIS'!J31)</f>
        <v>0</v>
      </c>
      <c r="AM39" s="220"/>
      <c r="AN39" s="120"/>
      <c r="AO39" s="220">
        <f>SUM('11CL-FAR-BOTANICA'!J31)</f>
        <v>0</v>
      </c>
      <c r="AP39" s="219"/>
      <c r="AQ39" s="213"/>
      <c r="AR39" s="211">
        <f>SUM('11CL-FAR-AFH'!J31)</f>
        <v>11.666666666666666</v>
      </c>
      <c r="AS39" s="61" t="s">
        <v>3</v>
      </c>
      <c r="AT39" s="75">
        <f t="shared" ref="AT39" si="2">AVERAGE(H39:AR39)</f>
        <v>2.7948717948717952</v>
      </c>
      <c r="AU39" s="167">
        <v>20</v>
      </c>
      <c r="AV39" s="170" t="s">
        <v>1</v>
      </c>
    </row>
    <row r="40" spans="2:48" ht="19.5" customHeight="1" thickBot="1" x14ac:dyDescent="0.35">
      <c r="B40" s="58">
        <v>24</v>
      </c>
      <c r="C40" s="173">
        <v>3082</v>
      </c>
      <c r="D40" s="177" t="s">
        <v>116</v>
      </c>
      <c r="E40" s="71"/>
      <c r="F40" s="59"/>
      <c r="G40" s="60"/>
      <c r="H40" s="211">
        <f>SUM('11CL-FAR-L PORT'!J32)</f>
        <v>10.166666666666666</v>
      </c>
      <c r="I40" s="212"/>
      <c r="J40" s="213"/>
      <c r="K40" s="214">
        <f>SUM('11CL-FAR-MAT'!J32)</f>
        <v>9.3333333333333339</v>
      </c>
      <c r="L40" s="215"/>
      <c r="M40" s="213"/>
      <c r="N40" s="211">
        <f>SUM('11CL-FAR-BIOL'!J32)</f>
        <v>12</v>
      </c>
      <c r="O40" s="216"/>
      <c r="P40" s="213"/>
      <c r="Q40" s="214">
        <f>SUM('11CL-FAR-INGLES'!J32)</f>
        <v>13.333333333333334</v>
      </c>
      <c r="R40" s="215"/>
      <c r="S40" s="213"/>
      <c r="T40" s="211">
        <f>SUM('11CL-FAR-PATOL'!J32)</f>
        <v>10.833333333333334</v>
      </c>
      <c r="U40" s="215"/>
      <c r="V40" s="213"/>
      <c r="W40" s="211">
        <f>SUM('11CL-FAR-MPARASITOL'!J32)</f>
        <v>10.666666666666666</v>
      </c>
      <c r="X40" s="216"/>
      <c r="Y40" s="213"/>
      <c r="Z40" s="214">
        <f>SUM('11CL-FAR-FARMACOL'!J32)</f>
        <v>9.3333333333333339</v>
      </c>
      <c r="AA40" s="217"/>
      <c r="AB40" s="120"/>
      <c r="AC40" s="218">
        <f>SUM('11CL-FAR-FARMACOG'!J32)</f>
        <v>8</v>
      </c>
      <c r="AD40" s="219"/>
      <c r="AE40" s="213"/>
      <c r="AF40" s="211">
        <f>SUM('11CL-FAR-TPM'!J32)</f>
        <v>12</v>
      </c>
      <c r="AG40" s="219"/>
      <c r="AH40" s="120"/>
      <c r="AI40" s="211">
        <f>SUM('11CL-FAR-QCA ORG.'!J32)</f>
        <v>10.166666666666666</v>
      </c>
      <c r="AJ40" s="217"/>
      <c r="AK40" s="120"/>
      <c r="AL40" s="218">
        <f>SUM('11CL-FAR-ED. FIS'!J32)</f>
        <v>14</v>
      </c>
      <c r="AM40" s="220"/>
      <c r="AN40" s="120"/>
      <c r="AO40" s="220">
        <f>SUM('11CL-FAR-BOTANICA'!J32)</f>
        <v>15.333333333333334</v>
      </c>
      <c r="AP40" s="219"/>
      <c r="AQ40" s="213"/>
      <c r="AR40" s="211">
        <f>SUM('11CL-FAR-AFH'!J32)</f>
        <v>13.166666666666666</v>
      </c>
      <c r="AS40" s="61" t="s">
        <v>3</v>
      </c>
      <c r="AT40" s="75">
        <f t="shared" si="0"/>
        <v>11.410256410256411</v>
      </c>
      <c r="AU40" s="167">
        <v>20</v>
      </c>
      <c r="AV40" s="170" t="s">
        <v>1</v>
      </c>
    </row>
    <row r="41" spans="2:48" ht="19.5" customHeight="1" thickBot="1" x14ac:dyDescent="0.35">
      <c r="B41" s="58">
        <v>25</v>
      </c>
      <c r="C41" s="173">
        <v>4070</v>
      </c>
      <c r="D41" s="177" t="s">
        <v>117</v>
      </c>
      <c r="E41" s="71"/>
      <c r="F41" s="59"/>
      <c r="G41" s="60"/>
      <c r="H41" s="211">
        <f>SUM('11CL-FAR-L PORT'!J33)</f>
        <v>12.333333333333334</v>
      </c>
      <c r="I41" s="212"/>
      <c r="J41" s="213"/>
      <c r="K41" s="214">
        <f>SUM('11CL-FAR-MAT'!J33)</f>
        <v>10</v>
      </c>
      <c r="L41" s="215"/>
      <c r="M41" s="213"/>
      <c r="N41" s="211">
        <f>SUM('11CL-FAR-BIOL'!J33)</f>
        <v>11</v>
      </c>
      <c r="O41" s="216"/>
      <c r="P41" s="213"/>
      <c r="Q41" s="214">
        <f>SUM('11CL-FAR-INGLES'!J33)</f>
        <v>11</v>
      </c>
      <c r="R41" s="215"/>
      <c r="S41" s="213"/>
      <c r="T41" s="211">
        <f>SUM('11CL-FAR-PATOL'!J33)</f>
        <v>13.333333333333334</v>
      </c>
      <c r="U41" s="215"/>
      <c r="V41" s="213"/>
      <c r="W41" s="211">
        <f>SUM('11CL-FAR-MPARASITOL'!J33)</f>
        <v>11.833333333333334</v>
      </c>
      <c r="X41" s="216"/>
      <c r="Y41" s="213"/>
      <c r="Z41" s="214">
        <f>SUM('11CL-FAR-FARMACOL'!J33)</f>
        <v>12.833333333333334</v>
      </c>
      <c r="AA41" s="217"/>
      <c r="AB41" s="120"/>
      <c r="AC41" s="218">
        <f>SUM('11CL-FAR-FARMACOG'!J33)</f>
        <v>10</v>
      </c>
      <c r="AD41" s="219"/>
      <c r="AE41" s="213"/>
      <c r="AF41" s="211">
        <f>SUM('11CL-FAR-TPM'!J33)</f>
        <v>11</v>
      </c>
      <c r="AG41" s="219"/>
      <c r="AH41" s="120"/>
      <c r="AI41" s="211">
        <f>SUM('11CL-FAR-QCA ORG.'!J33)</f>
        <v>12.333333333333334</v>
      </c>
      <c r="AJ41" s="217"/>
      <c r="AK41" s="120"/>
      <c r="AL41" s="218">
        <f>SUM('11CL-FAR-ED. FIS'!J33)</f>
        <v>15</v>
      </c>
      <c r="AM41" s="220"/>
      <c r="AN41" s="120"/>
      <c r="AO41" s="220">
        <f>SUM('11CL-FAR-BOTANICA'!J33)</f>
        <v>9.8333333333333339</v>
      </c>
      <c r="AP41" s="219"/>
      <c r="AQ41" s="213"/>
      <c r="AR41" s="211">
        <f>SUM('11CL-FAR-AFH'!J33)</f>
        <v>10</v>
      </c>
      <c r="AS41" s="61" t="s">
        <v>3</v>
      </c>
      <c r="AT41" s="75">
        <f t="shared" ref="AT41:AT46" si="3">AVERAGE(H41:AR41)</f>
        <v>11.576923076923077</v>
      </c>
      <c r="AU41" s="167">
        <v>21</v>
      </c>
      <c r="AV41" s="170" t="s">
        <v>1</v>
      </c>
    </row>
    <row r="42" spans="2:48" ht="19.5" customHeight="1" thickBot="1" x14ac:dyDescent="0.35">
      <c r="B42" s="58">
        <v>26</v>
      </c>
      <c r="C42" s="173">
        <v>4125</v>
      </c>
      <c r="D42" s="177" t="s">
        <v>118</v>
      </c>
      <c r="E42" s="71"/>
      <c r="F42" s="59"/>
      <c r="G42" s="60"/>
      <c r="H42" s="211">
        <f>SUM('11CL-FAR-L PORT'!J34)</f>
        <v>14.916666666666666</v>
      </c>
      <c r="I42" s="212"/>
      <c r="J42" s="213"/>
      <c r="K42" s="214">
        <f>SUM('11CL-FAR-MAT'!J34)</f>
        <v>13.333333333333334</v>
      </c>
      <c r="L42" s="215"/>
      <c r="M42" s="213"/>
      <c r="N42" s="211">
        <f>SUM('11CL-FAR-BIOL'!J34)</f>
        <v>16</v>
      </c>
      <c r="O42" s="216"/>
      <c r="P42" s="213"/>
      <c r="Q42" s="214">
        <f>SUM('11CL-FAR-INGLES'!J34)</f>
        <v>19.333333333333332</v>
      </c>
      <c r="R42" s="215"/>
      <c r="S42" s="213"/>
      <c r="T42" s="211">
        <f>SUM('11CL-FAR-PATOL'!J34)</f>
        <v>15.333333333333334</v>
      </c>
      <c r="U42" s="215"/>
      <c r="V42" s="213"/>
      <c r="W42" s="211">
        <f>SUM('11CL-FAR-MPARASITOL'!J34)</f>
        <v>14</v>
      </c>
      <c r="X42" s="216"/>
      <c r="Y42" s="213"/>
      <c r="Z42" s="214">
        <f>SUM('11CL-FAR-FARMACOL'!J34)</f>
        <v>12.666666666666666</v>
      </c>
      <c r="AA42" s="217"/>
      <c r="AB42" s="120"/>
      <c r="AC42" s="218">
        <f>SUM('11CL-FAR-FARMACOG'!J34)</f>
        <v>13.5</v>
      </c>
      <c r="AD42" s="219"/>
      <c r="AE42" s="213"/>
      <c r="AF42" s="211">
        <f>SUM('11CL-FAR-TPM'!J34)</f>
        <v>17</v>
      </c>
      <c r="AG42" s="219"/>
      <c r="AH42" s="120"/>
      <c r="AI42" s="211">
        <f>SUM('11CL-FAR-QCA ORG.'!J34)</f>
        <v>14.916666666666666</v>
      </c>
      <c r="AJ42" s="217"/>
      <c r="AK42" s="120"/>
      <c r="AL42" s="218">
        <f>SUM('11CL-FAR-ED. FIS'!J34)</f>
        <v>15</v>
      </c>
      <c r="AM42" s="220"/>
      <c r="AN42" s="120"/>
      <c r="AO42" s="220">
        <f>SUM('11CL-FAR-BOTANICA'!J34)</f>
        <v>14.166666666666666</v>
      </c>
      <c r="AP42" s="219"/>
      <c r="AQ42" s="213"/>
      <c r="AR42" s="211">
        <f>SUM('11CL-FAR-AFH'!J34)</f>
        <v>15.833333333333334</v>
      </c>
      <c r="AS42" s="61" t="s">
        <v>2</v>
      </c>
      <c r="AT42" s="75">
        <f t="shared" si="3"/>
        <v>15.076923076923075</v>
      </c>
      <c r="AU42" s="168">
        <v>22</v>
      </c>
      <c r="AV42" s="171" t="s">
        <v>1</v>
      </c>
    </row>
    <row r="43" spans="2:48" ht="19.5" customHeight="1" thickTop="1" thickBot="1" x14ac:dyDescent="0.35">
      <c r="B43" s="58">
        <v>27</v>
      </c>
      <c r="C43" s="173">
        <v>4099</v>
      </c>
      <c r="D43" s="177" t="s">
        <v>119</v>
      </c>
      <c r="E43" s="71"/>
      <c r="F43" s="59"/>
      <c r="G43" s="60"/>
      <c r="H43" s="211">
        <f>SUM('11CL-FAR-L PORT'!J35)</f>
        <v>10.083333333333334</v>
      </c>
      <c r="I43" s="212"/>
      <c r="J43" s="213"/>
      <c r="K43" s="214">
        <f>SUM('11CL-FAR-MAT'!J35)</f>
        <v>4.333333333333333</v>
      </c>
      <c r="L43" s="215"/>
      <c r="M43" s="213"/>
      <c r="N43" s="211">
        <f>SUM('11CL-FAR-BIOL'!J35)</f>
        <v>7</v>
      </c>
      <c r="O43" s="216"/>
      <c r="P43" s="213"/>
      <c r="Q43" s="214">
        <f>SUM('11CL-FAR-INGLES'!J35)</f>
        <v>7.666666666666667</v>
      </c>
      <c r="R43" s="215"/>
      <c r="S43" s="213"/>
      <c r="T43" s="211">
        <f>SUM('11CL-FAR-PATOL'!J35)</f>
        <v>4.5</v>
      </c>
      <c r="U43" s="215"/>
      <c r="V43" s="213"/>
      <c r="W43" s="211">
        <f>SUM('11CL-FAR-MPARASITOL'!J35)</f>
        <v>2.1666666666666665</v>
      </c>
      <c r="X43" s="216"/>
      <c r="Y43" s="213"/>
      <c r="Z43" s="214">
        <f>SUM('11CL-FAR-FARMACOL'!J35)</f>
        <v>11</v>
      </c>
      <c r="AA43" s="217"/>
      <c r="AB43" s="120"/>
      <c r="AC43" s="218">
        <f>SUM('11CL-FAR-FARMACOG'!J35)</f>
        <v>8.3333333333333339</v>
      </c>
      <c r="AD43" s="219"/>
      <c r="AE43" s="213"/>
      <c r="AF43" s="211">
        <f>SUM('11CL-FAR-TPM'!J35)</f>
        <v>7</v>
      </c>
      <c r="AG43" s="219"/>
      <c r="AH43" s="120"/>
      <c r="AI43" s="211">
        <f>SUM('11CL-FAR-QCA ORG.'!J35)</f>
        <v>10.083333333333334</v>
      </c>
      <c r="AJ43" s="217"/>
      <c r="AK43" s="120"/>
      <c r="AL43" s="218">
        <f>SUM('11CL-FAR-ED. FIS'!J35)</f>
        <v>10</v>
      </c>
      <c r="AM43" s="220"/>
      <c r="AN43" s="120"/>
      <c r="AO43" s="220">
        <f>SUM('11CL-FAR-BOTANICA'!J35)</f>
        <v>0</v>
      </c>
      <c r="AP43" s="219"/>
      <c r="AQ43" s="213"/>
      <c r="AR43" s="211">
        <f>SUM('11CL-FAR-AFH'!J35)</f>
        <v>7</v>
      </c>
      <c r="AS43" s="61" t="s">
        <v>3</v>
      </c>
      <c r="AT43" s="75">
        <f t="shared" si="3"/>
        <v>6.8589743589743595</v>
      </c>
      <c r="AU43" s="166">
        <v>21</v>
      </c>
      <c r="AV43" s="169" t="s">
        <v>1</v>
      </c>
    </row>
    <row r="44" spans="2:48" ht="19.5" customHeight="1" thickBot="1" x14ac:dyDescent="0.35">
      <c r="B44" s="58">
        <v>28</v>
      </c>
      <c r="C44" s="173">
        <v>4095</v>
      </c>
      <c r="D44" s="177" t="s">
        <v>120</v>
      </c>
      <c r="E44" s="71"/>
      <c r="F44" s="59"/>
      <c r="G44" s="60"/>
      <c r="H44" s="211">
        <f>SUM('11CL-FAR-L PORT'!J36)</f>
        <v>9.3333333333333339</v>
      </c>
      <c r="I44" s="212"/>
      <c r="J44" s="213"/>
      <c r="K44" s="214">
        <f>SUM('11CL-FAR-MAT'!J36)</f>
        <v>8.3333333333333339</v>
      </c>
      <c r="L44" s="215"/>
      <c r="M44" s="213"/>
      <c r="N44" s="211">
        <f>SUM('11CL-FAR-BIOL'!J36)</f>
        <v>10.333333333333334</v>
      </c>
      <c r="O44" s="216"/>
      <c r="P44" s="213"/>
      <c r="Q44" s="214">
        <f>SUM('11CL-FAR-INGLES'!J36)</f>
        <v>10.666666666666666</v>
      </c>
      <c r="R44" s="215"/>
      <c r="S44" s="213"/>
      <c r="T44" s="211">
        <f>SUM('11CL-FAR-PATOL'!J36)</f>
        <v>12.833333333333334</v>
      </c>
      <c r="U44" s="215"/>
      <c r="V44" s="213"/>
      <c r="W44" s="211">
        <f>SUM('11CL-FAR-MPARASITOL'!J36)</f>
        <v>10.333333333333334</v>
      </c>
      <c r="X44" s="216"/>
      <c r="Y44" s="213"/>
      <c r="Z44" s="214">
        <f>SUM('11CL-FAR-FARMACOL'!J36)</f>
        <v>12.333333333333334</v>
      </c>
      <c r="AA44" s="217"/>
      <c r="AB44" s="120"/>
      <c r="AC44" s="218">
        <f>SUM('11CL-FAR-FARMACOG'!J36)</f>
        <v>9.6666666666666661</v>
      </c>
      <c r="AD44" s="219"/>
      <c r="AE44" s="213"/>
      <c r="AF44" s="211">
        <f>SUM('11CL-FAR-TPM'!J36)</f>
        <v>10</v>
      </c>
      <c r="AG44" s="219"/>
      <c r="AH44" s="120"/>
      <c r="AI44" s="211">
        <f>SUM('11CL-FAR-QCA ORG.'!J36)</f>
        <v>9.3333333333333339</v>
      </c>
      <c r="AJ44" s="217"/>
      <c r="AK44" s="120"/>
      <c r="AL44" s="218">
        <f>SUM('11CL-FAR-ED. FIS'!J36)</f>
        <v>13</v>
      </c>
      <c r="AM44" s="220"/>
      <c r="AN44" s="120"/>
      <c r="AO44" s="220">
        <f>SUM('11CL-FAR-BOTANICA'!J36)</f>
        <v>9.1666666666666661</v>
      </c>
      <c r="AP44" s="219"/>
      <c r="AQ44" s="213"/>
      <c r="AR44" s="211">
        <f>SUM('11CL-FAR-AFH'!J36)</f>
        <v>15.833333333333334</v>
      </c>
      <c r="AS44" s="61" t="s">
        <v>3</v>
      </c>
      <c r="AT44" s="75">
        <f t="shared" si="3"/>
        <v>10.858974358974361</v>
      </c>
      <c r="AU44" s="167">
        <v>17</v>
      </c>
      <c r="AV44" s="170" t="s">
        <v>1</v>
      </c>
    </row>
    <row r="45" spans="2:48" ht="19.5" customHeight="1" thickBot="1" x14ac:dyDescent="0.35">
      <c r="B45" s="58">
        <v>29</v>
      </c>
      <c r="C45" s="173">
        <v>3328</v>
      </c>
      <c r="D45" s="177" t="s">
        <v>121</v>
      </c>
      <c r="E45" s="71"/>
      <c r="F45" s="59"/>
      <c r="G45" s="60"/>
      <c r="H45" s="211">
        <f>SUM('11CL-FAR-L PORT'!J37)</f>
        <v>13.833333333333334</v>
      </c>
      <c r="I45" s="212"/>
      <c r="J45" s="213"/>
      <c r="K45" s="214">
        <f>SUM('11CL-FAR-MAT'!J37)</f>
        <v>10.333333333333334</v>
      </c>
      <c r="L45" s="215"/>
      <c r="M45" s="213"/>
      <c r="N45" s="211">
        <f>SUM('11CL-FAR-BIOL'!J37)</f>
        <v>15</v>
      </c>
      <c r="O45" s="216"/>
      <c r="P45" s="213"/>
      <c r="Q45" s="214">
        <f>SUM('11CL-FAR-INGLES'!J37)</f>
        <v>19.666666666666668</v>
      </c>
      <c r="R45" s="215"/>
      <c r="S45" s="213"/>
      <c r="T45" s="211">
        <f>SUM('11CL-FAR-PATOL'!J37)</f>
        <v>17.333333333333332</v>
      </c>
      <c r="U45" s="215"/>
      <c r="V45" s="213"/>
      <c r="W45" s="211">
        <f>SUM('11CL-FAR-MPARASITOL'!J37)</f>
        <v>9.8333333333333339</v>
      </c>
      <c r="X45" s="216"/>
      <c r="Y45" s="213"/>
      <c r="Z45" s="214">
        <f>SUM('11CL-FAR-FARMACOL'!J37)</f>
        <v>15</v>
      </c>
      <c r="AA45" s="217"/>
      <c r="AB45" s="120"/>
      <c r="AC45" s="218">
        <f>SUM('11CL-FAR-FARMACOG'!J37)</f>
        <v>11.666666666666666</v>
      </c>
      <c r="AD45" s="219"/>
      <c r="AE45" s="213"/>
      <c r="AF45" s="211">
        <f>SUM('11CL-FAR-TPM'!J37)</f>
        <v>16</v>
      </c>
      <c r="AG45" s="219"/>
      <c r="AH45" s="120"/>
      <c r="AI45" s="211">
        <f>SUM('11CL-FAR-QCA ORG.'!J37)</f>
        <v>13.833333333333334</v>
      </c>
      <c r="AJ45" s="217"/>
      <c r="AK45" s="120"/>
      <c r="AL45" s="218">
        <f>SUM('11CL-FAR-ED. FIS'!J37)</f>
        <v>16</v>
      </c>
      <c r="AM45" s="220"/>
      <c r="AN45" s="120"/>
      <c r="AO45" s="220">
        <f>SUM('11CL-FAR-BOTANICA'!J37)</f>
        <v>16.166666666666668</v>
      </c>
      <c r="AP45" s="219"/>
      <c r="AQ45" s="213"/>
      <c r="AR45" s="211">
        <f>SUM('11CL-FAR-AFH'!J37)</f>
        <v>13.666666666666666</v>
      </c>
      <c r="AS45" s="61" t="s">
        <v>3</v>
      </c>
      <c r="AT45" s="75">
        <f t="shared" si="3"/>
        <v>14.487179487179487</v>
      </c>
      <c r="AU45" s="167">
        <v>19</v>
      </c>
      <c r="AV45" s="170" t="s">
        <v>0</v>
      </c>
    </row>
    <row r="46" spans="2:48" ht="19.5" customHeight="1" thickBot="1" x14ac:dyDescent="0.35">
      <c r="B46" s="58">
        <v>30</v>
      </c>
      <c r="C46" s="173">
        <v>4111</v>
      </c>
      <c r="D46" s="177" t="s">
        <v>122</v>
      </c>
      <c r="E46" s="71"/>
      <c r="F46" s="59"/>
      <c r="G46" s="60"/>
      <c r="H46" s="211">
        <f>SUM('11CL-FAR-L PORT'!J38)</f>
        <v>12</v>
      </c>
      <c r="I46" s="212"/>
      <c r="J46" s="213"/>
      <c r="K46" s="214">
        <f>SUM('11CL-FAR-MAT'!J38)</f>
        <v>8</v>
      </c>
      <c r="L46" s="215"/>
      <c r="M46" s="213"/>
      <c r="N46" s="211">
        <f>SUM('11CL-FAR-BIOL'!J38)</f>
        <v>11.333333333333334</v>
      </c>
      <c r="O46" s="216"/>
      <c r="P46" s="213"/>
      <c r="Q46" s="214">
        <f>SUM('11CL-FAR-INGLES'!J38)</f>
        <v>16</v>
      </c>
      <c r="R46" s="215"/>
      <c r="S46" s="213"/>
      <c r="T46" s="211">
        <f>SUM('11CL-FAR-PATOL'!J38)</f>
        <v>10.5</v>
      </c>
      <c r="U46" s="215"/>
      <c r="V46" s="213"/>
      <c r="W46" s="211">
        <f>SUM('11CL-FAR-MPARASITOL'!J38)</f>
        <v>10.333333333333334</v>
      </c>
      <c r="X46" s="216"/>
      <c r="Y46" s="213"/>
      <c r="Z46" s="214">
        <f>SUM('11CL-FAR-FARMACOL'!J38)</f>
        <v>13.333333333333334</v>
      </c>
      <c r="AA46" s="217"/>
      <c r="AB46" s="120"/>
      <c r="AC46" s="218">
        <f>SUM('11CL-FAR-FARMACOG'!J38)</f>
        <v>10.166666666666666</v>
      </c>
      <c r="AD46" s="219"/>
      <c r="AE46" s="213"/>
      <c r="AF46" s="211">
        <f>SUM('11CL-FAR-TPM'!J38)</f>
        <v>12.666666666666666</v>
      </c>
      <c r="AG46" s="219"/>
      <c r="AH46" s="120"/>
      <c r="AI46" s="211">
        <f>SUM('11CL-FAR-QCA ORG.'!J38)</f>
        <v>12</v>
      </c>
      <c r="AJ46" s="217"/>
      <c r="AK46" s="120"/>
      <c r="AL46" s="218">
        <f>SUM('11CL-FAR-ED. FIS'!J38)</f>
        <v>16.333333333333332</v>
      </c>
      <c r="AM46" s="220"/>
      <c r="AN46" s="120"/>
      <c r="AO46" s="220">
        <f>SUM('11CL-FAR-BOTANICA'!J38)</f>
        <v>14</v>
      </c>
      <c r="AP46" s="219"/>
      <c r="AQ46" s="213"/>
      <c r="AR46" s="211">
        <f>SUM('11CL-FAR-AFH'!J38)</f>
        <v>11.333333333333334</v>
      </c>
      <c r="AS46" s="61" t="s">
        <v>3</v>
      </c>
      <c r="AT46" s="75">
        <f t="shared" si="3"/>
        <v>12.153846153846157</v>
      </c>
      <c r="AU46" s="167">
        <v>21</v>
      </c>
      <c r="AV46" s="170" t="s">
        <v>0</v>
      </c>
    </row>
    <row r="47" spans="2:48" ht="19.5" customHeight="1" thickBot="1" x14ac:dyDescent="0.35">
      <c r="B47" s="58">
        <v>31</v>
      </c>
      <c r="C47" s="173">
        <v>4119</v>
      </c>
      <c r="D47" s="177" t="s">
        <v>149</v>
      </c>
      <c r="E47" s="71"/>
      <c r="F47" s="59"/>
      <c r="G47" s="60"/>
      <c r="H47" s="211">
        <f>SUM('11CL-FAR-L PORT'!J39)</f>
        <v>9</v>
      </c>
      <c r="I47" s="212"/>
      <c r="J47" s="213"/>
      <c r="K47" s="214">
        <f>SUM('11CL-FAR-MAT'!J39)</f>
        <v>0</v>
      </c>
      <c r="L47" s="215"/>
      <c r="M47" s="213"/>
      <c r="N47" s="211">
        <f>SUM('11CL-FAR-BIOL'!J39)</f>
        <v>0</v>
      </c>
      <c r="O47" s="216"/>
      <c r="P47" s="213"/>
      <c r="Q47" s="214">
        <f>SUM('11CL-FAR-INGLES'!J39)</f>
        <v>15.666666666666666</v>
      </c>
      <c r="R47" s="215"/>
      <c r="S47" s="213"/>
      <c r="T47" s="211">
        <f>SUM('11CL-FAR-PATOL'!J39)</f>
        <v>0</v>
      </c>
      <c r="U47" s="215"/>
      <c r="V47" s="213"/>
      <c r="W47" s="211">
        <f>SUM('11CL-FAR-MPARASITOL'!J39)</f>
        <v>0</v>
      </c>
      <c r="X47" s="216"/>
      <c r="Y47" s="213"/>
      <c r="Z47" s="214">
        <f>SUM('11CL-FAR-FARMACOL'!J39)</f>
        <v>0</v>
      </c>
      <c r="AA47" s="217"/>
      <c r="AB47" s="120"/>
      <c r="AC47" s="218">
        <f>SUM('11CL-FAR-FARMACOG'!J39)</f>
        <v>0</v>
      </c>
      <c r="AD47" s="219"/>
      <c r="AE47" s="213"/>
      <c r="AF47" s="211">
        <f>SUM('11CL-FAR-TPM'!J39)</f>
        <v>0</v>
      </c>
      <c r="AG47" s="219"/>
      <c r="AH47" s="120"/>
      <c r="AI47" s="211">
        <f>SUM('11CL-FAR-QCA ORG.'!J39)</f>
        <v>9</v>
      </c>
      <c r="AJ47" s="217"/>
      <c r="AK47" s="120"/>
      <c r="AL47" s="218">
        <f>SUM('11CL-FAR-ED. FIS'!J39)</f>
        <v>0</v>
      </c>
      <c r="AM47" s="220"/>
      <c r="AN47" s="120"/>
      <c r="AO47" s="220">
        <f>SUM('11CL-FAR-BOTANICA'!J39)</f>
        <v>0</v>
      </c>
      <c r="AP47" s="219"/>
      <c r="AQ47" s="213"/>
      <c r="AR47" s="211">
        <f>SUM('11CL-FAR-AFH'!J39)</f>
        <v>10.333333333333334</v>
      </c>
      <c r="AS47" s="61" t="s">
        <v>3</v>
      </c>
      <c r="AT47" s="75">
        <f t="shared" ref="AT47:AT70" si="4">AVERAGE(H47:AR47)</f>
        <v>3.3846153846153846</v>
      </c>
      <c r="AU47" s="167">
        <v>20</v>
      </c>
      <c r="AV47" s="170" t="s">
        <v>1</v>
      </c>
    </row>
    <row r="48" spans="2:48" ht="19.5" customHeight="1" thickBot="1" x14ac:dyDescent="0.35">
      <c r="B48" s="58">
        <v>32</v>
      </c>
      <c r="C48" s="173">
        <v>3158</v>
      </c>
      <c r="D48" s="177" t="s">
        <v>148</v>
      </c>
      <c r="E48" s="71"/>
      <c r="F48" s="59"/>
      <c r="G48" s="60"/>
      <c r="H48" s="211">
        <f>SUM('11CL-FAR-L PORT'!J40)</f>
        <v>11.333333333333334</v>
      </c>
      <c r="I48" s="212"/>
      <c r="J48" s="213"/>
      <c r="K48" s="214">
        <f>SUM('11CL-FAR-MAT'!J40)</f>
        <v>0</v>
      </c>
      <c r="L48" s="215"/>
      <c r="M48" s="213"/>
      <c r="N48" s="211">
        <f>SUM('11CL-FAR-BIOL'!J40)</f>
        <v>0</v>
      </c>
      <c r="O48" s="216"/>
      <c r="P48" s="213"/>
      <c r="Q48" s="214">
        <f>SUM('11CL-FAR-INGLES'!J40)</f>
        <v>9.6666666666666661</v>
      </c>
      <c r="R48" s="215"/>
      <c r="S48" s="213"/>
      <c r="T48" s="211">
        <f>SUM('11CL-FAR-PATOL'!J40)</f>
        <v>0</v>
      </c>
      <c r="U48" s="215"/>
      <c r="V48" s="213"/>
      <c r="W48" s="211">
        <f>SUM('11CL-FAR-MPARASITOL'!J40)</f>
        <v>0</v>
      </c>
      <c r="X48" s="216"/>
      <c r="Y48" s="213"/>
      <c r="Z48" s="214">
        <f>SUM('11CL-FAR-FARMACOL'!J40)</f>
        <v>0</v>
      </c>
      <c r="AA48" s="217"/>
      <c r="AB48" s="120"/>
      <c r="AC48" s="218">
        <f>SUM('11CL-FAR-FARMACOG'!J40)</f>
        <v>0</v>
      </c>
      <c r="AD48" s="219"/>
      <c r="AE48" s="213"/>
      <c r="AF48" s="211">
        <f>SUM('11CL-FAR-TPM'!J40)</f>
        <v>0</v>
      </c>
      <c r="AG48" s="219"/>
      <c r="AH48" s="120"/>
      <c r="AI48" s="211">
        <f>SUM('11CL-FAR-QCA ORG.'!J40)</f>
        <v>11.333333333333334</v>
      </c>
      <c r="AJ48" s="217"/>
      <c r="AK48" s="120"/>
      <c r="AL48" s="218">
        <f>SUM('11CL-FAR-ED. FIS'!J40)</f>
        <v>0</v>
      </c>
      <c r="AM48" s="220"/>
      <c r="AN48" s="120"/>
      <c r="AO48" s="220">
        <f>SUM('11CL-FAR-BOTANICA'!J40)</f>
        <v>0</v>
      </c>
      <c r="AP48" s="219"/>
      <c r="AQ48" s="213"/>
      <c r="AR48" s="211">
        <f>SUM('11CL-FAR-AFH'!J40)</f>
        <v>11</v>
      </c>
      <c r="AS48" s="61" t="s">
        <v>3</v>
      </c>
      <c r="AT48" s="75">
        <f t="shared" si="4"/>
        <v>3.3333333333333335</v>
      </c>
      <c r="AU48" s="167">
        <v>23</v>
      </c>
      <c r="AV48" s="170" t="s">
        <v>1</v>
      </c>
    </row>
    <row r="49" spans="2:48" ht="19.5" customHeight="1" thickBot="1" x14ac:dyDescent="0.35">
      <c r="B49" s="58">
        <v>33</v>
      </c>
      <c r="C49" s="173">
        <v>4090</v>
      </c>
      <c r="D49" s="177" t="s">
        <v>123</v>
      </c>
      <c r="E49" s="71"/>
      <c r="F49" s="59"/>
      <c r="G49" s="60"/>
      <c r="H49" s="211">
        <f>SUM('11CL-FAR-L PORT'!J41)</f>
        <v>5</v>
      </c>
      <c r="I49" s="212"/>
      <c r="J49" s="213"/>
      <c r="K49" s="214">
        <f>SUM('11CL-FAR-MAT'!J41)</f>
        <v>16.166666666666668</v>
      </c>
      <c r="L49" s="215"/>
      <c r="M49" s="213"/>
      <c r="N49" s="211">
        <f>SUM('11CL-FAR-BIOL'!J41)</f>
        <v>9.3333333333333339</v>
      </c>
      <c r="O49" s="216"/>
      <c r="P49" s="213"/>
      <c r="Q49" s="214">
        <f>SUM('11CL-FAR-INGLES'!J41)</f>
        <v>12</v>
      </c>
      <c r="R49" s="215"/>
      <c r="S49" s="213"/>
      <c r="T49" s="211">
        <f>SUM('11CL-FAR-PATOL'!J41)</f>
        <v>1.8333333333333333</v>
      </c>
      <c r="U49" s="215"/>
      <c r="V49" s="213"/>
      <c r="W49" s="211">
        <f>SUM('11CL-FAR-MPARASITOL'!J41)</f>
        <v>2.5</v>
      </c>
      <c r="X49" s="216"/>
      <c r="Y49" s="213"/>
      <c r="Z49" s="214">
        <f>SUM('11CL-FAR-FARMACOL'!J41)</f>
        <v>10.333333333333334</v>
      </c>
      <c r="AA49" s="217"/>
      <c r="AB49" s="120"/>
      <c r="AC49" s="218">
        <f>SUM('11CL-FAR-FARMACOG'!J41)</f>
        <v>8.8333333333333339</v>
      </c>
      <c r="AD49" s="219"/>
      <c r="AE49" s="213"/>
      <c r="AF49" s="211">
        <f>SUM('11CL-FAR-TPM'!J41)</f>
        <v>11.666666666666666</v>
      </c>
      <c r="AG49" s="219"/>
      <c r="AH49" s="120"/>
      <c r="AI49" s="211">
        <f>SUM('11CL-FAR-QCA ORG.'!J41)</f>
        <v>5</v>
      </c>
      <c r="AJ49" s="217"/>
      <c r="AK49" s="120"/>
      <c r="AL49" s="218">
        <f>SUM('11CL-FAR-ED. FIS'!J41)</f>
        <v>10</v>
      </c>
      <c r="AM49" s="220"/>
      <c r="AN49" s="120"/>
      <c r="AO49" s="220">
        <f>SUM('11CL-FAR-BOTANICA'!J41)</f>
        <v>11.333333333333334</v>
      </c>
      <c r="AP49" s="219"/>
      <c r="AQ49" s="213"/>
      <c r="AR49" s="211">
        <f>SUM('11CL-FAR-AFH'!J41)</f>
        <v>9.3333333333333339</v>
      </c>
      <c r="AS49" s="61" t="s">
        <v>3</v>
      </c>
      <c r="AT49" s="75">
        <f t="shared" si="4"/>
        <v>8.7179487179487172</v>
      </c>
      <c r="AU49" s="167">
        <v>17</v>
      </c>
      <c r="AV49" s="170" t="s">
        <v>0</v>
      </c>
    </row>
    <row r="50" spans="2:48" ht="19.5" customHeight="1" thickBot="1" x14ac:dyDescent="0.35">
      <c r="B50" s="58">
        <v>34</v>
      </c>
      <c r="C50" s="173">
        <v>2995</v>
      </c>
      <c r="D50" s="177" t="s">
        <v>124</v>
      </c>
      <c r="E50" s="71"/>
      <c r="F50" s="59"/>
      <c r="G50" s="60"/>
      <c r="H50" s="211">
        <f>SUM('11CL-FAR-L PORT'!J42)</f>
        <v>10.583333333333334</v>
      </c>
      <c r="I50" s="212"/>
      <c r="J50" s="213"/>
      <c r="K50" s="214">
        <f>SUM('11CL-FAR-MAT'!J42)</f>
        <v>14.5</v>
      </c>
      <c r="L50" s="215"/>
      <c r="M50" s="213"/>
      <c r="N50" s="211">
        <f>SUM('11CL-FAR-BIOL'!J42)</f>
        <v>9.6666666666666661</v>
      </c>
      <c r="O50" s="216"/>
      <c r="P50" s="213"/>
      <c r="Q50" s="214">
        <f>SUM('11CL-FAR-INGLES'!J42)</f>
        <v>13</v>
      </c>
      <c r="R50" s="215"/>
      <c r="S50" s="213"/>
      <c r="T50" s="211">
        <f>SUM('11CL-FAR-PATOL'!J42)</f>
        <v>12.5</v>
      </c>
      <c r="U50" s="215"/>
      <c r="V50" s="213"/>
      <c r="W50" s="211">
        <f>SUM('11CL-FAR-MPARASITOL'!J42)</f>
        <v>10</v>
      </c>
      <c r="X50" s="216"/>
      <c r="Y50" s="213"/>
      <c r="Z50" s="214">
        <f>SUM('11CL-FAR-FARMACOL'!J42)</f>
        <v>12</v>
      </c>
      <c r="AA50" s="217"/>
      <c r="AB50" s="120"/>
      <c r="AC50" s="218">
        <f>SUM('11CL-FAR-FARMACOG'!J42)</f>
        <v>10.666666666666666</v>
      </c>
      <c r="AD50" s="219"/>
      <c r="AE50" s="213"/>
      <c r="AF50" s="211">
        <f>SUM('11CL-FAR-TPM'!J42)</f>
        <v>8.6666666666666661</v>
      </c>
      <c r="AG50" s="219"/>
      <c r="AH50" s="120"/>
      <c r="AI50" s="211">
        <f>SUM('11CL-FAR-QCA ORG.'!J42)</f>
        <v>10.583333333333334</v>
      </c>
      <c r="AJ50" s="217"/>
      <c r="AK50" s="120"/>
      <c r="AL50" s="218">
        <f>SUM('11CL-FAR-ED. FIS'!J42)</f>
        <v>12</v>
      </c>
      <c r="AM50" s="220"/>
      <c r="AN50" s="120"/>
      <c r="AO50" s="220">
        <f>SUM('11CL-FAR-BOTANICA'!J42)</f>
        <v>13.5</v>
      </c>
      <c r="AP50" s="219"/>
      <c r="AQ50" s="213"/>
      <c r="AR50" s="211">
        <f>SUM('11CL-FAR-AFH'!J42)</f>
        <v>13.666666666666666</v>
      </c>
      <c r="AS50" s="61" t="s">
        <v>3</v>
      </c>
      <c r="AT50" s="75">
        <f t="shared" si="4"/>
        <v>11.641025641025642</v>
      </c>
      <c r="AU50" s="167">
        <v>18</v>
      </c>
      <c r="AV50" s="170" t="s">
        <v>1</v>
      </c>
    </row>
    <row r="51" spans="2:48" ht="19.5" customHeight="1" thickBot="1" x14ac:dyDescent="0.35">
      <c r="B51" s="58">
        <v>35</v>
      </c>
      <c r="C51" s="173">
        <v>4110</v>
      </c>
      <c r="D51" s="177" t="s">
        <v>125</v>
      </c>
      <c r="E51" s="71"/>
      <c r="F51" s="59"/>
      <c r="G51" s="60"/>
      <c r="H51" s="211">
        <f>SUM('11CL-FAR-L PORT'!J43)</f>
        <v>13.666666666666666</v>
      </c>
      <c r="I51" s="212"/>
      <c r="J51" s="213"/>
      <c r="K51" s="214">
        <f>SUM('11CL-FAR-MAT'!J43)</f>
        <v>10.666666666666666</v>
      </c>
      <c r="L51" s="215"/>
      <c r="M51" s="213"/>
      <c r="N51" s="211">
        <f>SUM('11CL-FAR-BIOL'!J43)</f>
        <v>14</v>
      </c>
      <c r="O51" s="216"/>
      <c r="P51" s="213"/>
      <c r="Q51" s="214">
        <f>SUM('11CL-FAR-INGLES'!J43)</f>
        <v>18</v>
      </c>
      <c r="R51" s="215"/>
      <c r="S51" s="213"/>
      <c r="T51" s="211">
        <f>SUM('11CL-FAR-PATOL'!J43)</f>
        <v>12.833333333333334</v>
      </c>
      <c r="U51" s="215"/>
      <c r="V51" s="213"/>
      <c r="W51" s="211">
        <f>SUM('11CL-FAR-MPARASITOL'!J43)</f>
        <v>9.6666666666666661</v>
      </c>
      <c r="X51" s="216"/>
      <c r="Y51" s="213"/>
      <c r="Z51" s="214">
        <f>SUM('11CL-FAR-FARMACOL'!J43)</f>
        <v>13</v>
      </c>
      <c r="AA51" s="217"/>
      <c r="AB51" s="120"/>
      <c r="AC51" s="218">
        <f>SUM('11CL-FAR-FARMACOG'!J43)</f>
        <v>14.833333333333334</v>
      </c>
      <c r="AD51" s="219"/>
      <c r="AE51" s="213"/>
      <c r="AF51" s="211">
        <f>SUM('11CL-FAR-TPM'!J43)</f>
        <v>13.666666666666666</v>
      </c>
      <c r="AG51" s="219"/>
      <c r="AH51" s="120"/>
      <c r="AI51" s="211">
        <f>SUM('11CL-FAR-QCA ORG.'!J43)</f>
        <v>13.666666666666666</v>
      </c>
      <c r="AJ51" s="217"/>
      <c r="AK51" s="120"/>
      <c r="AL51" s="218">
        <f>SUM('11CL-FAR-ED. FIS'!J43)</f>
        <v>14</v>
      </c>
      <c r="AM51" s="220"/>
      <c r="AN51" s="120"/>
      <c r="AO51" s="220">
        <f>SUM('11CL-FAR-BOTANICA'!J43)</f>
        <v>15</v>
      </c>
      <c r="AP51" s="219"/>
      <c r="AQ51" s="213"/>
      <c r="AR51" s="211">
        <f>SUM('11CL-FAR-AFH'!J43)</f>
        <v>14.5</v>
      </c>
      <c r="AS51" s="61" t="s">
        <v>3</v>
      </c>
      <c r="AT51" s="75">
        <f t="shared" si="4"/>
        <v>13.653846153846153</v>
      </c>
      <c r="AU51" s="167">
        <v>18</v>
      </c>
      <c r="AV51" s="170" t="s">
        <v>1</v>
      </c>
    </row>
    <row r="52" spans="2:48" ht="19.5" customHeight="1" thickBot="1" x14ac:dyDescent="0.35">
      <c r="B52" s="58">
        <v>36</v>
      </c>
      <c r="C52" s="173">
        <v>4168</v>
      </c>
      <c r="D52" s="177" t="s">
        <v>126</v>
      </c>
      <c r="E52" s="71"/>
      <c r="F52" s="59"/>
      <c r="G52" s="60"/>
      <c r="H52" s="211">
        <f>SUM('11CL-FAR-L PORT'!J44)</f>
        <v>10.416666666666666</v>
      </c>
      <c r="I52" s="212"/>
      <c r="J52" s="213"/>
      <c r="K52" s="214">
        <f>SUM('11CL-FAR-MAT'!J44)</f>
        <v>13.833333333333334</v>
      </c>
      <c r="L52" s="215"/>
      <c r="M52" s="213"/>
      <c r="N52" s="211">
        <f>SUM('11CL-FAR-BIOL'!J44)</f>
        <v>10.333333333333334</v>
      </c>
      <c r="O52" s="216"/>
      <c r="P52" s="213"/>
      <c r="Q52" s="214">
        <f>SUM('11CL-FAR-INGLES'!J44)</f>
        <v>14</v>
      </c>
      <c r="R52" s="215"/>
      <c r="S52" s="213"/>
      <c r="T52" s="211">
        <f>SUM('11CL-FAR-PATOL'!J44)</f>
        <v>14.166666666666666</v>
      </c>
      <c r="U52" s="215"/>
      <c r="V52" s="213"/>
      <c r="W52" s="211">
        <f>SUM('11CL-FAR-MPARASITOL'!J44)</f>
        <v>9.3333333333333339</v>
      </c>
      <c r="X52" s="216"/>
      <c r="Y52" s="213"/>
      <c r="Z52" s="214">
        <f>SUM('11CL-FAR-FARMACOL'!J44)</f>
        <v>12.333333333333334</v>
      </c>
      <c r="AA52" s="217"/>
      <c r="AB52" s="120"/>
      <c r="AC52" s="218">
        <f>SUM('11CL-FAR-FARMACOG'!J44)</f>
        <v>12.5</v>
      </c>
      <c r="AD52" s="219"/>
      <c r="AE52" s="213"/>
      <c r="AF52" s="211">
        <f>SUM('11CL-FAR-TPM'!J44)</f>
        <v>8.6666666666666661</v>
      </c>
      <c r="AG52" s="219"/>
      <c r="AH52" s="120"/>
      <c r="AI52" s="211">
        <f>SUM('11CL-FAR-QCA ORG.'!J44)</f>
        <v>10.416666666666666</v>
      </c>
      <c r="AJ52" s="217"/>
      <c r="AK52" s="120"/>
      <c r="AL52" s="218">
        <f>SUM('11CL-FAR-ED. FIS'!J44)</f>
        <v>11</v>
      </c>
      <c r="AM52" s="220"/>
      <c r="AN52" s="120"/>
      <c r="AO52" s="220">
        <f>SUM('11CL-FAR-BOTANICA'!J44)</f>
        <v>13.5</v>
      </c>
      <c r="AP52" s="219"/>
      <c r="AQ52" s="213"/>
      <c r="AR52" s="211">
        <f>SUM('11CL-FAR-AFH'!J44)</f>
        <v>13.333333333333334</v>
      </c>
      <c r="AS52" s="61" t="s">
        <v>3</v>
      </c>
      <c r="AT52" s="75">
        <f t="shared" si="4"/>
        <v>11.833333333333334</v>
      </c>
      <c r="AU52" s="167">
        <v>18</v>
      </c>
      <c r="AV52" s="170" t="s">
        <v>1</v>
      </c>
    </row>
    <row r="53" spans="2:48" ht="19.5" customHeight="1" thickBot="1" x14ac:dyDescent="0.35">
      <c r="B53" s="58">
        <v>37</v>
      </c>
      <c r="C53" s="173">
        <v>4093</v>
      </c>
      <c r="D53" s="177" t="s">
        <v>127</v>
      </c>
      <c r="E53" s="71"/>
      <c r="F53" s="59"/>
      <c r="G53" s="60"/>
      <c r="H53" s="211">
        <f>SUM('11CL-FAR-L PORT'!J45)</f>
        <v>11.083333333333334</v>
      </c>
      <c r="I53" s="212"/>
      <c r="J53" s="213"/>
      <c r="K53" s="214">
        <f>SUM('11CL-FAR-MAT'!J45)</f>
        <v>16.5</v>
      </c>
      <c r="L53" s="215"/>
      <c r="M53" s="213"/>
      <c r="N53" s="211">
        <f>SUM('11CL-FAR-BIOL'!J45)</f>
        <v>10.666666666666666</v>
      </c>
      <c r="O53" s="216"/>
      <c r="P53" s="213"/>
      <c r="Q53" s="214">
        <f>SUM('11CL-FAR-INGLES'!J45)</f>
        <v>14.333333333333334</v>
      </c>
      <c r="R53" s="215"/>
      <c r="S53" s="213"/>
      <c r="T53" s="211">
        <f>SUM('11CL-FAR-PATOL'!J45)</f>
        <v>13</v>
      </c>
      <c r="U53" s="215"/>
      <c r="V53" s="213"/>
      <c r="W53" s="211">
        <f>SUM('11CL-FAR-MPARASITOL'!J45)</f>
        <v>10</v>
      </c>
      <c r="X53" s="216"/>
      <c r="Y53" s="213"/>
      <c r="Z53" s="214">
        <f>SUM('11CL-FAR-FARMACOL'!J45)</f>
        <v>12</v>
      </c>
      <c r="AA53" s="217"/>
      <c r="AB53" s="120"/>
      <c r="AC53" s="218">
        <f>SUM('11CL-FAR-FARMACOG'!J45)</f>
        <v>12</v>
      </c>
      <c r="AD53" s="219"/>
      <c r="AE53" s="213"/>
      <c r="AF53" s="211">
        <f>SUM('11CL-FAR-TPM'!J45)</f>
        <v>9.3333333333333339</v>
      </c>
      <c r="AG53" s="219"/>
      <c r="AH53" s="120"/>
      <c r="AI53" s="211">
        <f>SUM('11CL-FAR-QCA ORG.'!J45)</f>
        <v>11.083333333333334</v>
      </c>
      <c r="AJ53" s="217"/>
      <c r="AK53" s="120"/>
      <c r="AL53" s="218">
        <f>SUM('11CL-FAR-ED. FIS'!J45)</f>
        <v>10</v>
      </c>
      <c r="AM53" s="220"/>
      <c r="AN53" s="120"/>
      <c r="AO53" s="220">
        <f>SUM('11CL-FAR-BOTANICA'!J45)</f>
        <v>12.333333333333334</v>
      </c>
      <c r="AP53" s="219"/>
      <c r="AQ53" s="213"/>
      <c r="AR53" s="211">
        <f>SUM('11CL-FAR-AFH'!J45)</f>
        <v>10.166666666666666</v>
      </c>
      <c r="AS53" s="61" t="s">
        <v>3</v>
      </c>
      <c r="AT53" s="75">
        <f t="shared" si="4"/>
        <v>11.73076923076923</v>
      </c>
      <c r="AU53" s="167">
        <v>19</v>
      </c>
      <c r="AV53" s="170" t="s">
        <v>1</v>
      </c>
    </row>
    <row r="54" spans="2:48" ht="19.5" customHeight="1" thickBot="1" x14ac:dyDescent="0.35">
      <c r="B54" s="58">
        <v>38</v>
      </c>
      <c r="C54" s="173">
        <v>2988</v>
      </c>
      <c r="D54" s="177" t="s">
        <v>151</v>
      </c>
      <c r="E54" s="71"/>
      <c r="F54" s="59"/>
      <c r="G54" s="60"/>
      <c r="H54" s="211">
        <f>SUM('11CL-FAR-L PORT'!J46)</f>
        <v>9.1666666666666661</v>
      </c>
      <c r="I54" s="212"/>
      <c r="J54" s="213"/>
      <c r="K54" s="214">
        <f>SUM('11CL-FAR-MAT'!J46)</f>
        <v>0</v>
      </c>
      <c r="L54" s="215"/>
      <c r="M54" s="213"/>
      <c r="N54" s="211">
        <f>SUM('11CL-FAR-BIOL'!J46)</f>
        <v>0</v>
      </c>
      <c r="O54" s="216"/>
      <c r="P54" s="213"/>
      <c r="Q54" s="214">
        <f>SUM('11CL-FAR-INGLES'!J46)</f>
        <v>12</v>
      </c>
      <c r="R54" s="215"/>
      <c r="S54" s="213"/>
      <c r="T54" s="211">
        <f>SUM('11CL-FAR-PATOL'!J46)</f>
        <v>0</v>
      </c>
      <c r="U54" s="215"/>
      <c r="V54" s="213"/>
      <c r="W54" s="211">
        <f>SUM('11CL-FAR-MPARASITOL'!J46)</f>
        <v>0</v>
      </c>
      <c r="X54" s="216"/>
      <c r="Y54" s="213"/>
      <c r="Z54" s="214">
        <f>SUM('11CL-FAR-FARMACOL'!J46)</f>
        <v>0</v>
      </c>
      <c r="AA54" s="217"/>
      <c r="AB54" s="120"/>
      <c r="AC54" s="218">
        <f>SUM('11CL-FAR-FARMACOG'!J46)</f>
        <v>0</v>
      </c>
      <c r="AD54" s="219"/>
      <c r="AE54" s="213"/>
      <c r="AF54" s="211">
        <f>SUM('11CL-FAR-TPM'!J46)</f>
        <v>0</v>
      </c>
      <c r="AG54" s="219"/>
      <c r="AH54" s="120"/>
      <c r="AI54" s="211">
        <f>SUM('11CL-FAR-QCA ORG.'!J46)</f>
        <v>9.1666666666666661</v>
      </c>
      <c r="AJ54" s="217"/>
      <c r="AK54" s="120"/>
      <c r="AL54" s="218">
        <f>SUM('11CL-FAR-ED. FIS'!J46)</f>
        <v>0</v>
      </c>
      <c r="AM54" s="220"/>
      <c r="AN54" s="120"/>
      <c r="AO54" s="220">
        <f>SUM('11CL-FAR-BOTANICA'!J46)</f>
        <v>0</v>
      </c>
      <c r="AP54" s="219"/>
      <c r="AQ54" s="213"/>
      <c r="AR54" s="211">
        <f>SUM('11CL-FAR-AFH'!J46)</f>
        <v>10</v>
      </c>
      <c r="AS54" s="61" t="s">
        <v>3</v>
      </c>
      <c r="AT54" s="75">
        <f t="shared" si="4"/>
        <v>3.1025641025641022</v>
      </c>
      <c r="AU54" s="167">
        <v>18</v>
      </c>
      <c r="AV54" s="170" t="s">
        <v>1</v>
      </c>
    </row>
    <row r="55" spans="2:48" ht="19.5" customHeight="1" thickBot="1" x14ac:dyDescent="0.35">
      <c r="B55" s="58">
        <v>39</v>
      </c>
      <c r="C55" s="173">
        <v>3235</v>
      </c>
      <c r="D55" s="177" t="s">
        <v>128</v>
      </c>
      <c r="E55" s="71"/>
      <c r="F55" s="59"/>
      <c r="G55" s="60"/>
      <c r="H55" s="211">
        <f>SUM('11CL-FAR-L PORT'!J47)</f>
        <v>13.833333333333334</v>
      </c>
      <c r="I55" s="212"/>
      <c r="J55" s="213"/>
      <c r="K55" s="214">
        <f>SUM('11CL-FAR-MAT'!J47)</f>
        <v>19.333333333333332</v>
      </c>
      <c r="L55" s="215"/>
      <c r="M55" s="213"/>
      <c r="N55" s="211">
        <f>SUM('11CL-FAR-BIOL'!J47)</f>
        <v>11.333333333333334</v>
      </c>
      <c r="O55" s="216"/>
      <c r="P55" s="213"/>
      <c r="Q55" s="214">
        <f>SUM('11CL-FAR-INGLES'!J47)</f>
        <v>20</v>
      </c>
      <c r="R55" s="215"/>
      <c r="S55" s="213"/>
      <c r="T55" s="211">
        <f>SUM('11CL-FAR-PATOL'!J47)</f>
        <v>10.166666666666666</v>
      </c>
      <c r="U55" s="215"/>
      <c r="V55" s="213"/>
      <c r="W55" s="211">
        <f>SUM('11CL-FAR-MPARASITOL'!J47)</f>
        <v>7.5</v>
      </c>
      <c r="X55" s="216"/>
      <c r="Y55" s="213"/>
      <c r="Z55" s="214">
        <f>SUM('11CL-FAR-FARMACOL'!J47)</f>
        <v>13.333333333333334</v>
      </c>
      <c r="AA55" s="217"/>
      <c r="AB55" s="120"/>
      <c r="AC55" s="218">
        <f>SUM('11CL-FAR-FARMACOG'!J47)</f>
        <v>14.833333333333334</v>
      </c>
      <c r="AD55" s="219"/>
      <c r="AE55" s="213"/>
      <c r="AF55" s="211">
        <f>SUM('11CL-FAR-TPM'!J47)</f>
        <v>12.666666666666666</v>
      </c>
      <c r="AG55" s="219"/>
      <c r="AH55" s="120"/>
      <c r="AI55" s="211">
        <f>SUM('11CL-FAR-QCA ORG.'!J47)</f>
        <v>13.833333333333334</v>
      </c>
      <c r="AJ55" s="217"/>
      <c r="AK55" s="120"/>
      <c r="AL55" s="218">
        <f>SUM('11CL-FAR-ED. FIS'!J47)</f>
        <v>11</v>
      </c>
      <c r="AM55" s="220"/>
      <c r="AN55" s="120"/>
      <c r="AO55" s="220">
        <f>SUM('11CL-FAR-BOTANICA'!J47)</f>
        <v>15.333333333333334</v>
      </c>
      <c r="AP55" s="219"/>
      <c r="AQ55" s="213"/>
      <c r="AR55" s="211">
        <f>SUM('11CL-FAR-AFH'!J47)</f>
        <v>15.833333333333334</v>
      </c>
      <c r="AS55" s="61" t="s">
        <v>3</v>
      </c>
      <c r="AT55" s="75">
        <f t="shared" si="4"/>
        <v>13.769230769230772</v>
      </c>
      <c r="AU55" s="167">
        <v>17</v>
      </c>
      <c r="AV55" s="170" t="s">
        <v>1</v>
      </c>
    </row>
    <row r="56" spans="2:48" ht="19.5" customHeight="1" thickBot="1" x14ac:dyDescent="0.35">
      <c r="B56" s="58">
        <v>40</v>
      </c>
      <c r="C56" s="173">
        <v>4087</v>
      </c>
      <c r="D56" s="177" t="s">
        <v>129</v>
      </c>
      <c r="E56" s="71"/>
      <c r="F56" s="59"/>
      <c r="G56" s="60"/>
      <c r="H56" s="211">
        <f>SUM('11CL-FAR-L PORT'!J48)</f>
        <v>11</v>
      </c>
      <c r="I56" s="212"/>
      <c r="J56" s="213"/>
      <c r="K56" s="214">
        <f>SUM('11CL-FAR-MAT'!J48)</f>
        <v>14.666666666666666</v>
      </c>
      <c r="L56" s="215"/>
      <c r="M56" s="213"/>
      <c r="N56" s="211">
        <f>SUM('11CL-FAR-BIOL'!J48)</f>
        <v>9.3333333333333339</v>
      </c>
      <c r="O56" s="216"/>
      <c r="P56" s="213"/>
      <c r="Q56" s="214">
        <f>SUM('11CL-FAR-INGLES'!J48)</f>
        <v>11</v>
      </c>
      <c r="R56" s="215"/>
      <c r="S56" s="213"/>
      <c r="T56" s="211">
        <f>SUM('11CL-FAR-PATOL'!J48)</f>
        <v>15.833333333333334</v>
      </c>
      <c r="U56" s="215"/>
      <c r="V56" s="213"/>
      <c r="W56" s="211">
        <f>SUM('11CL-FAR-MPARASITOL'!J48)</f>
        <v>10</v>
      </c>
      <c r="X56" s="216"/>
      <c r="Y56" s="213"/>
      <c r="Z56" s="214">
        <f>SUM('11CL-FAR-FARMACOL'!J48)</f>
        <v>13.333333333333334</v>
      </c>
      <c r="AA56" s="217"/>
      <c r="AB56" s="120"/>
      <c r="AC56" s="218">
        <f>SUM('11CL-FAR-FARMACOG'!J48)</f>
        <v>12.666666666666666</v>
      </c>
      <c r="AD56" s="219"/>
      <c r="AE56" s="213"/>
      <c r="AF56" s="211">
        <f>SUM('11CL-FAR-TPM'!J48)</f>
        <v>7.666666666666667</v>
      </c>
      <c r="AG56" s="219"/>
      <c r="AH56" s="120"/>
      <c r="AI56" s="211">
        <f>SUM('11CL-FAR-QCA ORG.'!J48)</f>
        <v>11</v>
      </c>
      <c r="AJ56" s="217"/>
      <c r="AK56" s="120"/>
      <c r="AL56" s="218">
        <f>SUM('11CL-FAR-ED. FIS'!J48)</f>
        <v>13</v>
      </c>
      <c r="AM56" s="220"/>
      <c r="AN56" s="120"/>
      <c r="AO56" s="220">
        <f>SUM('11CL-FAR-BOTANICA'!J48)</f>
        <v>11.666666666666666</v>
      </c>
      <c r="AP56" s="219"/>
      <c r="AQ56" s="213"/>
      <c r="AR56" s="211">
        <f>SUM('11CL-FAR-AFH'!J48)</f>
        <v>10.833333333333334</v>
      </c>
      <c r="AS56" s="61" t="s">
        <v>3</v>
      </c>
      <c r="AT56" s="75">
        <f t="shared" si="4"/>
        <v>11.692307692307692</v>
      </c>
      <c r="AU56" s="167">
        <v>28</v>
      </c>
      <c r="AV56" s="170" t="s">
        <v>1</v>
      </c>
    </row>
    <row r="57" spans="2:48" ht="19.5" customHeight="1" thickBot="1" x14ac:dyDescent="0.35">
      <c r="B57" s="58">
        <v>41</v>
      </c>
      <c r="C57" s="173">
        <v>3578</v>
      </c>
      <c r="D57" s="177" t="s">
        <v>130</v>
      </c>
      <c r="E57" s="71"/>
      <c r="F57" s="59"/>
      <c r="G57" s="60"/>
      <c r="H57" s="211">
        <f>SUM('11CL-FAR-L PORT'!J49)</f>
        <v>6.666666666666667</v>
      </c>
      <c r="I57" s="212"/>
      <c r="J57" s="213"/>
      <c r="K57" s="214">
        <f>SUM('11CL-FAR-MAT'!J49)</f>
        <v>0</v>
      </c>
      <c r="L57" s="215"/>
      <c r="M57" s="213"/>
      <c r="N57" s="211">
        <f>SUM('11CL-FAR-BIOL'!J49)</f>
        <v>0</v>
      </c>
      <c r="O57" s="216"/>
      <c r="P57" s="213"/>
      <c r="Q57" s="214">
        <f>SUM('11CL-FAR-INGLES'!J49)</f>
        <v>0</v>
      </c>
      <c r="R57" s="215"/>
      <c r="S57" s="213"/>
      <c r="T57" s="211">
        <f>SUM('11CL-FAR-PATOL'!J49)</f>
        <v>0</v>
      </c>
      <c r="U57" s="215"/>
      <c r="V57" s="213"/>
      <c r="W57" s="211">
        <f>SUM('11CL-FAR-MPARASITOL'!J49)</f>
        <v>0</v>
      </c>
      <c r="X57" s="216"/>
      <c r="Y57" s="213"/>
      <c r="Z57" s="214">
        <f>SUM('11CL-FAR-FARMACOL'!J49)</f>
        <v>0</v>
      </c>
      <c r="AA57" s="217"/>
      <c r="AB57" s="120"/>
      <c r="AC57" s="218">
        <f>SUM('11CL-FAR-FARMACOG'!J49)</f>
        <v>3.3333333333333335</v>
      </c>
      <c r="AD57" s="219"/>
      <c r="AE57" s="213"/>
      <c r="AF57" s="211">
        <f>SUM('11CL-FAR-TPM'!J49)</f>
        <v>0</v>
      </c>
      <c r="AG57" s="219"/>
      <c r="AH57" s="120"/>
      <c r="AI57" s="211">
        <f>SUM('11CL-FAR-QCA ORG.'!J49)</f>
        <v>6.666666666666667</v>
      </c>
      <c r="AJ57" s="217"/>
      <c r="AK57" s="120"/>
      <c r="AL57" s="218">
        <f>SUM('11CL-FAR-ED. FIS'!J49)</f>
        <v>4</v>
      </c>
      <c r="AM57" s="220"/>
      <c r="AN57" s="120"/>
      <c r="AO57" s="220">
        <f>SUM('11CL-FAR-BOTANICA'!J49)</f>
        <v>0</v>
      </c>
      <c r="AP57" s="219"/>
      <c r="AQ57" s="213"/>
      <c r="AR57" s="211">
        <f>SUM('11CL-FAR-AFH'!J49)</f>
        <v>0</v>
      </c>
      <c r="AS57" s="61" t="s">
        <v>150</v>
      </c>
      <c r="AT57" s="75">
        <f t="shared" si="4"/>
        <v>1.5897435897435899</v>
      </c>
      <c r="AU57" s="167">
        <v>21</v>
      </c>
      <c r="AV57" s="170" t="s">
        <v>1</v>
      </c>
    </row>
    <row r="58" spans="2:48" ht="19.5" customHeight="1" thickBot="1" x14ac:dyDescent="0.35">
      <c r="B58" s="58">
        <v>42</v>
      </c>
      <c r="C58" s="173">
        <v>3059</v>
      </c>
      <c r="D58" s="177" t="s">
        <v>131</v>
      </c>
      <c r="E58" s="71"/>
      <c r="F58" s="59"/>
      <c r="G58" s="60"/>
      <c r="H58" s="211">
        <f>SUM('11CL-FAR-L PORT'!J50)</f>
        <v>3</v>
      </c>
      <c r="I58" s="212"/>
      <c r="J58" s="213"/>
      <c r="K58" s="214">
        <f>SUM('11CL-FAR-MAT'!J50)</f>
        <v>10.333333333333334</v>
      </c>
      <c r="L58" s="215"/>
      <c r="M58" s="213"/>
      <c r="N58" s="211">
        <f>SUM('11CL-FAR-BIOL'!J50)</f>
        <v>10</v>
      </c>
      <c r="O58" s="216"/>
      <c r="P58" s="213"/>
      <c r="Q58" s="214">
        <f>SUM('11CL-FAR-INGLES'!J50)</f>
        <v>10.333333333333334</v>
      </c>
      <c r="R58" s="215"/>
      <c r="S58" s="213"/>
      <c r="T58" s="211">
        <f>SUM('11CL-FAR-PATOL'!J50)</f>
        <v>8.6666666666666661</v>
      </c>
      <c r="U58" s="215"/>
      <c r="V58" s="213"/>
      <c r="W58" s="211">
        <f>SUM('11CL-FAR-MPARASITOL'!J50)</f>
        <v>8.6666666666666661</v>
      </c>
      <c r="X58" s="216"/>
      <c r="Y58" s="213"/>
      <c r="Z58" s="214">
        <f>SUM('11CL-FAR-FARMACOL'!J50)</f>
        <v>12.333333333333334</v>
      </c>
      <c r="AA58" s="217"/>
      <c r="AB58" s="120"/>
      <c r="AC58" s="218">
        <f>SUM('11CL-FAR-FARMACOG'!J50)</f>
        <v>9.6666666666666661</v>
      </c>
      <c r="AD58" s="219"/>
      <c r="AE58" s="213"/>
      <c r="AF58" s="211">
        <f>SUM('11CL-FAR-TPM'!J50)</f>
        <v>7.333333333333333</v>
      </c>
      <c r="AG58" s="219"/>
      <c r="AH58" s="120"/>
      <c r="AI58" s="211">
        <f>SUM('11CL-FAR-QCA ORG.'!J50)</f>
        <v>3</v>
      </c>
      <c r="AJ58" s="217"/>
      <c r="AK58" s="120"/>
      <c r="AL58" s="218">
        <f>SUM('11CL-FAR-ED. FIS'!J50)</f>
        <v>9</v>
      </c>
      <c r="AM58" s="220"/>
      <c r="AN58" s="120"/>
      <c r="AO58" s="220">
        <f>SUM('11CL-FAR-BOTANICA'!J50)</f>
        <v>11.166666666666666</v>
      </c>
      <c r="AP58" s="219"/>
      <c r="AQ58" s="213"/>
      <c r="AR58" s="211">
        <f>SUM('11CL-FAR-AFH'!J50)</f>
        <v>7</v>
      </c>
      <c r="AS58" s="61" t="s">
        <v>3</v>
      </c>
      <c r="AT58" s="75">
        <f t="shared" si="4"/>
        <v>8.5</v>
      </c>
      <c r="AU58" s="167">
        <v>20</v>
      </c>
      <c r="AV58" s="170" t="s">
        <v>0</v>
      </c>
    </row>
    <row r="59" spans="2:48" ht="19.5" customHeight="1" thickBot="1" x14ac:dyDescent="0.35">
      <c r="B59" s="58">
        <v>43</v>
      </c>
      <c r="C59" s="173">
        <v>4046</v>
      </c>
      <c r="D59" s="177" t="s">
        <v>132</v>
      </c>
      <c r="E59" s="71"/>
      <c r="F59" s="59"/>
      <c r="G59" s="60"/>
      <c r="H59" s="211">
        <f>SUM('11CL-FAR-L PORT'!J51)</f>
        <v>9.8333333333333339</v>
      </c>
      <c r="I59" s="212"/>
      <c r="J59" s="213"/>
      <c r="K59" s="214">
        <f>SUM('11CL-FAR-MAT'!J51)</f>
        <v>14.833333333333334</v>
      </c>
      <c r="L59" s="215"/>
      <c r="M59" s="213"/>
      <c r="N59" s="211">
        <f>SUM('11CL-FAR-BIOL'!J51)</f>
        <v>12</v>
      </c>
      <c r="O59" s="216"/>
      <c r="P59" s="213"/>
      <c r="Q59" s="214">
        <f>SUM('11CL-FAR-INGLES'!J51)</f>
        <v>9.6666666666666661</v>
      </c>
      <c r="R59" s="215"/>
      <c r="S59" s="213"/>
      <c r="T59" s="211">
        <f>SUM('11CL-FAR-PATOL'!J51)</f>
        <v>14</v>
      </c>
      <c r="U59" s="215"/>
      <c r="V59" s="213"/>
      <c r="W59" s="211">
        <f>SUM('11CL-FAR-MPARASITOL'!J51)</f>
        <v>9.6666666666666661</v>
      </c>
      <c r="X59" s="216"/>
      <c r="Y59" s="213"/>
      <c r="Z59" s="214">
        <f>SUM('11CL-FAR-FARMACOL'!J51)</f>
        <v>11</v>
      </c>
      <c r="AA59" s="217"/>
      <c r="AB59" s="120"/>
      <c r="AC59" s="218">
        <f>SUM('11CL-FAR-FARMACOG'!J51)</f>
        <v>10</v>
      </c>
      <c r="AD59" s="219"/>
      <c r="AE59" s="213"/>
      <c r="AF59" s="211">
        <f>SUM('11CL-FAR-TPM'!J51)</f>
        <v>9.3333333333333339</v>
      </c>
      <c r="AG59" s="219"/>
      <c r="AH59" s="120"/>
      <c r="AI59" s="211">
        <f>SUM('11CL-FAR-QCA ORG.'!J51)</f>
        <v>9.8333333333333339</v>
      </c>
      <c r="AJ59" s="217"/>
      <c r="AK59" s="120"/>
      <c r="AL59" s="218">
        <f>SUM('11CL-FAR-ED. FIS'!J51)</f>
        <v>14</v>
      </c>
      <c r="AM59" s="220"/>
      <c r="AN59" s="120"/>
      <c r="AO59" s="220">
        <f>SUM('11CL-FAR-BOTANICA'!J51)</f>
        <v>11.5</v>
      </c>
      <c r="AP59" s="219"/>
      <c r="AQ59" s="213"/>
      <c r="AR59" s="211">
        <f>SUM('11CL-FAR-AFH'!J51)</f>
        <v>9.5</v>
      </c>
      <c r="AS59" s="61" t="s">
        <v>3</v>
      </c>
      <c r="AT59" s="75">
        <f t="shared" si="4"/>
        <v>11.166666666666666</v>
      </c>
      <c r="AU59" s="167">
        <v>21</v>
      </c>
      <c r="AV59" s="170" t="s">
        <v>0</v>
      </c>
    </row>
    <row r="60" spans="2:48" ht="19.5" customHeight="1" thickBot="1" x14ac:dyDescent="0.35">
      <c r="B60" s="58">
        <v>44</v>
      </c>
      <c r="C60" s="173">
        <v>4150</v>
      </c>
      <c r="D60" s="177" t="s">
        <v>133</v>
      </c>
      <c r="E60" s="71"/>
      <c r="F60" s="59"/>
      <c r="G60" s="60"/>
      <c r="H60" s="211">
        <f>SUM('11CL-FAR-L PORT'!J52)</f>
        <v>3.25</v>
      </c>
      <c r="I60" s="212"/>
      <c r="J60" s="213"/>
      <c r="K60" s="214">
        <f>SUM('11CL-FAR-MAT'!J52)</f>
        <v>2.6666666666666665</v>
      </c>
      <c r="L60" s="215"/>
      <c r="M60" s="213"/>
      <c r="N60" s="211">
        <f>SUM('11CL-FAR-BIOL'!J52)</f>
        <v>7.333333333333333</v>
      </c>
      <c r="O60" s="216"/>
      <c r="P60" s="213"/>
      <c r="Q60" s="214">
        <f>SUM('11CL-FAR-INGLES'!J52)</f>
        <v>7.333333333333333</v>
      </c>
      <c r="R60" s="215"/>
      <c r="S60" s="213"/>
      <c r="T60" s="211">
        <f>SUM('11CL-FAR-PATOL'!J52)</f>
        <v>7.5</v>
      </c>
      <c r="U60" s="215"/>
      <c r="V60" s="213"/>
      <c r="W60" s="211">
        <f>SUM('11CL-FAR-MPARASITOL'!J52)</f>
        <v>7.333333333333333</v>
      </c>
      <c r="X60" s="216"/>
      <c r="Y60" s="213"/>
      <c r="Z60" s="214">
        <f>SUM('11CL-FAR-FARMACOL'!J52)</f>
        <v>7</v>
      </c>
      <c r="AA60" s="217"/>
      <c r="AB60" s="120"/>
      <c r="AC60" s="218">
        <f>SUM('11CL-FAR-FARMACOG'!J52)</f>
        <v>8.8333333333333339</v>
      </c>
      <c r="AD60" s="219"/>
      <c r="AE60" s="213"/>
      <c r="AF60" s="211">
        <f>SUM('11CL-FAR-TPM'!J52)</f>
        <v>0</v>
      </c>
      <c r="AG60" s="219"/>
      <c r="AH60" s="120"/>
      <c r="AI60" s="211">
        <f>SUM('11CL-FAR-QCA ORG.'!J52)</f>
        <v>3.25</v>
      </c>
      <c r="AJ60" s="217"/>
      <c r="AK60" s="120"/>
      <c r="AL60" s="218">
        <f>SUM('11CL-FAR-ED. FIS'!J52)</f>
        <v>0</v>
      </c>
      <c r="AM60" s="220"/>
      <c r="AN60" s="120"/>
      <c r="AO60" s="220">
        <f>SUM('11CL-FAR-BOTANICA'!J52)</f>
        <v>8.8333333333333339</v>
      </c>
      <c r="AP60" s="219"/>
      <c r="AQ60" s="213"/>
      <c r="AR60" s="211">
        <f>SUM('11CL-FAR-AFH'!J52)</f>
        <v>5.666666666666667</v>
      </c>
      <c r="AS60" s="61" t="s">
        <v>3</v>
      </c>
      <c r="AT60" s="75">
        <f t="shared" si="4"/>
        <v>5.3076923076923075</v>
      </c>
      <c r="AU60" s="167">
        <v>31</v>
      </c>
      <c r="AV60" s="170" t="s">
        <v>1</v>
      </c>
    </row>
    <row r="61" spans="2:48" ht="19.5" customHeight="1" thickBot="1" x14ac:dyDescent="0.35">
      <c r="B61" s="58">
        <v>45</v>
      </c>
      <c r="C61" s="174">
        <v>4096</v>
      </c>
      <c r="D61" s="177" t="s">
        <v>134</v>
      </c>
      <c r="E61" s="71"/>
      <c r="F61" s="59"/>
      <c r="G61" s="60"/>
      <c r="H61" s="211">
        <f>SUM('11CL-FAR-L PORT'!J53)</f>
        <v>0</v>
      </c>
      <c r="I61" s="212"/>
      <c r="J61" s="213"/>
      <c r="K61" s="214">
        <f>SUM('11CL-FAR-MAT'!J53)</f>
        <v>0</v>
      </c>
      <c r="L61" s="215"/>
      <c r="M61" s="213"/>
      <c r="N61" s="211">
        <f>SUM('11CL-FAR-BIOL'!J53)</f>
        <v>0</v>
      </c>
      <c r="O61" s="216"/>
      <c r="P61" s="213"/>
      <c r="Q61" s="214">
        <f>SUM('11CL-FAR-INGLES'!J53)</f>
        <v>0</v>
      </c>
      <c r="R61" s="215"/>
      <c r="S61" s="213"/>
      <c r="T61" s="211">
        <f>SUM('11CL-FAR-PATOL'!J53)</f>
        <v>0</v>
      </c>
      <c r="U61" s="215"/>
      <c r="V61" s="213"/>
      <c r="W61" s="211">
        <f>SUM('11CL-FAR-MPARASITOL'!J53)</f>
        <v>0</v>
      </c>
      <c r="X61" s="216"/>
      <c r="Y61" s="213"/>
      <c r="Z61" s="214">
        <f>SUM('11CL-FAR-FARMACOL'!J53)</f>
        <v>0</v>
      </c>
      <c r="AA61" s="217"/>
      <c r="AB61" s="120"/>
      <c r="AC61" s="218">
        <f>SUM('11CL-FAR-FARMACOG'!J53)</f>
        <v>1.6666666666666667</v>
      </c>
      <c r="AD61" s="219"/>
      <c r="AE61" s="213"/>
      <c r="AF61" s="211">
        <f>SUM('11CL-FAR-TPM'!J53)</f>
        <v>0</v>
      </c>
      <c r="AG61" s="219"/>
      <c r="AH61" s="120"/>
      <c r="AI61" s="211">
        <f>SUM('11CL-FAR-QCA ORG.'!J53)</f>
        <v>0</v>
      </c>
      <c r="AJ61" s="217"/>
      <c r="AK61" s="120"/>
      <c r="AL61" s="218">
        <f>SUM('11CL-FAR-ED. FIS'!J53)</f>
        <v>0</v>
      </c>
      <c r="AM61" s="220"/>
      <c r="AN61" s="120"/>
      <c r="AO61" s="220">
        <f>SUM('11CL-FAR-BOTANICA'!J53)</f>
        <v>0</v>
      </c>
      <c r="AP61" s="219"/>
      <c r="AQ61" s="213"/>
      <c r="AR61" s="211">
        <f>SUM('11CL-FAR-AFH'!J53)</f>
        <v>0</v>
      </c>
      <c r="AS61" s="61" t="s">
        <v>150</v>
      </c>
      <c r="AT61" s="75">
        <f t="shared" si="4"/>
        <v>0.12820512820512822</v>
      </c>
      <c r="AU61" s="167">
        <v>16</v>
      </c>
      <c r="AV61" s="170" t="s">
        <v>1</v>
      </c>
    </row>
    <row r="62" spans="2:48" ht="19.5" customHeight="1" thickBot="1" x14ac:dyDescent="0.35">
      <c r="B62" s="58">
        <v>46</v>
      </c>
      <c r="C62" s="174">
        <v>3297</v>
      </c>
      <c r="D62" s="177" t="s">
        <v>153</v>
      </c>
      <c r="E62" s="71"/>
      <c r="F62" s="59"/>
      <c r="G62" s="60"/>
      <c r="H62" s="211">
        <f>SUM('11CL-FAR-L PORT'!J54)</f>
        <v>8.3333333333333339</v>
      </c>
      <c r="I62" s="212"/>
      <c r="J62" s="213"/>
      <c r="K62" s="214">
        <f>SUM('11CL-FAR-MAT'!J54)</f>
        <v>0</v>
      </c>
      <c r="L62" s="215"/>
      <c r="M62" s="213"/>
      <c r="N62" s="211">
        <f>SUM('11CL-FAR-BIOL'!J54)</f>
        <v>0</v>
      </c>
      <c r="O62" s="216"/>
      <c r="P62" s="213"/>
      <c r="Q62" s="214">
        <f>SUM('11CL-FAR-INGLES'!J54)</f>
        <v>7.666666666666667</v>
      </c>
      <c r="R62" s="215"/>
      <c r="S62" s="213"/>
      <c r="T62" s="211">
        <f>SUM('11CL-FAR-PATOL'!J54)</f>
        <v>0</v>
      </c>
      <c r="U62" s="215"/>
      <c r="V62" s="213"/>
      <c r="W62" s="211">
        <f>SUM('11CL-FAR-MPARASITOL'!J54)</f>
        <v>0</v>
      </c>
      <c r="X62" s="216"/>
      <c r="Y62" s="213"/>
      <c r="Z62" s="214">
        <f>SUM('11CL-FAR-FARMACOL'!J54)</f>
        <v>0</v>
      </c>
      <c r="AA62" s="217"/>
      <c r="AB62" s="120"/>
      <c r="AC62" s="218">
        <f>SUM('11CL-FAR-FARMACOG'!J54)</f>
        <v>0</v>
      </c>
      <c r="AD62" s="219"/>
      <c r="AE62" s="213"/>
      <c r="AF62" s="211">
        <f>SUM('11CL-FAR-TPM'!J54)</f>
        <v>6.666666666666667</v>
      </c>
      <c r="AG62" s="219"/>
      <c r="AH62" s="120"/>
      <c r="AI62" s="211">
        <f>SUM('11CL-FAR-QCA ORG.'!J54)</f>
        <v>8.3333333333333339</v>
      </c>
      <c r="AJ62" s="217"/>
      <c r="AK62" s="120"/>
      <c r="AL62" s="218">
        <f>SUM('11CL-FAR-ED. FIS'!J54)</f>
        <v>0</v>
      </c>
      <c r="AM62" s="220"/>
      <c r="AN62" s="120"/>
      <c r="AO62" s="220">
        <f>SUM('11CL-FAR-BOTANICA'!J54)</f>
        <v>0</v>
      </c>
      <c r="AP62" s="219"/>
      <c r="AQ62" s="213"/>
      <c r="AR62" s="211">
        <f>SUM('11CL-FAR-AFH'!J54)</f>
        <v>0</v>
      </c>
      <c r="AS62" s="61" t="s">
        <v>150</v>
      </c>
      <c r="AT62" s="75">
        <f t="shared" ref="AT62" si="5">AVERAGE(H62:AR62)</f>
        <v>2.3846153846153846</v>
      </c>
      <c r="AU62" s="167">
        <v>24</v>
      </c>
      <c r="AV62" s="170" t="s">
        <v>1</v>
      </c>
    </row>
    <row r="63" spans="2:48" ht="19.5" customHeight="1" thickBot="1" x14ac:dyDescent="0.35">
      <c r="B63" s="58">
        <v>47</v>
      </c>
      <c r="C63" s="173">
        <v>4187</v>
      </c>
      <c r="D63" s="177" t="s">
        <v>135</v>
      </c>
      <c r="E63" s="71"/>
      <c r="F63" s="59"/>
      <c r="G63" s="60"/>
      <c r="H63" s="211">
        <f>SUM('11CL-FAR-L PORT'!J55)</f>
        <v>10.5</v>
      </c>
      <c r="I63" s="212"/>
      <c r="J63" s="213"/>
      <c r="K63" s="214">
        <f>SUM('11CL-FAR-MAT'!J55)</f>
        <v>5.333333333333333</v>
      </c>
      <c r="L63" s="215"/>
      <c r="M63" s="213"/>
      <c r="N63" s="211">
        <f>SUM('11CL-FAR-BIOL'!J55)</f>
        <v>9</v>
      </c>
      <c r="O63" s="216"/>
      <c r="P63" s="213"/>
      <c r="Q63" s="214">
        <f>SUM('11CL-FAR-INGLES'!J55)</f>
        <v>10.333333333333334</v>
      </c>
      <c r="R63" s="215"/>
      <c r="S63" s="213"/>
      <c r="T63" s="211">
        <f>SUM('11CL-FAR-PATOL'!J55)</f>
        <v>4</v>
      </c>
      <c r="U63" s="215"/>
      <c r="V63" s="213"/>
      <c r="W63" s="211">
        <f>SUM('11CL-FAR-MPARASITOL'!J55)</f>
        <v>3.6666666666666665</v>
      </c>
      <c r="X63" s="216"/>
      <c r="Y63" s="213"/>
      <c r="Z63" s="214">
        <f>SUM('11CL-FAR-FARMACOL'!J55)</f>
        <v>10.666666666666666</v>
      </c>
      <c r="AA63" s="217"/>
      <c r="AB63" s="120"/>
      <c r="AC63" s="218">
        <f>SUM('11CL-FAR-FARMACOG'!J55)</f>
        <v>8.3333333333333339</v>
      </c>
      <c r="AD63" s="219"/>
      <c r="AE63" s="213"/>
      <c r="AF63" s="211">
        <f>SUM('11CL-FAR-TPM'!J55)</f>
        <v>7</v>
      </c>
      <c r="AG63" s="219"/>
      <c r="AH63" s="120"/>
      <c r="AI63" s="211">
        <f>SUM('11CL-FAR-QCA ORG.'!J55)</f>
        <v>10.5</v>
      </c>
      <c r="AJ63" s="217"/>
      <c r="AK63" s="120"/>
      <c r="AL63" s="218">
        <f>SUM('11CL-FAR-ED. FIS'!J55)</f>
        <v>10.666666666666666</v>
      </c>
      <c r="AM63" s="220"/>
      <c r="AN63" s="120"/>
      <c r="AO63" s="220">
        <f>SUM('11CL-FAR-BOTANICA'!J55)</f>
        <v>11.666666666666666</v>
      </c>
      <c r="AP63" s="219"/>
      <c r="AQ63" s="213"/>
      <c r="AR63" s="211">
        <f>SUM('11CL-FAR-AFH'!J55)</f>
        <v>10</v>
      </c>
      <c r="AS63" s="61" t="s">
        <v>3</v>
      </c>
      <c r="AT63" s="75">
        <f t="shared" si="4"/>
        <v>8.5897435897435894</v>
      </c>
      <c r="AU63" s="167">
        <v>20</v>
      </c>
      <c r="AV63" s="170" t="s">
        <v>0</v>
      </c>
    </row>
    <row r="64" spans="2:48" s="63" customFormat="1" ht="19.5" customHeight="1" thickBot="1" x14ac:dyDescent="0.35">
      <c r="B64" s="58">
        <v>48</v>
      </c>
      <c r="C64" s="173">
        <v>3431</v>
      </c>
      <c r="D64" s="177" t="s">
        <v>136</v>
      </c>
      <c r="E64" s="71"/>
      <c r="F64" s="59"/>
      <c r="G64" s="60"/>
      <c r="H64" s="211">
        <f>SUM('11CL-FAR-L PORT'!J56)</f>
        <v>2.25</v>
      </c>
      <c r="I64" s="212"/>
      <c r="J64" s="213"/>
      <c r="K64" s="214">
        <f>SUM('11CL-FAR-MAT'!J56)</f>
        <v>8</v>
      </c>
      <c r="L64" s="215"/>
      <c r="M64" s="213"/>
      <c r="N64" s="211">
        <f>SUM('11CL-FAR-BIOL'!J56)</f>
        <v>9</v>
      </c>
      <c r="O64" s="216"/>
      <c r="P64" s="213"/>
      <c r="Q64" s="214">
        <f>SUM('11CL-FAR-INGLES'!J56)</f>
        <v>12.666666666666666</v>
      </c>
      <c r="R64" s="215"/>
      <c r="S64" s="213"/>
      <c r="T64" s="211">
        <f>SUM('11CL-FAR-PATOL'!J56)</f>
        <v>6.333333333333333</v>
      </c>
      <c r="U64" s="215"/>
      <c r="V64" s="213"/>
      <c r="W64" s="211">
        <f>SUM('11CL-FAR-MPARASITOL'!J56)</f>
        <v>3</v>
      </c>
      <c r="X64" s="216"/>
      <c r="Y64" s="213"/>
      <c r="Z64" s="214">
        <f>SUM('11CL-FAR-FARMACOL'!J56)</f>
        <v>7.666666666666667</v>
      </c>
      <c r="AA64" s="217"/>
      <c r="AB64" s="120"/>
      <c r="AC64" s="218">
        <f>SUM('11CL-FAR-FARMACOG'!J56)</f>
        <v>9.1666666666666661</v>
      </c>
      <c r="AD64" s="219"/>
      <c r="AE64" s="213"/>
      <c r="AF64" s="211">
        <f>SUM('11CL-FAR-TPM'!J56)</f>
        <v>10</v>
      </c>
      <c r="AG64" s="219"/>
      <c r="AH64" s="120"/>
      <c r="AI64" s="211">
        <f>SUM('11CL-FAR-QCA ORG.'!J56)</f>
        <v>2.25</v>
      </c>
      <c r="AJ64" s="217"/>
      <c r="AK64" s="120"/>
      <c r="AL64" s="218">
        <f>SUM('11CL-FAR-ED. FIS'!J56)</f>
        <v>12</v>
      </c>
      <c r="AM64" s="220"/>
      <c r="AN64" s="120"/>
      <c r="AO64" s="220">
        <f>SUM('11CL-FAR-BOTANICA'!J56)</f>
        <v>1.5</v>
      </c>
      <c r="AP64" s="219"/>
      <c r="AQ64" s="213"/>
      <c r="AR64" s="211">
        <f>SUM('11CL-FAR-AFH'!J56)</f>
        <v>7.833333333333333</v>
      </c>
      <c r="AS64" s="61" t="s">
        <v>3</v>
      </c>
      <c r="AT64" s="75">
        <f t="shared" si="4"/>
        <v>7.0512820512820502</v>
      </c>
      <c r="AU64" s="167">
        <v>19</v>
      </c>
      <c r="AV64" s="170" t="s">
        <v>1</v>
      </c>
    </row>
    <row r="65" spans="2:57" ht="19.5" customHeight="1" thickBot="1" x14ac:dyDescent="0.35">
      <c r="B65" s="58">
        <v>49</v>
      </c>
      <c r="C65" s="173">
        <v>4044</v>
      </c>
      <c r="D65" s="177" t="s">
        <v>137</v>
      </c>
      <c r="E65" s="71"/>
      <c r="F65" s="59"/>
      <c r="G65" s="60"/>
      <c r="H65" s="211">
        <f>SUM('11CL-FAR-L PORT'!J57)</f>
        <v>15.166666666666666</v>
      </c>
      <c r="I65" s="212"/>
      <c r="J65" s="213"/>
      <c r="K65" s="214">
        <f>SUM('11CL-FAR-MAT'!J57)</f>
        <v>11.666666666666666</v>
      </c>
      <c r="L65" s="215"/>
      <c r="M65" s="213"/>
      <c r="N65" s="211">
        <f>SUM('11CL-FAR-BIOL'!J57)</f>
        <v>14.666666666666666</v>
      </c>
      <c r="O65" s="216"/>
      <c r="P65" s="213"/>
      <c r="Q65" s="214">
        <f>SUM('11CL-FAR-INGLES'!J57)</f>
        <v>20</v>
      </c>
      <c r="R65" s="215"/>
      <c r="S65" s="213"/>
      <c r="T65" s="211">
        <f>SUM('11CL-FAR-PATOL'!J57)</f>
        <v>16.833333333333332</v>
      </c>
      <c r="U65" s="215"/>
      <c r="V65" s="213"/>
      <c r="W65" s="211">
        <f>SUM('11CL-FAR-MPARASITOL'!J57)</f>
        <v>10.833333333333334</v>
      </c>
      <c r="X65" s="216"/>
      <c r="Y65" s="213"/>
      <c r="Z65" s="214">
        <f>SUM('11CL-FAR-FARMACOL'!J57)</f>
        <v>13.333333333333334</v>
      </c>
      <c r="AA65" s="217"/>
      <c r="AB65" s="120"/>
      <c r="AC65" s="218">
        <f>SUM('11CL-FAR-FARMACOG'!J57)</f>
        <v>13.5</v>
      </c>
      <c r="AD65" s="219"/>
      <c r="AE65" s="213"/>
      <c r="AF65" s="211">
        <f>SUM('11CL-FAR-TPM'!J57)</f>
        <v>15</v>
      </c>
      <c r="AG65" s="219"/>
      <c r="AH65" s="120"/>
      <c r="AI65" s="211">
        <f>SUM('11CL-FAR-QCA ORG.'!J57)</f>
        <v>15.166666666666666</v>
      </c>
      <c r="AJ65" s="217"/>
      <c r="AK65" s="120"/>
      <c r="AL65" s="218">
        <f>SUM('11CL-FAR-ED. FIS'!J57)</f>
        <v>15</v>
      </c>
      <c r="AM65" s="220"/>
      <c r="AN65" s="120"/>
      <c r="AO65" s="220">
        <f>SUM('11CL-FAR-BOTANICA'!J57)</f>
        <v>15.666666666666666</v>
      </c>
      <c r="AP65" s="219"/>
      <c r="AQ65" s="213"/>
      <c r="AR65" s="211">
        <f>SUM('11CL-FAR-AFH'!J57)</f>
        <v>15.166666666666666</v>
      </c>
      <c r="AS65" s="61" t="s">
        <v>2</v>
      </c>
      <c r="AT65" s="75">
        <f t="shared" si="4"/>
        <v>14.769230769230766</v>
      </c>
      <c r="AU65" s="167">
        <v>17</v>
      </c>
      <c r="AV65" s="170" t="s">
        <v>1</v>
      </c>
    </row>
    <row r="66" spans="2:57" s="62" customFormat="1" ht="19.5" customHeight="1" thickBot="1" x14ac:dyDescent="0.35">
      <c r="B66" s="58">
        <v>50</v>
      </c>
      <c r="C66" s="174">
        <v>3263</v>
      </c>
      <c r="D66" s="177" t="s">
        <v>138</v>
      </c>
      <c r="E66" s="71"/>
      <c r="F66" s="59"/>
      <c r="G66" s="60"/>
      <c r="H66" s="211">
        <f>SUM('11CL-FAR-L PORT'!J58)</f>
        <v>0</v>
      </c>
      <c r="I66" s="212"/>
      <c r="J66" s="213"/>
      <c r="K66" s="214">
        <f>SUM('11CL-FAR-MAT'!J58)</f>
        <v>0</v>
      </c>
      <c r="L66" s="215"/>
      <c r="M66" s="213"/>
      <c r="N66" s="211">
        <f>SUM('11CL-FAR-BIOL'!J58)</f>
        <v>0</v>
      </c>
      <c r="O66" s="216"/>
      <c r="P66" s="213"/>
      <c r="Q66" s="214">
        <f>SUM('11CL-FAR-INGLES'!J58)</f>
        <v>0</v>
      </c>
      <c r="R66" s="215"/>
      <c r="S66" s="213"/>
      <c r="T66" s="211">
        <f>SUM('11CL-FAR-PATOL'!J58)</f>
        <v>0</v>
      </c>
      <c r="U66" s="215"/>
      <c r="V66" s="213"/>
      <c r="W66" s="211">
        <f>SUM('11CL-FAR-MPARASITOL'!J58)</f>
        <v>0</v>
      </c>
      <c r="X66" s="216"/>
      <c r="Y66" s="213"/>
      <c r="Z66" s="214">
        <f>SUM('11CL-FAR-FARMACOL'!J58)</f>
        <v>0</v>
      </c>
      <c r="AA66" s="217"/>
      <c r="AB66" s="120"/>
      <c r="AC66" s="218">
        <f>SUM('11CL-FAR-FARMACOG'!J58)</f>
        <v>0</v>
      </c>
      <c r="AD66" s="219"/>
      <c r="AE66" s="213"/>
      <c r="AF66" s="211">
        <f>SUM('11CL-FAR-TPM'!J58)</f>
        <v>0</v>
      </c>
      <c r="AG66" s="219"/>
      <c r="AH66" s="120"/>
      <c r="AI66" s="211">
        <f>SUM('11CL-FAR-QCA ORG.'!J58)</f>
        <v>0</v>
      </c>
      <c r="AJ66" s="217"/>
      <c r="AK66" s="120"/>
      <c r="AL66" s="218">
        <f>SUM('11CL-FAR-ED. FIS'!J58)</f>
        <v>10</v>
      </c>
      <c r="AM66" s="220"/>
      <c r="AN66" s="120"/>
      <c r="AO66" s="220">
        <f>SUM('11CL-FAR-BOTANICA'!J58)</f>
        <v>0</v>
      </c>
      <c r="AP66" s="219"/>
      <c r="AQ66" s="213"/>
      <c r="AR66" s="211">
        <f>SUM('11CL-FAR-AFH'!J58)</f>
        <v>10</v>
      </c>
      <c r="AS66" s="61" t="s">
        <v>150</v>
      </c>
      <c r="AT66" s="75">
        <f t="shared" si="4"/>
        <v>1.5384615384615385</v>
      </c>
      <c r="AU66" s="167">
        <v>27</v>
      </c>
      <c r="AV66" s="170" t="s">
        <v>1</v>
      </c>
      <c r="AX66" s="311" t="s">
        <v>74</v>
      </c>
      <c r="AY66" s="313">
        <f>MAX(AT17:AT71)</f>
        <v>15.884615384615385</v>
      </c>
      <c r="AZ66" s="77"/>
      <c r="BA66" s="77"/>
      <c r="BB66" s="77"/>
      <c r="BC66" s="77"/>
      <c r="BD66" s="77"/>
      <c r="BE66" s="77"/>
    </row>
    <row r="67" spans="2:57" s="62" customFormat="1" ht="19.5" customHeight="1" thickBot="1" x14ac:dyDescent="0.35">
      <c r="B67" s="58">
        <v>51</v>
      </c>
      <c r="C67" s="173">
        <v>3610</v>
      </c>
      <c r="D67" s="177" t="s">
        <v>139</v>
      </c>
      <c r="E67" s="71"/>
      <c r="F67" s="59"/>
      <c r="G67" s="60"/>
      <c r="H67" s="211">
        <f>SUM('11CL-FAR-L PORT'!J59)</f>
        <v>10.333333333333334</v>
      </c>
      <c r="I67" s="212"/>
      <c r="J67" s="213"/>
      <c r="K67" s="214">
        <f>SUM('11CL-FAR-MAT'!J59)</f>
        <v>10.666666666666666</v>
      </c>
      <c r="L67" s="215"/>
      <c r="M67" s="213"/>
      <c r="N67" s="211">
        <f>SUM('11CL-FAR-BIOL'!J59)</f>
        <v>8.6666666666666661</v>
      </c>
      <c r="O67" s="216"/>
      <c r="P67" s="213"/>
      <c r="Q67" s="214">
        <f>SUM('11CL-FAR-INGLES'!J59)</f>
        <v>13</v>
      </c>
      <c r="R67" s="215"/>
      <c r="S67" s="213"/>
      <c r="T67" s="211">
        <f>SUM('11CL-FAR-PATOL'!J59)</f>
        <v>5.833333333333333</v>
      </c>
      <c r="U67" s="215"/>
      <c r="V67" s="213"/>
      <c r="W67" s="211">
        <f>SUM('11CL-FAR-MPARASITOL'!J59)</f>
        <v>4</v>
      </c>
      <c r="X67" s="216"/>
      <c r="Y67" s="213"/>
      <c r="Z67" s="214">
        <f>SUM('11CL-FAR-FARMACOL'!J59)</f>
        <v>10</v>
      </c>
      <c r="AA67" s="217"/>
      <c r="AB67" s="120"/>
      <c r="AC67" s="218">
        <f>SUM('11CL-FAR-FARMACOG'!J59)</f>
        <v>9.3333333333333339</v>
      </c>
      <c r="AD67" s="219"/>
      <c r="AE67" s="213"/>
      <c r="AF67" s="211">
        <f>SUM('11CL-FAR-TPM'!J59)</f>
        <v>9.3333333333333339</v>
      </c>
      <c r="AG67" s="219"/>
      <c r="AH67" s="120"/>
      <c r="AI67" s="211">
        <f>SUM('11CL-FAR-QCA ORG.'!J59)</f>
        <v>10.333333333333334</v>
      </c>
      <c r="AJ67" s="217"/>
      <c r="AK67" s="120"/>
      <c r="AL67" s="218">
        <f>SUM('11CL-FAR-ED. FIS'!J59)</f>
        <v>14</v>
      </c>
      <c r="AM67" s="220"/>
      <c r="AN67" s="120"/>
      <c r="AO67" s="220">
        <f>SUM('11CL-FAR-BOTANICA'!J59)</f>
        <v>2</v>
      </c>
      <c r="AP67" s="219"/>
      <c r="AQ67" s="213"/>
      <c r="AR67" s="211">
        <f>SUM('11CL-FAR-AFH'!J59)</f>
        <v>10</v>
      </c>
      <c r="AS67" s="61" t="s">
        <v>3</v>
      </c>
      <c r="AT67" s="75">
        <f t="shared" si="4"/>
        <v>9.0384615384615365</v>
      </c>
      <c r="AU67" s="167">
        <v>17</v>
      </c>
      <c r="AV67" s="170" t="s">
        <v>1</v>
      </c>
      <c r="AX67" s="312"/>
      <c r="AY67" s="314"/>
      <c r="AZ67" s="77"/>
      <c r="BA67" s="77"/>
      <c r="BB67" s="77"/>
      <c r="BC67" s="77"/>
      <c r="BD67" s="77"/>
      <c r="BE67" s="77"/>
    </row>
    <row r="68" spans="2:57" s="62" customFormat="1" ht="19.5" customHeight="1" thickBot="1" x14ac:dyDescent="0.35">
      <c r="B68" s="58">
        <v>52</v>
      </c>
      <c r="C68" s="173">
        <v>3451</v>
      </c>
      <c r="D68" s="177" t="s">
        <v>140</v>
      </c>
      <c r="E68" s="71"/>
      <c r="F68" s="59"/>
      <c r="G68" s="60"/>
      <c r="H68" s="211">
        <f>SUM('11CL-FAR-L PORT'!J60)</f>
        <v>12.5</v>
      </c>
      <c r="I68" s="212"/>
      <c r="J68" s="213"/>
      <c r="K68" s="214">
        <f>SUM('11CL-FAR-MAT'!J60)</f>
        <v>12.333333333333334</v>
      </c>
      <c r="L68" s="215"/>
      <c r="M68" s="213"/>
      <c r="N68" s="211">
        <f>SUM('11CL-FAR-BIOL'!J60)</f>
        <v>10.666666666666666</v>
      </c>
      <c r="O68" s="216"/>
      <c r="P68" s="213"/>
      <c r="Q68" s="214">
        <f>SUM('11CL-FAR-INGLES'!J60)</f>
        <v>15</v>
      </c>
      <c r="R68" s="215"/>
      <c r="S68" s="213"/>
      <c r="T68" s="211">
        <f>SUM('11CL-FAR-PATOL'!J60)</f>
        <v>12</v>
      </c>
      <c r="U68" s="215"/>
      <c r="V68" s="213"/>
      <c r="W68" s="211">
        <f>SUM('11CL-FAR-MPARASITOL'!J60)</f>
        <v>11.333333333333334</v>
      </c>
      <c r="X68" s="216"/>
      <c r="Y68" s="213"/>
      <c r="Z68" s="214">
        <f>SUM('11CL-FAR-FARMACOL'!J60)</f>
        <v>12</v>
      </c>
      <c r="AA68" s="217"/>
      <c r="AB68" s="120"/>
      <c r="AC68" s="218">
        <f>SUM('11CL-FAR-FARMACOG'!J60)</f>
        <v>12.333333333333334</v>
      </c>
      <c r="AD68" s="219"/>
      <c r="AE68" s="213"/>
      <c r="AF68" s="211">
        <f>SUM('11CL-FAR-TPM'!J60)</f>
        <v>8.3333333333333339</v>
      </c>
      <c r="AG68" s="219"/>
      <c r="AH68" s="120"/>
      <c r="AI68" s="211">
        <f>SUM('11CL-FAR-QCA ORG.'!J60)</f>
        <v>12.5</v>
      </c>
      <c r="AJ68" s="217"/>
      <c r="AK68" s="120"/>
      <c r="AL68" s="218">
        <f>SUM('11CL-FAR-ED. FIS'!J60)</f>
        <v>15</v>
      </c>
      <c r="AM68" s="220"/>
      <c r="AN68" s="120"/>
      <c r="AO68" s="220">
        <f>SUM('11CL-FAR-BOTANICA'!J60)</f>
        <v>9.3333333333333339</v>
      </c>
      <c r="AP68" s="219"/>
      <c r="AQ68" s="213"/>
      <c r="AR68" s="211">
        <f>SUM('11CL-FAR-AFH'!J60)</f>
        <v>11.5</v>
      </c>
      <c r="AS68" s="61" t="s">
        <v>3</v>
      </c>
      <c r="AT68" s="75">
        <f t="shared" si="4"/>
        <v>11.910256410256411</v>
      </c>
      <c r="AU68" s="167">
        <v>21</v>
      </c>
      <c r="AV68" s="170" t="s">
        <v>1</v>
      </c>
      <c r="AX68" s="315" t="s">
        <v>75</v>
      </c>
      <c r="AY68" s="315"/>
      <c r="AZ68" s="315"/>
      <c r="BA68" s="316"/>
      <c r="BB68" s="316"/>
      <c r="BC68" s="316"/>
      <c r="BD68" s="316"/>
      <c r="BE68" s="316"/>
    </row>
    <row r="69" spans="2:57" ht="19.5" customHeight="1" thickBot="1" x14ac:dyDescent="0.35">
      <c r="B69" s="58">
        <v>53</v>
      </c>
      <c r="C69" s="173">
        <v>3185</v>
      </c>
      <c r="D69" s="177" t="s">
        <v>141</v>
      </c>
      <c r="E69" s="71"/>
      <c r="F69" s="59"/>
      <c r="G69" s="60"/>
      <c r="H69" s="211">
        <f>SUM('11CL-FAR-L PORT'!J61)</f>
        <v>12</v>
      </c>
      <c r="I69" s="212"/>
      <c r="J69" s="213"/>
      <c r="K69" s="214">
        <f>SUM('11CL-FAR-MAT'!J61)</f>
        <v>18.5</v>
      </c>
      <c r="L69" s="215"/>
      <c r="M69" s="213"/>
      <c r="N69" s="211">
        <f>SUM('11CL-FAR-BIOL'!J61)</f>
        <v>10.666666666666666</v>
      </c>
      <c r="O69" s="216"/>
      <c r="P69" s="213"/>
      <c r="Q69" s="214">
        <f>SUM('11CL-FAR-INGLES'!J61)</f>
        <v>17.666666666666668</v>
      </c>
      <c r="R69" s="215"/>
      <c r="S69" s="213"/>
      <c r="T69" s="211">
        <f>SUM('11CL-FAR-PATOL'!J61)</f>
        <v>17</v>
      </c>
      <c r="U69" s="215"/>
      <c r="V69" s="213"/>
      <c r="W69" s="211">
        <f>SUM('11CL-FAR-MPARASITOL'!J61)</f>
        <v>8.6666666666666661</v>
      </c>
      <c r="X69" s="216"/>
      <c r="Y69" s="213"/>
      <c r="Z69" s="214">
        <f>SUM('11CL-FAR-FARMACOL'!J61)</f>
        <v>13.666666666666666</v>
      </c>
      <c r="AA69" s="217"/>
      <c r="AB69" s="120"/>
      <c r="AC69" s="218">
        <f>SUM('11CL-FAR-FARMACOG'!J61)</f>
        <v>13</v>
      </c>
      <c r="AD69" s="219"/>
      <c r="AE69" s="213"/>
      <c r="AF69" s="211">
        <f>SUM('11CL-FAR-TPM'!J61)</f>
        <v>16.666666666666668</v>
      </c>
      <c r="AG69" s="219"/>
      <c r="AH69" s="120"/>
      <c r="AI69" s="211">
        <f>SUM('11CL-FAR-QCA ORG.'!J61)</f>
        <v>12</v>
      </c>
      <c r="AJ69" s="217"/>
      <c r="AK69" s="120"/>
      <c r="AL69" s="218">
        <f>SUM('11CL-FAR-ED. FIS'!J61)</f>
        <v>16.333333333333332</v>
      </c>
      <c r="AM69" s="220"/>
      <c r="AN69" s="120"/>
      <c r="AO69" s="220">
        <f>SUM('11CL-FAR-BOTANICA'!J61)</f>
        <v>16.833333333333332</v>
      </c>
      <c r="AP69" s="219"/>
      <c r="AQ69" s="213"/>
      <c r="AR69" s="211">
        <f>SUM('11CL-FAR-AFH'!J61)</f>
        <v>17.666666666666668</v>
      </c>
      <c r="AS69" s="61" t="s">
        <v>3</v>
      </c>
      <c r="AT69" s="75">
        <f t="shared" si="4"/>
        <v>14.666666666666668</v>
      </c>
      <c r="AU69" s="167">
        <v>20</v>
      </c>
      <c r="AV69" s="170" t="s">
        <v>0</v>
      </c>
      <c r="AX69" s="78" t="s">
        <v>76</v>
      </c>
      <c r="AY69" s="78"/>
      <c r="AZ69" s="77"/>
      <c r="BA69" s="77"/>
      <c r="BB69" s="77"/>
      <c r="BC69" s="77"/>
      <c r="BD69" s="77"/>
      <c r="BE69" s="77"/>
    </row>
    <row r="70" spans="2:57" ht="19.5" customHeight="1" thickBot="1" x14ac:dyDescent="0.35">
      <c r="B70" s="58">
        <v>54</v>
      </c>
      <c r="C70" s="173">
        <v>4132</v>
      </c>
      <c r="D70" s="177" t="s">
        <v>142</v>
      </c>
      <c r="E70" s="71"/>
      <c r="F70" s="59"/>
      <c r="G70" s="60"/>
      <c r="H70" s="211">
        <f>SUM('11CL-FAR-L PORT'!J62)</f>
        <v>8.6666666666666661</v>
      </c>
      <c r="I70" s="212"/>
      <c r="J70" s="213"/>
      <c r="K70" s="214">
        <f>SUM('11CL-FAR-MAT'!J62)</f>
        <v>7.5</v>
      </c>
      <c r="L70" s="215"/>
      <c r="M70" s="213"/>
      <c r="N70" s="211">
        <f>SUM('11CL-FAR-BIOL'!J62)</f>
        <v>11</v>
      </c>
      <c r="O70" s="216"/>
      <c r="P70" s="213"/>
      <c r="Q70" s="214">
        <f>SUM('11CL-FAR-INGLES'!J62)</f>
        <v>17.333333333333332</v>
      </c>
      <c r="R70" s="215"/>
      <c r="S70" s="213"/>
      <c r="T70" s="211">
        <f>SUM('11CL-FAR-PATOL'!J62)</f>
        <v>10.666666666666666</v>
      </c>
      <c r="U70" s="215"/>
      <c r="V70" s="213"/>
      <c r="W70" s="211">
        <f>SUM('11CL-FAR-MPARASITOL'!J62)</f>
        <v>9.1666666666666661</v>
      </c>
      <c r="X70" s="216"/>
      <c r="Y70" s="213"/>
      <c r="Z70" s="214">
        <f>SUM('11CL-FAR-FARMACOL'!J62)</f>
        <v>12</v>
      </c>
      <c r="AA70" s="217"/>
      <c r="AB70" s="120"/>
      <c r="AC70" s="218">
        <f>SUM('11CL-FAR-FARMACOG'!J62)</f>
        <v>12.166666666666666</v>
      </c>
      <c r="AD70" s="219"/>
      <c r="AE70" s="213"/>
      <c r="AF70" s="211">
        <f>SUM('11CL-FAR-TPM'!J62)</f>
        <v>9</v>
      </c>
      <c r="AG70" s="219"/>
      <c r="AH70" s="120"/>
      <c r="AI70" s="211">
        <f>SUM('11CL-FAR-QCA ORG.'!J62)</f>
        <v>8.6666666666666661</v>
      </c>
      <c r="AJ70" s="217"/>
      <c r="AK70" s="120"/>
      <c r="AL70" s="218">
        <f>SUM('11CL-FAR-ED. FIS'!J62)</f>
        <v>14</v>
      </c>
      <c r="AM70" s="220"/>
      <c r="AN70" s="120"/>
      <c r="AO70" s="220">
        <f>SUM('11CL-FAR-BOTANICA'!J62)</f>
        <v>11</v>
      </c>
      <c r="AP70" s="219"/>
      <c r="AQ70" s="213"/>
      <c r="AR70" s="211">
        <f>SUM('11CL-FAR-AFH'!J62)</f>
        <v>14.833333333333334</v>
      </c>
      <c r="AS70" s="61" t="s">
        <v>3</v>
      </c>
      <c r="AT70" s="75">
        <f t="shared" si="4"/>
        <v>11.230769230769234</v>
      </c>
      <c r="AU70" s="167">
        <v>21</v>
      </c>
      <c r="AV70" s="170" t="s">
        <v>1</v>
      </c>
    </row>
    <row r="71" spans="2:57" ht="19.5" customHeight="1" thickBot="1" x14ac:dyDescent="0.35">
      <c r="B71" s="58">
        <v>55</v>
      </c>
      <c r="C71" s="175">
        <v>2941</v>
      </c>
      <c r="D71" s="178" t="s">
        <v>143</v>
      </c>
      <c r="E71" s="73"/>
      <c r="F71" s="64"/>
      <c r="G71" s="65"/>
      <c r="H71" s="221">
        <f>SUM('11CL-FAR-L PORT'!J63)</f>
        <v>11.5</v>
      </c>
      <c r="I71" s="222"/>
      <c r="J71" s="223"/>
      <c r="K71" s="224">
        <f>SUM('11CL-FAR-MAT'!J63)</f>
        <v>11.166666666666666</v>
      </c>
      <c r="L71" s="225"/>
      <c r="M71" s="223"/>
      <c r="N71" s="221">
        <f>SUM('11CL-FAR-BIOL'!J63)</f>
        <v>11.333333333333334</v>
      </c>
      <c r="O71" s="226"/>
      <c r="P71" s="223"/>
      <c r="Q71" s="224">
        <f>SUM('11CL-FAR-INGLES'!J63)</f>
        <v>12.333333333333334</v>
      </c>
      <c r="R71" s="225"/>
      <c r="S71" s="223"/>
      <c r="T71" s="221">
        <f>SUM('11CL-FAR-PATOL'!J63)</f>
        <v>12</v>
      </c>
      <c r="U71" s="225"/>
      <c r="V71" s="223"/>
      <c r="W71" s="221">
        <f>SUM('11CL-FAR-MPARASITOL'!J63)</f>
        <v>8.1666666666666661</v>
      </c>
      <c r="X71" s="226"/>
      <c r="Y71" s="223"/>
      <c r="Z71" s="224">
        <f>SUM('11CL-FAR-FARMACOL'!J63)</f>
        <v>9.6666666666666661</v>
      </c>
      <c r="AA71" s="227"/>
      <c r="AB71" s="228"/>
      <c r="AC71" s="229">
        <f>SUM('11CL-FAR-FARMACOG'!J63)</f>
        <v>9.6666666666666661</v>
      </c>
      <c r="AD71" s="230"/>
      <c r="AE71" s="223"/>
      <c r="AF71" s="221">
        <f>SUM('11CL-FAR-TPM'!J63)</f>
        <v>10</v>
      </c>
      <c r="AG71" s="230"/>
      <c r="AH71" s="228"/>
      <c r="AI71" s="221">
        <f>SUM('11CL-FAR-QCA ORG.'!J63)</f>
        <v>11.5</v>
      </c>
      <c r="AJ71" s="227"/>
      <c r="AK71" s="228"/>
      <c r="AL71" s="229">
        <f>SUM('11CL-FAR-ED. FIS'!J63)</f>
        <v>14</v>
      </c>
      <c r="AM71" s="231"/>
      <c r="AN71" s="228"/>
      <c r="AO71" s="231">
        <f>SUM('11CL-FAR-BOTANICA'!J63)</f>
        <v>12.333333333333334</v>
      </c>
      <c r="AP71" s="230"/>
      <c r="AQ71" s="223"/>
      <c r="AR71" s="221">
        <f>SUM('11CL-FAR-AFH'!J63)</f>
        <v>11.666666666666666</v>
      </c>
      <c r="AS71" s="66" t="s">
        <v>3</v>
      </c>
      <c r="AT71" s="76">
        <f t="shared" ref="AT71" si="6">AVERAGE(H71:AR71)</f>
        <v>11.179487179487181</v>
      </c>
      <c r="AU71" s="168">
        <v>19</v>
      </c>
      <c r="AV71" s="171" t="s">
        <v>0</v>
      </c>
    </row>
    <row r="72" spans="2:57" ht="21.75" customHeight="1" thickBot="1" x14ac:dyDescent="0.35">
      <c r="B72" s="317" t="s">
        <v>93</v>
      </c>
      <c r="C72" s="318"/>
      <c r="D72" s="318"/>
      <c r="E72" s="95"/>
      <c r="F72" s="317"/>
      <c r="G72" s="318"/>
      <c r="H72" s="319"/>
      <c r="I72" s="317"/>
      <c r="J72" s="318"/>
      <c r="K72" s="319"/>
      <c r="L72" s="317"/>
      <c r="M72" s="318"/>
      <c r="N72" s="319"/>
      <c r="O72" s="317"/>
      <c r="P72" s="318"/>
      <c r="Q72" s="319"/>
      <c r="R72" s="317"/>
      <c r="S72" s="318"/>
      <c r="T72" s="319"/>
      <c r="U72" s="317"/>
      <c r="V72" s="318"/>
      <c r="W72" s="319"/>
      <c r="X72" s="317"/>
      <c r="Y72" s="318"/>
      <c r="Z72" s="319"/>
      <c r="AA72" s="196"/>
      <c r="AB72" s="196"/>
      <c r="AC72" s="196"/>
      <c r="AD72" s="317"/>
      <c r="AE72" s="318"/>
      <c r="AF72" s="319"/>
      <c r="AG72" s="317"/>
      <c r="AH72" s="318"/>
      <c r="AI72" s="319"/>
      <c r="AJ72" s="196"/>
      <c r="AK72" s="196"/>
      <c r="AL72" s="196"/>
      <c r="AM72" s="196"/>
      <c r="AN72" s="196"/>
      <c r="AO72" s="196"/>
      <c r="AP72" s="317"/>
      <c r="AQ72" s="318"/>
      <c r="AR72" s="319"/>
      <c r="AS72" s="67"/>
      <c r="AT72" s="67"/>
    </row>
    <row r="73" spans="2:57" ht="15" customHeight="1" x14ac:dyDescent="0.3"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S73" s="67"/>
      <c r="AT73" s="67"/>
    </row>
    <row r="74" spans="2:57" ht="19.8" x14ac:dyDescent="0.5">
      <c r="B74" s="320" t="s">
        <v>79</v>
      </c>
      <c r="C74" s="320"/>
      <c r="D74" s="320"/>
      <c r="E74" s="320"/>
      <c r="F74" s="320"/>
      <c r="G74" s="320"/>
      <c r="H74" s="320"/>
      <c r="I74" s="32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320" t="s">
        <v>4</v>
      </c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  <c r="AO74" s="320"/>
      <c r="AP74" s="320"/>
      <c r="AQ74" s="320"/>
      <c r="AR74" s="320"/>
      <c r="AS74" s="320"/>
      <c r="AT74" s="96"/>
    </row>
    <row r="75" spans="2:57" ht="12.75" customHeight="1" x14ac:dyDescent="0.3">
      <c r="B75" s="321" t="s">
        <v>69</v>
      </c>
      <c r="C75" s="321"/>
      <c r="D75" s="321"/>
      <c r="E75" s="321"/>
      <c r="F75" s="321"/>
      <c r="G75" s="321"/>
      <c r="H75" s="321"/>
      <c r="I75" s="321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  <c r="AN75" s="321"/>
      <c r="AO75" s="321"/>
      <c r="AP75" s="321"/>
      <c r="AS75" s="67"/>
      <c r="AT75" s="67"/>
    </row>
    <row r="76" spans="2:57" ht="18.75" customHeight="1" x14ac:dyDescent="0.4">
      <c r="B76" s="322" t="s">
        <v>91</v>
      </c>
      <c r="C76" s="322"/>
      <c r="D76" s="322"/>
      <c r="E76" s="322"/>
      <c r="F76" s="322"/>
      <c r="G76" s="322"/>
      <c r="H76" s="322"/>
      <c r="I76" s="322"/>
      <c r="J76" s="322"/>
      <c r="K76" s="2"/>
      <c r="L76" s="2"/>
      <c r="M76" s="2"/>
      <c r="N76" s="2"/>
      <c r="O76" s="2"/>
      <c r="P76" s="2"/>
      <c r="Q76" s="2"/>
      <c r="R76" s="2"/>
      <c r="S76" s="2"/>
      <c r="T76" s="2"/>
      <c r="U76" s="69"/>
      <c r="V76" s="69"/>
      <c r="X76" s="322" t="s">
        <v>17</v>
      </c>
      <c r="Y76" s="322"/>
      <c r="Z76" s="322"/>
      <c r="AA76" s="322"/>
      <c r="AB76" s="322"/>
      <c r="AC76" s="322"/>
      <c r="AD76" s="322"/>
      <c r="AE76" s="322"/>
      <c r="AF76" s="322"/>
      <c r="AG76" s="322"/>
      <c r="AH76" s="322"/>
      <c r="AI76" s="322"/>
      <c r="AJ76" s="322"/>
      <c r="AK76" s="322"/>
      <c r="AL76" s="322"/>
      <c r="AM76" s="322"/>
      <c r="AN76" s="322"/>
      <c r="AO76" s="322"/>
      <c r="AP76" s="322"/>
      <c r="AQ76" s="322"/>
      <c r="AR76" s="322"/>
      <c r="AS76" s="322"/>
      <c r="AT76" s="97"/>
    </row>
    <row r="79" spans="2:57" x14ac:dyDescent="0.3">
      <c r="X79" s="10"/>
      <c r="Y79" s="10"/>
      <c r="Z79" s="10"/>
      <c r="AA79" s="10"/>
      <c r="AB79" s="10"/>
      <c r="AC79" s="10"/>
    </row>
    <row r="80" spans="2:57" x14ac:dyDescent="0.3">
      <c r="X80" s="10"/>
      <c r="Y80" s="10"/>
      <c r="Z80" s="10"/>
      <c r="AA80" s="10"/>
      <c r="AB80" s="10"/>
      <c r="AC80" s="10"/>
    </row>
    <row r="81" spans="24:29" x14ac:dyDescent="0.3">
      <c r="X81" s="10"/>
      <c r="Y81" s="10"/>
      <c r="Z81" s="10"/>
      <c r="AA81" s="10"/>
      <c r="AB81" s="10"/>
      <c r="AC81" s="10"/>
    </row>
  </sheetData>
  <mergeCells count="92">
    <mergeCell ref="B74:I74"/>
    <mergeCell ref="X74:AS74"/>
    <mergeCell ref="B75:I75"/>
    <mergeCell ref="X75:AP75"/>
    <mergeCell ref="B76:J76"/>
    <mergeCell ref="X76:AS76"/>
    <mergeCell ref="AX68:AZ68"/>
    <mergeCell ref="BA68:BE68"/>
    <mergeCell ref="B72:D72"/>
    <mergeCell ref="F72:H72"/>
    <mergeCell ref="I72:K72"/>
    <mergeCell ref="L72:N72"/>
    <mergeCell ref="O72:Q72"/>
    <mergeCell ref="R72:T72"/>
    <mergeCell ref="U72:W72"/>
    <mergeCell ref="X72:Z72"/>
    <mergeCell ref="AD72:AF72"/>
    <mergeCell ref="AG72:AI72"/>
    <mergeCell ref="AP72:AR72"/>
    <mergeCell ref="AW18:AX18"/>
    <mergeCell ref="AY18:AZ18"/>
    <mergeCell ref="BA18:BB18"/>
    <mergeCell ref="BC18:BD18"/>
    <mergeCell ref="AX66:AX67"/>
    <mergeCell ref="AY66:AY67"/>
    <mergeCell ref="AW15:AX15"/>
    <mergeCell ref="AC15:AC16"/>
    <mergeCell ref="AO15:AO16"/>
    <mergeCell ref="AA15:AB15"/>
    <mergeCell ref="AM15:AN15"/>
    <mergeCell ref="AJ15:AK15"/>
    <mergeCell ref="AL15:AL16"/>
    <mergeCell ref="AI15:AI16"/>
    <mergeCell ref="AU14:AU16"/>
    <mergeCell ref="AV14:AV16"/>
    <mergeCell ref="AW14:BD14"/>
    <mergeCell ref="AS14:AS16"/>
    <mergeCell ref="AY15:AZ15"/>
    <mergeCell ref="BA15:BB15"/>
    <mergeCell ref="BC15:BD15"/>
    <mergeCell ref="AD14:AF14"/>
    <mergeCell ref="I15:J15"/>
    <mergeCell ref="K15:K16"/>
    <mergeCell ref="L15:M15"/>
    <mergeCell ref="AD15:AE15"/>
    <mergeCell ref="AF15:AF16"/>
    <mergeCell ref="X15:Y15"/>
    <mergeCell ref="N15:N16"/>
    <mergeCell ref="O15:P15"/>
    <mergeCell ref="AG14:AI14"/>
    <mergeCell ref="AP14:AR14"/>
    <mergeCell ref="AJ14:AL14"/>
    <mergeCell ref="Z15:Z16"/>
    <mergeCell ref="AG15:AH15"/>
    <mergeCell ref="AT14:AT16"/>
    <mergeCell ref="AP15:AQ15"/>
    <mergeCell ref="AR15:AR16"/>
    <mergeCell ref="I14:K14"/>
    <mergeCell ref="L14:N14"/>
    <mergeCell ref="O14:Q14"/>
    <mergeCell ref="R14:T14"/>
    <mergeCell ref="U14:W14"/>
    <mergeCell ref="X14:Z14"/>
    <mergeCell ref="Q15:Q16"/>
    <mergeCell ref="R15:S15"/>
    <mergeCell ref="T15:T16"/>
    <mergeCell ref="U15:V15"/>
    <mergeCell ref="W15:W16"/>
    <mergeCell ref="AA14:AC14"/>
    <mergeCell ref="AM14:AO14"/>
    <mergeCell ref="A1:AS4"/>
    <mergeCell ref="B7:AS7"/>
    <mergeCell ref="C8:AS8"/>
    <mergeCell ref="H9:K10"/>
    <mergeCell ref="M9:Z11"/>
    <mergeCell ref="B10:D10"/>
    <mergeCell ref="AD10:AG11"/>
    <mergeCell ref="B11:D11"/>
    <mergeCell ref="H11:I12"/>
    <mergeCell ref="J11:K12"/>
    <mergeCell ref="AR11:AS12"/>
    <mergeCell ref="B12:D12"/>
    <mergeCell ref="Z12:AG12"/>
    <mergeCell ref="AC9:AG9"/>
    <mergeCell ref="C14:C16"/>
    <mergeCell ref="D14:D16"/>
    <mergeCell ref="E14:E16"/>
    <mergeCell ref="F14:H14"/>
    <mergeCell ref="B13:D13"/>
    <mergeCell ref="B14:B16"/>
    <mergeCell ref="F15:G15"/>
    <mergeCell ref="H15:H16"/>
  </mergeCells>
  <conditionalFormatting sqref="H17:H71 T17:T71 AR17:AR71 Q17:Q71 N17:O71 K17:K71 Z17:AD71 AF17:AP71 W17:X71">
    <cfRule type="cellIs" dxfId="439" priority="7" stopIfTrue="1" operator="lessThan">
      <formula>10</formula>
    </cfRule>
    <cfRule type="cellIs" dxfId="438" priority="8" stopIfTrue="1" operator="greaterThanOrEqual">
      <formula>10</formula>
    </cfRule>
  </conditionalFormatting>
  <conditionalFormatting sqref="AS72:AT72 AS17:AS71">
    <cfRule type="cellIs" dxfId="437" priority="6" operator="equal">
      <formula>"Transita"</formula>
    </cfRule>
  </conditionalFormatting>
  <conditionalFormatting sqref="BA17:BD18">
    <cfRule type="cellIs" dxfId="436" priority="5" stopIfTrue="1" operator="greaterThanOrEqual">
      <formula>0.1</formula>
    </cfRule>
  </conditionalFormatting>
  <conditionalFormatting sqref="BA17:BD18">
    <cfRule type="cellIs" dxfId="435" priority="4" stopIfTrue="1" operator="equal">
      <formula>0</formula>
    </cfRule>
  </conditionalFormatting>
  <conditionalFormatting sqref="AY17:AZ18">
    <cfRule type="cellIs" dxfId="434" priority="3" stopIfTrue="1" operator="greaterThanOrEqual">
      <formula>0</formula>
    </cfRule>
  </conditionalFormatting>
  <conditionalFormatting sqref="AT17:AT71">
    <cfRule type="cellIs" dxfId="433" priority="1" stopIfTrue="1" operator="lessThanOrEqual">
      <formula>9.9</formula>
    </cfRule>
    <cfRule type="cellIs" dxfId="432" priority="2" stopIfTrue="1" operator="greaterThanOrEqual">
      <formula>10</formula>
    </cfRule>
  </conditionalFormatting>
  <dataValidations count="1">
    <dataValidation type="whole" allowBlank="1" showInputMessage="1" showErrorMessage="1" sqref="B17:B71">
      <formula1>1</formula1>
      <formula2>67</formula2>
    </dataValidation>
  </dataValidations>
  <pageMargins left="0.41" right="0.16" top="0.19685039370078741" bottom="0.35433070866141736" header="0.31496062992125984" footer="0.31496062992125984"/>
  <pageSetup paperSize="8" scale="65" orientation="landscape" r:id="rId1"/>
  <colBreaks count="1" manualBreakCount="1">
    <brk id="46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BE81"/>
  <sheetViews>
    <sheetView showGridLines="0" showWhiteSpace="0" topLeftCell="D37" zoomScale="70" zoomScaleNormal="70" zoomScalePageLayoutView="55" workbookViewId="0">
      <selection activeCell="D73" sqref="D73"/>
    </sheetView>
  </sheetViews>
  <sheetFormatPr defaultRowHeight="14.4" x14ac:dyDescent="0.3"/>
  <cols>
    <col min="1" max="1" width="1.33203125" customWidth="1"/>
    <col min="2" max="2" width="3.5546875" customWidth="1"/>
    <col min="3" max="3" width="11.44140625" customWidth="1"/>
    <col min="4" max="4" width="46.44140625" customWidth="1"/>
    <col min="5" max="5" width="27.5546875" customWidth="1"/>
    <col min="6" max="7" width="2.6640625" customWidth="1"/>
    <col min="8" max="8" width="6.5546875" customWidth="1"/>
    <col min="9" max="10" width="2.6640625" customWidth="1"/>
    <col min="11" max="11" width="7" customWidth="1"/>
    <col min="12" max="13" width="2.6640625" customWidth="1"/>
    <col min="14" max="14" width="6.88671875" customWidth="1"/>
    <col min="15" max="16" width="2.6640625" customWidth="1"/>
    <col min="17" max="17" width="7.33203125" customWidth="1"/>
    <col min="18" max="19" width="2.6640625" customWidth="1"/>
    <col min="20" max="20" width="6.88671875" customWidth="1"/>
    <col min="21" max="22" width="2.6640625" customWidth="1"/>
    <col min="23" max="23" width="6.6640625" customWidth="1"/>
    <col min="24" max="25" width="2.6640625" customWidth="1"/>
    <col min="26" max="26" width="7.6640625" customWidth="1"/>
    <col min="27" max="27" width="3.6640625" customWidth="1"/>
    <col min="28" max="28" width="3.109375" customWidth="1"/>
    <col min="29" max="29" width="7.6640625" customWidth="1"/>
    <col min="30" max="30" width="3" customWidth="1"/>
    <col min="31" max="31" width="3.109375" customWidth="1"/>
    <col min="32" max="32" width="6.6640625" customWidth="1"/>
    <col min="33" max="33" width="3.44140625" customWidth="1"/>
    <col min="34" max="34" width="4.6640625" customWidth="1"/>
    <col min="35" max="35" width="6.88671875" customWidth="1"/>
    <col min="36" max="37" width="3.44140625" customWidth="1"/>
    <col min="38" max="38" width="6.88671875" customWidth="1"/>
    <col min="39" max="40" width="4" customWidth="1"/>
    <col min="41" max="41" width="6.88671875" customWidth="1"/>
    <col min="42" max="42" width="3.44140625" customWidth="1"/>
    <col min="43" max="43" width="3.33203125" customWidth="1"/>
    <col min="44" max="44" width="7" customWidth="1"/>
    <col min="45" max="45" width="15.44140625" customWidth="1"/>
    <col min="46" max="46" width="8.6640625" customWidth="1"/>
    <col min="51" max="56" width="9.6640625" bestFit="1" customWidth="1"/>
  </cols>
  <sheetData>
    <row r="1" spans="1:56" ht="9.9" customHeight="1" x14ac:dyDescent="0.5">
      <c r="A1" s="272" t="s">
        <v>43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245"/>
    </row>
    <row r="2" spans="1:56" ht="9.9" customHeight="1" x14ac:dyDescent="0.5">
      <c r="A2" s="272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45"/>
    </row>
    <row r="3" spans="1:56" ht="9.9" customHeight="1" x14ac:dyDescent="0.5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2"/>
      <c r="AP3" s="272"/>
      <c r="AQ3" s="272"/>
      <c r="AR3" s="272"/>
      <c r="AS3" s="272"/>
      <c r="AT3" s="245"/>
    </row>
    <row r="4" spans="1:56" ht="9.9" customHeight="1" x14ac:dyDescent="0.5">
      <c r="A4" s="272"/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2"/>
      <c r="AT4" s="245"/>
    </row>
    <row r="5" spans="1:56" ht="9.9" customHeight="1" x14ac:dyDescent="0.4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</row>
    <row r="6" spans="1:56" ht="9.9" customHeight="1" x14ac:dyDescent="0.4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</row>
    <row r="7" spans="1:56" ht="15" customHeight="1" x14ac:dyDescent="0.3">
      <c r="B7" s="273" t="s">
        <v>44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46"/>
    </row>
    <row r="8" spans="1:56" ht="22.5" customHeight="1" x14ac:dyDescent="0.3">
      <c r="B8" s="251"/>
      <c r="C8" s="274" t="s">
        <v>45</v>
      </c>
      <c r="D8" s="274"/>
      <c r="E8" s="274"/>
      <c r="F8" s="274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  <c r="AD8" s="274"/>
      <c r="AE8" s="274"/>
      <c r="AF8" s="274"/>
      <c r="AG8" s="274"/>
      <c r="AH8" s="274"/>
      <c r="AI8" s="274"/>
      <c r="AJ8" s="274"/>
      <c r="AK8" s="274"/>
      <c r="AL8" s="274"/>
      <c r="AM8" s="274"/>
      <c r="AN8" s="274"/>
      <c r="AO8" s="274"/>
      <c r="AP8" s="274"/>
      <c r="AQ8" s="274"/>
      <c r="AR8" s="274"/>
      <c r="AS8" s="274"/>
      <c r="AT8" s="247"/>
    </row>
    <row r="9" spans="1:56" ht="16.5" customHeight="1" x14ac:dyDescent="0.7">
      <c r="B9" s="42"/>
      <c r="C9" s="42"/>
      <c r="D9" s="42"/>
      <c r="E9" s="42"/>
      <c r="F9" s="42"/>
      <c r="G9" s="42"/>
      <c r="H9" s="275" t="s">
        <v>70</v>
      </c>
      <c r="I9" s="275"/>
      <c r="J9" s="275"/>
      <c r="K9" s="275"/>
      <c r="L9" s="43"/>
      <c r="M9" s="276" t="s">
        <v>46</v>
      </c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48"/>
      <c r="AB9" s="248"/>
      <c r="AC9" s="280" t="s">
        <v>47</v>
      </c>
      <c r="AD9" s="280"/>
      <c r="AE9" s="280"/>
      <c r="AF9" s="280"/>
      <c r="AG9" s="280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</row>
    <row r="10" spans="1:56" ht="15" customHeight="1" thickBot="1" x14ac:dyDescent="0.75">
      <c r="B10" s="278" t="s">
        <v>48</v>
      </c>
      <c r="C10" s="278"/>
      <c r="D10" s="278"/>
      <c r="E10" s="249"/>
      <c r="F10" s="42"/>
      <c r="G10" s="42"/>
      <c r="H10" s="275"/>
      <c r="I10" s="275"/>
      <c r="J10" s="275"/>
      <c r="K10" s="275"/>
      <c r="L10" s="44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48"/>
      <c r="AB10" s="248"/>
      <c r="AC10" s="248"/>
      <c r="AD10" s="279" t="s">
        <v>156</v>
      </c>
      <c r="AE10" s="280"/>
      <c r="AF10" s="280"/>
      <c r="AG10" s="280"/>
      <c r="AH10" s="251" t="s">
        <v>49</v>
      </c>
      <c r="AI10" s="250">
        <f>SUM(AI12,AI11)</f>
        <v>55</v>
      </c>
      <c r="AJ10" s="250"/>
      <c r="AK10" s="250"/>
      <c r="AL10" s="250"/>
      <c r="AM10" s="250"/>
      <c r="AN10" s="250"/>
      <c r="AO10" s="250"/>
      <c r="AP10" s="44"/>
      <c r="AQ10" s="44"/>
      <c r="AR10" s="44"/>
      <c r="AS10" s="44"/>
      <c r="AT10" s="44"/>
    </row>
    <row r="11" spans="1:56" ht="18" customHeight="1" thickTop="1" x14ac:dyDescent="0.7">
      <c r="B11" s="265" t="s">
        <v>50</v>
      </c>
      <c r="C11" s="265"/>
      <c r="D11" s="265"/>
      <c r="E11" s="244"/>
      <c r="F11" s="42"/>
      <c r="G11" s="42"/>
      <c r="H11" s="281" t="s">
        <v>51</v>
      </c>
      <c r="I11" s="281"/>
      <c r="J11" s="282" t="s">
        <v>52</v>
      </c>
      <c r="K11" s="283"/>
      <c r="L11" s="45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48"/>
      <c r="AB11" s="248"/>
      <c r="AC11" s="248"/>
      <c r="AD11" s="280"/>
      <c r="AE11" s="280"/>
      <c r="AF11" s="280"/>
      <c r="AG11" s="280"/>
      <c r="AH11" s="251" t="s">
        <v>0</v>
      </c>
      <c r="AI11" s="251">
        <f>COUNTIF(AV17:AV71,"M")</f>
        <v>12</v>
      </c>
      <c r="AJ11" s="251"/>
      <c r="AK11" s="251"/>
      <c r="AL11" s="251"/>
      <c r="AM11" s="251"/>
      <c r="AN11" s="251"/>
      <c r="AO11" s="251"/>
      <c r="AP11" s="44"/>
      <c r="AQ11" s="44"/>
      <c r="AR11" s="284">
        <v>46118</v>
      </c>
      <c r="AS11" s="285"/>
      <c r="AT11" s="119"/>
    </row>
    <row r="12" spans="1:56" ht="16.5" customHeight="1" thickBot="1" x14ac:dyDescent="0.4">
      <c r="B12" s="288" t="s">
        <v>53</v>
      </c>
      <c r="C12" s="288"/>
      <c r="D12" s="288"/>
      <c r="E12" s="251"/>
      <c r="F12" s="42"/>
      <c r="G12" s="42"/>
      <c r="H12" s="281"/>
      <c r="I12" s="281"/>
      <c r="J12" s="283"/>
      <c r="K12" s="283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4"/>
      <c r="Y12" s="44"/>
      <c r="Z12" s="289" t="s">
        <v>92</v>
      </c>
      <c r="AA12" s="289"/>
      <c r="AB12" s="289"/>
      <c r="AC12" s="289"/>
      <c r="AD12" s="289"/>
      <c r="AE12" s="289"/>
      <c r="AF12" s="289"/>
      <c r="AG12" s="289"/>
      <c r="AH12" s="251" t="s">
        <v>1</v>
      </c>
      <c r="AI12" s="46">
        <f>COUNTIF(AV17:AV71,"F")</f>
        <v>43</v>
      </c>
      <c r="AJ12" s="46"/>
      <c r="AK12" s="46"/>
      <c r="AL12" s="46"/>
      <c r="AM12" s="46"/>
      <c r="AN12" s="46"/>
      <c r="AO12" s="46"/>
      <c r="AP12" s="44"/>
      <c r="AQ12" s="44"/>
      <c r="AR12" s="286"/>
      <c r="AS12" s="287"/>
      <c r="AT12" s="119"/>
    </row>
    <row r="13" spans="1:56" ht="19.5" customHeight="1" thickTop="1" thickBot="1" x14ac:dyDescent="0.35">
      <c r="B13" s="265" t="s">
        <v>94</v>
      </c>
      <c r="C13" s="265"/>
      <c r="D13" s="265"/>
      <c r="E13" s="24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7"/>
      <c r="Y13" s="47"/>
      <c r="Z13" s="47"/>
      <c r="AA13" s="47"/>
      <c r="AB13" s="47"/>
      <c r="AC13" s="47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7"/>
      <c r="AT13" s="47"/>
    </row>
    <row r="14" spans="1:56" ht="28.5" customHeight="1" thickBot="1" x14ac:dyDescent="0.35">
      <c r="B14" s="266" t="s">
        <v>54</v>
      </c>
      <c r="C14" s="256" t="s">
        <v>55</v>
      </c>
      <c r="D14" s="258" t="s">
        <v>56</v>
      </c>
      <c r="E14" s="260" t="s">
        <v>57</v>
      </c>
      <c r="F14" s="262" t="s">
        <v>58</v>
      </c>
      <c r="G14" s="263"/>
      <c r="H14" s="264"/>
      <c r="I14" s="294" t="s">
        <v>80</v>
      </c>
      <c r="J14" s="294"/>
      <c r="K14" s="294"/>
      <c r="L14" s="262" t="s">
        <v>61</v>
      </c>
      <c r="M14" s="263"/>
      <c r="N14" s="264"/>
      <c r="O14" s="294" t="s">
        <v>59</v>
      </c>
      <c r="P14" s="294"/>
      <c r="Q14" s="295"/>
      <c r="R14" s="296" t="s">
        <v>71</v>
      </c>
      <c r="S14" s="294"/>
      <c r="T14" s="295"/>
      <c r="U14" s="296" t="s">
        <v>81</v>
      </c>
      <c r="V14" s="294"/>
      <c r="W14" s="295"/>
      <c r="X14" s="296" t="s">
        <v>82</v>
      </c>
      <c r="Y14" s="294"/>
      <c r="Z14" s="294"/>
      <c r="AA14" s="296" t="s">
        <v>83</v>
      </c>
      <c r="AB14" s="294"/>
      <c r="AC14" s="295"/>
      <c r="AD14" s="296" t="s">
        <v>84</v>
      </c>
      <c r="AE14" s="294"/>
      <c r="AF14" s="295"/>
      <c r="AG14" s="296" t="s">
        <v>85</v>
      </c>
      <c r="AH14" s="294"/>
      <c r="AI14" s="294"/>
      <c r="AJ14" s="296" t="s">
        <v>60</v>
      </c>
      <c r="AK14" s="294"/>
      <c r="AL14" s="295"/>
      <c r="AM14" s="294" t="s">
        <v>72</v>
      </c>
      <c r="AN14" s="294"/>
      <c r="AO14" s="295"/>
      <c r="AP14" s="296" t="s">
        <v>86</v>
      </c>
      <c r="AQ14" s="294"/>
      <c r="AR14" s="295"/>
      <c r="AS14" s="290" t="s">
        <v>8</v>
      </c>
      <c r="AT14" s="290" t="s">
        <v>73</v>
      </c>
      <c r="AU14" s="301" t="s">
        <v>62</v>
      </c>
      <c r="AV14" s="303" t="s">
        <v>63</v>
      </c>
      <c r="AW14" s="300" t="s">
        <v>64</v>
      </c>
      <c r="AX14" s="300"/>
      <c r="AY14" s="300"/>
      <c r="AZ14" s="300"/>
      <c r="BA14" s="300"/>
      <c r="BB14" s="300"/>
      <c r="BC14" s="300"/>
      <c r="BD14" s="300"/>
    </row>
    <row r="15" spans="1:56" ht="12.9" customHeight="1" thickBot="1" x14ac:dyDescent="0.35">
      <c r="B15" s="267"/>
      <c r="C15" s="257"/>
      <c r="D15" s="259"/>
      <c r="E15" s="261"/>
      <c r="F15" s="268" t="s">
        <v>25</v>
      </c>
      <c r="G15" s="269"/>
      <c r="H15" s="270" t="s">
        <v>157</v>
      </c>
      <c r="I15" s="298" t="s">
        <v>25</v>
      </c>
      <c r="J15" s="298"/>
      <c r="K15" s="270" t="s">
        <v>157</v>
      </c>
      <c r="L15" s="299" t="s">
        <v>25</v>
      </c>
      <c r="M15" s="298"/>
      <c r="N15" s="270" t="s">
        <v>157</v>
      </c>
      <c r="O15" s="298" t="s">
        <v>25</v>
      </c>
      <c r="P15" s="298"/>
      <c r="Q15" s="270" t="s">
        <v>157</v>
      </c>
      <c r="R15" s="292" t="s">
        <v>25</v>
      </c>
      <c r="S15" s="297"/>
      <c r="T15" s="270" t="s">
        <v>157</v>
      </c>
      <c r="U15" s="292" t="s">
        <v>25</v>
      </c>
      <c r="V15" s="293"/>
      <c r="W15" s="270" t="s">
        <v>157</v>
      </c>
      <c r="X15" s="297" t="s">
        <v>25</v>
      </c>
      <c r="Y15" s="297"/>
      <c r="Z15" s="270" t="s">
        <v>157</v>
      </c>
      <c r="AA15" s="292" t="s">
        <v>25</v>
      </c>
      <c r="AB15" s="297"/>
      <c r="AC15" s="270" t="s">
        <v>157</v>
      </c>
      <c r="AD15" s="292" t="s">
        <v>25</v>
      </c>
      <c r="AE15" s="297"/>
      <c r="AF15" s="270" t="s">
        <v>157</v>
      </c>
      <c r="AG15" s="292" t="s">
        <v>25</v>
      </c>
      <c r="AH15" s="293"/>
      <c r="AI15" s="270" t="s">
        <v>157</v>
      </c>
      <c r="AJ15" s="292" t="s">
        <v>25</v>
      </c>
      <c r="AK15" s="293"/>
      <c r="AL15" s="270" t="s">
        <v>157</v>
      </c>
      <c r="AM15" s="297" t="s">
        <v>25</v>
      </c>
      <c r="AN15" s="297"/>
      <c r="AO15" s="270" t="s">
        <v>157</v>
      </c>
      <c r="AP15" s="292" t="s">
        <v>25</v>
      </c>
      <c r="AQ15" s="293"/>
      <c r="AR15" s="270" t="s">
        <v>157</v>
      </c>
      <c r="AS15" s="291"/>
      <c r="AT15" s="291"/>
      <c r="AU15" s="302"/>
      <c r="AV15" s="304"/>
      <c r="AW15" s="300" t="s">
        <v>65</v>
      </c>
      <c r="AX15" s="300"/>
      <c r="AY15" s="305" t="s">
        <v>2</v>
      </c>
      <c r="AZ15" s="305"/>
      <c r="BA15" s="306" t="s">
        <v>3</v>
      </c>
      <c r="BB15" s="306"/>
      <c r="BC15" s="307" t="s">
        <v>66</v>
      </c>
      <c r="BD15" s="307"/>
    </row>
    <row r="16" spans="1:56" ht="12.9" customHeight="1" thickBot="1" x14ac:dyDescent="0.35">
      <c r="B16" s="267"/>
      <c r="C16" s="257"/>
      <c r="D16" s="259"/>
      <c r="E16" s="261"/>
      <c r="F16" s="79" t="s">
        <v>67</v>
      </c>
      <c r="G16" s="80" t="s">
        <v>68</v>
      </c>
      <c r="H16" s="271"/>
      <c r="I16" s="49" t="s">
        <v>67</v>
      </c>
      <c r="J16" s="50" t="s">
        <v>68</v>
      </c>
      <c r="K16" s="271"/>
      <c r="L16" s="51" t="s">
        <v>67</v>
      </c>
      <c r="M16" s="50" t="s">
        <v>68</v>
      </c>
      <c r="N16" s="271"/>
      <c r="O16" s="49" t="s">
        <v>67</v>
      </c>
      <c r="P16" s="50" t="s">
        <v>68</v>
      </c>
      <c r="Q16" s="271"/>
      <c r="R16" s="51" t="s">
        <v>67</v>
      </c>
      <c r="S16" s="50" t="s">
        <v>68</v>
      </c>
      <c r="T16" s="271"/>
      <c r="U16" s="51" t="s">
        <v>67</v>
      </c>
      <c r="V16" s="50" t="s">
        <v>68</v>
      </c>
      <c r="W16" s="271"/>
      <c r="X16" s="49" t="s">
        <v>67</v>
      </c>
      <c r="Y16" s="50" t="s">
        <v>68</v>
      </c>
      <c r="Z16" s="271"/>
      <c r="AA16" s="51" t="s">
        <v>67</v>
      </c>
      <c r="AB16" s="50" t="s">
        <v>68</v>
      </c>
      <c r="AC16" s="271"/>
      <c r="AD16" s="51" t="s">
        <v>67</v>
      </c>
      <c r="AE16" s="50" t="s">
        <v>68</v>
      </c>
      <c r="AF16" s="271"/>
      <c r="AG16" s="51" t="s">
        <v>67</v>
      </c>
      <c r="AH16" s="50" t="s">
        <v>68</v>
      </c>
      <c r="AI16" s="271"/>
      <c r="AJ16" s="51" t="s">
        <v>67</v>
      </c>
      <c r="AK16" s="50" t="s">
        <v>68</v>
      </c>
      <c r="AL16" s="271"/>
      <c r="AM16" s="49" t="s">
        <v>67</v>
      </c>
      <c r="AN16" s="50" t="s">
        <v>68</v>
      </c>
      <c r="AO16" s="271"/>
      <c r="AP16" s="51" t="s">
        <v>67</v>
      </c>
      <c r="AQ16" s="50" t="s">
        <v>68</v>
      </c>
      <c r="AR16" s="271"/>
      <c r="AS16" s="291"/>
      <c r="AT16" s="291"/>
      <c r="AU16" s="302"/>
      <c r="AV16" s="304"/>
      <c r="AW16" s="252" t="s">
        <v>0</v>
      </c>
      <c r="AX16" s="252" t="s">
        <v>1</v>
      </c>
      <c r="AY16" s="52" t="s">
        <v>0</v>
      </c>
      <c r="AZ16" s="52" t="s">
        <v>1</v>
      </c>
      <c r="BA16" s="52" t="s">
        <v>0</v>
      </c>
      <c r="BB16" s="52" t="s">
        <v>1</v>
      </c>
      <c r="BC16" s="52" t="s">
        <v>0</v>
      </c>
      <c r="BD16" s="52" t="s">
        <v>1</v>
      </c>
    </row>
    <row r="17" spans="2:56" ht="19.5" customHeight="1" thickTop="1" thickBot="1" x14ac:dyDescent="0.35">
      <c r="B17" s="53">
        <v>1</v>
      </c>
      <c r="C17" s="172">
        <v>4068</v>
      </c>
      <c r="D17" s="176" t="s">
        <v>147</v>
      </c>
      <c r="E17" s="70"/>
      <c r="F17" s="232"/>
      <c r="G17" s="233"/>
      <c r="H17" s="200">
        <f>SUM('11CL-FAR-L PORT'!Q9)</f>
        <v>7.166666666666667</v>
      </c>
      <c r="I17" s="201"/>
      <c r="J17" s="202"/>
      <c r="K17" s="203">
        <f>SUM('11CL-FAR-MAT'!Q9)</f>
        <v>6.666666666666667</v>
      </c>
      <c r="L17" s="204"/>
      <c r="M17" s="202"/>
      <c r="N17" s="200">
        <f>SUM('11CL-FAR-BIOL'!Q9)</f>
        <v>7.333333333333333</v>
      </c>
      <c r="O17" s="205"/>
      <c r="P17" s="202"/>
      <c r="Q17" s="203">
        <f>SUM('11CL-FAR-INGLES'!Q9)</f>
        <v>8.6666666666666661</v>
      </c>
      <c r="R17" s="204"/>
      <c r="S17" s="202"/>
      <c r="T17" s="200">
        <f>SUM('11CL-FAR-PATOL'!Q9)</f>
        <v>5.5</v>
      </c>
      <c r="U17" s="204"/>
      <c r="V17" s="202"/>
      <c r="W17" s="200">
        <f>SUM('11CL-FAR-MPARASITOL'!Q9)</f>
        <v>6.5</v>
      </c>
      <c r="X17" s="205"/>
      <c r="Y17" s="202"/>
      <c r="Z17" s="203">
        <f>SUM('11CL-FAR-FARMACOL'!Q9)</f>
        <v>8.1666666666666661</v>
      </c>
      <c r="AA17" s="206"/>
      <c r="AB17" s="207"/>
      <c r="AC17" s="208">
        <f>SUM('11CL-FAR-FARMACOG'!Q9)</f>
        <v>6.666666666666667</v>
      </c>
      <c r="AD17" s="209"/>
      <c r="AE17" s="202"/>
      <c r="AF17" s="200">
        <f>SUM('11CL-FAR-TPM'!Q9)</f>
        <v>5</v>
      </c>
      <c r="AG17" s="209"/>
      <c r="AH17" s="207"/>
      <c r="AI17" s="200">
        <f>SUM('11CL-FAR-QCA ORG.'!Q9)</f>
        <v>7.166666666666667</v>
      </c>
      <c r="AJ17" s="206"/>
      <c r="AK17" s="207"/>
      <c r="AL17" s="208">
        <f>SUM('11CL-FAR-ED. FIS'!Q9)</f>
        <v>13</v>
      </c>
      <c r="AM17" s="210"/>
      <c r="AN17" s="207"/>
      <c r="AO17" s="210">
        <f>SUM('11CL-FAR-BOTANICA'!Q9)</f>
        <v>9.5</v>
      </c>
      <c r="AP17" s="209"/>
      <c r="AQ17" s="202"/>
      <c r="AR17" s="200">
        <f>SUM('11CL-FAR-AFH'!Q9)</f>
        <v>10.666666666666666</v>
      </c>
      <c r="AS17" s="54" t="s">
        <v>3</v>
      </c>
      <c r="AT17" s="74">
        <f t="shared" ref="AT17:AT71" si="0">AVERAGE(H17:AR17)</f>
        <v>7.8461538461538458</v>
      </c>
      <c r="AU17" s="166">
        <v>22</v>
      </c>
      <c r="AV17" s="169" t="s">
        <v>1</v>
      </c>
      <c r="AW17" s="55">
        <f>COUNTIF(AV17:AV71,"M")</f>
        <v>12</v>
      </c>
      <c r="AX17" s="56">
        <f>COUNTIF(AV17:AV71,"F")</f>
        <v>43</v>
      </c>
      <c r="AY17" s="57">
        <f>COUNTIFS(AS17:AS71,"Transita",AV17:AV71,"M")</f>
        <v>0</v>
      </c>
      <c r="AZ17" s="57">
        <f>COUNTIFS(AS17:AS71,"Transita",AV17:AV71,"F")</f>
        <v>2</v>
      </c>
      <c r="BA17" s="57">
        <f>COUNTIFS(AS17:AS71,"N/Transita",AV17:AV71,"M")</f>
        <v>12</v>
      </c>
      <c r="BB17" s="57">
        <f>COUNTIFS(AS17:AS71,"N/Transita",AV17:AV71,"F")</f>
        <v>35</v>
      </c>
      <c r="BC17" s="57">
        <f>COUNTIFS(AS17:AS71,"DESISTIDO",AV17:AV71,"M")</f>
        <v>0</v>
      </c>
      <c r="BD17" s="57">
        <f>COUNTIFS(AS17:AS71,"DESISTIDA",AV17:AV71,"F")</f>
        <v>6</v>
      </c>
    </row>
    <row r="18" spans="2:56" ht="19.5" customHeight="1" thickBot="1" x14ac:dyDescent="0.35">
      <c r="B18" s="58">
        <v>2</v>
      </c>
      <c r="C18" s="173">
        <v>3983</v>
      </c>
      <c r="D18" s="177" t="s">
        <v>95</v>
      </c>
      <c r="E18" s="71"/>
      <c r="F18" s="59"/>
      <c r="G18" s="60"/>
      <c r="H18" s="211">
        <f>SUM('11CL-FAR-L PORT'!Q10)</f>
        <v>8.3333333333333339</v>
      </c>
      <c r="I18" s="212"/>
      <c r="J18" s="213"/>
      <c r="K18" s="214">
        <f>SUM('11CL-FAR-MAT'!Q10)</f>
        <v>8.1666666666666661</v>
      </c>
      <c r="L18" s="215"/>
      <c r="M18" s="213"/>
      <c r="N18" s="211">
        <f>SUM('11CL-FAR-BIOL'!Q10)</f>
        <v>13</v>
      </c>
      <c r="O18" s="216"/>
      <c r="P18" s="213"/>
      <c r="Q18" s="214">
        <f>SUM('11CL-FAR-INGLES'!Q10)</f>
        <v>12.333333333333334</v>
      </c>
      <c r="R18" s="215"/>
      <c r="S18" s="213"/>
      <c r="T18" s="211">
        <f>SUM('11CL-FAR-PATOL'!Q10)</f>
        <v>5.333333333333333</v>
      </c>
      <c r="U18" s="215"/>
      <c r="V18" s="213"/>
      <c r="W18" s="211">
        <f>SUM('11CL-FAR-MPARASITOL'!Q10)</f>
        <v>2.8333333333333335</v>
      </c>
      <c r="X18" s="216"/>
      <c r="Y18" s="213"/>
      <c r="Z18" s="214">
        <f>SUM('11CL-FAR-FARMACOL'!Q10)</f>
        <v>7.5</v>
      </c>
      <c r="AA18" s="217"/>
      <c r="AB18" s="120"/>
      <c r="AC18" s="218">
        <f>SUM('11CL-FAR-FARMACOG'!Q10)</f>
        <v>10.333333333333334</v>
      </c>
      <c r="AD18" s="219"/>
      <c r="AE18" s="213"/>
      <c r="AF18" s="211">
        <f>SUM('11CL-FAR-TPM'!Q10)</f>
        <v>12.333333333333334</v>
      </c>
      <c r="AG18" s="219"/>
      <c r="AH18" s="120"/>
      <c r="AI18" s="211">
        <f>SUM('11CL-FAR-QCA ORG.'!Q10)</f>
        <v>8.3333333333333339</v>
      </c>
      <c r="AJ18" s="217"/>
      <c r="AK18" s="120"/>
      <c r="AL18" s="218">
        <f>SUM('11CL-FAR-ED. FIS'!Q10)</f>
        <v>3.3333333333333335</v>
      </c>
      <c r="AM18" s="220"/>
      <c r="AN18" s="120"/>
      <c r="AO18" s="220">
        <f>SUM('11CL-FAR-BOTANICA'!Q10)</f>
        <v>10.5</v>
      </c>
      <c r="AP18" s="219"/>
      <c r="AQ18" s="213"/>
      <c r="AR18" s="211">
        <f>SUM('11CL-FAR-AFH'!Q10)</f>
        <v>13.333333333333334</v>
      </c>
      <c r="AS18" s="61" t="s">
        <v>3</v>
      </c>
      <c r="AT18" s="75">
        <f t="shared" si="0"/>
        <v>8.897435897435896</v>
      </c>
      <c r="AU18" s="167">
        <v>18</v>
      </c>
      <c r="AV18" s="170" t="s">
        <v>1</v>
      </c>
      <c r="AW18" s="308">
        <f>SUM(AW17:AX17)</f>
        <v>55</v>
      </c>
      <c r="AX18" s="309"/>
      <c r="AY18" s="310">
        <f>SUM(AY16:AZ17)</f>
        <v>2</v>
      </c>
      <c r="AZ18" s="310"/>
      <c r="BA18" s="309">
        <f>SUM(BA16:BB17)</f>
        <v>47</v>
      </c>
      <c r="BB18" s="309"/>
      <c r="BC18" s="309">
        <f>SUM(BC16:BD17)</f>
        <v>6</v>
      </c>
      <c r="BD18" s="309"/>
    </row>
    <row r="19" spans="2:56" s="62" customFormat="1" ht="19.5" customHeight="1" thickBot="1" x14ac:dyDescent="0.35">
      <c r="B19" s="58">
        <v>3</v>
      </c>
      <c r="C19" s="173">
        <v>4163</v>
      </c>
      <c r="D19" s="177" t="s">
        <v>96</v>
      </c>
      <c r="E19" s="72"/>
      <c r="F19" s="59"/>
      <c r="G19" s="60"/>
      <c r="H19" s="211">
        <f>SUM('11CL-FAR-L PORT'!Q11)</f>
        <v>9.5</v>
      </c>
      <c r="I19" s="212"/>
      <c r="J19" s="213"/>
      <c r="K19" s="214">
        <f>SUM('11CL-FAR-MAT'!Q11)</f>
        <v>7.666666666666667</v>
      </c>
      <c r="L19" s="215"/>
      <c r="M19" s="213"/>
      <c r="N19" s="211">
        <f>SUM('11CL-FAR-BIOL'!Q11)</f>
        <v>10.666666666666666</v>
      </c>
      <c r="O19" s="216"/>
      <c r="P19" s="213"/>
      <c r="Q19" s="214">
        <f>SUM('11CL-FAR-INGLES'!Q11)</f>
        <v>12.666666666666666</v>
      </c>
      <c r="R19" s="215"/>
      <c r="S19" s="213"/>
      <c r="T19" s="211">
        <f>SUM('11CL-FAR-PATOL'!Q11)</f>
        <v>11.333333333333334</v>
      </c>
      <c r="U19" s="215"/>
      <c r="V19" s="213"/>
      <c r="W19" s="211">
        <f>SUM('11CL-FAR-MPARASITOL'!Q11)</f>
        <v>11.666666666666666</v>
      </c>
      <c r="X19" s="216"/>
      <c r="Y19" s="213"/>
      <c r="Z19" s="214">
        <f>SUM('11CL-FAR-FARMACOL'!Q11)</f>
        <v>10</v>
      </c>
      <c r="AA19" s="217"/>
      <c r="AB19" s="120"/>
      <c r="AC19" s="218">
        <f>SUM('11CL-FAR-FARMACOG'!Q11)</f>
        <v>7.833333333333333</v>
      </c>
      <c r="AD19" s="219"/>
      <c r="AE19" s="213"/>
      <c r="AF19" s="211">
        <f>SUM('11CL-FAR-TPM'!Q11)</f>
        <v>10.666666666666666</v>
      </c>
      <c r="AG19" s="219"/>
      <c r="AH19" s="120"/>
      <c r="AI19" s="211">
        <f>SUM('11CL-FAR-QCA ORG.'!Q11)</f>
        <v>9.5</v>
      </c>
      <c r="AJ19" s="217"/>
      <c r="AK19" s="120"/>
      <c r="AL19" s="218">
        <f>SUM('11CL-FAR-ED. FIS'!Q11)</f>
        <v>14</v>
      </c>
      <c r="AM19" s="220"/>
      <c r="AN19" s="120"/>
      <c r="AO19" s="220">
        <f>SUM('11CL-FAR-BOTANICA'!Q11)</f>
        <v>11.5</v>
      </c>
      <c r="AP19" s="219"/>
      <c r="AQ19" s="213"/>
      <c r="AR19" s="211">
        <f>SUM('11CL-FAR-AFH'!Q11)</f>
        <v>10.666666666666666</v>
      </c>
      <c r="AS19" s="61" t="s">
        <v>3</v>
      </c>
      <c r="AT19" s="75">
        <f t="shared" si="0"/>
        <v>10.589743589743589</v>
      </c>
      <c r="AU19" s="167">
        <v>20</v>
      </c>
      <c r="AV19" s="170" t="s">
        <v>1</v>
      </c>
    </row>
    <row r="20" spans="2:56" ht="19.5" customHeight="1" thickBot="1" x14ac:dyDescent="0.35">
      <c r="B20" s="58">
        <v>4</v>
      </c>
      <c r="C20" s="173">
        <v>3939</v>
      </c>
      <c r="D20" s="177" t="s">
        <v>97</v>
      </c>
      <c r="E20" s="71"/>
      <c r="F20" s="59"/>
      <c r="G20" s="60"/>
      <c r="H20" s="211">
        <f>SUM('11CL-FAR-L PORT'!Q12)</f>
        <v>12.5</v>
      </c>
      <c r="I20" s="212"/>
      <c r="J20" s="213"/>
      <c r="K20" s="214">
        <f>SUM('11CL-FAR-MAT'!Q12)</f>
        <v>15</v>
      </c>
      <c r="L20" s="215"/>
      <c r="M20" s="213"/>
      <c r="N20" s="211">
        <f>SUM('11CL-FAR-BIOL'!Q12)</f>
        <v>14.666666666666666</v>
      </c>
      <c r="O20" s="216"/>
      <c r="P20" s="213"/>
      <c r="Q20" s="214">
        <f>SUM('11CL-FAR-INGLES'!Q12)</f>
        <v>16</v>
      </c>
      <c r="R20" s="215"/>
      <c r="S20" s="213"/>
      <c r="T20" s="211">
        <f>SUM('11CL-FAR-PATOL'!Q12)</f>
        <v>11.666666666666666</v>
      </c>
      <c r="U20" s="215"/>
      <c r="V20" s="213"/>
      <c r="W20" s="211">
        <f>SUM('11CL-FAR-MPARASITOL'!Q12)</f>
        <v>10.333333333333334</v>
      </c>
      <c r="X20" s="216"/>
      <c r="Y20" s="213"/>
      <c r="Z20" s="214">
        <f>SUM('11CL-FAR-FARMACOL'!Q12)</f>
        <v>12.833333333333334</v>
      </c>
      <c r="AA20" s="217"/>
      <c r="AB20" s="120"/>
      <c r="AC20" s="218">
        <f>SUM('11CL-FAR-FARMACOG'!Q12)</f>
        <v>9.3333333333333339</v>
      </c>
      <c r="AD20" s="219"/>
      <c r="AE20" s="213"/>
      <c r="AF20" s="211">
        <f>SUM('11CL-FAR-TPM'!Q12)</f>
        <v>15</v>
      </c>
      <c r="AG20" s="219"/>
      <c r="AH20" s="120"/>
      <c r="AI20" s="211">
        <f>SUM('11CL-FAR-QCA ORG.'!Q12)</f>
        <v>12.5</v>
      </c>
      <c r="AJ20" s="217"/>
      <c r="AK20" s="120"/>
      <c r="AL20" s="218">
        <f>SUM('11CL-FAR-ED. FIS'!Q12)</f>
        <v>18</v>
      </c>
      <c r="AM20" s="220"/>
      <c r="AN20" s="120"/>
      <c r="AO20" s="220">
        <f>SUM('11CL-FAR-BOTANICA'!Q12)</f>
        <v>14.5</v>
      </c>
      <c r="AP20" s="219"/>
      <c r="AQ20" s="213"/>
      <c r="AR20" s="211">
        <f>SUM('11CL-FAR-AFH'!Q12)</f>
        <v>13.666666666666666</v>
      </c>
      <c r="AS20" s="61" t="s">
        <v>3</v>
      </c>
      <c r="AT20" s="75">
        <f t="shared" si="0"/>
        <v>13.538461538461537</v>
      </c>
      <c r="AU20" s="167">
        <v>20</v>
      </c>
      <c r="AV20" s="170" t="s">
        <v>0</v>
      </c>
    </row>
    <row r="21" spans="2:56" ht="19.5" customHeight="1" thickBot="1" x14ac:dyDescent="0.35">
      <c r="B21" s="58">
        <v>5</v>
      </c>
      <c r="C21" s="173">
        <v>3461</v>
      </c>
      <c r="D21" s="177" t="s">
        <v>98</v>
      </c>
      <c r="E21" s="71"/>
      <c r="F21" s="59"/>
      <c r="G21" s="60"/>
      <c r="H21" s="211">
        <f>SUM('11CL-FAR-L PORT'!Q13)</f>
        <v>7.333333333333333</v>
      </c>
      <c r="I21" s="212"/>
      <c r="J21" s="213"/>
      <c r="K21" s="214">
        <f>SUM('11CL-FAR-MAT'!Q13)</f>
        <v>13.333333333333334</v>
      </c>
      <c r="L21" s="215"/>
      <c r="M21" s="213"/>
      <c r="N21" s="211">
        <f>SUM('11CL-FAR-BIOL'!Q13)</f>
        <v>16</v>
      </c>
      <c r="O21" s="216"/>
      <c r="P21" s="213"/>
      <c r="Q21" s="214">
        <f>SUM('11CL-FAR-INGLES'!Q13)</f>
        <v>18</v>
      </c>
      <c r="R21" s="215"/>
      <c r="S21" s="213"/>
      <c r="T21" s="211">
        <f>SUM('11CL-FAR-PATOL'!Q13)</f>
        <v>10</v>
      </c>
      <c r="U21" s="215"/>
      <c r="V21" s="213"/>
      <c r="W21" s="211">
        <f>SUM('11CL-FAR-MPARASITOL'!Q13)</f>
        <v>10</v>
      </c>
      <c r="X21" s="216"/>
      <c r="Y21" s="213"/>
      <c r="Z21" s="214">
        <f>SUM('11CL-FAR-FARMACOL'!Q13)</f>
        <v>12.166666666666666</v>
      </c>
      <c r="AA21" s="217"/>
      <c r="AB21" s="120"/>
      <c r="AC21" s="218">
        <f>SUM('11CL-FAR-FARMACOG'!Q13)</f>
        <v>15</v>
      </c>
      <c r="AD21" s="219"/>
      <c r="AE21" s="213"/>
      <c r="AF21" s="211">
        <f>SUM('11CL-FAR-TPM'!Q13)</f>
        <v>16</v>
      </c>
      <c r="AG21" s="219"/>
      <c r="AH21" s="120"/>
      <c r="AI21" s="211">
        <f>SUM('11CL-FAR-QCA ORG.'!Q13)</f>
        <v>7.333333333333333</v>
      </c>
      <c r="AJ21" s="217"/>
      <c r="AK21" s="120"/>
      <c r="AL21" s="218">
        <f>SUM('11CL-FAR-ED. FIS'!Q13)</f>
        <v>10</v>
      </c>
      <c r="AM21" s="220"/>
      <c r="AN21" s="120"/>
      <c r="AO21" s="220">
        <f>SUM('11CL-FAR-BOTANICA'!Q13)</f>
        <v>13.666666666666666</v>
      </c>
      <c r="AP21" s="219"/>
      <c r="AQ21" s="213"/>
      <c r="AR21" s="211">
        <f>SUM('11CL-FAR-AFH'!Q13)</f>
        <v>12.666666666666666</v>
      </c>
      <c r="AS21" s="61" t="s">
        <v>3</v>
      </c>
      <c r="AT21" s="75">
        <f t="shared" si="0"/>
        <v>12.423076923076923</v>
      </c>
      <c r="AU21" s="167">
        <v>17</v>
      </c>
      <c r="AV21" s="170" t="s">
        <v>1</v>
      </c>
    </row>
    <row r="22" spans="2:56" ht="19.5" customHeight="1" thickBot="1" x14ac:dyDescent="0.35">
      <c r="B22" s="58">
        <v>6</v>
      </c>
      <c r="C22" s="173">
        <v>4030</v>
      </c>
      <c r="D22" s="177" t="s">
        <v>99</v>
      </c>
      <c r="E22" s="71"/>
      <c r="F22" s="59"/>
      <c r="G22" s="60"/>
      <c r="H22" s="211">
        <f>SUM('11CL-FAR-L PORT'!Q14)</f>
        <v>8.8333333333333339</v>
      </c>
      <c r="I22" s="212"/>
      <c r="J22" s="213"/>
      <c r="K22" s="214">
        <f>SUM('11CL-FAR-MAT'!Q14)</f>
        <v>10.166666666666666</v>
      </c>
      <c r="L22" s="215"/>
      <c r="M22" s="213"/>
      <c r="N22" s="211">
        <f>SUM('11CL-FAR-BIOL'!Q14)</f>
        <v>10.333333333333334</v>
      </c>
      <c r="O22" s="216"/>
      <c r="P22" s="213"/>
      <c r="Q22" s="214">
        <f>SUM('11CL-FAR-INGLES'!Q14)</f>
        <v>11.666666666666666</v>
      </c>
      <c r="R22" s="215"/>
      <c r="S22" s="213"/>
      <c r="T22" s="211">
        <f>SUM('11CL-FAR-PATOL'!Q14)</f>
        <v>9</v>
      </c>
      <c r="U22" s="215"/>
      <c r="V22" s="213"/>
      <c r="W22" s="211">
        <f>SUM('11CL-FAR-MPARASITOL'!Q14)</f>
        <v>5.333333333333333</v>
      </c>
      <c r="X22" s="216"/>
      <c r="Y22" s="213"/>
      <c r="Z22" s="214">
        <f>SUM('11CL-FAR-FARMACOL'!Q14)</f>
        <v>10.166666666666666</v>
      </c>
      <c r="AA22" s="217"/>
      <c r="AB22" s="120"/>
      <c r="AC22" s="218">
        <f>SUM('11CL-FAR-FARMACOG'!Q14)</f>
        <v>10.666666666666666</v>
      </c>
      <c r="AD22" s="219"/>
      <c r="AE22" s="213"/>
      <c r="AF22" s="211">
        <f>SUM('11CL-FAR-TPM'!Q14)</f>
        <v>13.333333333333334</v>
      </c>
      <c r="AG22" s="219"/>
      <c r="AH22" s="120"/>
      <c r="AI22" s="211">
        <f>SUM('11CL-FAR-QCA ORG.'!Q14)</f>
        <v>8.8333333333333339</v>
      </c>
      <c r="AJ22" s="217"/>
      <c r="AK22" s="120"/>
      <c r="AL22" s="218">
        <f>SUM('11CL-FAR-ED. FIS'!Q14)</f>
        <v>15</v>
      </c>
      <c r="AM22" s="220"/>
      <c r="AN22" s="120"/>
      <c r="AO22" s="220">
        <f>SUM('11CL-FAR-BOTANICA'!Q14)</f>
        <v>12</v>
      </c>
      <c r="AP22" s="219"/>
      <c r="AQ22" s="213"/>
      <c r="AR22" s="211">
        <f>SUM('11CL-FAR-AFH'!Q14)</f>
        <v>11.666666666666666</v>
      </c>
      <c r="AS22" s="61" t="s">
        <v>3</v>
      </c>
      <c r="AT22" s="75">
        <f t="shared" si="0"/>
        <v>10.538461538461538</v>
      </c>
      <c r="AU22" s="167">
        <v>20</v>
      </c>
      <c r="AV22" s="170" t="s">
        <v>1</v>
      </c>
    </row>
    <row r="23" spans="2:56" ht="19.5" customHeight="1" thickBot="1" x14ac:dyDescent="0.35">
      <c r="B23" s="58">
        <v>7</v>
      </c>
      <c r="C23" s="173">
        <v>3086</v>
      </c>
      <c r="D23" s="177" t="s">
        <v>100</v>
      </c>
      <c r="E23" s="71"/>
      <c r="F23" s="59"/>
      <c r="G23" s="60"/>
      <c r="H23" s="211">
        <f>SUM('11CL-FAR-L PORT'!Q15)</f>
        <v>7</v>
      </c>
      <c r="I23" s="212"/>
      <c r="J23" s="213"/>
      <c r="K23" s="214">
        <f>SUM('11CL-FAR-MAT'!Q15)</f>
        <v>7.333333333333333</v>
      </c>
      <c r="L23" s="215"/>
      <c r="M23" s="213"/>
      <c r="N23" s="211">
        <f>SUM('11CL-FAR-BIOL'!Q15)</f>
        <v>10.666666666666666</v>
      </c>
      <c r="O23" s="216"/>
      <c r="P23" s="213"/>
      <c r="Q23" s="214">
        <f>SUM('11CL-FAR-INGLES'!Q15)</f>
        <v>17</v>
      </c>
      <c r="R23" s="215"/>
      <c r="S23" s="213"/>
      <c r="T23" s="211">
        <f>SUM('11CL-FAR-PATOL'!Q15)</f>
        <v>11.333333333333334</v>
      </c>
      <c r="U23" s="215"/>
      <c r="V23" s="213"/>
      <c r="W23" s="211">
        <f>SUM('11CL-FAR-MPARASITOL'!Q15)</f>
        <v>11.166666666666666</v>
      </c>
      <c r="X23" s="216"/>
      <c r="Y23" s="213"/>
      <c r="Z23" s="214">
        <f>SUM('11CL-FAR-FARMACOL'!Q15)</f>
        <v>9.5</v>
      </c>
      <c r="AA23" s="217"/>
      <c r="AB23" s="120"/>
      <c r="AC23" s="218">
        <f>SUM('11CL-FAR-FARMACOG'!Q15)</f>
        <v>11</v>
      </c>
      <c r="AD23" s="219"/>
      <c r="AE23" s="213"/>
      <c r="AF23" s="211">
        <f>SUM('11CL-FAR-TPM'!Q15)</f>
        <v>9</v>
      </c>
      <c r="AG23" s="219"/>
      <c r="AH23" s="120"/>
      <c r="AI23" s="211">
        <f>SUM('11CL-FAR-QCA ORG.'!Q15)</f>
        <v>7</v>
      </c>
      <c r="AJ23" s="217"/>
      <c r="AK23" s="120"/>
      <c r="AL23" s="218">
        <f>SUM('11CL-FAR-ED. FIS'!Q15)</f>
        <v>15</v>
      </c>
      <c r="AM23" s="220"/>
      <c r="AN23" s="120"/>
      <c r="AO23" s="220">
        <f>SUM('11CL-FAR-BOTANICA'!Q15)</f>
        <v>10.666666666666666</v>
      </c>
      <c r="AP23" s="219"/>
      <c r="AQ23" s="213"/>
      <c r="AR23" s="211">
        <f>SUM('11CL-FAR-AFH'!Q15)</f>
        <v>11.333333333333334</v>
      </c>
      <c r="AS23" s="61" t="s">
        <v>3</v>
      </c>
      <c r="AT23" s="75">
        <f t="shared" si="0"/>
        <v>10.615384615384615</v>
      </c>
      <c r="AU23" s="167">
        <v>29</v>
      </c>
      <c r="AV23" s="170" t="s">
        <v>1</v>
      </c>
    </row>
    <row r="24" spans="2:56" ht="19.5" customHeight="1" thickBot="1" x14ac:dyDescent="0.35">
      <c r="B24" s="58">
        <v>8</v>
      </c>
      <c r="C24" s="173">
        <v>4117</v>
      </c>
      <c r="D24" s="177" t="s">
        <v>101</v>
      </c>
      <c r="E24" s="71"/>
      <c r="F24" s="59"/>
      <c r="G24" s="60"/>
      <c r="H24" s="211">
        <f>SUM('11CL-FAR-L PORT'!Q16)</f>
        <v>5.666666666666667</v>
      </c>
      <c r="I24" s="212"/>
      <c r="J24" s="213"/>
      <c r="K24" s="214">
        <f>SUM('11CL-FAR-MAT'!Q16)</f>
        <v>7.333333333333333</v>
      </c>
      <c r="L24" s="215"/>
      <c r="M24" s="213"/>
      <c r="N24" s="211">
        <f>SUM('11CL-FAR-BIOL'!Q16)</f>
        <v>7.666666666666667</v>
      </c>
      <c r="O24" s="216"/>
      <c r="P24" s="213"/>
      <c r="Q24" s="214">
        <f>SUM('11CL-FAR-INGLES'!Q16)</f>
        <v>12.666666666666666</v>
      </c>
      <c r="R24" s="215"/>
      <c r="S24" s="213"/>
      <c r="T24" s="211">
        <f>SUM('11CL-FAR-PATOL'!Q16)</f>
        <v>5.666666666666667</v>
      </c>
      <c r="U24" s="215"/>
      <c r="V24" s="213"/>
      <c r="W24" s="211">
        <f>SUM('11CL-FAR-MPARASITOL'!Q16)</f>
        <v>5.833333333333333</v>
      </c>
      <c r="X24" s="216"/>
      <c r="Y24" s="213"/>
      <c r="Z24" s="214">
        <f>SUM('11CL-FAR-FARMACOL'!Q16)</f>
        <v>7.666666666666667</v>
      </c>
      <c r="AA24" s="217"/>
      <c r="AB24" s="120"/>
      <c r="AC24" s="218">
        <f>SUM('11CL-FAR-FARMACOG'!Q16)</f>
        <v>6.666666666666667</v>
      </c>
      <c r="AD24" s="219"/>
      <c r="AE24" s="213"/>
      <c r="AF24" s="211">
        <f>SUM('11CL-FAR-TPM'!Q16)</f>
        <v>7</v>
      </c>
      <c r="AG24" s="219"/>
      <c r="AH24" s="120"/>
      <c r="AI24" s="211">
        <f>SUM('11CL-FAR-QCA ORG.'!Q16)</f>
        <v>5.666666666666667</v>
      </c>
      <c r="AJ24" s="217"/>
      <c r="AK24" s="120"/>
      <c r="AL24" s="218">
        <f>SUM('11CL-FAR-ED. FIS'!Q16)</f>
        <v>10</v>
      </c>
      <c r="AM24" s="220"/>
      <c r="AN24" s="120"/>
      <c r="AO24" s="220">
        <f>SUM('11CL-FAR-BOTANICA'!Q16)</f>
        <v>7.333333333333333</v>
      </c>
      <c r="AP24" s="219"/>
      <c r="AQ24" s="213"/>
      <c r="AR24" s="211">
        <f>SUM('11CL-FAR-AFH'!Q16)</f>
        <v>11</v>
      </c>
      <c r="AS24" s="61" t="s">
        <v>3</v>
      </c>
      <c r="AT24" s="75">
        <f t="shared" si="0"/>
        <v>7.7051282051282044</v>
      </c>
      <c r="AU24" s="167">
        <v>21</v>
      </c>
      <c r="AV24" s="170" t="s">
        <v>0</v>
      </c>
    </row>
    <row r="25" spans="2:56" ht="19.5" customHeight="1" thickBot="1" x14ac:dyDescent="0.35">
      <c r="B25" s="58">
        <v>9</v>
      </c>
      <c r="C25" s="173">
        <v>4080</v>
      </c>
      <c r="D25" s="177" t="s">
        <v>102</v>
      </c>
      <c r="E25" s="71"/>
      <c r="F25" s="59"/>
      <c r="G25" s="60"/>
      <c r="H25" s="211">
        <f>SUM('11CL-FAR-L PORT'!Q17)</f>
        <v>8.6666666666666661</v>
      </c>
      <c r="I25" s="212"/>
      <c r="J25" s="213"/>
      <c r="K25" s="214">
        <f>SUM('11CL-FAR-MAT'!Q17)</f>
        <v>8.3333333333333339</v>
      </c>
      <c r="L25" s="215"/>
      <c r="M25" s="213"/>
      <c r="N25" s="211">
        <f>SUM('11CL-FAR-BIOL'!Q17)</f>
        <v>12.666666666666666</v>
      </c>
      <c r="O25" s="216"/>
      <c r="P25" s="213"/>
      <c r="Q25" s="214">
        <f>SUM('11CL-FAR-INGLES'!Q17)</f>
        <v>16.666666666666668</v>
      </c>
      <c r="R25" s="215"/>
      <c r="S25" s="213"/>
      <c r="T25" s="211">
        <f>SUM('11CL-FAR-PATOL'!Q17)</f>
        <v>11.5</v>
      </c>
      <c r="U25" s="215"/>
      <c r="V25" s="213"/>
      <c r="W25" s="211">
        <f>SUM('11CL-FAR-MPARASITOL'!Q17)</f>
        <v>4.333333333333333</v>
      </c>
      <c r="X25" s="216"/>
      <c r="Y25" s="213"/>
      <c r="Z25" s="214">
        <f>SUM('11CL-FAR-FARMACOL'!Q17)</f>
        <v>7.5</v>
      </c>
      <c r="AA25" s="217"/>
      <c r="AB25" s="120"/>
      <c r="AC25" s="218">
        <f>SUM('11CL-FAR-FARMACOG'!Q17)</f>
        <v>9.3333333333333339</v>
      </c>
      <c r="AD25" s="219"/>
      <c r="AE25" s="213"/>
      <c r="AF25" s="211">
        <f>SUM('11CL-FAR-TPM'!Q17)</f>
        <v>9.3333333333333339</v>
      </c>
      <c r="AG25" s="219"/>
      <c r="AH25" s="120"/>
      <c r="AI25" s="211">
        <f>SUM('11CL-FAR-QCA ORG.'!Q17)</f>
        <v>8.6666666666666661</v>
      </c>
      <c r="AJ25" s="217"/>
      <c r="AK25" s="120"/>
      <c r="AL25" s="218">
        <f>SUM('11CL-FAR-ED. FIS'!Q17)</f>
        <v>7</v>
      </c>
      <c r="AM25" s="220"/>
      <c r="AN25" s="120"/>
      <c r="AO25" s="220">
        <f>SUM('11CL-FAR-BOTANICA'!Q17)</f>
        <v>10</v>
      </c>
      <c r="AP25" s="219"/>
      <c r="AQ25" s="213"/>
      <c r="AR25" s="211">
        <f>SUM('11CL-FAR-AFH'!Q17)</f>
        <v>11</v>
      </c>
      <c r="AS25" s="61" t="s">
        <v>3</v>
      </c>
      <c r="AT25" s="75">
        <f t="shared" si="0"/>
        <v>9.615384615384615</v>
      </c>
      <c r="AU25" s="167">
        <v>19</v>
      </c>
      <c r="AV25" s="170" t="s">
        <v>1</v>
      </c>
    </row>
    <row r="26" spans="2:56" ht="19.5" customHeight="1" thickBot="1" x14ac:dyDescent="0.35">
      <c r="B26" s="58">
        <v>10</v>
      </c>
      <c r="C26" s="173">
        <v>3986</v>
      </c>
      <c r="D26" s="177" t="s">
        <v>103</v>
      </c>
      <c r="E26" s="71"/>
      <c r="F26" s="59"/>
      <c r="G26" s="60"/>
      <c r="H26" s="211">
        <f>SUM('11CL-FAR-L PORT'!Q18)</f>
        <v>6</v>
      </c>
      <c r="I26" s="212"/>
      <c r="J26" s="213"/>
      <c r="K26" s="214">
        <f>SUM('11CL-FAR-MAT'!Q18)</f>
        <v>6.333333333333333</v>
      </c>
      <c r="L26" s="215"/>
      <c r="M26" s="213"/>
      <c r="N26" s="211">
        <f>SUM('11CL-FAR-BIOL'!Q18)</f>
        <v>9.3333333333333339</v>
      </c>
      <c r="O26" s="216"/>
      <c r="P26" s="213"/>
      <c r="Q26" s="214">
        <f>SUM('11CL-FAR-INGLES'!Q18)</f>
        <v>11.666666666666666</v>
      </c>
      <c r="R26" s="215"/>
      <c r="S26" s="213"/>
      <c r="T26" s="211">
        <f>SUM('11CL-FAR-PATOL'!Q18)</f>
        <v>6.666666666666667</v>
      </c>
      <c r="U26" s="215"/>
      <c r="V26" s="213"/>
      <c r="W26" s="211">
        <f>SUM('11CL-FAR-MPARASITOL'!Q18)</f>
        <v>10</v>
      </c>
      <c r="X26" s="216"/>
      <c r="Y26" s="213"/>
      <c r="Z26" s="214">
        <f>SUM('11CL-FAR-FARMACOL'!Q18)</f>
        <v>0</v>
      </c>
      <c r="AA26" s="217"/>
      <c r="AB26" s="120"/>
      <c r="AC26" s="218">
        <f>SUM('11CL-FAR-FARMACOG'!Q18)</f>
        <v>7</v>
      </c>
      <c r="AD26" s="219"/>
      <c r="AE26" s="213"/>
      <c r="AF26" s="211">
        <f>SUM('11CL-FAR-TPM'!Q18)</f>
        <v>5.666666666666667</v>
      </c>
      <c r="AG26" s="219"/>
      <c r="AH26" s="120"/>
      <c r="AI26" s="211">
        <f>SUM('11CL-FAR-QCA ORG.'!Q18)</f>
        <v>6</v>
      </c>
      <c r="AJ26" s="217"/>
      <c r="AK26" s="120"/>
      <c r="AL26" s="218">
        <f>SUM('11CL-FAR-ED. FIS'!Q18)</f>
        <v>15.666666666666666</v>
      </c>
      <c r="AM26" s="220"/>
      <c r="AN26" s="120"/>
      <c r="AO26" s="220">
        <f>SUM('11CL-FAR-BOTANICA'!Q18)</f>
        <v>5.333333333333333</v>
      </c>
      <c r="AP26" s="219"/>
      <c r="AQ26" s="213"/>
      <c r="AR26" s="211">
        <f>SUM('11CL-FAR-AFH'!Q18)</f>
        <v>10</v>
      </c>
      <c r="AS26" s="61" t="s">
        <v>3</v>
      </c>
      <c r="AT26" s="75">
        <f t="shared" si="0"/>
        <v>7.6666666666666661</v>
      </c>
      <c r="AU26" s="167">
        <v>19</v>
      </c>
      <c r="AV26" s="170" t="s">
        <v>1</v>
      </c>
    </row>
    <row r="27" spans="2:56" ht="19.5" customHeight="1" thickBot="1" x14ac:dyDescent="0.35">
      <c r="B27" s="58">
        <v>11</v>
      </c>
      <c r="C27" s="173">
        <v>4094</v>
      </c>
      <c r="D27" s="177" t="s">
        <v>104</v>
      </c>
      <c r="E27" s="71"/>
      <c r="F27" s="59"/>
      <c r="G27" s="60"/>
      <c r="H27" s="211">
        <f>SUM('11CL-FAR-L PORT'!Q19)</f>
        <v>7</v>
      </c>
      <c r="I27" s="212"/>
      <c r="J27" s="213"/>
      <c r="K27" s="214">
        <f>SUM('11CL-FAR-MAT'!Q19)</f>
        <v>7.833333333333333</v>
      </c>
      <c r="L27" s="215"/>
      <c r="M27" s="213"/>
      <c r="N27" s="211">
        <f>SUM('11CL-FAR-BIOL'!Q19)</f>
        <v>10.666666666666666</v>
      </c>
      <c r="O27" s="216"/>
      <c r="P27" s="213"/>
      <c r="Q27" s="214">
        <f>SUM('11CL-FAR-INGLES'!Q19)</f>
        <v>12.666666666666666</v>
      </c>
      <c r="R27" s="215"/>
      <c r="S27" s="213"/>
      <c r="T27" s="211">
        <f>SUM('11CL-FAR-PATOL'!Q19)</f>
        <v>11.333333333333334</v>
      </c>
      <c r="U27" s="215"/>
      <c r="V27" s="213"/>
      <c r="W27" s="211">
        <f>SUM('11CL-FAR-MPARASITOL'!Q19)</f>
        <v>9</v>
      </c>
      <c r="X27" s="216"/>
      <c r="Y27" s="213"/>
      <c r="Z27" s="214">
        <f>SUM('11CL-FAR-FARMACOL'!Q19)</f>
        <v>9.1666666666666661</v>
      </c>
      <c r="AA27" s="217"/>
      <c r="AB27" s="120"/>
      <c r="AC27" s="218">
        <f>SUM('11CL-FAR-FARMACOG'!Q19)</f>
        <v>7.666666666666667</v>
      </c>
      <c r="AD27" s="219"/>
      <c r="AE27" s="213"/>
      <c r="AF27" s="211">
        <f>SUM('11CL-FAR-TPM'!Q19)</f>
        <v>10.666666666666666</v>
      </c>
      <c r="AG27" s="219"/>
      <c r="AH27" s="120"/>
      <c r="AI27" s="211">
        <f>SUM('11CL-FAR-QCA ORG.'!Q19)</f>
        <v>7</v>
      </c>
      <c r="AJ27" s="217"/>
      <c r="AK27" s="120"/>
      <c r="AL27" s="218">
        <f>SUM('11CL-FAR-ED. FIS'!Q19)</f>
        <v>13</v>
      </c>
      <c r="AM27" s="220"/>
      <c r="AN27" s="120"/>
      <c r="AO27" s="220">
        <f>SUM('11CL-FAR-BOTANICA'!Q19)</f>
        <v>4</v>
      </c>
      <c r="AP27" s="219"/>
      <c r="AQ27" s="213"/>
      <c r="AR27" s="211">
        <f>SUM('11CL-FAR-AFH'!Q19)</f>
        <v>12.333333333333334</v>
      </c>
      <c r="AS27" s="61" t="s">
        <v>3</v>
      </c>
      <c r="AT27" s="75">
        <f t="shared" si="0"/>
        <v>9.4102564102564106</v>
      </c>
      <c r="AU27" s="167">
        <v>19</v>
      </c>
      <c r="AV27" s="170" t="s">
        <v>1</v>
      </c>
    </row>
    <row r="28" spans="2:56" ht="19.5" customHeight="1" thickBot="1" x14ac:dyDescent="0.35">
      <c r="B28" s="58">
        <v>12</v>
      </c>
      <c r="C28" s="173">
        <v>4175</v>
      </c>
      <c r="D28" s="177" t="s">
        <v>105</v>
      </c>
      <c r="E28" s="71"/>
      <c r="F28" s="59"/>
      <c r="G28" s="60"/>
      <c r="H28" s="211">
        <f>SUM('11CL-FAR-L PORT'!Q20)</f>
        <v>9.3333333333333339</v>
      </c>
      <c r="I28" s="212"/>
      <c r="J28" s="213"/>
      <c r="K28" s="214">
        <f>SUM('11CL-FAR-MAT'!Q20)</f>
        <v>7.666666666666667</v>
      </c>
      <c r="L28" s="215"/>
      <c r="M28" s="213"/>
      <c r="N28" s="211">
        <f>SUM('11CL-FAR-BIOL'!Q20)</f>
        <v>10.666666666666666</v>
      </c>
      <c r="O28" s="216"/>
      <c r="P28" s="213"/>
      <c r="Q28" s="214">
        <f>SUM('11CL-FAR-INGLES'!Q20)</f>
        <v>13.333333333333334</v>
      </c>
      <c r="R28" s="215"/>
      <c r="S28" s="213"/>
      <c r="T28" s="211">
        <f>SUM('11CL-FAR-PATOL'!Q20)</f>
        <v>11.333333333333334</v>
      </c>
      <c r="U28" s="215"/>
      <c r="V28" s="213"/>
      <c r="W28" s="211">
        <f>SUM('11CL-FAR-MPARASITOL'!Q20)</f>
        <v>11.333333333333334</v>
      </c>
      <c r="X28" s="216"/>
      <c r="Y28" s="213"/>
      <c r="Z28" s="214">
        <f>SUM('11CL-FAR-FARMACOL'!Q20)</f>
        <v>9.5</v>
      </c>
      <c r="AA28" s="217"/>
      <c r="AB28" s="120"/>
      <c r="AC28" s="218">
        <f>SUM('11CL-FAR-FARMACOG'!Q20)</f>
        <v>10.833333333333334</v>
      </c>
      <c r="AD28" s="219"/>
      <c r="AE28" s="213"/>
      <c r="AF28" s="211">
        <f>SUM('11CL-FAR-TPM'!Q20)</f>
        <v>12</v>
      </c>
      <c r="AG28" s="219"/>
      <c r="AH28" s="120"/>
      <c r="AI28" s="211">
        <f>SUM('11CL-FAR-QCA ORG.'!Q20)</f>
        <v>9.3333333333333339</v>
      </c>
      <c r="AJ28" s="217"/>
      <c r="AK28" s="120"/>
      <c r="AL28" s="218">
        <f>SUM('11CL-FAR-ED. FIS'!Q20)</f>
        <v>11</v>
      </c>
      <c r="AM28" s="220"/>
      <c r="AN28" s="120"/>
      <c r="AO28" s="220">
        <f>SUM('11CL-FAR-BOTANICA'!Q20)</f>
        <v>11</v>
      </c>
      <c r="AP28" s="219"/>
      <c r="AQ28" s="213"/>
      <c r="AR28" s="211">
        <f>SUM('11CL-FAR-AFH'!Q20)</f>
        <v>12</v>
      </c>
      <c r="AS28" s="61" t="s">
        <v>3</v>
      </c>
      <c r="AT28" s="75">
        <f t="shared" si="0"/>
        <v>10.717948717948717</v>
      </c>
      <c r="AU28" s="167">
        <v>22</v>
      </c>
      <c r="AV28" s="170" t="s">
        <v>1</v>
      </c>
    </row>
    <row r="29" spans="2:56" ht="19.5" customHeight="1" thickBot="1" x14ac:dyDescent="0.35">
      <c r="B29" s="58">
        <v>13</v>
      </c>
      <c r="C29" s="173">
        <v>2532</v>
      </c>
      <c r="D29" s="177" t="s">
        <v>106</v>
      </c>
      <c r="E29" s="71"/>
      <c r="F29" s="59"/>
      <c r="G29" s="60"/>
      <c r="H29" s="211">
        <f>SUM('11CL-FAR-L PORT'!Q21)</f>
        <v>8.6666666666666661</v>
      </c>
      <c r="I29" s="212"/>
      <c r="J29" s="213"/>
      <c r="K29" s="214">
        <f>SUM('11CL-FAR-MAT'!Q21)</f>
        <v>8.3333333333333339</v>
      </c>
      <c r="L29" s="215"/>
      <c r="M29" s="213"/>
      <c r="N29" s="211">
        <f>SUM('11CL-FAR-BIOL'!Q21)</f>
        <v>13.666666666666666</v>
      </c>
      <c r="O29" s="216"/>
      <c r="P29" s="213"/>
      <c r="Q29" s="214">
        <f>SUM('11CL-FAR-INGLES'!Q21)</f>
        <v>16.666666666666668</v>
      </c>
      <c r="R29" s="215"/>
      <c r="S29" s="213"/>
      <c r="T29" s="211">
        <f>SUM('11CL-FAR-PATOL'!Q21)</f>
        <v>10</v>
      </c>
      <c r="U29" s="215"/>
      <c r="V29" s="213"/>
      <c r="W29" s="211">
        <f>SUM('11CL-FAR-MPARASITOL'!Q21)</f>
        <v>10</v>
      </c>
      <c r="X29" s="216"/>
      <c r="Y29" s="213"/>
      <c r="Z29" s="214">
        <f>SUM('11CL-FAR-FARMACOL'!Q21)</f>
        <v>8.8333333333333339</v>
      </c>
      <c r="AA29" s="217"/>
      <c r="AB29" s="120"/>
      <c r="AC29" s="218">
        <f>SUM('11CL-FAR-FARMACOG'!Q21)</f>
        <v>11.333333333333334</v>
      </c>
      <c r="AD29" s="219"/>
      <c r="AE29" s="213"/>
      <c r="AF29" s="211">
        <f>SUM('11CL-FAR-TPM'!Q21)</f>
        <v>11</v>
      </c>
      <c r="AG29" s="219"/>
      <c r="AH29" s="120"/>
      <c r="AI29" s="211">
        <f>SUM('11CL-FAR-QCA ORG.'!Q21)</f>
        <v>8.6666666666666661</v>
      </c>
      <c r="AJ29" s="217"/>
      <c r="AK29" s="120"/>
      <c r="AL29" s="218">
        <f>SUM('11CL-FAR-ED. FIS'!Q21)</f>
        <v>12</v>
      </c>
      <c r="AM29" s="220"/>
      <c r="AN29" s="120"/>
      <c r="AO29" s="220">
        <f>SUM('11CL-FAR-BOTANICA'!Q21)</f>
        <v>7</v>
      </c>
      <c r="AP29" s="219"/>
      <c r="AQ29" s="213"/>
      <c r="AR29" s="211">
        <f>SUM('11CL-FAR-AFH'!Q21)</f>
        <v>12</v>
      </c>
      <c r="AS29" s="61" t="s">
        <v>3</v>
      </c>
      <c r="AT29" s="75">
        <f t="shared" si="0"/>
        <v>10.628205128205128</v>
      </c>
      <c r="AU29" s="167">
        <v>19</v>
      </c>
      <c r="AV29" s="170" t="s">
        <v>1</v>
      </c>
    </row>
    <row r="30" spans="2:56" ht="19.5" customHeight="1" thickBot="1" x14ac:dyDescent="0.35">
      <c r="B30" s="58">
        <v>14</v>
      </c>
      <c r="C30" s="173">
        <v>3737</v>
      </c>
      <c r="D30" s="177" t="s">
        <v>107</v>
      </c>
      <c r="E30" s="71"/>
      <c r="F30" s="59"/>
      <c r="G30" s="60"/>
      <c r="H30" s="211">
        <f>SUM('11CL-FAR-L PORT'!Q22)</f>
        <v>10.5</v>
      </c>
      <c r="I30" s="212"/>
      <c r="J30" s="213"/>
      <c r="K30" s="214">
        <f>SUM('11CL-FAR-MAT'!Q22)</f>
        <v>9.1666666666666661</v>
      </c>
      <c r="L30" s="215"/>
      <c r="M30" s="213"/>
      <c r="N30" s="211">
        <f>SUM('11CL-FAR-BIOL'!Q22)</f>
        <v>13.333333333333334</v>
      </c>
      <c r="O30" s="216"/>
      <c r="P30" s="213"/>
      <c r="Q30" s="214">
        <f>SUM('11CL-FAR-INGLES'!Q22)</f>
        <v>19.333333333333332</v>
      </c>
      <c r="R30" s="215"/>
      <c r="S30" s="213"/>
      <c r="T30" s="211">
        <f>SUM('11CL-FAR-PATOL'!Q22)</f>
        <v>8.8333333333333339</v>
      </c>
      <c r="U30" s="215"/>
      <c r="V30" s="213"/>
      <c r="W30" s="211">
        <f>SUM('11CL-FAR-MPARASITOL'!Q22)</f>
        <v>5.5</v>
      </c>
      <c r="X30" s="216"/>
      <c r="Y30" s="213"/>
      <c r="Z30" s="214">
        <f>SUM('11CL-FAR-FARMACOL'!Q22)</f>
        <v>0</v>
      </c>
      <c r="AA30" s="217"/>
      <c r="AB30" s="120"/>
      <c r="AC30" s="218">
        <f>SUM('11CL-FAR-FARMACOG'!Q22)</f>
        <v>11.333333333333334</v>
      </c>
      <c r="AD30" s="219"/>
      <c r="AE30" s="213"/>
      <c r="AF30" s="211">
        <f>SUM('11CL-FAR-TPM'!Q22)</f>
        <v>10</v>
      </c>
      <c r="AG30" s="219"/>
      <c r="AH30" s="120"/>
      <c r="AI30" s="211">
        <f>SUM('11CL-FAR-QCA ORG.'!Q22)</f>
        <v>10.5</v>
      </c>
      <c r="AJ30" s="217"/>
      <c r="AK30" s="120"/>
      <c r="AL30" s="218">
        <f>SUM('11CL-FAR-ED. FIS'!Q22)</f>
        <v>16</v>
      </c>
      <c r="AM30" s="220"/>
      <c r="AN30" s="120"/>
      <c r="AO30" s="220">
        <f>SUM('11CL-FAR-BOTANICA'!Q22)</f>
        <v>14</v>
      </c>
      <c r="AP30" s="219"/>
      <c r="AQ30" s="213"/>
      <c r="AR30" s="211">
        <f>SUM('11CL-FAR-AFH'!Q22)</f>
        <v>15.666666666666666</v>
      </c>
      <c r="AS30" s="61" t="s">
        <v>3</v>
      </c>
      <c r="AT30" s="75">
        <f t="shared" si="0"/>
        <v>11.089743589743589</v>
      </c>
      <c r="AU30" s="167">
        <v>17</v>
      </c>
      <c r="AV30" s="170" t="s">
        <v>1</v>
      </c>
    </row>
    <row r="31" spans="2:56" ht="19.5" customHeight="1" thickBot="1" x14ac:dyDescent="0.35">
      <c r="B31" s="58">
        <v>15</v>
      </c>
      <c r="C31" s="173">
        <v>4160</v>
      </c>
      <c r="D31" s="177" t="s">
        <v>108</v>
      </c>
      <c r="E31" s="71"/>
      <c r="F31" s="59"/>
      <c r="G31" s="60"/>
      <c r="H31" s="211">
        <f>SUM('11CL-FAR-L PORT'!Q23)</f>
        <v>10.666666666666666</v>
      </c>
      <c r="I31" s="212"/>
      <c r="J31" s="213"/>
      <c r="K31" s="214">
        <f>SUM('11CL-FAR-MAT'!Q23)</f>
        <v>7.666666666666667</v>
      </c>
      <c r="L31" s="215"/>
      <c r="M31" s="213"/>
      <c r="N31" s="211">
        <f>SUM('11CL-FAR-BIOL'!Q23)</f>
        <v>10.666666666666666</v>
      </c>
      <c r="O31" s="216"/>
      <c r="P31" s="213"/>
      <c r="Q31" s="214">
        <f>SUM('11CL-FAR-INGLES'!Q23)</f>
        <v>7</v>
      </c>
      <c r="R31" s="215"/>
      <c r="S31" s="213"/>
      <c r="T31" s="211">
        <f>SUM('11CL-FAR-PATOL'!Q23)</f>
        <v>11.166666666666666</v>
      </c>
      <c r="U31" s="215"/>
      <c r="V31" s="213"/>
      <c r="W31" s="211">
        <f>SUM('11CL-FAR-MPARASITOL'!Q23)</f>
        <v>7.333333333333333</v>
      </c>
      <c r="X31" s="216"/>
      <c r="Y31" s="213"/>
      <c r="Z31" s="214">
        <f>SUM('11CL-FAR-FARMACOL'!Q23)</f>
        <v>13.5</v>
      </c>
      <c r="AA31" s="217"/>
      <c r="AB31" s="120"/>
      <c r="AC31" s="218">
        <f>SUM('11CL-FAR-FARMACOG'!Q23)</f>
        <v>9.8333333333333339</v>
      </c>
      <c r="AD31" s="219"/>
      <c r="AE31" s="213"/>
      <c r="AF31" s="211">
        <f>SUM('11CL-FAR-TPM'!Q23)</f>
        <v>11</v>
      </c>
      <c r="AG31" s="219"/>
      <c r="AH31" s="120"/>
      <c r="AI31" s="211">
        <f>SUM('11CL-FAR-QCA ORG.'!Q23)</f>
        <v>10.666666666666666</v>
      </c>
      <c r="AJ31" s="217"/>
      <c r="AK31" s="120"/>
      <c r="AL31" s="218">
        <f>SUM('11CL-FAR-ED. FIS'!Q23)</f>
        <v>6</v>
      </c>
      <c r="AM31" s="220"/>
      <c r="AN31" s="120"/>
      <c r="AO31" s="220">
        <f>SUM('11CL-FAR-BOTANICA'!Q23)</f>
        <v>8.6666666666666661</v>
      </c>
      <c r="AP31" s="219"/>
      <c r="AQ31" s="213"/>
      <c r="AR31" s="211">
        <f>SUM('11CL-FAR-AFH'!Q23)</f>
        <v>10</v>
      </c>
      <c r="AS31" s="61" t="s">
        <v>3</v>
      </c>
      <c r="AT31" s="75">
        <f t="shared" si="0"/>
        <v>9.5512820512820511</v>
      </c>
      <c r="AU31" s="167">
        <v>16</v>
      </c>
      <c r="AV31" s="170" t="s">
        <v>1</v>
      </c>
    </row>
    <row r="32" spans="2:56" ht="19.5" customHeight="1" thickBot="1" x14ac:dyDescent="0.35">
      <c r="B32" s="58">
        <v>16</v>
      </c>
      <c r="C32" s="173">
        <v>4151</v>
      </c>
      <c r="D32" s="177" t="s">
        <v>109</v>
      </c>
      <c r="E32" s="71"/>
      <c r="F32" s="59"/>
      <c r="G32" s="60"/>
      <c r="H32" s="211">
        <f>SUM('11CL-FAR-L PORT'!Q24)</f>
        <v>9.5</v>
      </c>
      <c r="I32" s="212"/>
      <c r="J32" s="213"/>
      <c r="K32" s="214">
        <f>SUM('11CL-FAR-MAT'!Q24)</f>
        <v>8.6666666666666661</v>
      </c>
      <c r="L32" s="215"/>
      <c r="M32" s="213"/>
      <c r="N32" s="211">
        <f>SUM('11CL-FAR-BIOL'!Q24)</f>
        <v>10.333333333333334</v>
      </c>
      <c r="O32" s="216"/>
      <c r="P32" s="213"/>
      <c r="Q32" s="214">
        <f>SUM('11CL-FAR-INGLES'!Q24)</f>
        <v>16.666666666666668</v>
      </c>
      <c r="R32" s="215"/>
      <c r="S32" s="213"/>
      <c r="T32" s="211">
        <f>SUM('11CL-FAR-PATOL'!Q24)</f>
        <v>8.3333333333333339</v>
      </c>
      <c r="U32" s="215"/>
      <c r="V32" s="213"/>
      <c r="W32" s="211">
        <f>SUM('11CL-FAR-MPARASITOL'!Q24)</f>
        <v>5.166666666666667</v>
      </c>
      <c r="X32" s="216"/>
      <c r="Y32" s="213"/>
      <c r="Z32" s="214">
        <f>SUM('11CL-FAR-FARMACOL'!Q24)</f>
        <v>10</v>
      </c>
      <c r="AA32" s="217"/>
      <c r="AB32" s="120"/>
      <c r="AC32" s="218">
        <f>SUM('11CL-FAR-FARMACOG'!Q24)</f>
        <v>13</v>
      </c>
      <c r="AD32" s="219"/>
      <c r="AE32" s="213"/>
      <c r="AF32" s="211">
        <f>SUM('11CL-FAR-TPM'!Q24)</f>
        <v>12.666666666666666</v>
      </c>
      <c r="AG32" s="219"/>
      <c r="AH32" s="120"/>
      <c r="AI32" s="211">
        <f>SUM('11CL-FAR-QCA ORG.'!Q24)</f>
        <v>9.5</v>
      </c>
      <c r="AJ32" s="217"/>
      <c r="AK32" s="120"/>
      <c r="AL32" s="218">
        <f>SUM('11CL-FAR-ED. FIS'!Q24)</f>
        <v>14</v>
      </c>
      <c r="AM32" s="220"/>
      <c r="AN32" s="120"/>
      <c r="AO32" s="220">
        <f>SUM('11CL-FAR-BOTANICA'!Q24)</f>
        <v>10</v>
      </c>
      <c r="AP32" s="219"/>
      <c r="AQ32" s="213"/>
      <c r="AR32" s="211">
        <f>SUM('11CL-FAR-AFH'!Q24)</f>
        <v>10.333333333333334</v>
      </c>
      <c r="AS32" s="61" t="s">
        <v>3</v>
      </c>
      <c r="AT32" s="75">
        <f t="shared" si="0"/>
        <v>10.62820512820513</v>
      </c>
      <c r="AU32" s="167">
        <v>19</v>
      </c>
      <c r="AV32" s="170" t="s">
        <v>1</v>
      </c>
    </row>
    <row r="33" spans="2:48" ht="19.5" customHeight="1" thickBot="1" x14ac:dyDescent="0.35">
      <c r="B33" s="58">
        <v>17</v>
      </c>
      <c r="C33" s="173">
        <v>4133</v>
      </c>
      <c r="D33" s="177" t="s">
        <v>110</v>
      </c>
      <c r="E33" s="71"/>
      <c r="F33" s="59"/>
      <c r="G33" s="60"/>
      <c r="H33" s="211">
        <f>SUM('11CL-FAR-L PORT'!Q25)</f>
        <v>6</v>
      </c>
      <c r="I33" s="212"/>
      <c r="J33" s="213"/>
      <c r="K33" s="214">
        <f>SUM('11CL-FAR-MAT'!Q25)</f>
        <v>9.8333333333333339</v>
      </c>
      <c r="L33" s="215"/>
      <c r="M33" s="213"/>
      <c r="N33" s="211">
        <f>SUM('11CL-FAR-BIOL'!Q25)</f>
        <v>10</v>
      </c>
      <c r="O33" s="216"/>
      <c r="P33" s="213"/>
      <c r="Q33" s="214">
        <f>SUM('11CL-FAR-INGLES'!Q25)</f>
        <v>12</v>
      </c>
      <c r="R33" s="215"/>
      <c r="S33" s="213"/>
      <c r="T33" s="211">
        <f>SUM('11CL-FAR-PATOL'!Q25)</f>
        <v>6.666666666666667</v>
      </c>
      <c r="U33" s="215"/>
      <c r="V33" s="213"/>
      <c r="W33" s="211">
        <f>SUM('11CL-FAR-MPARASITOL'!Q25)</f>
        <v>6.666666666666667</v>
      </c>
      <c r="X33" s="216"/>
      <c r="Y33" s="213"/>
      <c r="Z33" s="214">
        <f>SUM('11CL-FAR-FARMACOL'!Q25)</f>
        <v>10.333333333333334</v>
      </c>
      <c r="AA33" s="217"/>
      <c r="AB33" s="120"/>
      <c r="AC33" s="218">
        <f>SUM('11CL-FAR-FARMACOG'!Q25)</f>
        <v>10.666666666666666</v>
      </c>
      <c r="AD33" s="219"/>
      <c r="AE33" s="213"/>
      <c r="AF33" s="211">
        <f>SUM('11CL-FAR-TPM'!Q25)</f>
        <v>8.3333333333333339</v>
      </c>
      <c r="AG33" s="219"/>
      <c r="AH33" s="120"/>
      <c r="AI33" s="211">
        <f>SUM('11CL-FAR-QCA ORG.'!Q25)</f>
        <v>6</v>
      </c>
      <c r="AJ33" s="217"/>
      <c r="AK33" s="120"/>
      <c r="AL33" s="218">
        <f>SUM('11CL-FAR-ED. FIS'!Q25)</f>
        <v>10</v>
      </c>
      <c r="AM33" s="220"/>
      <c r="AN33" s="120"/>
      <c r="AO33" s="220">
        <f>SUM('11CL-FAR-BOTANICA'!Q25)</f>
        <v>8</v>
      </c>
      <c r="AP33" s="219"/>
      <c r="AQ33" s="213"/>
      <c r="AR33" s="211">
        <f>SUM('11CL-FAR-AFH'!Q25)</f>
        <v>10.666666666666666</v>
      </c>
      <c r="AS33" s="61" t="s">
        <v>3</v>
      </c>
      <c r="AT33" s="75">
        <f t="shared" si="0"/>
        <v>8.8589743589743595</v>
      </c>
      <c r="AU33" s="167">
        <v>18</v>
      </c>
      <c r="AV33" s="170" t="s">
        <v>1</v>
      </c>
    </row>
    <row r="34" spans="2:48" ht="19.5" customHeight="1" thickBot="1" x14ac:dyDescent="0.35">
      <c r="B34" s="58">
        <v>18</v>
      </c>
      <c r="C34" s="173">
        <v>2291</v>
      </c>
      <c r="D34" s="177" t="s">
        <v>111</v>
      </c>
      <c r="E34" s="71"/>
      <c r="F34" s="59"/>
      <c r="G34" s="60"/>
      <c r="H34" s="211">
        <f>SUM('11CL-FAR-L PORT'!Q26)</f>
        <v>10.333333333333334</v>
      </c>
      <c r="I34" s="212"/>
      <c r="J34" s="213"/>
      <c r="K34" s="214">
        <f>SUM('11CL-FAR-MAT'!Q26)</f>
        <v>8.6666666666666661</v>
      </c>
      <c r="L34" s="215"/>
      <c r="M34" s="213"/>
      <c r="N34" s="211">
        <f>SUM('11CL-FAR-BIOL'!Q26)</f>
        <v>9.3333333333333339</v>
      </c>
      <c r="O34" s="216"/>
      <c r="P34" s="213"/>
      <c r="Q34" s="214">
        <f>SUM('11CL-FAR-INGLES'!Q26)</f>
        <v>8.6666666666666661</v>
      </c>
      <c r="R34" s="215"/>
      <c r="S34" s="213"/>
      <c r="T34" s="211">
        <f>SUM('11CL-FAR-PATOL'!Q26)</f>
        <v>8</v>
      </c>
      <c r="U34" s="215"/>
      <c r="V34" s="213"/>
      <c r="W34" s="211">
        <f>SUM('11CL-FAR-MPARASITOL'!Q26)</f>
        <v>5.166666666666667</v>
      </c>
      <c r="X34" s="216"/>
      <c r="Y34" s="213"/>
      <c r="Z34" s="214">
        <f>SUM('11CL-FAR-FARMACOL'!Q26)</f>
        <v>9</v>
      </c>
      <c r="AA34" s="217"/>
      <c r="AB34" s="120"/>
      <c r="AC34" s="218">
        <f>SUM('11CL-FAR-FARMACOG'!Q26)</f>
        <v>8</v>
      </c>
      <c r="AD34" s="219"/>
      <c r="AE34" s="213"/>
      <c r="AF34" s="211">
        <f>SUM('11CL-FAR-TPM'!Q26)</f>
        <v>10</v>
      </c>
      <c r="AG34" s="219"/>
      <c r="AH34" s="120"/>
      <c r="AI34" s="211">
        <f>SUM('11CL-FAR-QCA ORG.'!Q26)</f>
        <v>10.333333333333334</v>
      </c>
      <c r="AJ34" s="217"/>
      <c r="AK34" s="120"/>
      <c r="AL34" s="218">
        <f>SUM('11CL-FAR-ED. FIS'!Q26)</f>
        <v>15</v>
      </c>
      <c r="AM34" s="220"/>
      <c r="AN34" s="120"/>
      <c r="AO34" s="220">
        <f>SUM('11CL-FAR-BOTANICA'!Q26)</f>
        <v>12.166666666666666</v>
      </c>
      <c r="AP34" s="219"/>
      <c r="AQ34" s="213"/>
      <c r="AR34" s="211">
        <f>SUM('11CL-FAR-AFH'!Q26)</f>
        <v>10</v>
      </c>
      <c r="AS34" s="61" t="s">
        <v>3</v>
      </c>
      <c r="AT34" s="75">
        <f t="shared" si="0"/>
        <v>9.5897435897435894</v>
      </c>
      <c r="AU34" s="167">
        <v>16</v>
      </c>
      <c r="AV34" s="170" t="s">
        <v>1</v>
      </c>
    </row>
    <row r="35" spans="2:48" ht="19.5" customHeight="1" thickBot="1" x14ac:dyDescent="0.35">
      <c r="B35" s="58">
        <v>19</v>
      </c>
      <c r="C35" s="173">
        <v>3872</v>
      </c>
      <c r="D35" s="177" t="s">
        <v>112</v>
      </c>
      <c r="E35" s="71"/>
      <c r="F35" s="59"/>
      <c r="G35" s="60"/>
      <c r="H35" s="211">
        <f>SUM('11CL-FAR-L PORT'!Q27)</f>
        <v>9.5</v>
      </c>
      <c r="I35" s="212"/>
      <c r="J35" s="213"/>
      <c r="K35" s="214">
        <f>SUM('11CL-FAR-MAT'!Q27)</f>
        <v>9.3333333333333339</v>
      </c>
      <c r="L35" s="215"/>
      <c r="M35" s="213"/>
      <c r="N35" s="211">
        <f>SUM('11CL-FAR-BIOL'!Q27)</f>
        <v>11.666666666666666</v>
      </c>
      <c r="O35" s="216"/>
      <c r="P35" s="213"/>
      <c r="Q35" s="214">
        <f>SUM('11CL-FAR-INGLES'!Q27)</f>
        <v>12.333333333333334</v>
      </c>
      <c r="R35" s="215"/>
      <c r="S35" s="213"/>
      <c r="T35" s="211">
        <f>SUM('11CL-FAR-PATOL'!Q27)</f>
        <v>9.1666666666666661</v>
      </c>
      <c r="U35" s="215"/>
      <c r="V35" s="213"/>
      <c r="W35" s="211">
        <f>SUM('11CL-FAR-MPARASITOL'!Q27)</f>
        <v>6</v>
      </c>
      <c r="X35" s="216"/>
      <c r="Y35" s="213"/>
      <c r="Z35" s="214">
        <f>SUM('11CL-FAR-FARMACOL'!Q27)</f>
        <v>7.166666666666667</v>
      </c>
      <c r="AA35" s="217"/>
      <c r="AB35" s="120"/>
      <c r="AC35" s="218">
        <f>SUM('11CL-FAR-FARMACOG'!Q27)</f>
        <v>6.666666666666667</v>
      </c>
      <c r="AD35" s="219"/>
      <c r="AE35" s="213"/>
      <c r="AF35" s="211">
        <f>SUM('11CL-FAR-TPM'!Q27)</f>
        <v>9</v>
      </c>
      <c r="AG35" s="219"/>
      <c r="AH35" s="120"/>
      <c r="AI35" s="211">
        <f>SUM('11CL-FAR-QCA ORG.'!Q27)</f>
        <v>9.5</v>
      </c>
      <c r="AJ35" s="217"/>
      <c r="AK35" s="120"/>
      <c r="AL35" s="218">
        <f>SUM('11CL-FAR-ED. FIS'!Q27)</f>
        <v>9</v>
      </c>
      <c r="AM35" s="220"/>
      <c r="AN35" s="120"/>
      <c r="AO35" s="220">
        <f>SUM('11CL-FAR-BOTANICA'!Q27)</f>
        <v>6.833333333333333</v>
      </c>
      <c r="AP35" s="219"/>
      <c r="AQ35" s="213"/>
      <c r="AR35" s="211">
        <f>SUM('11CL-FAR-AFH'!Q27)</f>
        <v>11</v>
      </c>
      <c r="AS35" s="61" t="s">
        <v>3</v>
      </c>
      <c r="AT35" s="75">
        <f t="shared" si="0"/>
        <v>9.0128205128205128</v>
      </c>
      <c r="AU35" s="167">
        <v>21</v>
      </c>
      <c r="AV35" s="170" t="s">
        <v>0</v>
      </c>
    </row>
    <row r="36" spans="2:48" ht="19.5" customHeight="1" thickBot="1" x14ac:dyDescent="0.35">
      <c r="B36" s="58">
        <v>20</v>
      </c>
      <c r="C36" s="173">
        <v>4068</v>
      </c>
      <c r="D36" s="177" t="s">
        <v>113</v>
      </c>
      <c r="E36" s="71"/>
      <c r="F36" s="59"/>
      <c r="G36" s="60"/>
      <c r="H36" s="211">
        <f>SUM('11CL-FAR-L PORT'!Q28)</f>
        <v>0</v>
      </c>
      <c r="I36" s="212"/>
      <c r="J36" s="213"/>
      <c r="K36" s="214">
        <f>SUM('11CL-FAR-MAT'!Q28)</f>
        <v>0</v>
      </c>
      <c r="L36" s="215"/>
      <c r="M36" s="213"/>
      <c r="N36" s="211">
        <f>SUM('11CL-FAR-BIOL'!Q28)</f>
        <v>0</v>
      </c>
      <c r="O36" s="216"/>
      <c r="P36" s="213"/>
      <c r="Q36" s="214">
        <f>SUM('11CL-FAR-INGLES'!Q28)</f>
        <v>3.6666666666666665</v>
      </c>
      <c r="R36" s="215"/>
      <c r="S36" s="213"/>
      <c r="T36" s="211">
        <f>SUM('11CL-FAR-PATOL'!Q28)</f>
        <v>0</v>
      </c>
      <c r="U36" s="215"/>
      <c r="V36" s="213"/>
      <c r="W36" s="211">
        <f>SUM('11CL-FAR-MPARASITOL'!Q28)</f>
        <v>0</v>
      </c>
      <c r="X36" s="216"/>
      <c r="Y36" s="213"/>
      <c r="Z36" s="214">
        <f>SUM('11CL-FAR-FARMACOL'!Q28)</f>
        <v>0</v>
      </c>
      <c r="AA36" s="217"/>
      <c r="AB36" s="120"/>
      <c r="AC36" s="218">
        <f>SUM('11CL-FAR-FARMACOG'!Q28)</f>
        <v>0</v>
      </c>
      <c r="AD36" s="219"/>
      <c r="AE36" s="213"/>
      <c r="AF36" s="211">
        <f>SUM('11CL-FAR-TPM'!Q28)</f>
        <v>0</v>
      </c>
      <c r="AG36" s="219"/>
      <c r="AH36" s="120"/>
      <c r="AI36" s="211">
        <f>SUM('11CL-FAR-QCA ORG.'!Q28)</f>
        <v>0</v>
      </c>
      <c r="AJ36" s="217"/>
      <c r="AK36" s="120"/>
      <c r="AL36" s="218">
        <f>SUM('11CL-FAR-ED. FIS'!Q28)</f>
        <v>0</v>
      </c>
      <c r="AM36" s="220"/>
      <c r="AN36" s="120"/>
      <c r="AO36" s="220">
        <f>SUM('11CL-FAR-BOTANICA'!Q28)</f>
        <v>0</v>
      </c>
      <c r="AP36" s="219"/>
      <c r="AQ36" s="213"/>
      <c r="AR36" s="211">
        <f>SUM('11CL-FAR-AFH'!Q28)</f>
        <v>10.833333333333334</v>
      </c>
      <c r="AS36" s="61" t="s">
        <v>150</v>
      </c>
      <c r="AT36" s="75">
        <f t="shared" si="0"/>
        <v>1.1153846153846154</v>
      </c>
      <c r="AU36" s="167">
        <v>17</v>
      </c>
      <c r="AV36" s="170" t="s">
        <v>1</v>
      </c>
    </row>
    <row r="37" spans="2:48" ht="19.5" customHeight="1" thickBot="1" x14ac:dyDescent="0.35">
      <c r="B37" s="58">
        <v>21</v>
      </c>
      <c r="C37" s="173">
        <v>4037</v>
      </c>
      <c r="D37" s="177" t="s">
        <v>114</v>
      </c>
      <c r="E37" s="71"/>
      <c r="F37" s="59"/>
      <c r="G37" s="60"/>
      <c r="H37" s="211">
        <f>SUM('11CL-FAR-L PORT'!Q29)</f>
        <v>4.25</v>
      </c>
      <c r="I37" s="212"/>
      <c r="J37" s="213"/>
      <c r="K37" s="214">
        <f>SUM('11CL-FAR-MAT'!Q29)</f>
        <v>6.333333333333333</v>
      </c>
      <c r="L37" s="215"/>
      <c r="M37" s="213"/>
      <c r="N37" s="211">
        <f>SUM('11CL-FAR-BIOL'!Q29)</f>
        <v>9.3333333333333339</v>
      </c>
      <c r="O37" s="216"/>
      <c r="P37" s="213"/>
      <c r="Q37" s="214">
        <f>SUM('11CL-FAR-INGLES'!Q29)</f>
        <v>6.666666666666667</v>
      </c>
      <c r="R37" s="215"/>
      <c r="S37" s="213"/>
      <c r="T37" s="211">
        <f>SUM('11CL-FAR-PATOL'!Q29)</f>
        <v>5.833333333333333</v>
      </c>
      <c r="U37" s="215"/>
      <c r="V37" s="213"/>
      <c r="W37" s="211">
        <f>SUM('11CL-FAR-MPARASITOL'!Q29)</f>
        <v>5.666666666666667</v>
      </c>
      <c r="X37" s="216"/>
      <c r="Y37" s="213"/>
      <c r="Z37" s="214">
        <f>SUM('11CL-FAR-FARMACOL'!Q29)</f>
        <v>7.5</v>
      </c>
      <c r="AA37" s="217"/>
      <c r="AB37" s="120"/>
      <c r="AC37" s="218">
        <f>SUM('11CL-FAR-FARMACOG'!Q29)</f>
        <v>6.666666666666667</v>
      </c>
      <c r="AD37" s="219"/>
      <c r="AE37" s="213"/>
      <c r="AF37" s="211">
        <f>SUM('11CL-FAR-TPM'!Q29)</f>
        <v>8.3333333333333339</v>
      </c>
      <c r="AG37" s="219"/>
      <c r="AH37" s="120"/>
      <c r="AI37" s="211">
        <f>SUM('11CL-FAR-QCA ORG.'!Q29)</f>
        <v>4.25</v>
      </c>
      <c r="AJ37" s="217"/>
      <c r="AK37" s="120"/>
      <c r="AL37" s="218">
        <f>SUM('11CL-FAR-ED. FIS'!Q29)</f>
        <v>11</v>
      </c>
      <c r="AM37" s="220"/>
      <c r="AN37" s="120"/>
      <c r="AO37" s="220">
        <f>SUM('11CL-FAR-BOTANICA'!Q29)</f>
        <v>3</v>
      </c>
      <c r="AP37" s="219"/>
      <c r="AQ37" s="213"/>
      <c r="AR37" s="211">
        <f>SUM('11CL-FAR-AFH'!Q29)</f>
        <v>10</v>
      </c>
      <c r="AS37" s="61" t="s">
        <v>3</v>
      </c>
      <c r="AT37" s="75">
        <f t="shared" si="0"/>
        <v>6.833333333333333</v>
      </c>
      <c r="AU37" s="167">
        <v>18</v>
      </c>
      <c r="AV37" s="170" t="s">
        <v>0</v>
      </c>
    </row>
    <row r="38" spans="2:48" ht="19.5" customHeight="1" thickBot="1" x14ac:dyDescent="0.35">
      <c r="B38" s="58">
        <v>22</v>
      </c>
      <c r="C38" s="173">
        <v>3069</v>
      </c>
      <c r="D38" s="177" t="s">
        <v>115</v>
      </c>
      <c r="E38" s="71"/>
      <c r="F38" s="59"/>
      <c r="G38" s="60"/>
      <c r="H38" s="211">
        <f>SUM('11CL-FAR-L PORT'!Q30)</f>
        <v>10.833333333333334</v>
      </c>
      <c r="I38" s="212"/>
      <c r="J38" s="213"/>
      <c r="K38" s="214">
        <f>SUM('11CL-FAR-MAT'!Q30)</f>
        <v>10.666666666666666</v>
      </c>
      <c r="L38" s="215"/>
      <c r="M38" s="213"/>
      <c r="N38" s="211">
        <f>SUM('11CL-FAR-BIOL'!Q30)</f>
        <v>11.666666666666666</v>
      </c>
      <c r="O38" s="216"/>
      <c r="P38" s="213"/>
      <c r="Q38" s="214">
        <f>SUM('11CL-FAR-INGLES'!Q30)</f>
        <v>19.333333333333332</v>
      </c>
      <c r="R38" s="215"/>
      <c r="S38" s="213"/>
      <c r="T38" s="211">
        <f>SUM('11CL-FAR-PATOL'!Q30)</f>
        <v>11</v>
      </c>
      <c r="U38" s="215"/>
      <c r="V38" s="213"/>
      <c r="W38" s="211">
        <f>SUM('11CL-FAR-MPARASITOL'!Q30)</f>
        <v>10.166666666666666</v>
      </c>
      <c r="X38" s="216"/>
      <c r="Y38" s="213"/>
      <c r="Z38" s="214">
        <f>SUM('11CL-FAR-FARMACOL'!Q30)</f>
        <v>7.833333333333333</v>
      </c>
      <c r="AA38" s="217"/>
      <c r="AB38" s="120"/>
      <c r="AC38" s="218">
        <f>SUM('11CL-FAR-FARMACOG'!Q30)</f>
        <v>13.333333333333334</v>
      </c>
      <c r="AD38" s="219"/>
      <c r="AE38" s="213"/>
      <c r="AF38" s="211">
        <f>SUM('11CL-FAR-TPM'!Q30)</f>
        <v>10.666666666666666</v>
      </c>
      <c r="AG38" s="219"/>
      <c r="AH38" s="120"/>
      <c r="AI38" s="211">
        <f>SUM('11CL-FAR-QCA ORG.'!Q30)</f>
        <v>10.833333333333334</v>
      </c>
      <c r="AJ38" s="217"/>
      <c r="AK38" s="120"/>
      <c r="AL38" s="218">
        <f>SUM('11CL-FAR-ED. FIS'!Q30)</f>
        <v>14</v>
      </c>
      <c r="AM38" s="220"/>
      <c r="AN38" s="120"/>
      <c r="AO38" s="220">
        <f>SUM('11CL-FAR-BOTANICA'!Q30)</f>
        <v>13.833333333333334</v>
      </c>
      <c r="AP38" s="219"/>
      <c r="AQ38" s="213"/>
      <c r="AR38" s="211">
        <f>SUM('11CL-FAR-AFH'!Q30)</f>
        <v>48</v>
      </c>
      <c r="AS38" s="61" t="s">
        <v>3</v>
      </c>
      <c r="AT38" s="75">
        <f t="shared" si="0"/>
        <v>14.782051282051281</v>
      </c>
      <c r="AU38" s="167">
        <v>43</v>
      </c>
      <c r="AV38" s="170" t="s">
        <v>1</v>
      </c>
    </row>
    <row r="39" spans="2:48" ht="19.5" customHeight="1" thickBot="1" x14ac:dyDescent="0.35">
      <c r="B39" s="58">
        <v>23</v>
      </c>
      <c r="C39" s="173">
        <v>4615</v>
      </c>
      <c r="D39" s="177" t="s">
        <v>152</v>
      </c>
      <c r="E39" s="71"/>
      <c r="F39" s="59"/>
      <c r="G39" s="60"/>
      <c r="H39" s="211">
        <f>SUM('11CL-FAR-L PORT'!Q31)</f>
        <v>6.5</v>
      </c>
      <c r="I39" s="212"/>
      <c r="J39" s="213"/>
      <c r="K39" s="214">
        <f>SUM('11CL-FAR-MAT'!Q31)</f>
        <v>6.666666666666667</v>
      </c>
      <c r="L39" s="215"/>
      <c r="M39" s="213"/>
      <c r="N39" s="211">
        <f>SUM('11CL-FAR-BIOL'!Q31)</f>
        <v>8.6666666666666661</v>
      </c>
      <c r="O39" s="216"/>
      <c r="P39" s="213"/>
      <c r="Q39" s="214">
        <f>SUM('11CL-FAR-INGLES'!Q31)</f>
        <v>12.333333333333334</v>
      </c>
      <c r="R39" s="215"/>
      <c r="S39" s="213"/>
      <c r="T39" s="211">
        <f>SUM('11CL-FAR-PATOL'!Q31)</f>
        <v>8.6666666666666661</v>
      </c>
      <c r="U39" s="215"/>
      <c r="V39" s="213"/>
      <c r="W39" s="211">
        <f>SUM('11CL-FAR-MPARASITOL'!Q31)</f>
        <v>3.3333333333333335</v>
      </c>
      <c r="X39" s="216"/>
      <c r="Y39" s="213"/>
      <c r="Z39" s="214">
        <f>SUM('11CL-FAR-FARMACOL'!Q31)</f>
        <v>10.166666666666666</v>
      </c>
      <c r="AA39" s="217"/>
      <c r="AB39" s="120"/>
      <c r="AC39" s="218">
        <f>SUM('11CL-FAR-FARMACOG'!Q31)</f>
        <v>7.333333333333333</v>
      </c>
      <c r="AD39" s="219"/>
      <c r="AE39" s="213"/>
      <c r="AF39" s="211">
        <f>SUM('11CL-FAR-TPM'!Q31)</f>
        <v>10</v>
      </c>
      <c r="AG39" s="219"/>
      <c r="AH39" s="120"/>
      <c r="AI39" s="211">
        <f>SUM('11CL-FAR-QCA ORG.'!Q31)</f>
        <v>6.5</v>
      </c>
      <c r="AJ39" s="217"/>
      <c r="AK39" s="120"/>
      <c r="AL39" s="218">
        <f>SUM('11CL-FAR-ED. FIS'!Q31)</f>
        <v>0</v>
      </c>
      <c r="AM39" s="220"/>
      <c r="AN39" s="120"/>
      <c r="AO39" s="220">
        <f>SUM('11CL-FAR-BOTANICA'!Q31)</f>
        <v>6.833333333333333</v>
      </c>
      <c r="AP39" s="219"/>
      <c r="AQ39" s="213"/>
      <c r="AR39" s="211">
        <f>SUM('11CL-FAR-AFH'!Q31)</f>
        <v>10.666666666666666</v>
      </c>
      <c r="AS39" s="61" t="s">
        <v>3</v>
      </c>
      <c r="AT39" s="75">
        <f t="shared" si="0"/>
        <v>7.5128205128205128</v>
      </c>
      <c r="AU39" s="167">
        <v>20</v>
      </c>
      <c r="AV39" s="170" t="s">
        <v>1</v>
      </c>
    </row>
    <row r="40" spans="2:48" ht="19.5" customHeight="1" thickBot="1" x14ac:dyDescent="0.35">
      <c r="B40" s="58">
        <v>24</v>
      </c>
      <c r="C40" s="173">
        <v>3082</v>
      </c>
      <c r="D40" s="177" t="s">
        <v>116</v>
      </c>
      <c r="E40" s="71"/>
      <c r="F40" s="59"/>
      <c r="G40" s="60"/>
      <c r="H40" s="211">
        <f>SUM('11CL-FAR-L PORT'!Q32)</f>
        <v>6.833333333333333</v>
      </c>
      <c r="I40" s="212"/>
      <c r="J40" s="213"/>
      <c r="K40" s="214">
        <f>SUM('11CL-FAR-MAT'!Q32)</f>
        <v>7.333333333333333</v>
      </c>
      <c r="L40" s="215"/>
      <c r="M40" s="213"/>
      <c r="N40" s="211">
        <f>SUM('11CL-FAR-BIOL'!Q32)</f>
        <v>11.333333333333334</v>
      </c>
      <c r="O40" s="216"/>
      <c r="P40" s="213"/>
      <c r="Q40" s="214">
        <f>SUM('11CL-FAR-INGLES'!Q32)</f>
        <v>17.666666666666668</v>
      </c>
      <c r="R40" s="215"/>
      <c r="S40" s="213"/>
      <c r="T40" s="211">
        <f>SUM('11CL-FAR-PATOL'!Q32)</f>
        <v>10.333333333333334</v>
      </c>
      <c r="U40" s="215"/>
      <c r="V40" s="213"/>
      <c r="W40" s="211">
        <f>SUM('11CL-FAR-MPARASITOL'!Q32)</f>
        <v>6.666666666666667</v>
      </c>
      <c r="X40" s="216"/>
      <c r="Y40" s="213"/>
      <c r="Z40" s="214">
        <f>SUM('11CL-FAR-FARMACOL'!Q32)</f>
        <v>6.666666666666667</v>
      </c>
      <c r="AA40" s="217"/>
      <c r="AB40" s="120"/>
      <c r="AC40" s="218">
        <f>SUM('11CL-FAR-FARMACOG'!Q32)</f>
        <v>11.666666666666666</v>
      </c>
      <c r="AD40" s="219"/>
      <c r="AE40" s="213"/>
      <c r="AF40" s="211">
        <f>SUM('11CL-FAR-TPM'!Q32)</f>
        <v>12.333333333333334</v>
      </c>
      <c r="AG40" s="219"/>
      <c r="AH40" s="120"/>
      <c r="AI40" s="211">
        <f>SUM('11CL-FAR-QCA ORG.'!Q32)</f>
        <v>6.833333333333333</v>
      </c>
      <c r="AJ40" s="217"/>
      <c r="AK40" s="120"/>
      <c r="AL40" s="218">
        <f>SUM('11CL-FAR-ED. FIS'!Q32)</f>
        <v>10</v>
      </c>
      <c r="AM40" s="220"/>
      <c r="AN40" s="120"/>
      <c r="AO40" s="220">
        <f>SUM('11CL-FAR-BOTANICA'!Q32)</f>
        <v>11</v>
      </c>
      <c r="AP40" s="219"/>
      <c r="AQ40" s="213"/>
      <c r="AR40" s="211">
        <f>SUM('11CL-FAR-AFH'!Q32)</f>
        <v>10.666666666666666</v>
      </c>
      <c r="AS40" s="61" t="s">
        <v>3</v>
      </c>
      <c r="AT40" s="75">
        <f t="shared" si="0"/>
        <v>9.9487179487179489</v>
      </c>
      <c r="AU40" s="167">
        <v>20</v>
      </c>
      <c r="AV40" s="170" t="s">
        <v>1</v>
      </c>
    </row>
    <row r="41" spans="2:48" ht="19.5" customHeight="1" thickBot="1" x14ac:dyDescent="0.35">
      <c r="B41" s="58">
        <v>25</v>
      </c>
      <c r="C41" s="173">
        <v>4070</v>
      </c>
      <c r="D41" s="177" t="s">
        <v>117</v>
      </c>
      <c r="E41" s="71"/>
      <c r="F41" s="59"/>
      <c r="G41" s="60"/>
      <c r="H41" s="211">
        <f>SUM('11CL-FAR-L PORT'!Q33)</f>
        <v>9.5</v>
      </c>
      <c r="I41" s="212"/>
      <c r="J41" s="213"/>
      <c r="K41" s="214">
        <f>SUM('11CL-FAR-MAT'!Q33)</f>
        <v>8.6666666666666661</v>
      </c>
      <c r="L41" s="215"/>
      <c r="M41" s="213"/>
      <c r="N41" s="211">
        <f>SUM('11CL-FAR-BIOL'!Q33)</f>
        <v>12</v>
      </c>
      <c r="O41" s="216"/>
      <c r="P41" s="213"/>
      <c r="Q41" s="214">
        <f>SUM('11CL-FAR-INGLES'!Q33)</f>
        <v>13.333333333333334</v>
      </c>
      <c r="R41" s="215"/>
      <c r="S41" s="213"/>
      <c r="T41" s="211">
        <f>SUM('11CL-FAR-PATOL'!Q33)</f>
        <v>10</v>
      </c>
      <c r="U41" s="215"/>
      <c r="V41" s="213"/>
      <c r="W41" s="211">
        <f>SUM('11CL-FAR-MPARASITOL'!Q33)</f>
        <v>10.333333333333334</v>
      </c>
      <c r="X41" s="216"/>
      <c r="Y41" s="213"/>
      <c r="Z41" s="214">
        <f>SUM('11CL-FAR-FARMACOL'!Q33)</f>
        <v>7</v>
      </c>
      <c r="AA41" s="217"/>
      <c r="AB41" s="120"/>
      <c r="AC41" s="218">
        <f>SUM('11CL-FAR-FARMACOG'!Q33)</f>
        <v>11</v>
      </c>
      <c r="AD41" s="219"/>
      <c r="AE41" s="213"/>
      <c r="AF41" s="211">
        <f>SUM('11CL-FAR-TPM'!Q33)</f>
        <v>9</v>
      </c>
      <c r="AG41" s="219"/>
      <c r="AH41" s="120"/>
      <c r="AI41" s="211">
        <f>SUM('11CL-FAR-QCA ORG.'!Q33)</f>
        <v>9.5</v>
      </c>
      <c r="AJ41" s="217"/>
      <c r="AK41" s="120"/>
      <c r="AL41" s="218">
        <f>SUM('11CL-FAR-ED. FIS'!Q33)</f>
        <v>10</v>
      </c>
      <c r="AM41" s="220"/>
      <c r="AN41" s="120"/>
      <c r="AO41" s="220">
        <f>SUM('11CL-FAR-BOTANICA'!Q33)</f>
        <v>11.666666666666666</v>
      </c>
      <c r="AP41" s="219"/>
      <c r="AQ41" s="213"/>
      <c r="AR41" s="211">
        <f>SUM('11CL-FAR-AFH'!Q33)</f>
        <v>10</v>
      </c>
      <c r="AS41" s="61" t="s">
        <v>3</v>
      </c>
      <c r="AT41" s="75">
        <f t="shared" si="0"/>
        <v>10.153846153846153</v>
      </c>
      <c r="AU41" s="167">
        <v>21</v>
      </c>
      <c r="AV41" s="170" t="s">
        <v>1</v>
      </c>
    </row>
    <row r="42" spans="2:48" ht="19.5" customHeight="1" thickBot="1" x14ac:dyDescent="0.35">
      <c r="B42" s="58">
        <v>26</v>
      </c>
      <c r="C42" s="173">
        <v>4125</v>
      </c>
      <c r="D42" s="177" t="s">
        <v>118</v>
      </c>
      <c r="E42" s="71"/>
      <c r="F42" s="59"/>
      <c r="G42" s="60"/>
      <c r="H42" s="211">
        <f>SUM('11CL-FAR-L PORT'!Q34)</f>
        <v>10.5</v>
      </c>
      <c r="I42" s="212"/>
      <c r="J42" s="213"/>
      <c r="K42" s="214">
        <f>SUM('11CL-FAR-MAT'!Q34)</f>
        <v>18.333333333333332</v>
      </c>
      <c r="L42" s="215"/>
      <c r="M42" s="213"/>
      <c r="N42" s="211">
        <f>SUM('11CL-FAR-BIOL'!Q34)</f>
        <v>16.666666666666668</v>
      </c>
      <c r="O42" s="216"/>
      <c r="P42" s="213"/>
      <c r="Q42" s="214">
        <f>SUM('11CL-FAR-INGLES'!Q34)</f>
        <v>19.666666666666668</v>
      </c>
      <c r="R42" s="215"/>
      <c r="S42" s="213"/>
      <c r="T42" s="211">
        <f>SUM('11CL-FAR-PATOL'!Q34)</f>
        <v>12.666666666666666</v>
      </c>
      <c r="U42" s="215"/>
      <c r="V42" s="213"/>
      <c r="W42" s="211">
        <f>SUM('11CL-FAR-MPARASITOL'!Q34)</f>
        <v>10.333333333333334</v>
      </c>
      <c r="X42" s="216"/>
      <c r="Y42" s="213"/>
      <c r="Z42" s="214">
        <f>SUM('11CL-FAR-FARMACOL'!Q34)</f>
        <v>13</v>
      </c>
      <c r="AA42" s="217"/>
      <c r="AB42" s="120"/>
      <c r="AC42" s="218">
        <f>SUM('11CL-FAR-FARMACOG'!Q34)</f>
        <v>13.333333333333334</v>
      </c>
      <c r="AD42" s="219"/>
      <c r="AE42" s="213"/>
      <c r="AF42" s="211">
        <f>SUM('11CL-FAR-TPM'!Q34)</f>
        <v>12.333333333333334</v>
      </c>
      <c r="AG42" s="219"/>
      <c r="AH42" s="120"/>
      <c r="AI42" s="211">
        <f>SUM('11CL-FAR-QCA ORG.'!Q34)</f>
        <v>10.5</v>
      </c>
      <c r="AJ42" s="217"/>
      <c r="AK42" s="120"/>
      <c r="AL42" s="218">
        <f>SUM('11CL-FAR-ED. FIS'!Q34)</f>
        <v>15</v>
      </c>
      <c r="AM42" s="220"/>
      <c r="AN42" s="120"/>
      <c r="AO42" s="220">
        <f>SUM('11CL-FAR-BOTANICA'!Q34)</f>
        <v>15.666666666666666</v>
      </c>
      <c r="AP42" s="219"/>
      <c r="AQ42" s="213"/>
      <c r="AR42" s="211">
        <f>SUM('11CL-FAR-AFH'!Q34)</f>
        <v>12</v>
      </c>
      <c r="AS42" s="61" t="s">
        <v>2</v>
      </c>
      <c r="AT42" s="75">
        <f t="shared" si="0"/>
        <v>13.846153846153843</v>
      </c>
      <c r="AU42" s="168">
        <v>22</v>
      </c>
      <c r="AV42" s="171" t="s">
        <v>1</v>
      </c>
    </row>
    <row r="43" spans="2:48" ht="19.5" customHeight="1" thickTop="1" thickBot="1" x14ac:dyDescent="0.35">
      <c r="B43" s="58">
        <v>27</v>
      </c>
      <c r="C43" s="173">
        <v>4099</v>
      </c>
      <c r="D43" s="177" t="s">
        <v>119</v>
      </c>
      <c r="E43" s="71"/>
      <c r="F43" s="59"/>
      <c r="G43" s="60"/>
      <c r="H43" s="211">
        <f>SUM('11CL-FAR-L PORT'!Q35)</f>
        <v>0</v>
      </c>
      <c r="I43" s="212"/>
      <c r="J43" s="213"/>
      <c r="K43" s="214">
        <f>SUM('11CL-FAR-MAT'!Q35)</f>
        <v>0</v>
      </c>
      <c r="L43" s="215"/>
      <c r="M43" s="213"/>
      <c r="N43" s="211">
        <f>SUM('11CL-FAR-BIOL'!Q35)</f>
        <v>0</v>
      </c>
      <c r="O43" s="216"/>
      <c r="P43" s="213"/>
      <c r="Q43" s="214">
        <f>SUM('11CL-FAR-INGLES'!Q35)</f>
        <v>0</v>
      </c>
      <c r="R43" s="215"/>
      <c r="S43" s="213"/>
      <c r="T43" s="211">
        <f>SUM('11CL-FAR-PATOL'!Q35)</f>
        <v>0</v>
      </c>
      <c r="U43" s="215"/>
      <c r="V43" s="213"/>
      <c r="W43" s="211">
        <f>SUM('11CL-FAR-MPARASITOL'!Q35)</f>
        <v>0</v>
      </c>
      <c r="X43" s="216"/>
      <c r="Y43" s="213"/>
      <c r="Z43" s="214">
        <f>SUM('11CL-FAR-FARMACOL'!Q35)</f>
        <v>0</v>
      </c>
      <c r="AA43" s="217"/>
      <c r="AB43" s="120"/>
      <c r="AC43" s="218">
        <f>SUM('11CL-FAR-FARMACOG'!Q35)</f>
        <v>0</v>
      </c>
      <c r="AD43" s="219"/>
      <c r="AE43" s="213"/>
      <c r="AF43" s="211">
        <f>SUM('11CL-FAR-TPM'!Q35)</f>
        <v>0</v>
      </c>
      <c r="AG43" s="219"/>
      <c r="AH43" s="120"/>
      <c r="AI43" s="211">
        <f>SUM('11CL-FAR-QCA ORG.'!Q35)</f>
        <v>0</v>
      </c>
      <c r="AJ43" s="217"/>
      <c r="AK43" s="120"/>
      <c r="AL43" s="218">
        <f>SUM('11CL-FAR-ED. FIS'!Q35)</f>
        <v>0</v>
      </c>
      <c r="AM43" s="220"/>
      <c r="AN43" s="120"/>
      <c r="AO43" s="220">
        <f>SUM('11CL-FAR-BOTANICA'!Q35)</f>
        <v>0</v>
      </c>
      <c r="AP43" s="219"/>
      <c r="AQ43" s="213"/>
      <c r="AR43" s="211">
        <f>SUM('11CL-FAR-AFH'!Q35)</f>
        <v>0</v>
      </c>
      <c r="AS43" s="61" t="s">
        <v>150</v>
      </c>
      <c r="AT43" s="75">
        <f t="shared" si="0"/>
        <v>0</v>
      </c>
      <c r="AU43" s="166">
        <v>21</v>
      </c>
      <c r="AV43" s="169" t="s">
        <v>1</v>
      </c>
    </row>
    <row r="44" spans="2:48" ht="19.5" customHeight="1" thickBot="1" x14ac:dyDescent="0.35">
      <c r="B44" s="58">
        <v>28</v>
      </c>
      <c r="C44" s="173">
        <v>4095</v>
      </c>
      <c r="D44" s="177" t="s">
        <v>120</v>
      </c>
      <c r="E44" s="71"/>
      <c r="F44" s="59"/>
      <c r="G44" s="60"/>
      <c r="H44" s="211">
        <f>SUM('11CL-FAR-L PORT'!Q36)</f>
        <v>6.5</v>
      </c>
      <c r="I44" s="212"/>
      <c r="J44" s="213"/>
      <c r="K44" s="214">
        <f>SUM('11CL-FAR-MAT'!Q36)</f>
        <v>10.5</v>
      </c>
      <c r="L44" s="215"/>
      <c r="M44" s="213"/>
      <c r="N44" s="211">
        <f>SUM('11CL-FAR-BIOL'!Q36)</f>
        <v>11</v>
      </c>
      <c r="O44" s="216"/>
      <c r="P44" s="213"/>
      <c r="Q44" s="214">
        <f>SUM('11CL-FAR-INGLES'!Q36)</f>
        <v>15</v>
      </c>
      <c r="R44" s="215"/>
      <c r="S44" s="213"/>
      <c r="T44" s="211">
        <f>SUM('11CL-FAR-PATOL'!Q36)</f>
        <v>13.833333333333334</v>
      </c>
      <c r="U44" s="215"/>
      <c r="V44" s="213"/>
      <c r="W44" s="211">
        <f>SUM('11CL-FAR-MPARASITOL'!Q36)</f>
        <v>7</v>
      </c>
      <c r="X44" s="216"/>
      <c r="Y44" s="213"/>
      <c r="Z44" s="214">
        <f>SUM('11CL-FAR-FARMACOL'!Q36)</f>
        <v>6.333333333333333</v>
      </c>
      <c r="AA44" s="217"/>
      <c r="AB44" s="120"/>
      <c r="AC44" s="218">
        <f>SUM('11CL-FAR-FARMACOG'!Q36)</f>
        <v>8.6666666666666661</v>
      </c>
      <c r="AD44" s="219"/>
      <c r="AE44" s="213"/>
      <c r="AF44" s="211">
        <f>SUM('11CL-FAR-TPM'!Q36)</f>
        <v>9.6666666666666661</v>
      </c>
      <c r="AG44" s="219"/>
      <c r="AH44" s="120"/>
      <c r="AI44" s="211">
        <f>SUM('11CL-FAR-QCA ORG.'!Q36)</f>
        <v>6.5</v>
      </c>
      <c r="AJ44" s="217"/>
      <c r="AK44" s="120"/>
      <c r="AL44" s="218">
        <f>SUM('11CL-FAR-ED. FIS'!Q36)</f>
        <v>11</v>
      </c>
      <c r="AM44" s="220"/>
      <c r="AN44" s="120"/>
      <c r="AO44" s="220">
        <f>SUM('11CL-FAR-BOTANICA'!Q36)</f>
        <v>10.833333333333334</v>
      </c>
      <c r="AP44" s="219"/>
      <c r="AQ44" s="213"/>
      <c r="AR44" s="211">
        <f>SUM('11CL-FAR-AFH'!Q36)</f>
        <v>11.666666666666666</v>
      </c>
      <c r="AS44" s="61" t="s">
        <v>3</v>
      </c>
      <c r="AT44" s="75">
        <f t="shared" si="0"/>
        <v>9.884615384615385</v>
      </c>
      <c r="AU44" s="167">
        <v>17</v>
      </c>
      <c r="AV44" s="170" t="s">
        <v>1</v>
      </c>
    </row>
    <row r="45" spans="2:48" ht="19.5" customHeight="1" thickBot="1" x14ac:dyDescent="0.35">
      <c r="B45" s="58">
        <v>29</v>
      </c>
      <c r="C45" s="173">
        <v>3328</v>
      </c>
      <c r="D45" s="177" t="s">
        <v>121</v>
      </c>
      <c r="E45" s="71"/>
      <c r="F45" s="59"/>
      <c r="G45" s="60"/>
      <c r="H45" s="211">
        <f>SUM('11CL-FAR-L PORT'!Q37)</f>
        <v>10.833333333333334</v>
      </c>
      <c r="I45" s="212"/>
      <c r="J45" s="213"/>
      <c r="K45" s="214">
        <f>SUM('11CL-FAR-MAT'!Q37)</f>
        <v>10.666666666666666</v>
      </c>
      <c r="L45" s="215"/>
      <c r="M45" s="213"/>
      <c r="N45" s="211">
        <f>SUM('11CL-FAR-BIOL'!Q37)</f>
        <v>9</v>
      </c>
      <c r="O45" s="216"/>
      <c r="P45" s="213"/>
      <c r="Q45" s="214">
        <f>SUM('11CL-FAR-INGLES'!Q37)</f>
        <v>16.333333333333332</v>
      </c>
      <c r="R45" s="215"/>
      <c r="S45" s="213"/>
      <c r="T45" s="211">
        <f>SUM('11CL-FAR-PATOL'!Q37)</f>
        <v>10</v>
      </c>
      <c r="U45" s="215"/>
      <c r="V45" s="213"/>
      <c r="W45" s="211">
        <f>SUM('11CL-FAR-MPARASITOL'!Q37)</f>
        <v>6.5</v>
      </c>
      <c r="X45" s="216"/>
      <c r="Y45" s="213"/>
      <c r="Z45" s="214">
        <f>SUM('11CL-FAR-FARMACOL'!Q37)</f>
        <v>10</v>
      </c>
      <c r="AA45" s="217"/>
      <c r="AB45" s="120"/>
      <c r="AC45" s="218">
        <f>SUM('11CL-FAR-FARMACOG'!Q37)</f>
        <v>10</v>
      </c>
      <c r="AD45" s="219"/>
      <c r="AE45" s="213"/>
      <c r="AF45" s="211">
        <f>SUM('11CL-FAR-TPM'!Q37)</f>
        <v>9</v>
      </c>
      <c r="AG45" s="219"/>
      <c r="AH45" s="120"/>
      <c r="AI45" s="211">
        <f>SUM('11CL-FAR-QCA ORG.'!Q37)</f>
        <v>10.833333333333334</v>
      </c>
      <c r="AJ45" s="217"/>
      <c r="AK45" s="120"/>
      <c r="AL45" s="218">
        <f>SUM('11CL-FAR-ED. FIS'!Q37)</f>
        <v>14</v>
      </c>
      <c r="AM45" s="220"/>
      <c r="AN45" s="120"/>
      <c r="AO45" s="220">
        <f>SUM('11CL-FAR-BOTANICA'!Q37)</f>
        <v>13</v>
      </c>
      <c r="AP45" s="219"/>
      <c r="AQ45" s="213"/>
      <c r="AR45" s="211">
        <f>SUM('11CL-FAR-AFH'!Q37)</f>
        <v>12</v>
      </c>
      <c r="AS45" s="61" t="s">
        <v>3</v>
      </c>
      <c r="AT45" s="75">
        <f t="shared" si="0"/>
        <v>10.935897435897434</v>
      </c>
      <c r="AU45" s="167">
        <v>19</v>
      </c>
      <c r="AV45" s="170" t="s">
        <v>0</v>
      </c>
    </row>
    <row r="46" spans="2:48" ht="19.5" customHeight="1" thickBot="1" x14ac:dyDescent="0.35">
      <c r="B46" s="58">
        <v>30</v>
      </c>
      <c r="C46" s="173">
        <v>4111</v>
      </c>
      <c r="D46" s="177" t="s">
        <v>122</v>
      </c>
      <c r="E46" s="71"/>
      <c r="F46" s="59"/>
      <c r="G46" s="60"/>
      <c r="H46" s="211">
        <f>SUM('11CL-FAR-L PORT'!Q38)</f>
        <v>7.166666666666667</v>
      </c>
      <c r="I46" s="212"/>
      <c r="J46" s="213"/>
      <c r="K46" s="214">
        <f>SUM('11CL-FAR-MAT'!Q38)</f>
        <v>8.8333333333333339</v>
      </c>
      <c r="L46" s="215"/>
      <c r="M46" s="213"/>
      <c r="N46" s="211">
        <f>SUM('11CL-FAR-BIOL'!Q38)</f>
        <v>10.666666666666666</v>
      </c>
      <c r="O46" s="216"/>
      <c r="P46" s="213"/>
      <c r="Q46" s="214">
        <f>SUM('11CL-FAR-INGLES'!Q38)</f>
        <v>13.666666666666666</v>
      </c>
      <c r="R46" s="215"/>
      <c r="S46" s="213"/>
      <c r="T46" s="211">
        <f>SUM('11CL-FAR-PATOL'!Q38)</f>
        <v>10.166666666666666</v>
      </c>
      <c r="U46" s="215"/>
      <c r="V46" s="213"/>
      <c r="W46" s="211">
        <f>SUM('11CL-FAR-MPARASITOL'!Q38)</f>
        <v>4.333333333333333</v>
      </c>
      <c r="X46" s="216"/>
      <c r="Y46" s="213"/>
      <c r="Z46" s="214">
        <f>SUM('11CL-FAR-FARMACOL'!Q38)</f>
        <v>7.666666666666667</v>
      </c>
      <c r="AA46" s="217"/>
      <c r="AB46" s="120"/>
      <c r="AC46" s="218">
        <f>SUM('11CL-FAR-FARMACOG'!Q38)</f>
        <v>13.333333333333334</v>
      </c>
      <c r="AD46" s="219"/>
      <c r="AE46" s="213"/>
      <c r="AF46" s="211">
        <f>SUM('11CL-FAR-TPM'!Q38)</f>
        <v>12</v>
      </c>
      <c r="AG46" s="219"/>
      <c r="AH46" s="120"/>
      <c r="AI46" s="211">
        <f>SUM('11CL-FAR-QCA ORG.'!Q38)</f>
        <v>7.166666666666667</v>
      </c>
      <c r="AJ46" s="217"/>
      <c r="AK46" s="120"/>
      <c r="AL46" s="218">
        <f>SUM('11CL-FAR-ED. FIS'!Q38)</f>
        <v>13</v>
      </c>
      <c r="AM46" s="220"/>
      <c r="AN46" s="120"/>
      <c r="AO46" s="220">
        <f>SUM('11CL-FAR-BOTANICA'!Q38)</f>
        <v>8</v>
      </c>
      <c r="AP46" s="219"/>
      <c r="AQ46" s="213"/>
      <c r="AR46" s="211">
        <f>SUM('11CL-FAR-AFH'!Q38)</f>
        <v>12</v>
      </c>
      <c r="AS46" s="61" t="s">
        <v>3</v>
      </c>
      <c r="AT46" s="75">
        <f t="shared" si="0"/>
        <v>9.8461538461538467</v>
      </c>
      <c r="AU46" s="167">
        <v>21</v>
      </c>
      <c r="AV46" s="170" t="s">
        <v>0</v>
      </c>
    </row>
    <row r="47" spans="2:48" ht="19.5" customHeight="1" thickBot="1" x14ac:dyDescent="0.35">
      <c r="B47" s="58">
        <v>31</v>
      </c>
      <c r="C47" s="173">
        <v>4119</v>
      </c>
      <c r="D47" s="177" t="s">
        <v>149</v>
      </c>
      <c r="E47" s="71"/>
      <c r="F47" s="59"/>
      <c r="G47" s="60"/>
      <c r="H47" s="211">
        <f>SUM('11CL-FAR-L PORT'!Q39)</f>
        <v>6.5</v>
      </c>
      <c r="I47" s="212"/>
      <c r="J47" s="213"/>
      <c r="K47" s="214">
        <f>SUM('11CL-FAR-MAT'!Q39)</f>
        <v>8</v>
      </c>
      <c r="L47" s="215"/>
      <c r="M47" s="213"/>
      <c r="N47" s="211">
        <f>SUM('11CL-FAR-BIOL'!Q39)</f>
        <v>14</v>
      </c>
      <c r="O47" s="216"/>
      <c r="P47" s="213"/>
      <c r="Q47" s="214">
        <f>SUM('11CL-FAR-INGLES'!Q39)</f>
        <v>15.666666666666666</v>
      </c>
      <c r="R47" s="215"/>
      <c r="S47" s="213"/>
      <c r="T47" s="211">
        <f>SUM('11CL-FAR-PATOL'!Q39)</f>
        <v>8.5</v>
      </c>
      <c r="U47" s="215"/>
      <c r="V47" s="213"/>
      <c r="W47" s="211">
        <f>SUM('11CL-FAR-MPARASITOL'!Q39)</f>
        <v>5.833333333333333</v>
      </c>
      <c r="X47" s="216"/>
      <c r="Y47" s="213"/>
      <c r="Z47" s="214">
        <f>SUM('11CL-FAR-FARMACOL'!Q39)</f>
        <v>10</v>
      </c>
      <c r="AA47" s="217"/>
      <c r="AB47" s="120"/>
      <c r="AC47" s="218">
        <f>SUM('11CL-FAR-FARMACOG'!Q39)</f>
        <v>12.333333333333334</v>
      </c>
      <c r="AD47" s="219"/>
      <c r="AE47" s="213"/>
      <c r="AF47" s="211">
        <f>SUM('11CL-FAR-TPM'!Q39)</f>
        <v>9</v>
      </c>
      <c r="AG47" s="219"/>
      <c r="AH47" s="120"/>
      <c r="AI47" s="211">
        <f>SUM('11CL-FAR-QCA ORG.'!Q39)</f>
        <v>6.5</v>
      </c>
      <c r="AJ47" s="217"/>
      <c r="AK47" s="120"/>
      <c r="AL47" s="218">
        <f>SUM('11CL-FAR-ED. FIS'!Q39)</f>
        <v>0</v>
      </c>
      <c r="AM47" s="220"/>
      <c r="AN47" s="120"/>
      <c r="AO47" s="220">
        <f>SUM('11CL-FAR-BOTANICA'!Q39)</f>
        <v>9.5</v>
      </c>
      <c r="AP47" s="219"/>
      <c r="AQ47" s="213"/>
      <c r="AR47" s="211">
        <f>SUM('11CL-FAR-AFH'!Q39)</f>
        <v>12</v>
      </c>
      <c r="AS47" s="61" t="s">
        <v>3</v>
      </c>
      <c r="AT47" s="75">
        <f t="shared" si="0"/>
        <v>9.0641025641025639</v>
      </c>
      <c r="AU47" s="167">
        <v>20</v>
      </c>
      <c r="AV47" s="170" t="s">
        <v>1</v>
      </c>
    </row>
    <row r="48" spans="2:48" ht="19.5" customHeight="1" thickBot="1" x14ac:dyDescent="0.35">
      <c r="B48" s="58">
        <v>32</v>
      </c>
      <c r="C48" s="173">
        <v>3158</v>
      </c>
      <c r="D48" s="177" t="s">
        <v>148</v>
      </c>
      <c r="E48" s="71"/>
      <c r="F48" s="59"/>
      <c r="G48" s="60"/>
      <c r="H48" s="211">
        <f>SUM('11CL-FAR-L PORT'!Q40)</f>
        <v>7.833333333333333</v>
      </c>
      <c r="I48" s="212"/>
      <c r="J48" s="213"/>
      <c r="K48" s="214">
        <f>SUM('11CL-FAR-MAT'!Q40)</f>
        <v>5.666666666666667</v>
      </c>
      <c r="L48" s="215"/>
      <c r="M48" s="213"/>
      <c r="N48" s="211">
        <f>SUM('11CL-FAR-BIOL'!Q40)</f>
        <v>11.333333333333334</v>
      </c>
      <c r="O48" s="216"/>
      <c r="P48" s="213"/>
      <c r="Q48" s="214">
        <f>SUM('11CL-FAR-INGLES'!Q40)</f>
        <v>11.333333333333334</v>
      </c>
      <c r="R48" s="215"/>
      <c r="S48" s="213"/>
      <c r="T48" s="211">
        <f>SUM('11CL-FAR-PATOL'!Q40)</f>
        <v>11.333333333333334</v>
      </c>
      <c r="U48" s="215"/>
      <c r="V48" s="213"/>
      <c r="W48" s="211">
        <f>SUM('11CL-FAR-MPARASITOL'!Q40)</f>
        <v>9.5</v>
      </c>
      <c r="X48" s="216"/>
      <c r="Y48" s="213"/>
      <c r="Z48" s="214">
        <f>SUM('11CL-FAR-FARMACOL'!Q40)</f>
        <v>8.1666666666666661</v>
      </c>
      <c r="AA48" s="217"/>
      <c r="AB48" s="120"/>
      <c r="AC48" s="218">
        <f>SUM('11CL-FAR-FARMACOG'!Q40)</f>
        <v>7.333333333333333</v>
      </c>
      <c r="AD48" s="219"/>
      <c r="AE48" s="213"/>
      <c r="AF48" s="211">
        <f>SUM('11CL-FAR-TPM'!Q40)</f>
        <v>1.6666666666666667</v>
      </c>
      <c r="AG48" s="219"/>
      <c r="AH48" s="120"/>
      <c r="AI48" s="211">
        <f>SUM('11CL-FAR-QCA ORG.'!Q40)</f>
        <v>7.833333333333333</v>
      </c>
      <c r="AJ48" s="217"/>
      <c r="AK48" s="120"/>
      <c r="AL48" s="218">
        <f>SUM('11CL-FAR-ED. FIS'!Q40)</f>
        <v>0</v>
      </c>
      <c r="AM48" s="220"/>
      <c r="AN48" s="120"/>
      <c r="AO48" s="220">
        <f>SUM('11CL-FAR-BOTANICA'!Q40)</f>
        <v>7.833333333333333</v>
      </c>
      <c r="AP48" s="219"/>
      <c r="AQ48" s="213"/>
      <c r="AR48" s="211">
        <f>SUM('11CL-FAR-AFH'!Q40)</f>
        <v>10.333333333333334</v>
      </c>
      <c r="AS48" s="61" t="s">
        <v>3</v>
      </c>
      <c r="AT48" s="75">
        <f t="shared" si="0"/>
        <v>7.7051282051282044</v>
      </c>
      <c r="AU48" s="167">
        <v>23</v>
      </c>
      <c r="AV48" s="170" t="s">
        <v>1</v>
      </c>
    </row>
    <row r="49" spans="2:48" ht="19.5" customHeight="1" thickBot="1" x14ac:dyDescent="0.35">
      <c r="B49" s="58">
        <v>33</v>
      </c>
      <c r="C49" s="173">
        <v>4090</v>
      </c>
      <c r="D49" s="177" t="s">
        <v>123</v>
      </c>
      <c r="E49" s="71"/>
      <c r="F49" s="59"/>
      <c r="G49" s="60"/>
      <c r="H49" s="211">
        <f>SUM('11CL-FAR-L PORT'!Q41)</f>
        <v>8.3333333333333339</v>
      </c>
      <c r="I49" s="212"/>
      <c r="J49" s="213"/>
      <c r="K49" s="214">
        <f>SUM('11CL-FAR-MAT'!Q41)</f>
        <v>9.8333333333333339</v>
      </c>
      <c r="L49" s="215"/>
      <c r="M49" s="213"/>
      <c r="N49" s="211">
        <f>SUM('11CL-FAR-BIOL'!Q41)</f>
        <v>9.3333333333333339</v>
      </c>
      <c r="O49" s="216"/>
      <c r="P49" s="213"/>
      <c r="Q49" s="214">
        <f>SUM('11CL-FAR-INGLES'!Q41)</f>
        <v>10.333333333333334</v>
      </c>
      <c r="R49" s="215"/>
      <c r="S49" s="213"/>
      <c r="T49" s="211">
        <f>SUM('11CL-FAR-PATOL'!Q41)</f>
        <v>8</v>
      </c>
      <c r="U49" s="215"/>
      <c r="V49" s="213"/>
      <c r="W49" s="211">
        <f>SUM('11CL-FAR-MPARASITOL'!Q41)</f>
        <v>4</v>
      </c>
      <c r="X49" s="216"/>
      <c r="Y49" s="213"/>
      <c r="Z49" s="214">
        <f>SUM('11CL-FAR-FARMACOL'!Q41)</f>
        <v>7.5</v>
      </c>
      <c r="AA49" s="217"/>
      <c r="AB49" s="120"/>
      <c r="AC49" s="218">
        <f>SUM('11CL-FAR-FARMACOG'!Q41)</f>
        <v>7.333333333333333</v>
      </c>
      <c r="AD49" s="219"/>
      <c r="AE49" s="213"/>
      <c r="AF49" s="211">
        <f>SUM('11CL-FAR-TPM'!Q41)</f>
        <v>10.333333333333334</v>
      </c>
      <c r="AG49" s="219"/>
      <c r="AH49" s="120"/>
      <c r="AI49" s="211">
        <f>SUM('11CL-FAR-QCA ORG.'!Q41)</f>
        <v>8.3333333333333339</v>
      </c>
      <c r="AJ49" s="217"/>
      <c r="AK49" s="120"/>
      <c r="AL49" s="218">
        <f>SUM('11CL-FAR-ED. FIS'!Q41)</f>
        <v>14</v>
      </c>
      <c r="AM49" s="220"/>
      <c r="AN49" s="120"/>
      <c r="AO49" s="220">
        <f>SUM('11CL-FAR-BOTANICA'!Q41)</f>
        <v>9.3333333333333339</v>
      </c>
      <c r="AP49" s="219"/>
      <c r="AQ49" s="213"/>
      <c r="AR49" s="211">
        <f>SUM('11CL-FAR-AFH'!Q41)</f>
        <v>10.333333333333334</v>
      </c>
      <c r="AS49" s="61" t="s">
        <v>3</v>
      </c>
      <c r="AT49" s="75">
        <f t="shared" si="0"/>
        <v>8.9999999999999982</v>
      </c>
      <c r="AU49" s="167">
        <v>17</v>
      </c>
      <c r="AV49" s="170" t="s">
        <v>0</v>
      </c>
    </row>
    <row r="50" spans="2:48" ht="19.5" customHeight="1" thickBot="1" x14ac:dyDescent="0.35">
      <c r="B50" s="58">
        <v>34</v>
      </c>
      <c r="C50" s="173">
        <v>2995</v>
      </c>
      <c r="D50" s="177" t="s">
        <v>124</v>
      </c>
      <c r="E50" s="71"/>
      <c r="F50" s="59"/>
      <c r="G50" s="60"/>
      <c r="H50" s="211">
        <f>SUM('11CL-FAR-L PORT'!Q42)</f>
        <v>9.5</v>
      </c>
      <c r="I50" s="212"/>
      <c r="J50" s="213"/>
      <c r="K50" s="214">
        <f>SUM('11CL-FAR-MAT'!Q42)</f>
        <v>12</v>
      </c>
      <c r="L50" s="215"/>
      <c r="M50" s="213"/>
      <c r="N50" s="211">
        <f>SUM('11CL-FAR-BIOL'!Q42)</f>
        <v>11.333333333333334</v>
      </c>
      <c r="O50" s="216"/>
      <c r="P50" s="213"/>
      <c r="Q50" s="214">
        <f>SUM('11CL-FAR-INGLES'!Q42)</f>
        <v>13.666666666666666</v>
      </c>
      <c r="R50" s="215"/>
      <c r="S50" s="213"/>
      <c r="T50" s="211">
        <f>SUM('11CL-FAR-PATOL'!Q42)</f>
        <v>7.333333333333333</v>
      </c>
      <c r="U50" s="215"/>
      <c r="V50" s="213"/>
      <c r="W50" s="211">
        <f>SUM('11CL-FAR-MPARASITOL'!Q42)</f>
        <v>4.833333333333333</v>
      </c>
      <c r="X50" s="216"/>
      <c r="Y50" s="213"/>
      <c r="Z50" s="214">
        <f>SUM('11CL-FAR-FARMACOL'!Q42)</f>
        <v>5.666666666666667</v>
      </c>
      <c r="AA50" s="217"/>
      <c r="AB50" s="120"/>
      <c r="AC50" s="218">
        <f>SUM('11CL-FAR-FARMACOG'!Q42)</f>
        <v>11</v>
      </c>
      <c r="AD50" s="219"/>
      <c r="AE50" s="213"/>
      <c r="AF50" s="211">
        <f>SUM('11CL-FAR-TPM'!Q42)</f>
        <v>10.333333333333334</v>
      </c>
      <c r="AG50" s="219"/>
      <c r="AH50" s="120"/>
      <c r="AI50" s="211">
        <f>SUM('11CL-FAR-QCA ORG.'!Q42)</f>
        <v>9.5</v>
      </c>
      <c r="AJ50" s="217"/>
      <c r="AK50" s="120"/>
      <c r="AL50" s="218">
        <f>SUM('11CL-FAR-ED. FIS'!Q42)</f>
        <v>10</v>
      </c>
      <c r="AM50" s="220"/>
      <c r="AN50" s="120"/>
      <c r="AO50" s="220">
        <f>SUM('11CL-FAR-BOTANICA'!Q42)</f>
        <v>9.8333333333333339</v>
      </c>
      <c r="AP50" s="219"/>
      <c r="AQ50" s="213"/>
      <c r="AR50" s="211">
        <f>SUM('11CL-FAR-AFH'!Q42)</f>
        <v>11.666666666666666</v>
      </c>
      <c r="AS50" s="61" t="s">
        <v>3</v>
      </c>
      <c r="AT50" s="75">
        <f t="shared" si="0"/>
        <v>9.7435897435897445</v>
      </c>
      <c r="AU50" s="167">
        <v>18</v>
      </c>
      <c r="AV50" s="170" t="s">
        <v>1</v>
      </c>
    </row>
    <row r="51" spans="2:48" ht="19.5" customHeight="1" thickBot="1" x14ac:dyDescent="0.35">
      <c r="B51" s="58">
        <v>35</v>
      </c>
      <c r="C51" s="173">
        <v>4110</v>
      </c>
      <c r="D51" s="177" t="s">
        <v>125</v>
      </c>
      <c r="E51" s="71"/>
      <c r="F51" s="59"/>
      <c r="G51" s="60"/>
      <c r="H51" s="211">
        <f>SUM('11CL-FAR-L PORT'!Q43)</f>
        <v>8</v>
      </c>
      <c r="I51" s="212"/>
      <c r="J51" s="213"/>
      <c r="K51" s="214">
        <f>SUM('11CL-FAR-MAT'!Q43)</f>
        <v>14.666666666666666</v>
      </c>
      <c r="L51" s="215"/>
      <c r="M51" s="213"/>
      <c r="N51" s="211">
        <f>SUM('11CL-FAR-BIOL'!Q43)</f>
        <v>16</v>
      </c>
      <c r="O51" s="216"/>
      <c r="P51" s="213"/>
      <c r="Q51" s="214">
        <f>SUM('11CL-FAR-INGLES'!Q43)</f>
        <v>16.333333333333332</v>
      </c>
      <c r="R51" s="215"/>
      <c r="S51" s="213"/>
      <c r="T51" s="211">
        <f>SUM('11CL-FAR-PATOL'!Q43)</f>
        <v>10</v>
      </c>
      <c r="U51" s="215"/>
      <c r="V51" s="213"/>
      <c r="W51" s="211">
        <f>SUM('11CL-FAR-MPARASITOL'!Q43)</f>
        <v>10</v>
      </c>
      <c r="X51" s="216"/>
      <c r="Y51" s="213"/>
      <c r="Z51" s="214">
        <f>SUM('11CL-FAR-FARMACOL'!Q43)</f>
        <v>7.833333333333333</v>
      </c>
      <c r="AA51" s="217"/>
      <c r="AB51" s="120"/>
      <c r="AC51" s="218">
        <f>SUM('11CL-FAR-FARMACOG'!Q43)</f>
        <v>11.333333333333334</v>
      </c>
      <c r="AD51" s="219"/>
      <c r="AE51" s="213"/>
      <c r="AF51" s="211">
        <f>SUM('11CL-FAR-TPM'!Q43)</f>
        <v>12.666666666666666</v>
      </c>
      <c r="AG51" s="219"/>
      <c r="AH51" s="120"/>
      <c r="AI51" s="211">
        <f>SUM('11CL-FAR-QCA ORG.'!Q43)</f>
        <v>8</v>
      </c>
      <c r="AJ51" s="217"/>
      <c r="AK51" s="120"/>
      <c r="AL51" s="218">
        <f>SUM('11CL-FAR-ED. FIS'!Q43)</f>
        <v>14</v>
      </c>
      <c r="AM51" s="220"/>
      <c r="AN51" s="120"/>
      <c r="AO51" s="220">
        <f>SUM('11CL-FAR-BOTANICA'!Q43)</f>
        <v>11.166666666666666</v>
      </c>
      <c r="AP51" s="219"/>
      <c r="AQ51" s="213"/>
      <c r="AR51" s="211">
        <f>SUM('11CL-FAR-AFH'!Q43)</f>
        <v>10.333333333333334</v>
      </c>
      <c r="AS51" s="61" t="s">
        <v>3</v>
      </c>
      <c r="AT51" s="75">
        <f t="shared" si="0"/>
        <v>11.564102564102562</v>
      </c>
      <c r="AU51" s="167">
        <v>18</v>
      </c>
      <c r="AV51" s="170" t="s">
        <v>1</v>
      </c>
    </row>
    <row r="52" spans="2:48" ht="19.5" customHeight="1" thickBot="1" x14ac:dyDescent="0.35">
      <c r="B52" s="58">
        <v>36</v>
      </c>
      <c r="C52" s="173">
        <v>4168</v>
      </c>
      <c r="D52" s="177" t="s">
        <v>126</v>
      </c>
      <c r="E52" s="71"/>
      <c r="F52" s="59"/>
      <c r="G52" s="60"/>
      <c r="H52" s="211">
        <f>SUM('11CL-FAR-L PORT'!Q44)</f>
        <v>6.666666666666667</v>
      </c>
      <c r="I52" s="212"/>
      <c r="J52" s="213"/>
      <c r="K52" s="214">
        <f>SUM('11CL-FAR-MAT'!Q44)</f>
        <v>8.6666666666666661</v>
      </c>
      <c r="L52" s="215"/>
      <c r="M52" s="213"/>
      <c r="N52" s="211">
        <f>SUM('11CL-FAR-BIOL'!Q44)</f>
        <v>11.666666666666666</v>
      </c>
      <c r="O52" s="216"/>
      <c r="P52" s="213"/>
      <c r="Q52" s="214">
        <f>SUM('11CL-FAR-INGLES'!Q44)</f>
        <v>16.666666666666668</v>
      </c>
      <c r="R52" s="215"/>
      <c r="S52" s="213"/>
      <c r="T52" s="211">
        <f>SUM('11CL-FAR-PATOL'!Q44)</f>
        <v>9.3333333333333339</v>
      </c>
      <c r="U52" s="215"/>
      <c r="V52" s="213"/>
      <c r="W52" s="211">
        <f>SUM('11CL-FAR-MPARASITOL'!Q44)</f>
        <v>5</v>
      </c>
      <c r="X52" s="216"/>
      <c r="Y52" s="213"/>
      <c r="Z52" s="214">
        <f>SUM('11CL-FAR-FARMACOL'!Q44)</f>
        <v>6.666666666666667</v>
      </c>
      <c r="AA52" s="217"/>
      <c r="AB52" s="120"/>
      <c r="AC52" s="218">
        <f>SUM('11CL-FAR-FARMACOG'!Q44)</f>
        <v>9.6666666666666661</v>
      </c>
      <c r="AD52" s="219"/>
      <c r="AE52" s="213"/>
      <c r="AF52" s="211">
        <f>SUM('11CL-FAR-TPM'!Q44)</f>
        <v>10.333333333333334</v>
      </c>
      <c r="AG52" s="219"/>
      <c r="AH52" s="120"/>
      <c r="AI52" s="211">
        <f>SUM('11CL-FAR-QCA ORG.'!Q44)</f>
        <v>6.666666666666667</v>
      </c>
      <c r="AJ52" s="217"/>
      <c r="AK52" s="120"/>
      <c r="AL52" s="218">
        <f>SUM('11CL-FAR-ED. FIS'!Q44)</f>
        <v>7</v>
      </c>
      <c r="AM52" s="220"/>
      <c r="AN52" s="120"/>
      <c r="AO52" s="220">
        <f>SUM('11CL-FAR-BOTANICA'!Q44)</f>
        <v>9.8333333333333339</v>
      </c>
      <c r="AP52" s="219"/>
      <c r="AQ52" s="213"/>
      <c r="AR52" s="211">
        <f>SUM('11CL-FAR-AFH'!Q44)</f>
        <v>11.666666666666666</v>
      </c>
      <c r="AS52" s="61" t="s">
        <v>3</v>
      </c>
      <c r="AT52" s="75">
        <f t="shared" si="0"/>
        <v>9.217948717948719</v>
      </c>
      <c r="AU52" s="167">
        <v>18</v>
      </c>
      <c r="AV52" s="170" t="s">
        <v>1</v>
      </c>
    </row>
    <row r="53" spans="2:48" ht="19.5" customHeight="1" thickBot="1" x14ac:dyDescent="0.35">
      <c r="B53" s="58">
        <v>37</v>
      </c>
      <c r="C53" s="173">
        <v>4093</v>
      </c>
      <c r="D53" s="177" t="s">
        <v>127</v>
      </c>
      <c r="E53" s="71"/>
      <c r="F53" s="59"/>
      <c r="G53" s="60"/>
      <c r="H53" s="211">
        <f>SUM('11CL-FAR-L PORT'!Q45)</f>
        <v>7.666666666666667</v>
      </c>
      <c r="I53" s="212"/>
      <c r="J53" s="213"/>
      <c r="K53" s="214">
        <f>SUM('11CL-FAR-MAT'!Q45)</f>
        <v>8.6666666666666661</v>
      </c>
      <c r="L53" s="215"/>
      <c r="M53" s="213"/>
      <c r="N53" s="211">
        <f>SUM('11CL-FAR-BIOL'!Q45)</f>
        <v>12.333333333333334</v>
      </c>
      <c r="O53" s="216"/>
      <c r="P53" s="213"/>
      <c r="Q53" s="214">
        <f>SUM('11CL-FAR-INGLES'!Q45)</f>
        <v>10.666666666666666</v>
      </c>
      <c r="R53" s="215"/>
      <c r="S53" s="213"/>
      <c r="T53" s="211">
        <f>SUM('11CL-FAR-PATOL'!Q45)</f>
        <v>8.6666666666666661</v>
      </c>
      <c r="U53" s="215"/>
      <c r="V53" s="213"/>
      <c r="W53" s="211">
        <f>SUM('11CL-FAR-MPARASITOL'!Q45)</f>
        <v>4.666666666666667</v>
      </c>
      <c r="X53" s="216"/>
      <c r="Y53" s="213"/>
      <c r="Z53" s="214">
        <f>SUM('11CL-FAR-FARMACOL'!Q45)</f>
        <v>8.8333333333333339</v>
      </c>
      <c r="AA53" s="217"/>
      <c r="AB53" s="120"/>
      <c r="AC53" s="218">
        <f>SUM('11CL-FAR-FARMACOG'!Q45)</f>
        <v>8.8333333333333339</v>
      </c>
      <c r="AD53" s="219"/>
      <c r="AE53" s="213"/>
      <c r="AF53" s="211">
        <f>SUM('11CL-FAR-TPM'!Q45)</f>
        <v>6.666666666666667</v>
      </c>
      <c r="AG53" s="219"/>
      <c r="AH53" s="120"/>
      <c r="AI53" s="211">
        <f>SUM('11CL-FAR-QCA ORG.'!Q45)</f>
        <v>7.666666666666667</v>
      </c>
      <c r="AJ53" s="217"/>
      <c r="AK53" s="120"/>
      <c r="AL53" s="218">
        <f>SUM('11CL-FAR-ED. FIS'!Q45)</f>
        <v>0</v>
      </c>
      <c r="AM53" s="220"/>
      <c r="AN53" s="120"/>
      <c r="AO53" s="220">
        <f>SUM('11CL-FAR-BOTANICA'!Q45)</f>
        <v>9.3333333333333339</v>
      </c>
      <c r="AP53" s="219"/>
      <c r="AQ53" s="213"/>
      <c r="AR53" s="211">
        <f>SUM('11CL-FAR-AFH'!Q45)</f>
        <v>10</v>
      </c>
      <c r="AS53" s="61" t="s">
        <v>3</v>
      </c>
      <c r="AT53" s="75">
        <f t="shared" si="0"/>
        <v>8</v>
      </c>
      <c r="AU53" s="167">
        <v>19</v>
      </c>
      <c r="AV53" s="170" t="s">
        <v>1</v>
      </c>
    </row>
    <row r="54" spans="2:48" ht="19.5" customHeight="1" thickBot="1" x14ac:dyDescent="0.35">
      <c r="B54" s="58">
        <v>38</v>
      </c>
      <c r="C54" s="173">
        <v>2988</v>
      </c>
      <c r="D54" s="177" t="s">
        <v>151</v>
      </c>
      <c r="E54" s="71"/>
      <c r="F54" s="59"/>
      <c r="G54" s="60"/>
      <c r="H54" s="211">
        <f>SUM('11CL-FAR-L PORT'!Q46)</f>
        <v>8.6666666666666661</v>
      </c>
      <c r="I54" s="212"/>
      <c r="J54" s="213"/>
      <c r="K54" s="214">
        <f>SUM('11CL-FAR-MAT'!Q46)</f>
        <v>7.333333333333333</v>
      </c>
      <c r="L54" s="215"/>
      <c r="M54" s="213"/>
      <c r="N54" s="211">
        <f>SUM('11CL-FAR-BIOL'!Q46)</f>
        <v>12</v>
      </c>
      <c r="O54" s="216"/>
      <c r="P54" s="213"/>
      <c r="Q54" s="214">
        <f>SUM('11CL-FAR-INGLES'!Q46)</f>
        <v>15</v>
      </c>
      <c r="R54" s="215"/>
      <c r="S54" s="213"/>
      <c r="T54" s="211">
        <f>SUM('11CL-FAR-PATOL'!Q46)</f>
        <v>7.333333333333333</v>
      </c>
      <c r="U54" s="215"/>
      <c r="V54" s="213"/>
      <c r="W54" s="211">
        <f>SUM('11CL-FAR-MPARASITOL'!Q46)</f>
        <v>4.166666666666667</v>
      </c>
      <c r="X54" s="216"/>
      <c r="Y54" s="213"/>
      <c r="Z54" s="214">
        <f>SUM('11CL-FAR-FARMACOL'!Q46)</f>
        <v>7.5</v>
      </c>
      <c r="AA54" s="217"/>
      <c r="AB54" s="120"/>
      <c r="AC54" s="218">
        <f>SUM('11CL-FAR-FARMACOG'!Q46)</f>
        <v>10.666666666666666</v>
      </c>
      <c r="AD54" s="219"/>
      <c r="AE54" s="213"/>
      <c r="AF54" s="211">
        <f>SUM('11CL-FAR-TPM'!Q46)</f>
        <v>8.6666666666666661</v>
      </c>
      <c r="AG54" s="219"/>
      <c r="AH54" s="120"/>
      <c r="AI54" s="211">
        <f>SUM('11CL-FAR-QCA ORG.'!Q46)</f>
        <v>8.6666666666666661</v>
      </c>
      <c r="AJ54" s="217"/>
      <c r="AK54" s="120"/>
      <c r="AL54" s="218">
        <f>SUM('11CL-FAR-ED. FIS'!Q46)</f>
        <v>0</v>
      </c>
      <c r="AM54" s="220"/>
      <c r="AN54" s="120"/>
      <c r="AO54" s="220">
        <f>SUM('11CL-FAR-BOTANICA'!Q46)</f>
        <v>9.3333333333333339</v>
      </c>
      <c r="AP54" s="219"/>
      <c r="AQ54" s="213"/>
      <c r="AR54" s="211">
        <f>SUM('11CL-FAR-AFH'!Q46)</f>
        <v>10.333333333333334</v>
      </c>
      <c r="AS54" s="61" t="s">
        <v>3</v>
      </c>
      <c r="AT54" s="75">
        <f t="shared" si="0"/>
        <v>8.4358974358974361</v>
      </c>
      <c r="AU54" s="167">
        <v>18</v>
      </c>
      <c r="AV54" s="170" t="s">
        <v>1</v>
      </c>
    </row>
    <row r="55" spans="2:48" ht="19.5" customHeight="1" thickBot="1" x14ac:dyDescent="0.35">
      <c r="B55" s="58">
        <v>39</v>
      </c>
      <c r="C55" s="173">
        <v>3235</v>
      </c>
      <c r="D55" s="177" t="s">
        <v>128</v>
      </c>
      <c r="E55" s="71"/>
      <c r="F55" s="59"/>
      <c r="G55" s="60"/>
      <c r="H55" s="211">
        <f>SUM('11CL-FAR-L PORT'!Q47)</f>
        <v>10</v>
      </c>
      <c r="I55" s="212"/>
      <c r="J55" s="213"/>
      <c r="K55" s="214">
        <f>SUM('11CL-FAR-MAT'!Q47)</f>
        <v>13.333333333333334</v>
      </c>
      <c r="L55" s="215"/>
      <c r="M55" s="213"/>
      <c r="N55" s="211">
        <f>SUM('11CL-FAR-BIOL'!Q47)</f>
        <v>13.333333333333334</v>
      </c>
      <c r="O55" s="216"/>
      <c r="P55" s="213"/>
      <c r="Q55" s="214">
        <f>SUM('11CL-FAR-INGLES'!Q47)</f>
        <v>19</v>
      </c>
      <c r="R55" s="215"/>
      <c r="S55" s="213"/>
      <c r="T55" s="211">
        <f>SUM('11CL-FAR-PATOL'!Q47)</f>
        <v>11.333333333333334</v>
      </c>
      <c r="U55" s="215"/>
      <c r="V55" s="213"/>
      <c r="W55" s="211">
        <f>SUM('11CL-FAR-MPARASITOL'!Q47)</f>
        <v>9</v>
      </c>
      <c r="X55" s="216"/>
      <c r="Y55" s="213"/>
      <c r="Z55" s="214">
        <f>SUM('11CL-FAR-FARMACOL'!Q47)</f>
        <v>9.3333333333333339</v>
      </c>
      <c r="AA55" s="217"/>
      <c r="AB55" s="120"/>
      <c r="AC55" s="218">
        <f>SUM('11CL-FAR-FARMACOG'!Q47)</f>
        <v>10.333333333333334</v>
      </c>
      <c r="AD55" s="219"/>
      <c r="AE55" s="213"/>
      <c r="AF55" s="211">
        <f>SUM('11CL-FAR-TPM'!Q47)</f>
        <v>11.666666666666666</v>
      </c>
      <c r="AG55" s="219"/>
      <c r="AH55" s="120"/>
      <c r="AI55" s="211">
        <f>SUM('11CL-FAR-QCA ORG.'!Q47)</f>
        <v>10</v>
      </c>
      <c r="AJ55" s="217"/>
      <c r="AK55" s="120"/>
      <c r="AL55" s="218">
        <f>SUM('11CL-FAR-ED. FIS'!Q47)</f>
        <v>16</v>
      </c>
      <c r="AM55" s="220"/>
      <c r="AN55" s="120"/>
      <c r="AO55" s="220">
        <f>SUM('11CL-FAR-BOTANICA'!Q47)</f>
        <v>11.166666666666666</v>
      </c>
      <c r="AP55" s="219"/>
      <c r="AQ55" s="213"/>
      <c r="AR55" s="211">
        <f>SUM('11CL-FAR-AFH'!Q47)</f>
        <v>11.666666666666666</v>
      </c>
      <c r="AS55" s="61" t="s">
        <v>3</v>
      </c>
      <c r="AT55" s="75">
        <f t="shared" si="0"/>
        <v>12.012820512820509</v>
      </c>
      <c r="AU55" s="167">
        <v>17</v>
      </c>
      <c r="AV55" s="170" t="s">
        <v>1</v>
      </c>
    </row>
    <row r="56" spans="2:48" ht="19.5" customHeight="1" thickBot="1" x14ac:dyDescent="0.35">
      <c r="B56" s="58">
        <v>40</v>
      </c>
      <c r="C56" s="173">
        <v>4087</v>
      </c>
      <c r="D56" s="177" t="s">
        <v>129</v>
      </c>
      <c r="E56" s="71"/>
      <c r="F56" s="59"/>
      <c r="G56" s="60"/>
      <c r="H56" s="211">
        <f>SUM('11CL-FAR-L PORT'!Q48)</f>
        <v>6.666666666666667</v>
      </c>
      <c r="I56" s="212"/>
      <c r="J56" s="213"/>
      <c r="K56" s="214">
        <f>SUM('11CL-FAR-MAT'!Q48)</f>
        <v>6.666666666666667</v>
      </c>
      <c r="L56" s="215"/>
      <c r="M56" s="213"/>
      <c r="N56" s="211">
        <f>SUM('11CL-FAR-BIOL'!Q48)</f>
        <v>10.666666666666666</v>
      </c>
      <c r="O56" s="216"/>
      <c r="P56" s="213"/>
      <c r="Q56" s="214">
        <f>SUM('11CL-FAR-INGLES'!Q48)</f>
        <v>13</v>
      </c>
      <c r="R56" s="215"/>
      <c r="S56" s="213"/>
      <c r="T56" s="211">
        <f>SUM('11CL-FAR-PATOL'!Q48)</f>
        <v>10</v>
      </c>
      <c r="U56" s="215"/>
      <c r="V56" s="213"/>
      <c r="W56" s="211">
        <f>SUM('11CL-FAR-MPARASITOL'!Q48)</f>
        <v>11.166666666666666</v>
      </c>
      <c r="X56" s="216"/>
      <c r="Y56" s="213"/>
      <c r="Z56" s="214">
        <f>SUM('11CL-FAR-FARMACOL'!Q48)</f>
        <v>7.666666666666667</v>
      </c>
      <c r="AA56" s="217"/>
      <c r="AB56" s="120"/>
      <c r="AC56" s="218">
        <f>SUM('11CL-FAR-FARMACOG'!Q48)</f>
        <v>9.6666666666666661</v>
      </c>
      <c r="AD56" s="219"/>
      <c r="AE56" s="213"/>
      <c r="AF56" s="211">
        <f>SUM('11CL-FAR-TPM'!Q48)</f>
        <v>8</v>
      </c>
      <c r="AG56" s="219"/>
      <c r="AH56" s="120"/>
      <c r="AI56" s="211">
        <f>SUM('11CL-FAR-QCA ORG.'!Q48)</f>
        <v>6.666666666666667</v>
      </c>
      <c r="AJ56" s="217"/>
      <c r="AK56" s="120"/>
      <c r="AL56" s="218">
        <f>SUM('11CL-FAR-ED. FIS'!Q48)</f>
        <v>2.6666666666666665</v>
      </c>
      <c r="AM56" s="220"/>
      <c r="AN56" s="120"/>
      <c r="AO56" s="220">
        <f>SUM('11CL-FAR-BOTANICA'!Q48)</f>
        <v>10</v>
      </c>
      <c r="AP56" s="219"/>
      <c r="AQ56" s="213"/>
      <c r="AR56" s="211">
        <f>SUM('11CL-FAR-AFH'!Q48)</f>
        <v>11.333333333333334</v>
      </c>
      <c r="AS56" s="61" t="s">
        <v>3</v>
      </c>
      <c r="AT56" s="75">
        <f t="shared" si="0"/>
        <v>8.7820512820512828</v>
      </c>
      <c r="AU56" s="167">
        <v>28</v>
      </c>
      <c r="AV56" s="170" t="s">
        <v>1</v>
      </c>
    </row>
    <row r="57" spans="2:48" ht="19.5" customHeight="1" thickBot="1" x14ac:dyDescent="0.35">
      <c r="B57" s="58">
        <v>41</v>
      </c>
      <c r="C57" s="173">
        <v>3578</v>
      </c>
      <c r="D57" s="177" t="s">
        <v>130</v>
      </c>
      <c r="E57" s="71"/>
      <c r="F57" s="59"/>
      <c r="G57" s="60"/>
      <c r="H57" s="211">
        <f>SUM('11CL-FAR-L PORT'!Q49)</f>
        <v>5.166666666666667</v>
      </c>
      <c r="I57" s="212"/>
      <c r="J57" s="213"/>
      <c r="K57" s="214">
        <f>SUM('11CL-FAR-MAT'!Q49)</f>
        <v>0</v>
      </c>
      <c r="L57" s="215"/>
      <c r="M57" s="213"/>
      <c r="N57" s="211">
        <f>SUM('11CL-FAR-BIOL'!Q49)</f>
        <v>0</v>
      </c>
      <c r="O57" s="216"/>
      <c r="P57" s="213"/>
      <c r="Q57" s="214">
        <f>SUM('11CL-FAR-INGLES'!Q49)</f>
        <v>0</v>
      </c>
      <c r="R57" s="215"/>
      <c r="S57" s="213"/>
      <c r="T57" s="211">
        <f>SUM('11CL-FAR-PATOL'!Q49)</f>
        <v>0</v>
      </c>
      <c r="U57" s="215"/>
      <c r="V57" s="213"/>
      <c r="W57" s="211">
        <f>SUM('11CL-FAR-MPARASITOL'!Q49)</f>
        <v>0</v>
      </c>
      <c r="X57" s="216"/>
      <c r="Y57" s="213"/>
      <c r="Z57" s="214">
        <f>SUM('11CL-FAR-FARMACOL'!Q49)</f>
        <v>0</v>
      </c>
      <c r="AA57" s="217"/>
      <c r="AB57" s="120"/>
      <c r="AC57" s="218">
        <f>SUM('11CL-FAR-FARMACOG'!Q49)</f>
        <v>0</v>
      </c>
      <c r="AD57" s="219"/>
      <c r="AE57" s="213"/>
      <c r="AF57" s="211">
        <f>SUM('11CL-FAR-TPM'!Q49)</f>
        <v>0</v>
      </c>
      <c r="AG57" s="219"/>
      <c r="AH57" s="120"/>
      <c r="AI57" s="211">
        <f>SUM('11CL-FAR-QCA ORG.'!Q49)</f>
        <v>5.166666666666667</v>
      </c>
      <c r="AJ57" s="217"/>
      <c r="AK57" s="120"/>
      <c r="AL57" s="218">
        <f>SUM('11CL-FAR-ED. FIS'!Q49)</f>
        <v>0</v>
      </c>
      <c r="AM57" s="220"/>
      <c r="AN57" s="120"/>
      <c r="AO57" s="220">
        <f>SUM('11CL-FAR-BOTANICA'!Q49)</f>
        <v>0</v>
      </c>
      <c r="AP57" s="219"/>
      <c r="AQ57" s="213"/>
      <c r="AR57" s="211">
        <f>SUM('11CL-FAR-AFH'!Q49)</f>
        <v>0</v>
      </c>
      <c r="AS57" s="61" t="s">
        <v>150</v>
      </c>
      <c r="AT57" s="75">
        <f t="shared" si="0"/>
        <v>0.79487179487179493</v>
      </c>
      <c r="AU57" s="167">
        <v>21</v>
      </c>
      <c r="AV57" s="170" t="s">
        <v>1</v>
      </c>
    </row>
    <row r="58" spans="2:48" ht="19.5" customHeight="1" thickBot="1" x14ac:dyDescent="0.35">
      <c r="B58" s="58">
        <v>42</v>
      </c>
      <c r="C58" s="173">
        <v>3059</v>
      </c>
      <c r="D58" s="177" t="s">
        <v>131</v>
      </c>
      <c r="E58" s="71"/>
      <c r="F58" s="59"/>
      <c r="G58" s="60"/>
      <c r="H58" s="211">
        <f>SUM('11CL-FAR-L PORT'!Q50)</f>
        <v>7.166666666666667</v>
      </c>
      <c r="I58" s="212"/>
      <c r="J58" s="213"/>
      <c r="K58" s="214">
        <f>SUM('11CL-FAR-MAT'!Q50)</f>
        <v>7</v>
      </c>
      <c r="L58" s="215"/>
      <c r="M58" s="213"/>
      <c r="N58" s="211">
        <f>SUM('11CL-FAR-BIOL'!Q50)</f>
        <v>6.333333333333333</v>
      </c>
      <c r="O58" s="216"/>
      <c r="P58" s="213"/>
      <c r="Q58" s="214">
        <f>SUM('11CL-FAR-INGLES'!Q50)</f>
        <v>11</v>
      </c>
      <c r="R58" s="215"/>
      <c r="S58" s="213"/>
      <c r="T58" s="211">
        <f>SUM('11CL-FAR-PATOL'!Q50)</f>
        <v>4.333333333333333</v>
      </c>
      <c r="U58" s="215"/>
      <c r="V58" s="213"/>
      <c r="W58" s="211">
        <f>SUM('11CL-FAR-MPARASITOL'!Q50)</f>
        <v>3</v>
      </c>
      <c r="X58" s="216"/>
      <c r="Y58" s="213"/>
      <c r="Z58" s="214">
        <f>SUM('11CL-FAR-FARMACOL'!Q50)</f>
        <v>7.666666666666667</v>
      </c>
      <c r="AA58" s="217"/>
      <c r="AB58" s="120"/>
      <c r="AC58" s="218">
        <f>SUM('11CL-FAR-FARMACOG'!Q50)</f>
        <v>6.666666666666667</v>
      </c>
      <c r="AD58" s="219"/>
      <c r="AE58" s="213"/>
      <c r="AF58" s="211">
        <f>SUM('11CL-FAR-TPM'!Q50)</f>
        <v>7.666666666666667</v>
      </c>
      <c r="AG58" s="219"/>
      <c r="AH58" s="120"/>
      <c r="AI58" s="211">
        <f>SUM('11CL-FAR-QCA ORG.'!Q50)</f>
        <v>7.166666666666667</v>
      </c>
      <c r="AJ58" s="217"/>
      <c r="AK58" s="120"/>
      <c r="AL58" s="218">
        <f>SUM('11CL-FAR-ED. FIS'!Q50)</f>
        <v>7</v>
      </c>
      <c r="AM58" s="220"/>
      <c r="AN58" s="120"/>
      <c r="AO58" s="220">
        <f>SUM('11CL-FAR-BOTANICA'!Q50)</f>
        <v>6</v>
      </c>
      <c r="AP58" s="219"/>
      <c r="AQ58" s="213"/>
      <c r="AR58" s="211">
        <f>SUM('11CL-FAR-AFH'!Q50)</f>
        <v>10</v>
      </c>
      <c r="AS58" s="61" t="s">
        <v>3</v>
      </c>
      <c r="AT58" s="75">
        <f t="shared" si="0"/>
        <v>7</v>
      </c>
      <c r="AU58" s="167">
        <v>20</v>
      </c>
      <c r="AV58" s="170" t="s">
        <v>0</v>
      </c>
    </row>
    <row r="59" spans="2:48" ht="19.5" customHeight="1" thickBot="1" x14ac:dyDescent="0.35">
      <c r="B59" s="58">
        <v>43</v>
      </c>
      <c r="C59" s="173">
        <v>4046</v>
      </c>
      <c r="D59" s="177" t="s">
        <v>132</v>
      </c>
      <c r="E59" s="71"/>
      <c r="F59" s="59"/>
      <c r="G59" s="60"/>
      <c r="H59" s="211">
        <f>SUM('11CL-FAR-L PORT'!Q51)</f>
        <v>7</v>
      </c>
      <c r="I59" s="212"/>
      <c r="J59" s="213"/>
      <c r="K59" s="214">
        <f>SUM('11CL-FAR-MAT'!Q51)</f>
        <v>6.333333333333333</v>
      </c>
      <c r="L59" s="215"/>
      <c r="M59" s="213"/>
      <c r="N59" s="211">
        <f>SUM('11CL-FAR-BIOL'!Q51)</f>
        <v>11</v>
      </c>
      <c r="O59" s="216"/>
      <c r="P59" s="213"/>
      <c r="Q59" s="214">
        <f>SUM('11CL-FAR-INGLES'!Q51)</f>
        <v>10.666666666666666</v>
      </c>
      <c r="R59" s="215"/>
      <c r="S59" s="213"/>
      <c r="T59" s="211">
        <f>SUM('11CL-FAR-PATOL'!Q51)</f>
        <v>8.5</v>
      </c>
      <c r="U59" s="215"/>
      <c r="V59" s="213"/>
      <c r="W59" s="211">
        <f>SUM('11CL-FAR-MPARASITOL'!Q51)</f>
        <v>5</v>
      </c>
      <c r="X59" s="216"/>
      <c r="Y59" s="213"/>
      <c r="Z59" s="214">
        <f>SUM('11CL-FAR-FARMACOL'!Q51)</f>
        <v>9.5</v>
      </c>
      <c r="AA59" s="217"/>
      <c r="AB59" s="120"/>
      <c r="AC59" s="218">
        <f>SUM('11CL-FAR-FARMACOG'!Q51)</f>
        <v>9.3333333333333339</v>
      </c>
      <c r="AD59" s="219"/>
      <c r="AE59" s="213"/>
      <c r="AF59" s="211">
        <f>SUM('11CL-FAR-TPM'!Q51)</f>
        <v>7</v>
      </c>
      <c r="AG59" s="219"/>
      <c r="AH59" s="120"/>
      <c r="AI59" s="211">
        <f>SUM('11CL-FAR-QCA ORG.'!Q51)</f>
        <v>7</v>
      </c>
      <c r="AJ59" s="217"/>
      <c r="AK59" s="120"/>
      <c r="AL59" s="218">
        <f>SUM('11CL-FAR-ED. FIS'!Q51)</f>
        <v>16</v>
      </c>
      <c r="AM59" s="220"/>
      <c r="AN59" s="120"/>
      <c r="AO59" s="220">
        <f>SUM('11CL-FAR-BOTANICA'!Q51)</f>
        <v>6.5</v>
      </c>
      <c r="AP59" s="219"/>
      <c r="AQ59" s="213"/>
      <c r="AR59" s="211">
        <f>SUM('11CL-FAR-AFH'!Q51)</f>
        <v>10</v>
      </c>
      <c r="AS59" s="61" t="s">
        <v>3</v>
      </c>
      <c r="AT59" s="75">
        <f t="shared" si="0"/>
        <v>8.7564102564102555</v>
      </c>
      <c r="AU59" s="167">
        <v>21</v>
      </c>
      <c r="AV59" s="170" t="s">
        <v>0</v>
      </c>
    </row>
    <row r="60" spans="2:48" ht="19.5" customHeight="1" thickBot="1" x14ac:dyDescent="0.35">
      <c r="B60" s="58">
        <v>44</v>
      </c>
      <c r="C60" s="173">
        <v>4150</v>
      </c>
      <c r="D60" s="177" t="s">
        <v>133</v>
      </c>
      <c r="E60" s="71"/>
      <c r="F60" s="59"/>
      <c r="G60" s="60"/>
      <c r="H60" s="211">
        <f>SUM('11CL-FAR-L PORT'!Q52)</f>
        <v>5.666666666666667</v>
      </c>
      <c r="I60" s="212"/>
      <c r="J60" s="213"/>
      <c r="K60" s="214">
        <f>SUM('11CL-FAR-MAT'!Q52)</f>
        <v>0</v>
      </c>
      <c r="L60" s="215"/>
      <c r="M60" s="213"/>
      <c r="N60" s="211">
        <f>SUM('11CL-FAR-BIOL'!Q52)</f>
        <v>0</v>
      </c>
      <c r="O60" s="216"/>
      <c r="P60" s="213"/>
      <c r="Q60" s="214">
        <f>SUM('11CL-FAR-INGLES'!Q52)</f>
        <v>0</v>
      </c>
      <c r="R60" s="215"/>
      <c r="S60" s="213"/>
      <c r="T60" s="211">
        <f>SUM('11CL-FAR-PATOL'!Q52)</f>
        <v>0</v>
      </c>
      <c r="U60" s="215"/>
      <c r="V60" s="213"/>
      <c r="W60" s="211">
        <f>SUM('11CL-FAR-MPARASITOL'!Q52)</f>
        <v>0</v>
      </c>
      <c r="X60" s="216"/>
      <c r="Y60" s="213"/>
      <c r="Z60" s="214">
        <f>SUM('11CL-FAR-FARMACOL'!Q52)</f>
        <v>0</v>
      </c>
      <c r="AA60" s="217"/>
      <c r="AB60" s="120"/>
      <c r="AC60" s="218">
        <f>SUM('11CL-FAR-FARMACOG'!Q52)</f>
        <v>0</v>
      </c>
      <c r="AD60" s="219"/>
      <c r="AE60" s="213"/>
      <c r="AF60" s="211">
        <f>SUM('11CL-FAR-TPM'!Q52)</f>
        <v>0</v>
      </c>
      <c r="AG60" s="219"/>
      <c r="AH60" s="120"/>
      <c r="AI60" s="211">
        <f>SUM('11CL-FAR-QCA ORG.'!Q52)</f>
        <v>5.666666666666667</v>
      </c>
      <c r="AJ60" s="217"/>
      <c r="AK60" s="120"/>
      <c r="AL60" s="218">
        <f>SUM('11CL-FAR-ED. FIS'!Q52)</f>
        <v>0</v>
      </c>
      <c r="AM60" s="220"/>
      <c r="AN60" s="120"/>
      <c r="AO60" s="220">
        <f>SUM('11CL-FAR-BOTANICA'!Q52)</f>
        <v>0</v>
      </c>
      <c r="AP60" s="219"/>
      <c r="AQ60" s="213"/>
      <c r="AR60" s="211">
        <f>SUM('11CL-FAR-AFH'!Q52)</f>
        <v>0</v>
      </c>
      <c r="AS60" s="61" t="s">
        <v>150</v>
      </c>
      <c r="AT60" s="75">
        <f t="shared" si="0"/>
        <v>0.87179487179487181</v>
      </c>
      <c r="AU60" s="167">
        <v>31</v>
      </c>
      <c r="AV60" s="170" t="s">
        <v>1</v>
      </c>
    </row>
    <row r="61" spans="2:48" ht="19.5" customHeight="1" thickBot="1" x14ac:dyDescent="0.35">
      <c r="B61" s="58">
        <v>45</v>
      </c>
      <c r="C61" s="174">
        <v>4096</v>
      </c>
      <c r="D61" s="177" t="s">
        <v>134</v>
      </c>
      <c r="E61" s="71"/>
      <c r="F61" s="59"/>
      <c r="G61" s="60"/>
      <c r="H61" s="211">
        <f>SUM('11CL-FAR-L PORT'!Q53)</f>
        <v>0</v>
      </c>
      <c r="I61" s="212"/>
      <c r="J61" s="213"/>
      <c r="K61" s="214">
        <f>SUM('11CL-FAR-MAT'!Q53)</f>
        <v>0</v>
      </c>
      <c r="L61" s="215"/>
      <c r="M61" s="213"/>
      <c r="N61" s="211">
        <f>SUM('11CL-FAR-BIOL'!Q53)</f>
        <v>0</v>
      </c>
      <c r="O61" s="216"/>
      <c r="P61" s="213"/>
      <c r="Q61" s="214">
        <f>SUM('11CL-FAR-INGLES'!Q53)</f>
        <v>0</v>
      </c>
      <c r="R61" s="215"/>
      <c r="S61" s="213"/>
      <c r="T61" s="211">
        <f>SUM('11CL-FAR-PATOL'!Q53)</f>
        <v>0</v>
      </c>
      <c r="U61" s="215"/>
      <c r="V61" s="213"/>
      <c r="W61" s="211">
        <f>SUM('11CL-FAR-MPARASITOL'!Q53)</f>
        <v>0</v>
      </c>
      <c r="X61" s="216"/>
      <c r="Y61" s="213"/>
      <c r="Z61" s="214">
        <f>SUM('11CL-FAR-FARMACOL'!Q53)</f>
        <v>0</v>
      </c>
      <c r="AA61" s="217"/>
      <c r="AB61" s="120"/>
      <c r="AC61" s="218">
        <f>SUM('11CL-FAR-FARMACOG'!Q53)</f>
        <v>0</v>
      </c>
      <c r="AD61" s="219"/>
      <c r="AE61" s="213"/>
      <c r="AF61" s="211">
        <f>SUM('11CL-FAR-TPM'!Q53)</f>
        <v>0</v>
      </c>
      <c r="AG61" s="219"/>
      <c r="AH61" s="120"/>
      <c r="AI61" s="211">
        <f>SUM('11CL-FAR-QCA ORG.'!Q53)</f>
        <v>0</v>
      </c>
      <c r="AJ61" s="217"/>
      <c r="AK61" s="120"/>
      <c r="AL61" s="218">
        <f>SUM('11CL-FAR-ED. FIS'!Q53)</f>
        <v>0</v>
      </c>
      <c r="AM61" s="220"/>
      <c r="AN61" s="120"/>
      <c r="AO61" s="220">
        <f>SUM('11CL-FAR-BOTANICA'!Q53)</f>
        <v>0</v>
      </c>
      <c r="AP61" s="219"/>
      <c r="AQ61" s="213"/>
      <c r="AR61" s="211">
        <f>SUM('11CL-FAR-AFH'!Q53)</f>
        <v>0</v>
      </c>
      <c r="AS61" s="61" t="s">
        <v>150</v>
      </c>
      <c r="AT61" s="75">
        <f t="shared" si="0"/>
        <v>0</v>
      </c>
      <c r="AU61" s="167">
        <v>16</v>
      </c>
      <c r="AV61" s="170" t="s">
        <v>1</v>
      </c>
    </row>
    <row r="62" spans="2:48" ht="19.5" customHeight="1" thickBot="1" x14ac:dyDescent="0.35">
      <c r="B62" s="58">
        <v>46</v>
      </c>
      <c r="C62" s="174">
        <v>3297</v>
      </c>
      <c r="D62" s="177" t="s">
        <v>153</v>
      </c>
      <c r="E62" s="71"/>
      <c r="F62" s="59"/>
      <c r="G62" s="60"/>
      <c r="H62" s="211">
        <f>SUM('11CL-FAR-L PORT'!Q54)</f>
        <v>4.833333333333333</v>
      </c>
      <c r="I62" s="212"/>
      <c r="J62" s="213"/>
      <c r="K62" s="214">
        <f>SUM('11CL-FAR-MAT'!Q54)</f>
        <v>7</v>
      </c>
      <c r="L62" s="215"/>
      <c r="M62" s="213"/>
      <c r="N62" s="211">
        <f>SUM('11CL-FAR-BIOL'!Q54)</f>
        <v>7</v>
      </c>
      <c r="O62" s="216"/>
      <c r="P62" s="213"/>
      <c r="Q62" s="214">
        <f>SUM('11CL-FAR-INGLES'!Q54)</f>
        <v>5</v>
      </c>
      <c r="R62" s="215"/>
      <c r="S62" s="213"/>
      <c r="T62" s="211">
        <f>SUM('11CL-FAR-PATOL'!Q54)</f>
        <v>4.333333333333333</v>
      </c>
      <c r="U62" s="215"/>
      <c r="V62" s="213"/>
      <c r="W62" s="211">
        <f>SUM('11CL-FAR-MPARASITOL'!Q54)</f>
        <v>5.333333333333333</v>
      </c>
      <c r="X62" s="216"/>
      <c r="Y62" s="213"/>
      <c r="Z62" s="214">
        <f>SUM('11CL-FAR-FARMACOL'!Q54)</f>
        <v>6.333333333333333</v>
      </c>
      <c r="AA62" s="217"/>
      <c r="AB62" s="120"/>
      <c r="AC62" s="218">
        <f>SUM('11CL-FAR-FARMACOG'!Q54)</f>
        <v>9.6666666666666661</v>
      </c>
      <c r="AD62" s="219"/>
      <c r="AE62" s="213"/>
      <c r="AF62" s="211">
        <f>SUM('11CL-FAR-TPM'!Q54)</f>
        <v>3.6666666666666665</v>
      </c>
      <c r="AG62" s="219"/>
      <c r="AH62" s="120"/>
      <c r="AI62" s="211">
        <f>SUM('11CL-FAR-QCA ORG.'!Q54)</f>
        <v>4.833333333333333</v>
      </c>
      <c r="AJ62" s="217"/>
      <c r="AK62" s="120"/>
      <c r="AL62" s="218">
        <f>SUM('11CL-FAR-ED. FIS'!Q54)</f>
        <v>0</v>
      </c>
      <c r="AM62" s="220"/>
      <c r="AN62" s="120"/>
      <c r="AO62" s="220">
        <f>SUM('11CL-FAR-BOTANICA'!Q54)</f>
        <v>8.5</v>
      </c>
      <c r="AP62" s="219"/>
      <c r="AQ62" s="213"/>
      <c r="AR62" s="211">
        <f>SUM('11CL-FAR-AFH'!Q54)</f>
        <v>0</v>
      </c>
      <c r="AS62" s="61" t="s">
        <v>3</v>
      </c>
      <c r="AT62" s="75">
        <f t="shared" si="0"/>
        <v>5.115384615384615</v>
      </c>
      <c r="AU62" s="167">
        <v>24</v>
      </c>
      <c r="AV62" s="170" t="s">
        <v>1</v>
      </c>
    </row>
    <row r="63" spans="2:48" ht="19.5" customHeight="1" thickBot="1" x14ac:dyDescent="0.35">
      <c r="B63" s="58">
        <v>47</v>
      </c>
      <c r="C63" s="173">
        <v>4187</v>
      </c>
      <c r="D63" s="177" t="s">
        <v>135</v>
      </c>
      <c r="E63" s="71"/>
      <c r="F63" s="59"/>
      <c r="G63" s="60"/>
      <c r="H63" s="211">
        <f>SUM('11CL-FAR-L PORT'!Q55)</f>
        <v>8.6666666666666661</v>
      </c>
      <c r="I63" s="212"/>
      <c r="J63" s="213"/>
      <c r="K63" s="214">
        <f>SUM('11CL-FAR-MAT'!Q55)</f>
        <v>7.333333333333333</v>
      </c>
      <c r="L63" s="215"/>
      <c r="M63" s="213"/>
      <c r="N63" s="211">
        <f>SUM('11CL-FAR-BIOL'!Q55)</f>
        <v>10</v>
      </c>
      <c r="O63" s="216"/>
      <c r="P63" s="213"/>
      <c r="Q63" s="214">
        <f>SUM('11CL-FAR-INGLES'!Q55)</f>
        <v>10</v>
      </c>
      <c r="R63" s="215"/>
      <c r="S63" s="213"/>
      <c r="T63" s="211">
        <f>SUM('11CL-FAR-PATOL'!Q55)</f>
        <v>6.333333333333333</v>
      </c>
      <c r="U63" s="215"/>
      <c r="V63" s="213"/>
      <c r="W63" s="211">
        <f>SUM('11CL-FAR-MPARASITOL'!Q55)</f>
        <v>4.666666666666667</v>
      </c>
      <c r="X63" s="216"/>
      <c r="Y63" s="213"/>
      <c r="Z63" s="214">
        <f>SUM('11CL-FAR-FARMACOL'!Q55)</f>
        <v>8.6666666666666661</v>
      </c>
      <c r="AA63" s="217"/>
      <c r="AB63" s="120"/>
      <c r="AC63" s="218">
        <f>SUM('11CL-FAR-FARMACOG'!Q55)</f>
        <v>7</v>
      </c>
      <c r="AD63" s="219"/>
      <c r="AE63" s="213"/>
      <c r="AF63" s="211">
        <f>SUM('11CL-FAR-TPM'!Q55)</f>
        <v>7.666666666666667</v>
      </c>
      <c r="AG63" s="219"/>
      <c r="AH63" s="120"/>
      <c r="AI63" s="211">
        <f>SUM('11CL-FAR-QCA ORG.'!Q55)</f>
        <v>8.6666666666666661</v>
      </c>
      <c r="AJ63" s="217"/>
      <c r="AK63" s="120"/>
      <c r="AL63" s="218">
        <f>SUM('11CL-FAR-ED. FIS'!Q55)</f>
        <v>7.666666666666667</v>
      </c>
      <c r="AM63" s="220"/>
      <c r="AN63" s="120"/>
      <c r="AO63" s="220">
        <f>SUM('11CL-FAR-BOTANICA'!Q55)</f>
        <v>6.666666666666667</v>
      </c>
      <c r="AP63" s="219"/>
      <c r="AQ63" s="213"/>
      <c r="AR63" s="211">
        <f>SUM('11CL-FAR-AFH'!Q55)</f>
        <v>10.666666666666666</v>
      </c>
      <c r="AS63" s="61" t="s">
        <v>3</v>
      </c>
      <c r="AT63" s="75">
        <f t="shared" si="0"/>
        <v>8.0000000000000018</v>
      </c>
      <c r="AU63" s="167">
        <v>20</v>
      </c>
      <c r="AV63" s="170" t="s">
        <v>0</v>
      </c>
    </row>
    <row r="64" spans="2:48" s="63" customFormat="1" ht="19.5" customHeight="1" thickBot="1" x14ac:dyDescent="0.35">
      <c r="B64" s="58">
        <v>48</v>
      </c>
      <c r="C64" s="173">
        <v>3431</v>
      </c>
      <c r="D64" s="177" t="s">
        <v>136</v>
      </c>
      <c r="E64" s="71"/>
      <c r="F64" s="59"/>
      <c r="G64" s="60"/>
      <c r="H64" s="211">
        <f>SUM('11CL-FAR-L PORT'!Q56)</f>
        <v>5</v>
      </c>
      <c r="I64" s="212"/>
      <c r="J64" s="213"/>
      <c r="K64" s="214">
        <f>SUM('11CL-FAR-MAT'!Q56)</f>
        <v>7.333333333333333</v>
      </c>
      <c r="L64" s="215"/>
      <c r="M64" s="213"/>
      <c r="N64" s="211">
        <f>SUM('11CL-FAR-BIOL'!Q56)</f>
        <v>9</v>
      </c>
      <c r="O64" s="216"/>
      <c r="P64" s="213"/>
      <c r="Q64" s="214">
        <f>SUM('11CL-FAR-INGLES'!Q56)</f>
        <v>8.3333333333333339</v>
      </c>
      <c r="R64" s="215"/>
      <c r="S64" s="213"/>
      <c r="T64" s="211">
        <f>SUM('11CL-FAR-PATOL'!Q56)</f>
        <v>9.3333333333333339</v>
      </c>
      <c r="U64" s="215"/>
      <c r="V64" s="213"/>
      <c r="W64" s="211">
        <f>SUM('11CL-FAR-MPARASITOL'!Q56)</f>
        <v>7.333333333333333</v>
      </c>
      <c r="X64" s="216"/>
      <c r="Y64" s="213"/>
      <c r="Z64" s="214">
        <f>SUM('11CL-FAR-FARMACOL'!Q56)</f>
        <v>8.3333333333333339</v>
      </c>
      <c r="AA64" s="217"/>
      <c r="AB64" s="120"/>
      <c r="AC64" s="218">
        <f>SUM('11CL-FAR-FARMACOG'!Q56)</f>
        <v>11.5</v>
      </c>
      <c r="AD64" s="219"/>
      <c r="AE64" s="213"/>
      <c r="AF64" s="211">
        <f>SUM('11CL-FAR-TPM'!Q56)</f>
        <v>6.333333333333333</v>
      </c>
      <c r="AG64" s="219"/>
      <c r="AH64" s="120"/>
      <c r="AI64" s="211">
        <f>SUM('11CL-FAR-QCA ORG.'!Q56)</f>
        <v>5</v>
      </c>
      <c r="AJ64" s="217"/>
      <c r="AK64" s="120"/>
      <c r="AL64" s="218">
        <f>SUM('11CL-FAR-ED. FIS'!Q56)</f>
        <v>7</v>
      </c>
      <c r="AM64" s="220"/>
      <c r="AN64" s="120"/>
      <c r="AO64" s="220">
        <f>SUM('11CL-FAR-BOTANICA'!Q56)</f>
        <v>9.6666666666666661</v>
      </c>
      <c r="AP64" s="219"/>
      <c r="AQ64" s="213"/>
      <c r="AR64" s="211">
        <f>SUM('11CL-FAR-AFH'!Q56)</f>
        <v>13</v>
      </c>
      <c r="AS64" s="61" t="s">
        <v>3</v>
      </c>
      <c r="AT64" s="75">
        <f t="shared" si="0"/>
        <v>8.2435897435897445</v>
      </c>
      <c r="AU64" s="167">
        <v>19</v>
      </c>
      <c r="AV64" s="170" t="s">
        <v>1</v>
      </c>
    </row>
    <row r="65" spans="2:57" ht="19.5" customHeight="1" thickBot="1" x14ac:dyDescent="0.35">
      <c r="B65" s="58">
        <v>49</v>
      </c>
      <c r="C65" s="173">
        <v>4044</v>
      </c>
      <c r="D65" s="177" t="s">
        <v>137</v>
      </c>
      <c r="E65" s="71"/>
      <c r="F65" s="59"/>
      <c r="G65" s="60"/>
      <c r="H65" s="211">
        <f>SUM('11CL-FAR-L PORT'!Q57)</f>
        <v>10.166666666666666</v>
      </c>
      <c r="I65" s="212"/>
      <c r="J65" s="213"/>
      <c r="K65" s="214">
        <f>SUM('11CL-FAR-MAT'!Q57)</f>
        <v>16.333333333333332</v>
      </c>
      <c r="L65" s="215"/>
      <c r="M65" s="213"/>
      <c r="N65" s="211">
        <f>SUM('11CL-FAR-BIOL'!Q57)</f>
        <v>17.666666666666668</v>
      </c>
      <c r="O65" s="216"/>
      <c r="P65" s="213"/>
      <c r="Q65" s="214">
        <f>SUM('11CL-FAR-INGLES'!Q57)</f>
        <v>19.666666666666668</v>
      </c>
      <c r="R65" s="215"/>
      <c r="S65" s="213"/>
      <c r="T65" s="211">
        <f>SUM('11CL-FAR-PATOL'!Q57)</f>
        <v>11.333333333333334</v>
      </c>
      <c r="U65" s="215"/>
      <c r="V65" s="213"/>
      <c r="W65" s="211">
        <f>SUM('11CL-FAR-MPARASITOL'!Q57)</f>
        <v>11.833333333333334</v>
      </c>
      <c r="X65" s="216"/>
      <c r="Y65" s="213"/>
      <c r="Z65" s="214">
        <f>SUM('11CL-FAR-FARMACOL'!Q57)</f>
        <v>10.333333333333334</v>
      </c>
      <c r="AA65" s="217"/>
      <c r="AB65" s="120"/>
      <c r="AC65" s="218">
        <f>SUM('11CL-FAR-FARMACOG'!Q57)</f>
        <v>14</v>
      </c>
      <c r="AD65" s="219"/>
      <c r="AE65" s="213"/>
      <c r="AF65" s="211">
        <f>SUM('11CL-FAR-TPM'!Q57)</f>
        <v>14</v>
      </c>
      <c r="AG65" s="219"/>
      <c r="AH65" s="120"/>
      <c r="AI65" s="211">
        <f>SUM('11CL-FAR-QCA ORG.'!Q57)</f>
        <v>10.166666666666666</v>
      </c>
      <c r="AJ65" s="217"/>
      <c r="AK65" s="120"/>
      <c r="AL65" s="218">
        <f>SUM('11CL-FAR-ED. FIS'!Q57)</f>
        <v>13</v>
      </c>
      <c r="AM65" s="220"/>
      <c r="AN65" s="120"/>
      <c r="AO65" s="220">
        <f>SUM('11CL-FAR-BOTANICA'!Q57)</f>
        <v>14.833333333333334</v>
      </c>
      <c r="AP65" s="219"/>
      <c r="AQ65" s="213"/>
      <c r="AR65" s="211">
        <f>SUM('11CL-FAR-AFH'!Q57)</f>
        <v>12.666666666666666</v>
      </c>
      <c r="AS65" s="61" t="s">
        <v>2</v>
      </c>
      <c r="AT65" s="75">
        <f t="shared" si="0"/>
        <v>13.538461538461538</v>
      </c>
      <c r="AU65" s="167">
        <v>17</v>
      </c>
      <c r="AV65" s="170" t="s">
        <v>1</v>
      </c>
    </row>
    <row r="66" spans="2:57" s="62" customFormat="1" ht="19.5" customHeight="1" thickBot="1" x14ac:dyDescent="0.35">
      <c r="B66" s="58">
        <v>50</v>
      </c>
      <c r="C66" s="174">
        <v>3263</v>
      </c>
      <c r="D66" s="177" t="s">
        <v>138</v>
      </c>
      <c r="E66" s="71"/>
      <c r="F66" s="59"/>
      <c r="G66" s="60"/>
      <c r="H66" s="211">
        <f>SUM('11CL-FAR-L PORT'!Q58)</f>
        <v>0</v>
      </c>
      <c r="I66" s="212"/>
      <c r="J66" s="213"/>
      <c r="K66" s="214">
        <f>SUM('11CL-FAR-MAT'!Q58)</f>
        <v>0</v>
      </c>
      <c r="L66" s="215"/>
      <c r="M66" s="213"/>
      <c r="N66" s="211">
        <f>SUM('11CL-FAR-BIOL'!Q58)</f>
        <v>0</v>
      </c>
      <c r="O66" s="216"/>
      <c r="P66" s="213"/>
      <c r="Q66" s="214">
        <f>SUM('11CL-FAR-INGLES'!Q58)</f>
        <v>0</v>
      </c>
      <c r="R66" s="215"/>
      <c r="S66" s="213"/>
      <c r="T66" s="211">
        <f>SUM('11CL-FAR-PATOL'!Q58)</f>
        <v>0</v>
      </c>
      <c r="U66" s="215"/>
      <c r="V66" s="213"/>
      <c r="W66" s="211">
        <f>SUM('11CL-FAR-MPARASITOL'!Q58)</f>
        <v>0</v>
      </c>
      <c r="X66" s="216"/>
      <c r="Y66" s="213"/>
      <c r="Z66" s="214">
        <f>SUM('11CL-FAR-FARMACOL'!Q58)</f>
        <v>0</v>
      </c>
      <c r="AA66" s="217"/>
      <c r="AB66" s="120"/>
      <c r="AC66" s="218">
        <f>SUM('11CL-FAR-FARMACOG'!Q58)</f>
        <v>0</v>
      </c>
      <c r="AD66" s="219"/>
      <c r="AE66" s="213"/>
      <c r="AF66" s="211">
        <f>SUM('11CL-FAR-TPM'!Q58)</f>
        <v>0</v>
      </c>
      <c r="AG66" s="219"/>
      <c r="AH66" s="120"/>
      <c r="AI66" s="211">
        <f>SUM('11CL-FAR-QCA ORG.'!Q58)</f>
        <v>0</v>
      </c>
      <c r="AJ66" s="217"/>
      <c r="AK66" s="120"/>
      <c r="AL66" s="218">
        <f>SUM('11CL-FAR-ED. FIS'!Q58)</f>
        <v>0</v>
      </c>
      <c r="AM66" s="220"/>
      <c r="AN66" s="120"/>
      <c r="AO66" s="220">
        <f>SUM('11CL-FAR-BOTANICA'!Q58)</f>
        <v>0</v>
      </c>
      <c r="AP66" s="219"/>
      <c r="AQ66" s="213"/>
      <c r="AR66" s="211">
        <f>SUM('11CL-FAR-AFH'!Q58)</f>
        <v>12.666666666666666</v>
      </c>
      <c r="AS66" s="61" t="s">
        <v>150</v>
      </c>
      <c r="AT66" s="75">
        <f t="shared" si="0"/>
        <v>0.97435897435897434</v>
      </c>
      <c r="AU66" s="167">
        <v>27</v>
      </c>
      <c r="AV66" s="170" t="s">
        <v>1</v>
      </c>
      <c r="AX66" s="311" t="s">
        <v>74</v>
      </c>
      <c r="AY66" s="313">
        <f>MAX(AT17:AT71)</f>
        <v>14.782051282051281</v>
      </c>
      <c r="AZ66" s="77"/>
      <c r="BA66" s="77"/>
      <c r="BB66" s="77"/>
      <c r="BC66" s="77"/>
      <c r="BD66" s="77"/>
      <c r="BE66" s="77"/>
    </row>
    <row r="67" spans="2:57" s="62" customFormat="1" ht="19.5" customHeight="1" thickBot="1" x14ac:dyDescent="0.35">
      <c r="B67" s="58">
        <v>51</v>
      </c>
      <c r="C67" s="173">
        <v>3610</v>
      </c>
      <c r="D67" s="177" t="s">
        <v>139</v>
      </c>
      <c r="E67" s="71"/>
      <c r="F67" s="59"/>
      <c r="G67" s="60"/>
      <c r="H67" s="211">
        <f>SUM('11CL-FAR-L PORT'!Q59)</f>
        <v>6.333333333333333</v>
      </c>
      <c r="I67" s="212"/>
      <c r="J67" s="213"/>
      <c r="K67" s="214">
        <f>SUM('11CL-FAR-MAT'!Q59)</f>
        <v>6</v>
      </c>
      <c r="L67" s="215"/>
      <c r="M67" s="213"/>
      <c r="N67" s="211">
        <f>SUM('11CL-FAR-BIOL'!Q59)</f>
        <v>8.6666666666666661</v>
      </c>
      <c r="O67" s="216"/>
      <c r="P67" s="213"/>
      <c r="Q67" s="214">
        <f>SUM('11CL-FAR-INGLES'!Q59)</f>
        <v>8.6666666666666661</v>
      </c>
      <c r="R67" s="215"/>
      <c r="S67" s="213"/>
      <c r="T67" s="211">
        <f>SUM('11CL-FAR-PATOL'!Q59)</f>
        <v>8.3333333333333339</v>
      </c>
      <c r="U67" s="215"/>
      <c r="V67" s="213"/>
      <c r="W67" s="211">
        <f>SUM('11CL-FAR-MPARASITOL'!Q59)</f>
        <v>6.666666666666667</v>
      </c>
      <c r="X67" s="216"/>
      <c r="Y67" s="213"/>
      <c r="Z67" s="214">
        <f>SUM('11CL-FAR-FARMACOL'!Q59)</f>
        <v>6.833333333333333</v>
      </c>
      <c r="AA67" s="217"/>
      <c r="AB67" s="120"/>
      <c r="AC67" s="218">
        <f>SUM('11CL-FAR-FARMACOG'!Q59)</f>
        <v>8</v>
      </c>
      <c r="AD67" s="219"/>
      <c r="AE67" s="213"/>
      <c r="AF67" s="211">
        <f>SUM('11CL-FAR-TPM'!Q59)</f>
        <v>5.333333333333333</v>
      </c>
      <c r="AG67" s="219"/>
      <c r="AH67" s="120"/>
      <c r="AI67" s="211">
        <f>SUM('11CL-FAR-QCA ORG.'!Q59)</f>
        <v>6.333333333333333</v>
      </c>
      <c r="AJ67" s="217"/>
      <c r="AK67" s="120"/>
      <c r="AL67" s="218">
        <f>SUM('11CL-FAR-ED. FIS'!Q59)</f>
        <v>7</v>
      </c>
      <c r="AM67" s="220"/>
      <c r="AN67" s="120"/>
      <c r="AO67" s="220">
        <f>SUM('11CL-FAR-BOTANICA'!Q59)</f>
        <v>8.1666666666666661</v>
      </c>
      <c r="AP67" s="219"/>
      <c r="AQ67" s="213"/>
      <c r="AR67" s="211">
        <f>SUM('11CL-FAR-AFH'!Q59)</f>
        <v>9</v>
      </c>
      <c r="AS67" s="61" t="s">
        <v>3</v>
      </c>
      <c r="AT67" s="75">
        <f t="shared" si="0"/>
        <v>7.333333333333333</v>
      </c>
      <c r="AU67" s="167">
        <v>17</v>
      </c>
      <c r="AV67" s="170" t="s">
        <v>1</v>
      </c>
      <c r="AX67" s="312"/>
      <c r="AY67" s="314"/>
      <c r="AZ67" s="77"/>
      <c r="BA67" s="77"/>
      <c r="BB67" s="77"/>
      <c r="BC67" s="77"/>
      <c r="BD67" s="77"/>
      <c r="BE67" s="77"/>
    </row>
    <row r="68" spans="2:57" s="62" customFormat="1" ht="19.5" customHeight="1" thickBot="1" x14ac:dyDescent="0.35">
      <c r="B68" s="58">
        <v>52</v>
      </c>
      <c r="C68" s="173">
        <v>3451</v>
      </c>
      <c r="D68" s="177" t="s">
        <v>140</v>
      </c>
      <c r="E68" s="71"/>
      <c r="F68" s="59"/>
      <c r="G68" s="60"/>
      <c r="H68" s="211">
        <f>SUM('11CL-FAR-L PORT'!Q60)</f>
        <v>6.166666666666667</v>
      </c>
      <c r="I68" s="212"/>
      <c r="J68" s="213"/>
      <c r="K68" s="214">
        <f>SUM('11CL-FAR-MAT'!Q60)</f>
        <v>8.5</v>
      </c>
      <c r="L68" s="215"/>
      <c r="M68" s="213"/>
      <c r="N68" s="211">
        <f>SUM('11CL-FAR-BIOL'!Q60)</f>
        <v>13</v>
      </c>
      <c r="O68" s="216"/>
      <c r="P68" s="213"/>
      <c r="Q68" s="214">
        <f>SUM('11CL-FAR-INGLES'!Q60)</f>
        <v>16.666666666666668</v>
      </c>
      <c r="R68" s="215"/>
      <c r="S68" s="213"/>
      <c r="T68" s="211">
        <f>SUM('11CL-FAR-PATOL'!Q60)</f>
        <v>5.666666666666667</v>
      </c>
      <c r="U68" s="215"/>
      <c r="V68" s="213"/>
      <c r="W68" s="211">
        <f>SUM('11CL-FAR-MPARASITOL'!Q60)</f>
        <v>5</v>
      </c>
      <c r="X68" s="216"/>
      <c r="Y68" s="213"/>
      <c r="Z68" s="214">
        <f>SUM('11CL-FAR-FARMACOL'!Q60)</f>
        <v>7.833333333333333</v>
      </c>
      <c r="AA68" s="217"/>
      <c r="AB68" s="120"/>
      <c r="AC68" s="218">
        <f>SUM('11CL-FAR-FARMACOG'!Q60)</f>
        <v>12</v>
      </c>
      <c r="AD68" s="219"/>
      <c r="AE68" s="213"/>
      <c r="AF68" s="211">
        <f>SUM('11CL-FAR-TPM'!Q60)</f>
        <v>9</v>
      </c>
      <c r="AG68" s="219"/>
      <c r="AH68" s="120"/>
      <c r="AI68" s="211">
        <f>SUM('11CL-FAR-QCA ORG.'!Q60)</f>
        <v>6.166666666666667</v>
      </c>
      <c r="AJ68" s="217"/>
      <c r="AK68" s="120"/>
      <c r="AL68" s="218">
        <f>SUM('11CL-FAR-ED. FIS'!Q60)</f>
        <v>10</v>
      </c>
      <c r="AM68" s="220"/>
      <c r="AN68" s="120"/>
      <c r="AO68" s="220">
        <f>SUM('11CL-FAR-BOTANICA'!Q60)</f>
        <v>10.666666666666666</v>
      </c>
      <c r="AP68" s="219"/>
      <c r="AQ68" s="213"/>
      <c r="AR68" s="211">
        <f>SUM('11CL-FAR-AFH'!Q60)</f>
        <v>10.333333333333334</v>
      </c>
      <c r="AS68" s="61" t="s">
        <v>3</v>
      </c>
      <c r="AT68" s="75">
        <f t="shared" si="0"/>
        <v>9.3076923076923084</v>
      </c>
      <c r="AU68" s="167">
        <v>21</v>
      </c>
      <c r="AV68" s="170" t="s">
        <v>1</v>
      </c>
      <c r="AX68" s="315" t="s">
        <v>75</v>
      </c>
      <c r="AY68" s="315"/>
      <c r="AZ68" s="315"/>
      <c r="BA68" s="316"/>
      <c r="BB68" s="316"/>
      <c r="BC68" s="316"/>
      <c r="BD68" s="316"/>
      <c r="BE68" s="316"/>
    </row>
    <row r="69" spans="2:57" ht="19.5" customHeight="1" thickBot="1" x14ac:dyDescent="0.35">
      <c r="B69" s="58">
        <v>53</v>
      </c>
      <c r="C69" s="173">
        <v>3185</v>
      </c>
      <c r="D69" s="177" t="s">
        <v>141</v>
      </c>
      <c r="E69" s="71"/>
      <c r="F69" s="59"/>
      <c r="G69" s="60"/>
      <c r="H69" s="211">
        <f>SUM('11CL-FAR-L PORT'!Q61)</f>
        <v>9.3333333333333339</v>
      </c>
      <c r="I69" s="212"/>
      <c r="J69" s="213"/>
      <c r="K69" s="214">
        <f>SUM('11CL-FAR-MAT'!Q61)</f>
        <v>15.666666666666666</v>
      </c>
      <c r="L69" s="215"/>
      <c r="M69" s="213"/>
      <c r="N69" s="211">
        <f>SUM('11CL-FAR-BIOL'!Q61)</f>
        <v>11.666666666666666</v>
      </c>
      <c r="O69" s="216"/>
      <c r="P69" s="213"/>
      <c r="Q69" s="214">
        <f>SUM('11CL-FAR-INGLES'!Q61)</f>
        <v>18.666666666666668</v>
      </c>
      <c r="R69" s="215"/>
      <c r="S69" s="213"/>
      <c r="T69" s="211">
        <f>SUM('11CL-FAR-PATOL'!Q61)</f>
        <v>10.333333333333334</v>
      </c>
      <c r="U69" s="215"/>
      <c r="V69" s="213"/>
      <c r="W69" s="211">
        <f>SUM('11CL-FAR-MPARASITOL'!Q61)</f>
        <v>8.6666666666666661</v>
      </c>
      <c r="X69" s="216"/>
      <c r="Y69" s="213"/>
      <c r="Z69" s="214">
        <f>SUM('11CL-FAR-FARMACOL'!Q61)</f>
        <v>12</v>
      </c>
      <c r="AA69" s="217"/>
      <c r="AB69" s="120"/>
      <c r="AC69" s="218">
        <f>SUM('11CL-FAR-FARMACOG'!Q61)</f>
        <v>10.333333333333334</v>
      </c>
      <c r="AD69" s="219"/>
      <c r="AE69" s="213"/>
      <c r="AF69" s="211">
        <f>SUM('11CL-FAR-TPM'!Q61)</f>
        <v>13</v>
      </c>
      <c r="AG69" s="219"/>
      <c r="AH69" s="120"/>
      <c r="AI69" s="211">
        <f>SUM('11CL-FAR-QCA ORG.'!Q61)</f>
        <v>9.3333333333333339</v>
      </c>
      <c r="AJ69" s="217"/>
      <c r="AK69" s="120"/>
      <c r="AL69" s="218">
        <f>SUM('11CL-FAR-ED. FIS'!Q61)</f>
        <v>14</v>
      </c>
      <c r="AM69" s="220"/>
      <c r="AN69" s="120"/>
      <c r="AO69" s="220">
        <f>SUM('11CL-FAR-BOTANICA'!Q61)</f>
        <v>10.5</v>
      </c>
      <c r="AP69" s="219"/>
      <c r="AQ69" s="213"/>
      <c r="AR69" s="211">
        <f>SUM('11CL-FAR-AFH'!Q61)</f>
        <v>18</v>
      </c>
      <c r="AS69" s="61" t="s">
        <v>3</v>
      </c>
      <c r="AT69" s="75">
        <f t="shared" si="0"/>
        <v>12.423076923076923</v>
      </c>
      <c r="AU69" s="167">
        <v>20</v>
      </c>
      <c r="AV69" s="170" t="s">
        <v>0</v>
      </c>
      <c r="AX69" s="78" t="s">
        <v>76</v>
      </c>
      <c r="AY69" s="78"/>
      <c r="AZ69" s="77"/>
      <c r="BA69" s="77"/>
      <c r="BB69" s="77"/>
      <c r="BC69" s="77"/>
      <c r="BD69" s="77"/>
      <c r="BE69" s="77"/>
    </row>
    <row r="70" spans="2:57" ht="19.5" customHeight="1" thickBot="1" x14ac:dyDescent="0.35">
      <c r="B70" s="58">
        <v>54</v>
      </c>
      <c r="C70" s="173">
        <v>4132</v>
      </c>
      <c r="D70" s="177" t="s">
        <v>142</v>
      </c>
      <c r="E70" s="71"/>
      <c r="F70" s="59"/>
      <c r="G70" s="60"/>
      <c r="H70" s="211">
        <f>SUM('11CL-FAR-L PORT'!Q62)</f>
        <v>8.1666666666666661</v>
      </c>
      <c r="I70" s="212"/>
      <c r="J70" s="213"/>
      <c r="K70" s="214">
        <f>SUM('11CL-FAR-MAT'!Q62)</f>
        <v>11</v>
      </c>
      <c r="L70" s="215"/>
      <c r="M70" s="213"/>
      <c r="N70" s="211">
        <f>SUM('11CL-FAR-BIOL'!Q62)</f>
        <v>13.333333333333334</v>
      </c>
      <c r="O70" s="216"/>
      <c r="P70" s="213"/>
      <c r="Q70" s="214">
        <f>SUM('11CL-FAR-INGLES'!Q62)</f>
        <v>15.666666666666666</v>
      </c>
      <c r="R70" s="215"/>
      <c r="S70" s="213"/>
      <c r="T70" s="211">
        <f>SUM('11CL-FAR-PATOL'!Q62)</f>
        <v>11.5</v>
      </c>
      <c r="U70" s="215"/>
      <c r="V70" s="213"/>
      <c r="W70" s="211">
        <f>SUM('11CL-FAR-MPARASITOL'!Q62)</f>
        <v>6.833333333333333</v>
      </c>
      <c r="X70" s="216"/>
      <c r="Y70" s="213"/>
      <c r="Z70" s="214">
        <f>SUM('11CL-FAR-FARMACOL'!Q62)</f>
        <v>7.333333333333333</v>
      </c>
      <c r="AA70" s="217"/>
      <c r="AB70" s="120"/>
      <c r="AC70" s="218">
        <f>SUM('11CL-FAR-FARMACOG'!Q62)</f>
        <v>10.666666666666666</v>
      </c>
      <c r="AD70" s="219"/>
      <c r="AE70" s="213"/>
      <c r="AF70" s="211">
        <f>SUM('11CL-FAR-TPM'!Q62)</f>
        <v>11.333333333333334</v>
      </c>
      <c r="AG70" s="219"/>
      <c r="AH70" s="120"/>
      <c r="AI70" s="211">
        <f>SUM('11CL-FAR-QCA ORG.'!Q62)</f>
        <v>8.1666666666666661</v>
      </c>
      <c r="AJ70" s="217"/>
      <c r="AK70" s="120"/>
      <c r="AL70" s="218">
        <f>SUM('11CL-FAR-ED. FIS'!Q62)</f>
        <v>12.666666666666666</v>
      </c>
      <c r="AM70" s="220"/>
      <c r="AN70" s="120"/>
      <c r="AO70" s="220">
        <f>SUM('11CL-FAR-BOTANICA'!Q62)</f>
        <v>11.5</v>
      </c>
      <c r="AP70" s="219"/>
      <c r="AQ70" s="213"/>
      <c r="AR70" s="211">
        <f>SUM('11CL-FAR-AFH'!Q62)</f>
        <v>11</v>
      </c>
      <c r="AS70" s="61" t="s">
        <v>3</v>
      </c>
      <c r="AT70" s="75">
        <f t="shared" si="0"/>
        <v>10.705128205128206</v>
      </c>
      <c r="AU70" s="167">
        <v>21</v>
      </c>
      <c r="AV70" s="170" t="s">
        <v>1</v>
      </c>
    </row>
    <row r="71" spans="2:57" ht="19.5" customHeight="1" thickBot="1" x14ac:dyDescent="0.35">
      <c r="B71" s="58">
        <v>55</v>
      </c>
      <c r="C71" s="175">
        <v>2941</v>
      </c>
      <c r="D71" s="178" t="s">
        <v>143</v>
      </c>
      <c r="E71" s="73"/>
      <c r="F71" s="64"/>
      <c r="G71" s="65"/>
      <c r="H71" s="221">
        <f>SUM('11CL-FAR-L PORT'!Q63)</f>
        <v>9.6666666666666661</v>
      </c>
      <c r="I71" s="222"/>
      <c r="J71" s="223"/>
      <c r="K71" s="224">
        <f>SUM('11CL-FAR-MAT'!Q63)</f>
        <v>6.666666666666667</v>
      </c>
      <c r="L71" s="225"/>
      <c r="M71" s="223"/>
      <c r="N71" s="221">
        <f>SUM('11CL-FAR-BIOL'!Q63)</f>
        <v>10.333333333333334</v>
      </c>
      <c r="O71" s="226"/>
      <c r="P71" s="223"/>
      <c r="Q71" s="224">
        <f>SUM('11CL-FAR-INGLES'!Q63)</f>
        <v>15.333333333333334</v>
      </c>
      <c r="R71" s="225"/>
      <c r="S71" s="223"/>
      <c r="T71" s="221">
        <f>SUM('11CL-FAR-PATOL'!Q63)</f>
        <v>13.333333333333334</v>
      </c>
      <c r="U71" s="225"/>
      <c r="V71" s="223"/>
      <c r="W71" s="221">
        <f>SUM('11CL-FAR-MPARASITOL'!Q63)</f>
        <v>11</v>
      </c>
      <c r="X71" s="226"/>
      <c r="Y71" s="223"/>
      <c r="Z71" s="224">
        <f>SUM('11CL-FAR-FARMACOL'!Q63)</f>
        <v>7.5</v>
      </c>
      <c r="AA71" s="227"/>
      <c r="AB71" s="228"/>
      <c r="AC71" s="229">
        <f>SUM('11CL-FAR-FARMACOG'!Q63)</f>
        <v>6.666666666666667</v>
      </c>
      <c r="AD71" s="230"/>
      <c r="AE71" s="223"/>
      <c r="AF71" s="221">
        <f>SUM('11CL-FAR-TPM'!Q63)</f>
        <v>8.3333333333333339</v>
      </c>
      <c r="AG71" s="230"/>
      <c r="AH71" s="228"/>
      <c r="AI71" s="221">
        <f>SUM('11CL-FAR-QCA ORG.'!Q63)</f>
        <v>9.6666666666666661</v>
      </c>
      <c r="AJ71" s="227"/>
      <c r="AK71" s="228"/>
      <c r="AL71" s="229">
        <f>SUM('11CL-FAR-ED. FIS'!Q63)</f>
        <v>10</v>
      </c>
      <c r="AM71" s="231"/>
      <c r="AN71" s="228"/>
      <c r="AO71" s="231">
        <f>SUM('11CL-FAR-BOTANICA'!Q63)</f>
        <v>7.833333333333333</v>
      </c>
      <c r="AP71" s="230"/>
      <c r="AQ71" s="223"/>
      <c r="AR71" s="221">
        <f>SUM('11CL-FAR-AFH'!Q63)</f>
        <v>13</v>
      </c>
      <c r="AS71" s="66" t="s">
        <v>3</v>
      </c>
      <c r="AT71" s="76">
        <f t="shared" si="0"/>
        <v>9.9487179487179489</v>
      </c>
      <c r="AU71" s="168">
        <v>19</v>
      </c>
      <c r="AV71" s="171" t="s">
        <v>0</v>
      </c>
    </row>
    <row r="72" spans="2:57" ht="21.75" customHeight="1" thickBot="1" x14ac:dyDescent="0.35">
      <c r="B72" s="317" t="s">
        <v>93</v>
      </c>
      <c r="C72" s="318"/>
      <c r="D72" s="318"/>
      <c r="E72" s="253"/>
      <c r="F72" s="317"/>
      <c r="G72" s="318"/>
      <c r="H72" s="319"/>
      <c r="I72" s="317"/>
      <c r="J72" s="318"/>
      <c r="K72" s="319"/>
      <c r="L72" s="317"/>
      <c r="M72" s="318"/>
      <c r="N72" s="319"/>
      <c r="O72" s="317"/>
      <c r="P72" s="318"/>
      <c r="Q72" s="319"/>
      <c r="R72" s="317"/>
      <c r="S72" s="318"/>
      <c r="T72" s="319"/>
      <c r="U72" s="317"/>
      <c r="V72" s="318"/>
      <c r="W72" s="319"/>
      <c r="X72" s="317"/>
      <c r="Y72" s="318"/>
      <c r="Z72" s="319"/>
      <c r="AA72" s="253"/>
      <c r="AB72" s="253"/>
      <c r="AC72" s="253"/>
      <c r="AD72" s="317"/>
      <c r="AE72" s="318"/>
      <c r="AF72" s="319"/>
      <c r="AG72" s="317"/>
      <c r="AH72" s="318"/>
      <c r="AI72" s="319"/>
      <c r="AJ72" s="253"/>
      <c r="AK72" s="253"/>
      <c r="AL72" s="253"/>
      <c r="AM72" s="253"/>
      <c r="AN72" s="253"/>
      <c r="AO72" s="253"/>
      <c r="AP72" s="317"/>
      <c r="AQ72" s="318"/>
      <c r="AR72" s="319"/>
      <c r="AS72" s="67"/>
      <c r="AT72" s="67"/>
    </row>
    <row r="73" spans="2:57" ht="15" customHeight="1" x14ac:dyDescent="0.3"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S73" s="67"/>
      <c r="AT73" s="67"/>
    </row>
    <row r="74" spans="2:57" ht="19.8" x14ac:dyDescent="0.5">
      <c r="B74" s="320" t="s">
        <v>79</v>
      </c>
      <c r="C74" s="320"/>
      <c r="D74" s="320"/>
      <c r="E74" s="320"/>
      <c r="F74" s="320"/>
      <c r="G74" s="320"/>
      <c r="H74" s="320"/>
      <c r="I74" s="32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320" t="s">
        <v>4</v>
      </c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  <c r="AO74" s="320"/>
      <c r="AP74" s="320"/>
      <c r="AQ74" s="320"/>
      <c r="AR74" s="320"/>
      <c r="AS74" s="320"/>
      <c r="AT74" s="254"/>
    </row>
    <row r="75" spans="2:57" ht="12.75" customHeight="1" x14ac:dyDescent="0.3">
      <c r="B75" s="321" t="s">
        <v>69</v>
      </c>
      <c r="C75" s="321"/>
      <c r="D75" s="321"/>
      <c r="E75" s="321"/>
      <c r="F75" s="321"/>
      <c r="G75" s="321"/>
      <c r="H75" s="321"/>
      <c r="I75" s="321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  <c r="AN75" s="321"/>
      <c r="AO75" s="321"/>
      <c r="AP75" s="321"/>
      <c r="AS75" s="67"/>
      <c r="AT75" s="67"/>
    </row>
    <row r="76" spans="2:57" ht="18.75" customHeight="1" x14ac:dyDescent="0.4">
      <c r="B76" s="322" t="s">
        <v>91</v>
      </c>
      <c r="C76" s="322"/>
      <c r="D76" s="322"/>
      <c r="E76" s="322"/>
      <c r="F76" s="322"/>
      <c r="G76" s="322"/>
      <c r="H76" s="322"/>
      <c r="I76" s="322"/>
      <c r="J76" s="322"/>
      <c r="K76" s="2"/>
      <c r="L76" s="2"/>
      <c r="M76" s="2"/>
      <c r="N76" s="2"/>
      <c r="O76" s="2"/>
      <c r="P76" s="2"/>
      <c r="Q76" s="2"/>
      <c r="R76" s="2"/>
      <c r="S76" s="2"/>
      <c r="T76" s="2"/>
      <c r="U76" s="69"/>
      <c r="V76" s="69"/>
      <c r="X76" s="322" t="s">
        <v>17</v>
      </c>
      <c r="Y76" s="322"/>
      <c r="Z76" s="322"/>
      <c r="AA76" s="322"/>
      <c r="AB76" s="322"/>
      <c r="AC76" s="322"/>
      <c r="AD76" s="322"/>
      <c r="AE76" s="322"/>
      <c r="AF76" s="322"/>
      <c r="AG76" s="322"/>
      <c r="AH76" s="322"/>
      <c r="AI76" s="322"/>
      <c r="AJ76" s="322"/>
      <c r="AK76" s="322"/>
      <c r="AL76" s="322"/>
      <c r="AM76" s="322"/>
      <c r="AN76" s="322"/>
      <c r="AO76" s="322"/>
      <c r="AP76" s="322"/>
      <c r="AQ76" s="322"/>
      <c r="AR76" s="322"/>
      <c r="AS76" s="322"/>
      <c r="AT76" s="255"/>
    </row>
    <row r="79" spans="2:57" x14ac:dyDescent="0.3">
      <c r="X79" s="10"/>
      <c r="Y79" s="10"/>
      <c r="Z79" s="10"/>
      <c r="AA79" s="10"/>
      <c r="AB79" s="10"/>
      <c r="AC79" s="10"/>
    </row>
    <row r="80" spans="2:57" x14ac:dyDescent="0.3">
      <c r="X80" s="10"/>
      <c r="Y80" s="10"/>
      <c r="Z80" s="10"/>
      <c r="AA80" s="10"/>
      <c r="AB80" s="10"/>
      <c r="AC80" s="10"/>
    </row>
    <row r="81" spans="24:29" x14ac:dyDescent="0.3">
      <c r="X81" s="10"/>
      <c r="Y81" s="10"/>
      <c r="Z81" s="10"/>
      <c r="AA81" s="10"/>
      <c r="AB81" s="10"/>
      <c r="AC81" s="10"/>
    </row>
  </sheetData>
  <mergeCells count="92">
    <mergeCell ref="A1:AS4"/>
    <mergeCell ref="B7:AS7"/>
    <mergeCell ref="C8:AS8"/>
    <mergeCell ref="H9:K10"/>
    <mergeCell ref="M9:Z11"/>
    <mergeCell ref="AC9:AG9"/>
    <mergeCell ref="B10:D10"/>
    <mergeCell ref="AD10:AG11"/>
    <mergeCell ref="B11:D11"/>
    <mergeCell ref="H11:I12"/>
    <mergeCell ref="B14:B16"/>
    <mergeCell ref="C14:C16"/>
    <mergeCell ref="D14:D16"/>
    <mergeCell ref="E14:E16"/>
    <mergeCell ref="F14:H14"/>
    <mergeCell ref="J11:K12"/>
    <mergeCell ref="AR11:AS12"/>
    <mergeCell ref="B12:D12"/>
    <mergeCell ref="Z12:AG12"/>
    <mergeCell ref="B13:D13"/>
    <mergeCell ref="AW14:BD14"/>
    <mergeCell ref="F15:G15"/>
    <mergeCell ref="H15:H16"/>
    <mergeCell ref="I15:J15"/>
    <mergeCell ref="K15:K16"/>
    <mergeCell ref="L15:M15"/>
    <mergeCell ref="AA14:AC14"/>
    <mergeCell ref="AD14:AF14"/>
    <mergeCell ref="AG14:AI14"/>
    <mergeCell ref="AJ14:AL14"/>
    <mergeCell ref="AM14:AO14"/>
    <mergeCell ref="AP14:AR14"/>
    <mergeCell ref="I14:K14"/>
    <mergeCell ref="L14:N14"/>
    <mergeCell ref="O14:Q14"/>
    <mergeCell ref="R14:T14"/>
    <mergeCell ref="U15:V15"/>
    <mergeCell ref="AS14:AS16"/>
    <mergeCell ref="AT14:AT16"/>
    <mergeCell ref="AU14:AU16"/>
    <mergeCell ref="AV14:AV16"/>
    <mergeCell ref="U14:W14"/>
    <mergeCell ref="X14:Z14"/>
    <mergeCell ref="N15:N16"/>
    <mergeCell ref="O15:P15"/>
    <mergeCell ref="Q15:Q16"/>
    <mergeCell ref="R15:S15"/>
    <mergeCell ref="T15:T16"/>
    <mergeCell ref="AM15:AN15"/>
    <mergeCell ref="W15:W16"/>
    <mergeCell ref="X15:Y15"/>
    <mergeCell ref="Z15:Z16"/>
    <mergeCell ref="AA15:AB15"/>
    <mergeCell ref="AC15:AC16"/>
    <mergeCell ref="AD15:AE15"/>
    <mergeCell ref="AF15:AF16"/>
    <mergeCell ref="AG15:AH15"/>
    <mergeCell ref="AI15:AI16"/>
    <mergeCell ref="AJ15:AK15"/>
    <mergeCell ref="AL15:AL16"/>
    <mergeCell ref="AX66:AX67"/>
    <mergeCell ref="AY66:AY67"/>
    <mergeCell ref="AO15:AO16"/>
    <mergeCell ref="AP15:AQ15"/>
    <mergeCell ref="AR15:AR16"/>
    <mergeCell ref="AW15:AX15"/>
    <mergeCell ref="AY15:AZ15"/>
    <mergeCell ref="BC15:BD15"/>
    <mergeCell ref="AW18:AX18"/>
    <mergeCell ref="AY18:AZ18"/>
    <mergeCell ref="BA18:BB18"/>
    <mergeCell ref="BC18:BD18"/>
    <mergeCell ref="BA15:BB15"/>
    <mergeCell ref="AX68:AZ68"/>
    <mergeCell ref="BA68:BE68"/>
    <mergeCell ref="B72:D72"/>
    <mergeCell ref="F72:H72"/>
    <mergeCell ref="I72:K72"/>
    <mergeCell ref="L72:N72"/>
    <mergeCell ref="O72:Q72"/>
    <mergeCell ref="R72:T72"/>
    <mergeCell ref="U72:W72"/>
    <mergeCell ref="X72:Z72"/>
    <mergeCell ref="B76:J76"/>
    <mergeCell ref="X76:AS76"/>
    <mergeCell ref="AD72:AF72"/>
    <mergeCell ref="AG72:AI72"/>
    <mergeCell ref="AP72:AR72"/>
    <mergeCell ref="B74:I74"/>
    <mergeCell ref="X74:AS74"/>
    <mergeCell ref="B75:I75"/>
    <mergeCell ref="X75:AP75"/>
  </mergeCells>
  <conditionalFormatting sqref="H17:H71 T17:T71 AR17:AR71 Q17:Q71 N17:O71 K17:K71 Z17:AD71 AF17:AP71 W17:X71">
    <cfRule type="cellIs" dxfId="431" priority="7" stopIfTrue="1" operator="lessThan">
      <formula>10</formula>
    </cfRule>
    <cfRule type="cellIs" dxfId="430" priority="8" stopIfTrue="1" operator="greaterThanOrEqual">
      <formula>10</formula>
    </cfRule>
  </conditionalFormatting>
  <conditionalFormatting sqref="AS72:AT72 AS17:AS71">
    <cfRule type="cellIs" dxfId="429" priority="6" operator="equal">
      <formula>"Transita"</formula>
    </cfRule>
  </conditionalFormatting>
  <conditionalFormatting sqref="BA17:BD18">
    <cfRule type="cellIs" dxfId="428" priority="5" stopIfTrue="1" operator="greaterThanOrEqual">
      <formula>0.1</formula>
    </cfRule>
  </conditionalFormatting>
  <conditionalFormatting sqref="BA17:BD18">
    <cfRule type="cellIs" dxfId="427" priority="4" stopIfTrue="1" operator="equal">
      <formula>0</formula>
    </cfRule>
  </conditionalFormatting>
  <conditionalFormatting sqref="AY17:AZ18">
    <cfRule type="cellIs" dxfId="426" priority="3" stopIfTrue="1" operator="greaterThanOrEqual">
      <formula>0</formula>
    </cfRule>
  </conditionalFormatting>
  <conditionalFormatting sqref="AT17:AT71">
    <cfRule type="cellIs" dxfId="425" priority="1" stopIfTrue="1" operator="lessThanOrEqual">
      <formula>9.9</formula>
    </cfRule>
    <cfRule type="cellIs" dxfId="424" priority="2" stopIfTrue="1" operator="greaterThanOrEqual">
      <formula>10</formula>
    </cfRule>
  </conditionalFormatting>
  <dataValidations disablePrompts="1" count="1">
    <dataValidation type="whole" allowBlank="1" showInputMessage="1" showErrorMessage="1" sqref="B17:B71">
      <formula1>1</formula1>
      <formula2>67</formula2>
    </dataValidation>
  </dataValidations>
  <pageMargins left="0.41" right="0.16" top="0.19685039370078741" bottom="0.35433070866141736" header="0.31496062992125984" footer="0.31496062992125984"/>
  <pageSetup paperSize="8" scale="65" orientation="landscape" r:id="rId1"/>
  <colBreaks count="1" manualBreakCount="1">
    <brk id="46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E9" sqref="E9:O63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2.332031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9" t="s">
        <v>144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13"/>
      <c r="E4" s="325" t="s">
        <v>5</v>
      </c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13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13"/>
      <c r="E5" s="327" t="s">
        <v>27</v>
      </c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0</v>
      </c>
      <c r="AD8" s="335">
        <f>COUNTIF(Z9:Z69,"N/TRANSITA")</f>
        <v>55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98">
        <v>13.5</v>
      </c>
      <c r="F9" s="99">
        <v>10</v>
      </c>
      <c r="G9" s="99"/>
      <c r="H9" s="99">
        <v>4.5</v>
      </c>
      <c r="I9" s="100"/>
      <c r="J9" s="101">
        <f>AVERAGE(E9,MAX(F9:G9),MAX(H9:I9))</f>
        <v>9.3333333333333339</v>
      </c>
      <c r="K9" s="179" t="str">
        <f>IF(J9&gt;=10,"TRANSITA","N/TRANSITA")</f>
        <v>N/TRANSITA</v>
      </c>
      <c r="L9" s="81">
        <v>10</v>
      </c>
      <c r="M9" s="82">
        <v>8</v>
      </c>
      <c r="N9" s="82"/>
      <c r="O9" s="82">
        <v>3.5</v>
      </c>
      <c r="P9" s="82"/>
      <c r="Q9" s="101">
        <f>AVERAGE(L9,MAX(M9:N9),MAX(O9:P9))</f>
        <v>7.166666666666667</v>
      </c>
      <c r="R9" s="179" t="str">
        <f>IF(Q9&gt;=10,"TRANSITA","N/TRANSITA")</f>
        <v>N/TRANSITA</v>
      </c>
      <c r="S9" s="102"/>
      <c r="T9" s="100"/>
      <c r="U9" s="100"/>
      <c r="V9" s="103"/>
      <c r="W9" s="16"/>
      <c r="X9" s="23">
        <f>AVERAGE(S9,MAX(T9:U9),MAX(V9:W9))</f>
        <v>0</v>
      </c>
      <c r="Y9" s="20">
        <f t="shared" ref="Y9:Y62" si="0">SUM(J9,Q9,X9)/3</f>
        <v>5.5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98">
        <v>13.5</v>
      </c>
      <c r="F10" s="99">
        <v>10</v>
      </c>
      <c r="G10" s="99"/>
      <c r="H10" s="99">
        <v>6</v>
      </c>
      <c r="I10" s="100"/>
      <c r="J10" s="101">
        <f>AVERAGE(E10,MAX(F10:G10),MAX(H10:I10))</f>
        <v>9.8333333333333339</v>
      </c>
      <c r="K10" s="180" t="str">
        <f t="shared" ref="K10:K63" si="1">IF(J10&gt;=10,"TRANSITA","N/TRANSITA")</f>
        <v>N/TRANSITA</v>
      </c>
      <c r="L10" s="83">
        <v>10</v>
      </c>
      <c r="M10" s="84">
        <v>9</v>
      </c>
      <c r="N10" s="84"/>
      <c r="O10" s="84">
        <v>6</v>
      </c>
      <c r="P10" s="84"/>
      <c r="Q10" s="101">
        <f>AVERAGE(L10,MAX(M10:N10),MAX(O10:P10))</f>
        <v>8.3333333333333339</v>
      </c>
      <c r="R10" s="180" t="str">
        <f t="shared" ref="R10:R63" si="2">IF(Q10&gt;=10,"TRANSITA","N/TRANSITA")</f>
        <v>N/TRANSITA</v>
      </c>
      <c r="S10" s="104"/>
      <c r="T10" s="105"/>
      <c r="U10" s="105"/>
      <c r="V10" s="106"/>
      <c r="W10" s="14"/>
      <c r="X10" s="23">
        <f>AVERAGE(S10,MAX(T10:U10),MAX(V10:W10))</f>
        <v>0</v>
      </c>
      <c r="Y10" s="21">
        <f t="shared" ref="Y10" si="3">SUM(J10,Q10,X10)/3</f>
        <v>6.0555555555555562</v>
      </c>
      <c r="Z10" s="180" t="str">
        <f t="shared" ref="Z10:Z63" si="4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98">
        <v>14.5</v>
      </c>
      <c r="F11" s="99">
        <v>10</v>
      </c>
      <c r="G11" s="99"/>
      <c r="H11" s="99">
        <v>9.5</v>
      </c>
      <c r="I11" s="100"/>
      <c r="J11" s="101">
        <f t="shared" ref="J11:J63" si="5">AVERAGE(E11,MAX(F11:G11),MAX(H11:I11))</f>
        <v>11.333333333333334</v>
      </c>
      <c r="K11" s="180" t="str">
        <f t="shared" si="1"/>
        <v>TRANSITA</v>
      </c>
      <c r="L11" s="83">
        <v>10</v>
      </c>
      <c r="M11" s="84">
        <v>10</v>
      </c>
      <c r="N11" s="84"/>
      <c r="O11" s="84">
        <v>8.5</v>
      </c>
      <c r="P11" s="84"/>
      <c r="Q11" s="101">
        <f t="shared" ref="Q11:Q63" si="6">AVERAGE(L11,MAX(M11:N11),MAX(O11:P11))</f>
        <v>9.5</v>
      </c>
      <c r="R11" s="180" t="str">
        <f t="shared" si="2"/>
        <v>N/TRANSITA</v>
      </c>
      <c r="S11" s="104"/>
      <c r="T11" s="105"/>
      <c r="U11" s="105"/>
      <c r="V11" s="106"/>
      <c r="W11" s="14"/>
      <c r="X11" s="23">
        <f t="shared" ref="X11:X60" si="7">AVERAGE(S11,MAX(T11:U11),MAX(V11:W11))</f>
        <v>0</v>
      </c>
      <c r="Y11" s="21">
        <f t="shared" ref="Y11:Y60" si="8">SUM(J11,Q11,X11)/3</f>
        <v>6.9444444444444455</v>
      </c>
      <c r="Z11" s="180" t="str">
        <f t="shared" si="4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98">
        <v>17</v>
      </c>
      <c r="F12" s="99">
        <v>18</v>
      </c>
      <c r="G12" s="99"/>
      <c r="H12" s="99">
        <v>15</v>
      </c>
      <c r="I12" s="100"/>
      <c r="J12" s="101">
        <f t="shared" si="5"/>
        <v>16.666666666666668</v>
      </c>
      <c r="K12" s="180" t="str">
        <f t="shared" si="1"/>
        <v>TRANSITA</v>
      </c>
      <c r="L12" s="83">
        <v>10</v>
      </c>
      <c r="M12" s="84">
        <v>14</v>
      </c>
      <c r="N12" s="84"/>
      <c r="O12" s="84">
        <v>13.5</v>
      </c>
      <c r="P12" s="84"/>
      <c r="Q12" s="101">
        <f t="shared" si="6"/>
        <v>12.5</v>
      </c>
      <c r="R12" s="180" t="str">
        <f t="shared" si="2"/>
        <v>TRANSITA</v>
      </c>
      <c r="S12" s="104"/>
      <c r="T12" s="105"/>
      <c r="U12" s="105"/>
      <c r="V12" s="106"/>
      <c r="W12" s="14"/>
      <c r="X12" s="23">
        <f t="shared" si="7"/>
        <v>0</v>
      </c>
      <c r="Y12" s="21">
        <f t="shared" si="8"/>
        <v>9.7222222222222232</v>
      </c>
      <c r="Z12" s="180" t="str">
        <f t="shared" si="4"/>
        <v>N/TRANSITA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98">
        <v>17</v>
      </c>
      <c r="F13" s="99">
        <v>18</v>
      </c>
      <c r="G13" s="99"/>
      <c r="H13" s="99">
        <v>12</v>
      </c>
      <c r="I13" s="100"/>
      <c r="J13" s="101">
        <f t="shared" si="5"/>
        <v>15.666666666666666</v>
      </c>
      <c r="K13" s="180" t="str">
        <f t="shared" si="1"/>
        <v>TRANSITA</v>
      </c>
      <c r="L13" s="83">
        <v>10</v>
      </c>
      <c r="M13" s="84"/>
      <c r="N13" s="84"/>
      <c r="O13" s="84">
        <v>12</v>
      </c>
      <c r="P13" s="84"/>
      <c r="Q13" s="101">
        <f t="shared" si="6"/>
        <v>7.333333333333333</v>
      </c>
      <c r="R13" s="180" t="str">
        <f t="shared" si="2"/>
        <v>N/TRANSITA</v>
      </c>
      <c r="S13" s="104"/>
      <c r="T13" s="105"/>
      <c r="U13" s="105"/>
      <c r="V13" s="106"/>
      <c r="W13" s="14"/>
      <c r="X13" s="23">
        <f t="shared" si="7"/>
        <v>0</v>
      </c>
      <c r="Y13" s="21">
        <f t="shared" si="8"/>
        <v>7.666666666666667</v>
      </c>
      <c r="Z13" s="180" t="str">
        <f t="shared" si="4"/>
        <v>N/TRANSITA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98">
        <v>10</v>
      </c>
      <c r="F14" s="99">
        <v>16</v>
      </c>
      <c r="G14" s="99"/>
      <c r="H14" s="99">
        <v>14</v>
      </c>
      <c r="I14" s="100"/>
      <c r="J14" s="101">
        <f t="shared" si="5"/>
        <v>13.333333333333334</v>
      </c>
      <c r="K14" s="180" t="str">
        <f t="shared" si="1"/>
        <v>TRANSITA</v>
      </c>
      <c r="L14" s="83">
        <v>10</v>
      </c>
      <c r="M14" s="84">
        <v>12</v>
      </c>
      <c r="N14" s="84"/>
      <c r="O14" s="84">
        <v>4.5</v>
      </c>
      <c r="P14" s="84"/>
      <c r="Q14" s="101">
        <f t="shared" si="6"/>
        <v>8.8333333333333339</v>
      </c>
      <c r="R14" s="180" t="str">
        <f t="shared" si="2"/>
        <v>N/TRANSITA</v>
      </c>
      <c r="S14" s="104"/>
      <c r="T14" s="105"/>
      <c r="U14" s="105"/>
      <c r="V14" s="106"/>
      <c r="W14" s="14"/>
      <c r="X14" s="23">
        <f t="shared" si="7"/>
        <v>0</v>
      </c>
      <c r="Y14" s="21">
        <f t="shared" si="8"/>
        <v>7.3888888888888893</v>
      </c>
      <c r="Z14" s="180" t="str">
        <f t="shared" si="4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98">
        <v>10</v>
      </c>
      <c r="F15" s="99">
        <v>10</v>
      </c>
      <c r="G15" s="99"/>
      <c r="H15" s="99">
        <v>7</v>
      </c>
      <c r="I15" s="100"/>
      <c r="J15" s="101">
        <f t="shared" si="5"/>
        <v>9</v>
      </c>
      <c r="K15" s="180" t="str">
        <f t="shared" si="1"/>
        <v>N/TRANSITA</v>
      </c>
      <c r="L15" s="83">
        <v>10</v>
      </c>
      <c r="M15" s="84">
        <v>7</v>
      </c>
      <c r="N15" s="84"/>
      <c r="O15" s="84">
        <v>4</v>
      </c>
      <c r="P15" s="84"/>
      <c r="Q15" s="101">
        <f t="shared" si="6"/>
        <v>7</v>
      </c>
      <c r="R15" s="180" t="str">
        <f t="shared" si="2"/>
        <v>N/TRANSITA</v>
      </c>
      <c r="S15" s="104"/>
      <c r="T15" s="105"/>
      <c r="U15" s="105"/>
      <c r="V15" s="106"/>
      <c r="W15" s="14"/>
      <c r="X15" s="23">
        <f t="shared" si="7"/>
        <v>0</v>
      </c>
      <c r="Y15" s="21">
        <f t="shared" si="8"/>
        <v>5.333333333333333</v>
      </c>
      <c r="Z15" s="180" t="str">
        <f t="shared" si="4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98">
        <v>13.5</v>
      </c>
      <c r="F16" s="99"/>
      <c r="G16" s="99"/>
      <c r="H16" s="99">
        <v>4</v>
      </c>
      <c r="I16" s="100"/>
      <c r="J16" s="101">
        <f t="shared" si="5"/>
        <v>5.833333333333333</v>
      </c>
      <c r="K16" s="180" t="str">
        <f t="shared" si="1"/>
        <v>N/TRANSITA</v>
      </c>
      <c r="L16" s="83">
        <v>10</v>
      </c>
      <c r="M16" s="84">
        <v>7</v>
      </c>
      <c r="N16" s="84"/>
      <c r="O16" s="84"/>
      <c r="P16" s="84"/>
      <c r="Q16" s="101">
        <f t="shared" si="6"/>
        <v>5.666666666666667</v>
      </c>
      <c r="R16" s="180" t="str">
        <f t="shared" si="2"/>
        <v>N/TRANSITA</v>
      </c>
      <c r="S16" s="104"/>
      <c r="T16" s="105"/>
      <c r="U16" s="105"/>
      <c r="V16" s="106"/>
      <c r="W16" s="14"/>
      <c r="X16" s="23">
        <f t="shared" si="7"/>
        <v>0</v>
      </c>
      <c r="Y16" s="21">
        <f t="shared" si="8"/>
        <v>3.8333333333333335</v>
      </c>
      <c r="Z16" s="180" t="str">
        <f t="shared" si="4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98">
        <v>15</v>
      </c>
      <c r="F17" s="99">
        <v>17</v>
      </c>
      <c r="G17" s="99"/>
      <c r="H17" s="99">
        <v>9</v>
      </c>
      <c r="I17" s="100"/>
      <c r="J17" s="101">
        <f t="shared" si="5"/>
        <v>13.666666666666666</v>
      </c>
      <c r="K17" s="180" t="str">
        <f t="shared" si="1"/>
        <v>TRANSITA</v>
      </c>
      <c r="L17" s="83">
        <v>10</v>
      </c>
      <c r="M17" s="84">
        <v>6.5</v>
      </c>
      <c r="N17" s="84"/>
      <c r="O17" s="84">
        <v>9.5</v>
      </c>
      <c r="P17" s="84"/>
      <c r="Q17" s="101">
        <f t="shared" si="6"/>
        <v>8.6666666666666661</v>
      </c>
      <c r="R17" s="180" t="str">
        <f t="shared" si="2"/>
        <v>N/TRANSITA</v>
      </c>
      <c r="S17" s="104"/>
      <c r="T17" s="105"/>
      <c r="U17" s="105"/>
      <c r="V17" s="106"/>
      <c r="W17" s="14"/>
      <c r="X17" s="23">
        <f t="shared" si="7"/>
        <v>0</v>
      </c>
      <c r="Y17" s="21">
        <f t="shared" si="8"/>
        <v>7.4444444444444438</v>
      </c>
      <c r="Z17" s="180" t="str">
        <f t="shared" si="4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98">
        <v>13</v>
      </c>
      <c r="F18" s="99">
        <v>10</v>
      </c>
      <c r="G18" s="99"/>
      <c r="H18" s="99">
        <v>8.5</v>
      </c>
      <c r="I18" s="100"/>
      <c r="J18" s="101">
        <f t="shared" si="5"/>
        <v>10.5</v>
      </c>
      <c r="K18" s="180" t="str">
        <f t="shared" si="1"/>
        <v>TRANSITA</v>
      </c>
      <c r="L18" s="83">
        <v>10</v>
      </c>
      <c r="M18" s="84">
        <v>8</v>
      </c>
      <c r="N18" s="84"/>
      <c r="O18" s="84"/>
      <c r="P18" s="84"/>
      <c r="Q18" s="101">
        <f t="shared" si="6"/>
        <v>6</v>
      </c>
      <c r="R18" s="180" t="str">
        <f t="shared" si="2"/>
        <v>N/TRANSITA</v>
      </c>
      <c r="S18" s="104"/>
      <c r="T18" s="105"/>
      <c r="U18" s="105"/>
      <c r="V18" s="106"/>
      <c r="W18" s="14"/>
      <c r="X18" s="23">
        <f t="shared" si="7"/>
        <v>0</v>
      </c>
      <c r="Y18" s="21">
        <f t="shared" si="8"/>
        <v>5.5</v>
      </c>
      <c r="Z18" s="180" t="str">
        <f t="shared" si="4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98">
        <v>13</v>
      </c>
      <c r="F19" s="99"/>
      <c r="G19" s="99"/>
      <c r="H19" s="99">
        <v>7</v>
      </c>
      <c r="I19" s="100"/>
      <c r="J19" s="101">
        <f t="shared" si="5"/>
        <v>6.666666666666667</v>
      </c>
      <c r="K19" s="180" t="str">
        <f t="shared" si="1"/>
        <v>N/TRANSITA</v>
      </c>
      <c r="L19" s="83">
        <v>10</v>
      </c>
      <c r="M19" s="84">
        <v>11</v>
      </c>
      <c r="N19" s="84"/>
      <c r="O19" s="84"/>
      <c r="P19" s="84"/>
      <c r="Q19" s="101">
        <f t="shared" si="6"/>
        <v>7</v>
      </c>
      <c r="R19" s="180" t="str">
        <f t="shared" si="2"/>
        <v>N/TRANSITA</v>
      </c>
      <c r="S19" s="104"/>
      <c r="T19" s="105"/>
      <c r="U19" s="105"/>
      <c r="V19" s="106"/>
      <c r="W19" s="14"/>
      <c r="X19" s="23">
        <f t="shared" si="7"/>
        <v>0</v>
      </c>
      <c r="Y19" s="21">
        <f t="shared" si="8"/>
        <v>4.5555555555555562</v>
      </c>
      <c r="Z19" s="180" t="str">
        <f t="shared" si="4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98">
        <v>14</v>
      </c>
      <c r="F20" s="99">
        <v>16</v>
      </c>
      <c r="G20" s="99"/>
      <c r="H20" s="99">
        <v>9</v>
      </c>
      <c r="I20" s="100"/>
      <c r="J20" s="101">
        <f t="shared" si="5"/>
        <v>13</v>
      </c>
      <c r="K20" s="180" t="str">
        <f t="shared" si="1"/>
        <v>TRANSITA</v>
      </c>
      <c r="L20" s="83">
        <v>10</v>
      </c>
      <c r="M20" s="84">
        <v>10</v>
      </c>
      <c r="N20" s="84"/>
      <c r="O20" s="84">
        <v>8</v>
      </c>
      <c r="P20" s="84"/>
      <c r="Q20" s="101">
        <f t="shared" si="6"/>
        <v>9.3333333333333339</v>
      </c>
      <c r="R20" s="180" t="str">
        <f t="shared" si="2"/>
        <v>N/TRANSITA</v>
      </c>
      <c r="S20" s="104"/>
      <c r="T20" s="105"/>
      <c r="U20" s="105"/>
      <c r="V20" s="106"/>
      <c r="W20" s="14"/>
      <c r="X20" s="23">
        <f t="shared" si="7"/>
        <v>0</v>
      </c>
      <c r="Y20" s="21">
        <f t="shared" si="8"/>
        <v>7.4444444444444455</v>
      </c>
      <c r="Z20" s="180" t="str">
        <f t="shared" si="4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98">
        <v>14</v>
      </c>
      <c r="F21" s="99">
        <v>13.5</v>
      </c>
      <c r="G21" s="99"/>
      <c r="H21" s="99">
        <v>7</v>
      </c>
      <c r="I21" s="100"/>
      <c r="J21" s="101">
        <f t="shared" si="5"/>
        <v>11.5</v>
      </c>
      <c r="K21" s="180" t="str">
        <f t="shared" si="1"/>
        <v>TRANSITA</v>
      </c>
      <c r="L21" s="83">
        <v>10</v>
      </c>
      <c r="M21" s="84">
        <v>9</v>
      </c>
      <c r="N21" s="84"/>
      <c r="O21" s="84">
        <v>7</v>
      </c>
      <c r="P21" s="84"/>
      <c r="Q21" s="101">
        <f t="shared" si="6"/>
        <v>8.6666666666666661</v>
      </c>
      <c r="R21" s="180" t="str">
        <f t="shared" si="2"/>
        <v>N/TRANSITA</v>
      </c>
      <c r="S21" s="104"/>
      <c r="T21" s="105"/>
      <c r="U21" s="105"/>
      <c r="V21" s="106"/>
      <c r="W21" s="14"/>
      <c r="X21" s="23">
        <f t="shared" si="7"/>
        <v>0</v>
      </c>
      <c r="Y21" s="21">
        <f t="shared" si="8"/>
        <v>6.7222222222222214</v>
      </c>
      <c r="Z21" s="180" t="str">
        <f t="shared" si="4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98">
        <v>13.5</v>
      </c>
      <c r="F22" s="99">
        <v>16</v>
      </c>
      <c r="G22" s="99"/>
      <c r="H22" s="99">
        <v>7.5</v>
      </c>
      <c r="I22" s="100"/>
      <c r="J22" s="101">
        <f t="shared" si="5"/>
        <v>12.333333333333334</v>
      </c>
      <c r="K22" s="180" t="str">
        <f t="shared" si="1"/>
        <v>TRANSITA</v>
      </c>
      <c r="L22" s="83">
        <v>10</v>
      </c>
      <c r="M22" s="84">
        <v>12</v>
      </c>
      <c r="N22" s="84"/>
      <c r="O22" s="84">
        <v>9.5</v>
      </c>
      <c r="P22" s="84"/>
      <c r="Q22" s="101">
        <f t="shared" si="6"/>
        <v>10.5</v>
      </c>
      <c r="R22" s="180" t="str">
        <f t="shared" si="2"/>
        <v>TRANSITA</v>
      </c>
      <c r="S22" s="104"/>
      <c r="T22" s="105"/>
      <c r="U22" s="105"/>
      <c r="V22" s="106"/>
      <c r="W22" s="14"/>
      <c r="X22" s="23">
        <f t="shared" si="7"/>
        <v>0</v>
      </c>
      <c r="Y22" s="21">
        <f t="shared" si="8"/>
        <v>7.6111111111111116</v>
      </c>
      <c r="Z22" s="180" t="str">
        <f t="shared" si="4"/>
        <v>N/TRANSITA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98">
        <v>14</v>
      </c>
      <c r="F23" s="99">
        <v>10</v>
      </c>
      <c r="G23" s="99"/>
      <c r="H23" s="99">
        <v>13</v>
      </c>
      <c r="I23" s="100"/>
      <c r="J23" s="101">
        <f t="shared" si="5"/>
        <v>12.333333333333334</v>
      </c>
      <c r="K23" s="180" t="str">
        <f t="shared" si="1"/>
        <v>TRANSITA</v>
      </c>
      <c r="L23" s="83">
        <v>10</v>
      </c>
      <c r="M23" s="84">
        <v>12</v>
      </c>
      <c r="N23" s="84"/>
      <c r="O23" s="84">
        <v>10</v>
      </c>
      <c r="P23" s="84"/>
      <c r="Q23" s="101">
        <f t="shared" si="6"/>
        <v>10.666666666666666</v>
      </c>
      <c r="R23" s="180" t="str">
        <f t="shared" si="2"/>
        <v>TRANSITA</v>
      </c>
      <c r="S23" s="104"/>
      <c r="T23" s="105"/>
      <c r="U23" s="105"/>
      <c r="V23" s="106"/>
      <c r="W23" s="14"/>
      <c r="X23" s="23">
        <f t="shared" si="7"/>
        <v>0</v>
      </c>
      <c r="Y23" s="21">
        <f t="shared" si="8"/>
        <v>7.666666666666667</v>
      </c>
      <c r="Z23" s="180" t="str">
        <f t="shared" si="4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98">
        <v>13.5</v>
      </c>
      <c r="F24" s="99">
        <v>17</v>
      </c>
      <c r="G24" s="99"/>
      <c r="H24" s="99">
        <v>10</v>
      </c>
      <c r="I24" s="100"/>
      <c r="J24" s="101">
        <f t="shared" si="5"/>
        <v>13.5</v>
      </c>
      <c r="K24" s="180" t="str">
        <f t="shared" si="1"/>
        <v>TRANSITA</v>
      </c>
      <c r="L24" s="83">
        <v>10</v>
      </c>
      <c r="M24" s="84">
        <v>12</v>
      </c>
      <c r="N24" s="84"/>
      <c r="O24" s="84">
        <v>6.5</v>
      </c>
      <c r="P24" s="84"/>
      <c r="Q24" s="101">
        <f t="shared" si="6"/>
        <v>9.5</v>
      </c>
      <c r="R24" s="180" t="str">
        <f t="shared" si="2"/>
        <v>N/TRANSITA</v>
      </c>
      <c r="S24" s="104"/>
      <c r="T24" s="105"/>
      <c r="U24" s="105"/>
      <c r="V24" s="106"/>
      <c r="W24" s="14"/>
      <c r="X24" s="23">
        <f t="shared" si="7"/>
        <v>0</v>
      </c>
      <c r="Y24" s="21">
        <f t="shared" si="8"/>
        <v>7.666666666666667</v>
      </c>
      <c r="Z24" s="180" t="str">
        <f t="shared" si="4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98">
        <v>13.5</v>
      </c>
      <c r="F25" s="99">
        <v>11.5</v>
      </c>
      <c r="G25" s="99"/>
      <c r="H25" s="99">
        <v>10</v>
      </c>
      <c r="I25" s="100"/>
      <c r="J25" s="101">
        <f t="shared" si="5"/>
        <v>11.666666666666666</v>
      </c>
      <c r="K25" s="180" t="str">
        <f t="shared" si="1"/>
        <v>TRANSITA</v>
      </c>
      <c r="L25" s="83">
        <v>10</v>
      </c>
      <c r="M25" s="84">
        <v>5</v>
      </c>
      <c r="N25" s="84"/>
      <c r="O25" s="84">
        <v>3</v>
      </c>
      <c r="P25" s="84"/>
      <c r="Q25" s="101">
        <f t="shared" ref="Q25:Q26" si="9">AVERAGE(L25,MAX(M25:N25),MAX(O25:P25))</f>
        <v>6</v>
      </c>
      <c r="R25" s="180" t="str">
        <f t="shared" ref="R25:R26" si="10">IF(Q25&gt;=10,"TRANSITA","N/TRANSITA")</f>
        <v>N/TRANSITA</v>
      </c>
      <c r="S25" s="104"/>
      <c r="T25" s="105"/>
      <c r="U25" s="105"/>
      <c r="V25" s="106"/>
      <c r="W25" s="14"/>
      <c r="X25" s="23">
        <f t="shared" ref="X25:X26" si="11">AVERAGE(S25,MAX(T25:U25),MAX(V25:W25))</f>
        <v>0</v>
      </c>
      <c r="Y25" s="21">
        <f t="shared" ref="Y25:Y26" si="12">SUM(J25,Q25,X25)/3</f>
        <v>5.8888888888888884</v>
      </c>
      <c r="Z25" s="180" t="str">
        <f t="shared" ref="Z25:Z26" si="13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98">
        <v>15</v>
      </c>
      <c r="F26" s="99">
        <v>17</v>
      </c>
      <c r="G26" s="99"/>
      <c r="H26" s="99">
        <v>13.5</v>
      </c>
      <c r="I26" s="100"/>
      <c r="J26" s="101">
        <f t="shared" si="5"/>
        <v>15.166666666666666</v>
      </c>
      <c r="K26" s="180" t="str">
        <f t="shared" si="1"/>
        <v>TRANSITA</v>
      </c>
      <c r="L26" s="83">
        <v>12</v>
      </c>
      <c r="M26" s="84">
        <v>12</v>
      </c>
      <c r="N26" s="84"/>
      <c r="O26" s="84">
        <v>7</v>
      </c>
      <c r="P26" s="84"/>
      <c r="Q26" s="101">
        <f t="shared" si="9"/>
        <v>10.333333333333334</v>
      </c>
      <c r="R26" s="180" t="str">
        <f t="shared" si="10"/>
        <v>TRANSITA</v>
      </c>
      <c r="S26" s="104"/>
      <c r="T26" s="105"/>
      <c r="U26" s="105"/>
      <c r="V26" s="106"/>
      <c r="W26" s="14"/>
      <c r="X26" s="23">
        <f t="shared" si="11"/>
        <v>0</v>
      </c>
      <c r="Y26" s="21">
        <f t="shared" si="12"/>
        <v>8.5</v>
      </c>
      <c r="Z26" s="180" t="str">
        <f t="shared" si="13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98">
        <v>14</v>
      </c>
      <c r="F27" s="99">
        <v>13.5</v>
      </c>
      <c r="G27" s="99"/>
      <c r="H27" s="99">
        <v>7.5</v>
      </c>
      <c r="I27" s="100"/>
      <c r="J27" s="101">
        <f t="shared" si="5"/>
        <v>11.666666666666666</v>
      </c>
      <c r="K27" s="180" t="str">
        <f t="shared" si="1"/>
        <v>TRANSITA</v>
      </c>
      <c r="L27" s="83">
        <v>10</v>
      </c>
      <c r="M27" s="84">
        <v>8</v>
      </c>
      <c r="N27" s="84"/>
      <c r="O27" s="84">
        <v>10.5</v>
      </c>
      <c r="P27" s="84"/>
      <c r="Q27" s="101">
        <f t="shared" si="6"/>
        <v>9.5</v>
      </c>
      <c r="R27" s="180" t="str">
        <f t="shared" si="2"/>
        <v>N/TRANSITA</v>
      </c>
      <c r="S27" s="104"/>
      <c r="T27" s="105"/>
      <c r="U27" s="105"/>
      <c r="V27" s="106"/>
      <c r="W27" s="14"/>
      <c r="X27" s="23">
        <f t="shared" si="7"/>
        <v>0</v>
      </c>
      <c r="Y27" s="21">
        <f t="shared" si="8"/>
        <v>7.0555555555555545</v>
      </c>
      <c r="Z27" s="180" t="str">
        <f t="shared" si="4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98">
        <v>13.5</v>
      </c>
      <c r="F28" s="99">
        <v>10</v>
      </c>
      <c r="G28" s="99"/>
      <c r="H28" s="99">
        <v>8.25</v>
      </c>
      <c r="I28" s="100"/>
      <c r="J28" s="101">
        <f t="shared" si="5"/>
        <v>10.583333333333334</v>
      </c>
      <c r="K28" s="180" t="str">
        <f t="shared" si="1"/>
        <v>TRANSITA</v>
      </c>
      <c r="L28" s="83"/>
      <c r="M28" s="84"/>
      <c r="N28" s="84"/>
      <c r="O28" s="84"/>
      <c r="P28" s="84"/>
      <c r="Q28" s="101">
        <f t="shared" si="6"/>
        <v>0</v>
      </c>
      <c r="R28" s="180" t="str">
        <f t="shared" si="2"/>
        <v>N/TRANSITA</v>
      </c>
      <c r="S28" s="104"/>
      <c r="T28" s="105"/>
      <c r="U28" s="105"/>
      <c r="V28" s="106"/>
      <c r="W28" s="14"/>
      <c r="X28" s="23">
        <f t="shared" si="7"/>
        <v>0</v>
      </c>
      <c r="Y28" s="21">
        <f t="shared" si="8"/>
        <v>3.5277777777777781</v>
      </c>
      <c r="Z28" s="180" t="str">
        <f t="shared" si="4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98">
        <v>14</v>
      </c>
      <c r="F29" s="99">
        <v>12</v>
      </c>
      <c r="G29" s="99"/>
      <c r="H29" s="99">
        <v>8</v>
      </c>
      <c r="I29" s="100"/>
      <c r="J29" s="101">
        <f t="shared" si="5"/>
        <v>11.333333333333334</v>
      </c>
      <c r="K29" s="180" t="str">
        <f t="shared" si="1"/>
        <v>TRANSITA</v>
      </c>
      <c r="L29" s="83"/>
      <c r="M29" s="84"/>
      <c r="N29" s="84"/>
      <c r="O29" s="84">
        <v>8.5</v>
      </c>
      <c r="P29" s="84"/>
      <c r="Q29" s="101">
        <f t="shared" si="6"/>
        <v>4.25</v>
      </c>
      <c r="R29" s="180" t="str">
        <f t="shared" si="2"/>
        <v>N/TRANSITA</v>
      </c>
      <c r="S29" s="104"/>
      <c r="T29" s="105"/>
      <c r="U29" s="105"/>
      <c r="V29" s="106"/>
      <c r="W29" s="14"/>
      <c r="X29" s="23">
        <f t="shared" si="7"/>
        <v>0</v>
      </c>
      <c r="Y29" s="21">
        <f t="shared" si="8"/>
        <v>5.1944444444444446</v>
      </c>
      <c r="Z29" s="180" t="str">
        <f t="shared" si="4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98">
        <v>14</v>
      </c>
      <c r="F30" s="99">
        <v>16</v>
      </c>
      <c r="G30" s="99"/>
      <c r="H30" s="99">
        <v>11</v>
      </c>
      <c r="I30" s="100"/>
      <c r="J30" s="101">
        <f t="shared" si="5"/>
        <v>13.666666666666666</v>
      </c>
      <c r="K30" s="180" t="str">
        <f t="shared" si="1"/>
        <v>TRANSITA</v>
      </c>
      <c r="L30" s="83">
        <v>10</v>
      </c>
      <c r="M30" s="84">
        <v>12</v>
      </c>
      <c r="N30" s="84"/>
      <c r="O30" s="84">
        <v>10.5</v>
      </c>
      <c r="P30" s="84"/>
      <c r="Q30" s="101">
        <f t="shared" si="6"/>
        <v>10.833333333333334</v>
      </c>
      <c r="R30" s="180" t="str">
        <f t="shared" si="2"/>
        <v>TRANSITA</v>
      </c>
      <c r="S30" s="104"/>
      <c r="T30" s="105"/>
      <c r="U30" s="105"/>
      <c r="V30" s="106"/>
      <c r="W30" s="14"/>
      <c r="X30" s="23">
        <f t="shared" si="7"/>
        <v>0</v>
      </c>
      <c r="Y30" s="21">
        <f t="shared" si="8"/>
        <v>8.1666666666666661</v>
      </c>
      <c r="Z30" s="180" t="str">
        <f t="shared" si="4"/>
        <v>N/TRANSITA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98">
        <v>13</v>
      </c>
      <c r="F31" s="99">
        <v>10</v>
      </c>
      <c r="G31" s="99"/>
      <c r="H31" s="99"/>
      <c r="I31" s="100"/>
      <c r="J31" s="101">
        <f t="shared" si="5"/>
        <v>7.666666666666667</v>
      </c>
      <c r="K31" s="180" t="str">
        <f t="shared" si="1"/>
        <v>N/TRANSITA</v>
      </c>
      <c r="L31" s="83"/>
      <c r="M31" s="84">
        <v>8</v>
      </c>
      <c r="N31" s="84"/>
      <c r="O31" s="84">
        <v>5</v>
      </c>
      <c r="P31" s="84"/>
      <c r="Q31" s="101">
        <f t="shared" ref="Q31" si="14">AVERAGE(L31,MAX(M31:N31),MAX(O31:P31))</f>
        <v>6.5</v>
      </c>
      <c r="R31" s="180" t="str">
        <f t="shared" ref="R31" si="15">IF(Q31&gt;=10,"TRANSITA","N/TRANSITA")</f>
        <v>N/TRANSITA</v>
      </c>
      <c r="S31" s="104"/>
      <c r="T31" s="105"/>
      <c r="U31" s="105"/>
      <c r="V31" s="106"/>
      <c r="W31" s="14"/>
      <c r="X31" s="23">
        <f t="shared" ref="X31" si="16">AVERAGE(S31,MAX(T31:U31),MAX(V31:W31))</f>
        <v>0</v>
      </c>
      <c r="Y31" s="21">
        <f t="shared" ref="Y31" si="17">SUM(J31,Q31,X31)/3</f>
        <v>4.7222222222222223</v>
      </c>
      <c r="Z31" s="180" t="str">
        <f t="shared" ref="Z31" si="18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98">
        <v>13.5</v>
      </c>
      <c r="F32" s="99">
        <v>10</v>
      </c>
      <c r="G32" s="99"/>
      <c r="H32" s="99">
        <v>7</v>
      </c>
      <c r="I32" s="100"/>
      <c r="J32" s="101">
        <f t="shared" si="5"/>
        <v>10.166666666666666</v>
      </c>
      <c r="K32" s="180" t="str">
        <f t="shared" si="1"/>
        <v>TRANSITA</v>
      </c>
      <c r="L32" s="83">
        <v>10</v>
      </c>
      <c r="M32" s="84">
        <v>5</v>
      </c>
      <c r="N32" s="84"/>
      <c r="O32" s="84">
        <v>5.5</v>
      </c>
      <c r="P32" s="84"/>
      <c r="Q32" s="101">
        <f t="shared" ref="Q32:Q48" si="19">AVERAGE(L32,MAX(M32:N32),MAX(O32:P32))</f>
        <v>6.833333333333333</v>
      </c>
      <c r="R32" s="180" t="str">
        <f t="shared" si="2"/>
        <v>N/TRANSITA</v>
      </c>
      <c r="S32" s="104"/>
      <c r="T32" s="105"/>
      <c r="U32" s="105"/>
      <c r="V32" s="106"/>
      <c r="W32" s="14"/>
      <c r="X32" s="23">
        <f t="shared" ref="X32:X48" si="20">AVERAGE(S32,MAX(T32:U32),MAX(V32:W32))</f>
        <v>0</v>
      </c>
      <c r="Y32" s="21">
        <f t="shared" ref="Y32:Y48" si="21">SUM(J32,Q32,X32)/3</f>
        <v>5.666666666666667</v>
      </c>
      <c r="Z32" s="180" t="str">
        <f t="shared" si="4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98">
        <v>13</v>
      </c>
      <c r="F33" s="99">
        <v>18</v>
      </c>
      <c r="G33" s="99"/>
      <c r="H33" s="99">
        <v>6</v>
      </c>
      <c r="I33" s="100"/>
      <c r="J33" s="101">
        <f t="shared" si="5"/>
        <v>12.333333333333334</v>
      </c>
      <c r="K33" s="180" t="str">
        <f t="shared" si="1"/>
        <v>TRANSITA</v>
      </c>
      <c r="L33" s="83">
        <v>10</v>
      </c>
      <c r="M33" s="84">
        <v>10</v>
      </c>
      <c r="N33" s="84"/>
      <c r="O33" s="84">
        <v>8.5</v>
      </c>
      <c r="P33" s="84"/>
      <c r="Q33" s="101">
        <f t="shared" si="19"/>
        <v>9.5</v>
      </c>
      <c r="R33" s="180" t="str">
        <f t="shared" si="2"/>
        <v>N/TRANSITA</v>
      </c>
      <c r="S33" s="104"/>
      <c r="T33" s="105"/>
      <c r="U33" s="105"/>
      <c r="V33" s="106"/>
      <c r="W33" s="14"/>
      <c r="X33" s="23">
        <f t="shared" si="20"/>
        <v>0</v>
      </c>
      <c r="Y33" s="21">
        <f t="shared" si="21"/>
        <v>7.2777777777777786</v>
      </c>
      <c r="Z33" s="180" t="str">
        <f t="shared" si="4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98">
        <v>15</v>
      </c>
      <c r="F34" s="99">
        <v>16</v>
      </c>
      <c r="G34" s="99"/>
      <c r="H34" s="99">
        <v>13.75</v>
      </c>
      <c r="I34" s="100"/>
      <c r="J34" s="101">
        <f t="shared" si="5"/>
        <v>14.916666666666666</v>
      </c>
      <c r="K34" s="180" t="str">
        <f t="shared" si="1"/>
        <v>TRANSITA</v>
      </c>
      <c r="L34" s="83">
        <v>10</v>
      </c>
      <c r="M34" s="84">
        <v>10</v>
      </c>
      <c r="N34" s="84"/>
      <c r="O34" s="84">
        <v>11.5</v>
      </c>
      <c r="P34" s="84"/>
      <c r="Q34" s="101">
        <f t="shared" si="19"/>
        <v>10.5</v>
      </c>
      <c r="R34" s="180" t="str">
        <f t="shared" si="2"/>
        <v>TRANSITA</v>
      </c>
      <c r="S34" s="104"/>
      <c r="T34" s="105"/>
      <c r="U34" s="105"/>
      <c r="V34" s="106"/>
      <c r="W34" s="14"/>
      <c r="X34" s="23">
        <f t="shared" si="20"/>
        <v>0</v>
      </c>
      <c r="Y34" s="21">
        <f t="shared" si="21"/>
        <v>8.4722222222222214</v>
      </c>
      <c r="Z34" s="180" t="str">
        <f t="shared" si="4"/>
        <v>N/TRANSITA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98">
        <v>14</v>
      </c>
      <c r="F35" s="99">
        <v>10</v>
      </c>
      <c r="G35" s="99"/>
      <c r="H35" s="99">
        <v>6.25</v>
      </c>
      <c r="I35" s="100"/>
      <c r="J35" s="101">
        <f t="shared" si="5"/>
        <v>10.083333333333334</v>
      </c>
      <c r="K35" s="180" t="str">
        <f t="shared" si="1"/>
        <v>TRANSITA</v>
      </c>
      <c r="L35" s="83"/>
      <c r="M35" s="84"/>
      <c r="N35" s="84"/>
      <c r="O35" s="84"/>
      <c r="P35" s="84"/>
      <c r="Q35" s="101">
        <f t="shared" si="19"/>
        <v>0</v>
      </c>
      <c r="R35" s="180" t="str">
        <f t="shared" si="2"/>
        <v>N/TRANSITA</v>
      </c>
      <c r="S35" s="104"/>
      <c r="T35" s="105"/>
      <c r="U35" s="105"/>
      <c r="V35" s="106"/>
      <c r="W35" s="14"/>
      <c r="X35" s="23">
        <f t="shared" si="20"/>
        <v>0</v>
      </c>
      <c r="Y35" s="21">
        <f t="shared" si="21"/>
        <v>3.3611111111111112</v>
      </c>
      <c r="Z35" s="180" t="str">
        <f t="shared" si="4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98">
        <v>14</v>
      </c>
      <c r="F36" s="99">
        <v>9</v>
      </c>
      <c r="G36" s="99"/>
      <c r="H36" s="99">
        <v>5</v>
      </c>
      <c r="I36" s="100"/>
      <c r="J36" s="101">
        <f t="shared" si="5"/>
        <v>9.3333333333333339</v>
      </c>
      <c r="K36" s="180" t="str">
        <f t="shared" si="1"/>
        <v>N/TRANSITA</v>
      </c>
      <c r="L36" s="83">
        <v>10</v>
      </c>
      <c r="M36" s="84">
        <v>8</v>
      </c>
      <c r="N36" s="84"/>
      <c r="O36" s="84">
        <v>1.5</v>
      </c>
      <c r="P36" s="84"/>
      <c r="Q36" s="101">
        <f t="shared" si="19"/>
        <v>6.5</v>
      </c>
      <c r="R36" s="180" t="str">
        <f t="shared" si="2"/>
        <v>N/TRANSITA</v>
      </c>
      <c r="S36" s="104"/>
      <c r="T36" s="105"/>
      <c r="U36" s="105"/>
      <c r="V36" s="106"/>
      <c r="W36" s="14"/>
      <c r="X36" s="23">
        <f t="shared" si="20"/>
        <v>0</v>
      </c>
      <c r="Y36" s="21">
        <f t="shared" si="21"/>
        <v>5.2777777777777777</v>
      </c>
      <c r="Z36" s="180" t="str">
        <f t="shared" si="4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98">
        <v>15</v>
      </c>
      <c r="F37" s="99">
        <v>15</v>
      </c>
      <c r="G37" s="99"/>
      <c r="H37" s="99">
        <v>11.5</v>
      </c>
      <c r="I37" s="100"/>
      <c r="J37" s="101">
        <f t="shared" si="5"/>
        <v>13.833333333333334</v>
      </c>
      <c r="K37" s="180" t="str">
        <f t="shared" si="1"/>
        <v>TRANSITA</v>
      </c>
      <c r="L37" s="83">
        <v>10</v>
      </c>
      <c r="M37" s="84">
        <v>10</v>
      </c>
      <c r="N37" s="84"/>
      <c r="O37" s="84">
        <v>12.5</v>
      </c>
      <c r="P37" s="84"/>
      <c r="Q37" s="101">
        <f t="shared" si="19"/>
        <v>10.833333333333334</v>
      </c>
      <c r="R37" s="180" t="str">
        <f t="shared" si="2"/>
        <v>TRANSITA</v>
      </c>
      <c r="S37" s="104"/>
      <c r="T37" s="105"/>
      <c r="U37" s="105"/>
      <c r="V37" s="106"/>
      <c r="W37" s="14"/>
      <c r="X37" s="23">
        <f t="shared" si="20"/>
        <v>0</v>
      </c>
      <c r="Y37" s="21">
        <f t="shared" si="21"/>
        <v>8.2222222222222232</v>
      </c>
      <c r="Z37" s="180" t="str">
        <f t="shared" si="4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98">
        <v>14.5</v>
      </c>
      <c r="F38" s="99">
        <v>10</v>
      </c>
      <c r="G38" s="99"/>
      <c r="H38" s="99">
        <v>11.5</v>
      </c>
      <c r="I38" s="100"/>
      <c r="J38" s="101">
        <f t="shared" si="5"/>
        <v>12</v>
      </c>
      <c r="K38" s="180" t="str">
        <f t="shared" si="1"/>
        <v>TRANSITA</v>
      </c>
      <c r="L38" s="83">
        <v>10</v>
      </c>
      <c r="M38" s="84">
        <v>8</v>
      </c>
      <c r="N38" s="84"/>
      <c r="O38" s="84">
        <v>3.5</v>
      </c>
      <c r="P38" s="84"/>
      <c r="Q38" s="101">
        <f t="shared" si="19"/>
        <v>7.166666666666667</v>
      </c>
      <c r="R38" s="180" t="str">
        <f t="shared" si="2"/>
        <v>N/TRANSITA</v>
      </c>
      <c r="S38" s="104"/>
      <c r="T38" s="105"/>
      <c r="U38" s="105"/>
      <c r="V38" s="106"/>
      <c r="W38" s="14"/>
      <c r="X38" s="23">
        <f t="shared" si="20"/>
        <v>0</v>
      </c>
      <c r="Y38" s="21">
        <f t="shared" si="21"/>
        <v>6.3888888888888893</v>
      </c>
      <c r="Z38" s="180" t="str">
        <f t="shared" si="4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98">
        <v>12</v>
      </c>
      <c r="F39" s="99">
        <v>9</v>
      </c>
      <c r="G39" s="99"/>
      <c r="H39" s="99">
        <v>6</v>
      </c>
      <c r="I39" s="100"/>
      <c r="J39" s="101">
        <f t="shared" si="5"/>
        <v>9</v>
      </c>
      <c r="K39" s="180" t="str">
        <f t="shared" si="1"/>
        <v>N/TRANSITA</v>
      </c>
      <c r="L39" s="83">
        <v>10</v>
      </c>
      <c r="M39" s="84">
        <v>7</v>
      </c>
      <c r="N39" s="84"/>
      <c r="O39" s="84">
        <v>2.5</v>
      </c>
      <c r="P39" s="84"/>
      <c r="Q39" s="101">
        <f t="shared" ref="Q39:Q43" si="22">AVERAGE(L39,MAX(M39:N39),MAX(O39:P39))</f>
        <v>6.5</v>
      </c>
      <c r="R39" s="180" t="str">
        <f t="shared" ref="R39:R43" si="23">IF(Q39&gt;=10,"TRANSITA","N/TRANSITA")</f>
        <v>N/TRANSITA</v>
      </c>
      <c r="S39" s="104"/>
      <c r="T39" s="105"/>
      <c r="U39" s="105"/>
      <c r="V39" s="106"/>
      <c r="W39" s="14"/>
      <c r="X39" s="23">
        <f t="shared" ref="X39:X43" si="24">AVERAGE(S39,MAX(T39:U39),MAX(V39:W39))</f>
        <v>0</v>
      </c>
      <c r="Y39" s="21">
        <f t="shared" ref="Y39:Y43" si="25">SUM(J39,Q39,X39)/3</f>
        <v>5.166666666666667</v>
      </c>
      <c r="Z39" s="180" t="str">
        <f t="shared" ref="Z39:Z43" si="26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98">
        <v>13</v>
      </c>
      <c r="F40" s="99">
        <v>11</v>
      </c>
      <c r="G40" s="99"/>
      <c r="H40" s="99">
        <v>10</v>
      </c>
      <c r="I40" s="100"/>
      <c r="J40" s="101">
        <f t="shared" si="5"/>
        <v>11.333333333333334</v>
      </c>
      <c r="K40" s="180" t="str">
        <f t="shared" si="1"/>
        <v>TRANSITA</v>
      </c>
      <c r="L40" s="83">
        <v>10</v>
      </c>
      <c r="M40" s="84">
        <v>7.5</v>
      </c>
      <c r="N40" s="84"/>
      <c r="O40" s="84">
        <v>6</v>
      </c>
      <c r="P40" s="84"/>
      <c r="Q40" s="101">
        <f t="shared" si="22"/>
        <v>7.833333333333333</v>
      </c>
      <c r="R40" s="180" t="str">
        <f t="shared" si="23"/>
        <v>N/TRANSITA</v>
      </c>
      <c r="S40" s="104"/>
      <c r="T40" s="105"/>
      <c r="U40" s="105"/>
      <c r="V40" s="106"/>
      <c r="W40" s="14"/>
      <c r="X40" s="23">
        <f t="shared" si="24"/>
        <v>0</v>
      </c>
      <c r="Y40" s="21">
        <f t="shared" si="25"/>
        <v>6.3888888888888893</v>
      </c>
      <c r="Z40" s="180" t="str">
        <f t="shared" si="26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98"/>
      <c r="F41" s="99"/>
      <c r="G41" s="99"/>
      <c r="H41" s="99">
        <v>10</v>
      </c>
      <c r="I41" s="100"/>
      <c r="J41" s="101">
        <f t="shared" si="5"/>
        <v>5</v>
      </c>
      <c r="K41" s="180" t="str">
        <f t="shared" si="1"/>
        <v>N/TRANSITA</v>
      </c>
      <c r="L41" s="83">
        <v>10</v>
      </c>
      <c r="M41" s="84">
        <v>6.5</v>
      </c>
      <c r="N41" s="84"/>
      <c r="O41" s="84">
        <v>8.5</v>
      </c>
      <c r="P41" s="84"/>
      <c r="Q41" s="101">
        <f t="shared" si="22"/>
        <v>8.3333333333333339</v>
      </c>
      <c r="R41" s="180" t="str">
        <f t="shared" si="23"/>
        <v>N/TRANSITA</v>
      </c>
      <c r="S41" s="104"/>
      <c r="T41" s="105"/>
      <c r="U41" s="105"/>
      <c r="V41" s="106"/>
      <c r="W41" s="14"/>
      <c r="X41" s="23">
        <f t="shared" si="24"/>
        <v>0</v>
      </c>
      <c r="Y41" s="21">
        <f t="shared" si="25"/>
        <v>4.4444444444444446</v>
      </c>
      <c r="Z41" s="180" t="str">
        <f t="shared" si="26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98">
        <v>14</v>
      </c>
      <c r="F42" s="99">
        <v>10</v>
      </c>
      <c r="G42" s="99"/>
      <c r="H42" s="99">
        <v>7.75</v>
      </c>
      <c r="I42" s="100"/>
      <c r="J42" s="101">
        <f t="shared" si="5"/>
        <v>10.583333333333334</v>
      </c>
      <c r="K42" s="180" t="str">
        <f t="shared" si="1"/>
        <v>TRANSITA</v>
      </c>
      <c r="L42" s="83">
        <v>10</v>
      </c>
      <c r="M42" s="84">
        <v>10</v>
      </c>
      <c r="N42" s="84"/>
      <c r="O42" s="84">
        <v>8.5</v>
      </c>
      <c r="P42" s="84"/>
      <c r="Q42" s="101">
        <f t="shared" si="22"/>
        <v>9.5</v>
      </c>
      <c r="R42" s="180" t="str">
        <f t="shared" si="23"/>
        <v>N/TRANSITA</v>
      </c>
      <c r="S42" s="104"/>
      <c r="T42" s="105"/>
      <c r="U42" s="105"/>
      <c r="V42" s="106"/>
      <c r="W42" s="14"/>
      <c r="X42" s="23">
        <f t="shared" si="24"/>
        <v>0</v>
      </c>
      <c r="Y42" s="21">
        <f t="shared" si="25"/>
        <v>6.6944444444444455</v>
      </c>
      <c r="Z42" s="180" t="str">
        <f t="shared" si="26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98">
        <v>15</v>
      </c>
      <c r="F43" s="99">
        <v>16</v>
      </c>
      <c r="G43" s="99"/>
      <c r="H43" s="99">
        <v>10</v>
      </c>
      <c r="I43" s="100"/>
      <c r="J43" s="101">
        <f t="shared" si="5"/>
        <v>13.666666666666666</v>
      </c>
      <c r="K43" s="180" t="str">
        <f t="shared" si="1"/>
        <v>TRANSITA</v>
      </c>
      <c r="L43" s="83">
        <v>10</v>
      </c>
      <c r="M43" s="84">
        <v>10</v>
      </c>
      <c r="N43" s="84"/>
      <c r="O43" s="84">
        <v>4</v>
      </c>
      <c r="P43" s="84"/>
      <c r="Q43" s="101">
        <f t="shared" si="22"/>
        <v>8</v>
      </c>
      <c r="R43" s="180" t="str">
        <f t="shared" si="23"/>
        <v>N/TRANSITA</v>
      </c>
      <c r="S43" s="104"/>
      <c r="T43" s="105"/>
      <c r="U43" s="105"/>
      <c r="V43" s="106"/>
      <c r="W43" s="14"/>
      <c r="X43" s="23">
        <f t="shared" si="24"/>
        <v>0</v>
      </c>
      <c r="Y43" s="21">
        <f t="shared" si="25"/>
        <v>7.2222222222222214</v>
      </c>
      <c r="Z43" s="180" t="str">
        <f t="shared" si="26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98">
        <v>14</v>
      </c>
      <c r="F44" s="99">
        <v>9</v>
      </c>
      <c r="G44" s="99"/>
      <c r="H44" s="99">
        <v>8.25</v>
      </c>
      <c r="I44" s="100"/>
      <c r="J44" s="101">
        <f t="shared" si="5"/>
        <v>10.416666666666666</v>
      </c>
      <c r="K44" s="180" t="str">
        <f t="shared" si="1"/>
        <v>TRANSITA</v>
      </c>
      <c r="L44" s="83">
        <v>10</v>
      </c>
      <c r="M44" s="84">
        <v>7</v>
      </c>
      <c r="N44" s="84"/>
      <c r="O44" s="84">
        <v>3</v>
      </c>
      <c r="P44" s="84"/>
      <c r="Q44" s="101">
        <f t="shared" si="19"/>
        <v>6.666666666666667</v>
      </c>
      <c r="R44" s="180" t="str">
        <f t="shared" si="2"/>
        <v>N/TRANSITA</v>
      </c>
      <c r="S44" s="104"/>
      <c r="T44" s="105"/>
      <c r="U44" s="105"/>
      <c r="V44" s="106"/>
      <c r="W44" s="14"/>
      <c r="X44" s="23">
        <f t="shared" si="20"/>
        <v>0</v>
      </c>
      <c r="Y44" s="21">
        <f t="shared" si="21"/>
        <v>5.6944444444444438</v>
      </c>
      <c r="Z44" s="180" t="str">
        <f t="shared" si="4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98">
        <v>14</v>
      </c>
      <c r="F45" s="99">
        <v>11</v>
      </c>
      <c r="G45" s="99"/>
      <c r="H45" s="99">
        <v>8.25</v>
      </c>
      <c r="I45" s="100"/>
      <c r="J45" s="101">
        <f t="shared" si="5"/>
        <v>11.083333333333334</v>
      </c>
      <c r="K45" s="180" t="str">
        <f t="shared" si="1"/>
        <v>TRANSITA</v>
      </c>
      <c r="L45" s="83">
        <v>10</v>
      </c>
      <c r="M45" s="84">
        <v>11</v>
      </c>
      <c r="N45" s="84"/>
      <c r="O45" s="84">
        <v>2</v>
      </c>
      <c r="P45" s="84"/>
      <c r="Q45" s="101">
        <f t="shared" si="19"/>
        <v>7.666666666666667</v>
      </c>
      <c r="R45" s="180" t="str">
        <f t="shared" si="2"/>
        <v>N/TRANSITA</v>
      </c>
      <c r="S45" s="104"/>
      <c r="T45" s="105"/>
      <c r="U45" s="105"/>
      <c r="V45" s="106"/>
      <c r="W45" s="14"/>
      <c r="X45" s="23">
        <f t="shared" si="20"/>
        <v>0</v>
      </c>
      <c r="Y45" s="21">
        <f t="shared" si="21"/>
        <v>6.25</v>
      </c>
      <c r="Z45" s="180" t="str">
        <f t="shared" si="4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98">
        <v>12</v>
      </c>
      <c r="F46" s="99">
        <v>7.5</v>
      </c>
      <c r="G46" s="99"/>
      <c r="H46" s="99">
        <v>8</v>
      </c>
      <c r="I46" s="100"/>
      <c r="J46" s="101">
        <f t="shared" si="5"/>
        <v>9.1666666666666661</v>
      </c>
      <c r="K46" s="180" t="str">
        <f t="shared" si="1"/>
        <v>N/TRANSITA</v>
      </c>
      <c r="L46" s="83">
        <v>10</v>
      </c>
      <c r="M46" s="84">
        <v>6.5</v>
      </c>
      <c r="N46" s="84"/>
      <c r="O46" s="84">
        <v>9.5</v>
      </c>
      <c r="P46" s="84"/>
      <c r="Q46" s="101">
        <f t="shared" ref="Q46:Q47" si="27">AVERAGE(L46,MAX(M46:N46),MAX(O46:P46))</f>
        <v>8.6666666666666661</v>
      </c>
      <c r="R46" s="180" t="str">
        <f t="shared" ref="R46:R47" si="28">IF(Q46&gt;=10,"TRANSITA","N/TRANSITA")</f>
        <v>N/TRANSITA</v>
      </c>
      <c r="S46" s="104"/>
      <c r="T46" s="105"/>
      <c r="U46" s="105"/>
      <c r="V46" s="106"/>
      <c r="W46" s="14"/>
      <c r="X46" s="23">
        <f t="shared" ref="X46:X47" si="29">AVERAGE(S46,MAX(T46:U46),MAX(V46:W46))</f>
        <v>0</v>
      </c>
      <c r="Y46" s="21">
        <f t="shared" ref="Y46:Y47" si="30">SUM(J46,Q46,X46)/3</f>
        <v>5.9444444444444438</v>
      </c>
      <c r="Z46" s="180" t="str">
        <f t="shared" ref="Z46:Z47" si="31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98">
        <v>14.5</v>
      </c>
      <c r="F47" s="99">
        <v>17</v>
      </c>
      <c r="G47" s="99"/>
      <c r="H47" s="99">
        <v>10</v>
      </c>
      <c r="I47" s="100"/>
      <c r="J47" s="101">
        <f t="shared" si="5"/>
        <v>13.833333333333334</v>
      </c>
      <c r="K47" s="180" t="str">
        <f t="shared" si="1"/>
        <v>TRANSITA</v>
      </c>
      <c r="L47" s="83">
        <v>10</v>
      </c>
      <c r="M47" s="84">
        <v>11.5</v>
      </c>
      <c r="N47" s="84"/>
      <c r="O47" s="84">
        <v>8.5</v>
      </c>
      <c r="P47" s="84"/>
      <c r="Q47" s="101">
        <f t="shared" si="27"/>
        <v>10</v>
      </c>
      <c r="R47" s="180" t="str">
        <f t="shared" si="28"/>
        <v>TRANSITA</v>
      </c>
      <c r="S47" s="104"/>
      <c r="T47" s="105"/>
      <c r="U47" s="105"/>
      <c r="V47" s="106"/>
      <c r="W47" s="14"/>
      <c r="X47" s="23">
        <f t="shared" si="29"/>
        <v>0</v>
      </c>
      <c r="Y47" s="21">
        <f t="shared" si="30"/>
        <v>7.9444444444444455</v>
      </c>
      <c r="Z47" s="180" t="str">
        <f t="shared" si="31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98">
        <v>13.5</v>
      </c>
      <c r="F48" s="99">
        <v>13.5</v>
      </c>
      <c r="G48" s="99"/>
      <c r="H48" s="99">
        <v>6</v>
      </c>
      <c r="I48" s="100"/>
      <c r="J48" s="101">
        <f t="shared" si="5"/>
        <v>11</v>
      </c>
      <c r="K48" s="180" t="str">
        <f t="shared" si="1"/>
        <v>TRANSITA</v>
      </c>
      <c r="L48" s="83">
        <v>10</v>
      </c>
      <c r="M48" s="84">
        <v>10</v>
      </c>
      <c r="N48" s="84"/>
      <c r="O48" s="84"/>
      <c r="P48" s="84"/>
      <c r="Q48" s="101">
        <f t="shared" si="19"/>
        <v>6.666666666666667</v>
      </c>
      <c r="R48" s="180" t="str">
        <f t="shared" si="2"/>
        <v>N/TRANSITA</v>
      </c>
      <c r="S48" s="104"/>
      <c r="T48" s="105"/>
      <c r="U48" s="105"/>
      <c r="V48" s="106"/>
      <c r="W48" s="14"/>
      <c r="X48" s="23">
        <f t="shared" si="20"/>
        <v>0</v>
      </c>
      <c r="Y48" s="21">
        <f t="shared" si="21"/>
        <v>5.8888888888888893</v>
      </c>
      <c r="Z48" s="180" t="str">
        <f t="shared" si="4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98">
        <v>10</v>
      </c>
      <c r="F49" s="99">
        <v>10</v>
      </c>
      <c r="G49" s="99"/>
      <c r="H49" s="99"/>
      <c r="I49" s="100"/>
      <c r="J49" s="101">
        <f t="shared" si="5"/>
        <v>6.666666666666667</v>
      </c>
      <c r="K49" s="180" t="str">
        <f t="shared" si="1"/>
        <v>N/TRANSITA</v>
      </c>
      <c r="L49" s="83">
        <v>10</v>
      </c>
      <c r="M49" s="84">
        <v>5.5</v>
      </c>
      <c r="N49" s="84"/>
      <c r="O49" s="84"/>
      <c r="P49" s="84"/>
      <c r="Q49" s="101">
        <f t="shared" si="6"/>
        <v>5.166666666666667</v>
      </c>
      <c r="R49" s="180" t="str">
        <f t="shared" si="2"/>
        <v>N/TRANSITA</v>
      </c>
      <c r="S49" s="104"/>
      <c r="T49" s="105"/>
      <c r="U49" s="105"/>
      <c r="V49" s="106"/>
      <c r="W49" s="14"/>
      <c r="X49" s="23">
        <f t="shared" si="7"/>
        <v>0</v>
      </c>
      <c r="Y49" s="21">
        <f t="shared" si="8"/>
        <v>3.9444444444444446</v>
      </c>
      <c r="Z49" s="180" t="str">
        <f t="shared" si="4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98"/>
      <c r="F50" s="99"/>
      <c r="G50" s="99"/>
      <c r="H50" s="99">
        <v>6</v>
      </c>
      <c r="I50" s="100"/>
      <c r="J50" s="101">
        <f t="shared" si="5"/>
        <v>3</v>
      </c>
      <c r="K50" s="180" t="str">
        <f t="shared" si="1"/>
        <v>N/TRANSITA</v>
      </c>
      <c r="L50" s="83">
        <v>10</v>
      </c>
      <c r="M50" s="84">
        <v>5.5</v>
      </c>
      <c r="N50" s="84"/>
      <c r="O50" s="84">
        <v>6</v>
      </c>
      <c r="P50" s="84"/>
      <c r="Q50" s="101">
        <f t="shared" si="6"/>
        <v>7.166666666666667</v>
      </c>
      <c r="R50" s="180" t="str">
        <f t="shared" si="2"/>
        <v>N/TRANSITA</v>
      </c>
      <c r="S50" s="104"/>
      <c r="T50" s="105"/>
      <c r="U50" s="105"/>
      <c r="V50" s="106"/>
      <c r="W50" s="14"/>
      <c r="X50" s="23">
        <f t="shared" si="7"/>
        <v>0</v>
      </c>
      <c r="Y50" s="21">
        <f t="shared" si="8"/>
        <v>3.3888888888888893</v>
      </c>
      <c r="Z50" s="180" t="str">
        <f t="shared" si="4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98">
        <v>14</v>
      </c>
      <c r="F51" s="99">
        <v>8</v>
      </c>
      <c r="G51" s="99"/>
      <c r="H51" s="99">
        <v>7.5</v>
      </c>
      <c r="I51" s="100"/>
      <c r="J51" s="101">
        <f t="shared" si="5"/>
        <v>9.8333333333333339</v>
      </c>
      <c r="K51" s="180" t="str">
        <f t="shared" si="1"/>
        <v>N/TRANSITA</v>
      </c>
      <c r="L51" s="83">
        <v>10</v>
      </c>
      <c r="M51" s="84">
        <v>5</v>
      </c>
      <c r="N51" s="84"/>
      <c r="O51" s="84">
        <v>6</v>
      </c>
      <c r="P51" s="84"/>
      <c r="Q51" s="101">
        <f t="shared" si="6"/>
        <v>7</v>
      </c>
      <c r="R51" s="180" t="str">
        <f t="shared" si="2"/>
        <v>N/TRANSITA</v>
      </c>
      <c r="S51" s="104"/>
      <c r="T51" s="105"/>
      <c r="U51" s="105"/>
      <c r="V51" s="106"/>
      <c r="W51" s="14"/>
      <c r="X51" s="23">
        <f t="shared" si="7"/>
        <v>0</v>
      </c>
      <c r="Y51" s="21">
        <f t="shared" si="8"/>
        <v>5.6111111111111116</v>
      </c>
      <c r="Z51" s="180" t="str">
        <f t="shared" si="4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98"/>
      <c r="F52" s="99"/>
      <c r="G52" s="99"/>
      <c r="H52" s="99">
        <v>6.5</v>
      </c>
      <c r="I52" s="100"/>
      <c r="J52" s="101">
        <f t="shared" si="5"/>
        <v>3.25</v>
      </c>
      <c r="K52" s="180" t="str">
        <f t="shared" si="1"/>
        <v>N/TRANSITA</v>
      </c>
      <c r="L52" s="83">
        <v>10</v>
      </c>
      <c r="M52" s="84">
        <v>7</v>
      </c>
      <c r="N52" s="84"/>
      <c r="O52" s="84"/>
      <c r="P52" s="84"/>
      <c r="Q52" s="101">
        <f t="shared" si="6"/>
        <v>5.666666666666667</v>
      </c>
      <c r="R52" s="180" t="str">
        <f t="shared" si="2"/>
        <v>N/TRANSITA</v>
      </c>
      <c r="S52" s="104"/>
      <c r="T52" s="105"/>
      <c r="U52" s="105"/>
      <c r="V52" s="106"/>
      <c r="W52" s="14"/>
      <c r="X52" s="23">
        <f t="shared" si="7"/>
        <v>0</v>
      </c>
      <c r="Y52" s="21">
        <f t="shared" si="8"/>
        <v>2.9722222222222228</v>
      </c>
      <c r="Z52" s="180" t="str">
        <f t="shared" si="4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21"/>
      <c r="F53" s="107"/>
      <c r="G53" s="107"/>
      <c r="H53" s="107"/>
      <c r="I53" s="105"/>
      <c r="J53" s="101">
        <f t="shared" si="5"/>
        <v>0</v>
      </c>
      <c r="K53" s="180" t="str">
        <f t="shared" si="1"/>
        <v>N/TRANSITA</v>
      </c>
      <c r="L53" s="83"/>
      <c r="M53" s="84"/>
      <c r="N53" s="84"/>
      <c r="O53" s="84"/>
      <c r="P53" s="84"/>
      <c r="Q53" s="101">
        <f t="shared" si="6"/>
        <v>0</v>
      </c>
      <c r="R53" s="180" t="str">
        <f t="shared" si="2"/>
        <v>N/TRANSITA</v>
      </c>
      <c r="S53" s="104"/>
      <c r="T53" s="105"/>
      <c r="U53" s="105"/>
      <c r="V53" s="106"/>
      <c r="W53" s="14"/>
      <c r="X53" s="23">
        <f t="shared" si="7"/>
        <v>0</v>
      </c>
      <c r="Y53" s="21">
        <f t="shared" si="8"/>
        <v>0</v>
      </c>
      <c r="Z53" s="180" t="str">
        <f t="shared" si="4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21">
        <v>13</v>
      </c>
      <c r="F54" s="107">
        <v>10</v>
      </c>
      <c r="G54" s="107"/>
      <c r="H54" s="107">
        <v>2</v>
      </c>
      <c r="I54" s="105"/>
      <c r="J54" s="101">
        <f t="shared" si="5"/>
        <v>8.3333333333333339</v>
      </c>
      <c r="K54" s="180" t="str">
        <f t="shared" si="1"/>
        <v>N/TRANSITA</v>
      </c>
      <c r="L54" s="83">
        <v>10</v>
      </c>
      <c r="M54" s="84">
        <v>4.5</v>
      </c>
      <c r="N54" s="84"/>
      <c r="O54" s="84"/>
      <c r="P54" s="84"/>
      <c r="Q54" s="101">
        <f t="shared" ref="Q54:Q56" si="32">AVERAGE(L54,MAX(M54:N54),MAX(O54:P54))</f>
        <v>4.833333333333333</v>
      </c>
      <c r="R54" s="180" t="str">
        <f t="shared" ref="R54:R56" si="33">IF(Q54&gt;=10,"TRANSITA","N/TRANSITA")</f>
        <v>N/TRANSITA</v>
      </c>
      <c r="S54" s="104"/>
      <c r="T54" s="105"/>
      <c r="U54" s="105"/>
      <c r="V54" s="106"/>
      <c r="W54" s="14"/>
      <c r="X54" s="23">
        <f t="shared" ref="X54:X56" si="34">AVERAGE(S54,MAX(T54:U54),MAX(V54:W54))</f>
        <v>0</v>
      </c>
      <c r="Y54" s="21">
        <f t="shared" ref="Y54:Y56" si="35">SUM(J54,Q54,X54)/3</f>
        <v>4.3888888888888893</v>
      </c>
      <c r="Z54" s="180" t="str">
        <f t="shared" ref="Z54:Z56" si="3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21">
        <v>13.5</v>
      </c>
      <c r="F55" s="107">
        <v>10</v>
      </c>
      <c r="G55" s="107"/>
      <c r="H55" s="107">
        <v>8</v>
      </c>
      <c r="I55" s="105"/>
      <c r="J55" s="101">
        <f t="shared" si="5"/>
        <v>10.5</v>
      </c>
      <c r="K55" s="180" t="str">
        <f t="shared" si="1"/>
        <v>TRANSITA</v>
      </c>
      <c r="L55" s="83">
        <v>10</v>
      </c>
      <c r="M55" s="84">
        <v>9</v>
      </c>
      <c r="N55" s="84"/>
      <c r="O55" s="84">
        <v>7</v>
      </c>
      <c r="P55" s="84"/>
      <c r="Q55" s="101">
        <f t="shared" si="32"/>
        <v>8.6666666666666661</v>
      </c>
      <c r="R55" s="180" t="str">
        <f t="shared" si="33"/>
        <v>N/TRANSITA</v>
      </c>
      <c r="S55" s="104"/>
      <c r="T55" s="105"/>
      <c r="U55" s="105"/>
      <c r="V55" s="106"/>
      <c r="W55" s="14"/>
      <c r="X55" s="23">
        <f t="shared" si="34"/>
        <v>0</v>
      </c>
      <c r="Y55" s="21">
        <f t="shared" si="35"/>
        <v>6.3888888888888884</v>
      </c>
      <c r="Z55" s="180" t="str">
        <f t="shared" si="3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21"/>
      <c r="F56" s="107"/>
      <c r="G56" s="107"/>
      <c r="H56" s="107">
        <v>4.5</v>
      </c>
      <c r="I56" s="105"/>
      <c r="J56" s="101">
        <f t="shared" si="5"/>
        <v>2.25</v>
      </c>
      <c r="K56" s="180" t="str">
        <f t="shared" si="1"/>
        <v>N/TRANSITA</v>
      </c>
      <c r="L56" s="83">
        <v>10</v>
      </c>
      <c r="M56" s="84">
        <v>5</v>
      </c>
      <c r="N56" s="84"/>
      <c r="O56" s="84"/>
      <c r="P56" s="84"/>
      <c r="Q56" s="101">
        <f t="shared" si="32"/>
        <v>5</v>
      </c>
      <c r="R56" s="180" t="str">
        <f t="shared" si="33"/>
        <v>N/TRANSITA</v>
      </c>
      <c r="S56" s="104"/>
      <c r="T56" s="105"/>
      <c r="U56" s="105"/>
      <c r="V56" s="106"/>
      <c r="W56" s="14"/>
      <c r="X56" s="23">
        <f t="shared" si="34"/>
        <v>0</v>
      </c>
      <c r="Y56" s="21">
        <f t="shared" si="35"/>
        <v>2.4166666666666665</v>
      </c>
      <c r="Z56" s="180" t="str">
        <f t="shared" si="3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21">
        <v>14</v>
      </c>
      <c r="F57" s="107">
        <v>18</v>
      </c>
      <c r="G57" s="107"/>
      <c r="H57" s="107">
        <v>13.5</v>
      </c>
      <c r="I57" s="105"/>
      <c r="J57" s="101">
        <f t="shared" si="5"/>
        <v>15.166666666666666</v>
      </c>
      <c r="K57" s="180" t="str">
        <f t="shared" si="1"/>
        <v>TRANSITA</v>
      </c>
      <c r="L57" s="83">
        <v>10</v>
      </c>
      <c r="M57" s="84">
        <v>7</v>
      </c>
      <c r="N57" s="84"/>
      <c r="O57" s="84">
        <v>13.5</v>
      </c>
      <c r="P57" s="84"/>
      <c r="Q57" s="101">
        <f t="shared" si="6"/>
        <v>10.166666666666666</v>
      </c>
      <c r="R57" s="180" t="str">
        <f t="shared" si="2"/>
        <v>TRANSITA</v>
      </c>
      <c r="S57" s="104"/>
      <c r="T57" s="105"/>
      <c r="U57" s="105"/>
      <c r="V57" s="106"/>
      <c r="W57" s="14"/>
      <c r="X57" s="23">
        <f t="shared" si="7"/>
        <v>0</v>
      </c>
      <c r="Y57" s="21">
        <f t="shared" si="8"/>
        <v>8.4444444444444446</v>
      </c>
      <c r="Z57" s="180" t="str">
        <f t="shared" si="4"/>
        <v>N/TRANSITA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21"/>
      <c r="F58" s="107"/>
      <c r="G58" s="107"/>
      <c r="H58" s="107"/>
      <c r="I58" s="105"/>
      <c r="J58" s="101">
        <f t="shared" si="5"/>
        <v>0</v>
      </c>
      <c r="K58" s="180" t="str">
        <f t="shared" si="1"/>
        <v>N/TRANSITA</v>
      </c>
      <c r="L58" s="83"/>
      <c r="M58" s="84"/>
      <c r="N58" s="84"/>
      <c r="O58" s="84"/>
      <c r="P58" s="84"/>
      <c r="Q58" s="101">
        <f t="shared" si="6"/>
        <v>0</v>
      </c>
      <c r="R58" s="180" t="str">
        <f t="shared" si="2"/>
        <v>N/TRANSITA</v>
      </c>
      <c r="S58" s="104"/>
      <c r="T58" s="105"/>
      <c r="U58" s="105"/>
      <c r="V58" s="106"/>
      <c r="W58" s="14"/>
      <c r="X58" s="23">
        <f t="shared" si="7"/>
        <v>0</v>
      </c>
      <c r="Y58" s="21">
        <f t="shared" si="8"/>
        <v>0</v>
      </c>
      <c r="Z58" s="180" t="str">
        <f t="shared" si="4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21">
        <v>13</v>
      </c>
      <c r="F59" s="107">
        <v>9</v>
      </c>
      <c r="G59" s="107"/>
      <c r="H59" s="107">
        <v>9</v>
      </c>
      <c r="I59" s="105"/>
      <c r="J59" s="101">
        <f t="shared" si="5"/>
        <v>10.333333333333334</v>
      </c>
      <c r="K59" s="180" t="str">
        <f t="shared" si="1"/>
        <v>TRANSITA</v>
      </c>
      <c r="L59" s="83">
        <v>10</v>
      </c>
      <c r="M59" s="84">
        <v>6</v>
      </c>
      <c r="N59" s="84"/>
      <c r="O59" s="84">
        <v>3</v>
      </c>
      <c r="P59" s="84"/>
      <c r="Q59" s="101">
        <f t="shared" si="6"/>
        <v>6.333333333333333</v>
      </c>
      <c r="R59" s="180" t="str">
        <f t="shared" si="2"/>
        <v>N/TRANSITA</v>
      </c>
      <c r="S59" s="104"/>
      <c r="T59" s="105"/>
      <c r="U59" s="105"/>
      <c r="V59" s="106"/>
      <c r="W59" s="14"/>
      <c r="X59" s="23">
        <f t="shared" si="7"/>
        <v>0</v>
      </c>
      <c r="Y59" s="21">
        <f t="shared" si="8"/>
        <v>5.5555555555555562</v>
      </c>
      <c r="Z59" s="180" t="str">
        <f t="shared" si="4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21">
        <v>15</v>
      </c>
      <c r="F60" s="107">
        <v>13.5</v>
      </c>
      <c r="G60" s="107"/>
      <c r="H60" s="107">
        <v>9</v>
      </c>
      <c r="I60" s="105"/>
      <c r="J60" s="101">
        <f t="shared" si="5"/>
        <v>12.5</v>
      </c>
      <c r="K60" s="180" t="str">
        <f t="shared" si="1"/>
        <v>TRANSITA</v>
      </c>
      <c r="L60" s="83">
        <v>10</v>
      </c>
      <c r="M60" s="84">
        <v>5.5</v>
      </c>
      <c r="N60" s="84"/>
      <c r="O60" s="84">
        <v>3</v>
      </c>
      <c r="P60" s="84"/>
      <c r="Q60" s="101">
        <f t="shared" si="6"/>
        <v>6.166666666666667</v>
      </c>
      <c r="R60" s="180" t="str">
        <f t="shared" si="2"/>
        <v>N/TRANSITA</v>
      </c>
      <c r="S60" s="104"/>
      <c r="T60" s="105"/>
      <c r="U60" s="105"/>
      <c r="V60" s="106"/>
      <c r="W60" s="14"/>
      <c r="X60" s="23">
        <f t="shared" si="7"/>
        <v>0</v>
      </c>
      <c r="Y60" s="21">
        <f t="shared" si="8"/>
        <v>6.2222222222222223</v>
      </c>
      <c r="Z60" s="180" t="str">
        <f t="shared" si="4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21">
        <v>14</v>
      </c>
      <c r="F61" s="107">
        <v>10</v>
      </c>
      <c r="G61" s="107"/>
      <c r="H61" s="107">
        <v>12</v>
      </c>
      <c r="I61" s="105"/>
      <c r="J61" s="101">
        <f t="shared" si="5"/>
        <v>12</v>
      </c>
      <c r="K61" s="180" t="str">
        <f t="shared" si="1"/>
        <v>TRANSITA</v>
      </c>
      <c r="L61" s="83">
        <v>10</v>
      </c>
      <c r="M61" s="84">
        <v>10</v>
      </c>
      <c r="N61" s="84"/>
      <c r="O61" s="84">
        <v>8</v>
      </c>
      <c r="P61" s="84"/>
      <c r="Q61" s="101">
        <f t="shared" si="6"/>
        <v>9.3333333333333339</v>
      </c>
      <c r="R61" s="180" t="str">
        <f t="shared" si="2"/>
        <v>N/TRANSITA</v>
      </c>
      <c r="S61" s="104"/>
      <c r="T61" s="105"/>
      <c r="U61" s="105"/>
      <c r="V61" s="106"/>
      <c r="W61" s="14"/>
      <c r="X61" s="23">
        <f t="shared" ref="X61:X63" si="37">AVERAGE(S61,MAX(T61:U61),MAX(V61:W61))</f>
        <v>0</v>
      </c>
      <c r="Y61" s="21">
        <f t="shared" si="0"/>
        <v>7.1111111111111116</v>
      </c>
      <c r="Z61" s="180" t="str">
        <f t="shared" si="4"/>
        <v>N/TRANSITA</v>
      </c>
    </row>
    <row r="62" spans="2:31" ht="14.25" customHeight="1" x14ac:dyDescent="0.3">
      <c r="B62" s="37">
        <v>54</v>
      </c>
      <c r="C62" s="194" t="s">
        <v>142</v>
      </c>
      <c r="D62" s="28"/>
      <c r="E62" s="121">
        <v>15</v>
      </c>
      <c r="F62" s="107">
        <v>11</v>
      </c>
      <c r="G62" s="107"/>
      <c r="H62" s="107"/>
      <c r="I62" s="105"/>
      <c r="J62" s="101">
        <f t="shared" si="5"/>
        <v>8.6666666666666661</v>
      </c>
      <c r="K62" s="180" t="str">
        <f t="shared" si="1"/>
        <v>N/TRANSITA</v>
      </c>
      <c r="L62" s="83">
        <v>10</v>
      </c>
      <c r="M62" s="84">
        <v>8</v>
      </c>
      <c r="N62" s="84"/>
      <c r="O62" s="84">
        <v>6.5</v>
      </c>
      <c r="P62" s="84"/>
      <c r="Q62" s="101">
        <f t="shared" si="6"/>
        <v>8.1666666666666661</v>
      </c>
      <c r="R62" s="180" t="str">
        <f t="shared" si="2"/>
        <v>N/TRANSITA</v>
      </c>
      <c r="S62" s="104"/>
      <c r="T62" s="105"/>
      <c r="U62" s="105"/>
      <c r="V62" s="106"/>
      <c r="W62" s="14"/>
      <c r="X62" s="23">
        <f t="shared" si="37"/>
        <v>0</v>
      </c>
      <c r="Y62" s="21">
        <f t="shared" si="0"/>
        <v>5.6111111111111107</v>
      </c>
      <c r="Z62" s="180" t="str">
        <f t="shared" si="4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22">
        <v>13.5</v>
      </c>
      <c r="F63" s="108">
        <v>14.5</v>
      </c>
      <c r="G63" s="108"/>
      <c r="H63" s="108">
        <v>6.5</v>
      </c>
      <c r="I63" s="109"/>
      <c r="J63" s="110">
        <f t="shared" si="5"/>
        <v>11.5</v>
      </c>
      <c r="K63" s="181" t="str">
        <f t="shared" si="1"/>
        <v>TRANSITA</v>
      </c>
      <c r="L63" s="85">
        <v>10</v>
      </c>
      <c r="M63" s="86">
        <v>9.5</v>
      </c>
      <c r="N63" s="86"/>
      <c r="O63" s="86">
        <v>9.5</v>
      </c>
      <c r="P63" s="86"/>
      <c r="Q63" s="110">
        <f t="shared" si="6"/>
        <v>9.6666666666666661</v>
      </c>
      <c r="R63" s="181" t="str">
        <f t="shared" si="2"/>
        <v>N/TRANSITA</v>
      </c>
      <c r="S63" s="111"/>
      <c r="T63" s="109"/>
      <c r="U63" s="109"/>
      <c r="V63" s="112"/>
      <c r="W63" s="15"/>
      <c r="X63" s="24">
        <f t="shared" si="37"/>
        <v>0</v>
      </c>
      <c r="Y63" s="22">
        <f>SUM(J63,Q63,X63)/3</f>
        <v>7.0555555555555545</v>
      </c>
      <c r="Z63" s="181" t="str">
        <f t="shared" si="4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6"/>
      <c r="G66" s="11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9"/>
      <c r="G67" s="12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9"/>
      <c r="G68" s="12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A53:AB55"/>
    <mergeCell ref="AA8:AA9"/>
    <mergeCell ref="AB8:AB9"/>
    <mergeCell ref="A68:E68"/>
    <mergeCell ref="S68:Z68"/>
    <mergeCell ref="A67:E67"/>
    <mergeCell ref="S67:Z67"/>
    <mergeCell ref="K7:K8"/>
    <mergeCell ref="R7:R8"/>
    <mergeCell ref="A66:E66"/>
    <mergeCell ref="S66:Z66"/>
    <mergeCell ref="B6:Z6"/>
    <mergeCell ref="AC8:AC9"/>
    <mergeCell ref="AD8:AD9"/>
    <mergeCell ref="AA10:AB11"/>
    <mergeCell ref="AE8:AE9"/>
    <mergeCell ref="Y7:Y8"/>
    <mergeCell ref="Z7:Z8"/>
    <mergeCell ref="B7:B8"/>
    <mergeCell ref="C7:C8"/>
    <mergeCell ref="E7:J7"/>
    <mergeCell ref="L7:Q7"/>
    <mergeCell ref="S7:X7"/>
    <mergeCell ref="A1:Z1"/>
    <mergeCell ref="B4:C4"/>
    <mergeCell ref="E4:Q4"/>
    <mergeCell ref="B5:C5"/>
    <mergeCell ref="X5:Z5"/>
    <mergeCell ref="E5:Q5"/>
    <mergeCell ref="B3:C3"/>
    <mergeCell ref="I3:M3"/>
    <mergeCell ref="V3:Z3"/>
    <mergeCell ref="V4:Z4"/>
  </mergeCells>
  <conditionalFormatting sqref="Y9:Y63">
    <cfRule type="cellIs" dxfId="423" priority="123" stopIfTrue="1" operator="greaterThan">
      <formula>9.5</formula>
    </cfRule>
    <cfRule type="cellIs" dxfId="422" priority="124" stopIfTrue="1" operator="lessThanOrEqual">
      <formula>9.5</formula>
    </cfRule>
  </conditionalFormatting>
  <conditionalFormatting sqref="W9:W63">
    <cfRule type="cellIs" dxfId="421" priority="109" stopIfTrue="1" operator="lessThan">
      <formula>10</formula>
    </cfRule>
    <cfRule type="cellIs" dxfId="420" priority="110" stopIfTrue="1" operator="greaterThan">
      <formula>9</formula>
    </cfRule>
  </conditionalFormatting>
  <conditionalFormatting sqref="W9:W63">
    <cfRule type="cellIs" dxfId="419" priority="107" stopIfTrue="1" operator="lessThan">
      <formula>10</formula>
    </cfRule>
    <cfRule type="cellIs" dxfId="418" priority="108" stopIfTrue="1" operator="greaterThan">
      <formula>9</formula>
    </cfRule>
  </conditionalFormatting>
  <conditionalFormatting sqref="X9:X63 Q9:Q63">
    <cfRule type="cellIs" dxfId="417" priority="89" stopIfTrue="1" operator="lessThan">
      <formula>10</formula>
    </cfRule>
    <cfRule type="cellIs" dxfId="416" priority="90" stopIfTrue="1" operator="greaterThanOrEqual">
      <formula>10</formula>
    </cfRule>
  </conditionalFormatting>
  <conditionalFormatting sqref="S9:V63">
    <cfRule type="cellIs" dxfId="415" priority="37" stopIfTrue="1" operator="lessThan">
      <formula>10</formula>
    </cfRule>
    <cfRule type="cellIs" dxfId="414" priority="38" stopIfTrue="1" operator="greaterThan">
      <formula>9</formula>
    </cfRule>
    <cfRule type="cellIs" dxfId="413" priority="39" stopIfTrue="1" operator="lessThan">
      <formula>10</formula>
    </cfRule>
    <cfRule type="cellIs" dxfId="412" priority="40" stopIfTrue="1" operator="greaterThan">
      <formula>9</formula>
    </cfRule>
  </conditionalFormatting>
  <conditionalFormatting sqref="P9:P63">
    <cfRule type="cellIs" dxfId="411" priority="31" stopIfTrue="1" operator="lessThan">
      <formula>10</formula>
    </cfRule>
    <cfRule type="cellIs" dxfId="410" priority="32" stopIfTrue="1" operator="greaterThan">
      <formula>9</formula>
    </cfRule>
    <cfRule type="cellIs" dxfId="409" priority="33" stopIfTrue="1" operator="lessThan">
      <formula>10</formula>
    </cfRule>
    <cfRule type="cellIs" dxfId="408" priority="34" stopIfTrue="1" operator="greaterThan">
      <formula>9</formula>
    </cfRule>
  </conditionalFormatting>
  <conditionalFormatting sqref="J9:J63">
    <cfRule type="cellIs" dxfId="407" priority="15" stopIfTrue="1" operator="lessThan">
      <formula>10</formula>
    </cfRule>
    <cfRule type="cellIs" dxfId="406" priority="16" stopIfTrue="1" operator="greaterThanOrEqual">
      <formula>10</formula>
    </cfRule>
  </conditionalFormatting>
  <conditionalFormatting sqref="I9:I63">
    <cfRule type="cellIs" dxfId="405" priority="11" stopIfTrue="1" operator="lessThan">
      <formula>10</formula>
    </cfRule>
    <cfRule type="cellIs" dxfId="404" priority="12" stopIfTrue="1" operator="greaterThan">
      <formula>9</formula>
    </cfRule>
    <cfRule type="cellIs" dxfId="403" priority="13" stopIfTrue="1" operator="lessThan">
      <formula>10</formula>
    </cfRule>
    <cfRule type="cellIs" dxfId="402" priority="14" stopIfTrue="1" operator="greaterThan">
      <formula>9</formula>
    </cfRule>
  </conditionalFormatting>
  <conditionalFormatting sqref="L9:O63">
    <cfRule type="cellIs" dxfId="401" priority="7" stopIfTrue="1" operator="lessThan">
      <formula>10</formula>
    </cfRule>
    <cfRule type="cellIs" dxfId="400" priority="8" stopIfTrue="1" operator="greaterThan">
      <formula>9</formula>
    </cfRule>
    <cfRule type="cellIs" dxfId="399" priority="9" stopIfTrue="1" operator="lessThan">
      <formula>10</formula>
    </cfRule>
    <cfRule type="cellIs" dxfId="398" priority="10" stopIfTrue="1" operator="greaterThan">
      <formula>9</formula>
    </cfRule>
  </conditionalFormatting>
  <conditionalFormatting sqref="E9:H63">
    <cfRule type="cellIs" dxfId="397" priority="1" stopIfTrue="1" operator="lessThan">
      <formula>10</formula>
    </cfRule>
    <cfRule type="cellIs" dxfId="396" priority="2" stopIfTrue="1" operator="greaterThan">
      <formula>9</formula>
    </cfRule>
    <cfRule type="cellIs" dxfId="395" priority="3" stopIfTrue="1" operator="lessThan">
      <formula>10</formula>
    </cfRule>
    <cfRule type="cellIs" dxfId="394" priority="4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12</xdr:col>
                <xdr:colOff>327660</xdr:colOff>
                <xdr:row>65</xdr:row>
                <xdr:rowOff>22860</xdr:rowOff>
              </to>
            </anchor>
          </objectPr>
        </oleObject>
      </mc:Choice>
      <mc:Fallback>
        <oleObject progId="Word.Document.8" shapeId="204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" stopIfTrue="1" operator="containsText" id="{AC5DD8E0-EA69-4486-B289-76414BFAA95B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4" stopIfTrue="1" operator="containsText" id="{037CF59D-B9BE-4658-AEAD-197736436F81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21" stopIfTrue="1" operator="containsText" id="{DF4092EE-FBED-4600-8ECE-C43AC9DE14DB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B45103C2-3A35-4DDA-A532-413A6217A99C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5" stopIfTrue="1" operator="containsText" id="{34481895-895E-47D9-B6E5-0AE94FD81040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2553016A-045C-4A39-B778-CBB4F4FC410D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G16" sqref="G16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32"/>
      <c r="I4" s="324" t="s">
        <v>18</v>
      </c>
      <c r="J4" s="324"/>
      <c r="K4" s="324"/>
      <c r="L4" s="324"/>
      <c r="M4" s="324"/>
      <c r="N4" s="324"/>
      <c r="O4" s="324"/>
      <c r="P4" s="324"/>
      <c r="Q4" s="324"/>
      <c r="R4" s="32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32"/>
      <c r="H5" s="36"/>
      <c r="I5" s="361" t="s">
        <v>34</v>
      </c>
      <c r="J5" s="361"/>
      <c r="K5" s="361"/>
      <c r="L5" s="361"/>
      <c r="M5" s="361"/>
      <c r="N5" s="361"/>
      <c r="O5" s="36"/>
      <c r="P5" s="36"/>
      <c r="Q5" s="36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5</v>
      </c>
      <c r="AD8" s="335">
        <f>COUNTIF(Z9:Z69,"N/TRANSITA")</f>
        <v>50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197">
        <v>8</v>
      </c>
      <c r="F9" s="103">
        <v>2</v>
      </c>
      <c r="G9" s="103"/>
      <c r="H9" s="103">
        <v>10</v>
      </c>
      <c r="I9" s="126"/>
      <c r="J9" s="127">
        <f>AVERAGE(E9,MAX(F9:G9),MAX(H9:I9))</f>
        <v>6.666666666666667</v>
      </c>
      <c r="K9" s="179" t="str">
        <f>IF(J9&gt;=10,"TRANSITA","N/TRANSITA")</f>
        <v>N/TRANSITA</v>
      </c>
      <c r="L9" s="128">
        <v>12</v>
      </c>
      <c r="M9" s="129">
        <v>6</v>
      </c>
      <c r="N9" s="129"/>
      <c r="O9" s="129">
        <v>2</v>
      </c>
      <c r="P9" s="129"/>
      <c r="Q9" s="127">
        <f>AVERAGE(L9,MAX(M9:N9),MAX(O9:P9))</f>
        <v>6.666666666666667</v>
      </c>
      <c r="R9" s="179" t="str">
        <f>IF(Q9&gt;=10,"TRANSITA","N/TRANSITA")</f>
        <v>N/TRANSITA</v>
      </c>
      <c r="S9" s="130"/>
      <c r="T9" s="126"/>
      <c r="U9" s="126"/>
      <c r="V9" s="131"/>
      <c r="W9" s="131"/>
      <c r="X9" s="23">
        <f>AVERAGE(S9,MAX(T9:U9),MAX(V9:W9))</f>
        <v>0</v>
      </c>
      <c r="Y9" s="20">
        <f t="shared" ref="Y9:Y62" si="0">SUM(J9,Q9,X9)/3</f>
        <v>4.4444444444444446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197">
        <v>12</v>
      </c>
      <c r="F10" s="103">
        <v>10.5</v>
      </c>
      <c r="G10" s="103"/>
      <c r="H10" s="103">
        <v>1</v>
      </c>
      <c r="I10" s="126"/>
      <c r="J10" s="127">
        <f>AVERAGE(E10,MAX(F10:G10),MAX(H10:I10))</f>
        <v>7.833333333333333</v>
      </c>
      <c r="K10" s="180" t="str">
        <f t="shared" ref="K10:K63" si="1">IF(J10&gt;=10,"TRANSITA","N/TRANSITA")</f>
        <v>N/TRANSITA</v>
      </c>
      <c r="L10" s="132">
        <v>13</v>
      </c>
      <c r="M10" s="133">
        <v>5</v>
      </c>
      <c r="N10" s="133"/>
      <c r="O10" s="133">
        <v>6.5</v>
      </c>
      <c r="P10" s="133"/>
      <c r="Q10" s="127">
        <f>AVERAGE(L10,MAX(M10:N10),MAX(O10:P10))</f>
        <v>8.1666666666666661</v>
      </c>
      <c r="R10" s="180" t="str">
        <f t="shared" ref="R10:R63" si="2">IF(Q10&gt;=10,"TRANSITA","N/TRANSITA")</f>
        <v>N/TRANSITA</v>
      </c>
      <c r="S10" s="130"/>
      <c r="T10" s="135"/>
      <c r="U10" s="135"/>
      <c r="V10" s="136"/>
      <c r="W10" s="136"/>
      <c r="X10" s="23">
        <f>AVERAGE(S10,MAX(T10:U10),MAX(V10:W10))</f>
        <v>0</v>
      </c>
      <c r="Y10" s="21">
        <f t="shared" ref="Y10" si="3">SUM(J10,Q10,X10)/3</f>
        <v>5.333333333333333</v>
      </c>
      <c r="Z10" s="180" t="str">
        <f t="shared" ref="Z10:Z63" si="4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197">
        <v>16</v>
      </c>
      <c r="F11" s="103">
        <v>18.5</v>
      </c>
      <c r="G11" s="103"/>
      <c r="H11" s="103">
        <v>3</v>
      </c>
      <c r="I11" s="126"/>
      <c r="J11" s="127">
        <f t="shared" ref="J11:J63" si="5">AVERAGE(E11,MAX(F11:G11),MAX(H11:I11))</f>
        <v>12.5</v>
      </c>
      <c r="K11" s="180" t="str">
        <f t="shared" si="1"/>
        <v>TRANSITA</v>
      </c>
      <c r="L11" s="132">
        <v>13</v>
      </c>
      <c r="M11" s="133">
        <v>8</v>
      </c>
      <c r="N11" s="133"/>
      <c r="O11" s="133">
        <v>2</v>
      </c>
      <c r="P11" s="133"/>
      <c r="Q11" s="127">
        <f t="shared" ref="Q11:Q63" si="6">AVERAGE(L11,MAX(M11:N11),MAX(O11:P11))</f>
        <v>7.666666666666667</v>
      </c>
      <c r="R11" s="180" t="str">
        <f t="shared" si="2"/>
        <v>N/TRANSITA</v>
      </c>
      <c r="S11" s="130"/>
      <c r="T11" s="135"/>
      <c r="U11" s="135"/>
      <c r="V11" s="136"/>
      <c r="W11" s="136"/>
      <c r="X11" s="23">
        <f t="shared" ref="X11:X60" si="7">AVERAGE(S11,MAX(T11:U11),MAX(V11:W11))</f>
        <v>0</v>
      </c>
      <c r="Y11" s="21">
        <f t="shared" ref="Y11:Y60" si="8">SUM(J11,Q11,X11)/3</f>
        <v>6.7222222222222223</v>
      </c>
      <c r="Z11" s="180" t="str">
        <f t="shared" si="4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197">
        <v>20</v>
      </c>
      <c r="F12" s="103">
        <v>20</v>
      </c>
      <c r="G12" s="103"/>
      <c r="H12" s="103">
        <v>20</v>
      </c>
      <c r="I12" s="126"/>
      <c r="J12" s="127">
        <f t="shared" si="5"/>
        <v>20</v>
      </c>
      <c r="K12" s="180" t="str">
        <f t="shared" si="1"/>
        <v>TRANSITA</v>
      </c>
      <c r="L12" s="132">
        <v>20</v>
      </c>
      <c r="M12" s="133">
        <v>10</v>
      </c>
      <c r="N12" s="133"/>
      <c r="O12" s="133">
        <v>15</v>
      </c>
      <c r="P12" s="133"/>
      <c r="Q12" s="127">
        <f t="shared" si="6"/>
        <v>15</v>
      </c>
      <c r="R12" s="180" t="str">
        <f t="shared" si="2"/>
        <v>TRANSITA</v>
      </c>
      <c r="S12" s="130"/>
      <c r="T12" s="135"/>
      <c r="U12" s="135"/>
      <c r="V12" s="136"/>
      <c r="W12" s="136"/>
      <c r="X12" s="23">
        <f t="shared" si="7"/>
        <v>0</v>
      </c>
      <c r="Y12" s="21">
        <f t="shared" si="8"/>
        <v>11.666666666666666</v>
      </c>
      <c r="Z12" s="180" t="str">
        <f t="shared" si="4"/>
        <v>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197">
        <v>10</v>
      </c>
      <c r="F13" s="103"/>
      <c r="G13" s="103"/>
      <c r="H13" s="103">
        <v>8</v>
      </c>
      <c r="I13" s="126"/>
      <c r="J13" s="127">
        <f t="shared" si="5"/>
        <v>6</v>
      </c>
      <c r="K13" s="180" t="str">
        <f t="shared" si="1"/>
        <v>N/TRANSITA</v>
      </c>
      <c r="L13" s="132">
        <v>15</v>
      </c>
      <c r="M13" s="133">
        <v>15</v>
      </c>
      <c r="N13" s="133"/>
      <c r="O13" s="133">
        <v>10</v>
      </c>
      <c r="P13" s="133"/>
      <c r="Q13" s="127">
        <f t="shared" si="6"/>
        <v>13.333333333333334</v>
      </c>
      <c r="R13" s="180" t="str">
        <f t="shared" si="2"/>
        <v>TRANSITA</v>
      </c>
      <c r="S13" s="130"/>
      <c r="T13" s="135"/>
      <c r="U13" s="135"/>
      <c r="V13" s="136"/>
      <c r="W13" s="136"/>
      <c r="X13" s="23">
        <f t="shared" si="7"/>
        <v>0</v>
      </c>
      <c r="Y13" s="21">
        <f t="shared" si="8"/>
        <v>6.4444444444444455</v>
      </c>
      <c r="Z13" s="180" t="str">
        <f t="shared" si="4"/>
        <v>N/TRANSITA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197">
        <v>16</v>
      </c>
      <c r="F14" s="103">
        <v>19</v>
      </c>
      <c r="G14" s="103"/>
      <c r="H14" s="103">
        <v>5</v>
      </c>
      <c r="I14" s="126"/>
      <c r="J14" s="127">
        <f t="shared" si="5"/>
        <v>13.333333333333334</v>
      </c>
      <c r="K14" s="180" t="str">
        <f t="shared" si="1"/>
        <v>TRANSITA</v>
      </c>
      <c r="L14" s="132">
        <v>14</v>
      </c>
      <c r="M14" s="133">
        <v>5</v>
      </c>
      <c r="N14" s="133"/>
      <c r="O14" s="133">
        <v>11.5</v>
      </c>
      <c r="P14" s="133"/>
      <c r="Q14" s="127">
        <f t="shared" si="6"/>
        <v>10.166666666666666</v>
      </c>
      <c r="R14" s="180" t="str">
        <f t="shared" si="2"/>
        <v>TRANSITA</v>
      </c>
      <c r="S14" s="130"/>
      <c r="T14" s="135"/>
      <c r="U14" s="135"/>
      <c r="V14" s="136"/>
      <c r="W14" s="136"/>
      <c r="X14" s="23">
        <f t="shared" si="7"/>
        <v>0</v>
      </c>
      <c r="Y14" s="21">
        <f t="shared" si="8"/>
        <v>7.833333333333333</v>
      </c>
      <c r="Z14" s="180" t="str">
        <f t="shared" si="4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197">
        <v>18</v>
      </c>
      <c r="F15" s="103">
        <v>19</v>
      </c>
      <c r="G15" s="103"/>
      <c r="H15" s="103">
        <v>16</v>
      </c>
      <c r="I15" s="126"/>
      <c r="J15" s="127">
        <f t="shared" si="5"/>
        <v>17.666666666666668</v>
      </c>
      <c r="K15" s="180" t="str">
        <f t="shared" si="1"/>
        <v>TRANSITA</v>
      </c>
      <c r="L15" s="132">
        <v>12</v>
      </c>
      <c r="M15" s="133">
        <v>8</v>
      </c>
      <c r="N15" s="133"/>
      <c r="O15" s="133">
        <v>2</v>
      </c>
      <c r="P15" s="133"/>
      <c r="Q15" s="127">
        <f t="shared" si="6"/>
        <v>7.333333333333333</v>
      </c>
      <c r="R15" s="180" t="str">
        <f t="shared" si="2"/>
        <v>N/TRANSITA</v>
      </c>
      <c r="S15" s="130"/>
      <c r="T15" s="135"/>
      <c r="U15" s="135"/>
      <c r="V15" s="136"/>
      <c r="W15" s="136"/>
      <c r="X15" s="23">
        <f t="shared" si="7"/>
        <v>0</v>
      </c>
      <c r="Y15" s="21">
        <f t="shared" si="8"/>
        <v>8.3333333333333339</v>
      </c>
      <c r="Z15" s="180" t="str">
        <f t="shared" si="4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197">
        <v>12</v>
      </c>
      <c r="F16" s="103">
        <v>2</v>
      </c>
      <c r="G16" s="103"/>
      <c r="H16" s="103">
        <v>10</v>
      </c>
      <c r="I16" s="126"/>
      <c r="J16" s="127">
        <f t="shared" si="5"/>
        <v>8</v>
      </c>
      <c r="K16" s="180" t="str">
        <f t="shared" si="1"/>
        <v>N/TRANSITA</v>
      </c>
      <c r="L16" s="132">
        <v>13</v>
      </c>
      <c r="M16" s="133">
        <v>7</v>
      </c>
      <c r="N16" s="133"/>
      <c r="O16" s="133">
        <v>2</v>
      </c>
      <c r="P16" s="133"/>
      <c r="Q16" s="127">
        <f t="shared" si="6"/>
        <v>7.333333333333333</v>
      </c>
      <c r="R16" s="180" t="str">
        <f t="shared" si="2"/>
        <v>N/TRANSITA</v>
      </c>
      <c r="S16" s="130"/>
      <c r="T16" s="135"/>
      <c r="U16" s="135"/>
      <c r="V16" s="136"/>
      <c r="W16" s="136"/>
      <c r="X16" s="23">
        <f t="shared" si="7"/>
        <v>0</v>
      </c>
      <c r="Y16" s="21">
        <f t="shared" si="8"/>
        <v>5.1111111111111107</v>
      </c>
      <c r="Z16" s="180" t="str">
        <f t="shared" si="4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197">
        <v>18</v>
      </c>
      <c r="F17" s="103">
        <v>18</v>
      </c>
      <c r="G17" s="103"/>
      <c r="H17" s="103">
        <v>15</v>
      </c>
      <c r="I17" s="126"/>
      <c r="J17" s="127">
        <f t="shared" si="5"/>
        <v>17</v>
      </c>
      <c r="K17" s="180" t="str">
        <f t="shared" si="1"/>
        <v>TRANSITA</v>
      </c>
      <c r="L17" s="132">
        <v>14</v>
      </c>
      <c r="M17" s="133">
        <v>6</v>
      </c>
      <c r="N17" s="133"/>
      <c r="O17" s="133">
        <v>5</v>
      </c>
      <c r="P17" s="133"/>
      <c r="Q17" s="127">
        <f t="shared" si="6"/>
        <v>8.3333333333333339</v>
      </c>
      <c r="R17" s="180" t="str">
        <f t="shared" si="2"/>
        <v>N/TRANSITA</v>
      </c>
      <c r="S17" s="130"/>
      <c r="T17" s="135"/>
      <c r="U17" s="135"/>
      <c r="V17" s="136"/>
      <c r="W17" s="136"/>
      <c r="X17" s="23">
        <f t="shared" si="7"/>
        <v>0</v>
      </c>
      <c r="Y17" s="21">
        <f t="shared" si="8"/>
        <v>8.4444444444444446</v>
      </c>
      <c r="Z17" s="180" t="str">
        <f t="shared" si="4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197">
        <v>14</v>
      </c>
      <c r="F18" s="103">
        <v>5.5</v>
      </c>
      <c r="G18" s="103"/>
      <c r="H18" s="103">
        <v>6.5</v>
      </c>
      <c r="I18" s="126"/>
      <c r="J18" s="127">
        <f t="shared" si="5"/>
        <v>8.6666666666666661</v>
      </c>
      <c r="K18" s="180" t="str">
        <f t="shared" si="1"/>
        <v>N/TRANSITA</v>
      </c>
      <c r="L18" s="132">
        <v>12</v>
      </c>
      <c r="M18" s="133">
        <v>5</v>
      </c>
      <c r="N18" s="133"/>
      <c r="O18" s="133">
        <v>2</v>
      </c>
      <c r="P18" s="133"/>
      <c r="Q18" s="127">
        <f t="shared" si="6"/>
        <v>6.333333333333333</v>
      </c>
      <c r="R18" s="180" t="str">
        <f t="shared" si="2"/>
        <v>N/TRANSITA</v>
      </c>
      <c r="S18" s="130"/>
      <c r="T18" s="135"/>
      <c r="U18" s="135"/>
      <c r="V18" s="136"/>
      <c r="W18" s="136"/>
      <c r="X18" s="23">
        <f t="shared" si="7"/>
        <v>0</v>
      </c>
      <c r="Y18" s="21">
        <f t="shared" si="8"/>
        <v>5</v>
      </c>
      <c r="Z18" s="180" t="str">
        <f t="shared" si="4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197">
        <v>12</v>
      </c>
      <c r="F19" s="103">
        <v>9</v>
      </c>
      <c r="G19" s="103"/>
      <c r="H19" s="103">
        <v>2</v>
      </c>
      <c r="I19" s="126"/>
      <c r="J19" s="127">
        <f t="shared" si="5"/>
        <v>7.666666666666667</v>
      </c>
      <c r="K19" s="180" t="str">
        <f t="shared" si="1"/>
        <v>N/TRANSITA</v>
      </c>
      <c r="L19" s="132">
        <v>13</v>
      </c>
      <c r="M19" s="133">
        <v>7</v>
      </c>
      <c r="N19" s="133"/>
      <c r="O19" s="133">
        <v>3.5</v>
      </c>
      <c r="P19" s="133"/>
      <c r="Q19" s="127">
        <f t="shared" si="6"/>
        <v>7.833333333333333</v>
      </c>
      <c r="R19" s="180" t="str">
        <f t="shared" si="2"/>
        <v>N/TRANSITA</v>
      </c>
      <c r="S19" s="130"/>
      <c r="T19" s="135"/>
      <c r="U19" s="135"/>
      <c r="V19" s="136"/>
      <c r="W19" s="136"/>
      <c r="X19" s="23">
        <f t="shared" si="7"/>
        <v>0</v>
      </c>
      <c r="Y19" s="21">
        <f t="shared" si="8"/>
        <v>5.166666666666667</v>
      </c>
      <c r="Z19" s="180" t="str">
        <f t="shared" si="4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197">
        <v>16</v>
      </c>
      <c r="F20" s="103">
        <v>18</v>
      </c>
      <c r="G20" s="103"/>
      <c r="H20" s="103">
        <v>10.5</v>
      </c>
      <c r="I20" s="126"/>
      <c r="J20" s="127">
        <f t="shared" si="5"/>
        <v>14.833333333333334</v>
      </c>
      <c r="K20" s="180" t="str">
        <f t="shared" si="1"/>
        <v>TRANSITA</v>
      </c>
      <c r="L20" s="132">
        <v>13</v>
      </c>
      <c r="M20" s="133">
        <v>8</v>
      </c>
      <c r="N20" s="133"/>
      <c r="O20" s="133">
        <v>2</v>
      </c>
      <c r="P20" s="133"/>
      <c r="Q20" s="127">
        <f t="shared" si="6"/>
        <v>7.666666666666667</v>
      </c>
      <c r="R20" s="180" t="str">
        <f t="shared" si="2"/>
        <v>N/TRANSITA</v>
      </c>
      <c r="S20" s="130"/>
      <c r="T20" s="135"/>
      <c r="U20" s="135"/>
      <c r="V20" s="136"/>
      <c r="W20" s="136"/>
      <c r="X20" s="23">
        <f t="shared" si="7"/>
        <v>0</v>
      </c>
      <c r="Y20" s="21">
        <f t="shared" si="8"/>
        <v>7.5</v>
      </c>
      <c r="Z20" s="180" t="str">
        <f t="shared" si="4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197">
        <v>16</v>
      </c>
      <c r="F21" s="103">
        <v>19.5</v>
      </c>
      <c r="G21" s="103"/>
      <c r="H21" s="103">
        <v>8.5</v>
      </c>
      <c r="I21" s="126"/>
      <c r="J21" s="127">
        <f t="shared" si="5"/>
        <v>14.666666666666666</v>
      </c>
      <c r="K21" s="180" t="str">
        <f t="shared" si="1"/>
        <v>TRANSITA</v>
      </c>
      <c r="L21" s="132">
        <v>12</v>
      </c>
      <c r="M21" s="133">
        <v>8</v>
      </c>
      <c r="N21" s="133"/>
      <c r="O21" s="133">
        <v>5</v>
      </c>
      <c r="P21" s="133"/>
      <c r="Q21" s="127">
        <f t="shared" si="6"/>
        <v>8.3333333333333339</v>
      </c>
      <c r="R21" s="180" t="str">
        <f t="shared" si="2"/>
        <v>N/TRANSITA</v>
      </c>
      <c r="S21" s="130"/>
      <c r="T21" s="135"/>
      <c r="U21" s="135"/>
      <c r="V21" s="136"/>
      <c r="W21" s="136"/>
      <c r="X21" s="23">
        <f t="shared" si="7"/>
        <v>0</v>
      </c>
      <c r="Y21" s="21">
        <f t="shared" si="8"/>
        <v>7.666666666666667</v>
      </c>
      <c r="Z21" s="180" t="str">
        <f t="shared" si="4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197">
        <v>12</v>
      </c>
      <c r="F22" s="103">
        <v>6</v>
      </c>
      <c r="G22" s="103"/>
      <c r="H22" s="103">
        <v>6</v>
      </c>
      <c r="I22" s="126"/>
      <c r="J22" s="127">
        <f t="shared" si="5"/>
        <v>8</v>
      </c>
      <c r="K22" s="180" t="str">
        <f t="shared" si="1"/>
        <v>N/TRANSITA</v>
      </c>
      <c r="L22" s="132">
        <v>13</v>
      </c>
      <c r="M22" s="133">
        <v>9</v>
      </c>
      <c r="N22" s="133"/>
      <c r="O22" s="133">
        <v>5.5</v>
      </c>
      <c r="P22" s="133"/>
      <c r="Q22" s="127">
        <f t="shared" si="6"/>
        <v>9.1666666666666661</v>
      </c>
      <c r="R22" s="180" t="str">
        <f t="shared" si="2"/>
        <v>N/TRANSITA</v>
      </c>
      <c r="S22" s="130"/>
      <c r="T22" s="135"/>
      <c r="U22" s="135"/>
      <c r="V22" s="136"/>
      <c r="W22" s="136"/>
      <c r="X22" s="23">
        <f t="shared" si="7"/>
        <v>0</v>
      </c>
      <c r="Y22" s="21">
        <f t="shared" si="8"/>
        <v>5.7222222222222214</v>
      </c>
      <c r="Z22" s="180" t="str">
        <f t="shared" si="4"/>
        <v>N/TRANSITA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197">
        <v>16</v>
      </c>
      <c r="F23" s="103">
        <v>4</v>
      </c>
      <c r="G23" s="103"/>
      <c r="H23" s="103">
        <v>10</v>
      </c>
      <c r="I23" s="126"/>
      <c r="J23" s="127">
        <f t="shared" si="5"/>
        <v>10</v>
      </c>
      <c r="K23" s="180" t="str">
        <f t="shared" si="1"/>
        <v>TRANSITA</v>
      </c>
      <c r="L23" s="132">
        <v>14</v>
      </c>
      <c r="M23" s="133">
        <v>7</v>
      </c>
      <c r="N23" s="133"/>
      <c r="O23" s="133">
        <v>2</v>
      </c>
      <c r="P23" s="133"/>
      <c r="Q23" s="127">
        <f t="shared" si="6"/>
        <v>7.666666666666667</v>
      </c>
      <c r="R23" s="180" t="str">
        <f t="shared" si="2"/>
        <v>N/TRANSITA</v>
      </c>
      <c r="S23" s="130"/>
      <c r="T23" s="135"/>
      <c r="U23" s="135"/>
      <c r="V23" s="136"/>
      <c r="W23" s="136"/>
      <c r="X23" s="23">
        <f t="shared" si="7"/>
        <v>0</v>
      </c>
      <c r="Y23" s="21">
        <f t="shared" si="8"/>
        <v>5.8888888888888893</v>
      </c>
      <c r="Z23" s="180" t="str">
        <f t="shared" si="4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197">
        <v>16</v>
      </c>
      <c r="F24" s="103">
        <v>12.5</v>
      </c>
      <c r="G24" s="103"/>
      <c r="H24" s="103">
        <v>3</v>
      </c>
      <c r="I24" s="126"/>
      <c r="J24" s="127">
        <f t="shared" si="5"/>
        <v>10.5</v>
      </c>
      <c r="K24" s="180" t="str">
        <f t="shared" si="1"/>
        <v>TRANSITA</v>
      </c>
      <c r="L24" s="132">
        <v>15</v>
      </c>
      <c r="M24" s="133">
        <v>8</v>
      </c>
      <c r="N24" s="133"/>
      <c r="O24" s="133">
        <v>3</v>
      </c>
      <c r="P24" s="133"/>
      <c r="Q24" s="127">
        <f t="shared" si="6"/>
        <v>8.6666666666666661</v>
      </c>
      <c r="R24" s="180" t="str">
        <f t="shared" si="2"/>
        <v>N/TRANSITA</v>
      </c>
      <c r="S24" s="130"/>
      <c r="T24" s="135"/>
      <c r="U24" s="135"/>
      <c r="V24" s="136"/>
      <c r="W24" s="136"/>
      <c r="X24" s="23">
        <f t="shared" si="7"/>
        <v>0</v>
      </c>
      <c r="Y24" s="21">
        <f t="shared" si="8"/>
        <v>6.3888888888888884</v>
      </c>
      <c r="Z24" s="180" t="str">
        <f t="shared" si="4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197">
        <v>12</v>
      </c>
      <c r="F25" s="103">
        <v>3.5</v>
      </c>
      <c r="G25" s="103"/>
      <c r="H25" s="103">
        <v>0</v>
      </c>
      <c r="I25" s="126"/>
      <c r="J25" s="127">
        <f t="shared" si="5"/>
        <v>5.166666666666667</v>
      </c>
      <c r="K25" s="180" t="str">
        <f t="shared" si="1"/>
        <v>N/TRANSITA</v>
      </c>
      <c r="L25" s="132">
        <v>14</v>
      </c>
      <c r="M25" s="133">
        <v>7.5</v>
      </c>
      <c r="N25" s="133"/>
      <c r="O25" s="133">
        <v>8</v>
      </c>
      <c r="P25" s="133"/>
      <c r="Q25" s="127">
        <f t="shared" ref="Q25:Q26" si="9">AVERAGE(L25,MAX(M25:N25),MAX(O25:P25))</f>
        <v>9.8333333333333339</v>
      </c>
      <c r="R25" s="180" t="str">
        <f t="shared" ref="R25:R26" si="10">IF(Q25&gt;=10,"TRANSITA","N/TRANSITA")</f>
        <v>N/TRANSITA</v>
      </c>
      <c r="S25" s="130"/>
      <c r="T25" s="135"/>
      <c r="U25" s="135"/>
      <c r="V25" s="136"/>
      <c r="W25" s="136"/>
      <c r="X25" s="23">
        <f t="shared" ref="X25:X26" si="11">AVERAGE(S25,MAX(T25:U25),MAX(V25:W25))</f>
        <v>0</v>
      </c>
      <c r="Y25" s="21">
        <f t="shared" ref="Y25:Y26" si="12">SUM(J25,Q25,X25)/3</f>
        <v>5</v>
      </c>
      <c r="Z25" s="180" t="str">
        <f t="shared" ref="Z25:Z26" si="13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197">
        <v>16</v>
      </c>
      <c r="F26" s="103">
        <v>17</v>
      </c>
      <c r="G26" s="103"/>
      <c r="H26" s="103">
        <v>2</v>
      </c>
      <c r="I26" s="126"/>
      <c r="J26" s="127">
        <f t="shared" si="5"/>
        <v>11.666666666666666</v>
      </c>
      <c r="K26" s="180" t="str">
        <f t="shared" si="1"/>
        <v>TRANSITA</v>
      </c>
      <c r="L26" s="132">
        <v>15</v>
      </c>
      <c r="M26" s="133">
        <v>9</v>
      </c>
      <c r="N26" s="133"/>
      <c r="O26" s="133">
        <v>2</v>
      </c>
      <c r="P26" s="133"/>
      <c r="Q26" s="127">
        <f t="shared" si="9"/>
        <v>8.6666666666666661</v>
      </c>
      <c r="R26" s="180" t="str">
        <f t="shared" si="10"/>
        <v>N/TRANSITA</v>
      </c>
      <c r="S26" s="130"/>
      <c r="T26" s="135"/>
      <c r="U26" s="135"/>
      <c r="V26" s="136"/>
      <c r="W26" s="136"/>
      <c r="X26" s="23">
        <f t="shared" si="11"/>
        <v>0</v>
      </c>
      <c r="Y26" s="21">
        <f t="shared" si="12"/>
        <v>6.7777777777777777</v>
      </c>
      <c r="Z26" s="180" t="str">
        <f t="shared" si="13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197">
        <v>15</v>
      </c>
      <c r="F27" s="103">
        <v>10</v>
      </c>
      <c r="G27" s="103"/>
      <c r="H27" s="103">
        <v>11</v>
      </c>
      <c r="I27" s="126"/>
      <c r="J27" s="127">
        <f t="shared" si="5"/>
        <v>12</v>
      </c>
      <c r="K27" s="180" t="str">
        <f t="shared" si="1"/>
        <v>TRANSITA</v>
      </c>
      <c r="L27" s="132">
        <v>14</v>
      </c>
      <c r="M27" s="133">
        <v>7</v>
      </c>
      <c r="N27" s="133"/>
      <c r="O27" s="133">
        <v>7</v>
      </c>
      <c r="P27" s="133"/>
      <c r="Q27" s="127">
        <f t="shared" si="6"/>
        <v>9.3333333333333339</v>
      </c>
      <c r="R27" s="180" t="str">
        <f t="shared" si="2"/>
        <v>N/TRANSITA</v>
      </c>
      <c r="S27" s="130"/>
      <c r="T27" s="135"/>
      <c r="U27" s="135"/>
      <c r="V27" s="136"/>
      <c r="W27" s="136"/>
      <c r="X27" s="23">
        <f t="shared" si="7"/>
        <v>0</v>
      </c>
      <c r="Y27" s="21">
        <f t="shared" si="8"/>
        <v>7.1111111111111116</v>
      </c>
      <c r="Z27" s="180" t="str">
        <f t="shared" si="4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197">
        <v>14</v>
      </c>
      <c r="F28" s="103">
        <v>15</v>
      </c>
      <c r="G28" s="103"/>
      <c r="H28" s="103">
        <v>2</v>
      </c>
      <c r="I28" s="126"/>
      <c r="J28" s="127">
        <f t="shared" si="5"/>
        <v>10.333333333333334</v>
      </c>
      <c r="K28" s="180" t="str">
        <f t="shared" si="1"/>
        <v>TRANSITA</v>
      </c>
      <c r="L28" s="132"/>
      <c r="M28" s="133"/>
      <c r="N28" s="133"/>
      <c r="O28" s="133"/>
      <c r="P28" s="133"/>
      <c r="Q28" s="127">
        <f t="shared" si="6"/>
        <v>0</v>
      </c>
      <c r="R28" s="180" t="str">
        <f t="shared" si="2"/>
        <v>N/TRANSITA</v>
      </c>
      <c r="S28" s="130"/>
      <c r="T28" s="135"/>
      <c r="U28" s="135"/>
      <c r="V28" s="136"/>
      <c r="W28" s="136"/>
      <c r="X28" s="23">
        <f t="shared" si="7"/>
        <v>0</v>
      </c>
      <c r="Y28" s="21">
        <f t="shared" si="8"/>
        <v>3.4444444444444446</v>
      </c>
      <c r="Z28" s="180" t="str">
        <f t="shared" si="4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197">
        <v>16</v>
      </c>
      <c r="F29" s="103">
        <v>19</v>
      </c>
      <c r="G29" s="103"/>
      <c r="H29" s="103">
        <v>10</v>
      </c>
      <c r="I29" s="126"/>
      <c r="J29" s="127">
        <f t="shared" si="5"/>
        <v>15</v>
      </c>
      <c r="K29" s="180" t="str">
        <f t="shared" si="1"/>
        <v>TRANSITA</v>
      </c>
      <c r="L29" s="132">
        <v>12</v>
      </c>
      <c r="M29" s="133">
        <v>5</v>
      </c>
      <c r="N29" s="133"/>
      <c r="O29" s="133">
        <v>2</v>
      </c>
      <c r="P29" s="133"/>
      <c r="Q29" s="127">
        <f t="shared" si="6"/>
        <v>6.333333333333333</v>
      </c>
      <c r="R29" s="180" t="str">
        <f t="shared" si="2"/>
        <v>N/TRANSITA</v>
      </c>
      <c r="S29" s="130"/>
      <c r="T29" s="135"/>
      <c r="U29" s="135"/>
      <c r="V29" s="136"/>
      <c r="W29" s="136"/>
      <c r="X29" s="23">
        <f t="shared" si="7"/>
        <v>0</v>
      </c>
      <c r="Y29" s="21">
        <f t="shared" si="8"/>
        <v>7.1111111111111107</v>
      </c>
      <c r="Z29" s="180" t="str">
        <f t="shared" si="4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197">
        <v>20</v>
      </c>
      <c r="F30" s="103">
        <v>20</v>
      </c>
      <c r="G30" s="103"/>
      <c r="H30" s="103">
        <v>18</v>
      </c>
      <c r="I30" s="126"/>
      <c r="J30" s="127">
        <f t="shared" si="5"/>
        <v>19.333333333333332</v>
      </c>
      <c r="K30" s="180" t="str">
        <f t="shared" si="1"/>
        <v>TRANSITA</v>
      </c>
      <c r="L30" s="132">
        <v>13</v>
      </c>
      <c r="M30" s="133">
        <v>10</v>
      </c>
      <c r="N30" s="133"/>
      <c r="O30" s="133">
        <v>9</v>
      </c>
      <c r="P30" s="133"/>
      <c r="Q30" s="127">
        <f t="shared" si="6"/>
        <v>10.666666666666666</v>
      </c>
      <c r="R30" s="180" t="str">
        <f t="shared" si="2"/>
        <v>TRANSITA</v>
      </c>
      <c r="S30" s="130"/>
      <c r="T30" s="135"/>
      <c r="U30" s="135"/>
      <c r="V30" s="136"/>
      <c r="W30" s="136"/>
      <c r="X30" s="23">
        <f t="shared" si="7"/>
        <v>0</v>
      </c>
      <c r="Y30" s="21">
        <f t="shared" si="8"/>
        <v>10</v>
      </c>
      <c r="Z30" s="180" t="str">
        <f t="shared" si="4"/>
        <v>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197"/>
      <c r="F31" s="103"/>
      <c r="G31" s="103"/>
      <c r="H31" s="103"/>
      <c r="I31" s="126"/>
      <c r="J31" s="127">
        <f t="shared" si="5"/>
        <v>0</v>
      </c>
      <c r="K31" s="180" t="str">
        <f t="shared" si="1"/>
        <v>N/TRANSITA</v>
      </c>
      <c r="L31" s="132">
        <v>12</v>
      </c>
      <c r="M31" s="133">
        <v>5</v>
      </c>
      <c r="N31" s="133"/>
      <c r="O31" s="133">
        <v>3</v>
      </c>
      <c r="P31" s="133"/>
      <c r="Q31" s="127">
        <f t="shared" ref="Q31" si="14">AVERAGE(L31,MAX(M31:N31),MAX(O31:P31))</f>
        <v>6.666666666666667</v>
      </c>
      <c r="R31" s="180" t="str">
        <f t="shared" ref="R31" si="15">IF(Q31&gt;=10,"TRANSITA","N/TRANSITA")</f>
        <v>N/TRANSITA</v>
      </c>
      <c r="S31" s="130"/>
      <c r="T31" s="135"/>
      <c r="U31" s="135"/>
      <c r="V31" s="136"/>
      <c r="W31" s="136"/>
      <c r="X31" s="23">
        <f t="shared" ref="X31" si="16">AVERAGE(S31,MAX(T31:U31),MAX(V31:W31))</f>
        <v>0</v>
      </c>
      <c r="Y31" s="21">
        <f t="shared" ref="Y31" si="17">SUM(J31,Q31,X31)/3</f>
        <v>2.2222222222222223</v>
      </c>
      <c r="Z31" s="180" t="str">
        <f t="shared" ref="Z31" si="18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197">
        <v>14</v>
      </c>
      <c r="F32" s="103">
        <v>14</v>
      </c>
      <c r="G32" s="103"/>
      <c r="H32" s="103"/>
      <c r="I32" s="126"/>
      <c r="J32" s="127">
        <f t="shared" si="5"/>
        <v>9.3333333333333339</v>
      </c>
      <c r="K32" s="180" t="str">
        <f t="shared" si="1"/>
        <v>N/TRANSITA</v>
      </c>
      <c r="L32" s="132">
        <v>13</v>
      </c>
      <c r="M32" s="133">
        <v>5</v>
      </c>
      <c r="N32" s="133"/>
      <c r="O32" s="133">
        <v>4</v>
      </c>
      <c r="P32" s="133"/>
      <c r="Q32" s="127">
        <f t="shared" ref="Q32:Q48" si="19">AVERAGE(L32,MAX(M32:N32),MAX(O32:P32))</f>
        <v>7.333333333333333</v>
      </c>
      <c r="R32" s="180" t="str">
        <f t="shared" si="2"/>
        <v>N/TRANSITA</v>
      </c>
      <c r="S32" s="130"/>
      <c r="T32" s="135"/>
      <c r="U32" s="135"/>
      <c r="V32" s="136"/>
      <c r="W32" s="136"/>
      <c r="X32" s="23">
        <f t="shared" ref="X32:X48" si="20">AVERAGE(S32,MAX(T32:U32),MAX(V32:W32))</f>
        <v>0</v>
      </c>
      <c r="Y32" s="21">
        <f t="shared" ref="Y32:Y48" si="21">SUM(J32,Q32,X32)/3</f>
        <v>5.5555555555555562</v>
      </c>
      <c r="Z32" s="180" t="str">
        <f t="shared" si="4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197">
        <v>16</v>
      </c>
      <c r="F33" s="103">
        <v>11</v>
      </c>
      <c r="G33" s="103"/>
      <c r="H33" s="103">
        <v>3</v>
      </c>
      <c r="I33" s="126"/>
      <c r="J33" s="127">
        <f t="shared" si="5"/>
        <v>10</v>
      </c>
      <c r="K33" s="180" t="str">
        <f t="shared" si="1"/>
        <v>TRANSITA</v>
      </c>
      <c r="L33" s="132">
        <v>13</v>
      </c>
      <c r="M33" s="133">
        <v>10</v>
      </c>
      <c r="N33" s="133"/>
      <c r="O33" s="133">
        <v>3</v>
      </c>
      <c r="P33" s="133"/>
      <c r="Q33" s="127">
        <f t="shared" si="19"/>
        <v>8.6666666666666661</v>
      </c>
      <c r="R33" s="180" t="str">
        <f t="shared" si="2"/>
        <v>N/TRANSITA</v>
      </c>
      <c r="S33" s="130"/>
      <c r="T33" s="135"/>
      <c r="U33" s="135"/>
      <c r="V33" s="136"/>
      <c r="W33" s="136"/>
      <c r="X33" s="23">
        <f t="shared" si="20"/>
        <v>0</v>
      </c>
      <c r="Y33" s="21">
        <f t="shared" si="21"/>
        <v>6.2222222222222214</v>
      </c>
      <c r="Z33" s="180" t="str">
        <f t="shared" si="4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197">
        <v>15</v>
      </c>
      <c r="F34" s="103">
        <v>12</v>
      </c>
      <c r="G34" s="103"/>
      <c r="H34" s="103">
        <v>13</v>
      </c>
      <c r="I34" s="126"/>
      <c r="J34" s="127">
        <f t="shared" si="5"/>
        <v>13.333333333333334</v>
      </c>
      <c r="K34" s="180" t="str">
        <f t="shared" si="1"/>
        <v>TRANSITA</v>
      </c>
      <c r="L34" s="132">
        <v>20</v>
      </c>
      <c r="M34" s="133">
        <v>18</v>
      </c>
      <c r="N34" s="133"/>
      <c r="O34" s="133">
        <v>17</v>
      </c>
      <c r="P34" s="133"/>
      <c r="Q34" s="127">
        <f t="shared" si="19"/>
        <v>18.333333333333332</v>
      </c>
      <c r="R34" s="180" t="str">
        <f t="shared" si="2"/>
        <v>TRANSITA</v>
      </c>
      <c r="S34" s="130"/>
      <c r="T34" s="135"/>
      <c r="U34" s="135"/>
      <c r="V34" s="136"/>
      <c r="W34" s="136"/>
      <c r="X34" s="23">
        <f t="shared" si="20"/>
        <v>0</v>
      </c>
      <c r="Y34" s="21">
        <f t="shared" si="21"/>
        <v>10.555555555555555</v>
      </c>
      <c r="Z34" s="180" t="str">
        <f t="shared" si="4"/>
        <v>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197">
        <v>8</v>
      </c>
      <c r="F35" s="103"/>
      <c r="G35" s="103"/>
      <c r="H35" s="103">
        <v>5</v>
      </c>
      <c r="I35" s="126"/>
      <c r="J35" s="127">
        <f t="shared" si="5"/>
        <v>4.333333333333333</v>
      </c>
      <c r="K35" s="180" t="str">
        <f t="shared" si="1"/>
        <v>N/TRANSITA</v>
      </c>
      <c r="L35" s="132"/>
      <c r="M35" s="133"/>
      <c r="N35" s="133"/>
      <c r="O35" s="133"/>
      <c r="P35" s="133"/>
      <c r="Q35" s="127">
        <f t="shared" si="19"/>
        <v>0</v>
      </c>
      <c r="R35" s="180" t="str">
        <f t="shared" si="2"/>
        <v>N/TRANSITA</v>
      </c>
      <c r="S35" s="130"/>
      <c r="T35" s="135"/>
      <c r="U35" s="135"/>
      <c r="V35" s="136"/>
      <c r="W35" s="136"/>
      <c r="X35" s="23">
        <f t="shared" si="20"/>
        <v>0</v>
      </c>
      <c r="Y35" s="21">
        <f t="shared" si="21"/>
        <v>1.4444444444444444</v>
      </c>
      <c r="Z35" s="180" t="str">
        <f t="shared" si="4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197">
        <v>14</v>
      </c>
      <c r="F36" s="103">
        <v>5</v>
      </c>
      <c r="G36" s="103"/>
      <c r="H36" s="103">
        <v>6</v>
      </c>
      <c r="I36" s="126"/>
      <c r="J36" s="127">
        <f t="shared" si="5"/>
        <v>8.3333333333333339</v>
      </c>
      <c r="K36" s="180" t="str">
        <f t="shared" si="1"/>
        <v>N/TRANSITA</v>
      </c>
      <c r="L36" s="132">
        <v>15</v>
      </c>
      <c r="M36" s="133">
        <v>14.5</v>
      </c>
      <c r="N36" s="133"/>
      <c r="O36" s="133">
        <v>2</v>
      </c>
      <c r="P36" s="133"/>
      <c r="Q36" s="127">
        <f t="shared" si="19"/>
        <v>10.5</v>
      </c>
      <c r="R36" s="180" t="str">
        <f t="shared" si="2"/>
        <v>TRANSITA</v>
      </c>
      <c r="S36" s="130"/>
      <c r="T36" s="135"/>
      <c r="U36" s="135"/>
      <c r="V36" s="136"/>
      <c r="W36" s="136"/>
      <c r="X36" s="23">
        <f t="shared" si="20"/>
        <v>0</v>
      </c>
      <c r="Y36" s="21">
        <f t="shared" si="21"/>
        <v>6.2777777777777786</v>
      </c>
      <c r="Z36" s="180" t="str">
        <f t="shared" si="4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197">
        <v>16</v>
      </c>
      <c r="F37" s="103">
        <v>6</v>
      </c>
      <c r="G37" s="103"/>
      <c r="H37" s="103">
        <v>9</v>
      </c>
      <c r="I37" s="126"/>
      <c r="J37" s="127">
        <f t="shared" si="5"/>
        <v>10.333333333333334</v>
      </c>
      <c r="K37" s="180" t="str">
        <f t="shared" si="1"/>
        <v>TRANSITA</v>
      </c>
      <c r="L37" s="132">
        <v>15</v>
      </c>
      <c r="M37" s="133">
        <v>6</v>
      </c>
      <c r="N37" s="133"/>
      <c r="O37" s="133">
        <v>11</v>
      </c>
      <c r="P37" s="133"/>
      <c r="Q37" s="127">
        <f t="shared" si="19"/>
        <v>10.666666666666666</v>
      </c>
      <c r="R37" s="180" t="str">
        <f t="shared" si="2"/>
        <v>TRANSITA</v>
      </c>
      <c r="S37" s="130"/>
      <c r="T37" s="135"/>
      <c r="U37" s="135"/>
      <c r="V37" s="136"/>
      <c r="W37" s="136"/>
      <c r="X37" s="23">
        <f t="shared" si="20"/>
        <v>0</v>
      </c>
      <c r="Y37" s="21">
        <f t="shared" si="21"/>
        <v>7</v>
      </c>
      <c r="Z37" s="180" t="str">
        <f t="shared" si="4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197">
        <v>14</v>
      </c>
      <c r="F38" s="103">
        <v>7</v>
      </c>
      <c r="G38" s="103"/>
      <c r="H38" s="103">
        <v>3</v>
      </c>
      <c r="I38" s="126"/>
      <c r="J38" s="127">
        <f t="shared" si="5"/>
        <v>8</v>
      </c>
      <c r="K38" s="180" t="str">
        <f t="shared" si="1"/>
        <v>N/TRANSITA</v>
      </c>
      <c r="L38" s="132">
        <v>13</v>
      </c>
      <c r="M38" s="133">
        <v>10</v>
      </c>
      <c r="N38" s="133"/>
      <c r="O38" s="133">
        <v>3.5</v>
      </c>
      <c r="P38" s="133"/>
      <c r="Q38" s="127">
        <f t="shared" si="19"/>
        <v>8.8333333333333339</v>
      </c>
      <c r="R38" s="180" t="str">
        <f t="shared" si="2"/>
        <v>N/TRANSITA</v>
      </c>
      <c r="S38" s="130"/>
      <c r="T38" s="135"/>
      <c r="U38" s="135"/>
      <c r="V38" s="136"/>
      <c r="W38" s="136"/>
      <c r="X38" s="23">
        <f t="shared" si="20"/>
        <v>0</v>
      </c>
      <c r="Y38" s="21">
        <f t="shared" si="21"/>
        <v>5.6111111111111116</v>
      </c>
      <c r="Z38" s="180" t="str">
        <f t="shared" si="4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197"/>
      <c r="F39" s="103"/>
      <c r="G39" s="103"/>
      <c r="H39" s="103"/>
      <c r="I39" s="126"/>
      <c r="J39" s="127">
        <f t="shared" si="5"/>
        <v>0</v>
      </c>
      <c r="K39" s="180" t="str">
        <f t="shared" si="1"/>
        <v>N/TRANSITA</v>
      </c>
      <c r="L39" s="132">
        <v>12</v>
      </c>
      <c r="M39" s="133">
        <v>7</v>
      </c>
      <c r="N39" s="133"/>
      <c r="O39" s="133">
        <v>5</v>
      </c>
      <c r="P39" s="133"/>
      <c r="Q39" s="127">
        <f t="shared" ref="Q39:Q43" si="22">AVERAGE(L39,MAX(M39:N39),MAX(O39:P39))</f>
        <v>8</v>
      </c>
      <c r="R39" s="180" t="str">
        <f t="shared" ref="R39:R43" si="23">IF(Q39&gt;=10,"TRANSITA","N/TRANSITA")</f>
        <v>N/TRANSITA</v>
      </c>
      <c r="S39" s="130"/>
      <c r="T39" s="135"/>
      <c r="U39" s="135"/>
      <c r="V39" s="136"/>
      <c r="W39" s="136"/>
      <c r="X39" s="23">
        <f t="shared" ref="X39:X43" si="24">AVERAGE(S39,MAX(T39:U39),MAX(V39:W39))</f>
        <v>0</v>
      </c>
      <c r="Y39" s="21">
        <f t="shared" ref="Y39:Y43" si="25">SUM(J39,Q39,X39)/3</f>
        <v>2.6666666666666665</v>
      </c>
      <c r="Z39" s="180" t="str">
        <f t="shared" ref="Z39:Z43" si="26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197"/>
      <c r="F40" s="103"/>
      <c r="G40" s="103"/>
      <c r="H40" s="103"/>
      <c r="I40" s="126"/>
      <c r="J40" s="127">
        <f t="shared" si="5"/>
        <v>0</v>
      </c>
      <c r="K40" s="180" t="str">
        <f t="shared" si="1"/>
        <v>N/TRANSITA</v>
      </c>
      <c r="L40" s="132">
        <v>10</v>
      </c>
      <c r="M40" s="133">
        <v>5</v>
      </c>
      <c r="N40" s="133"/>
      <c r="O40" s="133">
        <v>2</v>
      </c>
      <c r="P40" s="133"/>
      <c r="Q40" s="127">
        <f t="shared" si="22"/>
        <v>5.666666666666667</v>
      </c>
      <c r="R40" s="180" t="str">
        <f t="shared" si="23"/>
        <v>N/TRANSITA</v>
      </c>
      <c r="S40" s="130"/>
      <c r="T40" s="135"/>
      <c r="U40" s="135"/>
      <c r="V40" s="136"/>
      <c r="W40" s="136"/>
      <c r="X40" s="23">
        <f t="shared" si="24"/>
        <v>0</v>
      </c>
      <c r="Y40" s="21">
        <f t="shared" si="25"/>
        <v>1.8888888888888891</v>
      </c>
      <c r="Z40" s="180" t="str">
        <f t="shared" si="26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197">
        <v>18</v>
      </c>
      <c r="F41" s="103">
        <v>16.5</v>
      </c>
      <c r="G41" s="103"/>
      <c r="H41" s="103">
        <v>14</v>
      </c>
      <c r="I41" s="126"/>
      <c r="J41" s="127">
        <f t="shared" si="5"/>
        <v>16.166666666666668</v>
      </c>
      <c r="K41" s="180" t="str">
        <f t="shared" si="1"/>
        <v>TRANSITA</v>
      </c>
      <c r="L41" s="132">
        <v>12</v>
      </c>
      <c r="M41" s="133">
        <v>10.5</v>
      </c>
      <c r="N41" s="133"/>
      <c r="O41" s="133">
        <v>7</v>
      </c>
      <c r="P41" s="133"/>
      <c r="Q41" s="127">
        <f t="shared" si="22"/>
        <v>9.8333333333333339</v>
      </c>
      <c r="R41" s="180" t="str">
        <f t="shared" si="23"/>
        <v>N/TRANSITA</v>
      </c>
      <c r="S41" s="130"/>
      <c r="T41" s="135"/>
      <c r="U41" s="135"/>
      <c r="V41" s="136"/>
      <c r="W41" s="136"/>
      <c r="X41" s="23">
        <f t="shared" si="24"/>
        <v>0</v>
      </c>
      <c r="Y41" s="21">
        <f t="shared" si="25"/>
        <v>8.6666666666666661</v>
      </c>
      <c r="Z41" s="180" t="str">
        <f t="shared" si="26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197">
        <v>16</v>
      </c>
      <c r="F42" s="103">
        <v>11</v>
      </c>
      <c r="G42" s="103"/>
      <c r="H42" s="103">
        <v>16.5</v>
      </c>
      <c r="I42" s="126"/>
      <c r="J42" s="127">
        <f t="shared" si="5"/>
        <v>14.5</v>
      </c>
      <c r="K42" s="180" t="str">
        <f t="shared" si="1"/>
        <v>TRANSITA</v>
      </c>
      <c r="L42" s="132">
        <v>15</v>
      </c>
      <c r="M42" s="133">
        <v>10</v>
      </c>
      <c r="N42" s="133"/>
      <c r="O42" s="133">
        <v>11</v>
      </c>
      <c r="P42" s="133"/>
      <c r="Q42" s="127">
        <f t="shared" si="22"/>
        <v>12</v>
      </c>
      <c r="R42" s="180" t="str">
        <f t="shared" si="23"/>
        <v>TRANSITA</v>
      </c>
      <c r="S42" s="130"/>
      <c r="T42" s="135"/>
      <c r="U42" s="135"/>
      <c r="V42" s="136"/>
      <c r="W42" s="136"/>
      <c r="X42" s="23">
        <f t="shared" si="24"/>
        <v>0</v>
      </c>
      <c r="Y42" s="21">
        <f t="shared" si="25"/>
        <v>8.8333333333333339</v>
      </c>
      <c r="Z42" s="180" t="str">
        <f t="shared" si="26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197">
        <v>15</v>
      </c>
      <c r="F43" s="103">
        <v>12</v>
      </c>
      <c r="G43" s="103"/>
      <c r="H43" s="103">
        <v>5</v>
      </c>
      <c r="I43" s="126"/>
      <c r="J43" s="127">
        <f t="shared" si="5"/>
        <v>10.666666666666666</v>
      </c>
      <c r="K43" s="180" t="str">
        <f t="shared" si="1"/>
        <v>TRANSITA</v>
      </c>
      <c r="L43" s="132">
        <v>15</v>
      </c>
      <c r="M43" s="133">
        <v>18</v>
      </c>
      <c r="N43" s="133"/>
      <c r="O43" s="133">
        <v>11</v>
      </c>
      <c r="P43" s="133"/>
      <c r="Q43" s="127">
        <f t="shared" si="22"/>
        <v>14.666666666666666</v>
      </c>
      <c r="R43" s="180" t="str">
        <f t="shared" si="23"/>
        <v>TRANSITA</v>
      </c>
      <c r="S43" s="130"/>
      <c r="T43" s="135"/>
      <c r="U43" s="135"/>
      <c r="V43" s="136"/>
      <c r="W43" s="136"/>
      <c r="X43" s="23">
        <f t="shared" si="24"/>
        <v>0</v>
      </c>
      <c r="Y43" s="21">
        <f t="shared" si="25"/>
        <v>8.4444444444444446</v>
      </c>
      <c r="Z43" s="180" t="str">
        <f t="shared" si="26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197">
        <v>16</v>
      </c>
      <c r="F44" s="103">
        <v>19.5</v>
      </c>
      <c r="G44" s="103"/>
      <c r="H44" s="103">
        <v>6</v>
      </c>
      <c r="I44" s="126"/>
      <c r="J44" s="127">
        <f t="shared" si="5"/>
        <v>13.833333333333334</v>
      </c>
      <c r="K44" s="180" t="str">
        <f t="shared" si="1"/>
        <v>TRANSITA</v>
      </c>
      <c r="L44" s="132">
        <v>13</v>
      </c>
      <c r="M44" s="133">
        <v>8</v>
      </c>
      <c r="N44" s="133"/>
      <c r="O44" s="133">
        <v>5</v>
      </c>
      <c r="P44" s="133"/>
      <c r="Q44" s="127">
        <f t="shared" si="19"/>
        <v>8.6666666666666661</v>
      </c>
      <c r="R44" s="180" t="str">
        <f t="shared" si="2"/>
        <v>N/TRANSITA</v>
      </c>
      <c r="S44" s="130"/>
      <c r="T44" s="135"/>
      <c r="U44" s="135"/>
      <c r="V44" s="136"/>
      <c r="W44" s="136"/>
      <c r="X44" s="23">
        <f t="shared" si="20"/>
        <v>0</v>
      </c>
      <c r="Y44" s="21">
        <f t="shared" si="21"/>
        <v>7.5</v>
      </c>
      <c r="Z44" s="180" t="str">
        <f t="shared" si="4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197">
        <v>18</v>
      </c>
      <c r="F45" s="103">
        <v>19</v>
      </c>
      <c r="G45" s="103"/>
      <c r="H45" s="103">
        <v>12.5</v>
      </c>
      <c r="I45" s="126"/>
      <c r="J45" s="127">
        <f t="shared" si="5"/>
        <v>16.5</v>
      </c>
      <c r="K45" s="180" t="str">
        <f t="shared" si="1"/>
        <v>TRANSITA</v>
      </c>
      <c r="L45" s="132">
        <v>14</v>
      </c>
      <c r="M45" s="133">
        <v>5</v>
      </c>
      <c r="N45" s="133"/>
      <c r="O45" s="133">
        <v>7</v>
      </c>
      <c r="P45" s="133"/>
      <c r="Q45" s="127">
        <f t="shared" si="19"/>
        <v>8.6666666666666661</v>
      </c>
      <c r="R45" s="180" t="str">
        <f t="shared" si="2"/>
        <v>N/TRANSITA</v>
      </c>
      <c r="S45" s="130"/>
      <c r="T45" s="135"/>
      <c r="U45" s="135"/>
      <c r="V45" s="136"/>
      <c r="W45" s="136"/>
      <c r="X45" s="23">
        <f t="shared" si="20"/>
        <v>0</v>
      </c>
      <c r="Y45" s="21">
        <f t="shared" si="21"/>
        <v>8.3888888888888875</v>
      </c>
      <c r="Z45" s="180" t="str">
        <f t="shared" si="4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197"/>
      <c r="F46" s="103"/>
      <c r="G46" s="103"/>
      <c r="H46" s="103"/>
      <c r="I46" s="126"/>
      <c r="J46" s="127">
        <f t="shared" si="5"/>
        <v>0</v>
      </c>
      <c r="K46" s="180" t="str">
        <f t="shared" si="1"/>
        <v>N/TRANSITA</v>
      </c>
      <c r="L46" s="132">
        <v>12</v>
      </c>
      <c r="M46" s="133">
        <v>8</v>
      </c>
      <c r="N46" s="133"/>
      <c r="O46" s="133">
        <v>2</v>
      </c>
      <c r="P46" s="133"/>
      <c r="Q46" s="127">
        <f t="shared" ref="Q46:Q47" si="27">AVERAGE(L46,MAX(M46:N46),MAX(O46:P46))</f>
        <v>7.333333333333333</v>
      </c>
      <c r="R46" s="180" t="str">
        <f t="shared" ref="R46:R47" si="28">IF(Q46&gt;=10,"TRANSITA","N/TRANSITA")</f>
        <v>N/TRANSITA</v>
      </c>
      <c r="S46" s="130"/>
      <c r="T46" s="135"/>
      <c r="U46" s="135"/>
      <c r="V46" s="136"/>
      <c r="W46" s="136"/>
      <c r="X46" s="23">
        <f t="shared" ref="X46:X47" si="29">AVERAGE(S46,MAX(T46:U46),MAX(V46:W46))</f>
        <v>0</v>
      </c>
      <c r="Y46" s="21">
        <f t="shared" ref="Y46:Y47" si="30">SUM(J46,Q46,X46)/3</f>
        <v>2.4444444444444442</v>
      </c>
      <c r="Z46" s="180" t="str">
        <f t="shared" ref="Z46:Z47" si="31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197">
        <v>20</v>
      </c>
      <c r="F47" s="103">
        <v>20</v>
      </c>
      <c r="G47" s="103"/>
      <c r="H47" s="103">
        <v>18</v>
      </c>
      <c r="I47" s="126"/>
      <c r="J47" s="127">
        <f t="shared" si="5"/>
        <v>19.333333333333332</v>
      </c>
      <c r="K47" s="180" t="str">
        <f t="shared" si="1"/>
        <v>TRANSITA</v>
      </c>
      <c r="L47" s="132">
        <v>15</v>
      </c>
      <c r="M47" s="133">
        <v>10</v>
      </c>
      <c r="N47" s="133"/>
      <c r="O47" s="133">
        <v>15</v>
      </c>
      <c r="P47" s="133"/>
      <c r="Q47" s="127">
        <f t="shared" si="27"/>
        <v>13.333333333333334</v>
      </c>
      <c r="R47" s="180" t="str">
        <f t="shared" si="28"/>
        <v>TRANSITA</v>
      </c>
      <c r="S47" s="130"/>
      <c r="T47" s="135"/>
      <c r="U47" s="135"/>
      <c r="V47" s="136"/>
      <c r="W47" s="136"/>
      <c r="X47" s="23">
        <f t="shared" si="29"/>
        <v>0</v>
      </c>
      <c r="Y47" s="21">
        <f t="shared" si="30"/>
        <v>10.888888888888888</v>
      </c>
      <c r="Z47" s="180" t="str">
        <f t="shared" si="31"/>
        <v>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197">
        <v>18</v>
      </c>
      <c r="F48" s="103">
        <v>18</v>
      </c>
      <c r="G48" s="103"/>
      <c r="H48" s="103">
        <v>8</v>
      </c>
      <c r="I48" s="126"/>
      <c r="J48" s="127">
        <f t="shared" si="5"/>
        <v>14.666666666666666</v>
      </c>
      <c r="K48" s="180" t="str">
        <f t="shared" si="1"/>
        <v>TRANSITA</v>
      </c>
      <c r="L48" s="132">
        <v>12</v>
      </c>
      <c r="M48" s="133">
        <v>6</v>
      </c>
      <c r="N48" s="133"/>
      <c r="O48" s="133">
        <v>2</v>
      </c>
      <c r="P48" s="133"/>
      <c r="Q48" s="127">
        <f t="shared" si="19"/>
        <v>6.666666666666667</v>
      </c>
      <c r="R48" s="180" t="str">
        <f t="shared" si="2"/>
        <v>N/TRANSITA</v>
      </c>
      <c r="S48" s="130"/>
      <c r="T48" s="135"/>
      <c r="U48" s="135"/>
      <c r="V48" s="136"/>
      <c r="W48" s="136"/>
      <c r="X48" s="23">
        <f t="shared" si="20"/>
        <v>0</v>
      </c>
      <c r="Y48" s="21">
        <f t="shared" si="21"/>
        <v>7.1111111111111107</v>
      </c>
      <c r="Z48" s="180" t="str">
        <f t="shared" si="4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197"/>
      <c r="F49" s="103"/>
      <c r="G49" s="103"/>
      <c r="H49" s="103"/>
      <c r="I49" s="126"/>
      <c r="J49" s="127">
        <f t="shared" si="5"/>
        <v>0</v>
      </c>
      <c r="K49" s="180" t="str">
        <f t="shared" si="1"/>
        <v>N/TRANSITA</v>
      </c>
      <c r="L49" s="132"/>
      <c r="M49" s="133"/>
      <c r="N49" s="133"/>
      <c r="O49" s="133"/>
      <c r="P49" s="133"/>
      <c r="Q49" s="127">
        <f t="shared" si="6"/>
        <v>0</v>
      </c>
      <c r="R49" s="180" t="str">
        <f t="shared" si="2"/>
        <v>N/TRANSITA</v>
      </c>
      <c r="S49" s="130"/>
      <c r="T49" s="135"/>
      <c r="U49" s="135"/>
      <c r="V49" s="136"/>
      <c r="W49" s="136"/>
      <c r="X49" s="23">
        <f t="shared" si="7"/>
        <v>0</v>
      </c>
      <c r="Y49" s="21">
        <f t="shared" si="8"/>
        <v>0</v>
      </c>
      <c r="Z49" s="180" t="str">
        <f t="shared" si="4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197">
        <v>16</v>
      </c>
      <c r="F50" s="103">
        <v>9</v>
      </c>
      <c r="G50" s="103"/>
      <c r="H50" s="103">
        <v>6</v>
      </c>
      <c r="I50" s="126"/>
      <c r="J50" s="127">
        <f t="shared" si="5"/>
        <v>10.333333333333334</v>
      </c>
      <c r="K50" s="180" t="str">
        <f t="shared" si="1"/>
        <v>TRANSITA</v>
      </c>
      <c r="L50" s="132">
        <v>13</v>
      </c>
      <c r="M50" s="133">
        <v>5</v>
      </c>
      <c r="N50" s="133"/>
      <c r="O50" s="133">
        <v>3</v>
      </c>
      <c r="P50" s="133"/>
      <c r="Q50" s="127">
        <f t="shared" si="6"/>
        <v>7</v>
      </c>
      <c r="R50" s="180" t="str">
        <f t="shared" si="2"/>
        <v>N/TRANSITA</v>
      </c>
      <c r="S50" s="130"/>
      <c r="T50" s="135"/>
      <c r="U50" s="135"/>
      <c r="V50" s="136"/>
      <c r="W50" s="136"/>
      <c r="X50" s="23">
        <f t="shared" si="7"/>
        <v>0</v>
      </c>
      <c r="Y50" s="21">
        <f t="shared" si="8"/>
        <v>5.7777777777777786</v>
      </c>
      <c r="Z50" s="180" t="str">
        <f t="shared" si="4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197">
        <v>16</v>
      </c>
      <c r="F51" s="103">
        <v>12</v>
      </c>
      <c r="G51" s="103"/>
      <c r="H51" s="103">
        <v>16.5</v>
      </c>
      <c r="I51" s="126"/>
      <c r="J51" s="127">
        <f t="shared" si="5"/>
        <v>14.833333333333334</v>
      </c>
      <c r="K51" s="180" t="str">
        <f t="shared" si="1"/>
        <v>TRANSITA</v>
      </c>
      <c r="L51" s="132">
        <v>11</v>
      </c>
      <c r="M51" s="133">
        <v>5</v>
      </c>
      <c r="N51" s="133"/>
      <c r="O51" s="133">
        <v>3</v>
      </c>
      <c r="P51" s="133"/>
      <c r="Q51" s="127">
        <f t="shared" si="6"/>
        <v>6.333333333333333</v>
      </c>
      <c r="R51" s="180" t="str">
        <f t="shared" si="2"/>
        <v>N/TRANSITA</v>
      </c>
      <c r="S51" s="130"/>
      <c r="T51" s="135"/>
      <c r="U51" s="135"/>
      <c r="V51" s="136"/>
      <c r="W51" s="136"/>
      <c r="X51" s="23">
        <f t="shared" si="7"/>
        <v>0</v>
      </c>
      <c r="Y51" s="21">
        <f t="shared" si="8"/>
        <v>7.0555555555555562</v>
      </c>
      <c r="Z51" s="180" t="str">
        <f t="shared" si="4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197">
        <v>8</v>
      </c>
      <c r="F52" s="103">
        <v>0</v>
      </c>
      <c r="G52" s="103"/>
      <c r="H52" s="103"/>
      <c r="I52" s="126"/>
      <c r="J52" s="127">
        <f t="shared" si="5"/>
        <v>2.6666666666666665</v>
      </c>
      <c r="K52" s="180" t="str">
        <f t="shared" si="1"/>
        <v>N/TRANSITA</v>
      </c>
      <c r="L52" s="132"/>
      <c r="M52" s="133"/>
      <c r="N52" s="133"/>
      <c r="O52" s="133"/>
      <c r="P52" s="133"/>
      <c r="Q52" s="127">
        <f t="shared" si="6"/>
        <v>0</v>
      </c>
      <c r="R52" s="180" t="str">
        <f t="shared" si="2"/>
        <v>N/TRANSITA</v>
      </c>
      <c r="S52" s="130"/>
      <c r="T52" s="135"/>
      <c r="U52" s="135"/>
      <c r="V52" s="136"/>
      <c r="W52" s="136"/>
      <c r="X52" s="23">
        <f t="shared" si="7"/>
        <v>0</v>
      </c>
      <c r="Y52" s="21">
        <f t="shared" si="8"/>
        <v>0.88888888888888884</v>
      </c>
      <c r="Z52" s="180" t="str">
        <f t="shared" si="4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98"/>
      <c r="F53" s="106"/>
      <c r="G53" s="106"/>
      <c r="H53" s="106"/>
      <c r="I53" s="135"/>
      <c r="J53" s="127">
        <f t="shared" si="5"/>
        <v>0</v>
      </c>
      <c r="K53" s="180" t="str">
        <f t="shared" si="1"/>
        <v>N/TRANSITA</v>
      </c>
      <c r="L53" s="132"/>
      <c r="M53" s="133"/>
      <c r="N53" s="133"/>
      <c r="O53" s="133"/>
      <c r="P53" s="133"/>
      <c r="Q53" s="127">
        <f t="shared" si="6"/>
        <v>0</v>
      </c>
      <c r="R53" s="180" t="str">
        <f t="shared" si="2"/>
        <v>N/TRANSITA</v>
      </c>
      <c r="S53" s="130"/>
      <c r="T53" s="135"/>
      <c r="U53" s="135"/>
      <c r="V53" s="136"/>
      <c r="W53" s="136"/>
      <c r="X53" s="23">
        <f t="shared" si="7"/>
        <v>0</v>
      </c>
      <c r="Y53" s="21">
        <f t="shared" si="8"/>
        <v>0</v>
      </c>
      <c r="Z53" s="180" t="str">
        <f t="shared" si="4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98"/>
      <c r="F54" s="106"/>
      <c r="G54" s="106"/>
      <c r="H54" s="106"/>
      <c r="I54" s="135"/>
      <c r="J54" s="127">
        <f t="shared" si="5"/>
        <v>0</v>
      </c>
      <c r="K54" s="180" t="str">
        <f t="shared" si="1"/>
        <v>N/TRANSITA</v>
      </c>
      <c r="L54" s="132">
        <v>12</v>
      </c>
      <c r="M54" s="133">
        <v>7</v>
      </c>
      <c r="N54" s="133"/>
      <c r="O54" s="133">
        <v>2</v>
      </c>
      <c r="P54" s="133"/>
      <c r="Q54" s="127">
        <f t="shared" ref="Q54:Q56" si="32">AVERAGE(L54,MAX(M54:N54),MAX(O54:P54))</f>
        <v>7</v>
      </c>
      <c r="R54" s="180" t="str">
        <f t="shared" ref="R54:R56" si="33">IF(Q54&gt;=10,"TRANSITA","N/TRANSITA")</f>
        <v>N/TRANSITA</v>
      </c>
      <c r="S54" s="130"/>
      <c r="T54" s="135"/>
      <c r="U54" s="135"/>
      <c r="V54" s="136"/>
      <c r="W54" s="136"/>
      <c r="X54" s="23">
        <f t="shared" ref="X54:X56" si="34">AVERAGE(S54,MAX(T54:U54),MAX(V54:W54))</f>
        <v>0</v>
      </c>
      <c r="Y54" s="21">
        <f t="shared" ref="Y54:Y56" si="35">SUM(J54,Q54,X54)/3</f>
        <v>2.3333333333333335</v>
      </c>
      <c r="Z54" s="180" t="str">
        <f t="shared" ref="Z54:Z56" si="3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98">
        <v>10</v>
      </c>
      <c r="F55" s="106">
        <v>6</v>
      </c>
      <c r="G55" s="106"/>
      <c r="H55" s="106">
        <v>0</v>
      </c>
      <c r="I55" s="135"/>
      <c r="J55" s="127">
        <f t="shared" si="5"/>
        <v>5.333333333333333</v>
      </c>
      <c r="K55" s="180" t="str">
        <f t="shared" si="1"/>
        <v>N/TRANSITA</v>
      </c>
      <c r="L55" s="132">
        <v>14</v>
      </c>
      <c r="M55" s="133">
        <v>5</v>
      </c>
      <c r="N55" s="133"/>
      <c r="O55" s="133">
        <v>3</v>
      </c>
      <c r="P55" s="133"/>
      <c r="Q55" s="127">
        <f t="shared" si="32"/>
        <v>7.333333333333333</v>
      </c>
      <c r="R55" s="180" t="str">
        <f t="shared" si="33"/>
        <v>N/TRANSITA</v>
      </c>
      <c r="S55" s="130"/>
      <c r="T55" s="135"/>
      <c r="U55" s="135"/>
      <c r="V55" s="136"/>
      <c r="W55" s="136"/>
      <c r="X55" s="23">
        <f t="shared" si="34"/>
        <v>0</v>
      </c>
      <c r="Y55" s="21">
        <f t="shared" si="35"/>
        <v>4.2222222222222223</v>
      </c>
      <c r="Z55" s="180" t="str">
        <f t="shared" si="3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98">
        <v>12</v>
      </c>
      <c r="F56" s="106">
        <v>3.5</v>
      </c>
      <c r="G56" s="106"/>
      <c r="H56" s="106">
        <v>8.5</v>
      </c>
      <c r="I56" s="135"/>
      <c r="J56" s="127">
        <f t="shared" si="5"/>
        <v>8</v>
      </c>
      <c r="K56" s="180" t="str">
        <f t="shared" si="1"/>
        <v>N/TRANSITA</v>
      </c>
      <c r="L56" s="132">
        <v>13</v>
      </c>
      <c r="M56" s="133">
        <v>7</v>
      </c>
      <c r="N56" s="133"/>
      <c r="O56" s="133">
        <v>2</v>
      </c>
      <c r="P56" s="133"/>
      <c r="Q56" s="127">
        <f t="shared" si="32"/>
        <v>7.333333333333333</v>
      </c>
      <c r="R56" s="180" t="str">
        <f t="shared" si="33"/>
        <v>N/TRANSITA</v>
      </c>
      <c r="S56" s="130"/>
      <c r="T56" s="135"/>
      <c r="U56" s="135"/>
      <c r="V56" s="136"/>
      <c r="W56" s="136"/>
      <c r="X56" s="23">
        <f t="shared" si="34"/>
        <v>0</v>
      </c>
      <c r="Y56" s="21">
        <f t="shared" si="35"/>
        <v>5.1111111111111107</v>
      </c>
      <c r="Z56" s="180" t="str">
        <f t="shared" si="3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98">
        <v>15</v>
      </c>
      <c r="F57" s="106">
        <v>12</v>
      </c>
      <c r="G57" s="106"/>
      <c r="H57" s="106">
        <v>8</v>
      </c>
      <c r="I57" s="135"/>
      <c r="J57" s="127">
        <f t="shared" si="5"/>
        <v>11.666666666666666</v>
      </c>
      <c r="K57" s="180" t="str">
        <f t="shared" si="1"/>
        <v>TRANSITA</v>
      </c>
      <c r="L57" s="132">
        <v>18</v>
      </c>
      <c r="M57" s="133">
        <v>18</v>
      </c>
      <c r="N57" s="133"/>
      <c r="O57" s="133">
        <v>13</v>
      </c>
      <c r="P57" s="133"/>
      <c r="Q57" s="127">
        <f t="shared" si="6"/>
        <v>16.333333333333332</v>
      </c>
      <c r="R57" s="180" t="str">
        <f t="shared" si="2"/>
        <v>TRANSITA</v>
      </c>
      <c r="S57" s="130"/>
      <c r="T57" s="135"/>
      <c r="U57" s="135"/>
      <c r="V57" s="136"/>
      <c r="W57" s="136"/>
      <c r="X57" s="23">
        <f t="shared" si="7"/>
        <v>0</v>
      </c>
      <c r="Y57" s="21">
        <f t="shared" si="8"/>
        <v>9.3333333333333339</v>
      </c>
      <c r="Z57" s="180" t="str">
        <f t="shared" si="4"/>
        <v>N/TRANSITA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98"/>
      <c r="F58" s="106"/>
      <c r="G58" s="106"/>
      <c r="H58" s="106"/>
      <c r="I58" s="135"/>
      <c r="J58" s="127">
        <f t="shared" si="5"/>
        <v>0</v>
      </c>
      <c r="K58" s="180" t="str">
        <f t="shared" si="1"/>
        <v>N/TRANSITA</v>
      </c>
      <c r="L58" s="132"/>
      <c r="M58" s="133"/>
      <c r="N58" s="133"/>
      <c r="O58" s="133"/>
      <c r="P58" s="133"/>
      <c r="Q58" s="127">
        <f t="shared" si="6"/>
        <v>0</v>
      </c>
      <c r="R58" s="180" t="str">
        <f t="shared" si="2"/>
        <v>N/TRANSITA</v>
      </c>
      <c r="S58" s="130"/>
      <c r="T58" s="135"/>
      <c r="U58" s="135"/>
      <c r="V58" s="136"/>
      <c r="W58" s="136"/>
      <c r="X58" s="23">
        <f t="shared" si="7"/>
        <v>0</v>
      </c>
      <c r="Y58" s="21">
        <f t="shared" si="8"/>
        <v>0</v>
      </c>
      <c r="Z58" s="180" t="str">
        <f t="shared" si="4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98">
        <v>15</v>
      </c>
      <c r="F59" s="106">
        <v>4</v>
      </c>
      <c r="G59" s="106"/>
      <c r="H59" s="106">
        <v>13</v>
      </c>
      <c r="I59" s="135"/>
      <c r="J59" s="127">
        <f t="shared" si="5"/>
        <v>10.666666666666666</v>
      </c>
      <c r="K59" s="180" t="str">
        <f t="shared" si="1"/>
        <v>TRANSITA</v>
      </c>
      <c r="L59" s="132">
        <v>11</v>
      </c>
      <c r="M59" s="133">
        <v>5</v>
      </c>
      <c r="N59" s="133"/>
      <c r="O59" s="133">
        <v>2</v>
      </c>
      <c r="P59" s="133"/>
      <c r="Q59" s="127">
        <f t="shared" si="6"/>
        <v>6</v>
      </c>
      <c r="R59" s="180" t="str">
        <f t="shared" si="2"/>
        <v>N/TRANSITA</v>
      </c>
      <c r="S59" s="130"/>
      <c r="T59" s="135"/>
      <c r="U59" s="135"/>
      <c r="V59" s="136"/>
      <c r="W59" s="136"/>
      <c r="X59" s="23">
        <f t="shared" si="7"/>
        <v>0</v>
      </c>
      <c r="Y59" s="21">
        <f t="shared" si="8"/>
        <v>5.5555555555555545</v>
      </c>
      <c r="Z59" s="180" t="str">
        <f t="shared" si="4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98">
        <v>15</v>
      </c>
      <c r="F60" s="106">
        <v>18</v>
      </c>
      <c r="G60" s="106"/>
      <c r="H60" s="106">
        <v>4</v>
      </c>
      <c r="I60" s="135"/>
      <c r="J60" s="127">
        <f t="shared" si="5"/>
        <v>12.333333333333334</v>
      </c>
      <c r="K60" s="180" t="str">
        <f t="shared" si="1"/>
        <v>TRANSITA</v>
      </c>
      <c r="L60" s="132">
        <v>12</v>
      </c>
      <c r="M60" s="133">
        <v>7</v>
      </c>
      <c r="N60" s="133"/>
      <c r="O60" s="133">
        <v>6.5</v>
      </c>
      <c r="P60" s="133"/>
      <c r="Q60" s="127">
        <f t="shared" si="6"/>
        <v>8.5</v>
      </c>
      <c r="R60" s="180" t="str">
        <f t="shared" si="2"/>
        <v>N/TRANSITA</v>
      </c>
      <c r="S60" s="130"/>
      <c r="T60" s="135"/>
      <c r="U60" s="135"/>
      <c r="V60" s="136"/>
      <c r="W60" s="136"/>
      <c r="X60" s="23">
        <f t="shared" si="7"/>
        <v>0</v>
      </c>
      <c r="Y60" s="21">
        <f t="shared" si="8"/>
        <v>6.9444444444444455</v>
      </c>
      <c r="Z60" s="180" t="str">
        <f t="shared" si="4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98">
        <v>20</v>
      </c>
      <c r="F61" s="106">
        <v>19.5</v>
      </c>
      <c r="G61" s="106"/>
      <c r="H61" s="106">
        <v>16</v>
      </c>
      <c r="I61" s="135"/>
      <c r="J61" s="127">
        <f t="shared" si="5"/>
        <v>18.5</v>
      </c>
      <c r="K61" s="180" t="str">
        <f t="shared" si="1"/>
        <v>TRANSITA</v>
      </c>
      <c r="L61" s="132">
        <v>18</v>
      </c>
      <c r="M61" s="133">
        <v>14</v>
      </c>
      <c r="N61" s="133"/>
      <c r="O61" s="133">
        <v>15</v>
      </c>
      <c r="P61" s="133"/>
      <c r="Q61" s="127">
        <f t="shared" si="6"/>
        <v>15.666666666666666</v>
      </c>
      <c r="R61" s="180" t="str">
        <f t="shared" si="2"/>
        <v>TRANSITA</v>
      </c>
      <c r="S61" s="130"/>
      <c r="T61" s="135"/>
      <c r="U61" s="135"/>
      <c r="V61" s="136"/>
      <c r="W61" s="136"/>
      <c r="X61" s="23">
        <f t="shared" ref="X61:X63" si="37">AVERAGE(S61,MAX(T61:U61),MAX(V61:W61))</f>
        <v>0</v>
      </c>
      <c r="Y61" s="21">
        <f t="shared" si="0"/>
        <v>11.388888888888888</v>
      </c>
      <c r="Z61" s="180" t="str">
        <f t="shared" si="4"/>
        <v>TRANSITA</v>
      </c>
    </row>
    <row r="62" spans="2:31" ht="14.25" customHeight="1" x14ac:dyDescent="0.3">
      <c r="B62" s="37">
        <v>54</v>
      </c>
      <c r="C62" s="194" t="s">
        <v>142</v>
      </c>
      <c r="D62" s="28"/>
      <c r="E62" s="198">
        <v>14</v>
      </c>
      <c r="F62" s="106">
        <v>7.5</v>
      </c>
      <c r="G62" s="106"/>
      <c r="H62" s="106">
        <v>1</v>
      </c>
      <c r="I62" s="135"/>
      <c r="J62" s="127">
        <f t="shared" si="5"/>
        <v>7.5</v>
      </c>
      <c r="K62" s="180" t="str">
        <f t="shared" si="1"/>
        <v>N/TRANSITA</v>
      </c>
      <c r="L62" s="132">
        <v>14</v>
      </c>
      <c r="M62" s="133">
        <v>8</v>
      </c>
      <c r="N62" s="133"/>
      <c r="O62" s="133">
        <v>11</v>
      </c>
      <c r="P62" s="133"/>
      <c r="Q62" s="127">
        <f t="shared" si="6"/>
        <v>11</v>
      </c>
      <c r="R62" s="180" t="str">
        <f t="shared" si="2"/>
        <v>TRANSITA</v>
      </c>
      <c r="S62" s="130"/>
      <c r="T62" s="135"/>
      <c r="U62" s="135"/>
      <c r="V62" s="136"/>
      <c r="W62" s="136"/>
      <c r="X62" s="23">
        <f t="shared" si="37"/>
        <v>0</v>
      </c>
      <c r="Y62" s="21">
        <f t="shared" si="0"/>
        <v>6.166666666666667</v>
      </c>
      <c r="Z62" s="180" t="str">
        <f t="shared" si="4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99">
        <v>15</v>
      </c>
      <c r="F63" s="112">
        <v>3</v>
      </c>
      <c r="G63" s="112"/>
      <c r="H63" s="112">
        <v>15.5</v>
      </c>
      <c r="I63" s="141"/>
      <c r="J63" s="142">
        <f t="shared" si="5"/>
        <v>11.166666666666666</v>
      </c>
      <c r="K63" s="181" t="str">
        <f t="shared" si="1"/>
        <v>TRANSITA</v>
      </c>
      <c r="L63" s="143">
        <v>12</v>
      </c>
      <c r="M63" s="144">
        <v>5</v>
      </c>
      <c r="N63" s="144"/>
      <c r="O63" s="144">
        <v>3</v>
      </c>
      <c r="P63" s="144"/>
      <c r="Q63" s="142">
        <f t="shared" si="6"/>
        <v>6.666666666666667</v>
      </c>
      <c r="R63" s="181" t="str">
        <f t="shared" si="2"/>
        <v>N/TRANSITA</v>
      </c>
      <c r="S63" s="130"/>
      <c r="T63" s="141"/>
      <c r="U63" s="141"/>
      <c r="V63" s="146"/>
      <c r="W63" s="146"/>
      <c r="X63" s="24">
        <f t="shared" si="37"/>
        <v>0</v>
      </c>
      <c r="Y63" s="22">
        <f>SUM(J63,Q63,X63)/3</f>
        <v>5.9444444444444438</v>
      </c>
      <c r="Z63" s="181" t="str">
        <f t="shared" si="4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30"/>
      <c r="G66" s="30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31"/>
      <c r="G67" s="31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31"/>
      <c r="G68" s="31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53:AB55"/>
    <mergeCell ref="A66:E66"/>
    <mergeCell ref="S66:Z66"/>
    <mergeCell ref="A67:E67"/>
    <mergeCell ref="S67:Z67"/>
    <mergeCell ref="AA10:AB11"/>
    <mergeCell ref="K7:K8"/>
    <mergeCell ref="R7:R8"/>
    <mergeCell ref="AC8:AC9"/>
    <mergeCell ref="AD8:AD9"/>
    <mergeCell ref="AE8:AE9"/>
    <mergeCell ref="B5:C5"/>
    <mergeCell ref="I5:N5"/>
    <mergeCell ref="X5:Z5"/>
    <mergeCell ref="B6:Z6"/>
    <mergeCell ref="B7:B8"/>
    <mergeCell ref="C7:C8"/>
    <mergeCell ref="E7:J7"/>
    <mergeCell ref="L7:Q7"/>
    <mergeCell ref="S7:X7"/>
    <mergeCell ref="Y7:Y8"/>
    <mergeCell ref="A1:Z1"/>
    <mergeCell ref="B3:C3"/>
    <mergeCell ref="I3:M3"/>
    <mergeCell ref="V3:Z3"/>
    <mergeCell ref="B4:C4"/>
    <mergeCell ref="I4:Q4"/>
    <mergeCell ref="V4:Z4"/>
  </mergeCells>
  <conditionalFormatting sqref="Y9:Y63">
    <cfRule type="cellIs" dxfId="387" priority="95" stopIfTrue="1" operator="greaterThan">
      <formula>9.5</formula>
    </cfRule>
    <cfRule type="cellIs" dxfId="386" priority="96" stopIfTrue="1" operator="lessThanOrEqual">
      <formula>9.5</formula>
    </cfRule>
  </conditionalFormatting>
  <conditionalFormatting sqref="S9:W63">
    <cfRule type="cellIs" dxfId="385" priority="93" stopIfTrue="1" operator="lessThan">
      <formula>10</formula>
    </cfRule>
    <cfRule type="cellIs" dxfId="384" priority="94" stopIfTrue="1" operator="greaterThan">
      <formula>9</formula>
    </cfRule>
  </conditionalFormatting>
  <conditionalFormatting sqref="S9:W63">
    <cfRule type="cellIs" dxfId="383" priority="91" stopIfTrue="1" operator="lessThan">
      <formula>10</formula>
    </cfRule>
    <cfRule type="cellIs" dxfId="382" priority="92" stopIfTrue="1" operator="greaterThan">
      <formula>9</formula>
    </cfRule>
  </conditionalFormatting>
  <conditionalFormatting sqref="X9:X63 Q9:Q63">
    <cfRule type="cellIs" dxfId="381" priority="73" stopIfTrue="1" operator="lessThan">
      <formula>10</formula>
    </cfRule>
    <cfRule type="cellIs" dxfId="380" priority="74" stopIfTrue="1" operator="greaterThanOrEqual">
      <formula>10</formula>
    </cfRule>
  </conditionalFormatting>
  <conditionalFormatting sqref="P9:P63">
    <cfRule type="cellIs" dxfId="379" priority="31" stopIfTrue="1" operator="lessThan">
      <formula>10</formula>
    </cfRule>
    <cfRule type="cellIs" dxfId="378" priority="32" stopIfTrue="1" operator="greaterThan">
      <formula>9</formula>
    </cfRule>
    <cfRule type="cellIs" dxfId="377" priority="33" stopIfTrue="1" operator="lessThan">
      <formula>10</formula>
    </cfRule>
    <cfRule type="cellIs" dxfId="376" priority="34" stopIfTrue="1" operator="greaterThan">
      <formula>9</formula>
    </cfRule>
  </conditionalFormatting>
  <conditionalFormatting sqref="E9:H63">
    <cfRule type="cellIs" dxfId="375" priority="4" stopIfTrue="1" operator="greaterThan">
      <formula>9</formula>
    </cfRule>
  </conditionalFormatting>
  <conditionalFormatting sqref="E9:I63">
    <cfRule type="cellIs" dxfId="374" priority="2" stopIfTrue="1" operator="greaterThan">
      <formula>9</formula>
    </cfRule>
    <cfRule type="cellIs" dxfId="373" priority="3" stopIfTrue="1" operator="lessThan">
      <formula>10</formula>
    </cfRule>
  </conditionalFormatting>
  <conditionalFormatting sqref="E9:J63">
    <cfRule type="cellIs" dxfId="372" priority="1" stopIfTrue="1" operator="lessThan">
      <formula>10</formula>
    </cfRule>
  </conditionalFormatting>
  <conditionalFormatting sqref="L9:O63">
    <cfRule type="cellIs" dxfId="371" priority="8" stopIfTrue="1" operator="greaterThan">
      <formula>9</formula>
    </cfRule>
    <cfRule type="cellIs" dxfId="370" priority="9" stopIfTrue="1" operator="lessThan">
      <formula>10</formula>
    </cfRule>
    <cfRule type="cellIs" dxfId="369" priority="10" stopIfTrue="1" operator="greaterThan">
      <formula>9</formula>
    </cfRule>
  </conditionalFormatting>
  <conditionalFormatting sqref="L9:O63">
    <cfRule type="cellIs" dxfId="368" priority="7" stopIfTrue="1" operator="lessThan">
      <formula>10</formula>
    </cfRule>
  </conditionalFormatting>
  <conditionalFormatting sqref="I9:I63">
    <cfRule type="cellIs" dxfId="367" priority="12" stopIfTrue="1" operator="greaterThan">
      <formula>9</formula>
    </cfRule>
  </conditionalFormatting>
  <conditionalFormatting sqref="J9:J63">
    <cfRule type="cellIs" dxfId="366" priority="11" stopIfTrue="1" operator="greaterThanOrEqual">
      <formula>10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8433" r:id="rId4">
          <objectPr defaultSize="0" autoPict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38100</xdr:colOff>
                <xdr:row>65</xdr:row>
                <xdr:rowOff>22860</xdr:rowOff>
              </to>
            </anchor>
          </objectPr>
        </oleObject>
      </mc:Choice>
      <mc:Fallback>
        <oleObject progId="Word.Document.8" shapeId="1843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" stopIfTrue="1" operator="containsText" id="{493A065D-EFA5-4275-8FAB-BFD02BDDB534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476B89CF-8DDA-4934-B093-F5198F3472EF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17" stopIfTrue="1" operator="containsText" id="{7954A939-9DDF-489F-8734-CF2F235C9342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8" stopIfTrue="1" operator="containsText" id="{38034F7C-D70D-4E73-9969-C96CA2EF203C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5" stopIfTrue="1" operator="containsText" id="{60944CFC-FA12-48B6-8032-1845A4C1B0FB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EFEFEEC1-00D2-487B-B0B6-C0AE131929D3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E9" sqref="E9:O63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32"/>
      <c r="I4" s="324" t="s">
        <v>35</v>
      </c>
      <c r="J4" s="324"/>
      <c r="K4" s="324"/>
      <c r="L4" s="324"/>
      <c r="M4" s="324"/>
      <c r="N4" s="324"/>
      <c r="O4" s="324"/>
      <c r="P4" s="324"/>
      <c r="Q4" s="324"/>
      <c r="R4" s="32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32"/>
      <c r="H5" s="36"/>
      <c r="I5" s="361" t="s">
        <v>34</v>
      </c>
      <c r="J5" s="361"/>
      <c r="K5" s="361"/>
      <c r="L5" s="361"/>
      <c r="M5" s="361"/>
      <c r="N5" s="361"/>
      <c r="O5" s="36"/>
      <c r="P5" s="36"/>
      <c r="Q5" s="36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5</v>
      </c>
      <c r="AD8" s="335">
        <f>COUNTIF(Z9:Z69,"N/TRANSITA")</f>
        <v>50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124">
        <v>10</v>
      </c>
      <c r="F9" s="125">
        <v>1</v>
      </c>
      <c r="G9" s="125">
        <v>8</v>
      </c>
      <c r="H9" s="126">
        <v>17</v>
      </c>
      <c r="I9" s="126"/>
      <c r="J9" s="127">
        <f>AVERAGE(E9,MAX(F9:G9),MAX(H9:I9))</f>
        <v>11.666666666666666</v>
      </c>
      <c r="K9" s="179" t="str">
        <f>IF(J9&gt;=10,"TRANSITA","N/TRANSITA")</f>
        <v>TRANSITA</v>
      </c>
      <c r="L9" s="128">
        <v>10</v>
      </c>
      <c r="M9" s="129">
        <v>6</v>
      </c>
      <c r="N9" s="129"/>
      <c r="O9" s="129">
        <v>6</v>
      </c>
      <c r="P9" s="129"/>
      <c r="Q9" s="127">
        <f>AVERAGE(L9,MAX(M9:N9),MAX(O9:P9))</f>
        <v>7.333333333333333</v>
      </c>
      <c r="R9" s="179" t="str">
        <f>IF(Q9&gt;=10,"TRANSITA","N/TRANSITA")</f>
        <v>N/TRANSITA</v>
      </c>
      <c r="S9" s="130"/>
      <c r="T9" s="126"/>
      <c r="U9" s="126"/>
      <c r="V9" s="131"/>
      <c r="W9" s="131"/>
      <c r="X9" s="23">
        <f>AVERAGE(S9,MAX(T9:U9),MAX(V9:W9))</f>
        <v>0</v>
      </c>
      <c r="Y9" s="20">
        <f t="shared" ref="Y9:Y62" si="0">SUM(J9,Q9,X9)/3</f>
        <v>6.333333333333333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124">
        <v>12</v>
      </c>
      <c r="F10" s="125">
        <v>8</v>
      </c>
      <c r="G10" s="125"/>
      <c r="H10" s="126">
        <v>15</v>
      </c>
      <c r="I10" s="126"/>
      <c r="J10" s="127">
        <f>AVERAGE(E10,MAX(F10:G10),MAX(H10:I10))</f>
        <v>11.666666666666666</v>
      </c>
      <c r="K10" s="180" t="str">
        <f t="shared" ref="K10:K63" si="1">IF(J10&gt;=10,"TRANSITA","N/TRANSITA")</f>
        <v>TRANSITA</v>
      </c>
      <c r="L10" s="132">
        <v>11</v>
      </c>
      <c r="M10" s="133">
        <v>14</v>
      </c>
      <c r="N10" s="133"/>
      <c r="O10" s="133">
        <v>14</v>
      </c>
      <c r="P10" s="133"/>
      <c r="Q10" s="127">
        <f>AVERAGE(L10,MAX(M10:N10),MAX(O10:P10))</f>
        <v>13</v>
      </c>
      <c r="R10" s="180" t="str">
        <f t="shared" ref="R10:R63" si="2">IF(Q10&gt;=10,"TRANSITA","N/TRANSITA")</f>
        <v>TRANSITA</v>
      </c>
      <c r="S10" s="134"/>
      <c r="T10" s="135"/>
      <c r="U10" s="135"/>
      <c r="V10" s="136"/>
      <c r="W10" s="136"/>
      <c r="X10" s="23">
        <f>AVERAGE(S10,MAX(T10:U10),MAX(V10:W10))</f>
        <v>0</v>
      </c>
      <c r="Y10" s="21">
        <f t="shared" ref="Y10" si="3">SUM(J10,Q10,X10)/3</f>
        <v>8.2222222222222214</v>
      </c>
      <c r="Z10" s="180" t="str">
        <f t="shared" ref="Z10:Z63" si="4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124">
        <v>13</v>
      </c>
      <c r="F11" s="125">
        <v>7</v>
      </c>
      <c r="G11" s="125"/>
      <c r="H11" s="126">
        <v>11</v>
      </c>
      <c r="I11" s="126"/>
      <c r="J11" s="127">
        <f t="shared" ref="J11:J63" si="5">AVERAGE(E11,MAX(F11:G11),MAX(H11:I11))</f>
        <v>10.333333333333334</v>
      </c>
      <c r="K11" s="180" t="str">
        <f t="shared" si="1"/>
        <v>TRANSITA</v>
      </c>
      <c r="L11" s="132">
        <v>12</v>
      </c>
      <c r="M11" s="133">
        <v>9</v>
      </c>
      <c r="N11" s="133"/>
      <c r="O11" s="133">
        <v>11</v>
      </c>
      <c r="P11" s="133"/>
      <c r="Q11" s="127">
        <f t="shared" ref="Q11:Q63" si="6">AVERAGE(L11,MAX(M11:N11),MAX(O11:P11))</f>
        <v>10.666666666666666</v>
      </c>
      <c r="R11" s="180" t="str">
        <f t="shared" si="2"/>
        <v>TRANSITA</v>
      </c>
      <c r="S11" s="134"/>
      <c r="T11" s="135"/>
      <c r="U11" s="135"/>
      <c r="V11" s="136"/>
      <c r="W11" s="136"/>
      <c r="X11" s="23">
        <f t="shared" ref="X11:X60" si="7">AVERAGE(S11,MAX(T11:U11),MAX(V11:W11))</f>
        <v>0</v>
      </c>
      <c r="Y11" s="21">
        <f t="shared" ref="Y11:Y60" si="8">SUM(J11,Q11,X11)/3</f>
        <v>7</v>
      </c>
      <c r="Z11" s="180" t="str">
        <f t="shared" si="4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124">
        <v>18</v>
      </c>
      <c r="F12" s="125">
        <v>17</v>
      </c>
      <c r="G12" s="125"/>
      <c r="H12" s="126">
        <v>17</v>
      </c>
      <c r="I12" s="126"/>
      <c r="J12" s="127">
        <f t="shared" si="5"/>
        <v>17.333333333333332</v>
      </c>
      <c r="K12" s="180" t="str">
        <f t="shared" si="1"/>
        <v>TRANSITA</v>
      </c>
      <c r="L12" s="132">
        <v>15</v>
      </c>
      <c r="M12" s="133">
        <v>12</v>
      </c>
      <c r="N12" s="133"/>
      <c r="O12" s="133">
        <v>17</v>
      </c>
      <c r="P12" s="133"/>
      <c r="Q12" s="127">
        <f t="shared" si="6"/>
        <v>14.666666666666666</v>
      </c>
      <c r="R12" s="180" t="str">
        <f t="shared" si="2"/>
        <v>TRANSITA</v>
      </c>
      <c r="S12" s="134"/>
      <c r="T12" s="135"/>
      <c r="U12" s="135"/>
      <c r="V12" s="136"/>
      <c r="W12" s="136"/>
      <c r="X12" s="23">
        <f t="shared" si="7"/>
        <v>0</v>
      </c>
      <c r="Y12" s="21">
        <f t="shared" si="8"/>
        <v>10.666666666666666</v>
      </c>
      <c r="Z12" s="180" t="str">
        <f t="shared" si="4"/>
        <v>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124">
        <v>16</v>
      </c>
      <c r="F13" s="125">
        <v>13</v>
      </c>
      <c r="G13" s="125"/>
      <c r="H13" s="126">
        <v>17</v>
      </c>
      <c r="I13" s="126"/>
      <c r="J13" s="127">
        <f t="shared" si="5"/>
        <v>15.333333333333334</v>
      </c>
      <c r="K13" s="180" t="str">
        <f t="shared" si="1"/>
        <v>TRANSITA</v>
      </c>
      <c r="L13" s="132">
        <v>13</v>
      </c>
      <c r="M13" s="133">
        <v>18</v>
      </c>
      <c r="N13" s="133"/>
      <c r="O13" s="133">
        <v>17</v>
      </c>
      <c r="P13" s="133"/>
      <c r="Q13" s="127">
        <f t="shared" si="6"/>
        <v>16</v>
      </c>
      <c r="R13" s="180" t="str">
        <f t="shared" si="2"/>
        <v>TRANSITA</v>
      </c>
      <c r="S13" s="134"/>
      <c r="T13" s="135"/>
      <c r="U13" s="135"/>
      <c r="V13" s="136"/>
      <c r="W13" s="136"/>
      <c r="X13" s="23">
        <f t="shared" si="7"/>
        <v>0</v>
      </c>
      <c r="Y13" s="21">
        <f t="shared" si="8"/>
        <v>10.444444444444445</v>
      </c>
      <c r="Z13" s="180" t="str">
        <f t="shared" si="4"/>
        <v>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124">
        <v>10</v>
      </c>
      <c r="F14" s="125">
        <v>4</v>
      </c>
      <c r="G14" s="125">
        <v>5</v>
      </c>
      <c r="H14" s="126">
        <v>10</v>
      </c>
      <c r="I14" s="126"/>
      <c r="J14" s="127">
        <f t="shared" si="5"/>
        <v>8.3333333333333339</v>
      </c>
      <c r="K14" s="180" t="str">
        <f t="shared" si="1"/>
        <v>N/TRANSITA</v>
      </c>
      <c r="L14" s="132">
        <v>16</v>
      </c>
      <c r="M14" s="133">
        <v>5</v>
      </c>
      <c r="N14" s="133"/>
      <c r="O14" s="133">
        <v>10</v>
      </c>
      <c r="P14" s="133"/>
      <c r="Q14" s="127">
        <f t="shared" si="6"/>
        <v>10.333333333333334</v>
      </c>
      <c r="R14" s="180" t="str">
        <f t="shared" si="2"/>
        <v>TRANSITA</v>
      </c>
      <c r="S14" s="134"/>
      <c r="T14" s="135"/>
      <c r="U14" s="135"/>
      <c r="V14" s="136"/>
      <c r="W14" s="136"/>
      <c r="X14" s="23">
        <f t="shared" si="7"/>
        <v>0</v>
      </c>
      <c r="Y14" s="21">
        <f t="shared" si="8"/>
        <v>6.2222222222222223</v>
      </c>
      <c r="Z14" s="180" t="str">
        <f t="shared" si="4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124">
        <v>10</v>
      </c>
      <c r="F15" s="125">
        <v>5</v>
      </c>
      <c r="G15" s="125">
        <v>14</v>
      </c>
      <c r="H15" s="126">
        <v>14</v>
      </c>
      <c r="I15" s="126"/>
      <c r="J15" s="127">
        <f t="shared" si="5"/>
        <v>12.666666666666666</v>
      </c>
      <c r="K15" s="180" t="str">
        <f t="shared" si="1"/>
        <v>TRANSITA</v>
      </c>
      <c r="L15" s="132">
        <v>15</v>
      </c>
      <c r="M15" s="133">
        <v>6</v>
      </c>
      <c r="N15" s="133"/>
      <c r="O15" s="133">
        <v>11</v>
      </c>
      <c r="P15" s="133"/>
      <c r="Q15" s="127">
        <f t="shared" si="6"/>
        <v>10.666666666666666</v>
      </c>
      <c r="R15" s="180" t="str">
        <f t="shared" si="2"/>
        <v>TRANSITA</v>
      </c>
      <c r="S15" s="134"/>
      <c r="T15" s="135"/>
      <c r="U15" s="135"/>
      <c r="V15" s="136"/>
      <c r="W15" s="136"/>
      <c r="X15" s="23">
        <f t="shared" si="7"/>
        <v>0</v>
      </c>
      <c r="Y15" s="21">
        <f t="shared" si="8"/>
        <v>7.7777777777777777</v>
      </c>
      <c r="Z15" s="180" t="str">
        <f t="shared" si="4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124">
        <v>10</v>
      </c>
      <c r="F16" s="125">
        <v>5</v>
      </c>
      <c r="G16" s="125"/>
      <c r="H16" s="126">
        <v>12</v>
      </c>
      <c r="I16" s="126"/>
      <c r="J16" s="127">
        <f t="shared" si="5"/>
        <v>9</v>
      </c>
      <c r="K16" s="180" t="str">
        <f t="shared" si="1"/>
        <v>N/TRANSITA</v>
      </c>
      <c r="L16" s="132">
        <v>12</v>
      </c>
      <c r="M16" s="133">
        <v>8</v>
      </c>
      <c r="N16" s="133"/>
      <c r="O16" s="133">
        <v>3</v>
      </c>
      <c r="P16" s="133"/>
      <c r="Q16" s="127">
        <f t="shared" si="6"/>
        <v>7.666666666666667</v>
      </c>
      <c r="R16" s="180" t="str">
        <f t="shared" si="2"/>
        <v>N/TRANSITA</v>
      </c>
      <c r="S16" s="134"/>
      <c r="T16" s="135"/>
      <c r="U16" s="135"/>
      <c r="V16" s="136"/>
      <c r="W16" s="136"/>
      <c r="X16" s="23">
        <f t="shared" si="7"/>
        <v>0</v>
      </c>
      <c r="Y16" s="21">
        <f t="shared" si="8"/>
        <v>5.5555555555555562</v>
      </c>
      <c r="Z16" s="180" t="str">
        <f t="shared" si="4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124">
        <v>12</v>
      </c>
      <c r="F17" s="125">
        <v>9</v>
      </c>
      <c r="G17" s="125"/>
      <c r="H17" s="126">
        <v>16</v>
      </c>
      <c r="I17" s="126"/>
      <c r="J17" s="127">
        <f t="shared" si="5"/>
        <v>12.333333333333334</v>
      </c>
      <c r="K17" s="180" t="str">
        <f t="shared" si="1"/>
        <v>TRANSITA</v>
      </c>
      <c r="L17" s="132">
        <v>17</v>
      </c>
      <c r="M17" s="133">
        <v>9</v>
      </c>
      <c r="N17" s="133"/>
      <c r="O17" s="133">
        <v>12</v>
      </c>
      <c r="P17" s="133"/>
      <c r="Q17" s="127">
        <f t="shared" si="6"/>
        <v>12.666666666666666</v>
      </c>
      <c r="R17" s="180" t="str">
        <f t="shared" si="2"/>
        <v>TRANSITA</v>
      </c>
      <c r="S17" s="134"/>
      <c r="T17" s="135"/>
      <c r="U17" s="135"/>
      <c r="V17" s="136"/>
      <c r="W17" s="136"/>
      <c r="X17" s="23">
        <f t="shared" si="7"/>
        <v>0</v>
      </c>
      <c r="Y17" s="21">
        <f t="shared" si="8"/>
        <v>8.3333333333333339</v>
      </c>
      <c r="Z17" s="180" t="str">
        <f t="shared" si="4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124">
        <v>13</v>
      </c>
      <c r="F18" s="125">
        <v>4</v>
      </c>
      <c r="G18" s="125"/>
      <c r="H18" s="126">
        <v>14</v>
      </c>
      <c r="I18" s="126"/>
      <c r="J18" s="127">
        <f t="shared" si="5"/>
        <v>10.333333333333334</v>
      </c>
      <c r="K18" s="180" t="str">
        <f t="shared" si="1"/>
        <v>TRANSITA</v>
      </c>
      <c r="L18" s="132">
        <v>11</v>
      </c>
      <c r="M18" s="133">
        <v>12</v>
      </c>
      <c r="N18" s="133"/>
      <c r="O18" s="133">
        <v>5</v>
      </c>
      <c r="P18" s="133"/>
      <c r="Q18" s="127">
        <f t="shared" si="6"/>
        <v>9.3333333333333339</v>
      </c>
      <c r="R18" s="180" t="str">
        <f t="shared" si="2"/>
        <v>N/TRANSITA</v>
      </c>
      <c r="S18" s="134"/>
      <c r="T18" s="135"/>
      <c r="U18" s="135"/>
      <c r="V18" s="136"/>
      <c r="W18" s="136"/>
      <c r="X18" s="23">
        <f t="shared" si="7"/>
        <v>0</v>
      </c>
      <c r="Y18" s="21">
        <f t="shared" si="8"/>
        <v>6.5555555555555562</v>
      </c>
      <c r="Z18" s="180" t="str">
        <f t="shared" si="4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124">
        <v>10</v>
      </c>
      <c r="F19" s="125">
        <v>9</v>
      </c>
      <c r="G19" s="125"/>
      <c r="H19" s="126">
        <v>14</v>
      </c>
      <c r="I19" s="126"/>
      <c r="J19" s="127">
        <f t="shared" si="5"/>
        <v>11</v>
      </c>
      <c r="K19" s="180" t="str">
        <f t="shared" si="1"/>
        <v>TRANSITA</v>
      </c>
      <c r="L19" s="132">
        <v>10</v>
      </c>
      <c r="M19" s="133">
        <v>12</v>
      </c>
      <c r="N19" s="133"/>
      <c r="O19" s="133">
        <v>10</v>
      </c>
      <c r="P19" s="133"/>
      <c r="Q19" s="127">
        <f t="shared" si="6"/>
        <v>10.666666666666666</v>
      </c>
      <c r="R19" s="180" t="str">
        <f t="shared" si="2"/>
        <v>TRANSITA</v>
      </c>
      <c r="S19" s="134"/>
      <c r="T19" s="135"/>
      <c r="U19" s="135"/>
      <c r="V19" s="136"/>
      <c r="W19" s="136"/>
      <c r="X19" s="23">
        <f t="shared" si="7"/>
        <v>0</v>
      </c>
      <c r="Y19" s="21">
        <f t="shared" si="8"/>
        <v>7.2222222222222214</v>
      </c>
      <c r="Z19" s="180" t="str">
        <f t="shared" si="4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124">
        <v>12</v>
      </c>
      <c r="F20" s="125">
        <v>7</v>
      </c>
      <c r="G20" s="125"/>
      <c r="H20" s="126">
        <v>10</v>
      </c>
      <c r="I20" s="126"/>
      <c r="J20" s="127">
        <f t="shared" si="5"/>
        <v>9.6666666666666661</v>
      </c>
      <c r="K20" s="180" t="str">
        <f t="shared" si="1"/>
        <v>N/TRANSITA</v>
      </c>
      <c r="L20" s="132">
        <v>12</v>
      </c>
      <c r="M20" s="133">
        <v>11</v>
      </c>
      <c r="N20" s="133"/>
      <c r="O20" s="133">
        <v>9</v>
      </c>
      <c r="P20" s="133"/>
      <c r="Q20" s="127">
        <f t="shared" si="6"/>
        <v>10.666666666666666</v>
      </c>
      <c r="R20" s="180" t="str">
        <f t="shared" si="2"/>
        <v>TRANSITA</v>
      </c>
      <c r="S20" s="134"/>
      <c r="T20" s="135"/>
      <c r="U20" s="135"/>
      <c r="V20" s="136"/>
      <c r="W20" s="136"/>
      <c r="X20" s="23">
        <f t="shared" si="7"/>
        <v>0</v>
      </c>
      <c r="Y20" s="21">
        <f t="shared" si="8"/>
        <v>6.7777777777777777</v>
      </c>
      <c r="Z20" s="180" t="str">
        <f t="shared" si="4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124">
        <v>13</v>
      </c>
      <c r="F21" s="125">
        <v>7</v>
      </c>
      <c r="G21" s="125">
        <v>5</v>
      </c>
      <c r="H21" s="126">
        <v>11</v>
      </c>
      <c r="I21" s="126"/>
      <c r="J21" s="127">
        <f t="shared" si="5"/>
        <v>10.333333333333334</v>
      </c>
      <c r="K21" s="180" t="str">
        <f t="shared" si="1"/>
        <v>TRANSITA</v>
      </c>
      <c r="L21" s="132">
        <v>15</v>
      </c>
      <c r="M21" s="133">
        <v>14</v>
      </c>
      <c r="N21" s="133"/>
      <c r="O21" s="133">
        <v>12</v>
      </c>
      <c r="P21" s="133"/>
      <c r="Q21" s="127">
        <f t="shared" si="6"/>
        <v>13.666666666666666</v>
      </c>
      <c r="R21" s="180" t="str">
        <f t="shared" si="2"/>
        <v>TRANSITA</v>
      </c>
      <c r="S21" s="134"/>
      <c r="T21" s="135"/>
      <c r="U21" s="135"/>
      <c r="V21" s="136"/>
      <c r="W21" s="136"/>
      <c r="X21" s="23">
        <f t="shared" si="7"/>
        <v>0</v>
      </c>
      <c r="Y21" s="21">
        <f t="shared" si="8"/>
        <v>8</v>
      </c>
      <c r="Z21" s="180" t="str">
        <f t="shared" si="4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124">
        <v>14</v>
      </c>
      <c r="F22" s="125">
        <v>10</v>
      </c>
      <c r="G22" s="125"/>
      <c r="H22" s="126">
        <v>17</v>
      </c>
      <c r="I22" s="126"/>
      <c r="J22" s="127">
        <f t="shared" si="5"/>
        <v>13.666666666666666</v>
      </c>
      <c r="K22" s="180" t="str">
        <f t="shared" si="1"/>
        <v>TRANSITA</v>
      </c>
      <c r="L22" s="132">
        <v>15</v>
      </c>
      <c r="M22" s="133">
        <v>11</v>
      </c>
      <c r="N22" s="133"/>
      <c r="O22" s="133">
        <v>14</v>
      </c>
      <c r="P22" s="133"/>
      <c r="Q22" s="127">
        <f t="shared" si="6"/>
        <v>13.333333333333334</v>
      </c>
      <c r="R22" s="180" t="str">
        <f t="shared" si="2"/>
        <v>TRANSITA</v>
      </c>
      <c r="S22" s="134"/>
      <c r="T22" s="135"/>
      <c r="U22" s="135"/>
      <c r="V22" s="136"/>
      <c r="W22" s="136"/>
      <c r="X22" s="23">
        <f t="shared" si="7"/>
        <v>0</v>
      </c>
      <c r="Y22" s="21">
        <f t="shared" si="8"/>
        <v>9</v>
      </c>
      <c r="Z22" s="180" t="str">
        <f t="shared" si="4"/>
        <v>N/TRANSITA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124">
        <v>11</v>
      </c>
      <c r="F23" s="125">
        <v>8</v>
      </c>
      <c r="G23" s="125"/>
      <c r="H23" s="126">
        <v>14</v>
      </c>
      <c r="I23" s="126"/>
      <c r="J23" s="127">
        <f t="shared" si="5"/>
        <v>11</v>
      </c>
      <c r="K23" s="180" t="str">
        <f t="shared" si="1"/>
        <v>TRANSITA</v>
      </c>
      <c r="L23" s="132">
        <v>12</v>
      </c>
      <c r="M23" s="133">
        <v>11</v>
      </c>
      <c r="N23" s="133"/>
      <c r="O23" s="133">
        <v>9</v>
      </c>
      <c r="P23" s="133"/>
      <c r="Q23" s="127">
        <f t="shared" si="6"/>
        <v>10.666666666666666</v>
      </c>
      <c r="R23" s="180" t="str">
        <f t="shared" si="2"/>
        <v>TRANSITA</v>
      </c>
      <c r="S23" s="134"/>
      <c r="T23" s="135"/>
      <c r="U23" s="135"/>
      <c r="V23" s="136"/>
      <c r="W23" s="136"/>
      <c r="X23" s="23">
        <f t="shared" si="7"/>
        <v>0</v>
      </c>
      <c r="Y23" s="21">
        <f t="shared" si="8"/>
        <v>7.2222222222222214</v>
      </c>
      <c r="Z23" s="180" t="str">
        <f t="shared" si="4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124">
        <v>12</v>
      </c>
      <c r="F24" s="125">
        <v>4</v>
      </c>
      <c r="G24" s="125"/>
      <c r="H24" s="126">
        <v>12</v>
      </c>
      <c r="I24" s="126"/>
      <c r="J24" s="127">
        <f t="shared" si="5"/>
        <v>9.3333333333333339</v>
      </c>
      <c r="K24" s="180" t="str">
        <f t="shared" si="1"/>
        <v>N/TRANSITA</v>
      </c>
      <c r="L24" s="132">
        <v>11</v>
      </c>
      <c r="M24" s="133">
        <v>10</v>
      </c>
      <c r="N24" s="133"/>
      <c r="O24" s="133">
        <v>10</v>
      </c>
      <c r="P24" s="133"/>
      <c r="Q24" s="127">
        <f t="shared" si="6"/>
        <v>10.333333333333334</v>
      </c>
      <c r="R24" s="180" t="str">
        <f t="shared" si="2"/>
        <v>TRANSITA</v>
      </c>
      <c r="S24" s="134"/>
      <c r="T24" s="135"/>
      <c r="U24" s="135"/>
      <c r="V24" s="136"/>
      <c r="W24" s="136"/>
      <c r="X24" s="23">
        <f t="shared" si="7"/>
        <v>0</v>
      </c>
      <c r="Y24" s="21">
        <f t="shared" si="8"/>
        <v>6.5555555555555562</v>
      </c>
      <c r="Z24" s="180" t="str">
        <f t="shared" si="4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124">
        <v>10</v>
      </c>
      <c r="F25" s="125">
        <v>5</v>
      </c>
      <c r="G25" s="125"/>
      <c r="H25" s="126">
        <v>12</v>
      </c>
      <c r="I25" s="126"/>
      <c r="J25" s="127">
        <f t="shared" si="5"/>
        <v>9</v>
      </c>
      <c r="K25" s="180" t="str">
        <f t="shared" si="1"/>
        <v>N/TRANSITA</v>
      </c>
      <c r="L25" s="132">
        <v>10</v>
      </c>
      <c r="M25" s="133">
        <v>9</v>
      </c>
      <c r="N25" s="133"/>
      <c r="O25" s="133">
        <v>11</v>
      </c>
      <c r="P25" s="133"/>
      <c r="Q25" s="127">
        <f t="shared" ref="Q25:Q26" si="9">AVERAGE(L25,MAX(M25:N25),MAX(O25:P25))</f>
        <v>10</v>
      </c>
      <c r="R25" s="180" t="str">
        <f t="shared" ref="R25:R26" si="10">IF(Q25&gt;=10,"TRANSITA","N/TRANSITA")</f>
        <v>TRANSITA</v>
      </c>
      <c r="S25" s="134"/>
      <c r="T25" s="135"/>
      <c r="U25" s="135"/>
      <c r="V25" s="136"/>
      <c r="W25" s="136"/>
      <c r="X25" s="23">
        <f t="shared" ref="X25:X26" si="11">AVERAGE(S25,MAX(T25:U25),MAX(V25:W25))</f>
        <v>0</v>
      </c>
      <c r="Y25" s="21">
        <f t="shared" ref="Y25:Y26" si="12">SUM(J25,Q25,X25)/3</f>
        <v>6.333333333333333</v>
      </c>
      <c r="Z25" s="180" t="str">
        <f t="shared" ref="Z25:Z26" si="13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124">
        <v>15</v>
      </c>
      <c r="F26" s="125">
        <v>10</v>
      </c>
      <c r="G26" s="125"/>
      <c r="H26" s="126">
        <v>11</v>
      </c>
      <c r="I26" s="126"/>
      <c r="J26" s="127">
        <f t="shared" si="5"/>
        <v>12</v>
      </c>
      <c r="K26" s="180" t="str">
        <f t="shared" si="1"/>
        <v>TRANSITA</v>
      </c>
      <c r="L26" s="132">
        <v>10</v>
      </c>
      <c r="M26" s="133">
        <v>5</v>
      </c>
      <c r="N26" s="133"/>
      <c r="O26" s="133">
        <v>13</v>
      </c>
      <c r="P26" s="133"/>
      <c r="Q26" s="127">
        <f t="shared" si="9"/>
        <v>9.3333333333333339</v>
      </c>
      <c r="R26" s="180" t="str">
        <f t="shared" si="10"/>
        <v>N/TRANSITA</v>
      </c>
      <c r="S26" s="134"/>
      <c r="T26" s="135"/>
      <c r="U26" s="135"/>
      <c r="V26" s="136"/>
      <c r="W26" s="136"/>
      <c r="X26" s="23">
        <f t="shared" si="11"/>
        <v>0</v>
      </c>
      <c r="Y26" s="21">
        <f t="shared" si="12"/>
        <v>7.1111111111111116</v>
      </c>
      <c r="Z26" s="180" t="str">
        <f t="shared" si="13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124">
        <v>10</v>
      </c>
      <c r="F27" s="125">
        <v>8</v>
      </c>
      <c r="G27" s="125"/>
      <c r="H27" s="126">
        <v>13</v>
      </c>
      <c r="I27" s="126"/>
      <c r="J27" s="127">
        <f t="shared" si="5"/>
        <v>10.333333333333334</v>
      </c>
      <c r="K27" s="180" t="str">
        <f t="shared" si="1"/>
        <v>TRANSITA</v>
      </c>
      <c r="L27" s="132">
        <v>10</v>
      </c>
      <c r="M27" s="133">
        <v>13</v>
      </c>
      <c r="N27" s="133"/>
      <c r="O27" s="133">
        <v>12</v>
      </c>
      <c r="P27" s="133"/>
      <c r="Q27" s="127">
        <f t="shared" si="6"/>
        <v>11.666666666666666</v>
      </c>
      <c r="R27" s="180" t="str">
        <f t="shared" si="2"/>
        <v>TRANSITA</v>
      </c>
      <c r="S27" s="134"/>
      <c r="T27" s="135"/>
      <c r="U27" s="135"/>
      <c r="V27" s="136"/>
      <c r="W27" s="136"/>
      <c r="X27" s="23">
        <f t="shared" si="7"/>
        <v>0</v>
      </c>
      <c r="Y27" s="21">
        <f t="shared" si="8"/>
        <v>7.333333333333333</v>
      </c>
      <c r="Z27" s="180" t="str">
        <f t="shared" si="4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124">
        <v>10</v>
      </c>
      <c r="F28" s="125">
        <v>3</v>
      </c>
      <c r="G28" s="125"/>
      <c r="H28" s="126">
        <v>10</v>
      </c>
      <c r="I28" s="126"/>
      <c r="J28" s="127">
        <f t="shared" si="5"/>
        <v>7.666666666666667</v>
      </c>
      <c r="K28" s="180" t="str">
        <f t="shared" si="1"/>
        <v>N/TRANSITA</v>
      </c>
      <c r="L28" s="132"/>
      <c r="M28" s="133"/>
      <c r="N28" s="133"/>
      <c r="O28" s="133"/>
      <c r="P28" s="133"/>
      <c r="Q28" s="127">
        <f t="shared" si="6"/>
        <v>0</v>
      </c>
      <c r="R28" s="180" t="str">
        <f t="shared" si="2"/>
        <v>N/TRANSITA</v>
      </c>
      <c r="S28" s="134"/>
      <c r="T28" s="135"/>
      <c r="U28" s="135"/>
      <c r="V28" s="136"/>
      <c r="W28" s="136"/>
      <c r="X28" s="23">
        <f t="shared" si="7"/>
        <v>0</v>
      </c>
      <c r="Y28" s="21">
        <f t="shared" si="8"/>
        <v>2.5555555555555558</v>
      </c>
      <c r="Z28" s="180" t="str">
        <f t="shared" si="4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124">
        <v>13</v>
      </c>
      <c r="F29" s="125">
        <v>3</v>
      </c>
      <c r="G29" s="125"/>
      <c r="H29" s="126">
        <v>15</v>
      </c>
      <c r="I29" s="126"/>
      <c r="J29" s="127">
        <f t="shared" si="5"/>
        <v>10.333333333333334</v>
      </c>
      <c r="K29" s="180" t="str">
        <f t="shared" si="1"/>
        <v>TRANSITA</v>
      </c>
      <c r="L29" s="132">
        <v>10</v>
      </c>
      <c r="M29" s="133">
        <v>8</v>
      </c>
      <c r="N29" s="133"/>
      <c r="O29" s="133">
        <v>10</v>
      </c>
      <c r="P29" s="133"/>
      <c r="Q29" s="127">
        <f t="shared" si="6"/>
        <v>9.3333333333333339</v>
      </c>
      <c r="R29" s="180" t="str">
        <f t="shared" si="2"/>
        <v>N/TRANSITA</v>
      </c>
      <c r="S29" s="134"/>
      <c r="T29" s="135"/>
      <c r="U29" s="135"/>
      <c r="V29" s="136"/>
      <c r="W29" s="136"/>
      <c r="X29" s="23">
        <f t="shared" si="7"/>
        <v>0</v>
      </c>
      <c r="Y29" s="21">
        <f t="shared" si="8"/>
        <v>6.5555555555555562</v>
      </c>
      <c r="Z29" s="180" t="str">
        <f t="shared" si="4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124">
        <v>10</v>
      </c>
      <c r="F30" s="125">
        <v>6</v>
      </c>
      <c r="G30" s="125"/>
      <c r="H30" s="126">
        <v>14</v>
      </c>
      <c r="I30" s="126"/>
      <c r="J30" s="127">
        <f t="shared" si="5"/>
        <v>10</v>
      </c>
      <c r="K30" s="180" t="str">
        <f t="shared" si="1"/>
        <v>TRANSITA</v>
      </c>
      <c r="L30" s="132">
        <v>14</v>
      </c>
      <c r="M30" s="133">
        <v>11</v>
      </c>
      <c r="N30" s="133"/>
      <c r="O30" s="133">
        <v>10</v>
      </c>
      <c r="P30" s="133"/>
      <c r="Q30" s="127">
        <f t="shared" si="6"/>
        <v>11.666666666666666</v>
      </c>
      <c r="R30" s="180" t="str">
        <f t="shared" si="2"/>
        <v>TRANSITA</v>
      </c>
      <c r="S30" s="134"/>
      <c r="T30" s="135"/>
      <c r="U30" s="135"/>
      <c r="V30" s="136"/>
      <c r="W30" s="136"/>
      <c r="X30" s="23">
        <f t="shared" si="7"/>
        <v>0</v>
      </c>
      <c r="Y30" s="21">
        <f t="shared" si="8"/>
        <v>7.2222222222222214</v>
      </c>
      <c r="Z30" s="180" t="str">
        <f t="shared" si="4"/>
        <v>N/TRANSITA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124"/>
      <c r="F31" s="125"/>
      <c r="G31" s="125"/>
      <c r="H31" s="126"/>
      <c r="I31" s="126"/>
      <c r="J31" s="127">
        <f t="shared" si="5"/>
        <v>0</v>
      </c>
      <c r="K31" s="180" t="str">
        <f t="shared" si="1"/>
        <v>N/TRANSITA</v>
      </c>
      <c r="L31" s="132">
        <v>10</v>
      </c>
      <c r="M31" s="133">
        <v>7</v>
      </c>
      <c r="N31" s="133"/>
      <c r="O31" s="133">
        <v>9</v>
      </c>
      <c r="P31" s="133"/>
      <c r="Q31" s="127">
        <f t="shared" ref="Q31" si="14">AVERAGE(L31,MAX(M31:N31),MAX(O31:P31))</f>
        <v>8.6666666666666661</v>
      </c>
      <c r="R31" s="180" t="str">
        <f t="shared" ref="R31" si="15">IF(Q31&gt;=10,"TRANSITA","N/TRANSITA")</f>
        <v>N/TRANSITA</v>
      </c>
      <c r="S31" s="134"/>
      <c r="T31" s="135"/>
      <c r="U31" s="135"/>
      <c r="V31" s="136"/>
      <c r="W31" s="136"/>
      <c r="X31" s="23">
        <f t="shared" ref="X31" si="16">AVERAGE(S31,MAX(T31:U31),MAX(V31:W31))</f>
        <v>0</v>
      </c>
      <c r="Y31" s="21">
        <f t="shared" ref="Y31" si="17">SUM(J31,Q31,X31)/3</f>
        <v>2.8888888888888888</v>
      </c>
      <c r="Z31" s="180" t="str">
        <f t="shared" ref="Z31" si="18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124">
        <v>16</v>
      </c>
      <c r="F32" s="125">
        <v>4</v>
      </c>
      <c r="G32" s="125">
        <v>5</v>
      </c>
      <c r="H32" s="126">
        <v>15</v>
      </c>
      <c r="I32" s="126"/>
      <c r="J32" s="127">
        <f t="shared" si="5"/>
        <v>12</v>
      </c>
      <c r="K32" s="180" t="str">
        <f t="shared" si="1"/>
        <v>TRANSITA</v>
      </c>
      <c r="L32" s="132">
        <v>16</v>
      </c>
      <c r="M32" s="133">
        <v>10</v>
      </c>
      <c r="N32" s="133"/>
      <c r="O32" s="133">
        <v>8</v>
      </c>
      <c r="P32" s="133"/>
      <c r="Q32" s="127">
        <f t="shared" ref="Q32:Q48" si="19">AVERAGE(L32,MAX(M32:N32),MAX(O32:P32))</f>
        <v>11.333333333333334</v>
      </c>
      <c r="R32" s="180" t="str">
        <f t="shared" si="2"/>
        <v>TRANSITA</v>
      </c>
      <c r="S32" s="134"/>
      <c r="T32" s="135"/>
      <c r="U32" s="135"/>
      <c r="V32" s="136"/>
      <c r="W32" s="136"/>
      <c r="X32" s="23">
        <f t="shared" ref="X32:X48" si="20">AVERAGE(S32,MAX(T32:U32),MAX(V32:W32))</f>
        <v>0</v>
      </c>
      <c r="Y32" s="21">
        <f t="shared" ref="Y32:Y48" si="21">SUM(J32,Q32,X32)/3</f>
        <v>7.7777777777777786</v>
      </c>
      <c r="Z32" s="180" t="str">
        <f t="shared" si="4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124">
        <v>16</v>
      </c>
      <c r="F33" s="125">
        <v>5</v>
      </c>
      <c r="G33" s="125"/>
      <c r="H33" s="126">
        <v>12</v>
      </c>
      <c r="I33" s="126"/>
      <c r="J33" s="127">
        <f t="shared" si="5"/>
        <v>11</v>
      </c>
      <c r="K33" s="180" t="str">
        <f t="shared" si="1"/>
        <v>TRANSITA</v>
      </c>
      <c r="L33" s="132">
        <v>13</v>
      </c>
      <c r="M33" s="133">
        <v>13</v>
      </c>
      <c r="N33" s="133"/>
      <c r="O33" s="133">
        <v>10</v>
      </c>
      <c r="P33" s="133"/>
      <c r="Q33" s="127">
        <f t="shared" si="19"/>
        <v>12</v>
      </c>
      <c r="R33" s="180" t="str">
        <f t="shared" si="2"/>
        <v>TRANSITA</v>
      </c>
      <c r="S33" s="134"/>
      <c r="T33" s="135"/>
      <c r="U33" s="135"/>
      <c r="V33" s="136"/>
      <c r="W33" s="136"/>
      <c r="X33" s="23">
        <f t="shared" si="20"/>
        <v>0</v>
      </c>
      <c r="Y33" s="21">
        <f t="shared" si="21"/>
        <v>7.666666666666667</v>
      </c>
      <c r="Z33" s="180" t="str">
        <f t="shared" si="4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124">
        <v>16</v>
      </c>
      <c r="F34" s="125">
        <v>12</v>
      </c>
      <c r="G34" s="125"/>
      <c r="H34" s="126">
        <v>20</v>
      </c>
      <c r="I34" s="126"/>
      <c r="J34" s="127">
        <f t="shared" si="5"/>
        <v>16</v>
      </c>
      <c r="K34" s="180" t="str">
        <f t="shared" si="1"/>
        <v>TRANSITA</v>
      </c>
      <c r="L34" s="132">
        <v>15</v>
      </c>
      <c r="M34" s="133">
        <v>17</v>
      </c>
      <c r="N34" s="133"/>
      <c r="O34" s="133">
        <v>18</v>
      </c>
      <c r="P34" s="133"/>
      <c r="Q34" s="127">
        <f t="shared" si="19"/>
        <v>16.666666666666668</v>
      </c>
      <c r="R34" s="180" t="str">
        <f t="shared" si="2"/>
        <v>TRANSITA</v>
      </c>
      <c r="S34" s="134"/>
      <c r="T34" s="135"/>
      <c r="U34" s="135"/>
      <c r="V34" s="136"/>
      <c r="W34" s="136"/>
      <c r="X34" s="23">
        <f t="shared" si="20"/>
        <v>0</v>
      </c>
      <c r="Y34" s="21">
        <f t="shared" si="21"/>
        <v>10.888888888888891</v>
      </c>
      <c r="Z34" s="180" t="str">
        <f t="shared" si="4"/>
        <v>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124">
        <v>10</v>
      </c>
      <c r="F35" s="125">
        <v>2</v>
      </c>
      <c r="G35" s="125"/>
      <c r="H35" s="126">
        <v>9</v>
      </c>
      <c r="I35" s="126"/>
      <c r="J35" s="127">
        <f t="shared" si="5"/>
        <v>7</v>
      </c>
      <c r="K35" s="180" t="str">
        <f t="shared" si="1"/>
        <v>N/TRANSITA</v>
      </c>
      <c r="L35" s="132"/>
      <c r="M35" s="133"/>
      <c r="N35" s="133"/>
      <c r="O35" s="133"/>
      <c r="P35" s="133"/>
      <c r="Q35" s="127">
        <f t="shared" si="19"/>
        <v>0</v>
      </c>
      <c r="R35" s="180" t="str">
        <f t="shared" si="2"/>
        <v>N/TRANSITA</v>
      </c>
      <c r="S35" s="134"/>
      <c r="T35" s="135"/>
      <c r="U35" s="135"/>
      <c r="V35" s="136"/>
      <c r="W35" s="136"/>
      <c r="X35" s="23">
        <f t="shared" si="20"/>
        <v>0</v>
      </c>
      <c r="Y35" s="21">
        <f t="shared" si="21"/>
        <v>2.3333333333333335</v>
      </c>
      <c r="Z35" s="180" t="str">
        <f t="shared" si="4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124">
        <v>15</v>
      </c>
      <c r="F36" s="125">
        <v>5</v>
      </c>
      <c r="G36" s="125"/>
      <c r="H36" s="126">
        <v>11</v>
      </c>
      <c r="I36" s="126"/>
      <c r="J36" s="127">
        <f t="shared" si="5"/>
        <v>10.333333333333334</v>
      </c>
      <c r="K36" s="180" t="str">
        <f t="shared" si="1"/>
        <v>TRANSITA</v>
      </c>
      <c r="L36" s="132">
        <v>10</v>
      </c>
      <c r="M36" s="133">
        <v>12</v>
      </c>
      <c r="N36" s="133"/>
      <c r="O36" s="133">
        <v>11</v>
      </c>
      <c r="P36" s="133"/>
      <c r="Q36" s="127">
        <f t="shared" si="19"/>
        <v>11</v>
      </c>
      <c r="R36" s="180" t="str">
        <f t="shared" si="2"/>
        <v>TRANSITA</v>
      </c>
      <c r="S36" s="134"/>
      <c r="T36" s="135"/>
      <c r="U36" s="135"/>
      <c r="V36" s="136"/>
      <c r="W36" s="136"/>
      <c r="X36" s="23">
        <f t="shared" si="20"/>
        <v>0</v>
      </c>
      <c r="Y36" s="21">
        <f t="shared" si="21"/>
        <v>7.1111111111111116</v>
      </c>
      <c r="Z36" s="180" t="str">
        <f t="shared" si="4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124">
        <v>16</v>
      </c>
      <c r="F37" s="125">
        <v>13</v>
      </c>
      <c r="G37" s="125"/>
      <c r="H37" s="126">
        <v>16</v>
      </c>
      <c r="I37" s="126"/>
      <c r="J37" s="127">
        <f t="shared" si="5"/>
        <v>15</v>
      </c>
      <c r="K37" s="180" t="str">
        <f t="shared" si="1"/>
        <v>TRANSITA</v>
      </c>
      <c r="L37" s="132">
        <v>9</v>
      </c>
      <c r="M37" s="133">
        <v>10</v>
      </c>
      <c r="N37" s="133"/>
      <c r="O37" s="133">
        <v>8</v>
      </c>
      <c r="P37" s="133"/>
      <c r="Q37" s="127">
        <f t="shared" si="19"/>
        <v>9</v>
      </c>
      <c r="R37" s="180" t="str">
        <f t="shared" si="2"/>
        <v>N/TRANSITA</v>
      </c>
      <c r="S37" s="134"/>
      <c r="T37" s="135"/>
      <c r="U37" s="135"/>
      <c r="V37" s="136"/>
      <c r="W37" s="136"/>
      <c r="X37" s="23">
        <f t="shared" si="20"/>
        <v>0</v>
      </c>
      <c r="Y37" s="21">
        <f t="shared" si="21"/>
        <v>8</v>
      </c>
      <c r="Z37" s="180" t="str">
        <f t="shared" si="4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124">
        <v>13</v>
      </c>
      <c r="F38" s="125">
        <v>7</v>
      </c>
      <c r="G38" s="125">
        <v>3</v>
      </c>
      <c r="H38" s="126"/>
      <c r="I38" s="126">
        <v>14</v>
      </c>
      <c r="J38" s="127">
        <f t="shared" si="5"/>
        <v>11.333333333333334</v>
      </c>
      <c r="K38" s="180" t="str">
        <f t="shared" si="1"/>
        <v>TRANSITA</v>
      </c>
      <c r="L38" s="132">
        <v>12</v>
      </c>
      <c r="M38" s="133">
        <v>9</v>
      </c>
      <c r="N38" s="133"/>
      <c r="O38" s="133">
        <v>11</v>
      </c>
      <c r="P38" s="133"/>
      <c r="Q38" s="127">
        <f t="shared" si="19"/>
        <v>10.666666666666666</v>
      </c>
      <c r="R38" s="180" t="str">
        <f t="shared" si="2"/>
        <v>TRANSITA</v>
      </c>
      <c r="S38" s="134"/>
      <c r="T38" s="135"/>
      <c r="U38" s="135"/>
      <c r="V38" s="136"/>
      <c r="W38" s="136"/>
      <c r="X38" s="23">
        <f t="shared" si="20"/>
        <v>0</v>
      </c>
      <c r="Y38" s="21">
        <f t="shared" si="21"/>
        <v>7.333333333333333</v>
      </c>
      <c r="Z38" s="180" t="str">
        <f t="shared" si="4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124"/>
      <c r="F39" s="125"/>
      <c r="G39" s="125"/>
      <c r="H39" s="126"/>
      <c r="I39" s="126"/>
      <c r="J39" s="127">
        <f t="shared" si="5"/>
        <v>0</v>
      </c>
      <c r="K39" s="180" t="str">
        <f t="shared" si="1"/>
        <v>N/TRANSITA</v>
      </c>
      <c r="L39" s="132">
        <v>12</v>
      </c>
      <c r="M39" s="133">
        <v>15</v>
      </c>
      <c r="N39" s="133"/>
      <c r="O39" s="133">
        <v>15</v>
      </c>
      <c r="P39" s="133"/>
      <c r="Q39" s="127">
        <f t="shared" ref="Q39:Q43" si="22">AVERAGE(L39,MAX(M39:N39),MAX(O39:P39))</f>
        <v>14</v>
      </c>
      <c r="R39" s="180" t="str">
        <f t="shared" ref="R39:R43" si="23">IF(Q39&gt;=10,"TRANSITA","N/TRANSITA")</f>
        <v>TRANSITA</v>
      </c>
      <c r="S39" s="134"/>
      <c r="T39" s="135"/>
      <c r="U39" s="135"/>
      <c r="V39" s="136"/>
      <c r="W39" s="136"/>
      <c r="X39" s="23">
        <f t="shared" ref="X39:X43" si="24">AVERAGE(S39,MAX(T39:U39),MAX(V39:W39))</f>
        <v>0</v>
      </c>
      <c r="Y39" s="21">
        <f t="shared" ref="Y39:Y43" si="25">SUM(J39,Q39,X39)/3</f>
        <v>4.666666666666667</v>
      </c>
      <c r="Z39" s="180" t="str">
        <f t="shared" ref="Z39:Z43" si="26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124"/>
      <c r="F40" s="125"/>
      <c r="G40" s="125"/>
      <c r="H40" s="126"/>
      <c r="I40" s="126"/>
      <c r="J40" s="127">
        <f t="shared" si="5"/>
        <v>0</v>
      </c>
      <c r="K40" s="180" t="str">
        <f t="shared" si="1"/>
        <v>N/TRANSITA</v>
      </c>
      <c r="L40" s="132">
        <v>16</v>
      </c>
      <c r="M40" s="133">
        <v>6</v>
      </c>
      <c r="N40" s="133"/>
      <c r="O40" s="133">
        <v>12</v>
      </c>
      <c r="P40" s="133"/>
      <c r="Q40" s="127">
        <f t="shared" si="22"/>
        <v>11.333333333333334</v>
      </c>
      <c r="R40" s="180" t="str">
        <f t="shared" si="23"/>
        <v>TRANSITA</v>
      </c>
      <c r="S40" s="134"/>
      <c r="T40" s="135"/>
      <c r="U40" s="135"/>
      <c r="V40" s="136"/>
      <c r="W40" s="136"/>
      <c r="X40" s="23">
        <f t="shared" si="24"/>
        <v>0</v>
      </c>
      <c r="Y40" s="21">
        <f t="shared" si="25"/>
        <v>3.7777777777777781</v>
      </c>
      <c r="Z40" s="180" t="str">
        <f t="shared" si="26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124">
        <v>10</v>
      </c>
      <c r="F41" s="125">
        <v>6</v>
      </c>
      <c r="G41" s="125"/>
      <c r="H41" s="126">
        <v>12</v>
      </c>
      <c r="I41" s="126"/>
      <c r="J41" s="127">
        <f t="shared" si="5"/>
        <v>9.3333333333333339</v>
      </c>
      <c r="K41" s="180" t="str">
        <f t="shared" si="1"/>
        <v>N/TRANSITA</v>
      </c>
      <c r="L41" s="132">
        <v>10</v>
      </c>
      <c r="M41" s="133">
        <v>9</v>
      </c>
      <c r="N41" s="133"/>
      <c r="O41" s="133">
        <v>9</v>
      </c>
      <c r="P41" s="133"/>
      <c r="Q41" s="127">
        <f t="shared" si="22"/>
        <v>9.3333333333333339</v>
      </c>
      <c r="R41" s="180" t="str">
        <f t="shared" si="23"/>
        <v>N/TRANSITA</v>
      </c>
      <c r="S41" s="134"/>
      <c r="T41" s="135"/>
      <c r="U41" s="135"/>
      <c r="V41" s="136"/>
      <c r="W41" s="136"/>
      <c r="X41" s="23">
        <f t="shared" si="24"/>
        <v>0</v>
      </c>
      <c r="Y41" s="21">
        <f t="shared" si="25"/>
        <v>6.2222222222222223</v>
      </c>
      <c r="Z41" s="180" t="str">
        <f t="shared" si="26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124">
        <v>16</v>
      </c>
      <c r="F42" s="125">
        <v>4</v>
      </c>
      <c r="G42" s="125"/>
      <c r="H42" s="126">
        <v>9</v>
      </c>
      <c r="I42" s="126"/>
      <c r="J42" s="127">
        <f t="shared" si="5"/>
        <v>9.6666666666666661</v>
      </c>
      <c r="K42" s="180" t="str">
        <f t="shared" si="1"/>
        <v>N/TRANSITA</v>
      </c>
      <c r="L42" s="132">
        <v>12</v>
      </c>
      <c r="M42" s="133">
        <v>12</v>
      </c>
      <c r="N42" s="133"/>
      <c r="O42" s="133">
        <v>10</v>
      </c>
      <c r="P42" s="133"/>
      <c r="Q42" s="127">
        <f t="shared" si="22"/>
        <v>11.333333333333334</v>
      </c>
      <c r="R42" s="180" t="str">
        <f t="shared" si="23"/>
        <v>TRANSITA</v>
      </c>
      <c r="S42" s="134"/>
      <c r="T42" s="135"/>
      <c r="U42" s="135"/>
      <c r="V42" s="136"/>
      <c r="W42" s="136"/>
      <c r="X42" s="23">
        <f t="shared" si="24"/>
        <v>0</v>
      </c>
      <c r="Y42" s="21">
        <f t="shared" si="25"/>
        <v>7</v>
      </c>
      <c r="Z42" s="180" t="str">
        <f t="shared" si="26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124">
        <v>15</v>
      </c>
      <c r="F43" s="125">
        <v>13</v>
      </c>
      <c r="G43" s="125"/>
      <c r="H43" s="126">
        <v>14</v>
      </c>
      <c r="I43" s="126"/>
      <c r="J43" s="127">
        <f t="shared" si="5"/>
        <v>14</v>
      </c>
      <c r="K43" s="180" t="str">
        <f t="shared" si="1"/>
        <v>TRANSITA</v>
      </c>
      <c r="L43" s="132">
        <v>13</v>
      </c>
      <c r="M43" s="133">
        <v>18</v>
      </c>
      <c r="N43" s="133"/>
      <c r="O43" s="133">
        <v>17</v>
      </c>
      <c r="P43" s="133"/>
      <c r="Q43" s="127">
        <f t="shared" si="22"/>
        <v>16</v>
      </c>
      <c r="R43" s="180" t="str">
        <f t="shared" si="23"/>
        <v>TRANSITA</v>
      </c>
      <c r="S43" s="134"/>
      <c r="T43" s="135"/>
      <c r="U43" s="135"/>
      <c r="V43" s="136"/>
      <c r="W43" s="136"/>
      <c r="X43" s="23">
        <f t="shared" si="24"/>
        <v>0</v>
      </c>
      <c r="Y43" s="21">
        <f t="shared" si="25"/>
        <v>10</v>
      </c>
      <c r="Z43" s="180" t="str">
        <f t="shared" si="26"/>
        <v>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124">
        <v>12</v>
      </c>
      <c r="F44" s="125">
        <v>10</v>
      </c>
      <c r="G44" s="125"/>
      <c r="H44" s="126">
        <v>9</v>
      </c>
      <c r="I44" s="126"/>
      <c r="J44" s="127">
        <f t="shared" si="5"/>
        <v>10.333333333333334</v>
      </c>
      <c r="K44" s="180" t="str">
        <f t="shared" si="1"/>
        <v>TRANSITA</v>
      </c>
      <c r="L44" s="132">
        <v>10</v>
      </c>
      <c r="M44" s="133">
        <v>11</v>
      </c>
      <c r="N44" s="133"/>
      <c r="O44" s="133">
        <v>14</v>
      </c>
      <c r="P44" s="133"/>
      <c r="Q44" s="127">
        <f t="shared" si="19"/>
        <v>11.666666666666666</v>
      </c>
      <c r="R44" s="180" t="str">
        <f t="shared" si="2"/>
        <v>TRANSITA</v>
      </c>
      <c r="S44" s="134"/>
      <c r="T44" s="135"/>
      <c r="U44" s="135"/>
      <c r="V44" s="136"/>
      <c r="W44" s="136"/>
      <c r="X44" s="23">
        <f t="shared" si="20"/>
        <v>0</v>
      </c>
      <c r="Y44" s="21">
        <f t="shared" si="21"/>
        <v>7.333333333333333</v>
      </c>
      <c r="Z44" s="180" t="str">
        <f t="shared" si="4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124">
        <v>10</v>
      </c>
      <c r="F45" s="125">
        <v>9</v>
      </c>
      <c r="G45" s="125"/>
      <c r="H45" s="126">
        <v>13</v>
      </c>
      <c r="I45" s="126"/>
      <c r="J45" s="127">
        <f t="shared" si="5"/>
        <v>10.666666666666666</v>
      </c>
      <c r="K45" s="180" t="str">
        <f t="shared" si="1"/>
        <v>TRANSITA</v>
      </c>
      <c r="L45" s="132">
        <v>13</v>
      </c>
      <c r="M45" s="133">
        <v>10</v>
      </c>
      <c r="N45" s="133"/>
      <c r="O45" s="133">
        <v>14</v>
      </c>
      <c r="P45" s="133"/>
      <c r="Q45" s="127">
        <f t="shared" si="19"/>
        <v>12.333333333333334</v>
      </c>
      <c r="R45" s="180" t="str">
        <f t="shared" si="2"/>
        <v>TRANSITA</v>
      </c>
      <c r="S45" s="134"/>
      <c r="T45" s="135"/>
      <c r="U45" s="135"/>
      <c r="V45" s="136"/>
      <c r="W45" s="136"/>
      <c r="X45" s="23">
        <f t="shared" si="20"/>
        <v>0</v>
      </c>
      <c r="Y45" s="21">
        <f t="shared" si="21"/>
        <v>7.666666666666667</v>
      </c>
      <c r="Z45" s="180" t="str">
        <f t="shared" si="4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124"/>
      <c r="F46" s="125"/>
      <c r="G46" s="125"/>
      <c r="H46" s="126"/>
      <c r="I46" s="126"/>
      <c r="J46" s="127">
        <f t="shared" si="5"/>
        <v>0</v>
      </c>
      <c r="K46" s="180" t="str">
        <f t="shared" si="1"/>
        <v>N/TRANSITA</v>
      </c>
      <c r="L46" s="132">
        <v>12</v>
      </c>
      <c r="M46" s="133">
        <v>12</v>
      </c>
      <c r="N46" s="133"/>
      <c r="O46" s="133">
        <v>12</v>
      </c>
      <c r="P46" s="133"/>
      <c r="Q46" s="127">
        <f t="shared" ref="Q46:Q47" si="27">AVERAGE(L46,MAX(M46:N46),MAX(O46:P46))</f>
        <v>12</v>
      </c>
      <c r="R46" s="180" t="str">
        <f t="shared" ref="R46:R47" si="28">IF(Q46&gt;=10,"TRANSITA","N/TRANSITA")</f>
        <v>TRANSITA</v>
      </c>
      <c r="S46" s="134"/>
      <c r="T46" s="135"/>
      <c r="U46" s="135"/>
      <c r="V46" s="136"/>
      <c r="W46" s="136"/>
      <c r="X46" s="23">
        <f t="shared" ref="X46:X47" si="29">AVERAGE(S46,MAX(T46:U46),MAX(V46:W46))</f>
        <v>0</v>
      </c>
      <c r="Y46" s="21">
        <f t="shared" ref="Y46:Y47" si="30">SUM(J46,Q46,X46)/3</f>
        <v>4</v>
      </c>
      <c r="Z46" s="180" t="str">
        <f t="shared" ref="Z46:Z47" si="31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124">
        <v>14</v>
      </c>
      <c r="F47" s="125">
        <v>8</v>
      </c>
      <c r="G47" s="125">
        <v>7</v>
      </c>
      <c r="H47" s="126">
        <v>12</v>
      </c>
      <c r="I47" s="126"/>
      <c r="J47" s="127">
        <f t="shared" si="5"/>
        <v>11.333333333333334</v>
      </c>
      <c r="K47" s="180" t="str">
        <f t="shared" si="1"/>
        <v>TRANSITA</v>
      </c>
      <c r="L47" s="132">
        <v>16</v>
      </c>
      <c r="M47" s="133">
        <v>10</v>
      </c>
      <c r="N47" s="133"/>
      <c r="O47" s="133">
        <v>14</v>
      </c>
      <c r="P47" s="133"/>
      <c r="Q47" s="127">
        <f t="shared" si="27"/>
        <v>13.333333333333334</v>
      </c>
      <c r="R47" s="180" t="str">
        <f t="shared" si="28"/>
        <v>TRANSITA</v>
      </c>
      <c r="S47" s="134"/>
      <c r="T47" s="135"/>
      <c r="U47" s="135"/>
      <c r="V47" s="136"/>
      <c r="W47" s="136"/>
      <c r="X47" s="23">
        <f t="shared" si="29"/>
        <v>0</v>
      </c>
      <c r="Y47" s="21">
        <f t="shared" si="30"/>
        <v>8.2222222222222232</v>
      </c>
      <c r="Z47" s="180" t="str">
        <f t="shared" si="31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124">
        <v>10</v>
      </c>
      <c r="F48" s="125">
        <v>8</v>
      </c>
      <c r="G48" s="125"/>
      <c r="H48" s="126">
        <v>10</v>
      </c>
      <c r="I48" s="126"/>
      <c r="J48" s="127">
        <f t="shared" si="5"/>
        <v>9.3333333333333339</v>
      </c>
      <c r="K48" s="180" t="str">
        <f t="shared" si="1"/>
        <v>N/TRANSITA</v>
      </c>
      <c r="L48" s="132">
        <v>13</v>
      </c>
      <c r="M48" s="133">
        <v>9</v>
      </c>
      <c r="N48" s="133"/>
      <c r="O48" s="133">
        <v>10</v>
      </c>
      <c r="P48" s="133"/>
      <c r="Q48" s="127">
        <f t="shared" si="19"/>
        <v>10.666666666666666</v>
      </c>
      <c r="R48" s="180" t="str">
        <f t="shared" si="2"/>
        <v>TRANSITA</v>
      </c>
      <c r="S48" s="134"/>
      <c r="T48" s="135"/>
      <c r="U48" s="135"/>
      <c r="V48" s="136"/>
      <c r="W48" s="136"/>
      <c r="X48" s="23">
        <f t="shared" si="20"/>
        <v>0</v>
      </c>
      <c r="Y48" s="21">
        <f t="shared" si="21"/>
        <v>6.666666666666667</v>
      </c>
      <c r="Z48" s="180" t="str">
        <f t="shared" si="4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124"/>
      <c r="F49" s="125"/>
      <c r="G49" s="125"/>
      <c r="H49" s="126"/>
      <c r="I49" s="126"/>
      <c r="J49" s="127">
        <f t="shared" si="5"/>
        <v>0</v>
      </c>
      <c r="K49" s="180" t="str">
        <f t="shared" si="1"/>
        <v>N/TRANSITA</v>
      </c>
      <c r="L49" s="132"/>
      <c r="M49" s="133"/>
      <c r="N49" s="133"/>
      <c r="O49" s="133"/>
      <c r="P49" s="133"/>
      <c r="Q49" s="127">
        <f t="shared" si="6"/>
        <v>0</v>
      </c>
      <c r="R49" s="180" t="str">
        <f t="shared" si="2"/>
        <v>N/TRANSITA</v>
      </c>
      <c r="S49" s="134"/>
      <c r="T49" s="135"/>
      <c r="U49" s="135"/>
      <c r="V49" s="136"/>
      <c r="W49" s="136"/>
      <c r="X49" s="23">
        <f t="shared" si="7"/>
        <v>0</v>
      </c>
      <c r="Y49" s="21">
        <f t="shared" si="8"/>
        <v>0</v>
      </c>
      <c r="Z49" s="180" t="str">
        <f t="shared" si="4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124">
        <v>15</v>
      </c>
      <c r="F50" s="125">
        <v>3</v>
      </c>
      <c r="G50" s="125"/>
      <c r="H50" s="126">
        <v>12</v>
      </c>
      <c r="I50" s="126"/>
      <c r="J50" s="127">
        <f t="shared" si="5"/>
        <v>10</v>
      </c>
      <c r="K50" s="180" t="str">
        <f t="shared" si="1"/>
        <v>TRANSITA</v>
      </c>
      <c r="L50" s="132">
        <v>10</v>
      </c>
      <c r="M50" s="133">
        <v>2</v>
      </c>
      <c r="N50" s="133"/>
      <c r="O50" s="133">
        <v>7</v>
      </c>
      <c r="P50" s="133"/>
      <c r="Q50" s="127">
        <f t="shared" si="6"/>
        <v>6.333333333333333</v>
      </c>
      <c r="R50" s="180" t="str">
        <f t="shared" si="2"/>
        <v>N/TRANSITA</v>
      </c>
      <c r="S50" s="134"/>
      <c r="T50" s="135"/>
      <c r="U50" s="135"/>
      <c r="V50" s="136"/>
      <c r="W50" s="136"/>
      <c r="X50" s="23">
        <f t="shared" si="7"/>
        <v>0</v>
      </c>
      <c r="Y50" s="21">
        <f t="shared" si="8"/>
        <v>5.4444444444444438</v>
      </c>
      <c r="Z50" s="180" t="str">
        <f t="shared" si="4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124">
        <v>15</v>
      </c>
      <c r="F51" s="125">
        <v>7</v>
      </c>
      <c r="G51" s="125"/>
      <c r="H51" s="126">
        <v>14</v>
      </c>
      <c r="I51" s="126"/>
      <c r="J51" s="127">
        <f t="shared" si="5"/>
        <v>12</v>
      </c>
      <c r="K51" s="180" t="str">
        <f t="shared" si="1"/>
        <v>TRANSITA</v>
      </c>
      <c r="L51" s="132">
        <v>10</v>
      </c>
      <c r="M51" s="133">
        <v>13</v>
      </c>
      <c r="N51" s="133"/>
      <c r="O51" s="133">
        <v>10</v>
      </c>
      <c r="P51" s="133"/>
      <c r="Q51" s="127">
        <f t="shared" si="6"/>
        <v>11</v>
      </c>
      <c r="R51" s="180" t="str">
        <f t="shared" si="2"/>
        <v>TRANSITA</v>
      </c>
      <c r="S51" s="134"/>
      <c r="T51" s="135"/>
      <c r="U51" s="135"/>
      <c r="V51" s="136"/>
      <c r="W51" s="136"/>
      <c r="X51" s="23">
        <f t="shared" si="7"/>
        <v>0</v>
      </c>
      <c r="Y51" s="21">
        <f t="shared" si="8"/>
        <v>7.666666666666667</v>
      </c>
      <c r="Z51" s="180" t="str">
        <f t="shared" si="4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124">
        <v>10</v>
      </c>
      <c r="F52" s="125">
        <v>2</v>
      </c>
      <c r="G52" s="125"/>
      <c r="H52" s="126">
        <v>10</v>
      </c>
      <c r="I52" s="126"/>
      <c r="J52" s="127">
        <f t="shared" si="5"/>
        <v>7.333333333333333</v>
      </c>
      <c r="K52" s="180" t="str">
        <f t="shared" si="1"/>
        <v>N/TRANSITA</v>
      </c>
      <c r="L52" s="132"/>
      <c r="M52" s="133"/>
      <c r="N52" s="133"/>
      <c r="O52" s="133"/>
      <c r="P52" s="133"/>
      <c r="Q52" s="127">
        <f t="shared" si="6"/>
        <v>0</v>
      </c>
      <c r="R52" s="180" t="str">
        <f t="shared" si="2"/>
        <v>N/TRANSITA</v>
      </c>
      <c r="S52" s="134"/>
      <c r="T52" s="135"/>
      <c r="U52" s="135"/>
      <c r="V52" s="136"/>
      <c r="W52" s="136"/>
      <c r="X52" s="23">
        <f t="shared" si="7"/>
        <v>0</v>
      </c>
      <c r="Y52" s="21">
        <f t="shared" si="8"/>
        <v>2.4444444444444442</v>
      </c>
      <c r="Z52" s="180" t="str">
        <f t="shared" si="4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37"/>
      <c r="F53" s="138"/>
      <c r="G53" s="138"/>
      <c r="H53" s="135"/>
      <c r="I53" s="135"/>
      <c r="J53" s="127">
        <f t="shared" si="5"/>
        <v>0</v>
      </c>
      <c r="K53" s="180" t="str">
        <f t="shared" si="1"/>
        <v>N/TRANSITA</v>
      </c>
      <c r="L53" s="132"/>
      <c r="M53" s="133"/>
      <c r="N53" s="133"/>
      <c r="O53" s="133"/>
      <c r="P53" s="133"/>
      <c r="Q53" s="127">
        <f t="shared" si="6"/>
        <v>0</v>
      </c>
      <c r="R53" s="180" t="str">
        <f t="shared" si="2"/>
        <v>N/TRANSITA</v>
      </c>
      <c r="S53" s="134"/>
      <c r="T53" s="135"/>
      <c r="U53" s="135"/>
      <c r="V53" s="136"/>
      <c r="W53" s="136"/>
      <c r="X53" s="23">
        <f t="shared" si="7"/>
        <v>0</v>
      </c>
      <c r="Y53" s="21">
        <f t="shared" si="8"/>
        <v>0</v>
      </c>
      <c r="Z53" s="180" t="str">
        <f t="shared" si="4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37"/>
      <c r="F54" s="138"/>
      <c r="G54" s="138"/>
      <c r="H54" s="135"/>
      <c r="I54" s="135"/>
      <c r="J54" s="127">
        <f t="shared" si="5"/>
        <v>0</v>
      </c>
      <c r="K54" s="180" t="str">
        <f t="shared" si="1"/>
        <v>N/TRANSITA</v>
      </c>
      <c r="L54" s="132">
        <v>10</v>
      </c>
      <c r="M54" s="133">
        <v>3</v>
      </c>
      <c r="N54" s="133"/>
      <c r="O54" s="133">
        <v>8</v>
      </c>
      <c r="P54" s="133"/>
      <c r="Q54" s="127">
        <f t="shared" ref="Q54:Q56" si="32">AVERAGE(L54,MAX(M54:N54),MAX(O54:P54))</f>
        <v>7</v>
      </c>
      <c r="R54" s="180" t="str">
        <f t="shared" ref="R54:R56" si="33">IF(Q54&gt;=10,"TRANSITA","N/TRANSITA")</f>
        <v>N/TRANSITA</v>
      </c>
      <c r="S54" s="134"/>
      <c r="T54" s="135"/>
      <c r="U54" s="135"/>
      <c r="V54" s="136"/>
      <c r="W54" s="136"/>
      <c r="X54" s="23">
        <f t="shared" ref="X54:X56" si="34">AVERAGE(S54,MAX(T54:U54),MAX(V54:W54))</f>
        <v>0</v>
      </c>
      <c r="Y54" s="21">
        <f t="shared" ref="Y54:Y56" si="35">SUM(J54,Q54,X54)/3</f>
        <v>2.3333333333333335</v>
      </c>
      <c r="Z54" s="180" t="str">
        <f t="shared" ref="Z54:Z56" si="3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37">
        <v>10</v>
      </c>
      <c r="F55" s="138">
        <v>5</v>
      </c>
      <c r="G55" s="138"/>
      <c r="H55" s="135">
        <v>12</v>
      </c>
      <c r="I55" s="135"/>
      <c r="J55" s="127">
        <f t="shared" si="5"/>
        <v>9</v>
      </c>
      <c r="K55" s="180" t="str">
        <f t="shared" si="1"/>
        <v>N/TRANSITA</v>
      </c>
      <c r="L55" s="132">
        <v>10</v>
      </c>
      <c r="M55" s="133">
        <v>10</v>
      </c>
      <c r="N55" s="133"/>
      <c r="O55" s="133">
        <v>10</v>
      </c>
      <c r="P55" s="133"/>
      <c r="Q55" s="127">
        <f t="shared" si="32"/>
        <v>10</v>
      </c>
      <c r="R55" s="180" t="str">
        <f t="shared" si="33"/>
        <v>TRANSITA</v>
      </c>
      <c r="S55" s="134"/>
      <c r="T55" s="135"/>
      <c r="U55" s="135"/>
      <c r="V55" s="136"/>
      <c r="W55" s="136"/>
      <c r="X55" s="23">
        <f t="shared" si="34"/>
        <v>0</v>
      </c>
      <c r="Y55" s="21">
        <f t="shared" si="35"/>
        <v>6.333333333333333</v>
      </c>
      <c r="Z55" s="180" t="str">
        <f t="shared" si="3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37">
        <v>10</v>
      </c>
      <c r="F56" s="138">
        <v>6</v>
      </c>
      <c r="G56" s="138"/>
      <c r="H56" s="135">
        <v>11</v>
      </c>
      <c r="I56" s="135"/>
      <c r="J56" s="127">
        <f t="shared" si="5"/>
        <v>9</v>
      </c>
      <c r="K56" s="180" t="str">
        <f t="shared" si="1"/>
        <v>N/TRANSITA</v>
      </c>
      <c r="L56" s="132">
        <v>10</v>
      </c>
      <c r="M56" s="133">
        <v>7</v>
      </c>
      <c r="N56" s="133"/>
      <c r="O56" s="133">
        <v>10</v>
      </c>
      <c r="P56" s="133"/>
      <c r="Q56" s="127">
        <f t="shared" si="32"/>
        <v>9</v>
      </c>
      <c r="R56" s="180" t="str">
        <f t="shared" si="33"/>
        <v>N/TRANSITA</v>
      </c>
      <c r="S56" s="134"/>
      <c r="T56" s="135"/>
      <c r="U56" s="135"/>
      <c r="V56" s="136"/>
      <c r="W56" s="136"/>
      <c r="X56" s="23">
        <f t="shared" si="34"/>
        <v>0</v>
      </c>
      <c r="Y56" s="21">
        <f t="shared" si="35"/>
        <v>6</v>
      </c>
      <c r="Z56" s="180" t="str">
        <f t="shared" si="3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37">
        <v>15</v>
      </c>
      <c r="F57" s="138">
        <v>11</v>
      </c>
      <c r="G57" s="138"/>
      <c r="H57" s="135">
        <v>18</v>
      </c>
      <c r="I57" s="135"/>
      <c r="J57" s="127">
        <f t="shared" si="5"/>
        <v>14.666666666666666</v>
      </c>
      <c r="K57" s="180" t="str">
        <f t="shared" si="1"/>
        <v>TRANSITA</v>
      </c>
      <c r="L57" s="132">
        <v>17</v>
      </c>
      <c r="M57" s="133">
        <v>17</v>
      </c>
      <c r="N57" s="133"/>
      <c r="O57" s="133">
        <v>19</v>
      </c>
      <c r="P57" s="133"/>
      <c r="Q57" s="127">
        <f t="shared" si="6"/>
        <v>17.666666666666668</v>
      </c>
      <c r="R57" s="180" t="str">
        <f t="shared" si="2"/>
        <v>TRANSITA</v>
      </c>
      <c r="S57" s="134"/>
      <c r="T57" s="135"/>
      <c r="U57" s="135"/>
      <c r="V57" s="136"/>
      <c r="W57" s="136"/>
      <c r="X57" s="23">
        <f t="shared" si="7"/>
        <v>0</v>
      </c>
      <c r="Y57" s="21">
        <f t="shared" si="8"/>
        <v>10.777777777777779</v>
      </c>
      <c r="Z57" s="180" t="str">
        <f t="shared" si="4"/>
        <v>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37"/>
      <c r="F58" s="138"/>
      <c r="G58" s="138"/>
      <c r="H58" s="135"/>
      <c r="I58" s="135"/>
      <c r="J58" s="127">
        <f t="shared" si="5"/>
        <v>0</v>
      </c>
      <c r="K58" s="180" t="str">
        <f t="shared" si="1"/>
        <v>N/TRANSITA</v>
      </c>
      <c r="L58" s="132"/>
      <c r="M58" s="133"/>
      <c r="N58" s="133"/>
      <c r="O58" s="133"/>
      <c r="P58" s="133"/>
      <c r="Q58" s="127">
        <f t="shared" si="6"/>
        <v>0</v>
      </c>
      <c r="R58" s="180" t="str">
        <f t="shared" si="2"/>
        <v>N/TRANSITA</v>
      </c>
      <c r="S58" s="134"/>
      <c r="T58" s="135"/>
      <c r="U58" s="135"/>
      <c r="V58" s="136"/>
      <c r="W58" s="136"/>
      <c r="X58" s="23">
        <f t="shared" si="7"/>
        <v>0</v>
      </c>
      <c r="Y58" s="21">
        <f t="shared" si="8"/>
        <v>0</v>
      </c>
      <c r="Z58" s="180" t="str">
        <f t="shared" si="4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37">
        <v>10</v>
      </c>
      <c r="F59" s="138">
        <v>3</v>
      </c>
      <c r="G59" s="138"/>
      <c r="H59" s="135">
        <v>13</v>
      </c>
      <c r="I59" s="135"/>
      <c r="J59" s="127">
        <f t="shared" si="5"/>
        <v>8.6666666666666661</v>
      </c>
      <c r="K59" s="180" t="str">
        <f t="shared" si="1"/>
        <v>N/TRANSITA</v>
      </c>
      <c r="L59" s="132">
        <v>11</v>
      </c>
      <c r="M59" s="133">
        <v>9</v>
      </c>
      <c r="N59" s="133"/>
      <c r="O59" s="133">
        <v>6</v>
      </c>
      <c r="P59" s="133"/>
      <c r="Q59" s="127">
        <f t="shared" si="6"/>
        <v>8.6666666666666661</v>
      </c>
      <c r="R59" s="180" t="str">
        <f t="shared" si="2"/>
        <v>N/TRANSITA</v>
      </c>
      <c r="S59" s="134"/>
      <c r="T59" s="135"/>
      <c r="U59" s="135"/>
      <c r="V59" s="136"/>
      <c r="W59" s="136"/>
      <c r="X59" s="23">
        <f t="shared" si="7"/>
        <v>0</v>
      </c>
      <c r="Y59" s="21">
        <f t="shared" si="8"/>
        <v>5.7777777777777777</v>
      </c>
      <c r="Z59" s="180" t="str">
        <f t="shared" si="4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37">
        <v>12</v>
      </c>
      <c r="F60" s="138">
        <v>4</v>
      </c>
      <c r="G60" s="138"/>
      <c r="H60" s="135">
        <v>16</v>
      </c>
      <c r="I60" s="135"/>
      <c r="J60" s="127">
        <f t="shared" si="5"/>
        <v>10.666666666666666</v>
      </c>
      <c r="K60" s="180" t="str">
        <f t="shared" si="1"/>
        <v>TRANSITA</v>
      </c>
      <c r="L60" s="132">
        <v>16</v>
      </c>
      <c r="M60" s="133">
        <v>10</v>
      </c>
      <c r="N60" s="133"/>
      <c r="O60" s="133">
        <v>13</v>
      </c>
      <c r="P60" s="133"/>
      <c r="Q60" s="127">
        <f t="shared" si="6"/>
        <v>13</v>
      </c>
      <c r="R60" s="180" t="str">
        <f t="shared" si="2"/>
        <v>TRANSITA</v>
      </c>
      <c r="S60" s="134"/>
      <c r="T60" s="135"/>
      <c r="U60" s="135"/>
      <c r="V60" s="136"/>
      <c r="W60" s="136"/>
      <c r="X60" s="23">
        <f t="shared" si="7"/>
        <v>0</v>
      </c>
      <c r="Y60" s="21">
        <f t="shared" si="8"/>
        <v>7.8888888888888884</v>
      </c>
      <c r="Z60" s="180" t="str">
        <f t="shared" si="4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37">
        <v>16</v>
      </c>
      <c r="F61" s="138">
        <v>16</v>
      </c>
      <c r="G61" s="138">
        <v>15</v>
      </c>
      <c r="H61" s="135"/>
      <c r="I61" s="135"/>
      <c r="J61" s="127">
        <f t="shared" si="5"/>
        <v>10.666666666666666</v>
      </c>
      <c r="K61" s="180" t="str">
        <f t="shared" si="1"/>
        <v>TRANSITA</v>
      </c>
      <c r="L61" s="132">
        <v>11</v>
      </c>
      <c r="M61" s="133">
        <v>11</v>
      </c>
      <c r="N61" s="133"/>
      <c r="O61" s="133">
        <v>13</v>
      </c>
      <c r="P61" s="133"/>
      <c r="Q61" s="127">
        <f t="shared" si="6"/>
        <v>11.666666666666666</v>
      </c>
      <c r="R61" s="180" t="str">
        <f t="shared" si="2"/>
        <v>TRANSITA</v>
      </c>
      <c r="S61" s="134"/>
      <c r="T61" s="135"/>
      <c r="U61" s="135"/>
      <c r="V61" s="136"/>
      <c r="W61" s="136"/>
      <c r="X61" s="23">
        <f t="shared" ref="X61:X63" si="37">AVERAGE(S61,MAX(T61:U61),MAX(V61:W61))</f>
        <v>0</v>
      </c>
      <c r="Y61" s="21">
        <f t="shared" si="0"/>
        <v>7.4444444444444438</v>
      </c>
      <c r="Z61" s="180" t="str">
        <f t="shared" si="4"/>
        <v>N/TRANSITA</v>
      </c>
    </row>
    <row r="62" spans="2:31" ht="14.25" customHeight="1" x14ac:dyDescent="0.3">
      <c r="B62" s="37">
        <v>54</v>
      </c>
      <c r="C62" s="194" t="s">
        <v>142</v>
      </c>
      <c r="D62" s="28"/>
      <c r="E62" s="137">
        <v>10</v>
      </c>
      <c r="F62" s="138">
        <v>7</v>
      </c>
      <c r="G62" s="138"/>
      <c r="H62" s="135">
        <v>16</v>
      </c>
      <c r="I62" s="135"/>
      <c r="J62" s="127">
        <f t="shared" si="5"/>
        <v>11</v>
      </c>
      <c r="K62" s="180" t="str">
        <f t="shared" si="1"/>
        <v>TRANSITA</v>
      </c>
      <c r="L62" s="132">
        <v>10</v>
      </c>
      <c r="M62" s="133">
        <v>15</v>
      </c>
      <c r="N62" s="133"/>
      <c r="O62" s="133">
        <v>15</v>
      </c>
      <c r="P62" s="133"/>
      <c r="Q62" s="127">
        <f t="shared" si="6"/>
        <v>13.333333333333334</v>
      </c>
      <c r="R62" s="180" t="str">
        <f t="shared" si="2"/>
        <v>TRANSITA</v>
      </c>
      <c r="S62" s="134"/>
      <c r="T62" s="135"/>
      <c r="U62" s="135"/>
      <c r="V62" s="136"/>
      <c r="W62" s="136"/>
      <c r="X62" s="23">
        <f t="shared" si="37"/>
        <v>0</v>
      </c>
      <c r="Y62" s="21">
        <f t="shared" si="0"/>
        <v>8.1111111111111125</v>
      </c>
      <c r="Z62" s="180" t="str">
        <f t="shared" si="4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39">
        <v>16</v>
      </c>
      <c r="F63" s="140">
        <v>8</v>
      </c>
      <c r="G63" s="140">
        <v>7</v>
      </c>
      <c r="H63" s="141">
        <v>10</v>
      </c>
      <c r="I63" s="141"/>
      <c r="J63" s="142">
        <f t="shared" si="5"/>
        <v>11.333333333333334</v>
      </c>
      <c r="K63" s="181" t="str">
        <f t="shared" si="1"/>
        <v>TRANSITA</v>
      </c>
      <c r="L63" s="143">
        <v>15</v>
      </c>
      <c r="M63" s="144">
        <v>7</v>
      </c>
      <c r="N63" s="144"/>
      <c r="O63" s="144">
        <v>9</v>
      </c>
      <c r="P63" s="144"/>
      <c r="Q63" s="142">
        <f t="shared" si="6"/>
        <v>10.333333333333334</v>
      </c>
      <c r="R63" s="181" t="str">
        <f t="shared" si="2"/>
        <v>TRANSITA</v>
      </c>
      <c r="S63" s="145"/>
      <c r="T63" s="141"/>
      <c r="U63" s="141"/>
      <c r="V63" s="146"/>
      <c r="W63" s="146"/>
      <c r="X63" s="24">
        <f t="shared" si="37"/>
        <v>0</v>
      </c>
      <c r="Y63" s="22">
        <f>SUM(J63,Q63,X63)/3</f>
        <v>7.2222222222222223</v>
      </c>
      <c r="Z63" s="181" t="str">
        <f t="shared" si="4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30"/>
      <c r="G66" s="30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31"/>
      <c r="G67" s="31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31"/>
      <c r="G68" s="31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53:AB55"/>
    <mergeCell ref="A66:E66"/>
    <mergeCell ref="S66:Z66"/>
    <mergeCell ref="A67:E67"/>
    <mergeCell ref="S67:Z67"/>
    <mergeCell ref="AA10:AB11"/>
    <mergeCell ref="K7:K8"/>
    <mergeCell ref="R7:R8"/>
    <mergeCell ref="AC8:AC9"/>
    <mergeCell ref="AD8:AD9"/>
    <mergeCell ref="AE8:AE9"/>
    <mergeCell ref="B5:C5"/>
    <mergeCell ref="I5:N5"/>
    <mergeCell ref="X5:Z5"/>
    <mergeCell ref="B6:Z6"/>
    <mergeCell ref="B7:B8"/>
    <mergeCell ref="C7:C8"/>
    <mergeCell ref="E7:J7"/>
    <mergeCell ref="L7:Q7"/>
    <mergeCell ref="S7:X7"/>
    <mergeCell ref="Y7:Y8"/>
    <mergeCell ref="A1:Z1"/>
    <mergeCell ref="B3:C3"/>
    <mergeCell ref="I3:M3"/>
    <mergeCell ref="V3:Z3"/>
    <mergeCell ref="B4:C4"/>
    <mergeCell ref="I4:Q4"/>
    <mergeCell ref="V4:Z4"/>
  </mergeCells>
  <conditionalFormatting sqref="Y9:Y63">
    <cfRule type="cellIs" dxfId="359" priority="103" stopIfTrue="1" operator="greaterThan">
      <formula>9.5</formula>
    </cfRule>
    <cfRule type="cellIs" dxfId="358" priority="104" stopIfTrue="1" operator="lessThanOrEqual">
      <formula>9.5</formula>
    </cfRule>
  </conditionalFormatting>
  <conditionalFormatting sqref="S9:W63">
    <cfRule type="cellIs" dxfId="357" priority="101" stopIfTrue="1" operator="lessThan">
      <formula>10</formula>
    </cfRule>
    <cfRule type="cellIs" dxfId="356" priority="102" stopIfTrue="1" operator="greaterThan">
      <formula>9</formula>
    </cfRule>
  </conditionalFormatting>
  <conditionalFormatting sqref="S9:W63">
    <cfRule type="cellIs" dxfId="355" priority="99" stopIfTrue="1" operator="lessThan">
      <formula>10</formula>
    </cfRule>
    <cfRule type="cellIs" dxfId="354" priority="100" stopIfTrue="1" operator="greaterThan">
      <formula>9</formula>
    </cfRule>
  </conditionalFormatting>
  <conditionalFormatting sqref="X9:X63 Q9:Q63">
    <cfRule type="cellIs" dxfId="353" priority="81" stopIfTrue="1" operator="lessThan">
      <formula>10</formula>
    </cfRule>
    <cfRule type="cellIs" dxfId="352" priority="82" stopIfTrue="1" operator="greaterThanOrEqual">
      <formula>10</formula>
    </cfRule>
  </conditionalFormatting>
  <conditionalFormatting sqref="P9:P63">
    <cfRule type="cellIs" dxfId="351" priority="27" stopIfTrue="1" operator="lessThan">
      <formula>10</formula>
    </cfRule>
    <cfRule type="cellIs" dxfId="350" priority="28" stopIfTrue="1" operator="greaterThan">
      <formula>9</formula>
    </cfRule>
    <cfRule type="cellIs" dxfId="349" priority="29" stopIfTrue="1" operator="lessThan">
      <formula>10</formula>
    </cfRule>
    <cfRule type="cellIs" dxfId="348" priority="30" stopIfTrue="1" operator="greaterThan">
      <formula>9</formula>
    </cfRule>
  </conditionalFormatting>
  <conditionalFormatting sqref="J9:J63">
    <cfRule type="cellIs" dxfId="347" priority="11" stopIfTrue="1" operator="lessThan">
      <formula>10</formula>
    </cfRule>
    <cfRule type="cellIs" dxfId="346" priority="12" stopIfTrue="1" operator="greaterThanOrEqual">
      <formula>10</formula>
    </cfRule>
  </conditionalFormatting>
  <conditionalFormatting sqref="L9:O63">
    <cfRule type="cellIs" dxfId="345" priority="7" stopIfTrue="1" operator="lessThan">
      <formula>10</formula>
    </cfRule>
    <cfRule type="cellIs" dxfId="344" priority="8" stopIfTrue="1" operator="greaterThan">
      <formula>9</formula>
    </cfRule>
    <cfRule type="cellIs" dxfId="343" priority="9" stopIfTrue="1" operator="lessThan">
      <formula>10</formula>
    </cfRule>
    <cfRule type="cellIs" dxfId="342" priority="10" stopIfTrue="1" operator="greaterThan">
      <formula>9</formula>
    </cfRule>
  </conditionalFormatting>
  <conditionalFormatting sqref="E9:I63">
    <cfRule type="cellIs" dxfId="341" priority="3" stopIfTrue="1" operator="lessThan">
      <formula>10</formula>
    </cfRule>
    <cfRule type="cellIs" dxfId="340" priority="4" stopIfTrue="1" operator="greaterThan">
      <formula>9</formula>
    </cfRule>
  </conditionalFormatting>
  <conditionalFormatting sqref="E9:I63">
    <cfRule type="cellIs" dxfId="339" priority="1" stopIfTrue="1" operator="lessThan">
      <formula>10</formula>
    </cfRule>
    <cfRule type="cellIs" dxfId="338" priority="2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9457" r:id="rId4">
          <objectPr defaultSize="0" autoPict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144780</xdr:colOff>
                <xdr:row>65</xdr:row>
                <xdr:rowOff>22860</xdr:rowOff>
              </to>
            </anchor>
          </objectPr>
        </oleObject>
      </mc:Choice>
      <mc:Fallback>
        <oleObject progId="Word.Document.8" shapeId="19457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" stopIfTrue="1" operator="containsText" id="{578BA0CF-85FE-4824-819D-429DD56B7E4C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17B3AEDD-E3A1-470E-AB7F-44948A2F9401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17" stopIfTrue="1" operator="containsText" id="{487672F0-D646-4578-A464-B7EAC5D02E55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8" stopIfTrue="1" operator="containsText" id="{6EA3C7FE-02EA-466D-8EBA-D2C1B98AF9ED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5" stopIfTrue="1" operator="containsText" id="{D671E6CB-F12A-4922-A369-E2B22529D4E9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93C66C8E-75EB-44E3-9C88-9B5A4BAD6F37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F16" sqref="F16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32"/>
      <c r="E4" s="325" t="s">
        <v>32</v>
      </c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32"/>
      <c r="E5" s="327" t="s">
        <v>27</v>
      </c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17</v>
      </c>
      <c r="AD8" s="335">
        <f>COUNTIF(Z9:Z69,"N/TRANSITA")</f>
        <v>38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98">
        <v>10</v>
      </c>
      <c r="F9" s="99">
        <v>8</v>
      </c>
      <c r="G9" s="99"/>
      <c r="H9" s="100">
        <v>6</v>
      </c>
      <c r="I9" s="182"/>
      <c r="J9" s="183">
        <f>AVERAGE(E9,MAX(F9:G9),MAX(H9:I9))</f>
        <v>8</v>
      </c>
      <c r="K9" s="179" t="str">
        <f>IF(J9&gt;=10,"TRANSITA","N/TRANSITA")</f>
        <v>N/TRANSITA</v>
      </c>
      <c r="L9" s="184">
        <v>8</v>
      </c>
      <c r="M9" s="182">
        <v>5</v>
      </c>
      <c r="N9" s="182"/>
      <c r="O9" s="182">
        <v>13</v>
      </c>
      <c r="P9" s="182"/>
      <c r="Q9" s="183">
        <f>AVERAGE(L9,MAX(M9:N9),MAX(O9:P9))</f>
        <v>8.6666666666666661</v>
      </c>
      <c r="R9" s="179" t="str">
        <f>IF(Q9&gt;=10,"TRANSITA","N/TRANSITA")</f>
        <v>N/TRANSITA</v>
      </c>
      <c r="S9" s="184"/>
      <c r="T9" s="182"/>
      <c r="U9" s="182"/>
      <c r="V9" s="185"/>
      <c r="W9" s="131"/>
      <c r="X9" s="23">
        <f>AVERAGE(S9,MAX(T9:U9),MAX(V9:W9))</f>
        <v>0</v>
      </c>
      <c r="Y9" s="20">
        <f t="shared" ref="Y9:Y62" si="0">SUM(J9,Q9,X9)/3</f>
        <v>5.5555555555555545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98">
        <v>15</v>
      </c>
      <c r="F10" s="99">
        <v>7</v>
      </c>
      <c r="G10" s="99"/>
      <c r="H10" s="100">
        <v>18</v>
      </c>
      <c r="I10" s="182"/>
      <c r="J10" s="183">
        <f>AVERAGE(E10,MAX(F10:G10),MAX(H10:I10))</f>
        <v>13.333333333333334</v>
      </c>
      <c r="K10" s="180" t="str">
        <f t="shared" ref="K10:K63" si="1">IF(J10&gt;=10,"TRANSITA","N/TRANSITA")</f>
        <v>TRANSITA</v>
      </c>
      <c r="L10" s="186">
        <v>10</v>
      </c>
      <c r="M10" s="187">
        <v>11</v>
      </c>
      <c r="N10" s="187"/>
      <c r="O10" s="187">
        <v>16</v>
      </c>
      <c r="P10" s="187"/>
      <c r="Q10" s="183">
        <f>AVERAGE(L10,MAX(M10:N10),MAX(O10:P10))</f>
        <v>12.333333333333334</v>
      </c>
      <c r="R10" s="180" t="str">
        <f t="shared" ref="R10:R63" si="2">IF(Q10&gt;=10,"TRANSITA","N/TRANSITA")</f>
        <v>TRANSITA</v>
      </c>
      <c r="S10" s="186"/>
      <c r="T10" s="187"/>
      <c r="U10" s="187"/>
      <c r="V10" s="188"/>
      <c r="W10" s="136"/>
      <c r="X10" s="23">
        <f>AVERAGE(S10,MAX(T10:U10),MAX(V10:W10))</f>
        <v>0</v>
      </c>
      <c r="Y10" s="21">
        <f t="shared" ref="Y10" si="3">SUM(J10,Q10,X10)/3</f>
        <v>8.5555555555555554</v>
      </c>
      <c r="Z10" s="180" t="str">
        <f t="shared" ref="Z10:Z63" si="4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98">
        <v>12</v>
      </c>
      <c r="F11" s="99">
        <v>11</v>
      </c>
      <c r="G11" s="99"/>
      <c r="H11" s="100">
        <v>14</v>
      </c>
      <c r="I11" s="182"/>
      <c r="J11" s="183">
        <f t="shared" ref="J11:J63" si="5">AVERAGE(E11,MAX(F11:G11),MAX(H11:I11))</f>
        <v>12.333333333333334</v>
      </c>
      <c r="K11" s="180" t="str">
        <f t="shared" si="1"/>
        <v>TRANSITA</v>
      </c>
      <c r="L11" s="186">
        <v>12</v>
      </c>
      <c r="M11" s="187">
        <v>16</v>
      </c>
      <c r="N11" s="187"/>
      <c r="O11" s="187">
        <v>10</v>
      </c>
      <c r="P11" s="187"/>
      <c r="Q11" s="183">
        <f t="shared" ref="Q11:Q63" si="6">AVERAGE(L11,MAX(M11:N11),MAX(O11:P11))</f>
        <v>12.666666666666666</v>
      </c>
      <c r="R11" s="180" t="str">
        <f t="shared" si="2"/>
        <v>TRANSITA</v>
      </c>
      <c r="S11" s="186"/>
      <c r="T11" s="187"/>
      <c r="U11" s="187"/>
      <c r="V11" s="188"/>
      <c r="W11" s="136"/>
      <c r="X11" s="23">
        <f t="shared" ref="X11:X60" si="7">AVERAGE(S11,MAX(T11:U11),MAX(V11:W11))</f>
        <v>0</v>
      </c>
      <c r="Y11" s="21">
        <f t="shared" ref="Y11:Y60" si="8">SUM(J11,Q11,X11)/3</f>
        <v>8.3333333333333339</v>
      </c>
      <c r="Z11" s="180" t="str">
        <f t="shared" si="4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98">
        <v>19</v>
      </c>
      <c r="F12" s="99">
        <v>18</v>
      </c>
      <c r="G12" s="99"/>
      <c r="H12" s="100">
        <v>20</v>
      </c>
      <c r="I12" s="182"/>
      <c r="J12" s="183">
        <f t="shared" si="5"/>
        <v>19</v>
      </c>
      <c r="K12" s="180" t="str">
        <f t="shared" si="1"/>
        <v>TRANSITA</v>
      </c>
      <c r="L12" s="186">
        <v>18</v>
      </c>
      <c r="M12" s="187">
        <v>20</v>
      </c>
      <c r="N12" s="187"/>
      <c r="O12" s="187">
        <v>10</v>
      </c>
      <c r="P12" s="187"/>
      <c r="Q12" s="183">
        <f t="shared" si="6"/>
        <v>16</v>
      </c>
      <c r="R12" s="180" t="str">
        <f t="shared" si="2"/>
        <v>TRANSITA</v>
      </c>
      <c r="S12" s="186"/>
      <c r="T12" s="187"/>
      <c r="U12" s="187"/>
      <c r="V12" s="188"/>
      <c r="W12" s="136"/>
      <c r="X12" s="23">
        <f t="shared" si="7"/>
        <v>0</v>
      </c>
      <c r="Y12" s="21">
        <f t="shared" si="8"/>
        <v>11.666666666666666</v>
      </c>
      <c r="Z12" s="180" t="str">
        <f t="shared" si="4"/>
        <v>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98">
        <v>14</v>
      </c>
      <c r="F13" s="99">
        <v>17</v>
      </c>
      <c r="G13" s="99"/>
      <c r="H13" s="100">
        <v>19</v>
      </c>
      <c r="I13" s="182"/>
      <c r="J13" s="183">
        <f t="shared" si="5"/>
        <v>16.666666666666668</v>
      </c>
      <c r="K13" s="180" t="str">
        <f t="shared" si="1"/>
        <v>TRANSITA</v>
      </c>
      <c r="L13" s="186">
        <v>17</v>
      </c>
      <c r="M13" s="187">
        <v>17</v>
      </c>
      <c r="N13" s="187"/>
      <c r="O13" s="187">
        <v>20</v>
      </c>
      <c r="P13" s="187"/>
      <c r="Q13" s="183">
        <f t="shared" si="6"/>
        <v>18</v>
      </c>
      <c r="R13" s="180" t="str">
        <f t="shared" si="2"/>
        <v>TRANSITA</v>
      </c>
      <c r="S13" s="186"/>
      <c r="T13" s="187"/>
      <c r="U13" s="187"/>
      <c r="V13" s="188"/>
      <c r="W13" s="136"/>
      <c r="X13" s="23">
        <f t="shared" si="7"/>
        <v>0</v>
      </c>
      <c r="Y13" s="21">
        <f t="shared" si="8"/>
        <v>11.555555555555557</v>
      </c>
      <c r="Z13" s="180" t="str">
        <f t="shared" si="4"/>
        <v>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98">
        <v>10</v>
      </c>
      <c r="F14" s="99">
        <v>9</v>
      </c>
      <c r="G14" s="99"/>
      <c r="H14" s="100">
        <v>17</v>
      </c>
      <c r="I14" s="182"/>
      <c r="J14" s="183">
        <f t="shared" si="5"/>
        <v>12</v>
      </c>
      <c r="K14" s="180" t="str">
        <f t="shared" si="1"/>
        <v>TRANSITA</v>
      </c>
      <c r="L14" s="186">
        <v>15</v>
      </c>
      <c r="M14" s="187">
        <v>10</v>
      </c>
      <c r="N14" s="187"/>
      <c r="O14" s="187">
        <v>10</v>
      </c>
      <c r="P14" s="187"/>
      <c r="Q14" s="183">
        <f t="shared" si="6"/>
        <v>11.666666666666666</v>
      </c>
      <c r="R14" s="180" t="str">
        <f t="shared" si="2"/>
        <v>TRANSITA</v>
      </c>
      <c r="S14" s="186"/>
      <c r="T14" s="187"/>
      <c r="U14" s="187"/>
      <c r="V14" s="188"/>
      <c r="W14" s="136"/>
      <c r="X14" s="23">
        <f t="shared" si="7"/>
        <v>0</v>
      </c>
      <c r="Y14" s="21">
        <f t="shared" si="8"/>
        <v>7.8888888888888884</v>
      </c>
      <c r="Z14" s="180" t="str">
        <f t="shared" si="4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98">
        <v>10</v>
      </c>
      <c r="F15" s="99">
        <v>12</v>
      </c>
      <c r="G15" s="99"/>
      <c r="H15" s="100">
        <v>14</v>
      </c>
      <c r="I15" s="182"/>
      <c r="J15" s="183">
        <f t="shared" si="5"/>
        <v>12</v>
      </c>
      <c r="K15" s="180" t="str">
        <f t="shared" si="1"/>
        <v>TRANSITA</v>
      </c>
      <c r="L15" s="186">
        <v>14</v>
      </c>
      <c r="M15" s="187">
        <v>19</v>
      </c>
      <c r="N15" s="187"/>
      <c r="O15" s="187">
        <v>18</v>
      </c>
      <c r="P15" s="187"/>
      <c r="Q15" s="183">
        <f t="shared" si="6"/>
        <v>17</v>
      </c>
      <c r="R15" s="180" t="str">
        <f t="shared" si="2"/>
        <v>TRANSITA</v>
      </c>
      <c r="S15" s="186"/>
      <c r="T15" s="187"/>
      <c r="U15" s="187"/>
      <c r="V15" s="188"/>
      <c r="W15" s="136"/>
      <c r="X15" s="23">
        <f t="shared" si="7"/>
        <v>0</v>
      </c>
      <c r="Y15" s="21">
        <f t="shared" si="8"/>
        <v>9.6666666666666661</v>
      </c>
      <c r="Z15" s="180" t="str">
        <f t="shared" si="4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98">
        <v>15</v>
      </c>
      <c r="F16" s="99">
        <v>8</v>
      </c>
      <c r="G16" s="99"/>
      <c r="H16" s="100">
        <v>12</v>
      </c>
      <c r="I16" s="182"/>
      <c r="J16" s="183">
        <f t="shared" si="5"/>
        <v>11.666666666666666</v>
      </c>
      <c r="K16" s="180" t="str">
        <f t="shared" si="1"/>
        <v>TRANSITA</v>
      </c>
      <c r="L16" s="186">
        <v>13</v>
      </c>
      <c r="M16" s="187">
        <v>6</v>
      </c>
      <c r="N16" s="187"/>
      <c r="O16" s="187">
        <v>19</v>
      </c>
      <c r="P16" s="187"/>
      <c r="Q16" s="183">
        <f t="shared" si="6"/>
        <v>12.666666666666666</v>
      </c>
      <c r="R16" s="180" t="str">
        <f t="shared" si="2"/>
        <v>TRANSITA</v>
      </c>
      <c r="S16" s="186"/>
      <c r="T16" s="187"/>
      <c r="U16" s="187"/>
      <c r="V16" s="188"/>
      <c r="W16" s="136"/>
      <c r="X16" s="23">
        <f t="shared" si="7"/>
        <v>0</v>
      </c>
      <c r="Y16" s="21">
        <f t="shared" si="8"/>
        <v>8.1111111111111107</v>
      </c>
      <c r="Z16" s="180" t="str">
        <f t="shared" si="4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98">
        <v>15</v>
      </c>
      <c r="F17" s="99">
        <v>14</v>
      </c>
      <c r="G17" s="99"/>
      <c r="H17" s="100">
        <v>17</v>
      </c>
      <c r="I17" s="182"/>
      <c r="J17" s="183">
        <f t="shared" si="5"/>
        <v>15.333333333333334</v>
      </c>
      <c r="K17" s="180" t="str">
        <f t="shared" si="1"/>
        <v>TRANSITA</v>
      </c>
      <c r="L17" s="186">
        <v>16</v>
      </c>
      <c r="M17" s="187">
        <v>16</v>
      </c>
      <c r="N17" s="187"/>
      <c r="O17" s="187">
        <v>18</v>
      </c>
      <c r="P17" s="187"/>
      <c r="Q17" s="183">
        <f t="shared" si="6"/>
        <v>16.666666666666668</v>
      </c>
      <c r="R17" s="180" t="str">
        <f t="shared" si="2"/>
        <v>TRANSITA</v>
      </c>
      <c r="S17" s="186"/>
      <c r="T17" s="187"/>
      <c r="U17" s="187"/>
      <c r="V17" s="188"/>
      <c r="W17" s="136"/>
      <c r="X17" s="23">
        <f t="shared" si="7"/>
        <v>0</v>
      </c>
      <c r="Y17" s="21">
        <f t="shared" si="8"/>
        <v>10.666666666666666</v>
      </c>
      <c r="Z17" s="180" t="str">
        <f t="shared" si="4"/>
        <v>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98">
        <v>10</v>
      </c>
      <c r="F18" s="99">
        <v>0</v>
      </c>
      <c r="G18" s="99"/>
      <c r="H18" s="100">
        <v>4</v>
      </c>
      <c r="I18" s="182"/>
      <c r="J18" s="183">
        <f t="shared" si="5"/>
        <v>4.666666666666667</v>
      </c>
      <c r="K18" s="180" t="str">
        <f t="shared" si="1"/>
        <v>N/TRANSITA</v>
      </c>
      <c r="L18" s="186">
        <v>8</v>
      </c>
      <c r="M18" s="187">
        <v>13</v>
      </c>
      <c r="N18" s="187"/>
      <c r="O18" s="187">
        <v>14</v>
      </c>
      <c r="P18" s="187"/>
      <c r="Q18" s="183">
        <f t="shared" si="6"/>
        <v>11.666666666666666</v>
      </c>
      <c r="R18" s="180" t="str">
        <f t="shared" si="2"/>
        <v>TRANSITA</v>
      </c>
      <c r="S18" s="186"/>
      <c r="T18" s="187"/>
      <c r="U18" s="187"/>
      <c r="V18" s="188"/>
      <c r="W18" s="136"/>
      <c r="X18" s="23">
        <f t="shared" si="7"/>
        <v>0</v>
      </c>
      <c r="Y18" s="21">
        <f t="shared" si="8"/>
        <v>5.4444444444444438</v>
      </c>
      <c r="Z18" s="180" t="str">
        <f t="shared" si="4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98">
        <v>8</v>
      </c>
      <c r="F19" s="99">
        <v>12</v>
      </c>
      <c r="G19" s="99"/>
      <c r="H19" s="100">
        <v>11</v>
      </c>
      <c r="I19" s="182"/>
      <c r="J19" s="183">
        <f t="shared" si="5"/>
        <v>10.333333333333334</v>
      </c>
      <c r="K19" s="180" t="str">
        <f t="shared" si="1"/>
        <v>TRANSITA</v>
      </c>
      <c r="L19" s="186">
        <v>12</v>
      </c>
      <c r="M19" s="187">
        <v>16</v>
      </c>
      <c r="N19" s="187"/>
      <c r="O19" s="187">
        <v>10</v>
      </c>
      <c r="P19" s="187"/>
      <c r="Q19" s="183">
        <f t="shared" si="6"/>
        <v>12.666666666666666</v>
      </c>
      <c r="R19" s="180" t="str">
        <f t="shared" si="2"/>
        <v>TRANSITA</v>
      </c>
      <c r="S19" s="186"/>
      <c r="T19" s="187"/>
      <c r="U19" s="187"/>
      <c r="V19" s="188"/>
      <c r="W19" s="136"/>
      <c r="X19" s="23">
        <f t="shared" si="7"/>
        <v>0</v>
      </c>
      <c r="Y19" s="21">
        <f t="shared" si="8"/>
        <v>7.666666666666667</v>
      </c>
      <c r="Z19" s="180" t="str">
        <f t="shared" si="4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98">
        <v>15</v>
      </c>
      <c r="F20" s="99">
        <v>11</v>
      </c>
      <c r="G20" s="99"/>
      <c r="H20" s="100">
        <v>13</v>
      </c>
      <c r="I20" s="182"/>
      <c r="J20" s="183">
        <f t="shared" si="5"/>
        <v>13</v>
      </c>
      <c r="K20" s="180" t="str">
        <f t="shared" si="1"/>
        <v>TRANSITA</v>
      </c>
      <c r="L20" s="186">
        <v>14</v>
      </c>
      <c r="M20" s="187">
        <v>16</v>
      </c>
      <c r="N20" s="187"/>
      <c r="O20" s="187">
        <v>10</v>
      </c>
      <c r="P20" s="187"/>
      <c r="Q20" s="183">
        <f t="shared" si="6"/>
        <v>13.333333333333334</v>
      </c>
      <c r="R20" s="180" t="str">
        <f t="shared" si="2"/>
        <v>TRANSITA</v>
      </c>
      <c r="S20" s="186"/>
      <c r="T20" s="187"/>
      <c r="U20" s="187"/>
      <c r="V20" s="188"/>
      <c r="W20" s="136"/>
      <c r="X20" s="23">
        <f t="shared" si="7"/>
        <v>0</v>
      </c>
      <c r="Y20" s="21">
        <f t="shared" si="8"/>
        <v>8.7777777777777786</v>
      </c>
      <c r="Z20" s="180" t="str">
        <f t="shared" si="4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98">
        <v>18</v>
      </c>
      <c r="F21" s="99">
        <v>10</v>
      </c>
      <c r="G21" s="99"/>
      <c r="H21" s="100">
        <v>18</v>
      </c>
      <c r="I21" s="182"/>
      <c r="J21" s="183">
        <f t="shared" si="5"/>
        <v>15.333333333333334</v>
      </c>
      <c r="K21" s="180" t="str">
        <f t="shared" si="1"/>
        <v>TRANSITA</v>
      </c>
      <c r="L21" s="186">
        <v>15</v>
      </c>
      <c r="M21" s="187">
        <v>17</v>
      </c>
      <c r="N21" s="187"/>
      <c r="O21" s="187">
        <v>18</v>
      </c>
      <c r="P21" s="187"/>
      <c r="Q21" s="183">
        <f t="shared" si="6"/>
        <v>16.666666666666668</v>
      </c>
      <c r="R21" s="180" t="str">
        <f t="shared" si="2"/>
        <v>TRANSITA</v>
      </c>
      <c r="S21" s="186"/>
      <c r="T21" s="187"/>
      <c r="U21" s="187"/>
      <c r="V21" s="188"/>
      <c r="W21" s="136"/>
      <c r="X21" s="23">
        <f t="shared" si="7"/>
        <v>0</v>
      </c>
      <c r="Y21" s="21">
        <f t="shared" si="8"/>
        <v>10.666666666666666</v>
      </c>
      <c r="Z21" s="180" t="str">
        <f t="shared" si="4"/>
        <v>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98">
        <v>20</v>
      </c>
      <c r="F22" s="99">
        <v>19</v>
      </c>
      <c r="G22" s="99"/>
      <c r="H22" s="100">
        <v>17</v>
      </c>
      <c r="I22" s="182"/>
      <c r="J22" s="183">
        <f t="shared" si="5"/>
        <v>18.666666666666668</v>
      </c>
      <c r="K22" s="180" t="str">
        <f t="shared" si="1"/>
        <v>TRANSITA</v>
      </c>
      <c r="L22" s="186">
        <v>18</v>
      </c>
      <c r="M22" s="187">
        <v>20</v>
      </c>
      <c r="N22" s="187"/>
      <c r="O22" s="187">
        <v>20</v>
      </c>
      <c r="P22" s="187"/>
      <c r="Q22" s="183">
        <f t="shared" si="6"/>
        <v>19.333333333333332</v>
      </c>
      <c r="R22" s="180" t="str">
        <f t="shared" si="2"/>
        <v>TRANSITA</v>
      </c>
      <c r="S22" s="186"/>
      <c r="T22" s="187"/>
      <c r="U22" s="187"/>
      <c r="V22" s="188"/>
      <c r="W22" s="136"/>
      <c r="X22" s="23">
        <f t="shared" si="7"/>
        <v>0</v>
      </c>
      <c r="Y22" s="21">
        <f t="shared" si="8"/>
        <v>12.666666666666666</v>
      </c>
      <c r="Z22" s="180" t="str">
        <f t="shared" si="4"/>
        <v>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98">
        <v>15</v>
      </c>
      <c r="F23" s="99">
        <v>10</v>
      </c>
      <c r="G23" s="99"/>
      <c r="H23" s="100">
        <v>8</v>
      </c>
      <c r="I23" s="182"/>
      <c r="J23" s="183">
        <f t="shared" si="5"/>
        <v>11</v>
      </c>
      <c r="K23" s="180" t="str">
        <f t="shared" si="1"/>
        <v>TRANSITA</v>
      </c>
      <c r="L23" s="186">
        <v>0</v>
      </c>
      <c r="M23" s="187">
        <v>7</v>
      </c>
      <c r="N23" s="187"/>
      <c r="O23" s="187">
        <v>14</v>
      </c>
      <c r="P23" s="187"/>
      <c r="Q23" s="183">
        <f t="shared" si="6"/>
        <v>7</v>
      </c>
      <c r="R23" s="180" t="str">
        <f t="shared" si="2"/>
        <v>N/TRANSITA</v>
      </c>
      <c r="S23" s="186"/>
      <c r="T23" s="187"/>
      <c r="U23" s="187"/>
      <c r="V23" s="188"/>
      <c r="W23" s="136"/>
      <c r="X23" s="23">
        <f t="shared" si="7"/>
        <v>0</v>
      </c>
      <c r="Y23" s="21">
        <f t="shared" si="8"/>
        <v>6</v>
      </c>
      <c r="Z23" s="180" t="str">
        <f t="shared" si="4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98">
        <v>12</v>
      </c>
      <c r="F24" s="99">
        <v>11</v>
      </c>
      <c r="G24" s="99"/>
      <c r="H24" s="100">
        <v>16</v>
      </c>
      <c r="I24" s="182"/>
      <c r="J24" s="183">
        <f t="shared" si="5"/>
        <v>13</v>
      </c>
      <c r="K24" s="180" t="str">
        <f t="shared" si="1"/>
        <v>TRANSITA</v>
      </c>
      <c r="L24" s="186">
        <v>14</v>
      </c>
      <c r="M24" s="187">
        <v>16</v>
      </c>
      <c r="N24" s="187"/>
      <c r="O24" s="187">
        <v>20</v>
      </c>
      <c r="P24" s="187"/>
      <c r="Q24" s="183">
        <f t="shared" si="6"/>
        <v>16.666666666666668</v>
      </c>
      <c r="R24" s="180" t="str">
        <f t="shared" si="2"/>
        <v>TRANSITA</v>
      </c>
      <c r="S24" s="186"/>
      <c r="T24" s="187"/>
      <c r="U24" s="187"/>
      <c r="V24" s="188"/>
      <c r="W24" s="136"/>
      <c r="X24" s="23">
        <f t="shared" si="7"/>
        <v>0</v>
      </c>
      <c r="Y24" s="21">
        <f t="shared" si="8"/>
        <v>9.8888888888888893</v>
      </c>
      <c r="Z24" s="180" t="str">
        <f t="shared" si="4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98">
        <v>14</v>
      </c>
      <c r="F25" s="99">
        <v>14</v>
      </c>
      <c r="G25" s="99"/>
      <c r="H25" s="100">
        <v>10</v>
      </c>
      <c r="I25" s="182"/>
      <c r="J25" s="183">
        <f t="shared" si="5"/>
        <v>12.666666666666666</v>
      </c>
      <c r="K25" s="180" t="str">
        <f t="shared" si="1"/>
        <v>TRANSITA</v>
      </c>
      <c r="L25" s="186">
        <v>6</v>
      </c>
      <c r="M25" s="187">
        <v>12</v>
      </c>
      <c r="N25" s="187"/>
      <c r="O25" s="187">
        <v>18</v>
      </c>
      <c r="P25" s="187"/>
      <c r="Q25" s="183">
        <f t="shared" ref="Q25:Q26" si="9">AVERAGE(L25,MAX(M25:N25),MAX(O25:P25))</f>
        <v>12</v>
      </c>
      <c r="R25" s="180" t="str">
        <f t="shared" ref="R25:R26" si="10">IF(Q25&gt;=10,"TRANSITA","N/TRANSITA")</f>
        <v>TRANSITA</v>
      </c>
      <c r="S25" s="186"/>
      <c r="T25" s="187"/>
      <c r="U25" s="187"/>
      <c r="V25" s="188"/>
      <c r="W25" s="136"/>
      <c r="X25" s="23">
        <f t="shared" ref="X25:X26" si="11">AVERAGE(S25,MAX(T25:U25),MAX(V25:W25))</f>
        <v>0</v>
      </c>
      <c r="Y25" s="21">
        <f t="shared" ref="Y25:Y26" si="12">SUM(J25,Q25,X25)/3</f>
        <v>8.2222222222222214</v>
      </c>
      <c r="Z25" s="180" t="str">
        <f t="shared" ref="Z25:Z26" si="13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98">
        <v>14</v>
      </c>
      <c r="F26" s="99">
        <v>17</v>
      </c>
      <c r="G26" s="99"/>
      <c r="H26" s="100">
        <v>15</v>
      </c>
      <c r="I26" s="182"/>
      <c r="J26" s="183">
        <f t="shared" si="5"/>
        <v>15.333333333333334</v>
      </c>
      <c r="K26" s="180" t="str">
        <f t="shared" si="1"/>
        <v>TRANSITA</v>
      </c>
      <c r="L26" s="186">
        <v>0</v>
      </c>
      <c r="M26" s="187">
        <v>16</v>
      </c>
      <c r="N26" s="187"/>
      <c r="O26" s="187">
        <v>10</v>
      </c>
      <c r="P26" s="187"/>
      <c r="Q26" s="183">
        <f t="shared" si="9"/>
        <v>8.6666666666666661</v>
      </c>
      <c r="R26" s="180" t="str">
        <f t="shared" si="10"/>
        <v>N/TRANSITA</v>
      </c>
      <c r="S26" s="186"/>
      <c r="T26" s="187"/>
      <c r="U26" s="187"/>
      <c r="V26" s="188"/>
      <c r="W26" s="136"/>
      <c r="X26" s="23">
        <f t="shared" si="11"/>
        <v>0</v>
      </c>
      <c r="Y26" s="21">
        <f t="shared" si="12"/>
        <v>8</v>
      </c>
      <c r="Z26" s="180" t="str">
        <f t="shared" si="13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98">
        <v>10</v>
      </c>
      <c r="F27" s="99">
        <v>12</v>
      </c>
      <c r="G27" s="99"/>
      <c r="H27" s="100">
        <v>9</v>
      </c>
      <c r="I27" s="182"/>
      <c r="J27" s="183">
        <f t="shared" si="5"/>
        <v>10.333333333333334</v>
      </c>
      <c r="K27" s="180" t="str">
        <f t="shared" si="1"/>
        <v>TRANSITA</v>
      </c>
      <c r="L27" s="186">
        <v>8</v>
      </c>
      <c r="M27" s="187">
        <v>19</v>
      </c>
      <c r="N27" s="187"/>
      <c r="O27" s="187">
        <v>10</v>
      </c>
      <c r="P27" s="187"/>
      <c r="Q27" s="183">
        <f t="shared" si="6"/>
        <v>12.333333333333334</v>
      </c>
      <c r="R27" s="180" t="str">
        <f t="shared" si="2"/>
        <v>TRANSITA</v>
      </c>
      <c r="S27" s="186"/>
      <c r="T27" s="187"/>
      <c r="U27" s="187"/>
      <c r="V27" s="188"/>
      <c r="W27" s="136"/>
      <c r="X27" s="23">
        <f t="shared" si="7"/>
        <v>0</v>
      </c>
      <c r="Y27" s="21">
        <f t="shared" si="8"/>
        <v>7.5555555555555562</v>
      </c>
      <c r="Z27" s="180" t="str">
        <f t="shared" si="4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98">
        <v>10</v>
      </c>
      <c r="F28" s="99">
        <v>13</v>
      </c>
      <c r="G28" s="99"/>
      <c r="H28" s="100">
        <v>13</v>
      </c>
      <c r="I28" s="182"/>
      <c r="J28" s="183">
        <f t="shared" si="5"/>
        <v>12</v>
      </c>
      <c r="K28" s="180" t="str">
        <f t="shared" si="1"/>
        <v>TRANSITA</v>
      </c>
      <c r="L28" s="186">
        <v>11</v>
      </c>
      <c r="M28" s="187"/>
      <c r="N28" s="187"/>
      <c r="O28" s="187"/>
      <c r="P28" s="187"/>
      <c r="Q28" s="183">
        <f t="shared" si="6"/>
        <v>3.6666666666666665</v>
      </c>
      <c r="R28" s="180" t="str">
        <f t="shared" si="2"/>
        <v>N/TRANSITA</v>
      </c>
      <c r="S28" s="186"/>
      <c r="T28" s="187"/>
      <c r="U28" s="187"/>
      <c r="V28" s="188"/>
      <c r="W28" s="136"/>
      <c r="X28" s="23">
        <f t="shared" si="7"/>
        <v>0</v>
      </c>
      <c r="Y28" s="21">
        <f t="shared" si="8"/>
        <v>5.2222222222222223</v>
      </c>
      <c r="Z28" s="180" t="str">
        <f t="shared" si="4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98">
        <v>14</v>
      </c>
      <c r="F29" s="99">
        <v>16</v>
      </c>
      <c r="G29" s="99"/>
      <c r="H29" s="100">
        <v>9</v>
      </c>
      <c r="I29" s="182"/>
      <c r="J29" s="183">
        <f t="shared" si="5"/>
        <v>13</v>
      </c>
      <c r="K29" s="180" t="str">
        <f t="shared" si="1"/>
        <v>TRANSITA</v>
      </c>
      <c r="L29" s="186">
        <v>7</v>
      </c>
      <c r="M29" s="187">
        <v>3</v>
      </c>
      <c r="N29" s="187"/>
      <c r="O29" s="187">
        <v>10</v>
      </c>
      <c r="P29" s="187"/>
      <c r="Q29" s="183">
        <f t="shared" si="6"/>
        <v>6.666666666666667</v>
      </c>
      <c r="R29" s="180" t="str">
        <f t="shared" si="2"/>
        <v>N/TRANSITA</v>
      </c>
      <c r="S29" s="186"/>
      <c r="T29" s="187"/>
      <c r="U29" s="187"/>
      <c r="V29" s="188"/>
      <c r="W29" s="136"/>
      <c r="X29" s="23">
        <f t="shared" si="7"/>
        <v>0</v>
      </c>
      <c r="Y29" s="21">
        <f t="shared" si="8"/>
        <v>6.5555555555555562</v>
      </c>
      <c r="Z29" s="180" t="str">
        <f t="shared" si="4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98">
        <v>13</v>
      </c>
      <c r="F30" s="99">
        <v>16</v>
      </c>
      <c r="G30" s="99"/>
      <c r="H30" s="100">
        <v>18</v>
      </c>
      <c r="I30" s="182"/>
      <c r="J30" s="183">
        <f t="shared" si="5"/>
        <v>15.666666666666666</v>
      </c>
      <c r="K30" s="180" t="str">
        <f t="shared" si="1"/>
        <v>TRANSITA</v>
      </c>
      <c r="L30" s="186">
        <v>19</v>
      </c>
      <c r="M30" s="187">
        <v>19</v>
      </c>
      <c r="N30" s="187"/>
      <c r="O30" s="187">
        <v>20</v>
      </c>
      <c r="P30" s="187"/>
      <c r="Q30" s="183">
        <f t="shared" si="6"/>
        <v>19.333333333333332</v>
      </c>
      <c r="R30" s="180" t="str">
        <f t="shared" si="2"/>
        <v>TRANSITA</v>
      </c>
      <c r="S30" s="186"/>
      <c r="T30" s="187"/>
      <c r="U30" s="187"/>
      <c r="V30" s="188"/>
      <c r="W30" s="136"/>
      <c r="X30" s="23">
        <f t="shared" si="7"/>
        <v>0</v>
      </c>
      <c r="Y30" s="21">
        <f t="shared" si="8"/>
        <v>11.666666666666666</v>
      </c>
      <c r="Z30" s="180" t="str">
        <f t="shared" si="4"/>
        <v>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98">
        <v>15</v>
      </c>
      <c r="F31" s="99">
        <v>12</v>
      </c>
      <c r="G31" s="99"/>
      <c r="H31" s="100">
        <v>1</v>
      </c>
      <c r="I31" s="182"/>
      <c r="J31" s="183">
        <f t="shared" si="5"/>
        <v>9.3333333333333339</v>
      </c>
      <c r="K31" s="180" t="str">
        <f t="shared" si="1"/>
        <v>N/TRANSITA</v>
      </c>
      <c r="L31" s="186">
        <v>6</v>
      </c>
      <c r="M31" s="187">
        <v>11</v>
      </c>
      <c r="N31" s="187"/>
      <c r="O31" s="187">
        <v>20</v>
      </c>
      <c r="P31" s="187"/>
      <c r="Q31" s="183">
        <f t="shared" ref="Q31" si="14">AVERAGE(L31,MAX(M31:N31),MAX(O31:P31))</f>
        <v>12.333333333333334</v>
      </c>
      <c r="R31" s="180" t="str">
        <f t="shared" ref="R31" si="15">IF(Q31&gt;=10,"TRANSITA","N/TRANSITA")</f>
        <v>TRANSITA</v>
      </c>
      <c r="S31" s="186"/>
      <c r="T31" s="187"/>
      <c r="U31" s="187"/>
      <c r="V31" s="188"/>
      <c r="W31" s="136"/>
      <c r="X31" s="23">
        <f t="shared" ref="X31" si="16">AVERAGE(S31,MAX(T31:U31),MAX(V31:W31))</f>
        <v>0</v>
      </c>
      <c r="Y31" s="21">
        <f t="shared" ref="Y31" si="17">SUM(J31,Q31,X31)/3</f>
        <v>7.2222222222222223</v>
      </c>
      <c r="Z31" s="180" t="str">
        <f t="shared" ref="Z31" si="18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98">
        <v>15</v>
      </c>
      <c r="F32" s="99">
        <v>11</v>
      </c>
      <c r="G32" s="99"/>
      <c r="H32" s="100">
        <v>14</v>
      </c>
      <c r="I32" s="182"/>
      <c r="J32" s="183">
        <f t="shared" si="5"/>
        <v>13.333333333333334</v>
      </c>
      <c r="K32" s="180" t="str">
        <f t="shared" si="1"/>
        <v>TRANSITA</v>
      </c>
      <c r="L32" s="186">
        <v>16</v>
      </c>
      <c r="M32" s="187">
        <v>18</v>
      </c>
      <c r="N32" s="187"/>
      <c r="O32" s="187">
        <v>19</v>
      </c>
      <c r="P32" s="187"/>
      <c r="Q32" s="183">
        <f t="shared" ref="Q32:Q48" si="19">AVERAGE(L32,MAX(M32:N32),MAX(O32:P32))</f>
        <v>17.666666666666668</v>
      </c>
      <c r="R32" s="180" t="str">
        <f t="shared" si="2"/>
        <v>TRANSITA</v>
      </c>
      <c r="S32" s="186"/>
      <c r="T32" s="187"/>
      <c r="U32" s="187"/>
      <c r="V32" s="188"/>
      <c r="W32" s="136"/>
      <c r="X32" s="23">
        <f t="shared" ref="X32:X48" si="20">AVERAGE(S32,MAX(T32:U32),MAX(V32:W32))</f>
        <v>0</v>
      </c>
      <c r="Y32" s="21">
        <f t="shared" ref="Y32:Y48" si="21">SUM(J32,Q32,X32)/3</f>
        <v>10.333333333333334</v>
      </c>
      <c r="Z32" s="180" t="str">
        <f t="shared" si="4"/>
        <v>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98">
        <v>13</v>
      </c>
      <c r="F33" s="99">
        <v>14</v>
      </c>
      <c r="G33" s="99"/>
      <c r="H33" s="100">
        <v>6</v>
      </c>
      <c r="I33" s="182"/>
      <c r="J33" s="183">
        <f t="shared" si="5"/>
        <v>11</v>
      </c>
      <c r="K33" s="180" t="str">
        <f t="shared" si="1"/>
        <v>TRANSITA</v>
      </c>
      <c r="L33" s="186">
        <v>14</v>
      </c>
      <c r="M33" s="187">
        <v>8</v>
      </c>
      <c r="N33" s="187"/>
      <c r="O33" s="187">
        <v>18</v>
      </c>
      <c r="P33" s="187"/>
      <c r="Q33" s="183">
        <f t="shared" si="19"/>
        <v>13.333333333333334</v>
      </c>
      <c r="R33" s="180" t="str">
        <f t="shared" si="2"/>
        <v>TRANSITA</v>
      </c>
      <c r="S33" s="186"/>
      <c r="T33" s="187"/>
      <c r="U33" s="187"/>
      <c r="V33" s="188"/>
      <c r="W33" s="136"/>
      <c r="X33" s="23">
        <f t="shared" si="20"/>
        <v>0</v>
      </c>
      <c r="Y33" s="21">
        <f t="shared" si="21"/>
        <v>8.1111111111111125</v>
      </c>
      <c r="Z33" s="180" t="str">
        <f t="shared" si="4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98">
        <v>18</v>
      </c>
      <c r="F34" s="99">
        <v>20</v>
      </c>
      <c r="G34" s="99"/>
      <c r="H34" s="100">
        <v>20</v>
      </c>
      <c r="I34" s="182"/>
      <c r="J34" s="183">
        <f t="shared" si="5"/>
        <v>19.333333333333332</v>
      </c>
      <c r="K34" s="180" t="str">
        <f t="shared" si="1"/>
        <v>TRANSITA</v>
      </c>
      <c r="L34" s="186">
        <v>19</v>
      </c>
      <c r="M34" s="187">
        <v>20</v>
      </c>
      <c r="N34" s="187"/>
      <c r="O34" s="187">
        <v>20</v>
      </c>
      <c r="P34" s="187"/>
      <c r="Q34" s="183">
        <f t="shared" si="19"/>
        <v>19.666666666666668</v>
      </c>
      <c r="R34" s="180" t="str">
        <f t="shared" si="2"/>
        <v>TRANSITA</v>
      </c>
      <c r="S34" s="186"/>
      <c r="T34" s="187"/>
      <c r="U34" s="187"/>
      <c r="V34" s="188"/>
      <c r="W34" s="136"/>
      <c r="X34" s="23">
        <f t="shared" si="20"/>
        <v>0</v>
      </c>
      <c r="Y34" s="21">
        <f t="shared" si="21"/>
        <v>13</v>
      </c>
      <c r="Z34" s="180" t="str">
        <f t="shared" si="4"/>
        <v>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98">
        <v>10</v>
      </c>
      <c r="F35" s="99">
        <v>4</v>
      </c>
      <c r="G35" s="99"/>
      <c r="H35" s="100">
        <v>9</v>
      </c>
      <c r="I35" s="182"/>
      <c r="J35" s="183">
        <f t="shared" si="5"/>
        <v>7.666666666666667</v>
      </c>
      <c r="K35" s="180" t="str">
        <f t="shared" si="1"/>
        <v>N/TRANSITA</v>
      </c>
      <c r="L35" s="186"/>
      <c r="M35" s="187"/>
      <c r="N35" s="187"/>
      <c r="O35" s="187"/>
      <c r="P35" s="187"/>
      <c r="Q35" s="183">
        <f t="shared" si="19"/>
        <v>0</v>
      </c>
      <c r="R35" s="180" t="str">
        <f t="shared" si="2"/>
        <v>N/TRANSITA</v>
      </c>
      <c r="S35" s="186"/>
      <c r="T35" s="187"/>
      <c r="U35" s="187"/>
      <c r="V35" s="188"/>
      <c r="W35" s="136"/>
      <c r="X35" s="23">
        <f t="shared" si="20"/>
        <v>0</v>
      </c>
      <c r="Y35" s="21">
        <f t="shared" si="21"/>
        <v>2.5555555555555558</v>
      </c>
      <c r="Z35" s="180" t="str">
        <f t="shared" si="4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98">
        <v>10</v>
      </c>
      <c r="F36" s="99">
        <v>10</v>
      </c>
      <c r="G36" s="99"/>
      <c r="H36" s="100">
        <v>12</v>
      </c>
      <c r="I36" s="182"/>
      <c r="J36" s="183">
        <f t="shared" si="5"/>
        <v>10.666666666666666</v>
      </c>
      <c r="K36" s="180" t="str">
        <f t="shared" si="1"/>
        <v>TRANSITA</v>
      </c>
      <c r="L36" s="186">
        <v>15</v>
      </c>
      <c r="M36" s="187">
        <v>13</v>
      </c>
      <c r="N36" s="187"/>
      <c r="O36" s="187">
        <v>17</v>
      </c>
      <c r="P36" s="187"/>
      <c r="Q36" s="183">
        <f t="shared" si="19"/>
        <v>15</v>
      </c>
      <c r="R36" s="180" t="str">
        <f t="shared" si="2"/>
        <v>TRANSITA</v>
      </c>
      <c r="S36" s="186"/>
      <c r="T36" s="187"/>
      <c r="U36" s="187"/>
      <c r="V36" s="188"/>
      <c r="W36" s="136"/>
      <c r="X36" s="23">
        <f t="shared" si="20"/>
        <v>0</v>
      </c>
      <c r="Y36" s="21">
        <f t="shared" si="21"/>
        <v>8.5555555555555554</v>
      </c>
      <c r="Z36" s="180" t="str">
        <f t="shared" si="4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98">
        <v>20</v>
      </c>
      <c r="F37" s="99">
        <v>19</v>
      </c>
      <c r="G37" s="99"/>
      <c r="H37" s="100">
        <v>20</v>
      </c>
      <c r="I37" s="182"/>
      <c r="J37" s="183">
        <f t="shared" si="5"/>
        <v>19.666666666666668</v>
      </c>
      <c r="K37" s="180" t="str">
        <f t="shared" si="1"/>
        <v>TRANSITA</v>
      </c>
      <c r="L37" s="186">
        <v>16</v>
      </c>
      <c r="M37" s="187">
        <v>13</v>
      </c>
      <c r="N37" s="187"/>
      <c r="O37" s="187">
        <v>20</v>
      </c>
      <c r="P37" s="187"/>
      <c r="Q37" s="183">
        <f t="shared" si="19"/>
        <v>16.333333333333332</v>
      </c>
      <c r="R37" s="180" t="str">
        <f t="shared" si="2"/>
        <v>TRANSITA</v>
      </c>
      <c r="S37" s="186"/>
      <c r="T37" s="187"/>
      <c r="U37" s="187"/>
      <c r="V37" s="188"/>
      <c r="W37" s="136"/>
      <c r="X37" s="23">
        <f t="shared" si="20"/>
        <v>0</v>
      </c>
      <c r="Y37" s="21">
        <f t="shared" si="21"/>
        <v>12</v>
      </c>
      <c r="Z37" s="180" t="str">
        <f t="shared" si="4"/>
        <v>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98">
        <v>16</v>
      </c>
      <c r="F38" s="99">
        <v>17</v>
      </c>
      <c r="G38" s="99"/>
      <c r="H38" s="100">
        <v>15</v>
      </c>
      <c r="I38" s="182"/>
      <c r="J38" s="183">
        <f t="shared" si="5"/>
        <v>16</v>
      </c>
      <c r="K38" s="180" t="str">
        <f t="shared" si="1"/>
        <v>TRANSITA</v>
      </c>
      <c r="L38" s="186">
        <v>17</v>
      </c>
      <c r="M38" s="187">
        <v>14</v>
      </c>
      <c r="N38" s="187"/>
      <c r="O38" s="187">
        <v>10</v>
      </c>
      <c r="P38" s="187"/>
      <c r="Q38" s="183">
        <f t="shared" si="19"/>
        <v>13.666666666666666</v>
      </c>
      <c r="R38" s="180" t="str">
        <f t="shared" si="2"/>
        <v>TRANSITA</v>
      </c>
      <c r="S38" s="186"/>
      <c r="T38" s="187"/>
      <c r="U38" s="187"/>
      <c r="V38" s="188"/>
      <c r="W38" s="136"/>
      <c r="X38" s="23">
        <f t="shared" si="20"/>
        <v>0</v>
      </c>
      <c r="Y38" s="21">
        <f t="shared" si="21"/>
        <v>9.8888888888888875</v>
      </c>
      <c r="Z38" s="180" t="str">
        <f t="shared" si="4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98">
        <v>14</v>
      </c>
      <c r="F39" s="99">
        <v>16</v>
      </c>
      <c r="G39" s="99"/>
      <c r="H39" s="100">
        <v>17</v>
      </c>
      <c r="I39" s="182"/>
      <c r="J39" s="183">
        <f t="shared" si="5"/>
        <v>15.666666666666666</v>
      </c>
      <c r="K39" s="180" t="str">
        <f t="shared" si="1"/>
        <v>TRANSITA</v>
      </c>
      <c r="L39" s="186">
        <v>12</v>
      </c>
      <c r="M39" s="187">
        <v>16</v>
      </c>
      <c r="N39" s="187"/>
      <c r="O39" s="187">
        <v>19</v>
      </c>
      <c r="P39" s="187"/>
      <c r="Q39" s="183">
        <f t="shared" ref="Q39:Q43" si="22">AVERAGE(L39,MAX(M39:N39),MAX(O39:P39))</f>
        <v>15.666666666666666</v>
      </c>
      <c r="R39" s="180" t="str">
        <f t="shared" ref="R39:R43" si="23">IF(Q39&gt;=10,"TRANSITA","N/TRANSITA")</f>
        <v>TRANSITA</v>
      </c>
      <c r="S39" s="186"/>
      <c r="T39" s="187"/>
      <c r="U39" s="187"/>
      <c r="V39" s="188"/>
      <c r="W39" s="136"/>
      <c r="X39" s="23">
        <f t="shared" ref="X39:X43" si="24">AVERAGE(S39,MAX(T39:U39),MAX(V39:W39))</f>
        <v>0</v>
      </c>
      <c r="Y39" s="21">
        <f t="shared" ref="Y39:Y43" si="25">SUM(J39,Q39,X39)/3</f>
        <v>10.444444444444445</v>
      </c>
      <c r="Z39" s="180" t="str">
        <f t="shared" ref="Z39:Z43" si="26">IF(Y39&gt;=10,"TRANSITA","N/TRANSITA")</f>
        <v>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98">
        <v>10</v>
      </c>
      <c r="F40" s="99">
        <v>5</v>
      </c>
      <c r="G40" s="99"/>
      <c r="H40" s="100">
        <v>14</v>
      </c>
      <c r="I40" s="182"/>
      <c r="J40" s="183">
        <f t="shared" si="5"/>
        <v>9.6666666666666661</v>
      </c>
      <c r="K40" s="180" t="str">
        <f t="shared" si="1"/>
        <v>N/TRANSITA</v>
      </c>
      <c r="L40" s="186">
        <v>14</v>
      </c>
      <c r="M40" s="187">
        <v>10</v>
      </c>
      <c r="N40" s="187"/>
      <c r="O40" s="187">
        <v>10</v>
      </c>
      <c r="P40" s="187"/>
      <c r="Q40" s="183">
        <f t="shared" si="22"/>
        <v>11.333333333333334</v>
      </c>
      <c r="R40" s="180" t="str">
        <f t="shared" si="23"/>
        <v>TRANSITA</v>
      </c>
      <c r="S40" s="186"/>
      <c r="T40" s="187"/>
      <c r="U40" s="187"/>
      <c r="V40" s="188"/>
      <c r="W40" s="136"/>
      <c r="X40" s="23">
        <f t="shared" si="24"/>
        <v>0</v>
      </c>
      <c r="Y40" s="21">
        <f t="shared" si="25"/>
        <v>7</v>
      </c>
      <c r="Z40" s="180" t="str">
        <f t="shared" si="26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98">
        <v>15</v>
      </c>
      <c r="F41" s="99">
        <v>12</v>
      </c>
      <c r="G41" s="99"/>
      <c r="H41" s="100">
        <v>9</v>
      </c>
      <c r="I41" s="182"/>
      <c r="J41" s="183">
        <f t="shared" si="5"/>
        <v>12</v>
      </c>
      <c r="K41" s="180" t="str">
        <f t="shared" si="1"/>
        <v>TRANSITA</v>
      </c>
      <c r="L41" s="186">
        <v>8</v>
      </c>
      <c r="M41" s="187">
        <v>13</v>
      </c>
      <c r="N41" s="187"/>
      <c r="O41" s="187">
        <v>10</v>
      </c>
      <c r="P41" s="187"/>
      <c r="Q41" s="183">
        <f t="shared" si="22"/>
        <v>10.333333333333334</v>
      </c>
      <c r="R41" s="180" t="str">
        <f t="shared" si="23"/>
        <v>TRANSITA</v>
      </c>
      <c r="S41" s="186"/>
      <c r="T41" s="187"/>
      <c r="U41" s="187"/>
      <c r="V41" s="188"/>
      <c r="W41" s="136"/>
      <c r="X41" s="23">
        <f t="shared" si="24"/>
        <v>0</v>
      </c>
      <c r="Y41" s="21">
        <f t="shared" si="25"/>
        <v>7.4444444444444455</v>
      </c>
      <c r="Z41" s="180" t="str">
        <f t="shared" si="26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98">
        <v>15</v>
      </c>
      <c r="F42" s="99">
        <v>16</v>
      </c>
      <c r="G42" s="99"/>
      <c r="H42" s="100">
        <v>8</v>
      </c>
      <c r="I42" s="182"/>
      <c r="J42" s="183">
        <f t="shared" si="5"/>
        <v>13</v>
      </c>
      <c r="K42" s="180" t="str">
        <f t="shared" si="1"/>
        <v>TRANSITA</v>
      </c>
      <c r="L42" s="186">
        <v>12</v>
      </c>
      <c r="M42" s="187">
        <v>11</v>
      </c>
      <c r="N42" s="187"/>
      <c r="O42" s="187">
        <v>18</v>
      </c>
      <c r="P42" s="187"/>
      <c r="Q42" s="183">
        <f t="shared" si="22"/>
        <v>13.666666666666666</v>
      </c>
      <c r="R42" s="180" t="str">
        <f t="shared" si="23"/>
        <v>TRANSITA</v>
      </c>
      <c r="S42" s="186"/>
      <c r="T42" s="187"/>
      <c r="U42" s="187"/>
      <c r="V42" s="188"/>
      <c r="W42" s="136"/>
      <c r="X42" s="23">
        <f t="shared" si="24"/>
        <v>0</v>
      </c>
      <c r="Y42" s="21">
        <f t="shared" si="25"/>
        <v>8.8888888888888875</v>
      </c>
      <c r="Z42" s="180" t="str">
        <f t="shared" si="26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98">
        <v>17</v>
      </c>
      <c r="F43" s="99">
        <v>19</v>
      </c>
      <c r="G43" s="99"/>
      <c r="H43" s="100">
        <v>18</v>
      </c>
      <c r="I43" s="182"/>
      <c r="J43" s="183">
        <f t="shared" si="5"/>
        <v>18</v>
      </c>
      <c r="K43" s="180" t="str">
        <f t="shared" si="1"/>
        <v>TRANSITA</v>
      </c>
      <c r="L43" s="186">
        <v>13</v>
      </c>
      <c r="M43" s="187">
        <v>20</v>
      </c>
      <c r="N43" s="187"/>
      <c r="O43" s="187">
        <v>16</v>
      </c>
      <c r="P43" s="187"/>
      <c r="Q43" s="183">
        <f t="shared" si="22"/>
        <v>16.333333333333332</v>
      </c>
      <c r="R43" s="180" t="str">
        <f t="shared" si="23"/>
        <v>TRANSITA</v>
      </c>
      <c r="S43" s="186"/>
      <c r="T43" s="187"/>
      <c r="U43" s="187"/>
      <c r="V43" s="188"/>
      <c r="W43" s="136"/>
      <c r="X43" s="23">
        <f t="shared" si="24"/>
        <v>0</v>
      </c>
      <c r="Y43" s="21">
        <f t="shared" si="25"/>
        <v>11.444444444444443</v>
      </c>
      <c r="Z43" s="180" t="str">
        <f t="shared" si="26"/>
        <v>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98">
        <v>14</v>
      </c>
      <c r="F44" s="99">
        <v>9</v>
      </c>
      <c r="G44" s="99"/>
      <c r="H44" s="100">
        <v>19</v>
      </c>
      <c r="I44" s="182"/>
      <c r="J44" s="183">
        <f t="shared" si="5"/>
        <v>14</v>
      </c>
      <c r="K44" s="180" t="str">
        <f t="shared" si="1"/>
        <v>TRANSITA</v>
      </c>
      <c r="L44" s="186">
        <v>15</v>
      </c>
      <c r="M44" s="187">
        <v>16</v>
      </c>
      <c r="N44" s="187"/>
      <c r="O44" s="187">
        <v>19</v>
      </c>
      <c r="P44" s="187"/>
      <c r="Q44" s="183">
        <f t="shared" si="19"/>
        <v>16.666666666666668</v>
      </c>
      <c r="R44" s="180" t="str">
        <f t="shared" si="2"/>
        <v>TRANSITA</v>
      </c>
      <c r="S44" s="186"/>
      <c r="T44" s="187"/>
      <c r="U44" s="187"/>
      <c r="V44" s="188"/>
      <c r="W44" s="136"/>
      <c r="X44" s="23">
        <f t="shared" si="20"/>
        <v>0</v>
      </c>
      <c r="Y44" s="21">
        <f t="shared" si="21"/>
        <v>10.222222222222223</v>
      </c>
      <c r="Z44" s="180" t="str">
        <f t="shared" si="4"/>
        <v>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98">
        <v>14</v>
      </c>
      <c r="F45" s="99">
        <v>10</v>
      </c>
      <c r="G45" s="99"/>
      <c r="H45" s="100">
        <v>19</v>
      </c>
      <c r="I45" s="182"/>
      <c r="J45" s="183">
        <f t="shared" si="5"/>
        <v>14.333333333333334</v>
      </c>
      <c r="K45" s="180" t="str">
        <f t="shared" si="1"/>
        <v>TRANSITA</v>
      </c>
      <c r="L45" s="186">
        <v>13</v>
      </c>
      <c r="M45" s="187">
        <v>8</v>
      </c>
      <c r="N45" s="187"/>
      <c r="O45" s="187">
        <v>11</v>
      </c>
      <c r="P45" s="187"/>
      <c r="Q45" s="183">
        <f t="shared" si="19"/>
        <v>10.666666666666666</v>
      </c>
      <c r="R45" s="180" t="str">
        <f t="shared" si="2"/>
        <v>TRANSITA</v>
      </c>
      <c r="S45" s="186"/>
      <c r="T45" s="187"/>
      <c r="U45" s="187"/>
      <c r="V45" s="188"/>
      <c r="W45" s="136"/>
      <c r="X45" s="23">
        <f t="shared" si="20"/>
        <v>0</v>
      </c>
      <c r="Y45" s="21">
        <f t="shared" si="21"/>
        <v>8.3333333333333339</v>
      </c>
      <c r="Z45" s="180" t="str">
        <f t="shared" si="4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98">
        <v>12</v>
      </c>
      <c r="F46" s="99">
        <v>8</v>
      </c>
      <c r="G46" s="99"/>
      <c r="H46" s="100">
        <v>16</v>
      </c>
      <c r="I46" s="182"/>
      <c r="J46" s="183">
        <f t="shared" si="5"/>
        <v>12</v>
      </c>
      <c r="K46" s="180" t="str">
        <f t="shared" si="1"/>
        <v>TRANSITA</v>
      </c>
      <c r="L46" s="186">
        <v>12</v>
      </c>
      <c r="M46" s="187">
        <v>16</v>
      </c>
      <c r="N46" s="187"/>
      <c r="O46" s="187">
        <v>17</v>
      </c>
      <c r="P46" s="187"/>
      <c r="Q46" s="183">
        <f t="shared" ref="Q46:Q47" si="27">AVERAGE(L46,MAX(M46:N46),MAX(O46:P46))</f>
        <v>15</v>
      </c>
      <c r="R46" s="180" t="str">
        <f t="shared" ref="R46:R47" si="28">IF(Q46&gt;=10,"TRANSITA","N/TRANSITA")</f>
        <v>TRANSITA</v>
      </c>
      <c r="S46" s="186"/>
      <c r="T46" s="187"/>
      <c r="U46" s="187"/>
      <c r="V46" s="188"/>
      <c r="W46" s="136"/>
      <c r="X46" s="23">
        <f t="shared" ref="X46:X47" si="29">AVERAGE(S46,MAX(T46:U46),MAX(V46:W46))</f>
        <v>0</v>
      </c>
      <c r="Y46" s="21">
        <f t="shared" ref="Y46:Y47" si="30">SUM(J46,Q46,X46)/3</f>
        <v>9</v>
      </c>
      <c r="Z46" s="180" t="str">
        <f t="shared" ref="Z46:Z47" si="31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98">
        <v>20</v>
      </c>
      <c r="F47" s="99">
        <v>20</v>
      </c>
      <c r="G47" s="99"/>
      <c r="H47" s="100">
        <v>20</v>
      </c>
      <c r="I47" s="182"/>
      <c r="J47" s="183">
        <f t="shared" si="5"/>
        <v>20</v>
      </c>
      <c r="K47" s="180" t="str">
        <f t="shared" si="1"/>
        <v>TRANSITA</v>
      </c>
      <c r="L47" s="186">
        <v>18</v>
      </c>
      <c r="M47" s="187">
        <v>19</v>
      </c>
      <c r="N47" s="187"/>
      <c r="O47" s="187">
        <v>20</v>
      </c>
      <c r="P47" s="187"/>
      <c r="Q47" s="183">
        <f t="shared" si="27"/>
        <v>19</v>
      </c>
      <c r="R47" s="180" t="str">
        <f t="shared" si="28"/>
        <v>TRANSITA</v>
      </c>
      <c r="S47" s="186"/>
      <c r="T47" s="187"/>
      <c r="U47" s="187"/>
      <c r="V47" s="188"/>
      <c r="W47" s="136"/>
      <c r="X47" s="23">
        <f t="shared" si="29"/>
        <v>0</v>
      </c>
      <c r="Y47" s="21">
        <f t="shared" si="30"/>
        <v>13</v>
      </c>
      <c r="Z47" s="180" t="str">
        <f t="shared" si="31"/>
        <v>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98">
        <v>10</v>
      </c>
      <c r="F48" s="99">
        <v>10</v>
      </c>
      <c r="G48" s="99"/>
      <c r="H48" s="100">
        <v>13</v>
      </c>
      <c r="I48" s="182"/>
      <c r="J48" s="183">
        <f t="shared" si="5"/>
        <v>11</v>
      </c>
      <c r="K48" s="180" t="str">
        <f t="shared" si="1"/>
        <v>TRANSITA</v>
      </c>
      <c r="L48" s="186">
        <v>13</v>
      </c>
      <c r="M48" s="187">
        <v>16</v>
      </c>
      <c r="N48" s="187"/>
      <c r="O48" s="187">
        <v>10</v>
      </c>
      <c r="P48" s="187"/>
      <c r="Q48" s="183">
        <f t="shared" si="19"/>
        <v>13</v>
      </c>
      <c r="R48" s="180" t="str">
        <f t="shared" si="2"/>
        <v>TRANSITA</v>
      </c>
      <c r="S48" s="186"/>
      <c r="T48" s="187"/>
      <c r="U48" s="187"/>
      <c r="V48" s="188"/>
      <c r="W48" s="136"/>
      <c r="X48" s="23">
        <f t="shared" si="20"/>
        <v>0</v>
      </c>
      <c r="Y48" s="21">
        <f t="shared" si="21"/>
        <v>8</v>
      </c>
      <c r="Z48" s="180" t="str">
        <f t="shared" si="4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98"/>
      <c r="F49" s="99"/>
      <c r="G49" s="99"/>
      <c r="H49" s="100"/>
      <c r="I49" s="182"/>
      <c r="J49" s="183">
        <f t="shared" si="5"/>
        <v>0</v>
      </c>
      <c r="K49" s="180" t="str">
        <f t="shared" si="1"/>
        <v>N/TRANSITA</v>
      </c>
      <c r="L49" s="186"/>
      <c r="M49" s="187"/>
      <c r="N49" s="187"/>
      <c r="O49" s="187"/>
      <c r="P49" s="187"/>
      <c r="Q49" s="183">
        <f t="shared" si="6"/>
        <v>0</v>
      </c>
      <c r="R49" s="180" t="str">
        <f t="shared" si="2"/>
        <v>N/TRANSITA</v>
      </c>
      <c r="S49" s="186"/>
      <c r="T49" s="187"/>
      <c r="U49" s="187"/>
      <c r="V49" s="188"/>
      <c r="W49" s="136"/>
      <c r="X49" s="23">
        <f t="shared" si="7"/>
        <v>0</v>
      </c>
      <c r="Y49" s="21">
        <f t="shared" si="8"/>
        <v>0</v>
      </c>
      <c r="Z49" s="180" t="str">
        <f t="shared" si="4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98">
        <v>16</v>
      </c>
      <c r="F50" s="99">
        <v>9</v>
      </c>
      <c r="G50" s="99"/>
      <c r="H50" s="100">
        <v>6</v>
      </c>
      <c r="I50" s="182"/>
      <c r="J50" s="183">
        <f t="shared" si="5"/>
        <v>10.333333333333334</v>
      </c>
      <c r="K50" s="180" t="str">
        <f t="shared" si="1"/>
        <v>TRANSITA</v>
      </c>
      <c r="L50" s="186">
        <v>6</v>
      </c>
      <c r="M50" s="187">
        <v>7</v>
      </c>
      <c r="N50" s="187"/>
      <c r="O50" s="187">
        <v>20</v>
      </c>
      <c r="P50" s="187"/>
      <c r="Q50" s="183">
        <f t="shared" si="6"/>
        <v>11</v>
      </c>
      <c r="R50" s="180" t="str">
        <f t="shared" si="2"/>
        <v>TRANSITA</v>
      </c>
      <c r="S50" s="186"/>
      <c r="T50" s="187"/>
      <c r="U50" s="187"/>
      <c r="V50" s="188"/>
      <c r="W50" s="136"/>
      <c r="X50" s="23">
        <f t="shared" si="7"/>
        <v>0</v>
      </c>
      <c r="Y50" s="21">
        <f t="shared" si="8"/>
        <v>7.1111111111111116</v>
      </c>
      <c r="Z50" s="180" t="str">
        <f t="shared" si="4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98">
        <v>14</v>
      </c>
      <c r="F51" s="99">
        <v>3</v>
      </c>
      <c r="G51" s="99"/>
      <c r="H51" s="100">
        <v>12</v>
      </c>
      <c r="I51" s="182"/>
      <c r="J51" s="183">
        <f t="shared" si="5"/>
        <v>9.6666666666666661</v>
      </c>
      <c r="K51" s="180" t="str">
        <f t="shared" si="1"/>
        <v>N/TRANSITA</v>
      </c>
      <c r="L51" s="186">
        <v>6</v>
      </c>
      <c r="M51" s="187">
        <v>14</v>
      </c>
      <c r="N51" s="187"/>
      <c r="O51" s="187">
        <v>12</v>
      </c>
      <c r="P51" s="187"/>
      <c r="Q51" s="183">
        <f t="shared" si="6"/>
        <v>10.666666666666666</v>
      </c>
      <c r="R51" s="180" t="str">
        <f t="shared" si="2"/>
        <v>TRANSITA</v>
      </c>
      <c r="S51" s="186"/>
      <c r="T51" s="187"/>
      <c r="U51" s="187"/>
      <c r="V51" s="188"/>
      <c r="W51" s="136"/>
      <c r="X51" s="23">
        <f t="shared" si="7"/>
        <v>0</v>
      </c>
      <c r="Y51" s="21">
        <f t="shared" si="8"/>
        <v>6.7777777777777777</v>
      </c>
      <c r="Z51" s="180" t="str">
        <f t="shared" si="4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98">
        <v>10</v>
      </c>
      <c r="F52" s="99">
        <v>2</v>
      </c>
      <c r="G52" s="99"/>
      <c r="H52" s="100">
        <v>10</v>
      </c>
      <c r="I52" s="182"/>
      <c r="J52" s="183">
        <f t="shared" si="5"/>
        <v>7.333333333333333</v>
      </c>
      <c r="K52" s="180" t="str">
        <f t="shared" si="1"/>
        <v>N/TRANSITA</v>
      </c>
      <c r="L52" s="186"/>
      <c r="M52" s="187"/>
      <c r="N52" s="187"/>
      <c r="O52" s="187"/>
      <c r="P52" s="187"/>
      <c r="Q52" s="183">
        <f t="shared" si="6"/>
        <v>0</v>
      </c>
      <c r="R52" s="180" t="str">
        <f t="shared" si="2"/>
        <v>N/TRANSITA</v>
      </c>
      <c r="S52" s="186"/>
      <c r="T52" s="187"/>
      <c r="U52" s="187"/>
      <c r="V52" s="188"/>
      <c r="W52" s="136"/>
      <c r="X52" s="23">
        <f t="shared" si="7"/>
        <v>0</v>
      </c>
      <c r="Y52" s="21">
        <f t="shared" si="8"/>
        <v>2.4444444444444442</v>
      </c>
      <c r="Z52" s="180" t="str">
        <f t="shared" si="4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21"/>
      <c r="F53" s="107"/>
      <c r="G53" s="107"/>
      <c r="H53" s="105"/>
      <c r="I53" s="187"/>
      <c r="J53" s="183">
        <f t="shared" si="5"/>
        <v>0</v>
      </c>
      <c r="K53" s="180" t="str">
        <f t="shared" si="1"/>
        <v>N/TRANSITA</v>
      </c>
      <c r="L53" s="186"/>
      <c r="M53" s="187"/>
      <c r="N53" s="187"/>
      <c r="O53" s="187"/>
      <c r="P53" s="187"/>
      <c r="Q53" s="183">
        <f t="shared" si="6"/>
        <v>0</v>
      </c>
      <c r="R53" s="180" t="str">
        <f t="shared" si="2"/>
        <v>N/TRANSITA</v>
      </c>
      <c r="S53" s="186"/>
      <c r="T53" s="187"/>
      <c r="U53" s="187"/>
      <c r="V53" s="188"/>
      <c r="W53" s="136"/>
      <c r="X53" s="23">
        <f t="shared" si="7"/>
        <v>0</v>
      </c>
      <c r="Y53" s="21">
        <f t="shared" si="8"/>
        <v>0</v>
      </c>
      <c r="Z53" s="180" t="str">
        <f t="shared" si="4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21">
        <v>10</v>
      </c>
      <c r="F54" s="107">
        <v>5</v>
      </c>
      <c r="G54" s="107"/>
      <c r="H54" s="105">
        <v>8</v>
      </c>
      <c r="I54" s="187"/>
      <c r="J54" s="183">
        <f t="shared" si="5"/>
        <v>7.666666666666667</v>
      </c>
      <c r="K54" s="180" t="str">
        <f t="shared" si="1"/>
        <v>N/TRANSITA</v>
      </c>
      <c r="L54" s="186">
        <v>0</v>
      </c>
      <c r="M54" s="187">
        <v>5</v>
      </c>
      <c r="N54" s="187"/>
      <c r="O54" s="187">
        <v>10</v>
      </c>
      <c r="P54" s="187"/>
      <c r="Q54" s="183">
        <f t="shared" ref="Q54:Q56" si="32">AVERAGE(L54,MAX(M54:N54),MAX(O54:P54))</f>
        <v>5</v>
      </c>
      <c r="R54" s="180" t="str">
        <f t="shared" ref="R54:R56" si="33">IF(Q54&gt;=10,"TRANSITA","N/TRANSITA")</f>
        <v>N/TRANSITA</v>
      </c>
      <c r="S54" s="186"/>
      <c r="T54" s="187"/>
      <c r="U54" s="187"/>
      <c r="V54" s="188"/>
      <c r="W54" s="136"/>
      <c r="X54" s="23">
        <f t="shared" ref="X54:X56" si="34">AVERAGE(S54,MAX(T54:U54),MAX(V54:W54))</f>
        <v>0</v>
      </c>
      <c r="Y54" s="21">
        <f t="shared" ref="Y54:Y56" si="35">SUM(J54,Q54,X54)/3</f>
        <v>4.2222222222222223</v>
      </c>
      <c r="Z54" s="180" t="str">
        <f t="shared" ref="Z54:Z56" si="3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21">
        <v>15</v>
      </c>
      <c r="F55" s="107">
        <v>12</v>
      </c>
      <c r="G55" s="107"/>
      <c r="H55" s="105">
        <v>4</v>
      </c>
      <c r="I55" s="187"/>
      <c r="J55" s="183">
        <f t="shared" si="5"/>
        <v>10.333333333333334</v>
      </c>
      <c r="K55" s="180" t="str">
        <f t="shared" si="1"/>
        <v>TRANSITA</v>
      </c>
      <c r="L55" s="186">
        <v>4</v>
      </c>
      <c r="M55" s="187">
        <v>8</v>
      </c>
      <c r="N55" s="187"/>
      <c r="O55" s="187">
        <v>18</v>
      </c>
      <c r="P55" s="187"/>
      <c r="Q55" s="183">
        <f t="shared" si="32"/>
        <v>10</v>
      </c>
      <c r="R55" s="180" t="str">
        <f t="shared" si="33"/>
        <v>TRANSITA</v>
      </c>
      <c r="S55" s="186"/>
      <c r="T55" s="187"/>
      <c r="U55" s="187"/>
      <c r="V55" s="188"/>
      <c r="W55" s="136"/>
      <c r="X55" s="23">
        <f t="shared" si="34"/>
        <v>0</v>
      </c>
      <c r="Y55" s="21">
        <f t="shared" si="35"/>
        <v>6.7777777777777786</v>
      </c>
      <c r="Z55" s="180" t="str">
        <f t="shared" si="3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21">
        <v>17</v>
      </c>
      <c r="F56" s="107">
        <v>10</v>
      </c>
      <c r="G56" s="107"/>
      <c r="H56" s="105">
        <v>11</v>
      </c>
      <c r="I56" s="187"/>
      <c r="J56" s="183">
        <f t="shared" si="5"/>
        <v>12.666666666666666</v>
      </c>
      <c r="K56" s="180" t="str">
        <f t="shared" si="1"/>
        <v>TRANSITA</v>
      </c>
      <c r="L56" s="186">
        <v>4</v>
      </c>
      <c r="M56" s="187">
        <v>8</v>
      </c>
      <c r="N56" s="187"/>
      <c r="O56" s="187">
        <v>13</v>
      </c>
      <c r="P56" s="187"/>
      <c r="Q56" s="183">
        <f t="shared" si="32"/>
        <v>8.3333333333333339</v>
      </c>
      <c r="R56" s="180" t="str">
        <f t="shared" si="33"/>
        <v>N/TRANSITA</v>
      </c>
      <c r="S56" s="186"/>
      <c r="T56" s="187"/>
      <c r="U56" s="187"/>
      <c r="V56" s="188"/>
      <c r="W56" s="136"/>
      <c r="X56" s="23">
        <f t="shared" si="34"/>
        <v>0</v>
      </c>
      <c r="Y56" s="21">
        <f t="shared" si="35"/>
        <v>7</v>
      </c>
      <c r="Z56" s="180" t="str">
        <f t="shared" si="3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21">
        <v>20</v>
      </c>
      <c r="F57" s="107">
        <v>20</v>
      </c>
      <c r="G57" s="107"/>
      <c r="H57" s="105">
        <v>20</v>
      </c>
      <c r="I57" s="187"/>
      <c r="J57" s="183">
        <f t="shared" si="5"/>
        <v>20</v>
      </c>
      <c r="K57" s="180" t="str">
        <f t="shared" si="1"/>
        <v>TRANSITA</v>
      </c>
      <c r="L57" s="186">
        <v>19</v>
      </c>
      <c r="M57" s="187">
        <v>20</v>
      </c>
      <c r="N57" s="187"/>
      <c r="O57" s="187">
        <v>20</v>
      </c>
      <c r="P57" s="187"/>
      <c r="Q57" s="183">
        <f t="shared" si="6"/>
        <v>19.666666666666668</v>
      </c>
      <c r="R57" s="180" t="str">
        <f t="shared" si="2"/>
        <v>TRANSITA</v>
      </c>
      <c r="S57" s="186"/>
      <c r="T57" s="187"/>
      <c r="U57" s="187"/>
      <c r="V57" s="188"/>
      <c r="W57" s="136"/>
      <c r="X57" s="23">
        <f t="shared" si="7"/>
        <v>0</v>
      </c>
      <c r="Y57" s="21">
        <f t="shared" si="8"/>
        <v>13.222222222222223</v>
      </c>
      <c r="Z57" s="180" t="str">
        <f t="shared" si="4"/>
        <v>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21"/>
      <c r="F58" s="107"/>
      <c r="G58" s="107"/>
      <c r="H58" s="105"/>
      <c r="I58" s="187"/>
      <c r="J58" s="183">
        <f t="shared" si="5"/>
        <v>0</v>
      </c>
      <c r="K58" s="180" t="str">
        <f t="shared" si="1"/>
        <v>N/TRANSITA</v>
      </c>
      <c r="L58" s="186"/>
      <c r="M58" s="187"/>
      <c r="N58" s="187"/>
      <c r="O58" s="187"/>
      <c r="P58" s="187"/>
      <c r="Q58" s="183">
        <f t="shared" si="6"/>
        <v>0</v>
      </c>
      <c r="R58" s="180" t="str">
        <f t="shared" si="2"/>
        <v>N/TRANSITA</v>
      </c>
      <c r="S58" s="186"/>
      <c r="T58" s="187"/>
      <c r="U58" s="187"/>
      <c r="V58" s="188"/>
      <c r="W58" s="136"/>
      <c r="X58" s="23">
        <f t="shared" si="7"/>
        <v>0</v>
      </c>
      <c r="Y58" s="21">
        <f t="shared" si="8"/>
        <v>0</v>
      </c>
      <c r="Z58" s="180" t="str">
        <f t="shared" si="4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21">
        <v>13</v>
      </c>
      <c r="F59" s="107">
        <v>10</v>
      </c>
      <c r="G59" s="107"/>
      <c r="H59" s="105">
        <v>16</v>
      </c>
      <c r="I59" s="187"/>
      <c r="J59" s="183">
        <f t="shared" si="5"/>
        <v>13</v>
      </c>
      <c r="K59" s="180" t="str">
        <f t="shared" si="1"/>
        <v>TRANSITA</v>
      </c>
      <c r="L59" s="186">
        <v>8</v>
      </c>
      <c r="M59" s="187">
        <v>1</v>
      </c>
      <c r="N59" s="187"/>
      <c r="O59" s="187">
        <v>17</v>
      </c>
      <c r="P59" s="187"/>
      <c r="Q59" s="183">
        <f t="shared" si="6"/>
        <v>8.6666666666666661</v>
      </c>
      <c r="R59" s="180" t="str">
        <f t="shared" si="2"/>
        <v>N/TRANSITA</v>
      </c>
      <c r="S59" s="186"/>
      <c r="T59" s="187"/>
      <c r="U59" s="187"/>
      <c r="V59" s="188"/>
      <c r="W59" s="136"/>
      <c r="X59" s="23">
        <f t="shared" si="7"/>
        <v>0</v>
      </c>
      <c r="Y59" s="21">
        <f t="shared" si="8"/>
        <v>7.2222222222222214</v>
      </c>
      <c r="Z59" s="180" t="str">
        <f t="shared" si="4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21">
        <v>14</v>
      </c>
      <c r="F60" s="107">
        <v>12</v>
      </c>
      <c r="G60" s="107"/>
      <c r="H60" s="105">
        <v>19</v>
      </c>
      <c r="I60" s="187"/>
      <c r="J60" s="183">
        <f t="shared" si="5"/>
        <v>15</v>
      </c>
      <c r="K60" s="180" t="str">
        <f t="shared" si="1"/>
        <v>TRANSITA</v>
      </c>
      <c r="L60" s="186">
        <v>16</v>
      </c>
      <c r="M60" s="187">
        <v>15</v>
      </c>
      <c r="N60" s="187"/>
      <c r="O60" s="187">
        <v>19</v>
      </c>
      <c r="P60" s="187"/>
      <c r="Q60" s="183">
        <f t="shared" si="6"/>
        <v>16.666666666666668</v>
      </c>
      <c r="R60" s="180" t="str">
        <f t="shared" si="2"/>
        <v>TRANSITA</v>
      </c>
      <c r="S60" s="186"/>
      <c r="T60" s="187"/>
      <c r="U60" s="187"/>
      <c r="V60" s="188"/>
      <c r="W60" s="136"/>
      <c r="X60" s="23">
        <f t="shared" si="7"/>
        <v>0</v>
      </c>
      <c r="Y60" s="21">
        <f t="shared" si="8"/>
        <v>10.555555555555555</v>
      </c>
      <c r="Z60" s="180" t="str">
        <f t="shared" si="4"/>
        <v>TRANSITA</v>
      </c>
    </row>
    <row r="61" spans="2:31" ht="14.25" customHeight="1" x14ac:dyDescent="0.3">
      <c r="B61" s="37">
        <v>53</v>
      </c>
      <c r="C61" s="194" t="s">
        <v>141</v>
      </c>
      <c r="D61" s="28"/>
      <c r="E61" s="121">
        <v>14</v>
      </c>
      <c r="F61" s="107">
        <v>19</v>
      </c>
      <c r="G61" s="107"/>
      <c r="H61" s="105">
        <v>20</v>
      </c>
      <c r="I61" s="187"/>
      <c r="J61" s="183">
        <f t="shared" si="5"/>
        <v>17.666666666666668</v>
      </c>
      <c r="K61" s="180" t="str">
        <f t="shared" si="1"/>
        <v>TRANSITA</v>
      </c>
      <c r="L61" s="186">
        <v>18</v>
      </c>
      <c r="M61" s="187">
        <v>20</v>
      </c>
      <c r="N61" s="187"/>
      <c r="O61" s="187">
        <v>18</v>
      </c>
      <c r="P61" s="187"/>
      <c r="Q61" s="183">
        <f t="shared" si="6"/>
        <v>18.666666666666668</v>
      </c>
      <c r="R61" s="180" t="str">
        <f t="shared" si="2"/>
        <v>TRANSITA</v>
      </c>
      <c r="S61" s="186"/>
      <c r="T61" s="187"/>
      <c r="U61" s="187"/>
      <c r="V61" s="188"/>
      <c r="W61" s="136"/>
      <c r="X61" s="23">
        <f t="shared" ref="X61:X63" si="37">AVERAGE(S61,MAX(T61:U61),MAX(V61:W61))</f>
        <v>0</v>
      </c>
      <c r="Y61" s="21">
        <f t="shared" si="0"/>
        <v>12.111111111111112</v>
      </c>
      <c r="Z61" s="180" t="str">
        <f t="shared" si="4"/>
        <v>TRANSITA</v>
      </c>
    </row>
    <row r="62" spans="2:31" ht="14.25" customHeight="1" x14ac:dyDescent="0.3">
      <c r="B62" s="37">
        <v>54</v>
      </c>
      <c r="C62" s="194" t="s">
        <v>142</v>
      </c>
      <c r="D62" s="28"/>
      <c r="E62" s="121">
        <v>16</v>
      </c>
      <c r="F62" s="107">
        <v>16</v>
      </c>
      <c r="G62" s="107"/>
      <c r="H62" s="105">
        <v>20</v>
      </c>
      <c r="I62" s="187"/>
      <c r="J62" s="183">
        <f t="shared" si="5"/>
        <v>17.333333333333332</v>
      </c>
      <c r="K62" s="180" t="str">
        <f t="shared" si="1"/>
        <v>TRANSITA</v>
      </c>
      <c r="L62" s="186">
        <v>16</v>
      </c>
      <c r="M62" s="187">
        <v>13</v>
      </c>
      <c r="N62" s="187"/>
      <c r="O62" s="187">
        <v>18</v>
      </c>
      <c r="P62" s="187"/>
      <c r="Q62" s="183">
        <f t="shared" si="6"/>
        <v>15.666666666666666</v>
      </c>
      <c r="R62" s="180" t="str">
        <f t="shared" si="2"/>
        <v>TRANSITA</v>
      </c>
      <c r="S62" s="186"/>
      <c r="T62" s="187"/>
      <c r="U62" s="187"/>
      <c r="V62" s="188"/>
      <c r="W62" s="136"/>
      <c r="X62" s="23">
        <f t="shared" si="37"/>
        <v>0</v>
      </c>
      <c r="Y62" s="21">
        <f t="shared" si="0"/>
        <v>11</v>
      </c>
      <c r="Z62" s="180" t="str">
        <f t="shared" si="4"/>
        <v>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22">
        <v>15</v>
      </c>
      <c r="F63" s="108">
        <v>11</v>
      </c>
      <c r="G63" s="108"/>
      <c r="H63" s="109">
        <v>11</v>
      </c>
      <c r="I63" s="189"/>
      <c r="J63" s="190">
        <f t="shared" si="5"/>
        <v>12.333333333333334</v>
      </c>
      <c r="K63" s="181" t="str">
        <f t="shared" si="1"/>
        <v>TRANSITA</v>
      </c>
      <c r="L63" s="191">
        <v>15</v>
      </c>
      <c r="M63" s="189">
        <v>14</v>
      </c>
      <c r="N63" s="189"/>
      <c r="O63" s="189">
        <v>17</v>
      </c>
      <c r="P63" s="189"/>
      <c r="Q63" s="190">
        <f t="shared" si="6"/>
        <v>15.333333333333334</v>
      </c>
      <c r="R63" s="181" t="str">
        <f t="shared" si="2"/>
        <v>TRANSITA</v>
      </c>
      <c r="S63" s="191"/>
      <c r="T63" s="189"/>
      <c r="U63" s="189"/>
      <c r="V63" s="192"/>
      <c r="W63" s="146"/>
      <c r="X63" s="24">
        <f t="shared" si="37"/>
        <v>0</v>
      </c>
      <c r="Y63" s="22">
        <f>SUM(J63,Q63,X63)/3</f>
        <v>9.2222222222222232</v>
      </c>
      <c r="Z63" s="181" t="str">
        <f t="shared" si="4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30"/>
      <c r="G66" s="30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31"/>
      <c r="G67" s="31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31"/>
      <c r="G68" s="31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53:AB55"/>
    <mergeCell ref="A66:E66"/>
    <mergeCell ref="S66:Z66"/>
    <mergeCell ref="A67:E67"/>
    <mergeCell ref="S67:Z67"/>
    <mergeCell ref="AA10:AB11"/>
    <mergeCell ref="K7:K8"/>
    <mergeCell ref="R7:R8"/>
    <mergeCell ref="AC8:AC9"/>
    <mergeCell ref="AD8:AD9"/>
    <mergeCell ref="AE8:AE9"/>
    <mergeCell ref="B5:C5"/>
    <mergeCell ref="E5:Q5"/>
    <mergeCell ref="X5:Z5"/>
    <mergeCell ref="B6:Z6"/>
    <mergeCell ref="B7:B8"/>
    <mergeCell ref="C7:C8"/>
    <mergeCell ref="E7:J7"/>
    <mergeCell ref="L7:Q7"/>
    <mergeCell ref="S7:X7"/>
    <mergeCell ref="Y7:Y8"/>
    <mergeCell ref="A1:Z1"/>
    <mergeCell ref="B3:C3"/>
    <mergeCell ref="I3:M3"/>
    <mergeCell ref="V3:Z3"/>
    <mergeCell ref="B4:C4"/>
    <mergeCell ref="E4:Q4"/>
    <mergeCell ref="V4:Z4"/>
  </mergeCells>
  <conditionalFormatting sqref="Y9:Y63">
    <cfRule type="cellIs" dxfId="331" priority="109" stopIfTrue="1" operator="greaterThan">
      <formula>9.5</formula>
    </cfRule>
    <cfRule type="cellIs" dxfId="330" priority="110" stopIfTrue="1" operator="lessThanOrEqual">
      <formula>9.5</formula>
    </cfRule>
  </conditionalFormatting>
  <conditionalFormatting sqref="W9:W63">
    <cfRule type="cellIs" dxfId="329" priority="107" stopIfTrue="1" operator="lessThan">
      <formula>10</formula>
    </cfRule>
    <cfRule type="cellIs" dxfId="328" priority="108" stopIfTrue="1" operator="greaterThan">
      <formula>9</formula>
    </cfRule>
  </conditionalFormatting>
  <conditionalFormatting sqref="W9:W63">
    <cfRule type="cellIs" dxfId="327" priority="105" stopIfTrue="1" operator="lessThan">
      <formula>10</formula>
    </cfRule>
    <cfRule type="cellIs" dxfId="326" priority="106" stopIfTrue="1" operator="greaterThan">
      <formula>9</formula>
    </cfRule>
  </conditionalFormatting>
  <conditionalFormatting sqref="X9:X63 Q9:Q63">
    <cfRule type="cellIs" dxfId="325" priority="87" stopIfTrue="1" operator="lessThan">
      <formula>10</formula>
    </cfRule>
    <cfRule type="cellIs" dxfId="324" priority="88" stopIfTrue="1" operator="greaterThanOrEqual">
      <formula>10</formula>
    </cfRule>
  </conditionalFormatting>
  <conditionalFormatting sqref="S9:V63">
    <cfRule type="cellIs" dxfId="323" priority="33" stopIfTrue="1" operator="lessThan">
      <formula>10</formula>
    </cfRule>
    <cfRule type="cellIs" dxfId="322" priority="34" stopIfTrue="1" operator="greaterThan">
      <formula>9</formula>
    </cfRule>
    <cfRule type="cellIs" dxfId="321" priority="35" stopIfTrue="1" operator="lessThan">
      <formula>10</formula>
    </cfRule>
    <cfRule type="cellIs" dxfId="320" priority="36" stopIfTrue="1" operator="greaterThan">
      <formula>9</formula>
    </cfRule>
  </conditionalFormatting>
  <conditionalFormatting sqref="P9:P63">
    <cfRule type="cellIs" dxfId="319" priority="37" stopIfTrue="1" operator="lessThan">
      <formula>10</formula>
    </cfRule>
    <cfRule type="cellIs" dxfId="318" priority="38" stopIfTrue="1" operator="greaterThan">
      <formula>9</formula>
    </cfRule>
    <cfRule type="cellIs" dxfId="317" priority="39" stopIfTrue="1" operator="lessThan">
      <formula>10</formula>
    </cfRule>
    <cfRule type="cellIs" dxfId="316" priority="40" stopIfTrue="1" operator="greaterThan">
      <formula>9</formula>
    </cfRule>
  </conditionalFormatting>
  <conditionalFormatting sqref="J9:J63">
    <cfRule type="cellIs" dxfId="315" priority="15" stopIfTrue="1" operator="lessThan">
      <formula>10</formula>
    </cfRule>
    <cfRule type="cellIs" dxfId="314" priority="16" stopIfTrue="1" operator="greaterThanOrEqual">
      <formula>10</formula>
    </cfRule>
  </conditionalFormatting>
  <conditionalFormatting sqref="I9:I63">
    <cfRule type="cellIs" dxfId="313" priority="7" stopIfTrue="1" operator="lessThan">
      <formula>10</formula>
    </cfRule>
    <cfRule type="cellIs" dxfId="312" priority="8" stopIfTrue="1" operator="greaterThan">
      <formula>9</formula>
    </cfRule>
    <cfRule type="cellIs" dxfId="311" priority="9" stopIfTrue="1" operator="lessThan">
      <formula>10</formula>
    </cfRule>
    <cfRule type="cellIs" dxfId="310" priority="10" stopIfTrue="1" operator="greaterThan">
      <formula>9</formula>
    </cfRule>
  </conditionalFormatting>
  <conditionalFormatting sqref="L9:O63">
    <cfRule type="cellIs" dxfId="309" priority="11" stopIfTrue="1" operator="lessThan">
      <formula>10</formula>
    </cfRule>
    <cfRule type="cellIs" dxfId="308" priority="12" stopIfTrue="1" operator="greaterThan">
      <formula>9</formula>
    </cfRule>
    <cfRule type="cellIs" dxfId="307" priority="13" stopIfTrue="1" operator="lessThan">
      <formula>10</formula>
    </cfRule>
    <cfRule type="cellIs" dxfId="306" priority="14" stopIfTrue="1" operator="greaterThan">
      <formula>9</formula>
    </cfRule>
  </conditionalFormatting>
  <conditionalFormatting sqref="E9:H63">
    <cfRule type="cellIs" dxfId="305" priority="1" stopIfTrue="1" operator="lessThan">
      <formula>10</formula>
    </cfRule>
    <cfRule type="cellIs" dxfId="304" priority="2" stopIfTrue="1" operator="greaterThan">
      <formula>9</formula>
    </cfRule>
    <cfRule type="cellIs" dxfId="303" priority="3" stopIfTrue="1" operator="lessThan">
      <formula>10</formula>
    </cfRule>
    <cfRule type="cellIs" dxfId="302" priority="4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5361" r:id="rId4">
          <objectPr defaultSize="0" autoPict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38100</xdr:colOff>
                <xdr:row>65</xdr:row>
                <xdr:rowOff>22860</xdr:rowOff>
              </to>
            </anchor>
          </objectPr>
        </oleObject>
      </mc:Choice>
      <mc:Fallback>
        <oleObject progId="Word.Document.8" shapeId="15361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stopIfTrue="1" operator="containsText" id="{8C58C219-6341-462D-8E9D-D3210DB87318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6" stopIfTrue="1" operator="containsText" id="{D657DC82-4ADB-48C7-8342-43F88BAFD6F6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21" stopIfTrue="1" operator="containsText" id="{8A76B38F-5190-41E8-A17A-D3934A83BD00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B551206B-A23D-4393-B966-72A2B7022992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5" stopIfTrue="1" operator="containsText" id="{1C922EA9-CC23-49A9-A208-4974DC0482DA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120411E2-8E2B-4368-87AD-A3DCE7EC295B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I20" sqref="I20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32"/>
      <c r="I4" s="324" t="s">
        <v>36</v>
      </c>
      <c r="J4" s="324"/>
      <c r="K4" s="324"/>
      <c r="L4" s="324"/>
      <c r="M4" s="324"/>
      <c r="N4" s="324"/>
      <c r="O4" s="324"/>
      <c r="P4" s="324"/>
      <c r="Q4" s="324"/>
      <c r="R4" s="32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32"/>
      <c r="H5" s="36"/>
      <c r="I5" s="361" t="s">
        <v>34</v>
      </c>
      <c r="J5" s="361"/>
      <c r="K5" s="361"/>
      <c r="L5" s="361"/>
      <c r="M5" s="361"/>
      <c r="N5" s="361"/>
      <c r="O5" s="36"/>
      <c r="P5" s="36"/>
      <c r="Q5" s="36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0</v>
      </c>
      <c r="AD8" s="335">
        <f>COUNTIF(Z9:Z69,"N/TRANSITA")</f>
        <v>55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124">
        <v>0</v>
      </c>
      <c r="F9" s="125">
        <v>9</v>
      </c>
      <c r="G9" s="125"/>
      <c r="H9" s="126">
        <v>0</v>
      </c>
      <c r="I9" s="126"/>
      <c r="J9" s="127">
        <f>AVERAGE(E9,MAX(F9:G9),MAX(H9:I9))</f>
        <v>3</v>
      </c>
      <c r="K9" s="179" t="str">
        <f>IF(J9&gt;=10,"TRANSITA","N/TRANSITA")</f>
        <v>N/TRANSITA</v>
      </c>
      <c r="L9" s="128">
        <v>11</v>
      </c>
      <c r="M9" s="129">
        <v>3.5</v>
      </c>
      <c r="N9" s="129"/>
      <c r="O9" s="129">
        <v>2</v>
      </c>
      <c r="P9" s="129"/>
      <c r="Q9" s="127">
        <f>AVERAGE(L9,MAX(M9:N9),MAX(O9:P9))</f>
        <v>5.5</v>
      </c>
      <c r="R9" s="179" t="str">
        <f>IF(Q9&gt;=10,"TRANSITA","N/TRANSITA")</f>
        <v>N/TRANSITA</v>
      </c>
      <c r="S9" s="130"/>
      <c r="T9" s="126"/>
      <c r="U9" s="126"/>
      <c r="V9" s="131"/>
      <c r="W9" s="131"/>
      <c r="X9" s="23">
        <f>AVERAGE(S9,MAX(T9:U9),MAX(V9:W9))</f>
        <v>0</v>
      </c>
      <c r="Y9" s="20">
        <f t="shared" ref="Y9:Y62" si="0">SUM(J9,Q9,X9)/3</f>
        <v>2.8333333333333335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124">
        <v>20</v>
      </c>
      <c r="F10" s="125">
        <v>5</v>
      </c>
      <c r="G10" s="125"/>
      <c r="H10" s="126">
        <v>8</v>
      </c>
      <c r="I10" s="126"/>
      <c r="J10" s="127">
        <f>AVERAGE(E10,MAX(F10:G10),MAX(H10:I10))</f>
        <v>11</v>
      </c>
      <c r="K10" s="180" t="str">
        <f t="shared" ref="K10:K63" si="1">IF(J10&gt;=10,"TRANSITA","N/TRANSITA")</f>
        <v>TRANSITA</v>
      </c>
      <c r="L10" s="132">
        <v>10</v>
      </c>
      <c r="M10" s="133">
        <v>0</v>
      </c>
      <c r="N10" s="133"/>
      <c r="O10" s="133">
        <v>6</v>
      </c>
      <c r="P10" s="133"/>
      <c r="Q10" s="127">
        <f>AVERAGE(L10,MAX(M10:N10),MAX(O10:P10))</f>
        <v>5.333333333333333</v>
      </c>
      <c r="R10" s="180" t="str">
        <f t="shared" ref="R10:R63" si="2">IF(Q10&gt;=10,"TRANSITA","N/TRANSITA")</f>
        <v>N/TRANSITA</v>
      </c>
      <c r="S10" s="134"/>
      <c r="T10" s="135"/>
      <c r="U10" s="135"/>
      <c r="V10" s="136"/>
      <c r="W10" s="136"/>
      <c r="X10" s="23">
        <f>AVERAGE(S10,MAX(T10:U10),MAX(V10:W10))</f>
        <v>0</v>
      </c>
      <c r="Y10" s="21">
        <f t="shared" ref="Y10" si="3">SUM(J10,Q10,X10)/3</f>
        <v>5.4444444444444438</v>
      </c>
      <c r="Z10" s="180" t="str">
        <f t="shared" ref="Z10:Z63" si="4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124">
        <v>20</v>
      </c>
      <c r="F11" s="125">
        <v>8</v>
      </c>
      <c r="G11" s="125"/>
      <c r="H11" s="126">
        <v>10</v>
      </c>
      <c r="I11" s="126"/>
      <c r="J11" s="127">
        <f t="shared" ref="J11:J63" si="5">AVERAGE(E11,MAX(F11:G11),MAX(H11:I11))</f>
        <v>12.666666666666666</v>
      </c>
      <c r="K11" s="180" t="str">
        <f t="shared" si="1"/>
        <v>TRANSITA</v>
      </c>
      <c r="L11" s="132">
        <v>15</v>
      </c>
      <c r="M11" s="133">
        <v>15</v>
      </c>
      <c r="N11" s="133"/>
      <c r="O11" s="133">
        <v>4</v>
      </c>
      <c r="P11" s="133"/>
      <c r="Q11" s="127">
        <f t="shared" ref="Q11:Q63" si="6">AVERAGE(L11,MAX(M11:N11),MAX(O11:P11))</f>
        <v>11.333333333333334</v>
      </c>
      <c r="R11" s="180" t="str">
        <f t="shared" si="2"/>
        <v>TRANSITA</v>
      </c>
      <c r="S11" s="134"/>
      <c r="T11" s="135"/>
      <c r="U11" s="135"/>
      <c r="V11" s="136"/>
      <c r="W11" s="136"/>
      <c r="X11" s="23">
        <f t="shared" ref="X11:X60" si="7">AVERAGE(S11,MAX(T11:U11),MAX(V11:W11))</f>
        <v>0</v>
      </c>
      <c r="Y11" s="21">
        <f t="shared" ref="Y11:Y60" si="8">SUM(J11,Q11,X11)/3</f>
        <v>8</v>
      </c>
      <c r="Z11" s="180" t="str">
        <f t="shared" si="4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124">
        <v>20</v>
      </c>
      <c r="F12" s="125">
        <v>13</v>
      </c>
      <c r="G12" s="125"/>
      <c r="H12" s="126">
        <v>11</v>
      </c>
      <c r="I12" s="126"/>
      <c r="J12" s="127">
        <f t="shared" si="5"/>
        <v>14.666666666666666</v>
      </c>
      <c r="K12" s="180" t="str">
        <f t="shared" si="1"/>
        <v>TRANSITA</v>
      </c>
      <c r="L12" s="132">
        <v>14</v>
      </c>
      <c r="M12" s="133">
        <v>14</v>
      </c>
      <c r="N12" s="133"/>
      <c r="O12" s="133">
        <v>7</v>
      </c>
      <c r="P12" s="133"/>
      <c r="Q12" s="127">
        <f t="shared" si="6"/>
        <v>11.666666666666666</v>
      </c>
      <c r="R12" s="180" t="str">
        <f t="shared" si="2"/>
        <v>TRANSITA</v>
      </c>
      <c r="S12" s="134"/>
      <c r="T12" s="135"/>
      <c r="U12" s="135"/>
      <c r="V12" s="136"/>
      <c r="W12" s="136"/>
      <c r="X12" s="23">
        <f t="shared" si="7"/>
        <v>0</v>
      </c>
      <c r="Y12" s="21">
        <f t="shared" si="8"/>
        <v>8.7777777777777768</v>
      </c>
      <c r="Z12" s="180" t="str">
        <f t="shared" si="4"/>
        <v>N/TRANSITA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124">
        <v>20</v>
      </c>
      <c r="F13" s="125">
        <v>13</v>
      </c>
      <c r="G13" s="125"/>
      <c r="H13" s="126">
        <v>17</v>
      </c>
      <c r="I13" s="126"/>
      <c r="J13" s="127">
        <f t="shared" si="5"/>
        <v>16.666666666666668</v>
      </c>
      <c r="K13" s="180" t="str">
        <f t="shared" si="1"/>
        <v>TRANSITA</v>
      </c>
      <c r="L13" s="132">
        <v>10</v>
      </c>
      <c r="M13" s="133">
        <v>10</v>
      </c>
      <c r="N13" s="133"/>
      <c r="O13" s="133">
        <v>10</v>
      </c>
      <c r="P13" s="133"/>
      <c r="Q13" s="127">
        <f t="shared" si="6"/>
        <v>10</v>
      </c>
      <c r="R13" s="180" t="str">
        <f t="shared" si="2"/>
        <v>TRANSITA</v>
      </c>
      <c r="S13" s="134"/>
      <c r="T13" s="135"/>
      <c r="U13" s="135"/>
      <c r="V13" s="136"/>
      <c r="W13" s="136"/>
      <c r="X13" s="23">
        <f t="shared" si="7"/>
        <v>0</v>
      </c>
      <c r="Y13" s="21">
        <f t="shared" si="8"/>
        <v>8.8888888888888893</v>
      </c>
      <c r="Z13" s="180" t="str">
        <f t="shared" si="4"/>
        <v>N/TRANSITA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124">
        <v>0</v>
      </c>
      <c r="F14" s="125">
        <v>12</v>
      </c>
      <c r="G14" s="125"/>
      <c r="H14" s="126">
        <v>17.5</v>
      </c>
      <c r="I14" s="126"/>
      <c r="J14" s="127">
        <f t="shared" si="5"/>
        <v>9.8333333333333339</v>
      </c>
      <c r="K14" s="180" t="str">
        <f t="shared" si="1"/>
        <v>N/TRANSITA</v>
      </c>
      <c r="L14" s="132">
        <v>10</v>
      </c>
      <c r="M14" s="133">
        <v>9</v>
      </c>
      <c r="N14" s="133"/>
      <c r="O14" s="133">
        <v>8</v>
      </c>
      <c r="P14" s="133"/>
      <c r="Q14" s="127">
        <f t="shared" si="6"/>
        <v>9</v>
      </c>
      <c r="R14" s="180" t="str">
        <f t="shared" si="2"/>
        <v>N/TRANSITA</v>
      </c>
      <c r="S14" s="134"/>
      <c r="T14" s="135"/>
      <c r="U14" s="135"/>
      <c r="V14" s="136"/>
      <c r="W14" s="136"/>
      <c r="X14" s="23">
        <f t="shared" si="7"/>
        <v>0</v>
      </c>
      <c r="Y14" s="21">
        <f t="shared" si="8"/>
        <v>6.2777777777777786</v>
      </c>
      <c r="Z14" s="180" t="str">
        <f t="shared" si="4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124">
        <v>20</v>
      </c>
      <c r="F15" s="125">
        <v>10</v>
      </c>
      <c r="G15" s="125"/>
      <c r="H15" s="126">
        <v>5</v>
      </c>
      <c r="I15" s="126"/>
      <c r="J15" s="127">
        <f t="shared" si="5"/>
        <v>11.666666666666666</v>
      </c>
      <c r="K15" s="180" t="str">
        <f t="shared" si="1"/>
        <v>TRANSITA</v>
      </c>
      <c r="L15" s="132">
        <v>10</v>
      </c>
      <c r="M15" s="133">
        <v>12</v>
      </c>
      <c r="N15" s="133"/>
      <c r="O15" s="133">
        <v>12</v>
      </c>
      <c r="P15" s="133"/>
      <c r="Q15" s="127">
        <f t="shared" si="6"/>
        <v>11.333333333333334</v>
      </c>
      <c r="R15" s="180" t="str">
        <f t="shared" si="2"/>
        <v>TRANSITA</v>
      </c>
      <c r="S15" s="134"/>
      <c r="T15" s="135"/>
      <c r="U15" s="135"/>
      <c r="V15" s="136"/>
      <c r="W15" s="136"/>
      <c r="X15" s="23">
        <f t="shared" si="7"/>
        <v>0</v>
      </c>
      <c r="Y15" s="21">
        <f t="shared" si="8"/>
        <v>7.666666666666667</v>
      </c>
      <c r="Z15" s="180" t="str">
        <f t="shared" si="4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124">
        <v>0</v>
      </c>
      <c r="F16" s="125">
        <v>0</v>
      </c>
      <c r="G16" s="125"/>
      <c r="H16" s="126">
        <v>5</v>
      </c>
      <c r="I16" s="126"/>
      <c r="J16" s="127">
        <f t="shared" si="5"/>
        <v>1.6666666666666667</v>
      </c>
      <c r="K16" s="180">
        <f>O19</f>
        <v>8</v>
      </c>
      <c r="L16" s="132">
        <v>7</v>
      </c>
      <c r="M16" s="133">
        <v>9</v>
      </c>
      <c r="N16" s="133"/>
      <c r="O16" s="133">
        <v>1</v>
      </c>
      <c r="P16" s="133"/>
      <c r="Q16" s="127">
        <f t="shared" si="6"/>
        <v>5.666666666666667</v>
      </c>
      <c r="R16" s="180" t="str">
        <f t="shared" si="2"/>
        <v>N/TRANSITA</v>
      </c>
      <c r="S16" s="134"/>
      <c r="T16" s="135"/>
      <c r="U16" s="135"/>
      <c r="V16" s="136"/>
      <c r="W16" s="136"/>
      <c r="X16" s="23">
        <f t="shared" si="7"/>
        <v>0</v>
      </c>
      <c r="Y16" s="21">
        <f t="shared" si="8"/>
        <v>2.4444444444444446</v>
      </c>
      <c r="Z16" s="180" t="str">
        <f t="shared" si="4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124">
        <v>20</v>
      </c>
      <c r="F17" s="125">
        <v>10</v>
      </c>
      <c r="G17" s="125"/>
      <c r="H17" s="126">
        <v>5</v>
      </c>
      <c r="I17" s="126"/>
      <c r="J17" s="127">
        <f t="shared" si="5"/>
        <v>11.666666666666666</v>
      </c>
      <c r="K17" s="180" t="str">
        <f t="shared" si="1"/>
        <v>TRANSITA</v>
      </c>
      <c r="L17" s="132">
        <v>10</v>
      </c>
      <c r="M17" s="133">
        <v>14.5</v>
      </c>
      <c r="N17" s="133"/>
      <c r="O17" s="133">
        <v>10</v>
      </c>
      <c r="P17" s="133"/>
      <c r="Q17" s="127">
        <f t="shared" si="6"/>
        <v>11.5</v>
      </c>
      <c r="R17" s="180" t="str">
        <f t="shared" si="2"/>
        <v>TRANSITA</v>
      </c>
      <c r="S17" s="134"/>
      <c r="T17" s="135"/>
      <c r="U17" s="135"/>
      <c r="V17" s="136"/>
      <c r="W17" s="136"/>
      <c r="X17" s="23">
        <f t="shared" si="7"/>
        <v>0</v>
      </c>
      <c r="Y17" s="21">
        <f t="shared" si="8"/>
        <v>7.7222222222222214</v>
      </c>
      <c r="Z17" s="180" t="str">
        <f t="shared" si="4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124">
        <v>0</v>
      </c>
      <c r="F18" s="125">
        <v>8</v>
      </c>
      <c r="G18" s="125"/>
      <c r="H18" s="126">
        <v>6</v>
      </c>
      <c r="I18" s="126"/>
      <c r="J18" s="127">
        <f t="shared" si="5"/>
        <v>4.666666666666667</v>
      </c>
      <c r="K18" s="180" t="str">
        <f t="shared" si="1"/>
        <v>N/TRANSITA</v>
      </c>
      <c r="L18" s="132">
        <v>11</v>
      </c>
      <c r="M18" s="133">
        <v>9</v>
      </c>
      <c r="N18" s="133"/>
      <c r="O18" s="133"/>
      <c r="P18" s="133"/>
      <c r="Q18" s="127">
        <f t="shared" si="6"/>
        <v>6.666666666666667</v>
      </c>
      <c r="R18" s="180" t="str">
        <f t="shared" si="2"/>
        <v>N/TRANSITA</v>
      </c>
      <c r="S18" s="134"/>
      <c r="T18" s="135"/>
      <c r="U18" s="135"/>
      <c r="V18" s="136"/>
      <c r="W18" s="136"/>
      <c r="X18" s="23">
        <f t="shared" si="7"/>
        <v>0</v>
      </c>
      <c r="Y18" s="21">
        <f t="shared" si="8"/>
        <v>3.7777777777777781</v>
      </c>
      <c r="Z18" s="180" t="str">
        <f t="shared" si="4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124">
        <v>0</v>
      </c>
      <c r="F19" s="125">
        <v>6.5</v>
      </c>
      <c r="G19" s="125"/>
      <c r="H19" s="126">
        <v>5</v>
      </c>
      <c r="I19" s="126"/>
      <c r="J19" s="127">
        <f t="shared" si="5"/>
        <v>3.8333333333333335</v>
      </c>
      <c r="K19" s="180" t="str">
        <f t="shared" si="1"/>
        <v>N/TRANSITA</v>
      </c>
      <c r="L19" s="132">
        <v>13</v>
      </c>
      <c r="M19" s="133">
        <v>13</v>
      </c>
      <c r="N19" s="133"/>
      <c r="O19" s="133">
        <v>8</v>
      </c>
      <c r="P19" s="133"/>
      <c r="Q19" s="127">
        <f t="shared" si="6"/>
        <v>11.333333333333334</v>
      </c>
      <c r="R19" s="180" t="str">
        <f t="shared" si="2"/>
        <v>TRANSITA</v>
      </c>
      <c r="S19" s="134"/>
      <c r="T19" s="135"/>
      <c r="U19" s="135"/>
      <c r="V19" s="136"/>
      <c r="W19" s="136"/>
      <c r="X19" s="23">
        <f t="shared" si="7"/>
        <v>0</v>
      </c>
      <c r="Y19" s="21">
        <f t="shared" si="8"/>
        <v>5.0555555555555562</v>
      </c>
      <c r="Z19" s="180" t="str">
        <f t="shared" si="4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124">
        <v>20</v>
      </c>
      <c r="F20" s="125">
        <v>16</v>
      </c>
      <c r="G20" s="125"/>
      <c r="H20" s="126">
        <v>7.5</v>
      </c>
      <c r="I20" s="126"/>
      <c r="J20" s="127">
        <f t="shared" si="5"/>
        <v>14.5</v>
      </c>
      <c r="K20" s="180" t="str">
        <f t="shared" si="1"/>
        <v>TRANSITA</v>
      </c>
      <c r="L20" s="132">
        <v>15</v>
      </c>
      <c r="M20" s="133">
        <v>15</v>
      </c>
      <c r="N20" s="133"/>
      <c r="O20" s="133">
        <v>4</v>
      </c>
      <c r="P20" s="133"/>
      <c r="Q20" s="127">
        <f t="shared" si="6"/>
        <v>11.333333333333334</v>
      </c>
      <c r="R20" s="180" t="str">
        <f t="shared" si="2"/>
        <v>TRANSITA</v>
      </c>
      <c r="S20" s="134"/>
      <c r="T20" s="135"/>
      <c r="U20" s="135"/>
      <c r="V20" s="136"/>
      <c r="W20" s="136"/>
      <c r="X20" s="23">
        <f t="shared" si="7"/>
        <v>0</v>
      </c>
      <c r="Y20" s="21">
        <f t="shared" si="8"/>
        <v>8.6111111111111125</v>
      </c>
      <c r="Z20" s="180" t="str">
        <f t="shared" si="4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124">
        <v>20</v>
      </c>
      <c r="F21" s="125">
        <v>10</v>
      </c>
      <c r="G21" s="125"/>
      <c r="H21" s="126">
        <v>12.5</v>
      </c>
      <c r="I21" s="126"/>
      <c r="J21" s="127">
        <f t="shared" si="5"/>
        <v>14.166666666666666</v>
      </c>
      <c r="K21" s="180" t="str">
        <f t="shared" si="1"/>
        <v>TRANSITA</v>
      </c>
      <c r="L21" s="132">
        <v>10</v>
      </c>
      <c r="M21" s="133">
        <v>10</v>
      </c>
      <c r="N21" s="133"/>
      <c r="O21" s="133">
        <v>10</v>
      </c>
      <c r="P21" s="133"/>
      <c r="Q21" s="127">
        <f t="shared" si="6"/>
        <v>10</v>
      </c>
      <c r="R21" s="180" t="str">
        <f t="shared" si="2"/>
        <v>TRANSITA</v>
      </c>
      <c r="S21" s="134"/>
      <c r="T21" s="135"/>
      <c r="U21" s="135"/>
      <c r="V21" s="136"/>
      <c r="W21" s="136"/>
      <c r="X21" s="23">
        <f t="shared" si="7"/>
        <v>0</v>
      </c>
      <c r="Y21" s="21">
        <f t="shared" si="8"/>
        <v>8.0555555555555554</v>
      </c>
      <c r="Z21" s="180" t="str">
        <f t="shared" si="4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124">
        <v>20</v>
      </c>
      <c r="F22" s="125">
        <v>9</v>
      </c>
      <c r="G22" s="125"/>
      <c r="H22" s="126">
        <v>20</v>
      </c>
      <c r="I22" s="126"/>
      <c r="J22" s="127">
        <f t="shared" si="5"/>
        <v>16.333333333333332</v>
      </c>
      <c r="K22" s="180" t="str">
        <f t="shared" si="1"/>
        <v>TRANSITA</v>
      </c>
      <c r="L22" s="132">
        <v>11</v>
      </c>
      <c r="M22" s="133">
        <v>12.5</v>
      </c>
      <c r="N22" s="133"/>
      <c r="O22" s="133">
        <v>3</v>
      </c>
      <c r="P22" s="133"/>
      <c r="Q22" s="127">
        <f t="shared" si="6"/>
        <v>8.8333333333333339</v>
      </c>
      <c r="R22" s="180" t="str">
        <f t="shared" si="2"/>
        <v>N/TRANSITA</v>
      </c>
      <c r="S22" s="134"/>
      <c r="T22" s="135"/>
      <c r="U22" s="135"/>
      <c r="V22" s="136"/>
      <c r="W22" s="136"/>
      <c r="X22" s="23">
        <f t="shared" si="7"/>
        <v>0</v>
      </c>
      <c r="Y22" s="21">
        <f t="shared" si="8"/>
        <v>8.3888888888888875</v>
      </c>
      <c r="Z22" s="180" t="str">
        <f t="shared" si="4"/>
        <v>N/TRANSITA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124">
        <v>0</v>
      </c>
      <c r="F23" s="125">
        <v>10.5</v>
      </c>
      <c r="G23" s="125"/>
      <c r="H23" s="126">
        <v>2.5</v>
      </c>
      <c r="I23" s="126"/>
      <c r="J23" s="127">
        <f t="shared" si="5"/>
        <v>4.333333333333333</v>
      </c>
      <c r="K23" s="180" t="str">
        <f t="shared" si="1"/>
        <v>N/TRANSITA</v>
      </c>
      <c r="L23" s="132">
        <v>12</v>
      </c>
      <c r="M23" s="133">
        <v>13.5</v>
      </c>
      <c r="N23" s="133"/>
      <c r="O23" s="133">
        <v>8</v>
      </c>
      <c r="P23" s="133"/>
      <c r="Q23" s="127">
        <f t="shared" si="6"/>
        <v>11.166666666666666</v>
      </c>
      <c r="R23" s="180" t="str">
        <f t="shared" si="2"/>
        <v>TRANSITA</v>
      </c>
      <c r="S23" s="134"/>
      <c r="T23" s="135"/>
      <c r="U23" s="135"/>
      <c r="V23" s="136"/>
      <c r="W23" s="136"/>
      <c r="X23" s="23">
        <f t="shared" si="7"/>
        <v>0</v>
      </c>
      <c r="Y23" s="21">
        <f t="shared" si="8"/>
        <v>5.166666666666667</v>
      </c>
      <c r="Z23" s="180" t="str">
        <f t="shared" si="4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124">
        <v>0</v>
      </c>
      <c r="F24" s="125">
        <v>14</v>
      </c>
      <c r="G24" s="125"/>
      <c r="H24" s="126">
        <v>5</v>
      </c>
      <c r="I24" s="126"/>
      <c r="J24" s="127">
        <f t="shared" si="5"/>
        <v>6.333333333333333</v>
      </c>
      <c r="K24" s="180" t="str">
        <f t="shared" si="1"/>
        <v>N/TRANSITA</v>
      </c>
      <c r="L24" s="132">
        <v>10</v>
      </c>
      <c r="M24" s="133">
        <v>7</v>
      </c>
      <c r="N24" s="133"/>
      <c r="O24" s="133">
        <v>8</v>
      </c>
      <c r="P24" s="133"/>
      <c r="Q24" s="127">
        <f t="shared" si="6"/>
        <v>8.3333333333333339</v>
      </c>
      <c r="R24" s="180" t="str">
        <f t="shared" si="2"/>
        <v>N/TRANSITA</v>
      </c>
      <c r="S24" s="134"/>
      <c r="T24" s="135"/>
      <c r="U24" s="135"/>
      <c r="V24" s="136"/>
      <c r="W24" s="136"/>
      <c r="X24" s="23">
        <f t="shared" si="7"/>
        <v>0</v>
      </c>
      <c r="Y24" s="21">
        <f t="shared" si="8"/>
        <v>4.8888888888888893</v>
      </c>
      <c r="Z24" s="180" t="str">
        <f t="shared" si="4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124" t="s">
        <v>154</v>
      </c>
      <c r="F25" s="125">
        <v>11</v>
      </c>
      <c r="G25" s="125"/>
      <c r="H25" s="126">
        <v>0</v>
      </c>
      <c r="I25" s="126"/>
      <c r="J25" s="127">
        <f t="shared" si="5"/>
        <v>5.5</v>
      </c>
      <c r="K25" s="180" t="str">
        <f t="shared" si="1"/>
        <v>N/TRANSITA</v>
      </c>
      <c r="L25" s="132">
        <v>9</v>
      </c>
      <c r="M25" s="133">
        <v>7</v>
      </c>
      <c r="N25" s="133"/>
      <c r="O25" s="133">
        <v>4</v>
      </c>
      <c r="P25" s="133"/>
      <c r="Q25" s="127">
        <f t="shared" ref="Q25:Q26" si="9">AVERAGE(L25,MAX(M25:N25),MAX(O25:P25))</f>
        <v>6.666666666666667</v>
      </c>
      <c r="R25" s="180" t="str">
        <f t="shared" ref="R25:R26" si="10">IF(Q25&gt;=10,"TRANSITA","N/TRANSITA")</f>
        <v>N/TRANSITA</v>
      </c>
      <c r="S25" s="134"/>
      <c r="T25" s="135"/>
      <c r="U25" s="135"/>
      <c r="V25" s="136"/>
      <c r="W25" s="136"/>
      <c r="X25" s="23">
        <f t="shared" ref="X25:X26" si="11">AVERAGE(S25,MAX(T25:U25),MAX(V25:W25))</f>
        <v>0</v>
      </c>
      <c r="Y25" s="21">
        <f t="shared" ref="Y25:Y26" si="12">SUM(J25,Q25,X25)/3</f>
        <v>4.0555555555555562</v>
      </c>
      <c r="Z25" s="180" t="str">
        <f t="shared" ref="Z25:Z26" si="13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124">
        <v>0</v>
      </c>
      <c r="F26" s="125">
        <v>10</v>
      </c>
      <c r="G26" s="125"/>
      <c r="H26" s="126">
        <v>7.5</v>
      </c>
      <c r="I26" s="126"/>
      <c r="J26" s="127">
        <f t="shared" si="5"/>
        <v>5.833333333333333</v>
      </c>
      <c r="K26" s="180" t="str">
        <f t="shared" si="1"/>
        <v>N/TRANSITA</v>
      </c>
      <c r="L26" s="132">
        <v>9</v>
      </c>
      <c r="M26" s="133">
        <v>7</v>
      </c>
      <c r="N26" s="133"/>
      <c r="O26" s="133">
        <v>8</v>
      </c>
      <c r="P26" s="133"/>
      <c r="Q26" s="127">
        <f t="shared" si="9"/>
        <v>8</v>
      </c>
      <c r="R26" s="180" t="str">
        <f t="shared" si="10"/>
        <v>N/TRANSITA</v>
      </c>
      <c r="S26" s="134"/>
      <c r="T26" s="135"/>
      <c r="U26" s="135"/>
      <c r="V26" s="136"/>
      <c r="W26" s="136"/>
      <c r="X26" s="23">
        <f t="shared" si="11"/>
        <v>0</v>
      </c>
      <c r="Y26" s="21">
        <f t="shared" si="12"/>
        <v>4.6111111111111107</v>
      </c>
      <c r="Z26" s="180" t="str">
        <f t="shared" si="13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124">
        <v>16</v>
      </c>
      <c r="F27" s="125">
        <v>9</v>
      </c>
      <c r="G27" s="125"/>
      <c r="H27" s="126">
        <v>8</v>
      </c>
      <c r="I27" s="126"/>
      <c r="J27" s="127">
        <f t="shared" si="5"/>
        <v>11</v>
      </c>
      <c r="K27" s="180" t="str">
        <f t="shared" si="1"/>
        <v>TRANSITA</v>
      </c>
      <c r="L27" s="132">
        <v>10</v>
      </c>
      <c r="M27" s="133">
        <v>13.5</v>
      </c>
      <c r="N27" s="133"/>
      <c r="O27" s="133">
        <v>4</v>
      </c>
      <c r="P27" s="133"/>
      <c r="Q27" s="127">
        <f t="shared" si="6"/>
        <v>9.1666666666666661</v>
      </c>
      <c r="R27" s="180" t="str">
        <f t="shared" si="2"/>
        <v>N/TRANSITA</v>
      </c>
      <c r="S27" s="134"/>
      <c r="T27" s="135"/>
      <c r="U27" s="135"/>
      <c r="V27" s="136"/>
      <c r="W27" s="136"/>
      <c r="X27" s="23">
        <f t="shared" si="7"/>
        <v>0</v>
      </c>
      <c r="Y27" s="21">
        <f t="shared" si="8"/>
        <v>6.7222222222222214</v>
      </c>
      <c r="Z27" s="180" t="str">
        <f t="shared" si="4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124">
        <v>0</v>
      </c>
      <c r="F28" s="125">
        <v>0</v>
      </c>
      <c r="G28" s="125"/>
      <c r="H28" s="126">
        <v>5</v>
      </c>
      <c r="I28" s="126"/>
      <c r="J28" s="127">
        <f t="shared" si="5"/>
        <v>1.6666666666666667</v>
      </c>
      <c r="K28" s="180" t="str">
        <f t="shared" si="1"/>
        <v>N/TRANSITA</v>
      </c>
      <c r="L28" s="132"/>
      <c r="M28" s="133"/>
      <c r="N28" s="133"/>
      <c r="O28" s="133"/>
      <c r="P28" s="133"/>
      <c r="Q28" s="127">
        <f t="shared" si="6"/>
        <v>0</v>
      </c>
      <c r="R28" s="180" t="str">
        <f t="shared" si="2"/>
        <v>N/TRANSITA</v>
      </c>
      <c r="S28" s="134"/>
      <c r="T28" s="135"/>
      <c r="U28" s="135"/>
      <c r="V28" s="136"/>
      <c r="W28" s="136"/>
      <c r="X28" s="23">
        <f t="shared" si="7"/>
        <v>0</v>
      </c>
      <c r="Y28" s="21">
        <f t="shared" si="8"/>
        <v>0.55555555555555558</v>
      </c>
      <c r="Z28" s="180" t="str">
        <f t="shared" si="4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124">
        <v>0</v>
      </c>
      <c r="F29" s="125">
        <v>9</v>
      </c>
      <c r="G29" s="125"/>
      <c r="H29" s="126">
        <v>12.5</v>
      </c>
      <c r="I29" s="126"/>
      <c r="J29" s="127">
        <f t="shared" si="5"/>
        <v>7.166666666666667</v>
      </c>
      <c r="K29" s="180" t="str">
        <f t="shared" si="1"/>
        <v>N/TRANSITA</v>
      </c>
      <c r="L29" s="132">
        <v>7</v>
      </c>
      <c r="M29" s="133">
        <v>3.5</v>
      </c>
      <c r="N29" s="133"/>
      <c r="O29" s="133">
        <v>7</v>
      </c>
      <c r="P29" s="133"/>
      <c r="Q29" s="127">
        <f t="shared" si="6"/>
        <v>5.833333333333333</v>
      </c>
      <c r="R29" s="180" t="str">
        <f t="shared" si="2"/>
        <v>N/TRANSITA</v>
      </c>
      <c r="S29" s="134"/>
      <c r="T29" s="135"/>
      <c r="U29" s="135"/>
      <c r="V29" s="136"/>
      <c r="W29" s="136"/>
      <c r="X29" s="23">
        <f t="shared" si="7"/>
        <v>0</v>
      </c>
      <c r="Y29" s="21">
        <f t="shared" si="8"/>
        <v>4.333333333333333</v>
      </c>
      <c r="Z29" s="180" t="str">
        <f t="shared" si="4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124">
        <v>0</v>
      </c>
      <c r="F30" s="125">
        <v>9</v>
      </c>
      <c r="G30" s="125"/>
      <c r="H30" s="126">
        <v>7.5</v>
      </c>
      <c r="I30" s="126"/>
      <c r="J30" s="127">
        <f t="shared" si="5"/>
        <v>5.5</v>
      </c>
      <c r="K30" s="180" t="str">
        <f t="shared" si="1"/>
        <v>N/TRANSITA</v>
      </c>
      <c r="L30" s="132">
        <v>12</v>
      </c>
      <c r="M30" s="133">
        <v>14</v>
      </c>
      <c r="N30" s="133"/>
      <c r="O30" s="133">
        <v>7</v>
      </c>
      <c r="P30" s="133"/>
      <c r="Q30" s="127">
        <f t="shared" si="6"/>
        <v>11</v>
      </c>
      <c r="R30" s="180" t="str">
        <f t="shared" si="2"/>
        <v>TRANSITA</v>
      </c>
      <c r="S30" s="134"/>
      <c r="T30" s="135"/>
      <c r="U30" s="135"/>
      <c r="V30" s="136"/>
      <c r="W30" s="136"/>
      <c r="X30" s="23">
        <f t="shared" si="7"/>
        <v>0</v>
      </c>
      <c r="Y30" s="21">
        <f t="shared" si="8"/>
        <v>5.5</v>
      </c>
      <c r="Z30" s="180" t="str">
        <f t="shared" si="4"/>
        <v>N/TRANSITA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124"/>
      <c r="F31" s="125"/>
      <c r="G31" s="125"/>
      <c r="H31" s="126"/>
      <c r="I31" s="126"/>
      <c r="J31" s="127">
        <f t="shared" si="5"/>
        <v>0</v>
      </c>
      <c r="K31" s="180" t="str">
        <f t="shared" si="1"/>
        <v>N/TRANSITA</v>
      </c>
      <c r="L31" s="132">
        <v>11</v>
      </c>
      <c r="M31" s="133">
        <v>11</v>
      </c>
      <c r="N31" s="133"/>
      <c r="O31" s="133">
        <v>4</v>
      </c>
      <c r="P31" s="133"/>
      <c r="Q31" s="127">
        <f t="shared" ref="Q31" si="14">AVERAGE(L31,MAX(M31:N31),MAX(O31:P31))</f>
        <v>8.6666666666666661</v>
      </c>
      <c r="R31" s="180" t="str">
        <f t="shared" ref="R31" si="15">IF(Q31&gt;=10,"TRANSITA","N/TRANSITA")</f>
        <v>N/TRANSITA</v>
      </c>
      <c r="S31" s="134"/>
      <c r="T31" s="135"/>
      <c r="U31" s="135"/>
      <c r="V31" s="136"/>
      <c r="W31" s="136"/>
      <c r="X31" s="23">
        <f t="shared" ref="X31" si="16">AVERAGE(S31,MAX(T31:U31),MAX(V31:W31))</f>
        <v>0</v>
      </c>
      <c r="Y31" s="21">
        <f t="shared" ref="Y31" si="17">SUM(J31,Q31,X31)/3</f>
        <v>2.8888888888888888</v>
      </c>
      <c r="Z31" s="180" t="str">
        <f t="shared" ref="Z31" si="18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124">
        <v>20</v>
      </c>
      <c r="F32" s="125">
        <v>10</v>
      </c>
      <c r="G32" s="125"/>
      <c r="H32" s="126">
        <v>2.5</v>
      </c>
      <c r="I32" s="126"/>
      <c r="J32" s="127">
        <f t="shared" si="5"/>
        <v>10.833333333333334</v>
      </c>
      <c r="K32" s="180" t="str">
        <f t="shared" si="1"/>
        <v>TRANSITA</v>
      </c>
      <c r="L32" s="132">
        <v>10</v>
      </c>
      <c r="M32" s="133">
        <v>17</v>
      </c>
      <c r="N32" s="133"/>
      <c r="O32" s="133">
        <v>4</v>
      </c>
      <c r="P32" s="133"/>
      <c r="Q32" s="127">
        <f t="shared" ref="Q32:Q48" si="19">AVERAGE(L32,MAX(M32:N32),MAX(O32:P32))</f>
        <v>10.333333333333334</v>
      </c>
      <c r="R32" s="180" t="str">
        <f t="shared" si="2"/>
        <v>TRANSITA</v>
      </c>
      <c r="S32" s="134"/>
      <c r="T32" s="135"/>
      <c r="U32" s="135"/>
      <c r="V32" s="136"/>
      <c r="W32" s="136"/>
      <c r="X32" s="23">
        <f t="shared" ref="X32:X48" si="20">AVERAGE(S32,MAX(T32:U32),MAX(V32:W32))</f>
        <v>0</v>
      </c>
      <c r="Y32" s="21">
        <f t="shared" ref="Y32:Y48" si="21">SUM(J32,Q32,X32)/3</f>
        <v>7.0555555555555562</v>
      </c>
      <c r="Z32" s="180" t="str">
        <f t="shared" si="4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124">
        <v>20</v>
      </c>
      <c r="F33" s="125">
        <v>10</v>
      </c>
      <c r="G33" s="125"/>
      <c r="H33" s="126">
        <v>10</v>
      </c>
      <c r="I33" s="126"/>
      <c r="J33" s="127">
        <f t="shared" si="5"/>
        <v>13.333333333333334</v>
      </c>
      <c r="K33" s="180" t="str">
        <f t="shared" si="1"/>
        <v>TRANSITA</v>
      </c>
      <c r="L33" s="132">
        <v>15</v>
      </c>
      <c r="M33" s="133">
        <v>15</v>
      </c>
      <c r="N33" s="133"/>
      <c r="O33" s="133">
        <v>0</v>
      </c>
      <c r="P33" s="133"/>
      <c r="Q33" s="127">
        <f t="shared" si="19"/>
        <v>10</v>
      </c>
      <c r="R33" s="180" t="str">
        <f t="shared" si="2"/>
        <v>TRANSITA</v>
      </c>
      <c r="S33" s="134"/>
      <c r="T33" s="135"/>
      <c r="U33" s="135"/>
      <c r="V33" s="136"/>
      <c r="W33" s="136"/>
      <c r="X33" s="23">
        <f t="shared" si="20"/>
        <v>0</v>
      </c>
      <c r="Y33" s="21">
        <f t="shared" si="21"/>
        <v>7.7777777777777786</v>
      </c>
      <c r="Z33" s="180" t="str">
        <f t="shared" si="4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124">
        <v>20</v>
      </c>
      <c r="F34" s="125">
        <v>16</v>
      </c>
      <c r="G34" s="125"/>
      <c r="H34" s="126">
        <v>10</v>
      </c>
      <c r="I34" s="126"/>
      <c r="J34" s="127">
        <f t="shared" si="5"/>
        <v>15.333333333333334</v>
      </c>
      <c r="K34" s="180" t="str">
        <f t="shared" si="1"/>
        <v>TRANSITA</v>
      </c>
      <c r="L34" s="132">
        <v>10</v>
      </c>
      <c r="M34" s="133">
        <v>16</v>
      </c>
      <c r="N34" s="133"/>
      <c r="O34" s="133">
        <v>12</v>
      </c>
      <c r="P34" s="133"/>
      <c r="Q34" s="127">
        <f t="shared" si="19"/>
        <v>12.666666666666666</v>
      </c>
      <c r="R34" s="180" t="str">
        <f t="shared" si="2"/>
        <v>TRANSITA</v>
      </c>
      <c r="S34" s="134"/>
      <c r="T34" s="135"/>
      <c r="U34" s="135"/>
      <c r="V34" s="136"/>
      <c r="W34" s="136"/>
      <c r="X34" s="23">
        <f t="shared" si="20"/>
        <v>0</v>
      </c>
      <c r="Y34" s="21">
        <f t="shared" si="21"/>
        <v>9.3333333333333339</v>
      </c>
      <c r="Z34" s="180" t="str">
        <f t="shared" si="4"/>
        <v>N/TRANSITA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124">
        <v>0</v>
      </c>
      <c r="F35" s="125">
        <v>6</v>
      </c>
      <c r="G35" s="125"/>
      <c r="H35" s="126">
        <v>7.5</v>
      </c>
      <c r="I35" s="126"/>
      <c r="J35" s="127">
        <f t="shared" si="5"/>
        <v>4.5</v>
      </c>
      <c r="K35" s="180" t="str">
        <f t="shared" si="1"/>
        <v>N/TRANSITA</v>
      </c>
      <c r="L35" s="132"/>
      <c r="M35" s="133"/>
      <c r="N35" s="133"/>
      <c r="O35" s="133"/>
      <c r="P35" s="133"/>
      <c r="Q35" s="127">
        <f t="shared" si="19"/>
        <v>0</v>
      </c>
      <c r="R35" s="180" t="str">
        <f t="shared" si="2"/>
        <v>N/TRANSITA</v>
      </c>
      <c r="S35" s="134"/>
      <c r="T35" s="135"/>
      <c r="U35" s="135"/>
      <c r="V35" s="136"/>
      <c r="W35" s="136"/>
      <c r="X35" s="23">
        <f t="shared" si="20"/>
        <v>0</v>
      </c>
      <c r="Y35" s="21">
        <f t="shared" si="21"/>
        <v>1.5</v>
      </c>
      <c r="Z35" s="180" t="str">
        <f t="shared" si="4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124">
        <v>20</v>
      </c>
      <c r="F36" s="125">
        <v>6</v>
      </c>
      <c r="G36" s="125"/>
      <c r="H36" s="126">
        <v>12.5</v>
      </c>
      <c r="I36" s="126"/>
      <c r="J36" s="127">
        <f t="shared" si="5"/>
        <v>12.833333333333334</v>
      </c>
      <c r="K36" s="180" t="str">
        <f t="shared" si="1"/>
        <v>TRANSITA</v>
      </c>
      <c r="L36" s="132">
        <v>12</v>
      </c>
      <c r="M36" s="133">
        <v>12.5</v>
      </c>
      <c r="N36" s="133"/>
      <c r="O36" s="133">
        <v>17</v>
      </c>
      <c r="P36" s="133"/>
      <c r="Q36" s="127">
        <f t="shared" si="19"/>
        <v>13.833333333333334</v>
      </c>
      <c r="R36" s="180" t="str">
        <f t="shared" si="2"/>
        <v>TRANSITA</v>
      </c>
      <c r="S36" s="134"/>
      <c r="T36" s="135"/>
      <c r="U36" s="135"/>
      <c r="V36" s="136"/>
      <c r="W36" s="136"/>
      <c r="X36" s="23">
        <f t="shared" si="20"/>
        <v>0</v>
      </c>
      <c r="Y36" s="21">
        <f t="shared" si="21"/>
        <v>8.8888888888888893</v>
      </c>
      <c r="Z36" s="180" t="str">
        <f t="shared" si="4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124">
        <v>20</v>
      </c>
      <c r="F37" s="125">
        <v>16</v>
      </c>
      <c r="G37" s="125"/>
      <c r="H37" s="126">
        <v>16</v>
      </c>
      <c r="I37" s="126"/>
      <c r="J37" s="127">
        <f t="shared" si="5"/>
        <v>17.333333333333332</v>
      </c>
      <c r="K37" s="180" t="str">
        <f t="shared" si="1"/>
        <v>TRANSITA</v>
      </c>
      <c r="L37" s="132">
        <v>8</v>
      </c>
      <c r="M37" s="133">
        <v>13</v>
      </c>
      <c r="N37" s="133"/>
      <c r="O37" s="133">
        <v>9</v>
      </c>
      <c r="P37" s="133"/>
      <c r="Q37" s="127">
        <f t="shared" si="19"/>
        <v>10</v>
      </c>
      <c r="R37" s="180" t="str">
        <f t="shared" si="2"/>
        <v>TRANSITA</v>
      </c>
      <c r="S37" s="134"/>
      <c r="T37" s="135"/>
      <c r="U37" s="135"/>
      <c r="V37" s="136"/>
      <c r="W37" s="136"/>
      <c r="X37" s="23">
        <f t="shared" si="20"/>
        <v>0</v>
      </c>
      <c r="Y37" s="21">
        <f t="shared" si="21"/>
        <v>9.1111111111111107</v>
      </c>
      <c r="Z37" s="180" t="str">
        <f t="shared" si="4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124">
        <v>20</v>
      </c>
      <c r="F38" s="125">
        <v>9</v>
      </c>
      <c r="G38" s="125"/>
      <c r="H38" s="126">
        <v>2.5</v>
      </c>
      <c r="I38" s="126"/>
      <c r="J38" s="127">
        <f t="shared" si="5"/>
        <v>10.5</v>
      </c>
      <c r="K38" s="180" t="str">
        <f t="shared" si="1"/>
        <v>TRANSITA</v>
      </c>
      <c r="L38" s="132">
        <v>10</v>
      </c>
      <c r="M38" s="133">
        <v>16.5</v>
      </c>
      <c r="N38" s="133"/>
      <c r="O38" s="133">
        <v>4</v>
      </c>
      <c r="P38" s="133"/>
      <c r="Q38" s="127">
        <f t="shared" si="19"/>
        <v>10.166666666666666</v>
      </c>
      <c r="R38" s="180" t="str">
        <f t="shared" si="2"/>
        <v>TRANSITA</v>
      </c>
      <c r="S38" s="134"/>
      <c r="T38" s="135"/>
      <c r="U38" s="135"/>
      <c r="V38" s="136"/>
      <c r="W38" s="136"/>
      <c r="X38" s="23">
        <f t="shared" si="20"/>
        <v>0</v>
      </c>
      <c r="Y38" s="21">
        <f t="shared" si="21"/>
        <v>6.8888888888888884</v>
      </c>
      <c r="Z38" s="180" t="str">
        <f t="shared" si="4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124"/>
      <c r="F39" s="125"/>
      <c r="G39" s="125"/>
      <c r="H39" s="126"/>
      <c r="I39" s="126"/>
      <c r="J39" s="127">
        <f t="shared" si="5"/>
        <v>0</v>
      </c>
      <c r="K39" s="180" t="str">
        <f t="shared" si="1"/>
        <v>N/TRANSITA</v>
      </c>
      <c r="L39" s="132">
        <v>12</v>
      </c>
      <c r="M39" s="133">
        <v>12.5</v>
      </c>
      <c r="N39" s="133"/>
      <c r="O39" s="133">
        <v>1</v>
      </c>
      <c r="P39" s="133"/>
      <c r="Q39" s="127">
        <f t="shared" ref="Q39:Q43" si="22">AVERAGE(L39,MAX(M39:N39),MAX(O39:P39))</f>
        <v>8.5</v>
      </c>
      <c r="R39" s="180" t="str">
        <f t="shared" ref="R39:R43" si="23">IF(Q39&gt;=10,"TRANSITA","N/TRANSITA")</f>
        <v>N/TRANSITA</v>
      </c>
      <c r="S39" s="134"/>
      <c r="T39" s="135"/>
      <c r="U39" s="135"/>
      <c r="V39" s="136"/>
      <c r="W39" s="136"/>
      <c r="X39" s="23">
        <f t="shared" ref="X39:X43" si="24">AVERAGE(S39,MAX(T39:U39),MAX(V39:W39))</f>
        <v>0</v>
      </c>
      <c r="Y39" s="21">
        <f t="shared" ref="Y39:Y43" si="25">SUM(J39,Q39,X39)/3</f>
        <v>2.8333333333333335</v>
      </c>
      <c r="Z39" s="180" t="str">
        <f t="shared" ref="Z39:Z43" si="26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124"/>
      <c r="F40" s="125"/>
      <c r="G40" s="125"/>
      <c r="H40" s="126"/>
      <c r="I40" s="126"/>
      <c r="J40" s="127">
        <f t="shared" si="5"/>
        <v>0</v>
      </c>
      <c r="K40" s="180" t="str">
        <f t="shared" si="1"/>
        <v>N/TRANSITA</v>
      </c>
      <c r="L40" s="132">
        <v>17</v>
      </c>
      <c r="M40" s="133">
        <v>17</v>
      </c>
      <c r="N40" s="133"/>
      <c r="O40" s="133">
        <v>0</v>
      </c>
      <c r="P40" s="133"/>
      <c r="Q40" s="127">
        <f t="shared" si="22"/>
        <v>11.333333333333334</v>
      </c>
      <c r="R40" s="180" t="str">
        <f t="shared" si="23"/>
        <v>TRANSITA</v>
      </c>
      <c r="S40" s="134"/>
      <c r="T40" s="135"/>
      <c r="U40" s="135"/>
      <c r="V40" s="136"/>
      <c r="W40" s="136"/>
      <c r="X40" s="23">
        <f t="shared" si="24"/>
        <v>0</v>
      </c>
      <c r="Y40" s="21">
        <f t="shared" si="25"/>
        <v>3.7777777777777781</v>
      </c>
      <c r="Z40" s="180" t="str">
        <f t="shared" si="26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124">
        <v>0</v>
      </c>
      <c r="F41" s="125">
        <v>0</v>
      </c>
      <c r="G41" s="125"/>
      <c r="H41" s="126">
        <v>5.5</v>
      </c>
      <c r="I41" s="126"/>
      <c r="J41" s="127">
        <f t="shared" si="5"/>
        <v>1.8333333333333333</v>
      </c>
      <c r="K41" s="180" t="str">
        <f t="shared" si="1"/>
        <v>N/TRANSITA</v>
      </c>
      <c r="L41" s="132">
        <v>9</v>
      </c>
      <c r="M41" s="133">
        <v>7</v>
      </c>
      <c r="N41" s="133"/>
      <c r="O41" s="133">
        <v>8</v>
      </c>
      <c r="P41" s="133"/>
      <c r="Q41" s="127">
        <f t="shared" si="22"/>
        <v>8</v>
      </c>
      <c r="R41" s="180" t="str">
        <f t="shared" si="23"/>
        <v>N/TRANSITA</v>
      </c>
      <c r="S41" s="134"/>
      <c r="T41" s="135"/>
      <c r="U41" s="135"/>
      <c r="V41" s="136"/>
      <c r="W41" s="136"/>
      <c r="X41" s="23">
        <f t="shared" si="24"/>
        <v>0</v>
      </c>
      <c r="Y41" s="21">
        <f t="shared" si="25"/>
        <v>3.2777777777777781</v>
      </c>
      <c r="Z41" s="180" t="str">
        <f t="shared" si="26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124">
        <v>20</v>
      </c>
      <c r="F42" s="125">
        <v>10</v>
      </c>
      <c r="G42" s="125"/>
      <c r="H42" s="126">
        <v>7.5</v>
      </c>
      <c r="I42" s="126"/>
      <c r="J42" s="127">
        <f t="shared" si="5"/>
        <v>12.5</v>
      </c>
      <c r="K42" s="180" t="str">
        <f t="shared" si="1"/>
        <v>TRANSITA</v>
      </c>
      <c r="L42" s="132">
        <v>10</v>
      </c>
      <c r="M42" s="133">
        <v>2</v>
      </c>
      <c r="N42" s="133"/>
      <c r="O42" s="133">
        <v>10</v>
      </c>
      <c r="P42" s="133"/>
      <c r="Q42" s="127">
        <f t="shared" si="22"/>
        <v>7.333333333333333</v>
      </c>
      <c r="R42" s="180" t="str">
        <f t="shared" si="23"/>
        <v>N/TRANSITA</v>
      </c>
      <c r="S42" s="134"/>
      <c r="T42" s="135"/>
      <c r="U42" s="135"/>
      <c r="V42" s="136"/>
      <c r="W42" s="136"/>
      <c r="X42" s="23">
        <f t="shared" si="24"/>
        <v>0</v>
      </c>
      <c r="Y42" s="21">
        <f t="shared" si="25"/>
        <v>6.6111111111111107</v>
      </c>
      <c r="Z42" s="180" t="str">
        <f t="shared" si="26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124">
        <v>20</v>
      </c>
      <c r="F43" s="125">
        <v>5</v>
      </c>
      <c r="G43" s="125"/>
      <c r="H43" s="126">
        <v>13.5</v>
      </c>
      <c r="I43" s="126"/>
      <c r="J43" s="127">
        <f t="shared" si="5"/>
        <v>12.833333333333334</v>
      </c>
      <c r="K43" s="180" t="str">
        <f t="shared" si="1"/>
        <v>TRANSITA</v>
      </c>
      <c r="L43" s="132">
        <v>14</v>
      </c>
      <c r="M43" s="133">
        <v>11</v>
      </c>
      <c r="N43" s="133"/>
      <c r="O43" s="133">
        <v>5</v>
      </c>
      <c r="P43" s="133"/>
      <c r="Q43" s="127">
        <f t="shared" si="22"/>
        <v>10</v>
      </c>
      <c r="R43" s="180" t="str">
        <f t="shared" si="23"/>
        <v>TRANSITA</v>
      </c>
      <c r="S43" s="134"/>
      <c r="T43" s="135"/>
      <c r="U43" s="135"/>
      <c r="V43" s="136"/>
      <c r="W43" s="136"/>
      <c r="X43" s="23">
        <f t="shared" si="24"/>
        <v>0</v>
      </c>
      <c r="Y43" s="21">
        <f t="shared" si="25"/>
        <v>7.6111111111111116</v>
      </c>
      <c r="Z43" s="180" t="str">
        <f t="shared" si="26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124">
        <v>20</v>
      </c>
      <c r="F44" s="125">
        <v>13</v>
      </c>
      <c r="G44" s="125"/>
      <c r="H44" s="126">
        <v>9.5</v>
      </c>
      <c r="I44" s="126"/>
      <c r="J44" s="127">
        <f t="shared" si="5"/>
        <v>14.166666666666666</v>
      </c>
      <c r="K44" s="180" t="str">
        <f t="shared" si="1"/>
        <v>TRANSITA</v>
      </c>
      <c r="L44" s="132">
        <v>9</v>
      </c>
      <c r="M44" s="133">
        <v>7</v>
      </c>
      <c r="N44" s="133"/>
      <c r="O44" s="133">
        <v>12</v>
      </c>
      <c r="P44" s="133"/>
      <c r="Q44" s="127">
        <f t="shared" si="19"/>
        <v>9.3333333333333339</v>
      </c>
      <c r="R44" s="180" t="str">
        <f t="shared" si="2"/>
        <v>N/TRANSITA</v>
      </c>
      <c r="S44" s="134"/>
      <c r="T44" s="135"/>
      <c r="U44" s="135"/>
      <c r="V44" s="136"/>
      <c r="W44" s="136"/>
      <c r="X44" s="23">
        <f t="shared" si="20"/>
        <v>0</v>
      </c>
      <c r="Y44" s="21">
        <f t="shared" si="21"/>
        <v>7.833333333333333</v>
      </c>
      <c r="Z44" s="180" t="str">
        <f t="shared" si="4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124">
        <v>20</v>
      </c>
      <c r="F45" s="125">
        <v>9</v>
      </c>
      <c r="G45" s="125"/>
      <c r="H45" s="126">
        <v>10</v>
      </c>
      <c r="I45" s="126"/>
      <c r="J45" s="127">
        <f t="shared" si="5"/>
        <v>13</v>
      </c>
      <c r="K45" s="180" t="str">
        <f t="shared" si="1"/>
        <v>TRANSITA</v>
      </c>
      <c r="L45" s="132">
        <v>10</v>
      </c>
      <c r="M45" s="133">
        <v>4</v>
      </c>
      <c r="N45" s="133"/>
      <c r="O45" s="133">
        <v>12</v>
      </c>
      <c r="P45" s="133"/>
      <c r="Q45" s="127">
        <f t="shared" si="19"/>
        <v>8.6666666666666661</v>
      </c>
      <c r="R45" s="180" t="str">
        <f t="shared" si="2"/>
        <v>N/TRANSITA</v>
      </c>
      <c r="S45" s="134"/>
      <c r="T45" s="135"/>
      <c r="U45" s="135"/>
      <c r="V45" s="136"/>
      <c r="W45" s="136"/>
      <c r="X45" s="23">
        <f t="shared" si="20"/>
        <v>0</v>
      </c>
      <c r="Y45" s="21">
        <f t="shared" si="21"/>
        <v>7.2222222222222214</v>
      </c>
      <c r="Z45" s="180" t="str">
        <f t="shared" si="4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124"/>
      <c r="F46" s="125"/>
      <c r="G46" s="125"/>
      <c r="H46" s="126"/>
      <c r="I46" s="126"/>
      <c r="J46" s="127">
        <f t="shared" si="5"/>
        <v>0</v>
      </c>
      <c r="K46" s="180" t="str">
        <f t="shared" si="1"/>
        <v>N/TRANSITA</v>
      </c>
      <c r="L46" s="132">
        <v>11</v>
      </c>
      <c r="M46" s="133">
        <v>5</v>
      </c>
      <c r="N46" s="133"/>
      <c r="O46" s="133">
        <v>6</v>
      </c>
      <c r="P46" s="133"/>
      <c r="Q46" s="127">
        <f t="shared" ref="Q46:Q47" si="27">AVERAGE(L46,MAX(M46:N46),MAX(O46:P46))</f>
        <v>7.333333333333333</v>
      </c>
      <c r="R46" s="180" t="str">
        <f t="shared" ref="R46:R47" si="28">IF(Q46&gt;=10,"TRANSITA","N/TRANSITA")</f>
        <v>N/TRANSITA</v>
      </c>
      <c r="S46" s="134"/>
      <c r="T46" s="135"/>
      <c r="U46" s="135"/>
      <c r="V46" s="136"/>
      <c r="W46" s="136"/>
      <c r="X46" s="23">
        <f t="shared" ref="X46:X47" si="29">AVERAGE(S46,MAX(T46:U46),MAX(V46:W46))</f>
        <v>0</v>
      </c>
      <c r="Y46" s="21">
        <f t="shared" ref="Y46:Y47" si="30">SUM(J46,Q46,X46)/3</f>
        <v>2.4444444444444442</v>
      </c>
      <c r="Z46" s="180" t="str">
        <f t="shared" ref="Z46:Z47" si="31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124">
        <v>10</v>
      </c>
      <c r="F47" s="125">
        <v>13</v>
      </c>
      <c r="G47" s="125"/>
      <c r="H47" s="126">
        <v>7.5</v>
      </c>
      <c r="I47" s="126"/>
      <c r="J47" s="127">
        <f t="shared" si="5"/>
        <v>10.166666666666666</v>
      </c>
      <c r="K47" s="180" t="str">
        <f t="shared" si="1"/>
        <v>TRANSITA</v>
      </c>
      <c r="L47" s="132">
        <v>12</v>
      </c>
      <c r="M47" s="133">
        <v>12</v>
      </c>
      <c r="N47" s="133"/>
      <c r="O47" s="133">
        <v>10</v>
      </c>
      <c r="P47" s="133"/>
      <c r="Q47" s="127">
        <f t="shared" si="27"/>
        <v>11.333333333333334</v>
      </c>
      <c r="R47" s="180" t="str">
        <f t="shared" si="28"/>
        <v>TRANSITA</v>
      </c>
      <c r="S47" s="134"/>
      <c r="T47" s="135"/>
      <c r="U47" s="135"/>
      <c r="V47" s="136"/>
      <c r="W47" s="136"/>
      <c r="X47" s="23">
        <f t="shared" si="29"/>
        <v>0</v>
      </c>
      <c r="Y47" s="21">
        <f t="shared" si="30"/>
        <v>7.166666666666667</v>
      </c>
      <c r="Z47" s="180" t="str">
        <f t="shared" si="31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124">
        <v>20</v>
      </c>
      <c r="F48" s="125">
        <v>15</v>
      </c>
      <c r="G48" s="125"/>
      <c r="H48" s="126">
        <v>12.5</v>
      </c>
      <c r="I48" s="126"/>
      <c r="J48" s="127">
        <f t="shared" si="5"/>
        <v>15.833333333333334</v>
      </c>
      <c r="K48" s="180" t="str">
        <f t="shared" si="1"/>
        <v>TRANSITA</v>
      </c>
      <c r="L48" s="132">
        <v>12</v>
      </c>
      <c r="M48" s="133">
        <v>12</v>
      </c>
      <c r="N48" s="133"/>
      <c r="O48" s="133">
        <v>6</v>
      </c>
      <c r="P48" s="133"/>
      <c r="Q48" s="127">
        <f t="shared" si="19"/>
        <v>10</v>
      </c>
      <c r="R48" s="180" t="str">
        <f t="shared" si="2"/>
        <v>TRANSITA</v>
      </c>
      <c r="S48" s="134"/>
      <c r="T48" s="135"/>
      <c r="U48" s="135"/>
      <c r="V48" s="136"/>
      <c r="W48" s="136"/>
      <c r="X48" s="23">
        <f t="shared" si="20"/>
        <v>0</v>
      </c>
      <c r="Y48" s="21">
        <f t="shared" si="21"/>
        <v>8.6111111111111125</v>
      </c>
      <c r="Z48" s="180" t="str">
        <f t="shared" si="4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124"/>
      <c r="F49" s="125"/>
      <c r="G49" s="125"/>
      <c r="H49" s="126"/>
      <c r="I49" s="126"/>
      <c r="J49" s="127">
        <f t="shared" si="5"/>
        <v>0</v>
      </c>
      <c r="K49" s="180" t="str">
        <f t="shared" si="1"/>
        <v>N/TRANSITA</v>
      </c>
      <c r="L49" s="132"/>
      <c r="M49" s="133"/>
      <c r="N49" s="133"/>
      <c r="O49" s="133"/>
      <c r="P49" s="133"/>
      <c r="Q49" s="127">
        <f t="shared" si="6"/>
        <v>0</v>
      </c>
      <c r="R49" s="180" t="str">
        <f t="shared" si="2"/>
        <v>N/TRANSITA</v>
      </c>
      <c r="S49" s="134"/>
      <c r="T49" s="135"/>
      <c r="U49" s="135"/>
      <c r="V49" s="136"/>
      <c r="W49" s="136"/>
      <c r="X49" s="23">
        <f t="shared" si="7"/>
        <v>0</v>
      </c>
      <c r="Y49" s="21">
        <f t="shared" si="8"/>
        <v>0</v>
      </c>
      <c r="Z49" s="180" t="str">
        <f t="shared" si="4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124">
        <v>20</v>
      </c>
      <c r="F50" s="125">
        <v>5</v>
      </c>
      <c r="G50" s="125"/>
      <c r="H50" s="126">
        <v>1</v>
      </c>
      <c r="I50" s="126"/>
      <c r="J50" s="127">
        <f t="shared" si="5"/>
        <v>8.6666666666666661</v>
      </c>
      <c r="K50" s="180" t="str">
        <f t="shared" si="1"/>
        <v>N/TRANSITA</v>
      </c>
      <c r="L50" s="132">
        <v>7</v>
      </c>
      <c r="M50" s="133">
        <v>0</v>
      </c>
      <c r="N50" s="133"/>
      <c r="O50" s="133">
        <v>6</v>
      </c>
      <c r="P50" s="133"/>
      <c r="Q50" s="127">
        <f t="shared" si="6"/>
        <v>4.333333333333333</v>
      </c>
      <c r="R50" s="180" t="str">
        <f t="shared" si="2"/>
        <v>N/TRANSITA</v>
      </c>
      <c r="S50" s="134"/>
      <c r="T50" s="135"/>
      <c r="U50" s="135"/>
      <c r="V50" s="136"/>
      <c r="W50" s="136"/>
      <c r="X50" s="23">
        <f t="shared" si="7"/>
        <v>0</v>
      </c>
      <c r="Y50" s="21">
        <f t="shared" si="8"/>
        <v>4.333333333333333</v>
      </c>
      <c r="Z50" s="180" t="str">
        <f t="shared" si="4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124">
        <v>20</v>
      </c>
      <c r="F51" s="125">
        <v>10</v>
      </c>
      <c r="G51" s="125"/>
      <c r="H51" s="126">
        <v>12</v>
      </c>
      <c r="I51" s="126"/>
      <c r="J51" s="127">
        <f t="shared" si="5"/>
        <v>14</v>
      </c>
      <c r="K51" s="180" t="str">
        <f t="shared" si="1"/>
        <v>TRANSITA</v>
      </c>
      <c r="L51" s="132">
        <v>11</v>
      </c>
      <c r="M51" s="133">
        <v>6.5</v>
      </c>
      <c r="N51" s="133"/>
      <c r="O51" s="133">
        <v>8</v>
      </c>
      <c r="P51" s="133"/>
      <c r="Q51" s="127">
        <f t="shared" si="6"/>
        <v>8.5</v>
      </c>
      <c r="R51" s="180" t="str">
        <f t="shared" si="2"/>
        <v>N/TRANSITA</v>
      </c>
      <c r="S51" s="134"/>
      <c r="T51" s="135"/>
      <c r="U51" s="135"/>
      <c r="V51" s="136"/>
      <c r="W51" s="136"/>
      <c r="X51" s="23">
        <f t="shared" si="7"/>
        <v>0</v>
      </c>
      <c r="Y51" s="21">
        <f t="shared" si="8"/>
        <v>7.5</v>
      </c>
      <c r="Z51" s="180" t="str">
        <f t="shared" si="4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124">
        <v>20</v>
      </c>
      <c r="F52" s="125">
        <v>0</v>
      </c>
      <c r="G52" s="125"/>
      <c r="H52" s="126">
        <v>2.5</v>
      </c>
      <c r="I52" s="126"/>
      <c r="J52" s="127">
        <f t="shared" si="5"/>
        <v>7.5</v>
      </c>
      <c r="K52" s="180" t="str">
        <f t="shared" si="1"/>
        <v>N/TRANSITA</v>
      </c>
      <c r="L52" s="132"/>
      <c r="M52" s="133"/>
      <c r="N52" s="133"/>
      <c r="O52" s="133"/>
      <c r="P52" s="133"/>
      <c r="Q52" s="127">
        <f t="shared" si="6"/>
        <v>0</v>
      </c>
      <c r="R52" s="180" t="str">
        <f t="shared" si="2"/>
        <v>N/TRANSITA</v>
      </c>
      <c r="S52" s="134"/>
      <c r="T52" s="135"/>
      <c r="U52" s="135"/>
      <c r="V52" s="136"/>
      <c r="W52" s="136"/>
      <c r="X52" s="23">
        <f t="shared" si="7"/>
        <v>0</v>
      </c>
      <c r="Y52" s="21">
        <f t="shared" si="8"/>
        <v>2.5</v>
      </c>
      <c r="Z52" s="180" t="str">
        <f t="shared" si="4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37"/>
      <c r="F53" s="138"/>
      <c r="G53" s="138"/>
      <c r="H53" s="135"/>
      <c r="I53" s="135"/>
      <c r="J53" s="127">
        <f t="shared" si="5"/>
        <v>0</v>
      </c>
      <c r="K53" s="180" t="str">
        <f t="shared" si="1"/>
        <v>N/TRANSITA</v>
      </c>
      <c r="L53" s="132"/>
      <c r="M53" s="133"/>
      <c r="N53" s="133"/>
      <c r="O53" s="133"/>
      <c r="P53" s="133"/>
      <c r="Q53" s="127">
        <f t="shared" si="6"/>
        <v>0</v>
      </c>
      <c r="R53" s="180" t="str">
        <f t="shared" si="2"/>
        <v>N/TRANSITA</v>
      </c>
      <c r="S53" s="134"/>
      <c r="T53" s="135"/>
      <c r="U53" s="135"/>
      <c r="V53" s="136"/>
      <c r="W53" s="136"/>
      <c r="X53" s="23">
        <f t="shared" si="7"/>
        <v>0</v>
      </c>
      <c r="Y53" s="21">
        <f t="shared" si="8"/>
        <v>0</v>
      </c>
      <c r="Z53" s="180" t="str">
        <f t="shared" si="4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37"/>
      <c r="F54" s="138"/>
      <c r="G54" s="138"/>
      <c r="H54" s="135"/>
      <c r="I54" s="135"/>
      <c r="J54" s="127">
        <f t="shared" si="5"/>
        <v>0</v>
      </c>
      <c r="K54" s="180" t="str">
        <f t="shared" si="1"/>
        <v>N/TRANSITA</v>
      </c>
      <c r="L54" s="132">
        <v>6</v>
      </c>
      <c r="M54" s="133">
        <v>7</v>
      </c>
      <c r="N54" s="133"/>
      <c r="O54" s="133">
        <v>0</v>
      </c>
      <c r="P54" s="133"/>
      <c r="Q54" s="127">
        <f t="shared" ref="Q54:Q56" si="32">AVERAGE(L54,MAX(M54:N54),MAX(O54:P54))</f>
        <v>4.333333333333333</v>
      </c>
      <c r="R54" s="180" t="str">
        <f t="shared" ref="R54:R56" si="33">IF(Q54&gt;=10,"TRANSITA","N/TRANSITA")</f>
        <v>N/TRANSITA</v>
      </c>
      <c r="S54" s="134"/>
      <c r="T54" s="135"/>
      <c r="U54" s="135"/>
      <c r="V54" s="136"/>
      <c r="W54" s="136"/>
      <c r="X54" s="23">
        <f t="shared" ref="X54:X56" si="34">AVERAGE(S54,MAX(T54:U54),MAX(V54:W54))</f>
        <v>0</v>
      </c>
      <c r="Y54" s="21">
        <f t="shared" ref="Y54:Y56" si="35">SUM(J54,Q54,X54)/3</f>
        <v>1.4444444444444444</v>
      </c>
      <c r="Z54" s="180" t="str">
        <f t="shared" ref="Z54:Z56" si="3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37">
        <v>0</v>
      </c>
      <c r="F55" s="138">
        <v>12</v>
      </c>
      <c r="G55" s="138"/>
      <c r="H55" s="135">
        <v>0</v>
      </c>
      <c r="I55" s="135"/>
      <c r="J55" s="127">
        <f t="shared" si="5"/>
        <v>4</v>
      </c>
      <c r="K55" s="180" t="str">
        <f t="shared" si="1"/>
        <v>N/TRANSITA</v>
      </c>
      <c r="L55" s="132">
        <v>5</v>
      </c>
      <c r="M55" s="133">
        <v>4</v>
      </c>
      <c r="N55" s="133"/>
      <c r="O55" s="133">
        <v>10</v>
      </c>
      <c r="P55" s="133"/>
      <c r="Q55" s="127">
        <f t="shared" si="32"/>
        <v>6.333333333333333</v>
      </c>
      <c r="R55" s="180" t="str">
        <f t="shared" si="33"/>
        <v>N/TRANSITA</v>
      </c>
      <c r="S55" s="134"/>
      <c r="T55" s="135"/>
      <c r="U55" s="135"/>
      <c r="V55" s="136"/>
      <c r="W55" s="136"/>
      <c r="X55" s="23">
        <f t="shared" si="34"/>
        <v>0</v>
      </c>
      <c r="Y55" s="21">
        <f t="shared" si="35"/>
        <v>3.4444444444444442</v>
      </c>
      <c r="Z55" s="180" t="str">
        <f t="shared" si="3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37">
        <v>0</v>
      </c>
      <c r="F56" s="138">
        <v>9</v>
      </c>
      <c r="G56" s="138"/>
      <c r="H56" s="135">
        <v>10</v>
      </c>
      <c r="I56" s="135"/>
      <c r="J56" s="127">
        <f t="shared" si="5"/>
        <v>6.333333333333333</v>
      </c>
      <c r="K56" s="180" t="str">
        <f t="shared" si="1"/>
        <v>N/TRANSITA</v>
      </c>
      <c r="L56" s="132">
        <v>10</v>
      </c>
      <c r="M56" s="133">
        <v>10</v>
      </c>
      <c r="N56" s="133"/>
      <c r="O56" s="133">
        <v>8</v>
      </c>
      <c r="P56" s="133"/>
      <c r="Q56" s="127">
        <f t="shared" si="32"/>
        <v>9.3333333333333339</v>
      </c>
      <c r="R56" s="180" t="str">
        <f t="shared" si="33"/>
        <v>N/TRANSITA</v>
      </c>
      <c r="S56" s="134"/>
      <c r="T56" s="135"/>
      <c r="U56" s="135"/>
      <c r="V56" s="136"/>
      <c r="W56" s="136"/>
      <c r="X56" s="23">
        <f t="shared" si="34"/>
        <v>0</v>
      </c>
      <c r="Y56" s="21">
        <f t="shared" si="35"/>
        <v>5.2222222222222223</v>
      </c>
      <c r="Z56" s="180" t="str">
        <f t="shared" si="3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37">
        <v>20</v>
      </c>
      <c r="F57" s="138">
        <v>13</v>
      </c>
      <c r="G57" s="138"/>
      <c r="H57" s="135">
        <v>17.5</v>
      </c>
      <c r="I57" s="135"/>
      <c r="J57" s="127">
        <f t="shared" si="5"/>
        <v>16.833333333333332</v>
      </c>
      <c r="K57" s="180" t="str">
        <f t="shared" si="1"/>
        <v>TRANSITA</v>
      </c>
      <c r="L57" s="132">
        <v>13</v>
      </c>
      <c r="M57" s="133">
        <v>13</v>
      </c>
      <c r="N57" s="133"/>
      <c r="O57" s="133">
        <v>8</v>
      </c>
      <c r="P57" s="133"/>
      <c r="Q57" s="127">
        <f t="shared" si="6"/>
        <v>11.333333333333334</v>
      </c>
      <c r="R57" s="180" t="str">
        <f t="shared" si="2"/>
        <v>TRANSITA</v>
      </c>
      <c r="S57" s="134"/>
      <c r="T57" s="135"/>
      <c r="U57" s="135"/>
      <c r="V57" s="136"/>
      <c r="W57" s="136"/>
      <c r="X57" s="23">
        <f t="shared" si="7"/>
        <v>0</v>
      </c>
      <c r="Y57" s="21">
        <f t="shared" si="8"/>
        <v>9.3888888888888875</v>
      </c>
      <c r="Z57" s="180" t="str">
        <f t="shared" si="4"/>
        <v>N/TRANSITA</v>
      </c>
      <c r="AA57" s="2"/>
      <c r="AB57" s="2"/>
      <c r="AC57" s="2"/>
    </row>
    <row r="58" spans="2:31" ht="14.25" customHeight="1" thickBot="1" x14ac:dyDescent="0.35">
      <c r="B58" s="37">
        <v>50</v>
      </c>
      <c r="C58" s="194" t="s">
        <v>138</v>
      </c>
      <c r="D58" s="28"/>
      <c r="E58" s="137"/>
      <c r="F58" s="138"/>
      <c r="G58" s="138"/>
      <c r="H58" s="135"/>
      <c r="I58" s="135"/>
      <c r="J58" s="127">
        <f t="shared" si="5"/>
        <v>0</v>
      </c>
      <c r="K58" s="180" t="str">
        <f t="shared" si="1"/>
        <v>N/TRANSITA</v>
      </c>
      <c r="L58" s="132"/>
      <c r="M58" s="144"/>
      <c r="N58" s="133"/>
      <c r="O58" s="133"/>
      <c r="P58" s="133"/>
      <c r="Q58" s="127">
        <f t="shared" si="6"/>
        <v>0</v>
      </c>
      <c r="R58" s="180" t="str">
        <f t="shared" si="2"/>
        <v>N/TRANSITA</v>
      </c>
      <c r="S58" s="134"/>
      <c r="T58" s="135"/>
      <c r="U58" s="135"/>
      <c r="V58" s="136"/>
      <c r="W58" s="136"/>
      <c r="X58" s="23">
        <f t="shared" si="7"/>
        <v>0</v>
      </c>
      <c r="Y58" s="21">
        <f t="shared" si="8"/>
        <v>0</v>
      </c>
      <c r="Z58" s="180" t="str">
        <f t="shared" si="4"/>
        <v>N/TRANSITA</v>
      </c>
    </row>
    <row r="59" spans="2:31" ht="14.25" customHeight="1" thickTop="1" x14ac:dyDescent="0.3">
      <c r="B59" s="37">
        <v>51</v>
      </c>
      <c r="C59" s="194" t="s">
        <v>139</v>
      </c>
      <c r="D59" s="28"/>
      <c r="E59" s="137">
        <v>0</v>
      </c>
      <c r="F59" s="138">
        <v>10</v>
      </c>
      <c r="G59" s="138"/>
      <c r="H59" s="135">
        <v>7.5</v>
      </c>
      <c r="I59" s="135"/>
      <c r="J59" s="127">
        <f t="shared" si="5"/>
        <v>5.833333333333333</v>
      </c>
      <c r="K59" s="180" t="str">
        <f t="shared" si="1"/>
        <v>N/TRANSITA</v>
      </c>
      <c r="L59" s="132">
        <v>10</v>
      </c>
      <c r="M59" s="133">
        <v>9</v>
      </c>
      <c r="N59" s="133"/>
      <c r="O59" s="133">
        <v>6</v>
      </c>
      <c r="P59" s="133"/>
      <c r="Q59" s="127">
        <f t="shared" si="6"/>
        <v>8.3333333333333339</v>
      </c>
      <c r="R59" s="180" t="str">
        <f t="shared" si="2"/>
        <v>N/TRANSITA</v>
      </c>
      <c r="S59" s="134"/>
      <c r="T59" s="135"/>
      <c r="U59" s="135"/>
      <c r="V59" s="136"/>
      <c r="W59" s="136"/>
      <c r="X59" s="23">
        <f t="shared" si="7"/>
        <v>0</v>
      </c>
      <c r="Y59" s="21">
        <f t="shared" si="8"/>
        <v>4.7222222222222223</v>
      </c>
      <c r="Z59" s="180" t="str">
        <f t="shared" si="4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37">
        <v>20</v>
      </c>
      <c r="F60" s="138">
        <v>6</v>
      </c>
      <c r="G60" s="138"/>
      <c r="H60" s="135">
        <v>10</v>
      </c>
      <c r="I60" s="135"/>
      <c r="J60" s="127">
        <f t="shared" si="5"/>
        <v>12</v>
      </c>
      <c r="K60" s="180" t="str">
        <f t="shared" si="1"/>
        <v>TRANSITA</v>
      </c>
      <c r="L60" s="132">
        <v>7</v>
      </c>
      <c r="M60" s="133">
        <v>2</v>
      </c>
      <c r="N60" s="133"/>
      <c r="O60" s="133">
        <v>8</v>
      </c>
      <c r="P60" s="133"/>
      <c r="Q60" s="127">
        <f t="shared" si="6"/>
        <v>5.666666666666667</v>
      </c>
      <c r="R60" s="180" t="str">
        <f t="shared" si="2"/>
        <v>N/TRANSITA</v>
      </c>
      <c r="S60" s="134"/>
      <c r="T60" s="135"/>
      <c r="U60" s="135"/>
      <c r="V60" s="136"/>
      <c r="W60" s="136"/>
      <c r="X60" s="23">
        <f t="shared" si="7"/>
        <v>0</v>
      </c>
      <c r="Y60" s="21">
        <f t="shared" si="8"/>
        <v>5.8888888888888893</v>
      </c>
      <c r="Z60" s="180" t="str">
        <f t="shared" si="4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37">
        <v>20</v>
      </c>
      <c r="F61" s="138">
        <v>13</v>
      </c>
      <c r="G61" s="138"/>
      <c r="H61" s="135">
        <v>18</v>
      </c>
      <c r="I61" s="135"/>
      <c r="J61" s="127">
        <f t="shared" si="5"/>
        <v>17</v>
      </c>
      <c r="K61" s="180" t="str">
        <f t="shared" si="1"/>
        <v>TRANSITA</v>
      </c>
      <c r="L61" s="132">
        <v>10</v>
      </c>
      <c r="M61" s="133">
        <v>11</v>
      </c>
      <c r="N61" s="133"/>
      <c r="O61" s="133">
        <v>10</v>
      </c>
      <c r="P61" s="133"/>
      <c r="Q61" s="127">
        <f t="shared" si="6"/>
        <v>10.333333333333334</v>
      </c>
      <c r="R61" s="180" t="str">
        <f t="shared" si="2"/>
        <v>TRANSITA</v>
      </c>
      <c r="S61" s="134"/>
      <c r="T61" s="135"/>
      <c r="U61" s="135"/>
      <c r="V61" s="136"/>
      <c r="W61" s="136"/>
      <c r="X61" s="23">
        <f t="shared" ref="X61:X63" si="37">AVERAGE(S61,MAX(T61:U61),MAX(V61:W61))</f>
        <v>0</v>
      </c>
      <c r="Y61" s="21">
        <f t="shared" si="0"/>
        <v>9.1111111111111125</v>
      </c>
      <c r="Z61" s="180" t="str">
        <f t="shared" si="4"/>
        <v>N/TRANSITA</v>
      </c>
    </row>
    <row r="62" spans="2:31" ht="14.25" customHeight="1" x14ac:dyDescent="0.3">
      <c r="B62" s="37">
        <v>54</v>
      </c>
      <c r="C62" s="194" t="s">
        <v>142</v>
      </c>
      <c r="D62" s="28"/>
      <c r="E62" s="137">
        <v>20</v>
      </c>
      <c r="F62" s="138">
        <v>4</v>
      </c>
      <c r="G62" s="138"/>
      <c r="H62" s="135">
        <v>8</v>
      </c>
      <c r="I62" s="135"/>
      <c r="J62" s="127">
        <f t="shared" si="5"/>
        <v>10.666666666666666</v>
      </c>
      <c r="K62" s="180" t="str">
        <f t="shared" si="1"/>
        <v>TRANSITA</v>
      </c>
      <c r="L62" s="132">
        <v>10</v>
      </c>
      <c r="M62" s="133">
        <v>14.5</v>
      </c>
      <c r="N62" s="133"/>
      <c r="O62" s="133">
        <v>10</v>
      </c>
      <c r="P62" s="133"/>
      <c r="Q62" s="127">
        <f t="shared" si="6"/>
        <v>11.5</v>
      </c>
      <c r="R62" s="180" t="str">
        <f t="shared" si="2"/>
        <v>TRANSITA</v>
      </c>
      <c r="S62" s="134"/>
      <c r="T62" s="135"/>
      <c r="U62" s="135"/>
      <c r="V62" s="136"/>
      <c r="W62" s="136"/>
      <c r="X62" s="23">
        <f t="shared" si="37"/>
        <v>0</v>
      </c>
      <c r="Y62" s="21">
        <f t="shared" si="0"/>
        <v>7.3888888888888884</v>
      </c>
      <c r="Z62" s="180" t="str">
        <f t="shared" si="4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39">
        <v>20</v>
      </c>
      <c r="F63" s="140">
        <v>10</v>
      </c>
      <c r="G63" s="140"/>
      <c r="H63" s="141">
        <v>6</v>
      </c>
      <c r="I63" s="141"/>
      <c r="J63" s="142">
        <f t="shared" si="5"/>
        <v>12</v>
      </c>
      <c r="K63" s="181" t="str">
        <f t="shared" si="1"/>
        <v>TRANSITA</v>
      </c>
      <c r="L63" s="143">
        <v>18</v>
      </c>
      <c r="M63" s="144">
        <v>12</v>
      </c>
      <c r="N63" s="144"/>
      <c r="O63" s="144">
        <v>10</v>
      </c>
      <c r="P63" s="144"/>
      <c r="Q63" s="142">
        <f t="shared" si="6"/>
        <v>13.333333333333334</v>
      </c>
      <c r="R63" s="181" t="str">
        <f t="shared" si="2"/>
        <v>TRANSITA</v>
      </c>
      <c r="S63" s="145"/>
      <c r="T63" s="141"/>
      <c r="U63" s="141"/>
      <c r="V63" s="146"/>
      <c r="W63" s="146"/>
      <c r="X63" s="24">
        <f t="shared" si="37"/>
        <v>0</v>
      </c>
      <c r="Y63" s="22">
        <f>SUM(J63,Q63,X63)/3</f>
        <v>8.4444444444444446</v>
      </c>
      <c r="Z63" s="181" t="str">
        <f t="shared" si="4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30"/>
      <c r="G66" s="30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31"/>
      <c r="G67" s="31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31"/>
      <c r="G68" s="31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53:AB55"/>
    <mergeCell ref="A66:E66"/>
    <mergeCell ref="S66:Z66"/>
    <mergeCell ref="A67:E67"/>
    <mergeCell ref="S67:Z67"/>
    <mergeCell ref="AA10:AB11"/>
    <mergeCell ref="K7:K8"/>
    <mergeCell ref="R7:R8"/>
    <mergeCell ref="AC8:AC9"/>
    <mergeCell ref="AD8:AD9"/>
    <mergeCell ref="AE8:AE9"/>
    <mergeCell ref="B5:C5"/>
    <mergeCell ref="I5:N5"/>
    <mergeCell ref="X5:Z5"/>
    <mergeCell ref="B6:Z6"/>
    <mergeCell ref="B7:B8"/>
    <mergeCell ref="C7:C8"/>
    <mergeCell ref="E7:J7"/>
    <mergeCell ref="L7:Q7"/>
    <mergeCell ref="S7:X7"/>
    <mergeCell ref="Y7:Y8"/>
    <mergeCell ref="A1:Z1"/>
    <mergeCell ref="B3:C3"/>
    <mergeCell ref="I3:M3"/>
    <mergeCell ref="V3:Z3"/>
    <mergeCell ref="B4:C4"/>
    <mergeCell ref="I4:Q4"/>
    <mergeCell ref="V4:Z4"/>
  </mergeCells>
  <conditionalFormatting sqref="Y9:Y63">
    <cfRule type="cellIs" dxfId="295" priority="111" stopIfTrue="1" operator="greaterThan">
      <formula>9.5</formula>
    </cfRule>
    <cfRule type="cellIs" dxfId="294" priority="112" stopIfTrue="1" operator="lessThanOrEqual">
      <formula>9.5</formula>
    </cfRule>
  </conditionalFormatting>
  <conditionalFormatting sqref="S9:W63">
    <cfRule type="cellIs" dxfId="293" priority="109" stopIfTrue="1" operator="lessThan">
      <formula>10</formula>
    </cfRule>
    <cfRule type="cellIs" dxfId="292" priority="110" stopIfTrue="1" operator="greaterThan">
      <formula>9</formula>
    </cfRule>
  </conditionalFormatting>
  <conditionalFormatting sqref="S9:W63">
    <cfRule type="cellIs" dxfId="291" priority="107" stopIfTrue="1" operator="lessThan">
      <formula>10</formula>
    </cfRule>
    <cfRule type="cellIs" dxfId="290" priority="108" stopIfTrue="1" operator="greaterThan">
      <formula>9</formula>
    </cfRule>
  </conditionalFormatting>
  <conditionalFormatting sqref="X9:X63 Q9:Q63">
    <cfRule type="cellIs" dxfId="289" priority="89" stopIfTrue="1" operator="lessThan">
      <formula>10</formula>
    </cfRule>
    <cfRule type="cellIs" dxfId="288" priority="90" stopIfTrue="1" operator="greaterThanOrEqual">
      <formula>10</formula>
    </cfRule>
  </conditionalFormatting>
  <conditionalFormatting sqref="P9:P63">
    <cfRule type="cellIs" dxfId="287" priority="35" stopIfTrue="1" operator="lessThan">
      <formula>10</formula>
    </cfRule>
    <cfRule type="cellIs" dxfId="286" priority="36" stopIfTrue="1" operator="greaterThan">
      <formula>9</formula>
    </cfRule>
    <cfRule type="cellIs" dxfId="285" priority="37" stopIfTrue="1" operator="lessThan">
      <formula>10</formula>
    </cfRule>
    <cfRule type="cellIs" dxfId="284" priority="38" stopIfTrue="1" operator="greaterThan">
      <formula>9</formula>
    </cfRule>
  </conditionalFormatting>
  <conditionalFormatting sqref="I9:I63">
    <cfRule type="cellIs" dxfId="283" priority="19" stopIfTrue="1" operator="lessThan">
      <formula>10</formula>
    </cfRule>
    <cfRule type="cellIs" dxfId="282" priority="20" stopIfTrue="1" operator="greaterThan">
      <formula>9</formula>
    </cfRule>
  </conditionalFormatting>
  <conditionalFormatting sqref="I9:I63">
    <cfRule type="cellIs" dxfId="281" priority="17" stopIfTrue="1" operator="lessThan">
      <formula>10</formula>
    </cfRule>
    <cfRule type="cellIs" dxfId="280" priority="18" stopIfTrue="1" operator="greaterThan">
      <formula>9</formula>
    </cfRule>
  </conditionalFormatting>
  <conditionalFormatting sqref="J9:J63">
    <cfRule type="cellIs" dxfId="279" priority="15" stopIfTrue="1" operator="lessThan">
      <formula>10</formula>
    </cfRule>
    <cfRule type="cellIs" dxfId="278" priority="16" stopIfTrue="1" operator="greaterThanOrEqual">
      <formula>10</formula>
    </cfRule>
  </conditionalFormatting>
  <conditionalFormatting sqref="L59:O63 L9:L58 N9:O58">
    <cfRule type="cellIs" dxfId="277" priority="11" stopIfTrue="1" operator="lessThan">
      <formula>10</formula>
    </cfRule>
    <cfRule type="cellIs" dxfId="276" priority="12" stopIfTrue="1" operator="greaterThan">
      <formula>9</formula>
    </cfRule>
    <cfRule type="cellIs" dxfId="275" priority="13" stopIfTrue="1" operator="lessThan">
      <formula>10</formula>
    </cfRule>
    <cfRule type="cellIs" dxfId="274" priority="14" stopIfTrue="1" operator="greaterThan">
      <formula>9</formula>
    </cfRule>
  </conditionalFormatting>
  <conditionalFormatting sqref="E9:H63">
    <cfRule type="cellIs" dxfId="273" priority="7" stopIfTrue="1" operator="lessThan">
      <formula>10</formula>
    </cfRule>
    <cfRule type="cellIs" dxfId="272" priority="8" stopIfTrue="1" operator="greaterThan">
      <formula>9</formula>
    </cfRule>
  </conditionalFormatting>
  <conditionalFormatting sqref="E9:H63">
    <cfRule type="cellIs" dxfId="271" priority="5" stopIfTrue="1" operator="lessThan">
      <formula>10</formula>
    </cfRule>
    <cfRule type="cellIs" dxfId="270" priority="6" stopIfTrue="1" operator="greaterThan">
      <formula>9</formula>
    </cfRule>
  </conditionalFormatting>
  <conditionalFormatting sqref="M9:M58">
    <cfRule type="cellIs" dxfId="269" priority="1" stopIfTrue="1" operator="lessThan">
      <formula>10</formula>
    </cfRule>
    <cfRule type="cellIs" dxfId="268" priority="2" stopIfTrue="1" operator="greaterThan">
      <formula>9</formula>
    </cfRule>
    <cfRule type="cellIs" dxfId="267" priority="3" stopIfTrue="1" operator="lessThan">
      <formula>10</formula>
    </cfRule>
    <cfRule type="cellIs" dxfId="266" priority="4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1505" r:id="rId4">
          <objectPr defaultSize="0" autoPict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106680</xdr:colOff>
                <xdr:row>65</xdr:row>
                <xdr:rowOff>22860</xdr:rowOff>
              </to>
            </anchor>
          </objectPr>
        </oleObject>
      </mc:Choice>
      <mc:Fallback>
        <oleObject progId="Word.Document.8" shapeId="2150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stopIfTrue="1" operator="containsText" id="{0CDB5EE4-ED43-4118-BDCA-378BDD0D53AC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0" stopIfTrue="1" operator="containsText" id="{B1B83BC9-8D84-4F79-92B9-B3D63B40E98A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25" stopIfTrue="1" operator="containsText" id="{A086C8BA-38B7-4BAF-85E9-E71F20F56EF1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6" stopIfTrue="1" operator="containsText" id="{44266543-985B-4272-A1DB-955513F33A69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9" stopIfTrue="1" operator="containsText" id="{49D22E41-19E3-4DAB-90E4-04070153F706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A1873DF3-179E-4426-91E0-123E8158E91E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F61" sqref="F61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32"/>
      <c r="I4" s="324" t="s">
        <v>37</v>
      </c>
      <c r="J4" s="324"/>
      <c r="K4" s="324"/>
      <c r="L4" s="324"/>
      <c r="M4" s="324"/>
      <c r="N4" s="324"/>
      <c r="O4" s="324"/>
      <c r="P4" s="324"/>
      <c r="Q4" s="324"/>
      <c r="R4" s="32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32"/>
      <c r="H5" s="36"/>
      <c r="I5" s="361" t="s">
        <v>34</v>
      </c>
      <c r="J5" s="361"/>
      <c r="K5" s="361"/>
      <c r="L5" s="361"/>
      <c r="M5" s="361"/>
      <c r="N5" s="361"/>
      <c r="O5" s="36"/>
      <c r="P5" s="36"/>
      <c r="Q5" s="36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0</v>
      </c>
      <c r="AD8" s="335">
        <f>COUNTIF(Z9:Z69,"N/TRANSITA")</f>
        <v>55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147">
        <f>'[1]11CL-FAR-PATOL'!E9</f>
        <v>0</v>
      </c>
      <c r="F9" s="125">
        <v>2.5</v>
      </c>
      <c r="G9" s="148"/>
      <c r="H9" s="126">
        <v>1</v>
      </c>
      <c r="I9" s="149"/>
      <c r="J9" s="150">
        <f t="shared" ref="J9:J63" si="0">AVERAGE(E9,MAX(F9:G9),MAX(H9:I9))</f>
        <v>1.1666666666666667</v>
      </c>
      <c r="K9" s="179" t="str">
        <f>IF(J9&gt;=10,"TRANSITA","N/TRANSITA")</f>
        <v>N/TRANSITA</v>
      </c>
      <c r="L9" s="151">
        <v>10</v>
      </c>
      <c r="M9" s="152">
        <v>8</v>
      </c>
      <c r="N9" s="152"/>
      <c r="O9" s="152">
        <v>1.5</v>
      </c>
      <c r="P9" s="152"/>
      <c r="Q9" s="150">
        <f t="shared" ref="Q9:Q63" si="1">AVERAGE(L9,MAX(M9:N9),MAX(O9:P9))</f>
        <v>6.5</v>
      </c>
      <c r="R9" s="179" t="str">
        <f>IF(Q9&gt;=10,"TRANSITA","N/TRANSITA")</f>
        <v>N/TRANSITA</v>
      </c>
      <c r="S9" s="153"/>
      <c r="T9" s="149"/>
      <c r="U9" s="149"/>
      <c r="V9" s="149"/>
      <c r="W9" s="131"/>
      <c r="X9" s="23">
        <f>AVERAGE(S9,MAX(T9:U9),MAX(V9:W9))</f>
        <v>0</v>
      </c>
      <c r="Y9" s="20">
        <f t="shared" ref="Y9:Y62" si="2">SUM(J9,Q9,X9)/3</f>
        <v>2.5555555555555558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147">
        <f>'[1]11CL-FAR-PATOL'!E10</f>
        <v>20</v>
      </c>
      <c r="F10" s="125">
        <v>0</v>
      </c>
      <c r="G10" s="148"/>
      <c r="H10" s="126">
        <v>9</v>
      </c>
      <c r="I10" s="149"/>
      <c r="J10" s="150">
        <f t="shared" si="0"/>
        <v>9.6666666666666661</v>
      </c>
      <c r="K10" s="180" t="str">
        <f t="shared" ref="K10:K63" si="3">IF(J10&gt;=10,"TRANSITA","N/TRANSITA")</f>
        <v>N/TRANSITA</v>
      </c>
      <c r="L10" s="154">
        <v>5</v>
      </c>
      <c r="M10" s="123">
        <v>0</v>
      </c>
      <c r="N10" s="123"/>
      <c r="O10" s="123">
        <v>3.5</v>
      </c>
      <c r="P10" s="123"/>
      <c r="Q10" s="150">
        <f t="shared" si="1"/>
        <v>2.8333333333333335</v>
      </c>
      <c r="R10" s="180" t="str">
        <f t="shared" ref="R10:R63" si="4">IF(Q10&gt;=10,"TRANSITA","N/TRANSITA")</f>
        <v>N/TRANSITA</v>
      </c>
      <c r="S10" s="155"/>
      <c r="T10" s="156"/>
      <c r="U10" s="156"/>
      <c r="V10" s="156"/>
      <c r="W10" s="136"/>
      <c r="X10" s="23">
        <f>AVERAGE(S10,MAX(T10:U10),MAX(V10:W10))</f>
        <v>0</v>
      </c>
      <c r="Y10" s="21">
        <f t="shared" ref="Y10" si="5">SUM(J10,Q10,X10)/3</f>
        <v>4.166666666666667</v>
      </c>
      <c r="Z10" s="180" t="str">
        <f t="shared" ref="Z10:Z63" si="6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147">
        <f>'[1]11CL-FAR-PATOL'!E11</f>
        <v>20</v>
      </c>
      <c r="F11" s="125">
        <v>0</v>
      </c>
      <c r="G11" s="148"/>
      <c r="H11" s="126">
        <v>7</v>
      </c>
      <c r="I11" s="149"/>
      <c r="J11" s="150">
        <f t="shared" si="0"/>
        <v>9</v>
      </c>
      <c r="K11" s="180" t="str">
        <f t="shared" si="3"/>
        <v>N/TRANSITA</v>
      </c>
      <c r="L11" s="154">
        <v>14</v>
      </c>
      <c r="M11" s="123">
        <v>14</v>
      </c>
      <c r="N11" s="123"/>
      <c r="O11" s="123">
        <v>7</v>
      </c>
      <c r="P11" s="123"/>
      <c r="Q11" s="150">
        <f t="shared" si="1"/>
        <v>11.666666666666666</v>
      </c>
      <c r="R11" s="180" t="str">
        <f t="shared" si="4"/>
        <v>TRANSITA</v>
      </c>
      <c r="S11" s="155"/>
      <c r="T11" s="156"/>
      <c r="U11" s="156"/>
      <c r="V11" s="156"/>
      <c r="W11" s="136"/>
      <c r="X11" s="23">
        <f t="shared" ref="X11:X60" si="7">AVERAGE(S11,MAX(T11:U11),MAX(V11:W11))</f>
        <v>0</v>
      </c>
      <c r="Y11" s="21">
        <f t="shared" ref="Y11:Y60" si="8">SUM(J11,Q11,X11)/3</f>
        <v>6.8888888888888884</v>
      </c>
      <c r="Z11" s="180" t="str">
        <f t="shared" si="6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147">
        <f>'[1]11CL-FAR-PATOL'!E12</f>
        <v>20</v>
      </c>
      <c r="F12" s="125">
        <v>6</v>
      </c>
      <c r="G12" s="148"/>
      <c r="H12" s="126">
        <v>10</v>
      </c>
      <c r="I12" s="149"/>
      <c r="J12" s="150">
        <f t="shared" si="0"/>
        <v>12</v>
      </c>
      <c r="K12" s="180" t="str">
        <f t="shared" si="3"/>
        <v>TRANSITA</v>
      </c>
      <c r="L12" s="154">
        <v>13</v>
      </c>
      <c r="M12" s="123">
        <v>17</v>
      </c>
      <c r="N12" s="123"/>
      <c r="O12" s="123">
        <v>1</v>
      </c>
      <c r="P12" s="123"/>
      <c r="Q12" s="150">
        <f t="shared" si="1"/>
        <v>10.333333333333334</v>
      </c>
      <c r="R12" s="180" t="str">
        <f t="shared" si="4"/>
        <v>TRANSITA</v>
      </c>
      <c r="S12" s="155"/>
      <c r="T12" s="156"/>
      <c r="U12" s="156"/>
      <c r="V12" s="156"/>
      <c r="W12" s="136"/>
      <c r="X12" s="23">
        <f t="shared" si="7"/>
        <v>0</v>
      </c>
      <c r="Y12" s="21">
        <f t="shared" si="8"/>
        <v>7.4444444444444455</v>
      </c>
      <c r="Z12" s="180" t="str">
        <f t="shared" si="6"/>
        <v>N/TRANSITA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147">
        <f>'[1]11CL-FAR-PATOL'!E13</f>
        <v>20</v>
      </c>
      <c r="F13" s="125">
        <v>3</v>
      </c>
      <c r="G13" s="148"/>
      <c r="H13" s="126">
        <v>7</v>
      </c>
      <c r="I13" s="149"/>
      <c r="J13" s="150">
        <f t="shared" si="0"/>
        <v>10</v>
      </c>
      <c r="K13" s="180" t="str">
        <f t="shared" si="3"/>
        <v>TRANSITA</v>
      </c>
      <c r="L13" s="154">
        <v>10</v>
      </c>
      <c r="M13" s="123">
        <v>16</v>
      </c>
      <c r="N13" s="123"/>
      <c r="O13" s="123">
        <v>4</v>
      </c>
      <c r="P13" s="123"/>
      <c r="Q13" s="150">
        <f t="shared" si="1"/>
        <v>10</v>
      </c>
      <c r="R13" s="180" t="str">
        <f t="shared" si="4"/>
        <v>TRANSITA</v>
      </c>
      <c r="S13" s="155"/>
      <c r="T13" s="156"/>
      <c r="U13" s="156"/>
      <c r="V13" s="156"/>
      <c r="W13" s="136"/>
      <c r="X13" s="23">
        <f t="shared" si="7"/>
        <v>0</v>
      </c>
      <c r="Y13" s="21">
        <f t="shared" si="8"/>
        <v>6.666666666666667</v>
      </c>
      <c r="Z13" s="180" t="str">
        <f t="shared" si="6"/>
        <v>N/TRANSITA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147">
        <f>'[1]11CL-FAR-PATOL'!E14</f>
        <v>0</v>
      </c>
      <c r="F14" s="125">
        <v>2</v>
      </c>
      <c r="G14" s="148"/>
      <c r="H14" s="126">
        <v>9</v>
      </c>
      <c r="I14" s="149"/>
      <c r="J14" s="150">
        <f t="shared" si="0"/>
        <v>3.6666666666666665</v>
      </c>
      <c r="K14" s="180" t="str">
        <f t="shared" si="3"/>
        <v>N/TRANSITA</v>
      </c>
      <c r="L14" s="154">
        <v>10</v>
      </c>
      <c r="M14" s="123">
        <v>3</v>
      </c>
      <c r="N14" s="123"/>
      <c r="O14" s="123">
        <v>3</v>
      </c>
      <c r="P14" s="123"/>
      <c r="Q14" s="150">
        <f t="shared" si="1"/>
        <v>5.333333333333333</v>
      </c>
      <c r="R14" s="180" t="str">
        <f t="shared" si="4"/>
        <v>N/TRANSITA</v>
      </c>
      <c r="S14" s="155"/>
      <c r="T14" s="156"/>
      <c r="U14" s="156"/>
      <c r="V14" s="156"/>
      <c r="W14" s="136"/>
      <c r="X14" s="23">
        <f t="shared" si="7"/>
        <v>0</v>
      </c>
      <c r="Y14" s="21">
        <f t="shared" si="8"/>
        <v>3</v>
      </c>
      <c r="Z14" s="180" t="str">
        <f t="shared" si="6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147">
        <f>'[1]11CL-FAR-PATOL'!E15</f>
        <v>20</v>
      </c>
      <c r="F15" s="125">
        <v>0</v>
      </c>
      <c r="G15" s="148"/>
      <c r="H15" s="126">
        <v>8</v>
      </c>
      <c r="I15" s="149"/>
      <c r="J15" s="150">
        <f t="shared" si="0"/>
        <v>9.3333333333333339</v>
      </c>
      <c r="K15" s="180" t="str">
        <f t="shared" si="3"/>
        <v>N/TRANSITA</v>
      </c>
      <c r="L15" s="154">
        <v>15</v>
      </c>
      <c r="M15" s="123">
        <v>16</v>
      </c>
      <c r="N15" s="123"/>
      <c r="O15" s="123">
        <v>2.5</v>
      </c>
      <c r="P15" s="123"/>
      <c r="Q15" s="150">
        <f t="shared" si="1"/>
        <v>11.166666666666666</v>
      </c>
      <c r="R15" s="180" t="str">
        <f t="shared" si="4"/>
        <v>TRANSITA</v>
      </c>
      <c r="S15" s="155"/>
      <c r="T15" s="156"/>
      <c r="U15" s="156"/>
      <c r="V15" s="156"/>
      <c r="W15" s="136"/>
      <c r="X15" s="23">
        <f t="shared" si="7"/>
        <v>0</v>
      </c>
      <c r="Y15" s="21">
        <f t="shared" si="8"/>
        <v>6.833333333333333</v>
      </c>
      <c r="Z15" s="180" t="str">
        <f t="shared" si="6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147">
        <f>'[1]11CL-FAR-PATOL'!E16</f>
        <v>0</v>
      </c>
      <c r="F16" s="125">
        <v>1</v>
      </c>
      <c r="G16" s="148"/>
      <c r="H16" s="126">
        <v>5.5</v>
      </c>
      <c r="I16" s="149"/>
      <c r="J16" s="150">
        <f t="shared" si="0"/>
        <v>2.1666666666666665</v>
      </c>
      <c r="K16" s="180" t="str">
        <f t="shared" si="3"/>
        <v>N/TRANSITA</v>
      </c>
      <c r="L16" s="154">
        <v>10</v>
      </c>
      <c r="M16" s="123">
        <v>4.5</v>
      </c>
      <c r="N16" s="123"/>
      <c r="O16" s="123">
        <v>3</v>
      </c>
      <c r="P16" s="123"/>
      <c r="Q16" s="150">
        <f t="shared" si="1"/>
        <v>5.833333333333333</v>
      </c>
      <c r="R16" s="180" t="str">
        <f t="shared" si="4"/>
        <v>N/TRANSITA</v>
      </c>
      <c r="S16" s="155"/>
      <c r="T16" s="156"/>
      <c r="U16" s="156"/>
      <c r="V16" s="156"/>
      <c r="W16" s="136"/>
      <c r="X16" s="23">
        <f t="shared" si="7"/>
        <v>0</v>
      </c>
      <c r="Y16" s="21">
        <f t="shared" si="8"/>
        <v>2.6666666666666665</v>
      </c>
      <c r="Z16" s="180" t="str">
        <f t="shared" si="6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147">
        <f>'[1]11CL-FAR-PATOL'!E17</f>
        <v>20</v>
      </c>
      <c r="F17" s="125">
        <v>2</v>
      </c>
      <c r="G17" s="148"/>
      <c r="H17" s="126">
        <v>10</v>
      </c>
      <c r="I17" s="149"/>
      <c r="J17" s="150">
        <f t="shared" si="0"/>
        <v>10.666666666666666</v>
      </c>
      <c r="K17" s="180" t="str">
        <f t="shared" si="3"/>
        <v>TRANSITA</v>
      </c>
      <c r="L17" s="154">
        <v>8</v>
      </c>
      <c r="M17" s="123">
        <v>4</v>
      </c>
      <c r="N17" s="123"/>
      <c r="O17" s="123">
        <v>1</v>
      </c>
      <c r="P17" s="123"/>
      <c r="Q17" s="150">
        <f t="shared" si="1"/>
        <v>4.333333333333333</v>
      </c>
      <c r="R17" s="180" t="str">
        <f t="shared" si="4"/>
        <v>N/TRANSITA</v>
      </c>
      <c r="S17" s="155"/>
      <c r="T17" s="156"/>
      <c r="U17" s="156"/>
      <c r="V17" s="156"/>
      <c r="W17" s="136"/>
      <c r="X17" s="23">
        <f t="shared" si="7"/>
        <v>0</v>
      </c>
      <c r="Y17" s="21">
        <f t="shared" si="8"/>
        <v>5</v>
      </c>
      <c r="Z17" s="180" t="str">
        <f t="shared" si="6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147">
        <f>'[1]11CL-FAR-PATOL'!E18</f>
        <v>0</v>
      </c>
      <c r="F18" s="125">
        <v>3</v>
      </c>
      <c r="G18" s="148"/>
      <c r="H18" s="126">
        <v>4.5</v>
      </c>
      <c r="I18" s="149"/>
      <c r="J18" s="150">
        <f t="shared" si="0"/>
        <v>2.5</v>
      </c>
      <c r="K18" s="180" t="str">
        <f t="shared" si="3"/>
        <v>N/TRANSITA</v>
      </c>
      <c r="L18" s="154">
        <v>10</v>
      </c>
      <c r="M18" s="123">
        <v>14</v>
      </c>
      <c r="N18" s="123"/>
      <c r="O18" s="123">
        <v>6</v>
      </c>
      <c r="P18" s="123"/>
      <c r="Q18" s="150">
        <f t="shared" si="1"/>
        <v>10</v>
      </c>
      <c r="R18" s="180" t="str">
        <f t="shared" si="4"/>
        <v>TRANSITA</v>
      </c>
      <c r="S18" s="155"/>
      <c r="T18" s="156"/>
      <c r="U18" s="156"/>
      <c r="V18" s="156"/>
      <c r="W18" s="136"/>
      <c r="X18" s="23">
        <f t="shared" si="7"/>
        <v>0</v>
      </c>
      <c r="Y18" s="21">
        <f t="shared" si="8"/>
        <v>4.166666666666667</v>
      </c>
      <c r="Z18" s="180" t="str">
        <f t="shared" si="6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147">
        <f>'[1]11CL-FAR-PATOL'!E19</f>
        <v>0</v>
      </c>
      <c r="F19" s="125">
        <v>6</v>
      </c>
      <c r="G19" s="148"/>
      <c r="H19" s="126">
        <v>7.5</v>
      </c>
      <c r="I19" s="149"/>
      <c r="J19" s="150">
        <f t="shared" si="0"/>
        <v>4.5</v>
      </c>
      <c r="K19" s="180" t="str">
        <f t="shared" si="3"/>
        <v>N/TRANSITA</v>
      </c>
      <c r="L19" s="154">
        <v>13</v>
      </c>
      <c r="M19" s="123">
        <v>13</v>
      </c>
      <c r="N19" s="123"/>
      <c r="O19" s="123">
        <v>1</v>
      </c>
      <c r="P19" s="123"/>
      <c r="Q19" s="150">
        <f t="shared" si="1"/>
        <v>9</v>
      </c>
      <c r="R19" s="180" t="str">
        <f t="shared" si="4"/>
        <v>N/TRANSITA</v>
      </c>
      <c r="S19" s="155"/>
      <c r="T19" s="156"/>
      <c r="U19" s="156"/>
      <c r="V19" s="156"/>
      <c r="W19" s="136"/>
      <c r="X19" s="23">
        <f t="shared" si="7"/>
        <v>0</v>
      </c>
      <c r="Y19" s="21">
        <f t="shared" si="8"/>
        <v>4.5</v>
      </c>
      <c r="Z19" s="180" t="str">
        <f t="shared" si="6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147">
        <f>'[1]11CL-FAR-PATOL'!E20</f>
        <v>20</v>
      </c>
      <c r="F20" s="125">
        <v>3</v>
      </c>
      <c r="G20" s="148"/>
      <c r="H20" s="126">
        <v>8</v>
      </c>
      <c r="I20" s="149"/>
      <c r="J20" s="150">
        <f t="shared" si="0"/>
        <v>10.333333333333334</v>
      </c>
      <c r="K20" s="180" t="str">
        <f t="shared" si="3"/>
        <v>TRANSITA</v>
      </c>
      <c r="L20" s="154">
        <v>12</v>
      </c>
      <c r="M20" s="123">
        <v>12</v>
      </c>
      <c r="N20" s="123"/>
      <c r="O20" s="123">
        <v>10</v>
      </c>
      <c r="P20" s="123"/>
      <c r="Q20" s="150">
        <f t="shared" si="1"/>
        <v>11.333333333333334</v>
      </c>
      <c r="R20" s="180" t="str">
        <f t="shared" si="4"/>
        <v>TRANSITA</v>
      </c>
      <c r="S20" s="155"/>
      <c r="T20" s="156"/>
      <c r="U20" s="156"/>
      <c r="V20" s="156"/>
      <c r="W20" s="136"/>
      <c r="X20" s="23">
        <f t="shared" si="7"/>
        <v>0</v>
      </c>
      <c r="Y20" s="21">
        <f t="shared" si="8"/>
        <v>7.2222222222222223</v>
      </c>
      <c r="Z20" s="180" t="str">
        <f t="shared" si="6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147">
        <f>'[1]11CL-FAR-PATOL'!E21</f>
        <v>20</v>
      </c>
      <c r="F21" s="125">
        <v>8</v>
      </c>
      <c r="G21" s="148"/>
      <c r="H21" s="126">
        <v>9</v>
      </c>
      <c r="I21" s="149"/>
      <c r="J21" s="150">
        <f t="shared" si="0"/>
        <v>12.333333333333334</v>
      </c>
      <c r="K21" s="180" t="str">
        <f t="shared" si="3"/>
        <v>TRANSITA</v>
      </c>
      <c r="L21" s="154">
        <v>11</v>
      </c>
      <c r="M21" s="123">
        <v>13</v>
      </c>
      <c r="N21" s="123"/>
      <c r="O21" s="123">
        <v>6</v>
      </c>
      <c r="P21" s="123"/>
      <c r="Q21" s="150">
        <f t="shared" si="1"/>
        <v>10</v>
      </c>
      <c r="R21" s="180" t="str">
        <f t="shared" si="4"/>
        <v>TRANSITA</v>
      </c>
      <c r="S21" s="155"/>
      <c r="T21" s="156"/>
      <c r="U21" s="156"/>
      <c r="V21" s="156"/>
      <c r="W21" s="136"/>
      <c r="X21" s="23">
        <f t="shared" si="7"/>
        <v>0</v>
      </c>
      <c r="Y21" s="21">
        <f t="shared" si="8"/>
        <v>7.4444444444444455</v>
      </c>
      <c r="Z21" s="180" t="str">
        <f t="shared" si="6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147">
        <f>'[1]11CL-FAR-PATOL'!E22</f>
        <v>20</v>
      </c>
      <c r="F22" s="125">
        <v>0</v>
      </c>
      <c r="G22" s="148"/>
      <c r="H22" s="126">
        <v>6</v>
      </c>
      <c r="I22" s="149"/>
      <c r="J22" s="150">
        <f t="shared" si="0"/>
        <v>8.6666666666666661</v>
      </c>
      <c r="K22" s="180" t="str">
        <f t="shared" si="3"/>
        <v>N/TRANSITA</v>
      </c>
      <c r="L22" s="154">
        <v>10</v>
      </c>
      <c r="M22" s="123">
        <v>3</v>
      </c>
      <c r="N22" s="123"/>
      <c r="O22" s="123">
        <v>3.5</v>
      </c>
      <c r="P22" s="123"/>
      <c r="Q22" s="150">
        <f t="shared" si="1"/>
        <v>5.5</v>
      </c>
      <c r="R22" s="180" t="str">
        <f t="shared" si="4"/>
        <v>N/TRANSITA</v>
      </c>
      <c r="S22" s="155"/>
      <c r="T22" s="156"/>
      <c r="U22" s="156"/>
      <c r="V22" s="156"/>
      <c r="W22" s="136"/>
      <c r="X22" s="23">
        <f t="shared" si="7"/>
        <v>0</v>
      </c>
      <c r="Y22" s="21">
        <f t="shared" si="8"/>
        <v>4.7222222222222223</v>
      </c>
      <c r="Z22" s="180" t="str">
        <f t="shared" si="6"/>
        <v>N/TRANSITA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147">
        <f>'[1]11CL-FAR-PATOL'!E23</f>
        <v>0</v>
      </c>
      <c r="F23" s="125">
        <v>3</v>
      </c>
      <c r="G23" s="148"/>
      <c r="H23" s="126">
        <v>2.5</v>
      </c>
      <c r="I23" s="149"/>
      <c r="J23" s="150">
        <f t="shared" si="0"/>
        <v>1.8333333333333333</v>
      </c>
      <c r="K23" s="180" t="str">
        <f t="shared" si="3"/>
        <v>N/TRANSITA</v>
      </c>
      <c r="L23" s="154">
        <v>10</v>
      </c>
      <c r="M23" s="123">
        <v>11</v>
      </c>
      <c r="N23" s="123"/>
      <c r="O23" s="123">
        <v>1</v>
      </c>
      <c r="P23" s="123"/>
      <c r="Q23" s="150">
        <f t="shared" si="1"/>
        <v>7.333333333333333</v>
      </c>
      <c r="R23" s="180" t="str">
        <f t="shared" si="4"/>
        <v>N/TRANSITA</v>
      </c>
      <c r="S23" s="155"/>
      <c r="T23" s="156"/>
      <c r="U23" s="156"/>
      <c r="V23" s="156"/>
      <c r="W23" s="136"/>
      <c r="X23" s="23">
        <f t="shared" si="7"/>
        <v>0</v>
      </c>
      <c r="Y23" s="21">
        <f t="shared" si="8"/>
        <v>3.0555555555555554</v>
      </c>
      <c r="Z23" s="180" t="str">
        <f t="shared" si="6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147">
        <f>'[1]11CL-FAR-PATOL'!E24</f>
        <v>0</v>
      </c>
      <c r="F24" s="125">
        <v>2</v>
      </c>
      <c r="G24" s="148"/>
      <c r="H24" s="126">
        <v>15</v>
      </c>
      <c r="I24" s="149"/>
      <c r="J24" s="150">
        <f t="shared" si="0"/>
        <v>5.666666666666667</v>
      </c>
      <c r="K24" s="180" t="str">
        <f t="shared" si="3"/>
        <v>N/TRANSITA</v>
      </c>
      <c r="L24" s="154">
        <v>10</v>
      </c>
      <c r="M24" s="123">
        <v>3</v>
      </c>
      <c r="N24" s="123"/>
      <c r="O24" s="123">
        <v>2.5</v>
      </c>
      <c r="P24" s="123"/>
      <c r="Q24" s="150">
        <f t="shared" si="1"/>
        <v>5.166666666666667</v>
      </c>
      <c r="R24" s="180" t="str">
        <f t="shared" si="4"/>
        <v>N/TRANSITA</v>
      </c>
      <c r="S24" s="155"/>
      <c r="T24" s="156"/>
      <c r="U24" s="156"/>
      <c r="V24" s="156"/>
      <c r="W24" s="136"/>
      <c r="X24" s="23">
        <f t="shared" si="7"/>
        <v>0</v>
      </c>
      <c r="Y24" s="21">
        <f t="shared" si="8"/>
        <v>3.6111111111111112</v>
      </c>
      <c r="Z24" s="180" t="str">
        <f t="shared" si="6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147">
        <f>'[1]11CL-FAR-PATOL'!E25</f>
        <v>0</v>
      </c>
      <c r="F25" s="125">
        <v>0</v>
      </c>
      <c r="G25" s="148"/>
      <c r="H25" s="126">
        <v>6.5</v>
      </c>
      <c r="I25" s="149"/>
      <c r="J25" s="150">
        <f t="shared" si="0"/>
        <v>2.1666666666666665</v>
      </c>
      <c r="K25" s="180" t="str">
        <f t="shared" si="3"/>
        <v>N/TRANSITA</v>
      </c>
      <c r="L25" s="154">
        <v>10</v>
      </c>
      <c r="M25" s="123">
        <v>7</v>
      </c>
      <c r="N25" s="123"/>
      <c r="O25" s="123">
        <v>3</v>
      </c>
      <c r="P25" s="123"/>
      <c r="Q25" s="150">
        <f t="shared" ref="Q25:Q26" si="9">AVERAGE(L25,MAX(M25:N25),MAX(O25:P25))</f>
        <v>6.666666666666667</v>
      </c>
      <c r="R25" s="180" t="str">
        <f t="shared" ref="R25:R26" si="10">IF(Q25&gt;=10,"TRANSITA","N/TRANSITA")</f>
        <v>N/TRANSITA</v>
      </c>
      <c r="S25" s="155"/>
      <c r="T25" s="156"/>
      <c r="U25" s="156"/>
      <c r="V25" s="156"/>
      <c r="W25" s="136"/>
      <c r="X25" s="23">
        <f t="shared" ref="X25:X26" si="11">AVERAGE(S25,MAX(T25:U25),MAX(V25:W25))</f>
        <v>0</v>
      </c>
      <c r="Y25" s="21">
        <f t="shared" ref="Y25:Y26" si="12">SUM(J25,Q25,X25)/3</f>
        <v>2.9444444444444446</v>
      </c>
      <c r="Z25" s="180" t="str">
        <f t="shared" ref="Z25:Z26" si="13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147">
        <f>'[1]11CL-FAR-PATOL'!E26</f>
        <v>0</v>
      </c>
      <c r="F26" s="125">
        <v>3</v>
      </c>
      <c r="G26" s="148"/>
      <c r="H26" s="126">
        <v>4.5</v>
      </c>
      <c r="I26" s="149"/>
      <c r="J26" s="150">
        <f t="shared" si="0"/>
        <v>2.5</v>
      </c>
      <c r="K26" s="180" t="str">
        <f t="shared" si="3"/>
        <v>N/TRANSITA</v>
      </c>
      <c r="L26" s="154">
        <v>10</v>
      </c>
      <c r="M26" s="123">
        <v>3</v>
      </c>
      <c r="N26" s="123"/>
      <c r="O26" s="123">
        <v>2.5</v>
      </c>
      <c r="P26" s="123"/>
      <c r="Q26" s="150">
        <f t="shared" si="9"/>
        <v>5.166666666666667</v>
      </c>
      <c r="R26" s="180" t="str">
        <f t="shared" si="10"/>
        <v>N/TRANSITA</v>
      </c>
      <c r="S26" s="155"/>
      <c r="T26" s="156"/>
      <c r="U26" s="156"/>
      <c r="V26" s="156"/>
      <c r="W26" s="136"/>
      <c r="X26" s="23">
        <f t="shared" si="11"/>
        <v>0</v>
      </c>
      <c r="Y26" s="21">
        <f t="shared" si="12"/>
        <v>2.5555555555555558</v>
      </c>
      <c r="Z26" s="180" t="str">
        <f t="shared" si="13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147">
        <f>'[1]11CL-FAR-PATOL'!E27</f>
        <v>16</v>
      </c>
      <c r="F27" s="125">
        <v>0</v>
      </c>
      <c r="G27" s="148"/>
      <c r="H27" s="126">
        <v>10.5</v>
      </c>
      <c r="I27" s="149"/>
      <c r="J27" s="150">
        <f t="shared" si="0"/>
        <v>8.8333333333333339</v>
      </c>
      <c r="K27" s="180" t="str">
        <f t="shared" si="3"/>
        <v>N/TRANSITA</v>
      </c>
      <c r="L27" s="154">
        <v>9</v>
      </c>
      <c r="M27" s="123">
        <v>5</v>
      </c>
      <c r="N27" s="123"/>
      <c r="O27" s="123">
        <v>4</v>
      </c>
      <c r="P27" s="123"/>
      <c r="Q27" s="150">
        <f t="shared" si="1"/>
        <v>6</v>
      </c>
      <c r="R27" s="180" t="str">
        <f t="shared" si="4"/>
        <v>N/TRANSITA</v>
      </c>
      <c r="S27" s="155"/>
      <c r="T27" s="156"/>
      <c r="U27" s="156"/>
      <c r="V27" s="156"/>
      <c r="W27" s="136"/>
      <c r="X27" s="23">
        <f t="shared" si="7"/>
        <v>0</v>
      </c>
      <c r="Y27" s="21">
        <f t="shared" si="8"/>
        <v>4.9444444444444446</v>
      </c>
      <c r="Z27" s="180" t="str">
        <f t="shared" si="6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147">
        <f>'[1]11CL-FAR-PATOL'!E28</f>
        <v>0</v>
      </c>
      <c r="F28" s="125">
        <v>2</v>
      </c>
      <c r="G28" s="148"/>
      <c r="H28" s="126">
        <v>8</v>
      </c>
      <c r="I28" s="149"/>
      <c r="J28" s="150">
        <f t="shared" si="0"/>
        <v>3.3333333333333335</v>
      </c>
      <c r="K28" s="180" t="str">
        <f t="shared" si="3"/>
        <v>N/TRANSITA</v>
      </c>
      <c r="L28" s="154"/>
      <c r="M28" s="123"/>
      <c r="N28" s="123"/>
      <c r="O28" s="123"/>
      <c r="P28" s="123"/>
      <c r="Q28" s="150">
        <f t="shared" si="1"/>
        <v>0</v>
      </c>
      <c r="R28" s="180" t="str">
        <f t="shared" si="4"/>
        <v>N/TRANSITA</v>
      </c>
      <c r="S28" s="155"/>
      <c r="T28" s="156"/>
      <c r="U28" s="156"/>
      <c r="V28" s="156"/>
      <c r="W28" s="136"/>
      <c r="X28" s="23">
        <f t="shared" si="7"/>
        <v>0</v>
      </c>
      <c r="Y28" s="21">
        <f t="shared" si="8"/>
        <v>1.1111111111111112</v>
      </c>
      <c r="Z28" s="180" t="str">
        <f t="shared" si="6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147">
        <f>'[1]11CL-FAR-PATOL'!E29</f>
        <v>0</v>
      </c>
      <c r="F29" s="125">
        <v>0</v>
      </c>
      <c r="G29" s="148"/>
      <c r="H29" s="126">
        <v>8</v>
      </c>
      <c r="I29" s="149"/>
      <c r="J29" s="150">
        <f t="shared" si="0"/>
        <v>2.6666666666666665</v>
      </c>
      <c r="K29" s="180" t="str">
        <f t="shared" si="3"/>
        <v>N/TRANSITA</v>
      </c>
      <c r="L29" s="154">
        <v>8</v>
      </c>
      <c r="M29" s="123">
        <v>5</v>
      </c>
      <c r="N29" s="123"/>
      <c r="O29" s="123">
        <v>4</v>
      </c>
      <c r="P29" s="123"/>
      <c r="Q29" s="150">
        <f t="shared" si="1"/>
        <v>5.666666666666667</v>
      </c>
      <c r="R29" s="180" t="str">
        <f t="shared" si="4"/>
        <v>N/TRANSITA</v>
      </c>
      <c r="S29" s="155"/>
      <c r="T29" s="156"/>
      <c r="U29" s="156"/>
      <c r="V29" s="156"/>
      <c r="W29" s="136"/>
      <c r="X29" s="23">
        <f t="shared" si="7"/>
        <v>0</v>
      </c>
      <c r="Y29" s="21">
        <f t="shared" si="8"/>
        <v>2.7777777777777781</v>
      </c>
      <c r="Z29" s="180" t="str">
        <f t="shared" si="6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147">
        <f>'[1]11CL-FAR-PATOL'!E30</f>
        <v>0</v>
      </c>
      <c r="F30" s="125">
        <v>0</v>
      </c>
      <c r="G30" s="148"/>
      <c r="H30" s="126">
        <v>5</v>
      </c>
      <c r="I30" s="149"/>
      <c r="J30" s="150">
        <f t="shared" si="0"/>
        <v>1.6666666666666667</v>
      </c>
      <c r="K30" s="180" t="str">
        <f t="shared" si="3"/>
        <v>N/TRANSITA</v>
      </c>
      <c r="L30" s="154">
        <v>13</v>
      </c>
      <c r="M30" s="123">
        <v>13</v>
      </c>
      <c r="N30" s="123"/>
      <c r="O30" s="123">
        <v>4.5</v>
      </c>
      <c r="P30" s="123"/>
      <c r="Q30" s="150">
        <f t="shared" si="1"/>
        <v>10.166666666666666</v>
      </c>
      <c r="R30" s="180" t="str">
        <f t="shared" si="4"/>
        <v>TRANSITA</v>
      </c>
      <c r="S30" s="155"/>
      <c r="T30" s="156"/>
      <c r="U30" s="156"/>
      <c r="V30" s="156"/>
      <c r="W30" s="136"/>
      <c r="X30" s="23">
        <f t="shared" si="7"/>
        <v>0</v>
      </c>
      <c r="Y30" s="21">
        <f t="shared" si="8"/>
        <v>3.9444444444444442</v>
      </c>
      <c r="Z30" s="180" t="str">
        <f t="shared" si="6"/>
        <v>N/TRANSITA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147"/>
      <c r="F31" s="125"/>
      <c r="G31" s="148"/>
      <c r="H31" s="126"/>
      <c r="I31" s="149"/>
      <c r="J31" s="150">
        <f t="shared" si="0"/>
        <v>0</v>
      </c>
      <c r="K31" s="180" t="str">
        <f t="shared" si="3"/>
        <v>N/TRANSITA</v>
      </c>
      <c r="L31" s="154">
        <v>6</v>
      </c>
      <c r="M31" s="123">
        <v>3</v>
      </c>
      <c r="N31" s="123"/>
      <c r="O31" s="123">
        <v>1</v>
      </c>
      <c r="P31" s="123"/>
      <c r="Q31" s="150">
        <f t="shared" ref="Q31" si="14">AVERAGE(L31,MAX(M31:N31),MAX(O31:P31))</f>
        <v>3.3333333333333335</v>
      </c>
      <c r="R31" s="180" t="str">
        <f t="shared" ref="R31" si="15">IF(Q31&gt;=10,"TRANSITA","N/TRANSITA")</f>
        <v>N/TRANSITA</v>
      </c>
      <c r="S31" s="155"/>
      <c r="T31" s="156"/>
      <c r="U31" s="156"/>
      <c r="V31" s="156"/>
      <c r="W31" s="136"/>
      <c r="X31" s="23">
        <f t="shared" ref="X31" si="16">AVERAGE(S31,MAX(T31:U31),MAX(V31:W31))</f>
        <v>0</v>
      </c>
      <c r="Y31" s="21">
        <f t="shared" ref="Y31" si="17">SUM(J31,Q31,X31)/3</f>
        <v>1.1111111111111112</v>
      </c>
      <c r="Z31" s="180" t="str">
        <f t="shared" ref="Z31" si="18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147">
        <f>'[1]11CL-FAR-PATOL'!E31</f>
        <v>20</v>
      </c>
      <c r="F32" s="125">
        <v>4</v>
      </c>
      <c r="G32" s="148"/>
      <c r="H32" s="126">
        <v>8</v>
      </c>
      <c r="I32" s="149"/>
      <c r="J32" s="150">
        <f t="shared" si="0"/>
        <v>10.666666666666666</v>
      </c>
      <c r="K32" s="180" t="str">
        <f t="shared" si="3"/>
        <v>TRANSITA</v>
      </c>
      <c r="L32" s="154">
        <v>12</v>
      </c>
      <c r="M32" s="123">
        <v>3</v>
      </c>
      <c r="N32" s="123"/>
      <c r="O32" s="123">
        <v>5</v>
      </c>
      <c r="P32" s="123"/>
      <c r="Q32" s="150">
        <f t="shared" ref="Q32:Q48" si="19">AVERAGE(L32,MAX(M32:N32),MAX(O32:P32))</f>
        <v>6.666666666666667</v>
      </c>
      <c r="R32" s="180" t="str">
        <f t="shared" si="4"/>
        <v>N/TRANSITA</v>
      </c>
      <c r="S32" s="155"/>
      <c r="T32" s="156"/>
      <c r="U32" s="156"/>
      <c r="V32" s="156"/>
      <c r="W32" s="136"/>
      <c r="X32" s="23">
        <f t="shared" ref="X32:X48" si="20">AVERAGE(S32,MAX(T32:U32),MAX(V32:W32))</f>
        <v>0</v>
      </c>
      <c r="Y32" s="21">
        <f t="shared" ref="Y32:Y48" si="21">SUM(J32,Q32,X32)/3</f>
        <v>5.7777777777777777</v>
      </c>
      <c r="Z32" s="180" t="str">
        <f t="shared" si="6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147">
        <f>'[1]11CL-FAR-PATOL'!E32</f>
        <v>20</v>
      </c>
      <c r="F33" s="125">
        <v>10</v>
      </c>
      <c r="G33" s="148"/>
      <c r="H33" s="126">
        <v>5.5</v>
      </c>
      <c r="I33" s="149"/>
      <c r="J33" s="150">
        <f t="shared" si="0"/>
        <v>11.833333333333334</v>
      </c>
      <c r="K33" s="180" t="str">
        <f t="shared" si="3"/>
        <v>TRANSITA</v>
      </c>
      <c r="L33" s="154">
        <v>13</v>
      </c>
      <c r="M33" s="123">
        <v>15</v>
      </c>
      <c r="N33" s="123"/>
      <c r="O33" s="123">
        <v>3</v>
      </c>
      <c r="P33" s="123"/>
      <c r="Q33" s="150">
        <f t="shared" si="19"/>
        <v>10.333333333333334</v>
      </c>
      <c r="R33" s="180" t="str">
        <f t="shared" si="4"/>
        <v>TRANSITA</v>
      </c>
      <c r="S33" s="155"/>
      <c r="T33" s="156"/>
      <c r="U33" s="156"/>
      <c r="V33" s="156"/>
      <c r="W33" s="136"/>
      <c r="X33" s="23">
        <f t="shared" si="20"/>
        <v>0</v>
      </c>
      <c r="Y33" s="21">
        <f t="shared" si="21"/>
        <v>7.3888888888888893</v>
      </c>
      <c r="Z33" s="180" t="str">
        <f t="shared" si="6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147">
        <f>'[1]11CL-FAR-PATOL'!E33</f>
        <v>20</v>
      </c>
      <c r="F34" s="125">
        <v>12</v>
      </c>
      <c r="G34" s="148"/>
      <c r="H34" s="126">
        <v>10</v>
      </c>
      <c r="I34" s="149"/>
      <c r="J34" s="150">
        <f t="shared" si="0"/>
        <v>14</v>
      </c>
      <c r="K34" s="180" t="str">
        <f t="shared" si="3"/>
        <v>TRANSITA</v>
      </c>
      <c r="L34" s="154">
        <v>12</v>
      </c>
      <c r="M34" s="123">
        <v>14</v>
      </c>
      <c r="N34" s="123"/>
      <c r="O34" s="123">
        <v>5</v>
      </c>
      <c r="P34" s="123"/>
      <c r="Q34" s="150">
        <f t="shared" si="19"/>
        <v>10.333333333333334</v>
      </c>
      <c r="R34" s="180" t="str">
        <f t="shared" si="4"/>
        <v>TRANSITA</v>
      </c>
      <c r="S34" s="155"/>
      <c r="T34" s="156"/>
      <c r="U34" s="156"/>
      <c r="V34" s="156"/>
      <c r="W34" s="136"/>
      <c r="X34" s="23">
        <f t="shared" si="20"/>
        <v>0</v>
      </c>
      <c r="Y34" s="21">
        <f t="shared" si="21"/>
        <v>8.1111111111111125</v>
      </c>
      <c r="Z34" s="180" t="str">
        <f t="shared" si="6"/>
        <v>N/TRANSITA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147">
        <f>'[1]11CL-FAR-PATOL'!E34</f>
        <v>0</v>
      </c>
      <c r="F35" s="125">
        <v>0</v>
      </c>
      <c r="G35" s="148"/>
      <c r="H35" s="126">
        <v>6.5</v>
      </c>
      <c r="I35" s="149"/>
      <c r="J35" s="150">
        <f t="shared" si="0"/>
        <v>2.1666666666666665</v>
      </c>
      <c r="K35" s="180" t="str">
        <f t="shared" si="3"/>
        <v>N/TRANSITA</v>
      </c>
      <c r="L35" s="154"/>
      <c r="M35" s="123"/>
      <c r="N35" s="123"/>
      <c r="O35" s="123"/>
      <c r="P35" s="123"/>
      <c r="Q35" s="150">
        <f t="shared" si="19"/>
        <v>0</v>
      </c>
      <c r="R35" s="180" t="str">
        <f t="shared" si="4"/>
        <v>N/TRANSITA</v>
      </c>
      <c r="S35" s="155"/>
      <c r="T35" s="156"/>
      <c r="U35" s="156"/>
      <c r="V35" s="156"/>
      <c r="W35" s="136"/>
      <c r="X35" s="23">
        <f t="shared" si="20"/>
        <v>0</v>
      </c>
      <c r="Y35" s="21">
        <f t="shared" si="21"/>
        <v>0.72222222222222221</v>
      </c>
      <c r="Z35" s="180" t="str">
        <f t="shared" si="6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147">
        <f>'[1]11CL-FAR-PATOL'!E35</f>
        <v>20</v>
      </c>
      <c r="F36" s="125">
        <v>1</v>
      </c>
      <c r="G36" s="148"/>
      <c r="H36" s="126">
        <v>10</v>
      </c>
      <c r="I36" s="149"/>
      <c r="J36" s="150">
        <f t="shared" si="0"/>
        <v>10.333333333333334</v>
      </c>
      <c r="K36" s="180" t="str">
        <f t="shared" si="3"/>
        <v>TRANSITA</v>
      </c>
      <c r="L36" s="154">
        <v>10</v>
      </c>
      <c r="M36" s="123">
        <v>8</v>
      </c>
      <c r="N36" s="123"/>
      <c r="O36" s="123">
        <v>3</v>
      </c>
      <c r="P36" s="123"/>
      <c r="Q36" s="150">
        <f t="shared" si="19"/>
        <v>7</v>
      </c>
      <c r="R36" s="180" t="str">
        <f t="shared" si="4"/>
        <v>N/TRANSITA</v>
      </c>
      <c r="S36" s="155"/>
      <c r="T36" s="156"/>
      <c r="U36" s="156"/>
      <c r="V36" s="156"/>
      <c r="W36" s="136"/>
      <c r="X36" s="23">
        <f t="shared" si="20"/>
        <v>0</v>
      </c>
      <c r="Y36" s="21">
        <f t="shared" si="21"/>
        <v>5.7777777777777786</v>
      </c>
      <c r="Z36" s="180" t="str">
        <f t="shared" si="6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147">
        <f>'[1]11CL-FAR-PATOL'!E36</f>
        <v>20</v>
      </c>
      <c r="F37" s="125">
        <v>3.5</v>
      </c>
      <c r="G37" s="148"/>
      <c r="H37" s="126">
        <v>6</v>
      </c>
      <c r="I37" s="149"/>
      <c r="J37" s="150">
        <f t="shared" si="0"/>
        <v>9.8333333333333339</v>
      </c>
      <c r="K37" s="180" t="str">
        <f t="shared" si="3"/>
        <v>N/TRANSITA</v>
      </c>
      <c r="L37" s="154">
        <v>8</v>
      </c>
      <c r="M37" s="123">
        <v>9</v>
      </c>
      <c r="N37" s="123"/>
      <c r="O37" s="123">
        <v>2.5</v>
      </c>
      <c r="P37" s="123"/>
      <c r="Q37" s="150">
        <f t="shared" si="19"/>
        <v>6.5</v>
      </c>
      <c r="R37" s="180" t="str">
        <f t="shared" si="4"/>
        <v>N/TRANSITA</v>
      </c>
      <c r="S37" s="155"/>
      <c r="T37" s="156"/>
      <c r="U37" s="156"/>
      <c r="V37" s="156"/>
      <c r="W37" s="136"/>
      <c r="X37" s="23">
        <f t="shared" si="20"/>
        <v>0</v>
      </c>
      <c r="Y37" s="21">
        <f t="shared" si="21"/>
        <v>5.4444444444444455</v>
      </c>
      <c r="Z37" s="180" t="str">
        <f t="shared" si="6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147">
        <f>'[1]11CL-FAR-PATOL'!E37</f>
        <v>20</v>
      </c>
      <c r="F38" s="125">
        <v>0</v>
      </c>
      <c r="G38" s="148"/>
      <c r="H38" s="126">
        <v>11</v>
      </c>
      <c r="I38" s="149"/>
      <c r="J38" s="150">
        <f t="shared" si="0"/>
        <v>10.333333333333334</v>
      </c>
      <c r="K38" s="180" t="str">
        <f t="shared" si="3"/>
        <v>TRANSITA</v>
      </c>
      <c r="L38" s="154">
        <v>7</v>
      </c>
      <c r="M38" s="123">
        <v>3</v>
      </c>
      <c r="N38" s="123"/>
      <c r="O38" s="123">
        <v>3</v>
      </c>
      <c r="P38" s="123"/>
      <c r="Q38" s="150">
        <f t="shared" si="19"/>
        <v>4.333333333333333</v>
      </c>
      <c r="R38" s="180" t="str">
        <f t="shared" si="4"/>
        <v>N/TRANSITA</v>
      </c>
      <c r="S38" s="155"/>
      <c r="T38" s="156"/>
      <c r="U38" s="156"/>
      <c r="V38" s="156"/>
      <c r="W38" s="136"/>
      <c r="X38" s="23">
        <f t="shared" si="20"/>
        <v>0</v>
      </c>
      <c r="Y38" s="21">
        <f t="shared" si="21"/>
        <v>4.8888888888888893</v>
      </c>
      <c r="Z38" s="180" t="str">
        <f t="shared" si="6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147"/>
      <c r="F39" s="125"/>
      <c r="G39" s="148"/>
      <c r="H39" s="126"/>
      <c r="I39" s="149"/>
      <c r="J39" s="150">
        <f t="shared" si="0"/>
        <v>0</v>
      </c>
      <c r="K39" s="180" t="str">
        <f t="shared" si="3"/>
        <v>N/TRANSITA</v>
      </c>
      <c r="L39" s="154">
        <v>6</v>
      </c>
      <c r="M39" s="123">
        <v>9</v>
      </c>
      <c r="N39" s="123"/>
      <c r="O39" s="123">
        <v>2.5</v>
      </c>
      <c r="P39" s="123"/>
      <c r="Q39" s="150">
        <f t="shared" ref="Q39:Q43" si="22">AVERAGE(L39,MAX(M39:N39),MAX(O39:P39))</f>
        <v>5.833333333333333</v>
      </c>
      <c r="R39" s="180" t="str">
        <f t="shared" ref="R39:R43" si="23">IF(Q39&gt;=10,"TRANSITA","N/TRANSITA")</f>
        <v>N/TRANSITA</v>
      </c>
      <c r="S39" s="155"/>
      <c r="T39" s="156"/>
      <c r="U39" s="156"/>
      <c r="V39" s="156"/>
      <c r="W39" s="136"/>
      <c r="X39" s="23">
        <f t="shared" ref="X39:X43" si="24">AVERAGE(S39,MAX(T39:U39),MAX(V39:W39))</f>
        <v>0</v>
      </c>
      <c r="Y39" s="21">
        <f t="shared" ref="Y39:Y43" si="25">SUM(J39,Q39,X39)/3</f>
        <v>1.9444444444444444</v>
      </c>
      <c r="Z39" s="180" t="str">
        <f t="shared" ref="Z39:Z43" si="26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147"/>
      <c r="F40" s="125"/>
      <c r="G40" s="148"/>
      <c r="H40" s="126"/>
      <c r="I40" s="149"/>
      <c r="J40" s="150">
        <f t="shared" si="0"/>
        <v>0</v>
      </c>
      <c r="K40" s="180" t="str">
        <f t="shared" si="3"/>
        <v>N/TRANSITA</v>
      </c>
      <c r="L40" s="154">
        <v>13</v>
      </c>
      <c r="M40" s="123">
        <v>13</v>
      </c>
      <c r="N40" s="123"/>
      <c r="O40" s="123">
        <v>2.5</v>
      </c>
      <c r="P40" s="123"/>
      <c r="Q40" s="150">
        <f t="shared" si="22"/>
        <v>9.5</v>
      </c>
      <c r="R40" s="180" t="str">
        <f t="shared" si="23"/>
        <v>N/TRANSITA</v>
      </c>
      <c r="S40" s="155"/>
      <c r="T40" s="156"/>
      <c r="U40" s="156"/>
      <c r="V40" s="156"/>
      <c r="W40" s="136"/>
      <c r="X40" s="23">
        <f t="shared" si="24"/>
        <v>0</v>
      </c>
      <c r="Y40" s="21">
        <f t="shared" si="25"/>
        <v>3.1666666666666665</v>
      </c>
      <c r="Z40" s="180" t="str">
        <f t="shared" si="26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147">
        <f>'[1]11CL-FAR-PATOL'!E38</f>
        <v>0</v>
      </c>
      <c r="F41" s="125">
        <v>0</v>
      </c>
      <c r="G41" s="148"/>
      <c r="H41" s="126">
        <v>7.5</v>
      </c>
      <c r="I41" s="149"/>
      <c r="J41" s="150">
        <f t="shared" si="0"/>
        <v>2.5</v>
      </c>
      <c r="K41" s="180" t="str">
        <f t="shared" si="3"/>
        <v>N/TRANSITA</v>
      </c>
      <c r="L41" s="154">
        <v>8</v>
      </c>
      <c r="M41" s="123">
        <v>3</v>
      </c>
      <c r="N41" s="123"/>
      <c r="O41" s="123">
        <v>1</v>
      </c>
      <c r="P41" s="123"/>
      <c r="Q41" s="150">
        <f t="shared" si="22"/>
        <v>4</v>
      </c>
      <c r="R41" s="180" t="str">
        <f t="shared" si="23"/>
        <v>N/TRANSITA</v>
      </c>
      <c r="S41" s="155"/>
      <c r="T41" s="156"/>
      <c r="U41" s="156"/>
      <c r="V41" s="156"/>
      <c r="W41" s="136"/>
      <c r="X41" s="23">
        <f t="shared" si="24"/>
        <v>0</v>
      </c>
      <c r="Y41" s="21">
        <f t="shared" si="25"/>
        <v>2.1666666666666665</v>
      </c>
      <c r="Z41" s="180" t="str">
        <f t="shared" si="26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147">
        <f>'[1]11CL-FAR-PATOL'!E39</f>
        <v>20</v>
      </c>
      <c r="F42" s="125">
        <v>4</v>
      </c>
      <c r="G42" s="148"/>
      <c r="H42" s="126">
        <v>6</v>
      </c>
      <c r="I42" s="149"/>
      <c r="J42" s="150">
        <f t="shared" si="0"/>
        <v>10</v>
      </c>
      <c r="K42" s="180" t="str">
        <f t="shared" si="3"/>
        <v>TRANSITA</v>
      </c>
      <c r="L42" s="154">
        <v>9</v>
      </c>
      <c r="M42" s="123">
        <v>3</v>
      </c>
      <c r="N42" s="123"/>
      <c r="O42" s="123">
        <v>2.5</v>
      </c>
      <c r="P42" s="123"/>
      <c r="Q42" s="150">
        <f t="shared" si="22"/>
        <v>4.833333333333333</v>
      </c>
      <c r="R42" s="180" t="str">
        <f t="shared" si="23"/>
        <v>N/TRANSITA</v>
      </c>
      <c r="S42" s="155"/>
      <c r="T42" s="156"/>
      <c r="U42" s="156"/>
      <c r="V42" s="156"/>
      <c r="W42" s="136"/>
      <c r="X42" s="23">
        <f t="shared" si="24"/>
        <v>0</v>
      </c>
      <c r="Y42" s="21">
        <f t="shared" si="25"/>
        <v>4.9444444444444438</v>
      </c>
      <c r="Z42" s="180" t="str">
        <f t="shared" si="26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147">
        <f>'[1]11CL-FAR-PATOL'!E40</f>
        <v>20</v>
      </c>
      <c r="F43" s="125">
        <v>1.5</v>
      </c>
      <c r="G43" s="148"/>
      <c r="H43" s="126">
        <v>7.5</v>
      </c>
      <c r="I43" s="149"/>
      <c r="J43" s="150">
        <f t="shared" si="0"/>
        <v>9.6666666666666661</v>
      </c>
      <c r="K43" s="180" t="str">
        <f t="shared" si="3"/>
        <v>N/TRANSITA</v>
      </c>
      <c r="L43" s="154">
        <v>12</v>
      </c>
      <c r="M43" s="123">
        <v>15</v>
      </c>
      <c r="N43" s="123"/>
      <c r="O43" s="123">
        <v>3</v>
      </c>
      <c r="P43" s="123"/>
      <c r="Q43" s="150">
        <f t="shared" si="22"/>
        <v>10</v>
      </c>
      <c r="R43" s="180" t="str">
        <f t="shared" si="23"/>
        <v>TRANSITA</v>
      </c>
      <c r="S43" s="155"/>
      <c r="T43" s="156"/>
      <c r="U43" s="156"/>
      <c r="V43" s="156"/>
      <c r="W43" s="136"/>
      <c r="X43" s="23">
        <f t="shared" si="24"/>
        <v>0</v>
      </c>
      <c r="Y43" s="21">
        <f t="shared" si="25"/>
        <v>6.5555555555555545</v>
      </c>
      <c r="Z43" s="180" t="str">
        <f t="shared" si="26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147">
        <f>'[1]11CL-FAR-PATOL'!E41</f>
        <v>20</v>
      </c>
      <c r="F44" s="125">
        <v>2</v>
      </c>
      <c r="G44" s="148"/>
      <c r="H44" s="126">
        <v>6</v>
      </c>
      <c r="I44" s="149"/>
      <c r="J44" s="150">
        <f t="shared" si="0"/>
        <v>9.3333333333333339</v>
      </c>
      <c r="K44" s="180" t="str">
        <f t="shared" si="3"/>
        <v>N/TRANSITA</v>
      </c>
      <c r="L44" s="154">
        <v>9</v>
      </c>
      <c r="M44" s="123">
        <v>5</v>
      </c>
      <c r="N44" s="123"/>
      <c r="O44" s="123">
        <v>1</v>
      </c>
      <c r="P44" s="123"/>
      <c r="Q44" s="150">
        <f t="shared" si="19"/>
        <v>5</v>
      </c>
      <c r="R44" s="180" t="str">
        <f t="shared" si="4"/>
        <v>N/TRANSITA</v>
      </c>
      <c r="S44" s="155"/>
      <c r="T44" s="156"/>
      <c r="U44" s="156"/>
      <c r="V44" s="156"/>
      <c r="W44" s="136"/>
      <c r="X44" s="23">
        <f t="shared" si="20"/>
        <v>0</v>
      </c>
      <c r="Y44" s="21">
        <f t="shared" si="21"/>
        <v>4.7777777777777777</v>
      </c>
      <c r="Z44" s="180" t="str">
        <f t="shared" si="6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147">
        <f>'[1]11CL-FAR-PATOL'!E42</f>
        <v>20</v>
      </c>
      <c r="F45" s="125">
        <v>2</v>
      </c>
      <c r="G45" s="148"/>
      <c r="H45" s="126">
        <v>8</v>
      </c>
      <c r="I45" s="149"/>
      <c r="J45" s="150">
        <f t="shared" si="0"/>
        <v>10</v>
      </c>
      <c r="K45" s="180" t="str">
        <f t="shared" si="3"/>
        <v>TRANSITA</v>
      </c>
      <c r="L45" s="154">
        <v>8</v>
      </c>
      <c r="M45" s="123">
        <v>4</v>
      </c>
      <c r="N45" s="123"/>
      <c r="O45" s="123">
        <v>2</v>
      </c>
      <c r="P45" s="123"/>
      <c r="Q45" s="150">
        <f t="shared" si="19"/>
        <v>4.666666666666667</v>
      </c>
      <c r="R45" s="180" t="str">
        <f t="shared" si="4"/>
        <v>N/TRANSITA</v>
      </c>
      <c r="S45" s="155"/>
      <c r="T45" s="156"/>
      <c r="U45" s="156"/>
      <c r="V45" s="156"/>
      <c r="W45" s="136"/>
      <c r="X45" s="23">
        <f t="shared" si="20"/>
        <v>0</v>
      </c>
      <c r="Y45" s="21">
        <f t="shared" si="21"/>
        <v>4.8888888888888893</v>
      </c>
      <c r="Z45" s="180" t="str">
        <f t="shared" si="6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147"/>
      <c r="F46" s="125"/>
      <c r="G46" s="148"/>
      <c r="H46" s="126"/>
      <c r="I46" s="149"/>
      <c r="J46" s="150">
        <f t="shared" si="0"/>
        <v>0</v>
      </c>
      <c r="K46" s="180" t="str">
        <f t="shared" si="3"/>
        <v>N/TRANSITA</v>
      </c>
      <c r="L46" s="154">
        <v>7</v>
      </c>
      <c r="M46" s="123">
        <v>3</v>
      </c>
      <c r="N46" s="123"/>
      <c r="O46" s="123">
        <v>2.5</v>
      </c>
      <c r="P46" s="123"/>
      <c r="Q46" s="150">
        <f t="shared" ref="Q46:Q47" si="27">AVERAGE(L46,MAX(M46:N46),MAX(O46:P46))</f>
        <v>4.166666666666667</v>
      </c>
      <c r="R46" s="180" t="str">
        <f t="shared" ref="R46:R47" si="28">IF(Q46&gt;=10,"TRANSITA","N/TRANSITA")</f>
        <v>N/TRANSITA</v>
      </c>
      <c r="S46" s="155"/>
      <c r="T46" s="156"/>
      <c r="U46" s="156"/>
      <c r="V46" s="156"/>
      <c r="W46" s="136"/>
      <c r="X46" s="23">
        <f t="shared" ref="X46:X47" si="29">AVERAGE(S46,MAX(T46:U46),MAX(V46:W46))</f>
        <v>0</v>
      </c>
      <c r="Y46" s="21">
        <f t="shared" ref="Y46:Y47" si="30">SUM(J46,Q46,X46)/3</f>
        <v>1.3888888888888891</v>
      </c>
      <c r="Z46" s="180" t="str">
        <f t="shared" ref="Z46:Z47" si="31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147">
        <f>'[1]11CL-FAR-PATOL'!E43</f>
        <v>10</v>
      </c>
      <c r="F47" s="125">
        <v>5</v>
      </c>
      <c r="G47" s="148"/>
      <c r="H47" s="126">
        <v>7.5</v>
      </c>
      <c r="I47" s="149"/>
      <c r="J47" s="150">
        <f t="shared" si="0"/>
        <v>7.5</v>
      </c>
      <c r="K47" s="180" t="str">
        <f t="shared" si="3"/>
        <v>N/TRANSITA</v>
      </c>
      <c r="L47" s="154">
        <v>11</v>
      </c>
      <c r="M47" s="123">
        <v>11</v>
      </c>
      <c r="N47" s="123"/>
      <c r="O47" s="123">
        <v>5</v>
      </c>
      <c r="P47" s="123"/>
      <c r="Q47" s="150">
        <f t="shared" si="27"/>
        <v>9</v>
      </c>
      <c r="R47" s="180" t="str">
        <f t="shared" si="28"/>
        <v>N/TRANSITA</v>
      </c>
      <c r="S47" s="155"/>
      <c r="T47" s="156"/>
      <c r="U47" s="156"/>
      <c r="V47" s="156"/>
      <c r="W47" s="136"/>
      <c r="X47" s="23">
        <f t="shared" si="29"/>
        <v>0</v>
      </c>
      <c r="Y47" s="21">
        <f t="shared" si="30"/>
        <v>5.5</v>
      </c>
      <c r="Z47" s="180" t="str">
        <f t="shared" si="31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147">
        <f>'[1]11CL-FAR-PATOL'!E44</f>
        <v>20</v>
      </c>
      <c r="F48" s="125">
        <v>2</v>
      </c>
      <c r="G48" s="148"/>
      <c r="H48" s="126">
        <v>8</v>
      </c>
      <c r="I48" s="149"/>
      <c r="J48" s="150">
        <f t="shared" si="0"/>
        <v>10</v>
      </c>
      <c r="K48" s="180" t="str">
        <f t="shared" si="3"/>
        <v>TRANSITA</v>
      </c>
      <c r="L48" s="154">
        <v>15</v>
      </c>
      <c r="M48" s="123">
        <v>16</v>
      </c>
      <c r="N48" s="123"/>
      <c r="O48" s="123">
        <v>2.5</v>
      </c>
      <c r="P48" s="123"/>
      <c r="Q48" s="150">
        <f t="shared" si="19"/>
        <v>11.166666666666666</v>
      </c>
      <c r="R48" s="180" t="str">
        <f t="shared" si="4"/>
        <v>TRANSITA</v>
      </c>
      <c r="S48" s="155"/>
      <c r="T48" s="156"/>
      <c r="U48" s="156"/>
      <c r="V48" s="156"/>
      <c r="W48" s="136"/>
      <c r="X48" s="23">
        <f t="shared" si="20"/>
        <v>0</v>
      </c>
      <c r="Y48" s="21">
        <f t="shared" si="21"/>
        <v>7.0555555555555545</v>
      </c>
      <c r="Z48" s="180" t="str">
        <f t="shared" si="6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147">
        <v>0</v>
      </c>
      <c r="F49" s="125"/>
      <c r="G49" s="148"/>
      <c r="H49" s="126"/>
      <c r="I49" s="149"/>
      <c r="J49" s="150">
        <f t="shared" si="0"/>
        <v>0</v>
      </c>
      <c r="K49" s="180" t="str">
        <f t="shared" si="3"/>
        <v>N/TRANSITA</v>
      </c>
      <c r="L49" s="154"/>
      <c r="M49" s="123"/>
      <c r="N49" s="123"/>
      <c r="O49" s="123"/>
      <c r="P49" s="123"/>
      <c r="Q49" s="150">
        <f t="shared" si="1"/>
        <v>0</v>
      </c>
      <c r="R49" s="180" t="str">
        <f t="shared" si="4"/>
        <v>N/TRANSITA</v>
      </c>
      <c r="S49" s="155"/>
      <c r="T49" s="155"/>
      <c r="U49" s="156"/>
      <c r="V49" s="156"/>
      <c r="W49" s="136"/>
      <c r="X49" s="23">
        <f t="shared" si="7"/>
        <v>0</v>
      </c>
      <c r="Y49" s="21">
        <f t="shared" si="8"/>
        <v>0</v>
      </c>
      <c r="Z49" s="180" t="str">
        <f t="shared" si="6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147">
        <f>'[1]11CL-FAR-PATOL'!E46</f>
        <v>20</v>
      </c>
      <c r="F50" s="125">
        <v>2.5</v>
      </c>
      <c r="G50" s="148"/>
      <c r="H50" s="126">
        <v>3.5</v>
      </c>
      <c r="I50" s="149"/>
      <c r="J50" s="150">
        <f t="shared" si="0"/>
        <v>8.6666666666666661</v>
      </c>
      <c r="K50" s="180" t="str">
        <f t="shared" si="3"/>
        <v>N/TRANSITA</v>
      </c>
      <c r="L50" s="154">
        <v>8</v>
      </c>
      <c r="M50" s="123">
        <v>0</v>
      </c>
      <c r="N50" s="123"/>
      <c r="O50" s="123">
        <v>1</v>
      </c>
      <c r="P50" s="123"/>
      <c r="Q50" s="150">
        <f t="shared" si="1"/>
        <v>3</v>
      </c>
      <c r="R50" s="180" t="str">
        <f t="shared" si="4"/>
        <v>N/TRANSITA</v>
      </c>
      <c r="S50" s="155"/>
      <c r="T50" s="156"/>
      <c r="U50" s="156"/>
      <c r="V50" s="156"/>
      <c r="W50" s="136"/>
      <c r="X50" s="23">
        <f t="shared" si="7"/>
        <v>0</v>
      </c>
      <c r="Y50" s="21">
        <f t="shared" si="8"/>
        <v>3.8888888888888888</v>
      </c>
      <c r="Z50" s="180" t="str">
        <f t="shared" si="6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147">
        <f>'[1]11CL-FAR-PATOL'!E47</f>
        <v>20</v>
      </c>
      <c r="F51" s="125">
        <v>0</v>
      </c>
      <c r="G51" s="148"/>
      <c r="H51" s="126">
        <v>9</v>
      </c>
      <c r="I51" s="149"/>
      <c r="J51" s="150">
        <f t="shared" si="0"/>
        <v>9.6666666666666661</v>
      </c>
      <c r="K51" s="180" t="str">
        <f t="shared" si="3"/>
        <v>N/TRANSITA</v>
      </c>
      <c r="L51" s="154">
        <v>10</v>
      </c>
      <c r="M51" s="123">
        <v>3</v>
      </c>
      <c r="N51" s="123"/>
      <c r="O51" s="123">
        <v>2</v>
      </c>
      <c r="P51" s="123"/>
      <c r="Q51" s="150">
        <f t="shared" si="1"/>
        <v>5</v>
      </c>
      <c r="R51" s="180" t="str">
        <f t="shared" si="4"/>
        <v>N/TRANSITA</v>
      </c>
      <c r="S51" s="155"/>
      <c r="T51" s="156"/>
      <c r="U51" s="156"/>
      <c r="V51" s="156"/>
      <c r="W51" s="136"/>
      <c r="X51" s="23">
        <f t="shared" si="7"/>
        <v>0</v>
      </c>
      <c r="Y51" s="21">
        <f t="shared" si="8"/>
        <v>4.8888888888888884</v>
      </c>
      <c r="Z51" s="180" t="str">
        <f t="shared" si="6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147">
        <f>'[1]11CL-FAR-PATOL'!E48</f>
        <v>20</v>
      </c>
      <c r="F52" s="125">
        <v>0</v>
      </c>
      <c r="G52" s="148"/>
      <c r="H52" s="126">
        <v>2</v>
      </c>
      <c r="I52" s="149"/>
      <c r="J52" s="150">
        <f t="shared" si="0"/>
        <v>7.333333333333333</v>
      </c>
      <c r="K52" s="180" t="str">
        <f t="shared" si="3"/>
        <v>N/TRANSITA</v>
      </c>
      <c r="L52" s="154"/>
      <c r="M52" s="123"/>
      <c r="N52" s="123"/>
      <c r="O52" s="123"/>
      <c r="P52" s="123"/>
      <c r="Q52" s="150">
        <f t="shared" si="1"/>
        <v>0</v>
      </c>
      <c r="R52" s="180" t="str">
        <f t="shared" si="4"/>
        <v>N/TRANSITA</v>
      </c>
      <c r="S52" s="155"/>
      <c r="T52" s="156"/>
      <c r="U52" s="156"/>
      <c r="V52" s="156"/>
      <c r="W52" s="136"/>
      <c r="X52" s="23">
        <f t="shared" si="7"/>
        <v>0</v>
      </c>
      <c r="Y52" s="21">
        <f t="shared" si="8"/>
        <v>2.4444444444444442</v>
      </c>
      <c r="Z52" s="180" t="str">
        <f t="shared" si="6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57">
        <v>0</v>
      </c>
      <c r="F53" s="138"/>
      <c r="G53" s="158"/>
      <c r="H53" s="135"/>
      <c r="I53" s="156"/>
      <c r="J53" s="150">
        <f t="shared" si="0"/>
        <v>0</v>
      </c>
      <c r="K53" s="180" t="str">
        <f t="shared" si="3"/>
        <v>N/TRANSITA</v>
      </c>
      <c r="L53" s="154"/>
      <c r="M53" s="123"/>
      <c r="N53" s="123"/>
      <c r="O53" s="123"/>
      <c r="P53" s="123"/>
      <c r="Q53" s="150">
        <f t="shared" si="1"/>
        <v>0</v>
      </c>
      <c r="R53" s="180" t="str">
        <f t="shared" si="4"/>
        <v>N/TRANSITA</v>
      </c>
      <c r="S53" s="155"/>
      <c r="T53" s="156"/>
      <c r="U53" s="156"/>
      <c r="V53" s="156"/>
      <c r="W53" s="136"/>
      <c r="X53" s="23">
        <f t="shared" si="7"/>
        <v>0</v>
      </c>
      <c r="Y53" s="21">
        <f t="shared" si="8"/>
        <v>0</v>
      </c>
      <c r="Z53" s="180" t="str">
        <f t="shared" si="6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57"/>
      <c r="F54" s="138"/>
      <c r="G54" s="158"/>
      <c r="H54" s="135"/>
      <c r="I54" s="156"/>
      <c r="J54" s="150">
        <f t="shared" si="0"/>
        <v>0</v>
      </c>
      <c r="K54" s="180" t="str">
        <f t="shared" si="3"/>
        <v>N/TRANSITA</v>
      </c>
      <c r="L54" s="154">
        <v>10</v>
      </c>
      <c r="M54" s="123">
        <v>3</v>
      </c>
      <c r="N54" s="123"/>
      <c r="O54" s="123">
        <v>3</v>
      </c>
      <c r="P54" s="123"/>
      <c r="Q54" s="150">
        <f t="shared" ref="Q54:Q56" si="32">AVERAGE(L54,MAX(M54:N54),MAX(O54:P54))</f>
        <v>5.333333333333333</v>
      </c>
      <c r="R54" s="180" t="str">
        <f t="shared" ref="R54:R56" si="33">IF(Q54&gt;=10,"TRANSITA","N/TRANSITA")</f>
        <v>N/TRANSITA</v>
      </c>
      <c r="S54" s="155"/>
      <c r="T54" s="156"/>
      <c r="U54" s="156"/>
      <c r="V54" s="156"/>
      <c r="W54" s="136"/>
      <c r="X54" s="23">
        <f t="shared" ref="X54:X56" si="34">AVERAGE(S54,MAX(T54:U54),MAX(V54:W54))</f>
        <v>0</v>
      </c>
      <c r="Y54" s="21">
        <f t="shared" ref="Y54:Y56" si="35">SUM(J54,Q54,X54)/3</f>
        <v>1.7777777777777777</v>
      </c>
      <c r="Z54" s="180" t="str">
        <f t="shared" ref="Z54:Z56" si="3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57">
        <f>'[1]11CL-FAR-PATOL'!E50</f>
        <v>0</v>
      </c>
      <c r="F55" s="138">
        <v>3</v>
      </c>
      <c r="G55" s="158"/>
      <c r="H55" s="135">
        <v>8</v>
      </c>
      <c r="I55" s="156"/>
      <c r="J55" s="150">
        <f t="shared" si="0"/>
        <v>3.6666666666666665</v>
      </c>
      <c r="K55" s="180" t="str">
        <f t="shared" si="3"/>
        <v>N/TRANSITA</v>
      </c>
      <c r="L55" s="154">
        <v>10</v>
      </c>
      <c r="M55" s="123">
        <v>3</v>
      </c>
      <c r="N55" s="123"/>
      <c r="O55" s="123">
        <v>1</v>
      </c>
      <c r="P55" s="123"/>
      <c r="Q55" s="150">
        <f t="shared" si="32"/>
        <v>4.666666666666667</v>
      </c>
      <c r="R55" s="180" t="str">
        <f t="shared" si="33"/>
        <v>N/TRANSITA</v>
      </c>
      <c r="S55" s="155"/>
      <c r="T55" s="156"/>
      <c r="U55" s="156"/>
      <c r="V55" s="156"/>
      <c r="W55" s="136"/>
      <c r="X55" s="23">
        <f t="shared" si="34"/>
        <v>0</v>
      </c>
      <c r="Y55" s="21">
        <f t="shared" si="35"/>
        <v>2.7777777777777781</v>
      </c>
      <c r="Z55" s="180" t="str">
        <f t="shared" si="3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57">
        <f>'[1]11CL-FAR-PATOL'!E51</f>
        <v>0</v>
      </c>
      <c r="F56" s="138">
        <v>3</v>
      </c>
      <c r="G56" s="158"/>
      <c r="H56" s="135">
        <v>6</v>
      </c>
      <c r="I56" s="156"/>
      <c r="J56" s="150">
        <f t="shared" si="0"/>
        <v>3</v>
      </c>
      <c r="K56" s="180" t="str">
        <f t="shared" si="3"/>
        <v>N/TRANSITA</v>
      </c>
      <c r="L56" s="154">
        <v>11</v>
      </c>
      <c r="M56" s="123">
        <v>11</v>
      </c>
      <c r="N56" s="123"/>
      <c r="O56" s="123">
        <v>0</v>
      </c>
      <c r="P56" s="123"/>
      <c r="Q56" s="150">
        <f t="shared" si="32"/>
        <v>7.333333333333333</v>
      </c>
      <c r="R56" s="180" t="str">
        <f t="shared" si="33"/>
        <v>N/TRANSITA</v>
      </c>
      <c r="S56" s="155"/>
      <c r="T56" s="156"/>
      <c r="U56" s="156"/>
      <c r="V56" s="156"/>
      <c r="W56" s="136"/>
      <c r="X56" s="23">
        <f t="shared" si="34"/>
        <v>0</v>
      </c>
      <c r="Y56" s="21">
        <f t="shared" si="35"/>
        <v>3.4444444444444442</v>
      </c>
      <c r="Z56" s="180" t="str">
        <f t="shared" si="3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57">
        <f>'[1]11CL-FAR-PATOL'!E52</f>
        <v>20</v>
      </c>
      <c r="F57" s="138">
        <v>2.5</v>
      </c>
      <c r="G57" s="158"/>
      <c r="H57" s="135">
        <v>10</v>
      </c>
      <c r="I57" s="156"/>
      <c r="J57" s="150">
        <f t="shared" si="0"/>
        <v>10.833333333333334</v>
      </c>
      <c r="K57" s="180" t="str">
        <f t="shared" si="3"/>
        <v>TRANSITA</v>
      </c>
      <c r="L57" s="154">
        <v>20</v>
      </c>
      <c r="M57" s="123">
        <v>12</v>
      </c>
      <c r="N57" s="123"/>
      <c r="O57" s="123">
        <v>3.5</v>
      </c>
      <c r="P57" s="123"/>
      <c r="Q57" s="150">
        <f t="shared" si="1"/>
        <v>11.833333333333334</v>
      </c>
      <c r="R57" s="180" t="str">
        <f t="shared" si="4"/>
        <v>TRANSITA</v>
      </c>
      <c r="S57" s="155"/>
      <c r="T57" s="156"/>
      <c r="U57" s="156"/>
      <c r="V57" s="156"/>
      <c r="W57" s="136"/>
      <c r="X57" s="23">
        <f t="shared" si="7"/>
        <v>0</v>
      </c>
      <c r="Y57" s="21">
        <f t="shared" si="8"/>
        <v>7.5555555555555562</v>
      </c>
      <c r="Z57" s="180" t="str">
        <f t="shared" si="6"/>
        <v>N/TRANSITA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57">
        <v>0</v>
      </c>
      <c r="F58" s="138"/>
      <c r="G58" s="158"/>
      <c r="H58" s="135"/>
      <c r="I58" s="156"/>
      <c r="J58" s="150">
        <f t="shared" si="0"/>
        <v>0</v>
      </c>
      <c r="K58" s="180" t="str">
        <f t="shared" si="3"/>
        <v>N/TRANSITA</v>
      </c>
      <c r="L58" s="154"/>
      <c r="M58" s="123"/>
      <c r="N58" s="123" t="s">
        <v>155</v>
      </c>
      <c r="O58" s="123"/>
      <c r="P58" s="123"/>
      <c r="Q58" s="150">
        <f t="shared" si="1"/>
        <v>0</v>
      </c>
      <c r="R58" s="180" t="str">
        <f t="shared" si="4"/>
        <v>N/TRANSITA</v>
      </c>
      <c r="S58" s="155"/>
      <c r="T58" s="156"/>
      <c r="U58" s="156"/>
      <c r="V58" s="156"/>
      <c r="W58" s="136"/>
      <c r="X58" s="23">
        <f t="shared" si="7"/>
        <v>0</v>
      </c>
      <c r="Y58" s="21">
        <f t="shared" si="8"/>
        <v>0</v>
      </c>
      <c r="Z58" s="180" t="str">
        <f t="shared" si="6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57">
        <f>'[1]11CL-FAR-PATOL'!E54</f>
        <v>0</v>
      </c>
      <c r="F59" s="138">
        <v>3</v>
      </c>
      <c r="G59" s="158"/>
      <c r="H59" s="135">
        <v>9</v>
      </c>
      <c r="I59" s="156"/>
      <c r="J59" s="150">
        <f t="shared" si="0"/>
        <v>4</v>
      </c>
      <c r="K59" s="180" t="str">
        <f t="shared" si="3"/>
        <v>N/TRANSITA</v>
      </c>
      <c r="L59" s="154">
        <v>10</v>
      </c>
      <c r="M59" s="123">
        <v>7</v>
      </c>
      <c r="N59" s="123"/>
      <c r="O59" s="123">
        <v>3</v>
      </c>
      <c r="P59" s="123"/>
      <c r="Q59" s="150">
        <f t="shared" si="1"/>
        <v>6.666666666666667</v>
      </c>
      <c r="R59" s="180" t="str">
        <f t="shared" si="4"/>
        <v>N/TRANSITA</v>
      </c>
      <c r="S59" s="155"/>
      <c r="T59" s="156"/>
      <c r="U59" s="156"/>
      <c r="V59" s="156"/>
      <c r="W59" s="136"/>
      <c r="X59" s="23">
        <f t="shared" si="7"/>
        <v>0</v>
      </c>
      <c r="Y59" s="21">
        <f t="shared" si="8"/>
        <v>3.5555555555555558</v>
      </c>
      <c r="Z59" s="180" t="str">
        <f t="shared" si="6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57">
        <f>'[1]11CL-FAR-PATOL'!E55</f>
        <v>20</v>
      </c>
      <c r="F60" s="138">
        <v>2</v>
      </c>
      <c r="G60" s="158"/>
      <c r="H60" s="135">
        <v>12</v>
      </c>
      <c r="I60" s="156"/>
      <c r="J60" s="150">
        <f t="shared" si="0"/>
        <v>11.333333333333334</v>
      </c>
      <c r="K60" s="180" t="str">
        <f t="shared" si="3"/>
        <v>TRANSITA</v>
      </c>
      <c r="L60" s="154">
        <v>11</v>
      </c>
      <c r="M60" s="123">
        <v>3</v>
      </c>
      <c r="N60" s="123"/>
      <c r="O60" s="123">
        <v>1</v>
      </c>
      <c r="P60" s="123"/>
      <c r="Q60" s="150">
        <f t="shared" si="1"/>
        <v>5</v>
      </c>
      <c r="R60" s="180" t="str">
        <f t="shared" si="4"/>
        <v>N/TRANSITA</v>
      </c>
      <c r="S60" s="155"/>
      <c r="T60" s="156"/>
      <c r="U60" s="156"/>
      <c r="V60" s="156"/>
      <c r="W60" s="136"/>
      <c r="X60" s="23">
        <f t="shared" si="7"/>
        <v>0</v>
      </c>
      <c r="Y60" s="21">
        <f t="shared" si="8"/>
        <v>5.4444444444444455</v>
      </c>
      <c r="Z60" s="180" t="str">
        <f t="shared" si="6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57">
        <f>'[1]11CL-FAR-PATOL'!E56</f>
        <v>20</v>
      </c>
      <c r="F61" s="138">
        <v>2.5</v>
      </c>
      <c r="G61" s="158"/>
      <c r="H61" s="135">
        <v>3.5</v>
      </c>
      <c r="I61" s="156"/>
      <c r="J61" s="150">
        <f t="shared" si="0"/>
        <v>8.6666666666666661</v>
      </c>
      <c r="K61" s="180" t="str">
        <f t="shared" si="3"/>
        <v>N/TRANSITA</v>
      </c>
      <c r="L61" s="154">
        <v>10</v>
      </c>
      <c r="M61" s="123">
        <v>12</v>
      </c>
      <c r="N61" s="123"/>
      <c r="O61" s="123">
        <v>4</v>
      </c>
      <c r="P61" s="123"/>
      <c r="Q61" s="150">
        <f t="shared" si="1"/>
        <v>8.6666666666666661</v>
      </c>
      <c r="R61" s="180" t="str">
        <f t="shared" si="4"/>
        <v>N/TRANSITA</v>
      </c>
      <c r="S61" s="155"/>
      <c r="T61" s="156"/>
      <c r="U61" s="156"/>
      <c r="V61" s="156"/>
      <c r="W61" s="136"/>
      <c r="X61" s="23">
        <f t="shared" ref="X61:X63" si="37">AVERAGE(S61,MAX(T61:U61),MAX(V61:W61))</f>
        <v>0</v>
      </c>
      <c r="Y61" s="21">
        <f t="shared" si="2"/>
        <v>5.7777777777777777</v>
      </c>
      <c r="Z61" s="180" t="str">
        <f t="shared" si="6"/>
        <v>N/TRANSITA</v>
      </c>
    </row>
    <row r="62" spans="2:31" ht="14.25" customHeight="1" x14ac:dyDescent="0.3">
      <c r="B62" s="37">
        <v>54</v>
      </c>
      <c r="C62" s="194" t="s">
        <v>142</v>
      </c>
      <c r="D62" s="28"/>
      <c r="E62" s="157">
        <f>'[1]11CL-FAR-PATOL'!E57</f>
        <v>20</v>
      </c>
      <c r="F62" s="138">
        <v>0</v>
      </c>
      <c r="G62" s="158"/>
      <c r="H62" s="135">
        <v>7.5</v>
      </c>
      <c r="I62" s="156"/>
      <c r="J62" s="150">
        <f t="shared" si="0"/>
        <v>9.1666666666666661</v>
      </c>
      <c r="K62" s="180" t="str">
        <f t="shared" si="3"/>
        <v>N/TRANSITA</v>
      </c>
      <c r="L62" s="154">
        <v>10</v>
      </c>
      <c r="M62" s="123">
        <v>7</v>
      </c>
      <c r="N62" s="123"/>
      <c r="O62" s="123">
        <v>3.5</v>
      </c>
      <c r="P62" s="123"/>
      <c r="Q62" s="150">
        <f t="shared" si="1"/>
        <v>6.833333333333333</v>
      </c>
      <c r="R62" s="180" t="str">
        <f t="shared" si="4"/>
        <v>N/TRANSITA</v>
      </c>
      <c r="S62" s="155"/>
      <c r="T62" s="156"/>
      <c r="U62" s="156"/>
      <c r="V62" s="156"/>
      <c r="W62" s="136"/>
      <c r="X62" s="23">
        <f t="shared" si="37"/>
        <v>0</v>
      </c>
      <c r="Y62" s="21">
        <f t="shared" si="2"/>
        <v>5.333333333333333</v>
      </c>
      <c r="Z62" s="180" t="str">
        <f t="shared" si="6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59">
        <f>'[1]11CL-FAR-PATOL'!E58</f>
        <v>20</v>
      </c>
      <c r="F63" s="140">
        <v>2</v>
      </c>
      <c r="G63" s="160"/>
      <c r="H63" s="141">
        <v>2.5</v>
      </c>
      <c r="I63" s="161"/>
      <c r="J63" s="162">
        <f t="shared" si="0"/>
        <v>8.1666666666666661</v>
      </c>
      <c r="K63" s="181" t="str">
        <f t="shared" si="3"/>
        <v>N/TRANSITA</v>
      </c>
      <c r="L63" s="163">
        <v>17</v>
      </c>
      <c r="M63" s="164">
        <v>15</v>
      </c>
      <c r="N63" s="164"/>
      <c r="O63" s="164">
        <v>1</v>
      </c>
      <c r="P63" s="164"/>
      <c r="Q63" s="162">
        <f t="shared" si="1"/>
        <v>11</v>
      </c>
      <c r="R63" s="181" t="str">
        <f t="shared" si="4"/>
        <v>TRANSITA</v>
      </c>
      <c r="S63" s="165"/>
      <c r="T63" s="161"/>
      <c r="U63" s="161"/>
      <c r="V63" s="161"/>
      <c r="W63" s="146"/>
      <c r="X63" s="24">
        <f t="shared" si="37"/>
        <v>0</v>
      </c>
      <c r="Y63" s="22">
        <f>SUM(J63,Q63,X63)/3</f>
        <v>6.3888888888888884</v>
      </c>
      <c r="Z63" s="181" t="str">
        <f t="shared" si="6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30"/>
      <c r="G66" s="30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31"/>
      <c r="G67" s="31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31"/>
      <c r="G68" s="31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53:AB55"/>
    <mergeCell ref="A66:E66"/>
    <mergeCell ref="S66:Z66"/>
    <mergeCell ref="A67:E67"/>
    <mergeCell ref="S67:Z67"/>
    <mergeCell ref="AA10:AB11"/>
    <mergeCell ref="K7:K8"/>
    <mergeCell ref="R7:R8"/>
    <mergeCell ref="AC8:AC9"/>
    <mergeCell ref="AD8:AD9"/>
    <mergeCell ref="AE8:AE9"/>
    <mergeCell ref="B5:C5"/>
    <mergeCell ref="I5:N5"/>
    <mergeCell ref="X5:Z5"/>
    <mergeCell ref="B6:Z6"/>
    <mergeCell ref="B7:B8"/>
    <mergeCell ref="C7:C8"/>
    <mergeCell ref="E7:J7"/>
    <mergeCell ref="L7:Q7"/>
    <mergeCell ref="S7:X7"/>
    <mergeCell ref="Y7:Y8"/>
    <mergeCell ref="A1:Z1"/>
    <mergeCell ref="B3:C3"/>
    <mergeCell ref="I3:M3"/>
    <mergeCell ref="V3:Z3"/>
    <mergeCell ref="B4:C4"/>
    <mergeCell ref="I4:Q4"/>
    <mergeCell ref="V4:Z4"/>
  </mergeCells>
  <conditionalFormatting sqref="Y9:Y63">
    <cfRule type="cellIs" dxfId="259" priority="111" stopIfTrue="1" operator="greaterThan">
      <formula>9.5</formula>
    </cfRule>
    <cfRule type="cellIs" dxfId="258" priority="112" stopIfTrue="1" operator="lessThanOrEqual">
      <formula>9.5</formula>
    </cfRule>
  </conditionalFormatting>
  <conditionalFormatting sqref="W9:W63">
    <cfRule type="cellIs" dxfId="257" priority="109" stopIfTrue="1" operator="lessThan">
      <formula>10</formula>
    </cfRule>
    <cfRule type="cellIs" dxfId="256" priority="110" stopIfTrue="1" operator="greaterThan">
      <formula>9</formula>
    </cfRule>
  </conditionalFormatting>
  <conditionalFormatting sqref="W9:W63">
    <cfRule type="cellIs" dxfId="255" priority="107" stopIfTrue="1" operator="lessThan">
      <formula>10</formula>
    </cfRule>
    <cfRule type="cellIs" dxfId="254" priority="108" stopIfTrue="1" operator="greaterThan">
      <formula>9</formula>
    </cfRule>
  </conditionalFormatting>
  <conditionalFormatting sqref="X9:X63">
    <cfRule type="cellIs" dxfId="253" priority="89" stopIfTrue="1" operator="lessThan">
      <formula>10</formula>
    </cfRule>
    <cfRule type="cellIs" dxfId="252" priority="90" stopIfTrue="1" operator="greaterThanOrEqual">
      <formula>10</formula>
    </cfRule>
  </conditionalFormatting>
  <conditionalFormatting sqref="S9:V63">
    <cfRule type="cellIs" dxfId="251" priority="51" operator="lessThan">
      <formula>10</formula>
    </cfRule>
    <cfRule type="cellIs" dxfId="250" priority="52" operator="greaterThan">
      <formula>9</formula>
    </cfRule>
  </conditionalFormatting>
  <conditionalFormatting sqref="S9:V63">
    <cfRule type="cellIs" dxfId="249" priority="49" operator="lessThan">
      <formula>10</formula>
    </cfRule>
    <cfRule type="cellIs" dxfId="248" priority="50" operator="greaterThan">
      <formula>9</formula>
    </cfRule>
  </conditionalFormatting>
  <conditionalFormatting sqref="P9:P63">
    <cfRule type="cellIs" dxfId="247" priority="45" operator="lessThan">
      <formula>10</formula>
    </cfRule>
    <cfRule type="cellIs" dxfId="246" priority="46" operator="greaterThan">
      <formula>9</formula>
    </cfRule>
    <cfRule type="cellIs" dxfId="245" priority="47" operator="lessThan">
      <formula>10</formula>
    </cfRule>
    <cfRule type="cellIs" dxfId="244" priority="48" operator="greaterThan">
      <formula>9</formula>
    </cfRule>
  </conditionalFormatting>
  <conditionalFormatting sqref="Q9:Q63">
    <cfRule type="cellIs" dxfId="243" priority="43" operator="lessThan">
      <formula>10</formula>
    </cfRule>
    <cfRule type="cellIs" dxfId="242" priority="44" operator="greaterThanOrEqual">
      <formula>10</formula>
    </cfRule>
  </conditionalFormatting>
  <conditionalFormatting sqref="I9:I63">
    <cfRule type="cellIs" dxfId="241" priority="23" operator="lessThan">
      <formula>10</formula>
    </cfRule>
    <cfRule type="cellIs" dxfId="240" priority="24" operator="greaterThan">
      <formula>9</formula>
    </cfRule>
  </conditionalFormatting>
  <conditionalFormatting sqref="I9:I63">
    <cfRule type="cellIs" dxfId="239" priority="21" operator="lessThan">
      <formula>10</formula>
    </cfRule>
    <cfRule type="cellIs" dxfId="238" priority="22" operator="greaterThan">
      <formula>9</formula>
    </cfRule>
  </conditionalFormatting>
  <conditionalFormatting sqref="L9:O63">
    <cfRule type="cellIs" dxfId="237" priority="17" operator="lessThan">
      <formula>10</formula>
    </cfRule>
    <cfRule type="cellIs" dxfId="236" priority="18" operator="greaterThan">
      <formula>9</formula>
    </cfRule>
    <cfRule type="cellIs" dxfId="235" priority="19" operator="lessThan">
      <formula>10</formula>
    </cfRule>
    <cfRule type="cellIs" dxfId="234" priority="20" operator="greaterThan">
      <formula>9</formula>
    </cfRule>
  </conditionalFormatting>
  <conditionalFormatting sqref="J9:J63">
    <cfRule type="cellIs" dxfId="233" priority="15" operator="lessThan">
      <formula>10</formula>
    </cfRule>
    <cfRule type="cellIs" dxfId="232" priority="16" operator="greaterThanOrEqual">
      <formula>10</formula>
    </cfRule>
  </conditionalFormatting>
  <conditionalFormatting sqref="E9:E63 G9:G63">
    <cfRule type="cellIs" dxfId="231" priority="11" operator="lessThan">
      <formula>10</formula>
    </cfRule>
    <cfRule type="cellIs" dxfId="230" priority="12" operator="greaterThan">
      <formula>9</formula>
    </cfRule>
  </conditionalFormatting>
  <conditionalFormatting sqref="E9:E63 G9:G63">
    <cfRule type="cellIs" dxfId="229" priority="9" operator="lessThan">
      <formula>10</formula>
    </cfRule>
    <cfRule type="cellIs" dxfId="228" priority="10" operator="greaterThan">
      <formula>9</formula>
    </cfRule>
  </conditionalFormatting>
  <conditionalFormatting sqref="F9:F63">
    <cfRule type="cellIs" dxfId="227" priority="7" stopIfTrue="1" operator="lessThan">
      <formula>10</formula>
    </cfRule>
    <cfRule type="cellIs" dxfId="226" priority="8" stopIfTrue="1" operator="greaterThan">
      <formula>9</formula>
    </cfRule>
  </conditionalFormatting>
  <conditionalFormatting sqref="F9:F63">
    <cfRule type="cellIs" dxfId="225" priority="5" stopIfTrue="1" operator="lessThan">
      <formula>10</formula>
    </cfRule>
    <cfRule type="cellIs" dxfId="224" priority="6" stopIfTrue="1" operator="greaterThan">
      <formula>9</formula>
    </cfRule>
  </conditionalFormatting>
  <conditionalFormatting sqref="H9:H63">
    <cfRule type="cellIs" dxfId="223" priority="3" stopIfTrue="1" operator="lessThan">
      <formula>10</formula>
    </cfRule>
    <cfRule type="cellIs" dxfId="222" priority="4" stopIfTrue="1" operator="greaterThan">
      <formula>9</formula>
    </cfRule>
  </conditionalFormatting>
  <conditionalFormatting sqref="H9:H63">
    <cfRule type="cellIs" dxfId="221" priority="1" stopIfTrue="1" operator="lessThan">
      <formula>10</formula>
    </cfRule>
    <cfRule type="cellIs" dxfId="220" priority="2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2529" r:id="rId4">
          <objectPr defaultSize="0" autoPict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144780</xdr:colOff>
                <xdr:row>65</xdr:row>
                <xdr:rowOff>22860</xdr:rowOff>
              </to>
            </anchor>
          </objectPr>
        </oleObject>
      </mc:Choice>
      <mc:Fallback>
        <oleObject progId="Word.Document.8" shapeId="2252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9" stopIfTrue="1" operator="containsText" id="{16C8D2A9-7646-464E-A320-CF0153247AF9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40" stopIfTrue="1" operator="containsText" id="{D26982C4-6BF8-49E7-B961-A94F17D333C7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37" stopIfTrue="1" operator="containsText" id="{AEE7BB7F-6991-4212-8F03-55FD3EFAD2CE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8" stopIfTrue="1" operator="containsText" id="{FF221057-D0D6-47BA-9C18-FEA163FE1846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13" stopIfTrue="1" operator="containsText" id="{62AE70EC-DD81-4A0F-9A01-B6CA3BCBB627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4" stopIfTrue="1" operator="containsText" id="{BB1E9C79-537C-453A-B1D7-738295B86B0D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E9" sqref="E9:O63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32"/>
      <c r="E4" s="325" t="s">
        <v>87</v>
      </c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32"/>
      <c r="E5" s="327" t="s">
        <v>27</v>
      </c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0</v>
      </c>
      <c r="AD8" s="335">
        <f>COUNTIF(Z9:Z69,"N/TRANSITA")</f>
        <v>55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124">
        <v>14</v>
      </c>
      <c r="F9" s="125">
        <v>12</v>
      </c>
      <c r="G9" s="125"/>
      <c r="H9" s="125"/>
      <c r="I9" s="126"/>
      <c r="J9" s="127">
        <f>AVERAGE(E9,MAX(F9:G9),MAX(H9:I9))</f>
        <v>8.6666666666666661</v>
      </c>
      <c r="K9" s="179" t="str">
        <f>IF(J9&gt;=10,"TRANSITA","N/TRANSITA")</f>
        <v>N/TRANSITA</v>
      </c>
      <c r="L9" s="128">
        <v>10</v>
      </c>
      <c r="M9" s="129">
        <v>6.5</v>
      </c>
      <c r="N9" s="129"/>
      <c r="O9" s="129">
        <v>8</v>
      </c>
      <c r="P9" s="129"/>
      <c r="Q9" s="127">
        <f>AVERAGE(L9,MAX(M9:N9),MAX(O9:P9))</f>
        <v>8.1666666666666661</v>
      </c>
      <c r="R9" s="179" t="str">
        <f>IF(Q9&gt;=10,"TRANSITA","N/TRANSITA")</f>
        <v>N/TRANSITA</v>
      </c>
      <c r="S9" s="130"/>
      <c r="T9" s="126"/>
      <c r="U9" s="126"/>
      <c r="V9" s="131"/>
      <c r="W9" s="131"/>
      <c r="X9" s="23">
        <f>AVERAGE(S9,MAX(T9:U9),MAX(V9:W9))</f>
        <v>0</v>
      </c>
      <c r="Y9" s="20">
        <f t="shared" ref="Y9:Y62" si="0">SUM(J9,Q9,X9)/3</f>
        <v>5.6111111111111107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124">
        <v>14</v>
      </c>
      <c r="F10" s="125">
        <v>8</v>
      </c>
      <c r="G10" s="125"/>
      <c r="H10" s="125">
        <v>10</v>
      </c>
      <c r="I10" s="126"/>
      <c r="J10" s="127">
        <f>AVERAGE(E10,MAX(F10:G10),MAX(H10:I10))</f>
        <v>10.666666666666666</v>
      </c>
      <c r="K10" s="180" t="str">
        <f t="shared" ref="K10:K63" si="1">IF(J10&gt;=10,"TRANSITA","N/TRANSITA")</f>
        <v>TRANSITA</v>
      </c>
      <c r="L10" s="132">
        <v>10</v>
      </c>
      <c r="M10" s="133">
        <v>4.5</v>
      </c>
      <c r="N10" s="133"/>
      <c r="O10" s="133">
        <v>8</v>
      </c>
      <c r="P10" s="133"/>
      <c r="Q10" s="127">
        <f>AVERAGE(L10,MAX(M10:N10),MAX(O10:P10))</f>
        <v>7.5</v>
      </c>
      <c r="R10" s="180" t="str">
        <f t="shared" ref="R10:R63" si="2">IF(Q10&gt;=10,"TRANSITA","N/TRANSITA")</f>
        <v>N/TRANSITA</v>
      </c>
      <c r="S10" s="134"/>
      <c r="T10" s="135"/>
      <c r="U10" s="135"/>
      <c r="V10" s="136"/>
      <c r="W10" s="136"/>
      <c r="X10" s="23">
        <f>AVERAGE(S10,MAX(T10:U10),MAX(V10:W10))</f>
        <v>0</v>
      </c>
      <c r="Y10" s="21">
        <f t="shared" ref="Y10" si="3">SUM(J10,Q10,X10)/3</f>
        <v>6.0555555555555545</v>
      </c>
      <c r="Z10" s="180" t="str">
        <f t="shared" ref="Z10:Z63" si="4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124">
        <v>14</v>
      </c>
      <c r="F11" s="125">
        <v>17</v>
      </c>
      <c r="G11" s="125"/>
      <c r="H11" s="125">
        <v>11</v>
      </c>
      <c r="I11" s="126"/>
      <c r="J11" s="127">
        <f t="shared" ref="J11:J63" si="5">AVERAGE(E11,MAX(F11:G11),MAX(H11:I11))</f>
        <v>14</v>
      </c>
      <c r="K11" s="180" t="str">
        <f t="shared" si="1"/>
        <v>TRANSITA</v>
      </c>
      <c r="L11" s="132">
        <v>11</v>
      </c>
      <c r="M11" s="133">
        <v>9</v>
      </c>
      <c r="N11" s="133"/>
      <c r="O11" s="133">
        <v>10</v>
      </c>
      <c r="P11" s="133"/>
      <c r="Q11" s="127">
        <f t="shared" ref="Q11:Q63" si="6">AVERAGE(L11,MAX(M11:N11),MAX(O11:P11))</f>
        <v>10</v>
      </c>
      <c r="R11" s="180" t="str">
        <f t="shared" si="2"/>
        <v>TRANSITA</v>
      </c>
      <c r="S11" s="134"/>
      <c r="T11" s="135"/>
      <c r="U11" s="135"/>
      <c r="V11" s="136"/>
      <c r="W11" s="136"/>
      <c r="X11" s="23">
        <f t="shared" ref="X11:X60" si="7">AVERAGE(S11,MAX(T11:U11),MAX(V11:W11))</f>
        <v>0</v>
      </c>
      <c r="Y11" s="21">
        <f t="shared" ref="Y11:Y60" si="8">SUM(J11,Q11,X11)/3</f>
        <v>8</v>
      </c>
      <c r="Z11" s="180" t="str">
        <f t="shared" si="4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124">
        <v>14</v>
      </c>
      <c r="F12" s="125">
        <v>16</v>
      </c>
      <c r="G12" s="125"/>
      <c r="H12" s="125">
        <v>12</v>
      </c>
      <c r="I12" s="126"/>
      <c r="J12" s="127">
        <f t="shared" si="5"/>
        <v>14</v>
      </c>
      <c r="K12" s="180" t="str">
        <f t="shared" si="1"/>
        <v>TRANSITA</v>
      </c>
      <c r="L12" s="132">
        <v>13</v>
      </c>
      <c r="M12" s="133">
        <v>15.5</v>
      </c>
      <c r="N12" s="133"/>
      <c r="O12" s="133">
        <v>10</v>
      </c>
      <c r="P12" s="133"/>
      <c r="Q12" s="127">
        <f t="shared" si="6"/>
        <v>12.833333333333334</v>
      </c>
      <c r="R12" s="180" t="str">
        <f t="shared" si="2"/>
        <v>TRANSITA</v>
      </c>
      <c r="S12" s="134"/>
      <c r="T12" s="135"/>
      <c r="U12" s="135"/>
      <c r="V12" s="136"/>
      <c r="W12" s="136"/>
      <c r="X12" s="23">
        <f t="shared" si="7"/>
        <v>0</v>
      </c>
      <c r="Y12" s="21">
        <f t="shared" si="8"/>
        <v>8.9444444444444446</v>
      </c>
      <c r="Z12" s="180" t="str">
        <f t="shared" si="4"/>
        <v>N/TRANSITA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124">
        <v>14</v>
      </c>
      <c r="F13" s="125">
        <v>16</v>
      </c>
      <c r="G13" s="125"/>
      <c r="H13" s="125">
        <v>16</v>
      </c>
      <c r="I13" s="126"/>
      <c r="J13" s="127">
        <f t="shared" si="5"/>
        <v>15.333333333333334</v>
      </c>
      <c r="K13" s="180" t="str">
        <f t="shared" si="1"/>
        <v>TRANSITA</v>
      </c>
      <c r="L13" s="132">
        <v>12</v>
      </c>
      <c r="M13" s="133">
        <v>13.5</v>
      </c>
      <c r="N13" s="133"/>
      <c r="O13" s="133">
        <v>11</v>
      </c>
      <c r="P13" s="133"/>
      <c r="Q13" s="127">
        <f t="shared" si="6"/>
        <v>12.166666666666666</v>
      </c>
      <c r="R13" s="180" t="str">
        <f t="shared" si="2"/>
        <v>TRANSITA</v>
      </c>
      <c r="S13" s="134"/>
      <c r="T13" s="135"/>
      <c r="U13" s="135"/>
      <c r="V13" s="136"/>
      <c r="W13" s="136"/>
      <c r="X13" s="23">
        <f t="shared" si="7"/>
        <v>0</v>
      </c>
      <c r="Y13" s="21">
        <f t="shared" si="8"/>
        <v>9.1666666666666661</v>
      </c>
      <c r="Z13" s="180" t="str">
        <f t="shared" si="4"/>
        <v>N/TRANSITA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124">
        <v>14</v>
      </c>
      <c r="F14" s="125">
        <v>14</v>
      </c>
      <c r="G14" s="125"/>
      <c r="H14" s="125">
        <v>10</v>
      </c>
      <c r="I14" s="126"/>
      <c r="J14" s="127">
        <f t="shared" si="5"/>
        <v>12.666666666666666</v>
      </c>
      <c r="K14" s="180" t="str">
        <f t="shared" si="1"/>
        <v>TRANSITA</v>
      </c>
      <c r="L14" s="132">
        <v>11</v>
      </c>
      <c r="M14" s="133">
        <v>8.5</v>
      </c>
      <c r="N14" s="133"/>
      <c r="O14" s="133">
        <v>11</v>
      </c>
      <c r="P14" s="133"/>
      <c r="Q14" s="127">
        <f t="shared" si="6"/>
        <v>10.166666666666666</v>
      </c>
      <c r="R14" s="180" t="str">
        <f t="shared" si="2"/>
        <v>TRANSITA</v>
      </c>
      <c r="S14" s="134"/>
      <c r="T14" s="135"/>
      <c r="U14" s="135"/>
      <c r="V14" s="136"/>
      <c r="W14" s="136"/>
      <c r="X14" s="23">
        <f t="shared" si="7"/>
        <v>0</v>
      </c>
      <c r="Y14" s="21">
        <f t="shared" si="8"/>
        <v>7.6111111111111107</v>
      </c>
      <c r="Z14" s="180" t="str">
        <f t="shared" si="4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124">
        <v>14</v>
      </c>
      <c r="F15" s="125">
        <v>10</v>
      </c>
      <c r="G15" s="125"/>
      <c r="H15" s="125">
        <v>9</v>
      </c>
      <c r="I15" s="126"/>
      <c r="J15" s="127">
        <f t="shared" si="5"/>
        <v>11</v>
      </c>
      <c r="K15" s="180" t="str">
        <f t="shared" si="1"/>
        <v>TRANSITA</v>
      </c>
      <c r="L15" s="132">
        <v>10</v>
      </c>
      <c r="M15" s="133">
        <v>11.5</v>
      </c>
      <c r="N15" s="133"/>
      <c r="O15" s="133">
        <v>7</v>
      </c>
      <c r="P15" s="133"/>
      <c r="Q15" s="127">
        <f t="shared" si="6"/>
        <v>9.5</v>
      </c>
      <c r="R15" s="180" t="str">
        <f t="shared" si="2"/>
        <v>N/TRANSITA</v>
      </c>
      <c r="S15" s="134"/>
      <c r="T15" s="135"/>
      <c r="U15" s="135"/>
      <c r="V15" s="136"/>
      <c r="W15" s="136"/>
      <c r="X15" s="23">
        <f t="shared" si="7"/>
        <v>0</v>
      </c>
      <c r="Y15" s="21">
        <f t="shared" si="8"/>
        <v>6.833333333333333</v>
      </c>
      <c r="Z15" s="180" t="str">
        <f t="shared" si="4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124">
        <v>14</v>
      </c>
      <c r="F16" s="125">
        <v>4</v>
      </c>
      <c r="G16" s="125"/>
      <c r="H16" s="125">
        <v>11</v>
      </c>
      <c r="I16" s="126"/>
      <c r="J16" s="127">
        <f t="shared" si="5"/>
        <v>9.6666666666666661</v>
      </c>
      <c r="K16" s="180" t="str">
        <f t="shared" si="1"/>
        <v>N/TRANSITA</v>
      </c>
      <c r="L16" s="132">
        <v>10</v>
      </c>
      <c r="M16" s="133">
        <v>7</v>
      </c>
      <c r="N16" s="133"/>
      <c r="O16" s="133">
        <v>6</v>
      </c>
      <c r="P16" s="133"/>
      <c r="Q16" s="127">
        <f t="shared" si="6"/>
        <v>7.666666666666667</v>
      </c>
      <c r="R16" s="180" t="str">
        <f t="shared" si="2"/>
        <v>N/TRANSITA</v>
      </c>
      <c r="S16" s="134"/>
      <c r="T16" s="135"/>
      <c r="U16" s="135"/>
      <c r="V16" s="136"/>
      <c r="W16" s="136"/>
      <c r="X16" s="23">
        <f t="shared" si="7"/>
        <v>0</v>
      </c>
      <c r="Y16" s="21">
        <f t="shared" si="8"/>
        <v>5.7777777777777777</v>
      </c>
      <c r="Z16" s="180" t="str">
        <f t="shared" si="4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124">
        <v>14</v>
      </c>
      <c r="F17" s="125">
        <v>10.5</v>
      </c>
      <c r="G17" s="125"/>
      <c r="H17" s="125">
        <v>10</v>
      </c>
      <c r="I17" s="126"/>
      <c r="J17" s="127">
        <f t="shared" si="5"/>
        <v>11.5</v>
      </c>
      <c r="K17" s="180" t="str">
        <f t="shared" si="1"/>
        <v>TRANSITA</v>
      </c>
      <c r="L17" s="132">
        <v>10</v>
      </c>
      <c r="M17" s="133">
        <v>6.5</v>
      </c>
      <c r="N17" s="133"/>
      <c r="O17" s="133">
        <v>6</v>
      </c>
      <c r="P17" s="133"/>
      <c r="Q17" s="127">
        <f t="shared" si="6"/>
        <v>7.5</v>
      </c>
      <c r="R17" s="180" t="str">
        <f t="shared" si="2"/>
        <v>N/TRANSITA</v>
      </c>
      <c r="S17" s="134"/>
      <c r="T17" s="135"/>
      <c r="U17" s="135"/>
      <c r="V17" s="136"/>
      <c r="W17" s="136"/>
      <c r="X17" s="23">
        <f t="shared" si="7"/>
        <v>0</v>
      </c>
      <c r="Y17" s="21">
        <f t="shared" si="8"/>
        <v>6.333333333333333</v>
      </c>
      <c r="Z17" s="180" t="str">
        <f t="shared" si="4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124">
        <v>14</v>
      </c>
      <c r="F18" s="125">
        <v>4</v>
      </c>
      <c r="G18" s="125"/>
      <c r="H18" s="125">
        <v>11</v>
      </c>
      <c r="I18" s="126"/>
      <c r="J18" s="127">
        <f t="shared" si="5"/>
        <v>9.6666666666666661</v>
      </c>
      <c r="K18" s="180" t="str">
        <f t="shared" si="1"/>
        <v>N/TRANSITA</v>
      </c>
      <c r="L18" s="132">
        <v>10</v>
      </c>
      <c r="M18" s="133">
        <v>6</v>
      </c>
      <c r="N18" s="133"/>
      <c r="O18" s="133">
        <v>6</v>
      </c>
      <c r="P18" s="133"/>
      <c r="Q18" s="127"/>
      <c r="R18" s="180" t="str">
        <f t="shared" si="2"/>
        <v>N/TRANSITA</v>
      </c>
      <c r="S18" s="134"/>
      <c r="T18" s="135"/>
      <c r="U18" s="135"/>
      <c r="V18" s="136"/>
      <c r="W18" s="136"/>
      <c r="X18" s="23">
        <f t="shared" si="7"/>
        <v>0</v>
      </c>
      <c r="Y18" s="21">
        <f t="shared" si="8"/>
        <v>3.2222222222222219</v>
      </c>
      <c r="Z18" s="180" t="str">
        <f t="shared" si="4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124">
        <v>14</v>
      </c>
      <c r="F19" s="125">
        <v>10.5</v>
      </c>
      <c r="G19" s="125"/>
      <c r="H19" s="125">
        <v>9</v>
      </c>
      <c r="I19" s="126"/>
      <c r="J19" s="127">
        <f t="shared" si="5"/>
        <v>11.166666666666666</v>
      </c>
      <c r="K19" s="180" t="str">
        <f t="shared" si="1"/>
        <v>TRANSITA</v>
      </c>
      <c r="L19" s="132">
        <v>10</v>
      </c>
      <c r="M19" s="133">
        <v>6.5</v>
      </c>
      <c r="N19" s="133"/>
      <c r="O19" s="133">
        <v>11</v>
      </c>
      <c r="P19" s="133"/>
      <c r="Q19" s="127">
        <f t="shared" si="6"/>
        <v>9.1666666666666661</v>
      </c>
      <c r="R19" s="180" t="str">
        <f t="shared" si="2"/>
        <v>N/TRANSITA</v>
      </c>
      <c r="S19" s="134"/>
      <c r="T19" s="135"/>
      <c r="U19" s="135"/>
      <c r="V19" s="136"/>
      <c r="W19" s="136"/>
      <c r="X19" s="23">
        <f t="shared" si="7"/>
        <v>0</v>
      </c>
      <c r="Y19" s="21">
        <f t="shared" si="8"/>
        <v>6.7777777777777777</v>
      </c>
      <c r="Z19" s="180" t="str">
        <f t="shared" si="4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124">
        <v>14</v>
      </c>
      <c r="F20" s="125">
        <v>14</v>
      </c>
      <c r="G20" s="125"/>
      <c r="H20" s="125">
        <v>11</v>
      </c>
      <c r="I20" s="126"/>
      <c r="J20" s="127">
        <f t="shared" si="5"/>
        <v>13</v>
      </c>
      <c r="K20" s="180" t="str">
        <f t="shared" si="1"/>
        <v>TRANSITA</v>
      </c>
      <c r="L20" s="132">
        <v>10</v>
      </c>
      <c r="M20" s="133">
        <v>11</v>
      </c>
      <c r="N20" s="133"/>
      <c r="O20" s="133">
        <v>7.5</v>
      </c>
      <c r="P20" s="133"/>
      <c r="Q20" s="127">
        <f t="shared" si="6"/>
        <v>9.5</v>
      </c>
      <c r="R20" s="180" t="str">
        <f t="shared" si="2"/>
        <v>N/TRANSITA</v>
      </c>
      <c r="S20" s="134"/>
      <c r="T20" s="135"/>
      <c r="U20" s="135"/>
      <c r="V20" s="136"/>
      <c r="W20" s="136"/>
      <c r="X20" s="23">
        <f t="shared" si="7"/>
        <v>0</v>
      </c>
      <c r="Y20" s="21">
        <f t="shared" si="8"/>
        <v>7.5</v>
      </c>
      <c r="Z20" s="180" t="str">
        <f t="shared" si="4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124">
        <v>14</v>
      </c>
      <c r="F21" s="125">
        <v>16</v>
      </c>
      <c r="G21" s="125"/>
      <c r="H21" s="125">
        <v>11</v>
      </c>
      <c r="I21" s="126"/>
      <c r="J21" s="127">
        <f t="shared" si="5"/>
        <v>13.666666666666666</v>
      </c>
      <c r="K21" s="180" t="str">
        <f t="shared" si="1"/>
        <v>TRANSITA</v>
      </c>
      <c r="L21" s="132">
        <v>10</v>
      </c>
      <c r="M21" s="133">
        <v>8</v>
      </c>
      <c r="N21" s="133"/>
      <c r="O21" s="133">
        <v>8.5</v>
      </c>
      <c r="P21" s="133"/>
      <c r="Q21" s="127">
        <f t="shared" si="6"/>
        <v>8.8333333333333339</v>
      </c>
      <c r="R21" s="180" t="str">
        <f t="shared" si="2"/>
        <v>N/TRANSITA</v>
      </c>
      <c r="S21" s="134"/>
      <c r="T21" s="135"/>
      <c r="U21" s="135"/>
      <c r="V21" s="136"/>
      <c r="W21" s="136"/>
      <c r="X21" s="23">
        <f t="shared" si="7"/>
        <v>0</v>
      </c>
      <c r="Y21" s="21">
        <f t="shared" si="8"/>
        <v>7.5</v>
      </c>
      <c r="Z21" s="180" t="str">
        <f t="shared" si="4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124">
        <v>14</v>
      </c>
      <c r="F22" s="125">
        <v>12</v>
      </c>
      <c r="G22" s="125"/>
      <c r="H22" s="125">
        <v>10</v>
      </c>
      <c r="I22" s="126"/>
      <c r="J22" s="127"/>
      <c r="K22" s="180" t="str">
        <f t="shared" si="1"/>
        <v>N/TRANSITA</v>
      </c>
      <c r="L22" s="132">
        <v>10</v>
      </c>
      <c r="M22" s="133">
        <v>11.5</v>
      </c>
      <c r="N22" s="133"/>
      <c r="O22" s="133">
        <v>14</v>
      </c>
      <c r="P22" s="133"/>
      <c r="Q22" s="127"/>
      <c r="R22" s="180" t="str">
        <f t="shared" si="2"/>
        <v>N/TRANSITA</v>
      </c>
      <c r="S22" s="134"/>
      <c r="T22" s="135"/>
      <c r="U22" s="135"/>
      <c r="V22" s="136"/>
      <c r="W22" s="136"/>
      <c r="X22" s="23">
        <f t="shared" si="7"/>
        <v>0</v>
      </c>
      <c r="Y22" s="21">
        <f t="shared" si="8"/>
        <v>0</v>
      </c>
      <c r="Z22" s="180" t="str">
        <f t="shared" si="4"/>
        <v>N/TRANSITA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124">
        <v>14</v>
      </c>
      <c r="F23" s="125">
        <v>14</v>
      </c>
      <c r="G23" s="125"/>
      <c r="H23" s="125">
        <v>10</v>
      </c>
      <c r="I23" s="126"/>
      <c r="J23" s="127">
        <f t="shared" si="5"/>
        <v>12.666666666666666</v>
      </c>
      <c r="K23" s="180" t="str">
        <f t="shared" si="1"/>
        <v>TRANSITA</v>
      </c>
      <c r="L23" s="132">
        <v>13</v>
      </c>
      <c r="M23" s="133">
        <v>11.5</v>
      </c>
      <c r="N23" s="133"/>
      <c r="O23" s="133">
        <v>16</v>
      </c>
      <c r="P23" s="133"/>
      <c r="Q23" s="127">
        <f t="shared" si="6"/>
        <v>13.5</v>
      </c>
      <c r="R23" s="180" t="str">
        <f t="shared" si="2"/>
        <v>TRANSITA</v>
      </c>
      <c r="S23" s="134"/>
      <c r="T23" s="135"/>
      <c r="U23" s="135"/>
      <c r="V23" s="136"/>
      <c r="W23" s="136"/>
      <c r="X23" s="23">
        <f t="shared" si="7"/>
        <v>0</v>
      </c>
      <c r="Y23" s="21">
        <f t="shared" si="8"/>
        <v>8.7222222222222214</v>
      </c>
      <c r="Z23" s="180" t="str">
        <f t="shared" si="4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124">
        <v>14</v>
      </c>
      <c r="F24" s="125">
        <v>14</v>
      </c>
      <c r="G24" s="125"/>
      <c r="H24" s="125">
        <v>11</v>
      </c>
      <c r="I24" s="126"/>
      <c r="J24" s="127">
        <f t="shared" si="5"/>
        <v>13</v>
      </c>
      <c r="K24" s="180" t="str">
        <f t="shared" si="1"/>
        <v>TRANSITA</v>
      </c>
      <c r="L24" s="132">
        <v>12</v>
      </c>
      <c r="M24" s="133">
        <v>11</v>
      </c>
      <c r="N24" s="133"/>
      <c r="O24" s="133">
        <v>7</v>
      </c>
      <c r="P24" s="133"/>
      <c r="Q24" s="127">
        <f t="shared" si="6"/>
        <v>10</v>
      </c>
      <c r="R24" s="180" t="str">
        <f t="shared" si="2"/>
        <v>TRANSITA</v>
      </c>
      <c r="S24" s="134"/>
      <c r="T24" s="135"/>
      <c r="U24" s="135"/>
      <c r="V24" s="136"/>
      <c r="W24" s="136"/>
      <c r="X24" s="23">
        <f t="shared" si="7"/>
        <v>0</v>
      </c>
      <c r="Y24" s="21">
        <f t="shared" si="8"/>
        <v>7.666666666666667</v>
      </c>
      <c r="Z24" s="180" t="str">
        <f t="shared" si="4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124">
        <v>14</v>
      </c>
      <c r="F25" s="125">
        <v>15</v>
      </c>
      <c r="G25" s="125"/>
      <c r="H25" s="125">
        <v>10</v>
      </c>
      <c r="I25" s="126"/>
      <c r="J25" s="127">
        <f t="shared" si="5"/>
        <v>13</v>
      </c>
      <c r="K25" s="180" t="str">
        <f t="shared" si="1"/>
        <v>TRANSITA</v>
      </c>
      <c r="L25" s="132">
        <v>12</v>
      </c>
      <c r="M25" s="133">
        <v>11</v>
      </c>
      <c r="N25" s="133"/>
      <c r="O25" s="133">
        <v>8</v>
      </c>
      <c r="P25" s="133"/>
      <c r="Q25" s="127">
        <f t="shared" ref="Q25:Q26" si="9">AVERAGE(L25,MAX(M25:N25),MAX(O25:P25))</f>
        <v>10.333333333333334</v>
      </c>
      <c r="R25" s="180" t="str">
        <f t="shared" ref="R25:R26" si="10">IF(Q25&gt;=10,"TRANSITA","N/TRANSITA")</f>
        <v>TRANSITA</v>
      </c>
      <c r="S25" s="134"/>
      <c r="T25" s="135"/>
      <c r="U25" s="135"/>
      <c r="V25" s="136"/>
      <c r="W25" s="136"/>
      <c r="X25" s="23">
        <f t="shared" ref="X25:X26" si="11">AVERAGE(S25,MAX(T25:U25),MAX(V25:W25))</f>
        <v>0</v>
      </c>
      <c r="Y25" s="21">
        <f t="shared" ref="Y25:Y26" si="12">SUM(J25,Q25,X25)/3</f>
        <v>7.7777777777777786</v>
      </c>
      <c r="Z25" s="180" t="str">
        <f t="shared" ref="Z25:Z26" si="13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124">
        <v>14</v>
      </c>
      <c r="F26" s="125">
        <v>13</v>
      </c>
      <c r="G26" s="125"/>
      <c r="H26" s="125">
        <v>11</v>
      </c>
      <c r="I26" s="126"/>
      <c r="J26" s="127">
        <f t="shared" si="5"/>
        <v>12.666666666666666</v>
      </c>
      <c r="K26" s="180" t="str">
        <f t="shared" si="1"/>
        <v>TRANSITA</v>
      </c>
      <c r="L26" s="132">
        <v>11</v>
      </c>
      <c r="M26" s="133">
        <v>9</v>
      </c>
      <c r="N26" s="133"/>
      <c r="O26" s="133">
        <v>7</v>
      </c>
      <c r="P26" s="133"/>
      <c r="Q26" s="127">
        <f t="shared" si="9"/>
        <v>9</v>
      </c>
      <c r="R26" s="180" t="str">
        <f t="shared" si="10"/>
        <v>N/TRANSITA</v>
      </c>
      <c r="S26" s="134"/>
      <c r="T26" s="135"/>
      <c r="U26" s="135"/>
      <c r="V26" s="136"/>
      <c r="W26" s="136"/>
      <c r="X26" s="23">
        <f t="shared" si="11"/>
        <v>0</v>
      </c>
      <c r="Y26" s="21">
        <f t="shared" si="12"/>
        <v>7.2222222222222214</v>
      </c>
      <c r="Z26" s="180" t="str">
        <f t="shared" si="13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124">
        <v>14</v>
      </c>
      <c r="F27" s="125">
        <v>10</v>
      </c>
      <c r="G27" s="125"/>
      <c r="H27" s="125">
        <v>11</v>
      </c>
      <c r="I27" s="126"/>
      <c r="J27" s="127">
        <f t="shared" si="5"/>
        <v>11.666666666666666</v>
      </c>
      <c r="K27" s="180" t="str">
        <f t="shared" si="1"/>
        <v>TRANSITA</v>
      </c>
      <c r="L27" s="132">
        <v>10</v>
      </c>
      <c r="M27" s="133">
        <v>6.5</v>
      </c>
      <c r="N27" s="133"/>
      <c r="O27" s="133">
        <v>5</v>
      </c>
      <c r="P27" s="133"/>
      <c r="Q27" s="127">
        <f t="shared" si="6"/>
        <v>7.166666666666667</v>
      </c>
      <c r="R27" s="180" t="str">
        <f t="shared" si="2"/>
        <v>N/TRANSITA</v>
      </c>
      <c r="S27" s="134"/>
      <c r="T27" s="135"/>
      <c r="U27" s="135"/>
      <c r="V27" s="136"/>
      <c r="W27" s="136"/>
      <c r="X27" s="23">
        <f t="shared" si="7"/>
        <v>0</v>
      </c>
      <c r="Y27" s="21">
        <f t="shared" si="8"/>
        <v>6.2777777777777777</v>
      </c>
      <c r="Z27" s="180" t="str">
        <f t="shared" si="4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234">
        <v>14</v>
      </c>
      <c r="F28" s="235">
        <v>11</v>
      </c>
      <c r="G28" s="235"/>
      <c r="H28" s="235">
        <v>12</v>
      </c>
      <c r="I28" s="236"/>
      <c r="J28" s="237">
        <f t="shared" si="5"/>
        <v>12.333333333333334</v>
      </c>
      <c r="K28" s="238" t="str">
        <f t="shared" si="1"/>
        <v>TRANSITA</v>
      </c>
      <c r="L28" s="239"/>
      <c r="M28" s="240"/>
      <c r="N28" s="240"/>
      <c r="O28" s="240"/>
      <c r="P28" s="133"/>
      <c r="Q28" s="127">
        <f t="shared" si="6"/>
        <v>0</v>
      </c>
      <c r="R28" s="180" t="str">
        <f t="shared" si="2"/>
        <v>N/TRANSITA</v>
      </c>
      <c r="S28" s="134"/>
      <c r="T28" s="135"/>
      <c r="U28" s="135"/>
      <c r="V28" s="136"/>
      <c r="W28" s="136"/>
      <c r="X28" s="23">
        <f t="shared" si="7"/>
        <v>0</v>
      </c>
      <c r="Y28" s="21">
        <f t="shared" si="8"/>
        <v>4.1111111111111116</v>
      </c>
      <c r="Z28" s="180" t="str">
        <f t="shared" si="4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124"/>
      <c r="F29" s="125"/>
      <c r="G29" s="125"/>
      <c r="H29" s="125"/>
      <c r="I29" s="126"/>
      <c r="J29" s="127">
        <f t="shared" si="5"/>
        <v>0</v>
      </c>
      <c r="K29" s="180" t="str">
        <f t="shared" si="1"/>
        <v>N/TRANSITA</v>
      </c>
      <c r="L29" s="132">
        <v>10</v>
      </c>
      <c r="M29" s="133">
        <v>6.5</v>
      </c>
      <c r="N29" s="133"/>
      <c r="O29" s="133">
        <v>6</v>
      </c>
      <c r="P29" s="133"/>
      <c r="Q29" s="127">
        <f t="shared" si="6"/>
        <v>7.5</v>
      </c>
      <c r="R29" s="180" t="str">
        <f t="shared" si="2"/>
        <v>N/TRANSITA</v>
      </c>
      <c r="S29" s="134"/>
      <c r="T29" s="135"/>
      <c r="U29" s="135"/>
      <c r="V29" s="136"/>
      <c r="W29" s="136"/>
      <c r="X29" s="23">
        <f t="shared" si="7"/>
        <v>0</v>
      </c>
      <c r="Y29" s="21">
        <f t="shared" si="8"/>
        <v>2.5</v>
      </c>
      <c r="Z29" s="180" t="str">
        <f t="shared" si="4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124">
        <v>14</v>
      </c>
      <c r="F30" s="125">
        <v>15</v>
      </c>
      <c r="G30" s="125"/>
      <c r="H30" s="125">
        <v>10</v>
      </c>
      <c r="I30" s="126"/>
      <c r="J30" s="127">
        <f t="shared" si="5"/>
        <v>13</v>
      </c>
      <c r="K30" s="180" t="str">
        <f t="shared" si="1"/>
        <v>TRANSITA</v>
      </c>
      <c r="L30" s="132">
        <v>10</v>
      </c>
      <c r="M30" s="133">
        <v>8.5</v>
      </c>
      <c r="N30" s="133"/>
      <c r="O30" s="133">
        <v>5</v>
      </c>
      <c r="P30" s="133"/>
      <c r="Q30" s="127">
        <f t="shared" si="6"/>
        <v>7.833333333333333</v>
      </c>
      <c r="R30" s="180" t="str">
        <f t="shared" si="2"/>
        <v>N/TRANSITA</v>
      </c>
      <c r="S30" s="134"/>
      <c r="T30" s="135"/>
      <c r="U30" s="135"/>
      <c r="V30" s="136"/>
      <c r="W30" s="136"/>
      <c r="X30" s="23">
        <f t="shared" si="7"/>
        <v>0</v>
      </c>
      <c r="Y30" s="21">
        <f t="shared" si="8"/>
        <v>6.9444444444444438</v>
      </c>
      <c r="Z30" s="180" t="str">
        <f t="shared" si="4"/>
        <v>N/TRANSITA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124"/>
      <c r="F31" s="125"/>
      <c r="G31" s="125"/>
      <c r="H31" s="125"/>
      <c r="I31" s="126"/>
      <c r="J31" s="127">
        <f t="shared" si="5"/>
        <v>0</v>
      </c>
      <c r="K31" s="180" t="str">
        <f t="shared" si="1"/>
        <v>N/TRANSITA</v>
      </c>
      <c r="L31" s="132">
        <v>12</v>
      </c>
      <c r="M31" s="133">
        <v>6.5</v>
      </c>
      <c r="N31" s="133"/>
      <c r="O31" s="133">
        <v>12</v>
      </c>
      <c r="P31" s="133"/>
      <c r="Q31" s="127">
        <f t="shared" ref="Q31" si="14">AVERAGE(L31,MAX(M31:N31),MAX(O31:P31))</f>
        <v>10.166666666666666</v>
      </c>
      <c r="R31" s="180" t="str">
        <f t="shared" ref="R31" si="15">IF(Q31&gt;=10,"TRANSITA","N/TRANSITA")</f>
        <v>TRANSITA</v>
      </c>
      <c r="S31" s="134"/>
      <c r="T31" s="135"/>
      <c r="U31" s="135"/>
      <c r="V31" s="136"/>
      <c r="W31" s="136"/>
      <c r="X31" s="23">
        <f t="shared" ref="X31" si="16">AVERAGE(S31,MAX(T31:U31),MAX(V31:W31))</f>
        <v>0</v>
      </c>
      <c r="Y31" s="21">
        <f t="shared" ref="Y31" si="17">SUM(J31,Q31,X31)/3</f>
        <v>3.3888888888888888</v>
      </c>
      <c r="Z31" s="180" t="str">
        <f t="shared" ref="Z31" si="18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124">
        <v>14</v>
      </c>
      <c r="F32" s="125">
        <v>14</v>
      </c>
      <c r="G32" s="125"/>
      <c r="H32" s="125"/>
      <c r="I32" s="126"/>
      <c r="J32" s="127">
        <f t="shared" si="5"/>
        <v>9.3333333333333339</v>
      </c>
      <c r="K32" s="180" t="str">
        <f t="shared" si="1"/>
        <v>N/TRANSITA</v>
      </c>
      <c r="L32" s="132">
        <v>10</v>
      </c>
      <c r="M32" s="133">
        <v>4</v>
      </c>
      <c r="N32" s="133"/>
      <c r="O32" s="133">
        <v>6</v>
      </c>
      <c r="P32" s="133"/>
      <c r="Q32" s="127">
        <f t="shared" ref="Q32:Q48" si="19">AVERAGE(L32,MAX(M32:N32),MAX(O32:P32))</f>
        <v>6.666666666666667</v>
      </c>
      <c r="R32" s="180" t="str">
        <f t="shared" si="2"/>
        <v>N/TRANSITA</v>
      </c>
      <c r="S32" s="134"/>
      <c r="T32" s="135"/>
      <c r="U32" s="135"/>
      <c r="V32" s="136"/>
      <c r="W32" s="136"/>
      <c r="X32" s="23">
        <f t="shared" ref="X32:X48" si="20">AVERAGE(S32,MAX(T32:U32),MAX(V32:W32))</f>
        <v>0</v>
      </c>
      <c r="Y32" s="21">
        <f t="shared" ref="Y32:Y48" si="21">SUM(J32,Q32,X32)/3</f>
        <v>5.333333333333333</v>
      </c>
      <c r="Z32" s="180" t="str">
        <f t="shared" si="4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124">
        <v>14</v>
      </c>
      <c r="F33" s="125">
        <v>13.5</v>
      </c>
      <c r="G33" s="125"/>
      <c r="H33" s="125">
        <v>11</v>
      </c>
      <c r="I33" s="126"/>
      <c r="J33" s="127">
        <f t="shared" si="5"/>
        <v>12.833333333333334</v>
      </c>
      <c r="K33" s="180" t="str">
        <f t="shared" si="1"/>
        <v>TRANSITA</v>
      </c>
      <c r="L33" s="132">
        <v>10</v>
      </c>
      <c r="M33" s="133">
        <v>4</v>
      </c>
      <c r="N33" s="133"/>
      <c r="O33" s="133">
        <v>7</v>
      </c>
      <c r="P33" s="133"/>
      <c r="Q33" s="127">
        <f t="shared" si="19"/>
        <v>7</v>
      </c>
      <c r="R33" s="180" t="str">
        <f t="shared" si="2"/>
        <v>N/TRANSITA</v>
      </c>
      <c r="S33" s="134"/>
      <c r="T33" s="135"/>
      <c r="U33" s="135"/>
      <c r="V33" s="136"/>
      <c r="W33" s="136"/>
      <c r="X33" s="23">
        <f t="shared" si="20"/>
        <v>0</v>
      </c>
      <c r="Y33" s="21">
        <f t="shared" si="21"/>
        <v>6.6111111111111116</v>
      </c>
      <c r="Z33" s="180" t="str">
        <f t="shared" si="4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124">
        <v>14</v>
      </c>
      <c r="F34" s="125">
        <v>15</v>
      </c>
      <c r="G34" s="125"/>
      <c r="H34" s="125">
        <v>9</v>
      </c>
      <c r="I34" s="126"/>
      <c r="J34" s="127">
        <f t="shared" si="5"/>
        <v>12.666666666666666</v>
      </c>
      <c r="K34" s="180" t="str">
        <f t="shared" si="1"/>
        <v>TRANSITA</v>
      </c>
      <c r="L34" s="132">
        <v>13</v>
      </c>
      <c r="M34" s="133">
        <v>14</v>
      </c>
      <c r="N34" s="133"/>
      <c r="O34" s="133">
        <v>12</v>
      </c>
      <c r="P34" s="133"/>
      <c r="Q34" s="127">
        <f t="shared" si="19"/>
        <v>13</v>
      </c>
      <c r="R34" s="180" t="str">
        <f t="shared" si="2"/>
        <v>TRANSITA</v>
      </c>
      <c r="S34" s="134"/>
      <c r="T34" s="135"/>
      <c r="U34" s="135"/>
      <c r="V34" s="136"/>
      <c r="W34" s="136"/>
      <c r="X34" s="23">
        <f t="shared" si="20"/>
        <v>0</v>
      </c>
      <c r="Y34" s="21">
        <f t="shared" si="21"/>
        <v>8.5555555555555554</v>
      </c>
      <c r="Z34" s="180" t="str">
        <f t="shared" si="4"/>
        <v>N/TRANSITA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234">
        <v>14</v>
      </c>
      <c r="F35" s="235">
        <v>8</v>
      </c>
      <c r="G35" s="235"/>
      <c r="H35" s="235">
        <v>11</v>
      </c>
      <c r="I35" s="236"/>
      <c r="J35" s="237">
        <f t="shared" si="5"/>
        <v>11</v>
      </c>
      <c r="K35" s="238" t="str">
        <f t="shared" si="1"/>
        <v>TRANSITA</v>
      </c>
      <c r="L35" s="239"/>
      <c r="M35" s="240"/>
      <c r="N35" s="240"/>
      <c r="O35" s="240"/>
      <c r="P35" s="133"/>
      <c r="Q35" s="127">
        <f t="shared" si="19"/>
        <v>0</v>
      </c>
      <c r="R35" s="180" t="str">
        <f t="shared" si="2"/>
        <v>N/TRANSITA</v>
      </c>
      <c r="S35" s="134"/>
      <c r="T35" s="135"/>
      <c r="U35" s="135"/>
      <c r="V35" s="136"/>
      <c r="W35" s="136"/>
      <c r="X35" s="23">
        <f t="shared" si="20"/>
        <v>0</v>
      </c>
      <c r="Y35" s="21">
        <f t="shared" si="21"/>
        <v>3.6666666666666665</v>
      </c>
      <c r="Z35" s="180" t="str">
        <f t="shared" si="4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124">
        <v>14</v>
      </c>
      <c r="F36" s="125">
        <v>13</v>
      </c>
      <c r="G36" s="125"/>
      <c r="H36" s="125">
        <v>10</v>
      </c>
      <c r="I36" s="126"/>
      <c r="J36" s="127">
        <f t="shared" si="5"/>
        <v>12.333333333333334</v>
      </c>
      <c r="K36" s="180" t="str">
        <f t="shared" si="1"/>
        <v>TRANSITA</v>
      </c>
      <c r="L36" s="132">
        <v>10</v>
      </c>
      <c r="M36" s="133">
        <v>4</v>
      </c>
      <c r="N36" s="133"/>
      <c r="O36" s="133">
        <v>5</v>
      </c>
      <c r="P36" s="133"/>
      <c r="Q36" s="127">
        <f t="shared" si="19"/>
        <v>6.333333333333333</v>
      </c>
      <c r="R36" s="180" t="str">
        <f t="shared" si="2"/>
        <v>N/TRANSITA</v>
      </c>
      <c r="S36" s="134"/>
      <c r="T36" s="135"/>
      <c r="U36" s="135"/>
      <c r="V36" s="136"/>
      <c r="W36" s="136"/>
      <c r="X36" s="23">
        <f t="shared" si="20"/>
        <v>0</v>
      </c>
      <c r="Y36" s="21">
        <f t="shared" si="21"/>
        <v>6.2222222222222223</v>
      </c>
      <c r="Z36" s="180" t="str">
        <f t="shared" si="4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124">
        <v>14</v>
      </c>
      <c r="F37" s="125">
        <v>20</v>
      </c>
      <c r="G37" s="125"/>
      <c r="H37" s="125">
        <v>11</v>
      </c>
      <c r="I37" s="126"/>
      <c r="J37" s="127">
        <f t="shared" si="5"/>
        <v>15</v>
      </c>
      <c r="K37" s="180" t="str">
        <f t="shared" si="1"/>
        <v>TRANSITA</v>
      </c>
      <c r="L37" s="132">
        <v>11</v>
      </c>
      <c r="M37" s="133">
        <v>9</v>
      </c>
      <c r="N37" s="133"/>
      <c r="O37" s="133">
        <v>10</v>
      </c>
      <c r="P37" s="133"/>
      <c r="Q37" s="127">
        <f t="shared" si="19"/>
        <v>10</v>
      </c>
      <c r="R37" s="180" t="str">
        <f t="shared" si="2"/>
        <v>TRANSITA</v>
      </c>
      <c r="S37" s="134"/>
      <c r="T37" s="135"/>
      <c r="U37" s="135"/>
      <c r="V37" s="136"/>
      <c r="W37" s="136"/>
      <c r="X37" s="23">
        <f t="shared" si="20"/>
        <v>0</v>
      </c>
      <c r="Y37" s="21">
        <f t="shared" si="21"/>
        <v>8.3333333333333339</v>
      </c>
      <c r="Z37" s="180" t="str">
        <f t="shared" si="4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124">
        <v>14</v>
      </c>
      <c r="F38" s="125">
        <v>14</v>
      </c>
      <c r="G38" s="125"/>
      <c r="H38" s="125">
        <v>12</v>
      </c>
      <c r="I38" s="126"/>
      <c r="J38" s="127">
        <f t="shared" si="5"/>
        <v>13.333333333333334</v>
      </c>
      <c r="K38" s="180" t="str">
        <f t="shared" si="1"/>
        <v>TRANSITA</v>
      </c>
      <c r="L38" s="132">
        <v>10</v>
      </c>
      <c r="M38" s="133">
        <v>6</v>
      </c>
      <c r="N38" s="133"/>
      <c r="O38" s="133">
        <v>7</v>
      </c>
      <c r="P38" s="133"/>
      <c r="Q38" s="127">
        <f t="shared" si="19"/>
        <v>7.666666666666667</v>
      </c>
      <c r="R38" s="180" t="str">
        <f t="shared" si="2"/>
        <v>N/TRANSITA</v>
      </c>
      <c r="S38" s="134"/>
      <c r="T38" s="135"/>
      <c r="U38" s="135"/>
      <c r="V38" s="136"/>
      <c r="W38" s="136"/>
      <c r="X38" s="23">
        <f t="shared" si="20"/>
        <v>0</v>
      </c>
      <c r="Y38" s="21">
        <f t="shared" si="21"/>
        <v>7</v>
      </c>
      <c r="Z38" s="180" t="str">
        <f t="shared" si="4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124"/>
      <c r="F39" s="125"/>
      <c r="G39" s="125"/>
      <c r="H39" s="125"/>
      <c r="I39" s="126"/>
      <c r="J39" s="127">
        <f t="shared" si="5"/>
        <v>0</v>
      </c>
      <c r="K39" s="180" t="str">
        <f t="shared" si="1"/>
        <v>N/TRANSITA</v>
      </c>
      <c r="L39" s="132">
        <v>10</v>
      </c>
      <c r="M39" s="133">
        <v>10</v>
      </c>
      <c r="N39" s="133"/>
      <c r="O39" s="133">
        <v>10</v>
      </c>
      <c r="P39" s="133"/>
      <c r="Q39" s="127">
        <f t="shared" ref="Q39:Q43" si="22">AVERAGE(L39,MAX(M39:N39),MAX(O39:P39))</f>
        <v>10</v>
      </c>
      <c r="R39" s="180" t="str">
        <f t="shared" ref="R39:R43" si="23">IF(Q39&gt;=10,"TRANSITA","N/TRANSITA")</f>
        <v>TRANSITA</v>
      </c>
      <c r="S39" s="134"/>
      <c r="T39" s="135"/>
      <c r="U39" s="135"/>
      <c r="V39" s="136"/>
      <c r="W39" s="136"/>
      <c r="X39" s="23">
        <f t="shared" ref="X39:X43" si="24">AVERAGE(S39,MAX(T39:U39),MAX(V39:W39))</f>
        <v>0</v>
      </c>
      <c r="Y39" s="21">
        <f t="shared" ref="Y39:Y43" si="25">SUM(J39,Q39,X39)/3</f>
        <v>3.3333333333333335</v>
      </c>
      <c r="Z39" s="180" t="str">
        <f t="shared" ref="Z39:Z43" si="26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124"/>
      <c r="F40" s="125"/>
      <c r="G40" s="125"/>
      <c r="H40" s="125"/>
      <c r="I40" s="126"/>
      <c r="J40" s="127">
        <f t="shared" si="5"/>
        <v>0</v>
      </c>
      <c r="K40" s="180" t="str">
        <f t="shared" si="1"/>
        <v>N/TRANSITA</v>
      </c>
      <c r="L40" s="132">
        <v>10</v>
      </c>
      <c r="M40" s="133">
        <v>6</v>
      </c>
      <c r="N40" s="133"/>
      <c r="O40" s="133">
        <v>8.5</v>
      </c>
      <c r="P40" s="133"/>
      <c r="Q40" s="127">
        <f t="shared" si="22"/>
        <v>8.1666666666666661</v>
      </c>
      <c r="R40" s="180" t="str">
        <f t="shared" si="23"/>
        <v>N/TRANSITA</v>
      </c>
      <c r="S40" s="134"/>
      <c r="T40" s="135"/>
      <c r="U40" s="135"/>
      <c r="V40" s="136"/>
      <c r="W40" s="136"/>
      <c r="X40" s="23">
        <f t="shared" si="24"/>
        <v>0</v>
      </c>
      <c r="Y40" s="21">
        <f t="shared" si="25"/>
        <v>2.7222222222222219</v>
      </c>
      <c r="Z40" s="180" t="str">
        <f t="shared" si="26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124">
        <v>14</v>
      </c>
      <c r="F41" s="125">
        <v>6</v>
      </c>
      <c r="G41" s="125"/>
      <c r="H41" s="125">
        <v>11</v>
      </c>
      <c r="I41" s="126"/>
      <c r="J41" s="127">
        <f t="shared" si="5"/>
        <v>10.333333333333334</v>
      </c>
      <c r="K41" s="180" t="str">
        <f t="shared" si="1"/>
        <v>TRANSITA</v>
      </c>
      <c r="L41" s="132">
        <v>10</v>
      </c>
      <c r="M41" s="133">
        <v>6.5</v>
      </c>
      <c r="N41" s="133"/>
      <c r="O41" s="133">
        <v>6</v>
      </c>
      <c r="P41" s="133"/>
      <c r="Q41" s="127">
        <f t="shared" si="22"/>
        <v>7.5</v>
      </c>
      <c r="R41" s="180" t="str">
        <f t="shared" si="23"/>
        <v>N/TRANSITA</v>
      </c>
      <c r="S41" s="134"/>
      <c r="T41" s="135"/>
      <c r="U41" s="135"/>
      <c r="V41" s="136"/>
      <c r="W41" s="136"/>
      <c r="X41" s="23">
        <f t="shared" si="24"/>
        <v>0</v>
      </c>
      <c r="Y41" s="21">
        <f t="shared" si="25"/>
        <v>5.9444444444444455</v>
      </c>
      <c r="Z41" s="180" t="str">
        <f t="shared" si="26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124">
        <v>14</v>
      </c>
      <c r="F42" s="125">
        <v>11</v>
      </c>
      <c r="G42" s="125"/>
      <c r="H42" s="125">
        <v>11</v>
      </c>
      <c r="I42" s="126"/>
      <c r="J42" s="127">
        <f t="shared" si="5"/>
        <v>12</v>
      </c>
      <c r="K42" s="180" t="str">
        <f t="shared" si="1"/>
        <v>TRANSITA</v>
      </c>
      <c r="L42" s="132">
        <v>10</v>
      </c>
      <c r="M42" s="133">
        <v>4</v>
      </c>
      <c r="N42" s="133"/>
      <c r="O42" s="133">
        <v>3</v>
      </c>
      <c r="P42" s="133"/>
      <c r="Q42" s="127">
        <f t="shared" si="22"/>
        <v>5.666666666666667</v>
      </c>
      <c r="R42" s="180" t="str">
        <f t="shared" si="23"/>
        <v>N/TRANSITA</v>
      </c>
      <c r="S42" s="134"/>
      <c r="T42" s="135"/>
      <c r="U42" s="135"/>
      <c r="V42" s="136"/>
      <c r="W42" s="136"/>
      <c r="X42" s="23">
        <f t="shared" si="24"/>
        <v>0</v>
      </c>
      <c r="Y42" s="21">
        <f t="shared" si="25"/>
        <v>5.8888888888888893</v>
      </c>
      <c r="Z42" s="180" t="str">
        <f t="shared" si="26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124">
        <v>14</v>
      </c>
      <c r="F43" s="125">
        <v>16</v>
      </c>
      <c r="G43" s="125"/>
      <c r="H43" s="125">
        <v>9</v>
      </c>
      <c r="I43" s="126"/>
      <c r="J43" s="127">
        <f t="shared" si="5"/>
        <v>13</v>
      </c>
      <c r="K43" s="180" t="str">
        <f t="shared" si="1"/>
        <v>TRANSITA</v>
      </c>
      <c r="L43" s="132">
        <v>11</v>
      </c>
      <c r="M43" s="133">
        <v>4</v>
      </c>
      <c r="N43" s="133"/>
      <c r="O43" s="133">
        <v>8.5</v>
      </c>
      <c r="P43" s="133"/>
      <c r="Q43" s="127">
        <f t="shared" si="22"/>
        <v>7.833333333333333</v>
      </c>
      <c r="R43" s="180" t="str">
        <f t="shared" si="23"/>
        <v>N/TRANSITA</v>
      </c>
      <c r="S43" s="134"/>
      <c r="T43" s="135"/>
      <c r="U43" s="135"/>
      <c r="V43" s="136"/>
      <c r="W43" s="136"/>
      <c r="X43" s="23">
        <f t="shared" si="24"/>
        <v>0</v>
      </c>
      <c r="Y43" s="21">
        <f t="shared" si="25"/>
        <v>6.9444444444444438</v>
      </c>
      <c r="Z43" s="180" t="str">
        <f t="shared" si="26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124">
        <v>14</v>
      </c>
      <c r="F44" s="125">
        <v>12</v>
      </c>
      <c r="G44" s="125"/>
      <c r="H44" s="125">
        <v>11</v>
      </c>
      <c r="I44" s="126"/>
      <c r="J44" s="127">
        <f t="shared" si="5"/>
        <v>12.333333333333334</v>
      </c>
      <c r="K44" s="180" t="str">
        <f t="shared" si="1"/>
        <v>TRANSITA</v>
      </c>
      <c r="L44" s="132">
        <v>11</v>
      </c>
      <c r="M44" s="133">
        <v>4</v>
      </c>
      <c r="N44" s="133"/>
      <c r="O44" s="133">
        <v>5</v>
      </c>
      <c r="P44" s="133"/>
      <c r="Q44" s="127">
        <f t="shared" si="19"/>
        <v>6.666666666666667</v>
      </c>
      <c r="R44" s="180" t="str">
        <f t="shared" si="2"/>
        <v>N/TRANSITA</v>
      </c>
      <c r="S44" s="134"/>
      <c r="T44" s="135"/>
      <c r="U44" s="135"/>
      <c r="V44" s="136"/>
      <c r="W44" s="136"/>
      <c r="X44" s="23">
        <f t="shared" si="20"/>
        <v>0</v>
      </c>
      <c r="Y44" s="21">
        <f t="shared" si="21"/>
        <v>6.333333333333333</v>
      </c>
      <c r="Z44" s="180" t="str">
        <f t="shared" si="4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124">
        <v>14</v>
      </c>
      <c r="F45" s="125">
        <v>12</v>
      </c>
      <c r="G45" s="125"/>
      <c r="H45" s="125">
        <v>10</v>
      </c>
      <c r="I45" s="126"/>
      <c r="J45" s="127">
        <f t="shared" si="5"/>
        <v>12</v>
      </c>
      <c r="K45" s="180" t="str">
        <f t="shared" si="1"/>
        <v>TRANSITA</v>
      </c>
      <c r="L45" s="132">
        <v>10</v>
      </c>
      <c r="M45" s="133">
        <v>6.5</v>
      </c>
      <c r="N45" s="133"/>
      <c r="O45" s="133">
        <v>10</v>
      </c>
      <c r="P45" s="133"/>
      <c r="Q45" s="127">
        <f t="shared" si="19"/>
        <v>8.8333333333333339</v>
      </c>
      <c r="R45" s="180" t="str">
        <f t="shared" si="2"/>
        <v>N/TRANSITA</v>
      </c>
      <c r="S45" s="134"/>
      <c r="T45" s="135"/>
      <c r="U45" s="135"/>
      <c r="V45" s="136"/>
      <c r="W45" s="136"/>
      <c r="X45" s="23">
        <f t="shared" si="20"/>
        <v>0</v>
      </c>
      <c r="Y45" s="21">
        <f t="shared" si="21"/>
        <v>6.9444444444444455</v>
      </c>
      <c r="Z45" s="180" t="str">
        <f t="shared" si="4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124"/>
      <c r="F46" s="125"/>
      <c r="G46" s="125"/>
      <c r="H46" s="125"/>
      <c r="I46" s="126"/>
      <c r="J46" s="127">
        <f t="shared" si="5"/>
        <v>0</v>
      </c>
      <c r="K46" s="180" t="str">
        <f t="shared" si="1"/>
        <v>N/TRANSITA</v>
      </c>
      <c r="L46" s="132">
        <v>11</v>
      </c>
      <c r="M46" s="133">
        <v>6.5</v>
      </c>
      <c r="N46" s="133"/>
      <c r="O46" s="133">
        <v>5</v>
      </c>
      <c r="P46" s="133"/>
      <c r="Q46" s="127">
        <f t="shared" ref="Q46:Q47" si="27">AVERAGE(L46,MAX(M46:N46),MAX(O46:P46))</f>
        <v>7.5</v>
      </c>
      <c r="R46" s="180" t="str">
        <f t="shared" ref="R46:R47" si="28">IF(Q46&gt;=10,"TRANSITA","N/TRANSITA")</f>
        <v>N/TRANSITA</v>
      </c>
      <c r="S46" s="134"/>
      <c r="T46" s="135"/>
      <c r="U46" s="135"/>
      <c r="V46" s="136"/>
      <c r="W46" s="136"/>
      <c r="X46" s="23">
        <f t="shared" ref="X46:X47" si="29">AVERAGE(S46,MAX(T46:U46),MAX(V46:W46))</f>
        <v>0</v>
      </c>
      <c r="Y46" s="21">
        <f t="shared" ref="Y46:Y47" si="30">SUM(J46,Q46,X46)/3</f>
        <v>2.5</v>
      </c>
      <c r="Z46" s="180" t="str">
        <f t="shared" ref="Z46:Z47" si="31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124">
        <v>14</v>
      </c>
      <c r="F47" s="125">
        <v>15</v>
      </c>
      <c r="G47" s="125"/>
      <c r="H47" s="125">
        <v>11</v>
      </c>
      <c r="I47" s="126"/>
      <c r="J47" s="127">
        <f t="shared" si="5"/>
        <v>13.333333333333334</v>
      </c>
      <c r="K47" s="180" t="str">
        <f t="shared" si="1"/>
        <v>TRANSITA</v>
      </c>
      <c r="L47" s="132">
        <v>11</v>
      </c>
      <c r="M47" s="133">
        <v>7</v>
      </c>
      <c r="N47" s="133"/>
      <c r="O47" s="133">
        <v>10</v>
      </c>
      <c r="P47" s="133"/>
      <c r="Q47" s="127">
        <f t="shared" si="27"/>
        <v>9.3333333333333339</v>
      </c>
      <c r="R47" s="180" t="str">
        <f t="shared" si="28"/>
        <v>N/TRANSITA</v>
      </c>
      <c r="S47" s="134"/>
      <c r="T47" s="135"/>
      <c r="U47" s="135"/>
      <c r="V47" s="136"/>
      <c r="W47" s="136"/>
      <c r="X47" s="23">
        <f t="shared" si="29"/>
        <v>0</v>
      </c>
      <c r="Y47" s="21">
        <f t="shared" si="30"/>
        <v>7.5555555555555562</v>
      </c>
      <c r="Z47" s="180" t="str">
        <f t="shared" si="31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124">
        <v>14</v>
      </c>
      <c r="F48" s="125">
        <v>15</v>
      </c>
      <c r="G48" s="125"/>
      <c r="H48" s="125">
        <v>11</v>
      </c>
      <c r="I48" s="126"/>
      <c r="J48" s="127">
        <f t="shared" si="5"/>
        <v>13.333333333333334</v>
      </c>
      <c r="K48" s="180" t="str">
        <f t="shared" si="1"/>
        <v>TRANSITA</v>
      </c>
      <c r="L48" s="132">
        <v>10</v>
      </c>
      <c r="M48" s="133">
        <v>6</v>
      </c>
      <c r="N48" s="133"/>
      <c r="O48" s="133">
        <v>7</v>
      </c>
      <c r="P48" s="133"/>
      <c r="Q48" s="127">
        <f t="shared" si="19"/>
        <v>7.666666666666667</v>
      </c>
      <c r="R48" s="180" t="str">
        <f t="shared" si="2"/>
        <v>N/TRANSITA</v>
      </c>
      <c r="S48" s="134"/>
      <c r="T48" s="135"/>
      <c r="U48" s="135"/>
      <c r="V48" s="136"/>
      <c r="W48" s="136"/>
      <c r="X48" s="23">
        <f t="shared" si="20"/>
        <v>0</v>
      </c>
      <c r="Y48" s="21">
        <f t="shared" si="21"/>
        <v>7</v>
      </c>
      <c r="Z48" s="180" t="str">
        <f t="shared" si="4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234"/>
      <c r="F49" s="235"/>
      <c r="G49" s="235"/>
      <c r="H49" s="235"/>
      <c r="I49" s="236"/>
      <c r="J49" s="237">
        <f t="shared" si="5"/>
        <v>0</v>
      </c>
      <c r="K49" s="238" t="str">
        <f t="shared" si="1"/>
        <v>N/TRANSITA</v>
      </c>
      <c r="L49" s="239"/>
      <c r="M49" s="240"/>
      <c r="N49" s="240"/>
      <c r="O49" s="240"/>
      <c r="P49" s="133"/>
      <c r="Q49" s="127">
        <f t="shared" si="6"/>
        <v>0</v>
      </c>
      <c r="R49" s="180" t="str">
        <f t="shared" si="2"/>
        <v>N/TRANSITA</v>
      </c>
      <c r="S49" s="134"/>
      <c r="T49" s="135"/>
      <c r="U49" s="135"/>
      <c r="V49" s="136"/>
      <c r="W49" s="136"/>
      <c r="X49" s="23">
        <f t="shared" si="7"/>
        <v>0</v>
      </c>
      <c r="Y49" s="21">
        <f t="shared" si="8"/>
        <v>0</v>
      </c>
      <c r="Z49" s="180" t="str">
        <f t="shared" si="4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124">
        <v>14</v>
      </c>
      <c r="F50" s="125">
        <v>12</v>
      </c>
      <c r="G50" s="125"/>
      <c r="H50" s="125">
        <v>11</v>
      </c>
      <c r="I50" s="126"/>
      <c r="J50" s="127">
        <f t="shared" si="5"/>
        <v>12.333333333333334</v>
      </c>
      <c r="K50" s="180" t="str">
        <f t="shared" si="1"/>
        <v>TRANSITA</v>
      </c>
      <c r="L50" s="132">
        <v>12</v>
      </c>
      <c r="M50" s="133">
        <v>4</v>
      </c>
      <c r="N50" s="133"/>
      <c r="O50" s="133">
        <v>7</v>
      </c>
      <c r="P50" s="133"/>
      <c r="Q50" s="127">
        <f t="shared" si="6"/>
        <v>7.666666666666667</v>
      </c>
      <c r="R50" s="180" t="str">
        <f t="shared" si="2"/>
        <v>N/TRANSITA</v>
      </c>
      <c r="S50" s="134"/>
      <c r="T50" s="135"/>
      <c r="U50" s="135"/>
      <c r="V50" s="136"/>
      <c r="W50" s="136"/>
      <c r="X50" s="23">
        <f t="shared" si="7"/>
        <v>0</v>
      </c>
      <c r="Y50" s="21">
        <f t="shared" si="8"/>
        <v>6.666666666666667</v>
      </c>
      <c r="Z50" s="180" t="str">
        <f t="shared" si="4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124">
        <v>14</v>
      </c>
      <c r="F51" s="125">
        <v>8</v>
      </c>
      <c r="G51" s="125"/>
      <c r="H51" s="125">
        <v>11</v>
      </c>
      <c r="I51" s="126"/>
      <c r="J51" s="127">
        <f t="shared" si="5"/>
        <v>11</v>
      </c>
      <c r="K51" s="180" t="str">
        <f t="shared" si="1"/>
        <v>TRANSITA</v>
      </c>
      <c r="L51" s="132">
        <v>10</v>
      </c>
      <c r="M51" s="133">
        <v>10.5</v>
      </c>
      <c r="N51" s="133"/>
      <c r="O51" s="133">
        <v>8</v>
      </c>
      <c r="P51" s="133"/>
      <c r="Q51" s="127">
        <f t="shared" si="6"/>
        <v>9.5</v>
      </c>
      <c r="R51" s="180" t="str">
        <f t="shared" si="2"/>
        <v>N/TRANSITA</v>
      </c>
      <c r="S51" s="134"/>
      <c r="T51" s="135"/>
      <c r="U51" s="135"/>
      <c r="V51" s="136"/>
      <c r="W51" s="136"/>
      <c r="X51" s="23">
        <f t="shared" si="7"/>
        <v>0</v>
      </c>
      <c r="Y51" s="21">
        <f t="shared" si="8"/>
        <v>6.833333333333333</v>
      </c>
      <c r="Z51" s="180" t="str">
        <f t="shared" si="4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234">
        <v>14</v>
      </c>
      <c r="F52" s="235">
        <v>7</v>
      </c>
      <c r="G52" s="235"/>
      <c r="H52" s="235"/>
      <c r="I52" s="236"/>
      <c r="J52" s="237">
        <f t="shared" si="5"/>
        <v>7</v>
      </c>
      <c r="K52" s="238" t="str">
        <f t="shared" si="1"/>
        <v>N/TRANSITA</v>
      </c>
      <c r="L52" s="239"/>
      <c r="M52" s="240"/>
      <c r="N52" s="240"/>
      <c r="O52" s="240"/>
      <c r="P52" s="133"/>
      <c r="Q52" s="127">
        <f t="shared" si="6"/>
        <v>0</v>
      </c>
      <c r="R52" s="180" t="str">
        <f t="shared" si="2"/>
        <v>N/TRANSITA</v>
      </c>
      <c r="S52" s="134"/>
      <c r="T52" s="135"/>
      <c r="U52" s="135"/>
      <c r="V52" s="136"/>
      <c r="W52" s="136"/>
      <c r="X52" s="23">
        <f t="shared" si="7"/>
        <v>0</v>
      </c>
      <c r="Y52" s="21">
        <f t="shared" si="8"/>
        <v>2.3333333333333335</v>
      </c>
      <c r="Z52" s="180" t="str">
        <f t="shared" si="4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241"/>
      <c r="F53" s="242"/>
      <c r="G53" s="242"/>
      <c r="H53" s="242"/>
      <c r="I53" s="243"/>
      <c r="J53" s="237">
        <f t="shared" si="5"/>
        <v>0</v>
      </c>
      <c r="K53" s="238" t="str">
        <f t="shared" si="1"/>
        <v>N/TRANSITA</v>
      </c>
      <c r="L53" s="239"/>
      <c r="M53" s="240"/>
      <c r="N53" s="240"/>
      <c r="O53" s="240"/>
      <c r="P53" s="133"/>
      <c r="Q53" s="127">
        <f t="shared" si="6"/>
        <v>0</v>
      </c>
      <c r="R53" s="180" t="str">
        <f t="shared" si="2"/>
        <v>N/TRANSITA</v>
      </c>
      <c r="S53" s="134"/>
      <c r="T53" s="135"/>
      <c r="U53" s="135"/>
      <c r="V53" s="136"/>
      <c r="W53" s="136"/>
      <c r="X53" s="23">
        <f t="shared" si="7"/>
        <v>0</v>
      </c>
      <c r="Y53" s="21">
        <f t="shared" si="8"/>
        <v>0</v>
      </c>
      <c r="Z53" s="180" t="str">
        <f t="shared" si="4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37"/>
      <c r="F54" s="138"/>
      <c r="G54" s="138"/>
      <c r="H54" s="138"/>
      <c r="I54" s="135"/>
      <c r="J54" s="127">
        <f t="shared" si="5"/>
        <v>0</v>
      </c>
      <c r="K54" s="180" t="str">
        <f t="shared" si="1"/>
        <v>N/TRANSITA</v>
      </c>
      <c r="L54" s="132">
        <v>10</v>
      </c>
      <c r="M54" s="133">
        <v>5</v>
      </c>
      <c r="N54" s="133"/>
      <c r="O54" s="133">
        <v>4</v>
      </c>
      <c r="P54" s="133"/>
      <c r="Q54" s="127">
        <f t="shared" ref="Q54:Q56" si="32">AVERAGE(L54,MAX(M54:N54),MAX(O54:P54))</f>
        <v>6.333333333333333</v>
      </c>
      <c r="R54" s="180" t="str">
        <f t="shared" ref="R54:R56" si="33">IF(Q54&gt;=10,"TRANSITA","N/TRANSITA")</f>
        <v>N/TRANSITA</v>
      </c>
      <c r="S54" s="134"/>
      <c r="T54" s="135"/>
      <c r="U54" s="135"/>
      <c r="V54" s="136"/>
      <c r="W54" s="136"/>
      <c r="X54" s="23">
        <f t="shared" ref="X54:X56" si="34">AVERAGE(S54,MAX(T54:U54),MAX(V54:W54))</f>
        <v>0</v>
      </c>
      <c r="Y54" s="21">
        <f t="shared" ref="Y54:Y56" si="35">SUM(J54,Q54,X54)/3</f>
        <v>2.1111111111111112</v>
      </c>
      <c r="Z54" s="180" t="str">
        <f t="shared" ref="Z54:Z56" si="3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37">
        <v>14</v>
      </c>
      <c r="F55" s="138">
        <v>7</v>
      </c>
      <c r="G55" s="138"/>
      <c r="H55" s="138">
        <v>11</v>
      </c>
      <c r="I55" s="135"/>
      <c r="J55" s="127">
        <f t="shared" si="5"/>
        <v>10.666666666666666</v>
      </c>
      <c r="K55" s="180" t="str">
        <f t="shared" si="1"/>
        <v>TRANSITA</v>
      </c>
      <c r="L55" s="132">
        <v>11</v>
      </c>
      <c r="M55" s="133">
        <v>8</v>
      </c>
      <c r="N55" s="133"/>
      <c r="O55" s="133">
        <v>7</v>
      </c>
      <c r="P55" s="133"/>
      <c r="Q55" s="127">
        <f t="shared" si="32"/>
        <v>8.6666666666666661</v>
      </c>
      <c r="R55" s="180" t="str">
        <f t="shared" si="33"/>
        <v>N/TRANSITA</v>
      </c>
      <c r="S55" s="134"/>
      <c r="T55" s="135"/>
      <c r="U55" s="135"/>
      <c r="V55" s="136"/>
      <c r="W55" s="136"/>
      <c r="X55" s="23">
        <f t="shared" si="34"/>
        <v>0</v>
      </c>
      <c r="Y55" s="21">
        <f t="shared" si="35"/>
        <v>6.4444444444444438</v>
      </c>
      <c r="Z55" s="180" t="str">
        <f t="shared" si="3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37">
        <v>14</v>
      </c>
      <c r="F56" s="138">
        <v>3</v>
      </c>
      <c r="G56" s="138"/>
      <c r="H56" s="138">
        <v>6</v>
      </c>
      <c r="I56" s="135"/>
      <c r="J56" s="127">
        <f t="shared" si="5"/>
        <v>7.666666666666667</v>
      </c>
      <c r="K56" s="180" t="str">
        <f t="shared" si="1"/>
        <v>N/TRANSITA</v>
      </c>
      <c r="L56" s="132">
        <v>11</v>
      </c>
      <c r="M56" s="133">
        <v>4</v>
      </c>
      <c r="N56" s="133"/>
      <c r="O56" s="133">
        <v>10</v>
      </c>
      <c r="P56" s="133"/>
      <c r="Q56" s="127">
        <f t="shared" si="32"/>
        <v>8.3333333333333339</v>
      </c>
      <c r="R56" s="180" t="str">
        <f t="shared" si="33"/>
        <v>N/TRANSITA</v>
      </c>
      <c r="S56" s="134"/>
      <c r="T56" s="135"/>
      <c r="U56" s="135"/>
      <c r="V56" s="136"/>
      <c r="W56" s="136"/>
      <c r="X56" s="23">
        <f t="shared" si="34"/>
        <v>0</v>
      </c>
      <c r="Y56" s="21">
        <f t="shared" si="35"/>
        <v>5.333333333333333</v>
      </c>
      <c r="Z56" s="180" t="str">
        <f t="shared" si="3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37">
        <v>14</v>
      </c>
      <c r="F57" s="138">
        <v>11</v>
      </c>
      <c r="G57" s="138"/>
      <c r="H57" s="138">
        <v>15</v>
      </c>
      <c r="I57" s="135"/>
      <c r="J57" s="127">
        <f t="shared" si="5"/>
        <v>13.333333333333334</v>
      </c>
      <c r="K57" s="180" t="str">
        <f t="shared" si="1"/>
        <v>TRANSITA</v>
      </c>
      <c r="L57" s="132">
        <v>12</v>
      </c>
      <c r="M57" s="133">
        <v>9</v>
      </c>
      <c r="N57" s="133"/>
      <c r="O57" s="133">
        <v>10</v>
      </c>
      <c r="P57" s="133"/>
      <c r="Q57" s="127">
        <f t="shared" si="6"/>
        <v>10.333333333333334</v>
      </c>
      <c r="R57" s="180" t="str">
        <f t="shared" si="2"/>
        <v>TRANSITA</v>
      </c>
      <c r="S57" s="134"/>
      <c r="T57" s="135"/>
      <c r="U57" s="135"/>
      <c r="V57" s="136"/>
      <c r="W57" s="136"/>
      <c r="X57" s="23">
        <f t="shared" si="7"/>
        <v>0</v>
      </c>
      <c r="Y57" s="21">
        <f t="shared" si="8"/>
        <v>7.8888888888888893</v>
      </c>
      <c r="Z57" s="180" t="str">
        <f t="shared" si="4"/>
        <v>N/TRANSITA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241"/>
      <c r="F58" s="242"/>
      <c r="G58" s="242"/>
      <c r="H58" s="242"/>
      <c r="I58" s="243"/>
      <c r="J58" s="237">
        <f t="shared" si="5"/>
        <v>0</v>
      </c>
      <c r="K58" s="238" t="str">
        <f t="shared" si="1"/>
        <v>N/TRANSITA</v>
      </c>
      <c r="L58" s="239"/>
      <c r="M58" s="240"/>
      <c r="N58" s="240"/>
      <c r="O58" s="240"/>
      <c r="P58" s="133"/>
      <c r="Q58" s="127">
        <f t="shared" si="6"/>
        <v>0</v>
      </c>
      <c r="R58" s="180" t="str">
        <f t="shared" si="2"/>
        <v>N/TRANSITA</v>
      </c>
      <c r="S58" s="134"/>
      <c r="T58" s="135"/>
      <c r="U58" s="135"/>
      <c r="V58" s="136"/>
      <c r="W58" s="136"/>
      <c r="X58" s="23">
        <f t="shared" si="7"/>
        <v>0</v>
      </c>
      <c r="Y58" s="21">
        <f t="shared" si="8"/>
        <v>0</v>
      </c>
      <c r="Z58" s="180" t="str">
        <f t="shared" si="4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37">
        <v>14</v>
      </c>
      <c r="F59" s="138">
        <v>5</v>
      </c>
      <c r="G59" s="138"/>
      <c r="H59" s="138">
        <v>11</v>
      </c>
      <c r="I59" s="135"/>
      <c r="J59" s="127">
        <f t="shared" si="5"/>
        <v>10</v>
      </c>
      <c r="K59" s="180" t="str">
        <f t="shared" si="1"/>
        <v>TRANSITA</v>
      </c>
      <c r="L59" s="132">
        <v>10</v>
      </c>
      <c r="M59" s="133">
        <v>4</v>
      </c>
      <c r="N59" s="133"/>
      <c r="O59" s="133">
        <v>6.5</v>
      </c>
      <c r="P59" s="133"/>
      <c r="Q59" s="127">
        <f t="shared" si="6"/>
        <v>6.833333333333333</v>
      </c>
      <c r="R59" s="180" t="str">
        <f t="shared" si="2"/>
        <v>N/TRANSITA</v>
      </c>
      <c r="S59" s="134"/>
      <c r="T59" s="135"/>
      <c r="U59" s="135"/>
      <c r="V59" s="136"/>
      <c r="W59" s="136"/>
      <c r="X59" s="23">
        <f t="shared" si="7"/>
        <v>0</v>
      </c>
      <c r="Y59" s="21">
        <f t="shared" si="8"/>
        <v>5.6111111111111107</v>
      </c>
      <c r="Z59" s="180" t="str">
        <f t="shared" si="4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37">
        <v>14</v>
      </c>
      <c r="F60" s="138">
        <v>12</v>
      </c>
      <c r="G60" s="138"/>
      <c r="H60" s="138">
        <v>10</v>
      </c>
      <c r="I60" s="135"/>
      <c r="J60" s="127">
        <f t="shared" si="5"/>
        <v>12</v>
      </c>
      <c r="K60" s="180" t="str">
        <f t="shared" si="1"/>
        <v>TRANSITA</v>
      </c>
      <c r="L60" s="132">
        <v>10</v>
      </c>
      <c r="M60" s="133">
        <v>7.5</v>
      </c>
      <c r="N60" s="133"/>
      <c r="O60" s="133">
        <v>6</v>
      </c>
      <c r="P60" s="133"/>
      <c r="Q60" s="127">
        <f t="shared" si="6"/>
        <v>7.833333333333333</v>
      </c>
      <c r="R60" s="180" t="str">
        <f t="shared" si="2"/>
        <v>N/TRANSITA</v>
      </c>
      <c r="S60" s="134"/>
      <c r="T60" s="135"/>
      <c r="U60" s="135"/>
      <c r="V60" s="136"/>
      <c r="W60" s="136"/>
      <c r="X60" s="23">
        <f t="shared" si="7"/>
        <v>0</v>
      </c>
      <c r="Y60" s="21">
        <f t="shared" si="8"/>
        <v>6.6111111111111107</v>
      </c>
      <c r="Z60" s="180" t="str">
        <f t="shared" si="4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37">
        <v>14</v>
      </c>
      <c r="F61" s="138">
        <v>16</v>
      </c>
      <c r="G61" s="138"/>
      <c r="H61" s="138">
        <v>11</v>
      </c>
      <c r="I61" s="135"/>
      <c r="J61" s="127">
        <f t="shared" si="5"/>
        <v>13.666666666666666</v>
      </c>
      <c r="K61" s="180" t="str">
        <f t="shared" si="1"/>
        <v>TRANSITA</v>
      </c>
      <c r="L61" s="132">
        <v>13</v>
      </c>
      <c r="M61" s="133">
        <v>14</v>
      </c>
      <c r="N61" s="133"/>
      <c r="O61" s="133">
        <v>9</v>
      </c>
      <c r="P61" s="133"/>
      <c r="Q61" s="127">
        <f t="shared" si="6"/>
        <v>12</v>
      </c>
      <c r="R61" s="180" t="str">
        <f t="shared" si="2"/>
        <v>TRANSITA</v>
      </c>
      <c r="S61" s="134"/>
      <c r="T61" s="135"/>
      <c r="U61" s="135"/>
      <c r="V61" s="136"/>
      <c r="W61" s="136"/>
      <c r="X61" s="23">
        <f t="shared" ref="X61:X63" si="37">AVERAGE(S61,MAX(T61:U61),MAX(V61:W61))</f>
        <v>0</v>
      </c>
      <c r="Y61" s="21">
        <f t="shared" si="0"/>
        <v>8.5555555555555554</v>
      </c>
      <c r="Z61" s="180" t="str">
        <f t="shared" si="4"/>
        <v>N/TRANSITA</v>
      </c>
    </row>
    <row r="62" spans="2:31" ht="14.25" customHeight="1" x14ac:dyDescent="0.3">
      <c r="B62" s="37">
        <v>54</v>
      </c>
      <c r="C62" s="194" t="s">
        <v>142</v>
      </c>
      <c r="D62" s="28"/>
      <c r="E62" s="137">
        <v>14</v>
      </c>
      <c r="F62" s="138">
        <v>12</v>
      </c>
      <c r="G62" s="138"/>
      <c r="H62" s="138">
        <v>10</v>
      </c>
      <c r="I62" s="135"/>
      <c r="J62" s="127">
        <f t="shared" si="5"/>
        <v>12</v>
      </c>
      <c r="K62" s="180" t="str">
        <f t="shared" si="1"/>
        <v>TRANSITA</v>
      </c>
      <c r="L62" s="132">
        <v>10</v>
      </c>
      <c r="M62" s="133">
        <v>6</v>
      </c>
      <c r="N62" s="133"/>
      <c r="O62" s="133">
        <v>6</v>
      </c>
      <c r="P62" s="133"/>
      <c r="Q62" s="127">
        <f t="shared" si="6"/>
        <v>7.333333333333333</v>
      </c>
      <c r="R62" s="180" t="str">
        <f t="shared" si="2"/>
        <v>N/TRANSITA</v>
      </c>
      <c r="S62" s="134"/>
      <c r="T62" s="135"/>
      <c r="U62" s="135"/>
      <c r="V62" s="136"/>
      <c r="W62" s="136"/>
      <c r="X62" s="23">
        <f t="shared" si="37"/>
        <v>0</v>
      </c>
      <c r="Y62" s="21">
        <f t="shared" si="0"/>
        <v>6.4444444444444438</v>
      </c>
      <c r="Z62" s="180" t="str">
        <f t="shared" si="4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39">
        <v>14</v>
      </c>
      <c r="F63" s="140">
        <v>4</v>
      </c>
      <c r="G63" s="140"/>
      <c r="H63" s="140">
        <v>11</v>
      </c>
      <c r="I63" s="141"/>
      <c r="J63" s="142">
        <f t="shared" si="5"/>
        <v>9.6666666666666661</v>
      </c>
      <c r="K63" s="181" t="str">
        <f t="shared" si="1"/>
        <v>N/TRANSITA</v>
      </c>
      <c r="L63" s="143">
        <v>11</v>
      </c>
      <c r="M63" s="144">
        <v>6.5</v>
      </c>
      <c r="N63" s="144"/>
      <c r="O63" s="144">
        <v>5</v>
      </c>
      <c r="P63" s="144"/>
      <c r="Q63" s="142">
        <f t="shared" si="6"/>
        <v>7.5</v>
      </c>
      <c r="R63" s="181" t="str">
        <f t="shared" si="2"/>
        <v>N/TRANSITA</v>
      </c>
      <c r="S63" s="145"/>
      <c r="T63" s="141"/>
      <c r="U63" s="141"/>
      <c r="V63" s="146"/>
      <c r="W63" s="146"/>
      <c r="X63" s="24">
        <f t="shared" si="37"/>
        <v>0</v>
      </c>
      <c r="Y63" s="22">
        <f>SUM(J63,Q63,X63)/3</f>
        <v>5.7222222222222214</v>
      </c>
      <c r="Z63" s="181" t="str">
        <f t="shared" si="4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30"/>
      <c r="G66" s="30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31"/>
      <c r="G67" s="31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31"/>
      <c r="G68" s="31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53:AB55"/>
    <mergeCell ref="A66:E66"/>
    <mergeCell ref="S66:Z66"/>
    <mergeCell ref="A67:E67"/>
    <mergeCell ref="S67:Z67"/>
    <mergeCell ref="AA10:AB11"/>
    <mergeCell ref="K7:K8"/>
    <mergeCell ref="R7:R8"/>
    <mergeCell ref="AC8:AC9"/>
    <mergeCell ref="AD8:AD9"/>
    <mergeCell ref="AE8:AE9"/>
    <mergeCell ref="B5:C5"/>
    <mergeCell ref="E5:Q5"/>
    <mergeCell ref="X5:Z5"/>
    <mergeCell ref="B6:Z6"/>
    <mergeCell ref="B7:B8"/>
    <mergeCell ref="C7:C8"/>
    <mergeCell ref="E7:J7"/>
    <mergeCell ref="L7:Q7"/>
    <mergeCell ref="S7:X7"/>
    <mergeCell ref="Y7:Y8"/>
    <mergeCell ref="A1:Z1"/>
    <mergeCell ref="B3:C3"/>
    <mergeCell ref="I3:M3"/>
    <mergeCell ref="V3:Z3"/>
    <mergeCell ref="B4:C4"/>
    <mergeCell ref="E4:Q4"/>
    <mergeCell ref="V4:Z4"/>
  </mergeCells>
  <conditionalFormatting sqref="Y9:Y63">
    <cfRule type="cellIs" dxfId="213" priority="115" stopIfTrue="1" operator="greaterThan">
      <formula>9.5</formula>
    </cfRule>
    <cfRule type="cellIs" dxfId="212" priority="116" stopIfTrue="1" operator="lessThanOrEqual">
      <formula>9.5</formula>
    </cfRule>
  </conditionalFormatting>
  <conditionalFormatting sqref="S9:W63">
    <cfRule type="cellIs" dxfId="211" priority="113" stopIfTrue="1" operator="lessThan">
      <formula>10</formula>
    </cfRule>
    <cfRule type="cellIs" dxfId="210" priority="114" stopIfTrue="1" operator="greaterThan">
      <formula>9</formula>
    </cfRule>
  </conditionalFormatting>
  <conditionalFormatting sqref="S9:W63">
    <cfRule type="cellIs" dxfId="209" priority="111" stopIfTrue="1" operator="lessThan">
      <formula>10</formula>
    </cfRule>
    <cfRule type="cellIs" dxfId="208" priority="112" stopIfTrue="1" operator="greaterThan">
      <formula>9</formula>
    </cfRule>
  </conditionalFormatting>
  <conditionalFormatting sqref="X9:X63 Q9:Q63">
    <cfRule type="cellIs" dxfId="207" priority="93" stopIfTrue="1" operator="lessThan">
      <formula>10</formula>
    </cfRule>
    <cfRule type="cellIs" dxfId="206" priority="94" stopIfTrue="1" operator="greaterThanOrEqual">
      <formula>10</formula>
    </cfRule>
  </conditionalFormatting>
  <conditionalFormatting sqref="P9:P63">
    <cfRule type="cellIs" dxfId="205" priority="39" stopIfTrue="1" operator="lessThan">
      <formula>10</formula>
    </cfRule>
    <cfRule type="cellIs" dxfId="204" priority="40" stopIfTrue="1" operator="greaterThan">
      <formula>9</formula>
    </cfRule>
    <cfRule type="cellIs" dxfId="203" priority="41" stopIfTrue="1" operator="lessThan">
      <formula>10</formula>
    </cfRule>
    <cfRule type="cellIs" dxfId="202" priority="42" stopIfTrue="1" operator="greaterThan">
      <formula>9</formula>
    </cfRule>
  </conditionalFormatting>
  <conditionalFormatting sqref="I9:I63">
    <cfRule type="cellIs" dxfId="201" priority="15" stopIfTrue="1" operator="lessThan">
      <formula>10</formula>
    </cfRule>
    <cfRule type="cellIs" dxfId="200" priority="16" stopIfTrue="1" operator="greaterThan">
      <formula>9</formula>
    </cfRule>
  </conditionalFormatting>
  <conditionalFormatting sqref="I9:I63">
    <cfRule type="cellIs" dxfId="199" priority="13" stopIfTrue="1" operator="lessThan">
      <formula>10</formula>
    </cfRule>
    <cfRule type="cellIs" dxfId="198" priority="14" stopIfTrue="1" operator="greaterThan">
      <formula>9</formula>
    </cfRule>
  </conditionalFormatting>
  <conditionalFormatting sqref="J9:J63">
    <cfRule type="cellIs" dxfId="197" priority="11" stopIfTrue="1" operator="lessThan">
      <formula>10</formula>
    </cfRule>
    <cfRule type="cellIs" dxfId="196" priority="12" stopIfTrue="1" operator="greaterThanOrEqual">
      <formula>10</formula>
    </cfRule>
  </conditionalFormatting>
  <conditionalFormatting sqref="L9:O63">
    <cfRule type="cellIs" dxfId="195" priority="7" stopIfTrue="1" operator="lessThan">
      <formula>10</formula>
    </cfRule>
    <cfRule type="cellIs" dxfId="194" priority="8" stopIfTrue="1" operator="greaterThan">
      <formula>9</formula>
    </cfRule>
    <cfRule type="cellIs" dxfId="193" priority="9" stopIfTrue="1" operator="lessThan">
      <formula>10</formula>
    </cfRule>
    <cfRule type="cellIs" dxfId="192" priority="10" stopIfTrue="1" operator="greaterThan">
      <formula>9</formula>
    </cfRule>
  </conditionalFormatting>
  <conditionalFormatting sqref="E9:H63">
    <cfRule type="cellIs" dxfId="191" priority="3" stopIfTrue="1" operator="lessThan">
      <formula>10</formula>
    </cfRule>
    <cfRule type="cellIs" dxfId="190" priority="4" stopIfTrue="1" operator="greaterThan">
      <formula>9</formula>
    </cfRule>
  </conditionalFormatting>
  <conditionalFormatting sqref="E9:H63">
    <cfRule type="cellIs" dxfId="189" priority="1" stopIfTrue="1" operator="lessThan">
      <formula>10</formula>
    </cfRule>
    <cfRule type="cellIs" dxfId="188" priority="2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6385" r:id="rId4">
          <objectPr defaultSize="0" autoPict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83820</xdr:colOff>
                <xdr:row>65</xdr:row>
                <xdr:rowOff>22860</xdr:rowOff>
              </to>
            </anchor>
          </objectPr>
        </oleObject>
      </mc:Choice>
      <mc:Fallback>
        <oleObject progId="Word.Document.8" shapeId="1638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3" stopIfTrue="1" operator="containsText" id="{24CC888A-4307-45DF-BF2C-C3222B56D7D4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4" stopIfTrue="1" operator="containsText" id="{7CA50A3D-A0CC-4F21-AA1A-C9C57978EFA3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29" stopIfTrue="1" operator="containsText" id="{822E3A70-374C-4095-B56F-BDF4D33A19A0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0" stopIfTrue="1" operator="containsText" id="{42764A04-39EB-4F4D-9863-4592D13C8497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5" stopIfTrue="1" operator="containsText" id="{F2AB40A6-6314-4150-B8C7-59D41F9EE7F6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C4DFD4DF-570C-4408-9A64-CD135CA8FBA9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H17" sqref="H17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32"/>
      <c r="I4" s="324" t="s">
        <v>38</v>
      </c>
      <c r="J4" s="324"/>
      <c r="K4" s="324"/>
      <c r="L4" s="324"/>
      <c r="M4" s="324"/>
      <c r="N4" s="324"/>
      <c r="O4" s="324"/>
      <c r="P4" s="324"/>
      <c r="Q4" s="324"/>
      <c r="R4" s="32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32"/>
      <c r="H5" s="36"/>
      <c r="I5" s="361" t="s">
        <v>34</v>
      </c>
      <c r="J5" s="361"/>
      <c r="K5" s="361"/>
      <c r="L5" s="361"/>
      <c r="M5" s="361"/>
      <c r="N5" s="361"/>
      <c r="O5" s="36"/>
      <c r="P5" s="36"/>
      <c r="Q5" s="36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1</v>
      </c>
      <c r="AD8" s="335">
        <f>COUNTIF(Z9:Z69,"N/TRANSITA")</f>
        <v>54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124">
        <v>5</v>
      </c>
      <c r="F9" s="125">
        <v>4</v>
      </c>
      <c r="G9" s="125"/>
      <c r="H9" s="125">
        <v>14.5</v>
      </c>
      <c r="I9" s="126"/>
      <c r="J9" s="127">
        <f>AVERAGE(E9,MAX(F9:G9),MAX(H9:I9))</f>
        <v>7.833333333333333</v>
      </c>
      <c r="K9" s="179" t="str">
        <f>IF(J9&gt;=10,"TRANSITA","N/TRANSITA")</f>
        <v>N/TRANSITA</v>
      </c>
      <c r="L9" s="128">
        <v>10</v>
      </c>
      <c r="M9" s="129">
        <v>5</v>
      </c>
      <c r="N9" s="129"/>
      <c r="O9" s="129">
        <v>5</v>
      </c>
      <c r="P9" s="129"/>
      <c r="Q9" s="127">
        <f>AVERAGE(L9,MAX(M9:N9),MAX(O9:P9))</f>
        <v>6.666666666666667</v>
      </c>
      <c r="R9" s="179" t="str">
        <f>IF(Q9&gt;=10,"TRANSITA","N/TRANSITA")</f>
        <v>N/TRANSITA</v>
      </c>
      <c r="S9" s="130"/>
      <c r="T9" s="126"/>
      <c r="U9" s="126"/>
      <c r="V9" s="131"/>
      <c r="W9" s="131"/>
      <c r="X9" s="23">
        <f>AVERAGE(S9,MAX(T9:U9),MAX(V9:W9))</f>
        <v>0</v>
      </c>
      <c r="Y9" s="20">
        <f t="shared" ref="Y9:Y62" si="0">SUM(J9,Q9,X9)/3</f>
        <v>4.833333333333333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124">
        <v>10</v>
      </c>
      <c r="F10" s="125">
        <v>12.5</v>
      </c>
      <c r="G10" s="125"/>
      <c r="H10" s="125">
        <v>13.5</v>
      </c>
      <c r="I10" s="126"/>
      <c r="J10" s="127">
        <f>AVERAGE(E10,MAX(F10:G10),MAX(H10:I10))</f>
        <v>12</v>
      </c>
      <c r="K10" s="180" t="str">
        <f t="shared" ref="K10:K63" si="1">IF(J10&gt;=10,"TRANSITA","N/TRANSITA")</f>
        <v>TRANSITA</v>
      </c>
      <c r="L10" s="132">
        <v>11</v>
      </c>
      <c r="M10" s="133">
        <v>11</v>
      </c>
      <c r="N10" s="133"/>
      <c r="O10" s="133">
        <v>9</v>
      </c>
      <c r="P10" s="133"/>
      <c r="Q10" s="127">
        <f>AVERAGE(L10,MAX(M10:N10),MAX(O10:P10))</f>
        <v>10.333333333333334</v>
      </c>
      <c r="R10" s="180" t="str">
        <f t="shared" ref="R10:R63" si="2">IF(Q10&gt;=10,"TRANSITA","N/TRANSITA")</f>
        <v>TRANSITA</v>
      </c>
      <c r="S10" s="134"/>
      <c r="T10" s="135"/>
      <c r="U10" s="135"/>
      <c r="V10" s="136"/>
      <c r="W10" s="136"/>
      <c r="X10" s="23">
        <f>AVERAGE(S10,MAX(T10:U10),MAX(V10:W10))</f>
        <v>0</v>
      </c>
      <c r="Y10" s="21">
        <f t="shared" ref="Y10" si="3">SUM(J10,Q10,X10)/3</f>
        <v>7.4444444444444455</v>
      </c>
      <c r="Z10" s="180" t="str">
        <f t="shared" ref="Z10:Z63" si="4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124">
        <v>6</v>
      </c>
      <c r="F11" s="125">
        <v>10</v>
      </c>
      <c r="G11" s="125"/>
      <c r="H11" s="125">
        <v>12</v>
      </c>
      <c r="I11" s="126"/>
      <c r="J11" s="127">
        <f t="shared" ref="J11:J63" si="5">AVERAGE(E11,MAX(F11:G11),MAX(H11:I11))</f>
        <v>9.3333333333333339</v>
      </c>
      <c r="K11" s="180" t="str">
        <f t="shared" si="1"/>
        <v>N/TRANSITA</v>
      </c>
      <c r="L11" s="132">
        <v>10</v>
      </c>
      <c r="M11" s="133">
        <v>5</v>
      </c>
      <c r="N11" s="133"/>
      <c r="O11" s="133">
        <v>8.5</v>
      </c>
      <c r="P11" s="133"/>
      <c r="Q11" s="127">
        <f t="shared" ref="Q11:Q63" si="6">AVERAGE(L11,MAX(M11:N11),MAX(O11:P11))</f>
        <v>7.833333333333333</v>
      </c>
      <c r="R11" s="180" t="str">
        <f t="shared" si="2"/>
        <v>N/TRANSITA</v>
      </c>
      <c r="S11" s="134"/>
      <c r="T11" s="135"/>
      <c r="U11" s="135"/>
      <c r="V11" s="136"/>
      <c r="W11" s="136"/>
      <c r="X11" s="23">
        <f t="shared" ref="X11:X60" si="7">AVERAGE(S11,MAX(T11:U11),MAX(V11:W11))</f>
        <v>0</v>
      </c>
      <c r="Y11" s="21">
        <f t="shared" ref="Y11:Y60" si="8">SUM(J11,Q11,X11)/3</f>
        <v>5.7222222222222223</v>
      </c>
      <c r="Z11" s="180" t="str">
        <f t="shared" si="4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124">
        <v>5</v>
      </c>
      <c r="F12" s="125">
        <v>12</v>
      </c>
      <c r="G12" s="125"/>
      <c r="H12" s="125">
        <v>13</v>
      </c>
      <c r="I12" s="126"/>
      <c r="J12" s="127">
        <f t="shared" si="5"/>
        <v>10</v>
      </c>
      <c r="K12" s="180" t="str">
        <f t="shared" si="1"/>
        <v>TRANSITA</v>
      </c>
      <c r="L12" s="132">
        <v>12</v>
      </c>
      <c r="M12" s="133">
        <v>7</v>
      </c>
      <c r="N12" s="133"/>
      <c r="O12" s="133">
        <v>9</v>
      </c>
      <c r="P12" s="133"/>
      <c r="Q12" s="127">
        <f t="shared" si="6"/>
        <v>9.3333333333333339</v>
      </c>
      <c r="R12" s="180" t="str">
        <f t="shared" si="2"/>
        <v>N/TRANSITA</v>
      </c>
      <c r="S12" s="134"/>
      <c r="T12" s="135"/>
      <c r="U12" s="135"/>
      <c r="V12" s="136"/>
      <c r="W12" s="136"/>
      <c r="X12" s="23">
        <f t="shared" si="7"/>
        <v>0</v>
      </c>
      <c r="Y12" s="21">
        <f t="shared" si="8"/>
        <v>6.4444444444444455</v>
      </c>
      <c r="Z12" s="180" t="str">
        <f t="shared" si="4"/>
        <v>N/TRANSITA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124">
        <v>18</v>
      </c>
      <c r="F13" s="125">
        <v>13</v>
      </c>
      <c r="G13" s="125"/>
      <c r="H13" s="125">
        <v>15</v>
      </c>
      <c r="I13" s="126"/>
      <c r="J13" s="127">
        <f t="shared" si="5"/>
        <v>15.333333333333334</v>
      </c>
      <c r="K13" s="180" t="str">
        <f t="shared" si="1"/>
        <v>TRANSITA</v>
      </c>
      <c r="L13" s="132">
        <v>14</v>
      </c>
      <c r="M13" s="133">
        <v>13</v>
      </c>
      <c r="N13" s="133"/>
      <c r="O13" s="133">
        <v>18</v>
      </c>
      <c r="P13" s="133"/>
      <c r="Q13" s="127">
        <f t="shared" si="6"/>
        <v>15</v>
      </c>
      <c r="R13" s="180" t="str">
        <f t="shared" si="2"/>
        <v>TRANSITA</v>
      </c>
      <c r="S13" s="134"/>
      <c r="T13" s="135"/>
      <c r="U13" s="135"/>
      <c r="V13" s="136"/>
      <c r="W13" s="136"/>
      <c r="X13" s="23">
        <f t="shared" si="7"/>
        <v>0</v>
      </c>
      <c r="Y13" s="21">
        <f t="shared" si="8"/>
        <v>10.111111111111112</v>
      </c>
      <c r="Z13" s="180" t="str">
        <f t="shared" si="4"/>
        <v>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124">
        <v>5</v>
      </c>
      <c r="F14" s="125">
        <v>12</v>
      </c>
      <c r="G14" s="125"/>
      <c r="H14" s="125">
        <v>13</v>
      </c>
      <c r="I14" s="126"/>
      <c r="J14" s="127">
        <f t="shared" si="5"/>
        <v>10</v>
      </c>
      <c r="K14" s="180" t="str">
        <f t="shared" si="1"/>
        <v>TRANSITA</v>
      </c>
      <c r="L14" s="132">
        <v>12</v>
      </c>
      <c r="M14" s="133">
        <v>10</v>
      </c>
      <c r="N14" s="133"/>
      <c r="O14" s="133">
        <v>10</v>
      </c>
      <c r="P14" s="133"/>
      <c r="Q14" s="127">
        <f t="shared" si="6"/>
        <v>10.666666666666666</v>
      </c>
      <c r="R14" s="180" t="str">
        <f t="shared" si="2"/>
        <v>TRANSITA</v>
      </c>
      <c r="S14" s="134"/>
      <c r="T14" s="135"/>
      <c r="U14" s="135"/>
      <c r="V14" s="136"/>
      <c r="W14" s="136"/>
      <c r="X14" s="23">
        <f t="shared" si="7"/>
        <v>0</v>
      </c>
      <c r="Y14" s="21">
        <f t="shared" si="8"/>
        <v>6.8888888888888884</v>
      </c>
      <c r="Z14" s="180" t="str">
        <f t="shared" si="4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124">
        <v>6</v>
      </c>
      <c r="F15" s="125">
        <v>8</v>
      </c>
      <c r="G15" s="125"/>
      <c r="H15" s="125">
        <v>13</v>
      </c>
      <c r="I15" s="126"/>
      <c r="J15" s="127">
        <f t="shared" si="5"/>
        <v>9</v>
      </c>
      <c r="K15" s="180" t="str">
        <f t="shared" si="1"/>
        <v>N/TRANSITA</v>
      </c>
      <c r="L15" s="132">
        <v>12</v>
      </c>
      <c r="M15" s="133">
        <v>16</v>
      </c>
      <c r="N15" s="133"/>
      <c r="O15" s="133">
        <v>5</v>
      </c>
      <c r="P15" s="133"/>
      <c r="Q15" s="127">
        <f t="shared" si="6"/>
        <v>11</v>
      </c>
      <c r="R15" s="180" t="str">
        <f t="shared" si="2"/>
        <v>TRANSITA</v>
      </c>
      <c r="S15" s="134"/>
      <c r="T15" s="135"/>
      <c r="U15" s="135"/>
      <c r="V15" s="136"/>
      <c r="W15" s="136"/>
      <c r="X15" s="23">
        <f t="shared" si="7"/>
        <v>0</v>
      </c>
      <c r="Y15" s="21">
        <f t="shared" si="8"/>
        <v>6.666666666666667</v>
      </c>
      <c r="Z15" s="180" t="str">
        <f t="shared" si="4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124">
        <v>10</v>
      </c>
      <c r="F16" s="125">
        <v>10</v>
      </c>
      <c r="G16" s="125"/>
      <c r="H16" s="125">
        <v>10</v>
      </c>
      <c r="I16" s="126"/>
      <c r="J16" s="127">
        <f t="shared" si="5"/>
        <v>10</v>
      </c>
      <c r="K16" s="180" t="str">
        <f t="shared" si="1"/>
        <v>TRANSITA</v>
      </c>
      <c r="L16" s="132">
        <v>10</v>
      </c>
      <c r="M16" s="133">
        <v>5</v>
      </c>
      <c r="N16" s="133"/>
      <c r="O16" s="133">
        <v>5</v>
      </c>
      <c r="P16" s="133"/>
      <c r="Q16" s="127">
        <f t="shared" si="6"/>
        <v>6.666666666666667</v>
      </c>
      <c r="R16" s="180" t="str">
        <f t="shared" si="2"/>
        <v>N/TRANSITA</v>
      </c>
      <c r="S16" s="134"/>
      <c r="T16" s="135"/>
      <c r="U16" s="135"/>
      <c r="V16" s="136"/>
      <c r="W16" s="136"/>
      <c r="X16" s="23">
        <f t="shared" si="7"/>
        <v>0</v>
      </c>
      <c r="Y16" s="21">
        <f t="shared" si="8"/>
        <v>5.5555555555555562</v>
      </c>
      <c r="Z16" s="180" t="str">
        <f t="shared" si="4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124">
        <v>7</v>
      </c>
      <c r="F17" s="125">
        <v>11</v>
      </c>
      <c r="G17" s="125"/>
      <c r="H17" s="125">
        <v>13</v>
      </c>
      <c r="I17" s="126"/>
      <c r="J17" s="127">
        <f t="shared" si="5"/>
        <v>10.333333333333334</v>
      </c>
      <c r="K17" s="180" t="str">
        <f t="shared" si="1"/>
        <v>TRANSITA</v>
      </c>
      <c r="L17" s="132">
        <v>10</v>
      </c>
      <c r="M17" s="133">
        <v>7</v>
      </c>
      <c r="N17" s="133"/>
      <c r="O17" s="133">
        <v>11</v>
      </c>
      <c r="P17" s="133"/>
      <c r="Q17" s="127">
        <f t="shared" si="6"/>
        <v>9.3333333333333339</v>
      </c>
      <c r="R17" s="180" t="str">
        <f t="shared" si="2"/>
        <v>N/TRANSITA</v>
      </c>
      <c r="S17" s="134"/>
      <c r="T17" s="135"/>
      <c r="U17" s="135"/>
      <c r="V17" s="136"/>
      <c r="W17" s="136"/>
      <c r="X17" s="23">
        <f t="shared" si="7"/>
        <v>0</v>
      </c>
      <c r="Y17" s="21">
        <f t="shared" si="8"/>
        <v>6.5555555555555562</v>
      </c>
      <c r="Z17" s="180" t="str">
        <f t="shared" si="4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124">
        <v>10</v>
      </c>
      <c r="F18" s="125">
        <v>8</v>
      </c>
      <c r="G18" s="125"/>
      <c r="H18" s="125">
        <v>10</v>
      </c>
      <c r="I18" s="126"/>
      <c r="J18" s="127">
        <f t="shared" si="5"/>
        <v>9.3333333333333339</v>
      </c>
      <c r="K18" s="180" t="str">
        <f t="shared" si="1"/>
        <v>N/TRANSITA</v>
      </c>
      <c r="L18" s="132">
        <v>11</v>
      </c>
      <c r="M18" s="133">
        <v>5</v>
      </c>
      <c r="N18" s="133"/>
      <c r="O18" s="133">
        <v>5</v>
      </c>
      <c r="P18" s="133"/>
      <c r="Q18" s="127">
        <f t="shared" si="6"/>
        <v>7</v>
      </c>
      <c r="R18" s="180" t="str">
        <f t="shared" si="2"/>
        <v>N/TRANSITA</v>
      </c>
      <c r="S18" s="134"/>
      <c r="T18" s="135"/>
      <c r="U18" s="135"/>
      <c r="V18" s="136"/>
      <c r="W18" s="136"/>
      <c r="X18" s="23">
        <f t="shared" si="7"/>
        <v>0</v>
      </c>
      <c r="Y18" s="21">
        <f t="shared" si="8"/>
        <v>5.4444444444444455</v>
      </c>
      <c r="Z18" s="180" t="str">
        <f t="shared" si="4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124">
        <v>5</v>
      </c>
      <c r="F19" s="125">
        <v>13</v>
      </c>
      <c r="G19" s="125"/>
      <c r="H19" s="125">
        <v>12</v>
      </c>
      <c r="I19" s="126"/>
      <c r="J19" s="127">
        <f t="shared" si="5"/>
        <v>10</v>
      </c>
      <c r="K19" s="180" t="str">
        <f t="shared" si="1"/>
        <v>TRANSITA</v>
      </c>
      <c r="L19" s="132">
        <v>11</v>
      </c>
      <c r="M19" s="133">
        <v>7</v>
      </c>
      <c r="N19" s="133"/>
      <c r="O19" s="133">
        <v>5</v>
      </c>
      <c r="P19" s="133"/>
      <c r="Q19" s="127">
        <f t="shared" si="6"/>
        <v>7.666666666666667</v>
      </c>
      <c r="R19" s="180" t="str">
        <f t="shared" si="2"/>
        <v>N/TRANSITA</v>
      </c>
      <c r="S19" s="134"/>
      <c r="T19" s="135"/>
      <c r="U19" s="135"/>
      <c r="V19" s="136"/>
      <c r="W19" s="136"/>
      <c r="X19" s="23">
        <f t="shared" si="7"/>
        <v>0</v>
      </c>
      <c r="Y19" s="21">
        <f t="shared" si="8"/>
        <v>5.8888888888888893</v>
      </c>
      <c r="Z19" s="180" t="str">
        <f t="shared" si="4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124">
        <v>12</v>
      </c>
      <c r="F20" s="125">
        <v>12.5</v>
      </c>
      <c r="G20" s="125"/>
      <c r="H20" s="125">
        <v>13</v>
      </c>
      <c r="I20" s="126"/>
      <c r="J20" s="127">
        <f t="shared" si="5"/>
        <v>12.5</v>
      </c>
      <c r="K20" s="180" t="str">
        <f t="shared" si="1"/>
        <v>TRANSITA</v>
      </c>
      <c r="L20" s="132">
        <v>12</v>
      </c>
      <c r="M20" s="133">
        <v>12</v>
      </c>
      <c r="N20" s="133"/>
      <c r="O20" s="133">
        <v>8.5</v>
      </c>
      <c r="P20" s="133"/>
      <c r="Q20" s="127">
        <f t="shared" si="6"/>
        <v>10.833333333333334</v>
      </c>
      <c r="R20" s="180" t="str">
        <f t="shared" si="2"/>
        <v>TRANSITA</v>
      </c>
      <c r="S20" s="134"/>
      <c r="T20" s="135"/>
      <c r="U20" s="135"/>
      <c r="V20" s="136"/>
      <c r="W20" s="136"/>
      <c r="X20" s="23">
        <f t="shared" si="7"/>
        <v>0</v>
      </c>
      <c r="Y20" s="21">
        <f t="shared" si="8"/>
        <v>7.7777777777777786</v>
      </c>
      <c r="Z20" s="180" t="str">
        <f t="shared" si="4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124">
        <v>15</v>
      </c>
      <c r="F21" s="125">
        <v>8</v>
      </c>
      <c r="G21" s="125"/>
      <c r="H21" s="125">
        <v>10</v>
      </c>
      <c r="I21" s="126"/>
      <c r="J21" s="127">
        <f t="shared" si="5"/>
        <v>11</v>
      </c>
      <c r="K21" s="180" t="str">
        <f t="shared" si="1"/>
        <v>TRANSITA</v>
      </c>
      <c r="L21" s="132">
        <v>13</v>
      </c>
      <c r="M21" s="133">
        <v>7</v>
      </c>
      <c r="N21" s="133"/>
      <c r="O21" s="133">
        <v>14</v>
      </c>
      <c r="P21" s="133"/>
      <c r="Q21" s="127">
        <f t="shared" si="6"/>
        <v>11.333333333333334</v>
      </c>
      <c r="R21" s="180" t="str">
        <f t="shared" si="2"/>
        <v>TRANSITA</v>
      </c>
      <c r="S21" s="134"/>
      <c r="T21" s="135"/>
      <c r="U21" s="135"/>
      <c r="V21" s="136"/>
      <c r="W21" s="136"/>
      <c r="X21" s="23">
        <f t="shared" si="7"/>
        <v>0</v>
      </c>
      <c r="Y21" s="21">
        <f t="shared" si="8"/>
        <v>7.4444444444444455</v>
      </c>
      <c r="Z21" s="180" t="str">
        <f t="shared" si="4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124">
        <v>10</v>
      </c>
      <c r="F22" s="125">
        <v>13</v>
      </c>
      <c r="G22" s="125"/>
      <c r="H22" s="125">
        <v>13</v>
      </c>
      <c r="I22" s="126"/>
      <c r="J22" s="127">
        <f t="shared" si="5"/>
        <v>12</v>
      </c>
      <c r="K22" s="180" t="str">
        <f t="shared" si="1"/>
        <v>TRANSITA</v>
      </c>
      <c r="L22" s="132">
        <v>13</v>
      </c>
      <c r="M22" s="133">
        <v>7</v>
      </c>
      <c r="N22" s="133"/>
      <c r="O22" s="133">
        <v>14</v>
      </c>
      <c r="P22" s="133"/>
      <c r="Q22" s="127">
        <f t="shared" si="6"/>
        <v>11.333333333333334</v>
      </c>
      <c r="R22" s="180" t="str">
        <f t="shared" si="2"/>
        <v>TRANSITA</v>
      </c>
      <c r="S22" s="134"/>
      <c r="T22" s="135"/>
      <c r="U22" s="135"/>
      <c r="V22" s="136"/>
      <c r="W22" s="136"/>
      <c r="X22" s="23">
        <f t="shared" si="7"/>
        <v>0</v>
      </c>
      <c r="Y22" s="21">
        <f t="shared" si="8"/>
        <v>7.7777777777777786</v>
      </c>
      <c r="Z22" s="180" t="str">
        <f t="shared" si="4"/>
        <v>N/TRANSITA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124">
        <v>5</v>
      </c>
      <c r="F23" s="125">
        <v>11</v>
      </c>
      <c r="G23" s="125"/>
      <c r="H23" s="125">
        <v>13.5</v>
      </c>
      <c r="I23" s="126"/>
      <c r="J23" s="127">
        <f t="shared" si="5"/>
        <v>9.8333333333333339</v>
      </c>
      <c r="K23" s="180" t="str">
        <f t="shared" si="1"/>
        <v>N/TRANSITA</v>
      </c>
      <c r="L23" s="132">
        <v>10</v>
      </c>
      <c r="M23" s="133">
        <v>6.5</v>
      </c>
      <c r="N23" s="133"/>
      <c r="O23" s="133">
        <v>13</v>
      </c>
      <c r="P23" s="133"/>
      <c r="Q23" s="127">
        <f t="shared" si="6"/>
        <v>9.8333333333333339</v>
      </c>
      <c r="R23" s="180" t="str">
        <f t="shared" si="2"/>
        <v>N/TRANSITA</v>
      </c>
      <c r="S23" s="134"/>
      <c r="T23" s="135"/>
      <c r="U23" s="135"/>
      <c r="V23" s="136"/>
      <c r="W23" s="136"/>
      <c r="X23" s="23">
        <f t="shared" si="7"/>
        <v>0</v>
      </c>
      <c r="Y23" s="21">
        <f t="shared" si="8"/>
        <v>6.5555555555555562</v>
      </c>
      <c r="Z23" s="180" t="str">
        <f t="shared" si="4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124">
        <v>12</v>
      </c>
      <c r="F24" s="125">
        <v>11.2</v>
      </c>
      <c r="G24" s="125"/>
      <c r="H24" s="125">
        <v>14</v>
      </c>
      <c r="I24" s="126"/>
      <c r="J24" s="127">
        <f t="shared" si="5"/>
        <v>12.4</v>
      </c>
      <c r="K24" s="180" t="str">
        <f t="shared" si="1"/>
        <v>TRANSITA</v>
      </c>
      <c r="L24" s="132">
        <v>12</v>
      </c>
      <c r="M24" s="133">
        <v>14</v>
      </c>
      <c r="N24" s="133"/>
      <c r="O24" s="133">
        <v>13</v>
      </c>
      <c r="P24" s="133"/>
      <c r="Q24" s="127">
        <f t="shared" si="6"/>
        <v>13</v>
      </c>
      <c r="R24" s="180" t="str">
        <f t="shared" si="2"/>
        <v>TRANSITA</v>
      </c>
      <c r="S24" s="134"/>
      <c r="T24" s="135"/>
      <c r="U24" s="135"/>
      <c r="V24" s="136"/>
      <c r="W24" s="136"/>
      <c r="X24" s="23">
        <f t="shared" si="7"/>
        <v>0</v>
      </c>
      <c r="Y24" s="21">
        <f t="shared" si="8"/>
        <v>8.4666666666666668</v>
      </c>
      <c r="Z24" s="180" t="str">
        <f t="shared" si="4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124">
        <v>5</v>
      </c>
      <c r="F25" s="125">
        <v>7</v>
      </c>
      <c r="G25" s="125"/>
      <c r="H25" s="125">
        <v>13</v>
      </c>
      <c r="I25" s="126"/>
      <c r="J25" s="127">
        <f t="shared" si="5"/>
        <v>8.3333333333333339</v>
      </c>
      <c r="K25" s="180" t="str">
        <f t="shared" si="1"/>
        <v>N/TRANSITA</v>
      </c>
      <c r="L25" s="132">
        <v>11</v>
      </c>
      <c r="M25" s="133">
        <v>10</v>
      </c>
      <c r="N25" s="133"/>
      <c r="O25" s="133">
        <v>11</v>
      </c>
      <c r="P25" s="133"/>
      <c r="Q25" s="127">
        <f t="shared" ref="Q25:Q26" si="9">AVERAGE(L25,MAX(M25:N25),MAX(O25:P25))</f>
        <v>10.666666666666666</v>
      </c>
      <c r="R25" s="180" t="str">
        <f t="shared" ref="R25:R26" si="10">IF(Q25&gt;=10,"TRANSITA","N/TRANSITA")</f>
        <v>TRANSITA</v>
      </c>
      <c r="S25" s="134"/>
      <c r="T25" s="135"/>
      <c r="U25" s="135"/>
      <c r="V25" s="136"/>
      <c r="W25" s="136"/>
      <c r="X25" s="23">
        <f t="shared" ref="X25:X26" si="11">AVERAGE(S25,MAX(T25:U25),MAX(V25:W25))</f>
        <v>0</v>
      </c>
      <c r="Y25" s="21">
        <f t="shared" ref="Y25:Y26" si="12">SUM(J25,Q25,X25)/3</f>
        <v>6.333333333333333</v>
      </c>
      <c r="Z25" s="180" t="str">
        <f t="shared" ref="Z25:Z26" si="13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124">
        <v>11</v>
      </c>
      <c r="F26" s="125">
        <v>8</v>
      </c>
      <c r="G26" s="125"/>
      <c r="H26" s="125">
        <v>13</v>
      </c>
      <c r="I26" s="126"/>
      <c r="J26" s="127">
        <f t="shared" si="5"/>
        <v>10.666666666666666</v>
      </c>
      <c r="K26" s="180" t="str">
        <f t="shared" si="1"/>
        <v>TRANSITA</v>
      </c>
      <c r="L26" s="132">
        <v>10</v>
      </c>
      <c r="M26" s="133">
        <v>5</v>
      </c>
      <c r="N26" s="133"/>
      <c r="O26" s="133">
        <v>9</v>
      </c>
      <c r="P26" s="133"/>
      <c r="Q26" s="127">
        <f t="shared" si="9"/>
        <v>8</v>
      </c>
      <c r="R26" s="180" t="str">
        <f t="shared" si="10"/>
        <v>N/TRANSITA</v>
      </c>
      <c r="S26" s="134"/>
      <c r="T26" s="135"/>
      <c r="U26" s="135"/>
      <c r="V26" s="136"/>
      <c r="W26" s="136"/>
      <c r="X26" s="23">
        <f t="shared" si="11"/>
        <v>0</v>
      </c>
      <c r="Y26" s="21">
        <f t="shared" si="12"/>
        <v>6.2222222222222214</v>
      </c>
      <c r="Z26" s="180" t="str">
        <f t="shared" si="13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124">
        <v>12</v>
      </c>
      <c r="F27" s="125">
        <v>10</v>
      </c>
      <c r="G27" s="125"/>
      <c r="H27" s="125">
        <v>13</v>
      </c>
      <c r="I27" s="126"/>
      <c r="J27" s="127">
        <f t="shared" si="5"/>
        <v>11.666666666666666</v>
      </c>
      <c r="K27" s="180" t="str">
        <f t="shared" si="1"/>
        <v>TRANSITA</v>
      </c>
      <c r="L27" s="132">
        <v>10</v>
      </c>
      <c r="M27" s="133">
        <v>5</v>
      </c>
      <c r="N27" s="133"/>
      <c r="O27" s="133">
        <v>5</v>
      </c>
      <c r="P27" s="133"/>
      <c r="Q27" s="127">
        <f t="shared" si="6"/>
        <v>6.666666666666667</v>
      </c>
      <c r="R27" s="180" t="str">
        <f t="shared" si="2"/>
        <v>N/TRANSITA</v>
      </c>
      <c r="S27" s="134"/>
      <c r="T27" s="135"/>
      <c r="U27" s="135"/>
      <c r="V27" s="136"/>
      <c r="W27" s="136"/>
      <c r="X27" s="23">
        <f t="shared" si="7"/>
        <v>0</v>
      </c>
      <c r="Y27" s="21">
        <f t="shared" si="8"/>
        <v>6.1111111111111107</v>
      </c>
      <c r="Z27" s="180" t="str">
        <f t="shared" si="4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124">
        <v>5</v>
      </c>
      <c r="F28" s="125">
        <v>12.5</v>
      </c>
      <c r="G28" s="125"/>
      <c r="H28" s="125">
        <v>13</v>
      </c>
      <c r="I28" s="126"/>
      <c r="J28" s="127">
        <f t="shared" si="5"/>
        <v>10.166666666666666</v>
      </c>
      <c r="K28" s="180" t="str">
        <f t="shared" si="1"/>
        <v>TRANSITA</v>
      </c>
      <c r="L28" s="132"/>
      <c r="M28" s="133"/>
      <c r="N28" s="133"/>
      <c r="O28" s="133"/>
      <c r="P28" s="133"/>
      <c r="Q28" s="127">
        <f t="shared" si="6"/>
        <v>0</v>
      </c>
      <c r="R28" s="180" t="str">
        <f t="shared" si="2"/>
        <v>N/TRANSITA</v>
      </c>
      <c r="S28" s="134"/>
      <c r="T28" s="135"/>
      <c r="U28" s="135"/>
      <c r="V28" s="136"/>
      <c r="W28" s="136"/>
      <c r="X28" s="23">
        <f t="shared" si="7"/>
        <v>0</v>
      </c>
      <c r="Y28" s="21">
        <f t="shared" si="8"/>
        <v>3.3888888888888888</v>
      </c>
      <c r="Z28" s="180" t="str">
        <f t="shared" si="4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124">
        <v>7</v>
      </c>
      <c r="F29" s="125">
        <v>12</v>
      </c>
      <c r="G29" s="125"/>
      <c r="H29" s="125">
        <v>13.5</v>
      </c>
      <c r="I29" s="126"/>
      <c r="J29" s="127">
        <f t="shared" si="5"/>
        <v>10.833333333333334</v>
      </c>
      <c r="K29" s="180" t="str">
        <f t="shared" si="1"/>
        <v>TRANSITA</v>
      </c>
      <c r="L29" s="132">
        <v>10</v>
      </c>
      <c r="M29" s="133">
        <v>5</v>
      </c>
      <c r="N29" s="133"/>
      <c r="O29" s="133">
        <v>5</v>
      </c>
      <c r="P29" s="133"/>
      <c r="Q29" s="127">
        <f t="shared" si="6"/>
        <v>6.666666666666667</v>
      </c>
      <c r="R29" s="180" t="str">
        <f t="shared" si="2"/>
        <v>N/TRANSITA</v>
      </c>
      <c r="S29" s="134"/>
      <c r="T29" s="135"/>
      <c r="U29" s="135"/>
      <c r="V29" s="136"/>
      <c r="W29" s="136"/>
      <c r="X29" s="23">
        <f t="shared" si="7"/>
        <v>0</v>
      </c>
      <c r="Y29" s="21">
        <f t="shared" si="8"/>
        <v>5.833333333333333</v>
      </c>
      <c r="Z29" s="180" t="str">
        <f t="shared" si="4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124">
        <v>5</v>
      </c>
      <c r="F30" s="125">
        <v>13</v>
      </c>
      <c r="G30" s="125"/>
      <c r="H30" s="125">
        <v>13</v>
      </c>
      <c r="I30" s="126"/>
      <c r="J30" s="127">
        <f t="shared" si="5"/>
        <v>10.333333333333334</v>
      </c>
      <c r="K30" s="180" t="str">
        <f t="shared" si="1"/>
        <v>TRANSITA</v>
      </c>
      <c r="L30" s="132">
        <v>13</v>
      </c>
      <c r="M30" s="133">
        <v>9</v>
      </c>
      <c r="N30" s="133"/>
      <c r="O30" s="133">
        <v>18</v>
      </c>
      <c r="P30" s="133"/>
      <c r="Q30" s="127">
        <f t="shared" si="6"/>
        <v>13.333333333333334</v>
      </c>
      <c r="R30" s="180" t="str">
        <f t="shared" si="2"/>
        <v>TRANSITA</v>
      </c>
      <c r="S30" s="134"/>
      <c r="T30" s="135"/>
      <c r="U30" s="135"/>
      <c r="V30" s="136"/>
      <c r="W30" s="136"/>
      <c r="X30" s="23">
        <f t="shared" si="7"/>
        <v>0</v>
      </c>
      <c r="Y30" s="21">
        <f t="shared" si="8"/>
        <v>7.8888888888888893</v>
      </c>
      <c r="Z30" s="180" t="str">
        <f t="shared" si="4"/>
        <v>N/TRANSITA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124"/>
      <c r="F31" s="125"/>
      <c r="G31" s="125"/>
      <c r="H31" s="125"/>
      <c r="I31" s="126"/>
      <c r="J31" s="127">
        <f t="shared" si="5"/>
        <v>0</v>
      </c>
      <c r="K31" s="180" t="str">
        <f t="shared" si="1"/>
        <v>N/TRANSITA</v>
      </c>
      <c r="L31" s="132">
        <v>10</v>
      </c>
      <c r="M31" s="133">
        <v>7</v>
      </c>
      <c r="N31" s="133"/>
      <c r="O31" s="133">
        <v>5</v>
      </c>
      <c r="P31" s="133"/>
      <c r="Q31" s="127">
        <f t="shared" ref="Q31" si="14">AVERAGE(L31,MAX(M31:N31),MAX(O31:P31))</f>
        <v>7.333333333333333</v>
      </c>
      <c r="R31" s="180" t="str">
        <f t="shared" ref="R31" si="15">IF(Q31&gt;=10,"TRANSITA","N/TRANSITA")</f>
        <v>N/TRANSITA</v>
      </c>
      <c r="S31" s="134"/>
      <c r="T31" s="135"/>
      <c r="U31" s="135"/>
      <c r="V31" s="136"/>
      <c r="W31" s="136"/>
      <c r="X31" s="23">
        <f t="shared" ref="X31" si="16">AVERAGE(S31,MAX(T31:U31),MAX(V31:W31))</f>
        <v>0</v>
      </c>
      <c r="Y31" s="21">
        <f t="shared" ref="Y31" si="17">SUM(J31,Q31,X31)/3</f>
        <v>2.4444444444444442</v>
      </c>
      <c r="Z31" s="180" t="str">
        <f t="shared" ref="Z31" si="18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124">
        <v>5</v>
      </c>
      <c r="F32" s="125">
        <v>9</v>
      </c>
      <c r="G32" s="125"/>
      <c r="H32" s="125">
        <v>10</v>
      </c>
      <c r="I32" s="126"/>
      <c r="J32" s="127">
        <f t="shared" si="5"/>
        <v>8</v>
      </c>
      <c r="K32" s="180" t="str">
        <f t="shared" si="1"/>
        <v>N/TRANSITA</v>
      </c>
      <c r="L32" s="132">
        <v>12</v>
      </c>
      <c r="M32" s="133">
        <v>7</v>
      </c>
      <c r="N32" s="133"/>
      <c r="O32" s="133">
        <v>16</v>
      </c>
      <c r="P32" s="133"/>
      <c r="Q32" s="127">
        <f t="shared" ref="Q32:Q48" si="19">AVERAGE(L32,MAX(M32:N32),MAX(O32:P32))</f>
        <v>11.666666666666666</v>
      </c>
      <c r="R32" s="180" t="str">
        <f t="shared" si="2"/>
        <v>TRANSITA</v>
      </c>
      <c r="S32" s="134"/>
      <c r="T32" s="135"/>
      <c r="U32" s="135"/>
      <c r="V32" s="136"/>
      <c r="W32" s="136"/>
      <c r="X32" s="23">
        <f t="shared" ref="X32:X48" si="20">AVERAGE(S32,MAX(T32:U32),MAX(V32:W32))</f>
        <v>0</v>
      </c>
      <c r="Y32" s="21">
        <f t="shared" ref="Y32:Y48" si="21">SUM(J32,Q32,X32)/3</f>
        <v>6.5555555555555545</v>
      </c>
      <c r="Z32" s="180" t="str">
        <f t="shared" si="4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124">
        <v>10</v>
      </c>
      <c r="F33" s="125">
        <v>10</v>
      </c>
      <c r="G33" s="125"/>
      <c r="H33" s="125">
        <v>10</v>
      </c>
      <c r="I33" s="126"/>
      <c r="J33" s="127">
        <f t="shared" si="5"/>
        <v>10</v>
      </c>
      <c r="K33" s="180" t="str">
        <f t="shared" si="1"/>
        <v>TRANSITA</v>
      </c>
      <c r="L33" s="132">
        <v>12</v>
      </c>
      <c r="M33" s="133">
        <v>10</v>
      </c>
      <c r="N33" s="133"/>
      <c r="O33" s="133">
        <v>11</v>
      </c>
      <c r="P33" s="133"/>
      <c r="Q33" s="127">
        <f t="shared" si="19"/>
        <v>11</v>
      </c>
      <c r="R33" s="180" t="str">
        <f t="shared" si="2"/>
        <v>TRANSITA</v>
      </c>
      <c r="S33" s="134"/>
      <c r="T33" s="135"/>
      <c r="U33" s="135"/>
      <c r="V33" s="136"/>
      <c r="W33" s="136"/>
      <c r="X33" s="23">
        <f t="shared" si="20"/>
        <v>0</v>
      </c>
      <c r="Y33" s="21">
        <f t="shared" si="21"/>
        <v>7</v>
      </c>
      <c r="Z33" s="180" t="str">
        <f t="shared" si="4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124">
        <v>13</v>
      </c>
      <c r="F34" s="125">
        <v>14</v>
      </c>
      <c r="G34" s="125"/>
      <c r="H34" s="125">
        <v>13.5</v>
      </c>
      <c r="I34" s="126"/>
      <c r="J34" s="127">
        <f t="shared" si="5"/>
        <v>13.5</v>
      </c>
      <c r="K34" s="180" t="str">
        <f t="shared" si="1"/>
        <v>TRANSITA</v>
      </c>
      <c r="L34" s="132">
        <v>13</v>
      </c>
      <c r="M34" s="133">
        <v>7</v>
      </c>
      <c r="N34" s="133"/>
      <c r="O34" s="133">
        <v>20</v>
      </c>
      <c r="P34" s="133"/>
      <c r="Q34" s="127">
        <f t="shared" si="19"/>
        <v>13.333333333333334</v>
      </c>
      <c r="R34" s="180" t="str">
        <f t="shared" si="2"/>
        <v>TRANSITA</v>
      </c>
      <c r="S34" s="134"/>
      <c r="T34" s="135"/>
      <c r="U34" s="135"/>
      <c r="V34" s="136"/>
      <c r="W34" s="136"/>
      <c r="X34" s="23">
        <f t="shared" si="20"/>
        <v>0</v>
      </c>
      <c r="Y34" s="21">
        <f t="shared" si="21"/>
        <v>8.9444444444444446</v>
      </c>
      <c r="Z34" s="180" t="str">
        <f t="shared" si="4"/>
        <v>N/TRANSITA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124">
        <v>5</v>
      </c>
      <c r="F35" s="125">
        <v>7</v>
      </c>
      <c r="G35" s="125"/>
      <c r="H35" s="125">
        <v>13</v>
      </c>
      <c r="I35" s="126"/>
      <c r="J35" s="127">
        <f t="shared" si="5"/>
        <v>8.3333333333333339</v>
      </c>
      <c r="K35" s="180" t="str">
        <f t="shared" si="1"/>
        <v>N/TRANSITA</v>
      </c>
      <c r="L35" s="132"/>
      <c r="M35" s="133"/>
      <c r="N35" s="133"/>
      <c r="O35" s="133"/>
      <c r="P35" s="133"/>
      <c r="Q35" s="127">
        <f t="shared" si="19"/>
        <v>0</v>
      </c>
      <c r="R35" s="180" t="str">
        <f t="shared" si="2"/>
        <v>N/TRANSITA</v>
      </c>
      <c r="S35" s="134"/>
      <c r="T35" s="135"/>
      <c r="U35" s="135"/>
      <c r="V35" s="136"/>
      <c r="W35" s="136"/>
      <c r="X35" s="23">
        <f t="shared" si="20"/>
        <v>0</v>
      </c>
      <c r="Y35" s="21">
        <f t="shared" si="21"/>
        <v>2.7777777777777781</v>
      </c>
      <c r="Z35" s="180" t="str">
        <f t="shared" si="4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124">
        <v>5</v>
      </c>
      <c r="F36" s="125">
        <v>12</v>
      </c>
      <c r="G36" s="125"/>
      <c r="H36" s="125">
        <v>12</v>
      </c>
      <c r="I36" s="126"/>
      <c r="J36" s="127">
        <f t="shared" si="5"/>
        <v>9.6666666666666661</v>
      </c>
      <c r="K36" s="180" t="str">
        <f t="shared" si="1"/>
        <v>N/TRANSITA</v>
      </c>
      <c r="L36" s="132">
        <v>10</v>
      </c>
      <c r="M36" s="133">
        <v>7</v>
      </c>
      <c r="N36" s="133"/>
      <c r="O36" s="133">
        <v>9</v>
      </c>
      <c r="P36" s="133"/>
      <c r="Q36" s="127">
        <f t="shared" si="19"/>
        <v>8.6666666666666661</v>
      </c>
      <c r="R36" s="180" t="str">
        <f t="shared" si="2"/>
        <v>N/TRANSITA</v>
      </c>
      <c r="S36" s="134"/>
      <c r="T36" s="135"/>
      <c r="U36" s="135"/>
      <c r="V36" s="136"/>
      <c r="W36" s="136"/>
      <c r="X36" s="23">
        <f t="shared" si="20"/>
        <v>0</v>
      </c>
      <c r="Y36" s="21">
        <f t="shared" si="21"/>
        <v>6.1111111111111107</v>
      </c>
      <c r="Z36" s="180" t="str">
        <f t="shared" si="4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124">
        <v>10</v>
      </c>
      <c r="F37" s="125">
        <v>12</v>
      </c>
      <c r="G37" s="125"/>
      <c r="H37" s="125">
        <v>13</v>
      </c>
      <c r="I37" s="126"/>
      <c r="J37" s="127">
        <f t="shared" si="5"/>
        <v>11.666666666666666</v>
      </c>
      <c r="K37" s="180" t="str">
        <f t="shared" si="1"/>
        <v>TRANSITA</v>
      </c>
      <c r="L37" s="132">
        <v>10</v>
      </c>
      <c r="M37" s="133">
        <v>8</v>
      </c>
      <c r="N37" s="133"/>
      <c r="O37" s="133">
        <v>12</v>
      </c>
      <c r="P37" s="133"/>
      <c r="Q37" s="127">
        <f t="shared" si="19"/>
        <v>10</v>
      </c>
      <c r="R37" s="180" t="str">
        <f t="shared" si="2"/>
        <v>TRANSITA</v>
      </c>
      <c r="S37" s="134"/>
      <c r="T37" s="135"/>
      <c r="U37" s="135"/>
      <c r="V37" s="136"/>
      <c r="W37" s="136"/>
      <c r="X37" s="23">
        <f t="shared" si="20"/>
        <v>0</v>
      </c>
      <c r="Y37" s="21">
        <f t="shared" si="21"/>
        <v>7.2222222222222214</v>
      </c>
      <c r="Z37" s="180" t="str">
        <f t="shared" si="4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124">
        <v>10</v>
      </c>
      <c r="F38" s="125">
        <v>7</v>
      </c>
      <c r="G38" s="125"/>
      <c r="H38" s="125">
        <v>13.5</v>
      </c>
      <c r="I38" s="126"/>
      <c r="J38" s="127">
        <f t="shared" si="5"/>
        <v>10.166666666666666</v>
      </c>
      <c r="K38" s="180" t="str">
        <f t="shared" si="1"/>
        <v>TRANSITA</v>
      </c>
      <c r="L38" s="132">
        <v>14</v>
      </c>
      <c r="M38" s="133">
        <v>12</v>
      </c>
      <c r="N38" s="133"/>
      <c r="O38" s="133">
        <v>14</v>
      </c>
      <c r="P38" s="133"/>
      <c r="Q38" s="127">
        <f t="shared" si="19"/>
        <v>13.333333333333334</v>
      </c>
      <c r="R38" s="180" t="str">
        <f t="shared" si="2"/>
        <v>TRANSITA</v>
      </c>
      <c r="S38" s="134"/>
      <c r="T38" s="135"/>
      <c r="U38" s="135"/>
      <c r="V38" s="136"/>
      <c r="W38" s="136"/>
      <c r="X38" s="23">
        <f t="shared" si="20"/>
        <v>0</v>
      </c>
      <c r="Y38" s="21">
        <f t="shared" si="21"/>
        <v>7.833333333333333</v>
      </c>
      <c r="Z38" s="180" t="str">
        <f t="shared" si="4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124"/>
      <c r="F39" s="125"/>
      <c r="G39" s="125"/>
      <c r="H39" s="125"/>
      <c r="I39" s="126"/>
      <c r="J39" s="127">
        <f t="shared" si="5"/>
        <v>0</v>
      </c>
      <c r="K39" s="180" t="str">
        <f t="shared" si="1"/>
        <v>N/TRANSITA</v>
      </c>
      <c r="L39" s="132">
        <v>13</v>
      </c>
      <c r="M39" s="133">
        <v>10</v>
      </c>
      <c r="N39" s="133"/>
      <c r="O39" s="133">
        <v>14</v>
      </c>
      <c r="P39" s="133"/>
      <c r="Q39" s="127">
        <f t="shared" ref="Q39:Q43" si="22">AVERAGE(L39,MAX(M39:N39),MAX(O39:P39))</f>
        <v>12.333333333333334</v>
      </c>
      <c r="R39" s="180" t="str">
        <f t="shared" ref="R39:R43" si="23">IF(Q39&gt;=10,"TRANSITA","N/TRANSITA")</f>
        <v>TRANSITA</v>
      </c>
      <c r="S39" s="134"/>
      <c r="T39" s="135"/>
      <c r="U39" s="135"/>
      <c r="V39" s="136"/>
      <c r="W39" s="136"/>
      <c r="X39" s="23">
        <f t="shared" ref="X39:X43" si="24">AVERAGE(S39,MAX(T39:U39),MAX(V39:W39))</f>
        <v>0</v>
      </c>
      <c r="Y39" s="21">
        <f t="shared" ref="Y39:Y43" si="25">SUM(J39,Q39,X39)/3</f>
        <v>4.1111111111111116</v>
      </c>
      <c r="Z39" s="180" t="str">
        <f t="shared" ref="Z39:Z43" si="26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124"/>
      <c r="F40" s="125"/>
      <c r="G40" s="125"/>
      <c r="H40" s="125"/>
      <c r="I40" s="126"/>
      <c r="J40" s="127">
        <f t="shared" si="5"/>
        <v>0</v>
      </c>
      <c r="K40" s="180" t="str">
        <f t="shared" si="1"/>
        <v>N/TRANSITA</v>
      </c>
      <c r="L40" s="132">
        <v>10</v>
      </c>
      <c r="M40" s="133">
        <v>7</v>
      </c>
      <c r="N40" s="133"/>
      <c r="O40" s="133">
        <v>5</v>
      </c>
      <c r="P40" s="133"/>
      <c r="Q40" s="127">
        <f t="shared" si="22"/>
        <v>7.333333333333333</v>
      </c>
      <c r="R40" s="180" t="str">
        <f t="shared" si="23"/>
        <v>N/TRANSITA</v>
      </c>
      <c r="S40" s="134"/>
      <c r="T40" s="135"/>
      <c r="U40" s="135"/>
      <c r="V40" s="136"/>
      <c r="W40" s="136"/>
      <c r="X40" s="23">
        <f t="shared" si="24"/>
        <v>0</v>
      </c>
      <c r="Y40" s="21">
        <f t="shared" si="25"/>
        <v>2.4444444444444442</v>
      </c>
      <c r="Z40" s="180" t="str">
        <f t="shared" si="26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124">
        <v>7</v>
      </c>
      <c r="F41" s="125">
        <v>8</v>
      </c>
      <c r="G41" s="125"/>
      <c r="H41" s="125">
        <v>11.5</v>
      </c>
      <c r="I41" s="126"/>
      <c r="J41" s="127">
        <f t="shared" si="5"/>
        <v>8.8333333333333339</v>
      </c>
      <c r="K41" s="180" t="str">
        <f t="shared" si="1"/>
        <v>N/TRANSITA</v>
      </c>
      <c r="L41" s="132">
        <v>10</v>
      </c>
      <c r="M41" s="133">
        <v>7</v>
      </c>
      <c r="N41" s="133"/>
      <c r="O41" s="133">
        <v>5</v>
      </c>
      <c r="P41" s="133"/>
      <c r="Q41" s="127">
        <f t="shared" si="22"/>
        <v>7.333333333333333</v>
      </c>
      <c r="R41" s="180" t="str">
        <f t="shared" si="23"/>
        <v>N/TRANSITA</v>
      </c>
      <c r="S41" s="134"/>
      <c r="T41" s="135"/>
      <c r="U41" s="135"/>
      <c r="V41" s="136"/>
      <c r="W41" s="136"/>
      <c r="X41" s="23">
        <f t="shared" si="24"/>
        <v>0</v>
      </c>
      <c r="Y41" s="21">
        <f t="shared" si="25"/>
        <v>5.3888888888888893</v>
      </c>
      <c r="Z41" s="180" t="str">
        <f t="shared" si="26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124">
        <v>10</v>
      </c>
      <c r="F42" s="125">
        <v>10</v>
      </c>
      <c r="G42" s="125"/>
      <c r="H42" s="125">
        <v>12</v>
      </c>
      <c r="I42" s="126"/>
      <c r="J42" s="127">
        <f t="shared" si="5"/>
        <v>10.666666666666666</v>
      </c>
      <c r="K42" s="180" t="str">
        <f t="shared" si="1"/>
        <v>TRANSITA</v>
      </c>
      <c r="L42" s="132">
        <v>12</v>
      </c>
      <c r="M42" s="133">
        <v>11</v>
      </c>
      <c r="N42" s="133"/>
      <c r="O42" s="133">
        <v>10</v>
      </c>
      <c r="P42" s="133"/>
      <c r="Q42" s="127">
        <f t="shared" si="22"/>
        <v>11</v>
      </c>
      <c r="R42" s="180" t="str">
        <f t="shared" si="23"/>
        <v>TRANSITA</v>
      </c>
      <c r="S42" s="134"/>
      <c r="T42" s="135"/>
      <c r="U42" s="135"/>
      <c r="V42" s="136"/>
      <c r="W42" s="136"/>
      <c r="X42" s="23">
        <f t="shared" si="24"/>
        <v>0</v>
      </c>
      <c r="Y42" s="21">
        <f t="shared" si="25"/>
        <v>7.2222222222222214</v>
      </c>
      <c r="Z42" s="180" t="str">
        <f t="shared" si="26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124">
        <v>18</v>
      </c>
      <c r="F43" s="125">
        <v>13.5</v>
      </c>
      <c r="G43" s="125"/>
      <c r="H43" s="125">
        <v>13</v>
      </c>
      <c r="I43" s="126"/>
      <c r="J43" s="127">
        <f t="shared" si="5"/>
        <v>14.833333333333334</v>
      </c>
      <c r="K43" s="180" t="str">
        <f t="shared" si="1"/>
        <v>TRANSITA</v>
      </c>
      <c r="L43" s="132">
        <v>13</v>
      </c>
      <c r="M43" s="133">
        <v>10</v>
      </c>
      <c r="N43" s="133"/>
      <c r="O43" s="133">
        <v>11</v>
      </c>
      <c r="P43" s="133"/>
      <c r="Q43" s="127">
        <f t="shared" si="22"/>
        <v>11.333333333333334</v>
      </c>
      <c r="R43" s="180" t="str">
        <f t="shared" si="23"/>
        <v>TRANSITA</v>
      </c>
      <c r="S43" s="134"/>
      <c r="T43" s="135"/>
      <c r="U43" s="135"/>
      <c r="V43" s="136"/>
      <c r="W43" s="136"/>
      <c r="X43" s="23">
        <f t="shared" si="24"/>
        <v>0</v>
      </c>
      <c r="Y43" s="21">
        <f t="shared" si="25"/>
        <v>8.7222222222222232</v>
      </c>
      <c r="Z43" s="180" t="str">
        <f t="shared" si="26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124">
        <v>12</v>
      </c>
      <c r="F44" s="125">
        <v>12</v>
      </c>
      <c r="G44" s="125"/>
      <c r="H44" s="125">
        <v>13.5</v>
      </c>
      <c r="I44" s="126"/>
      <c r="J44" s="127">
        <f t="shared" si="5"/>
        <v>12.5</v>
      </c>
      <c r="K44" s="180" t="str">
        <f t="shared" si="1"/>
        <v>TRANSITA</v>
      </c>
      <c r="L44" s="132">
        <v>10</v>
      </c>
      <c r="M44" s="133">
        <v>5</v>
      </c>
      <c r="N44" s="133"/>
      <c r="O44" s="133">
        <v>14</v>
      </c>
      <c r="P44" s="133"/>
      <c r="Q44" s="127">
        <f t="shared" si="19"/>
        <v>9.6666666666666661</v>
      </c>
      <c r="R44" s="180" t="str">
        <f t="shared" si="2"/>
        <v>N/TRANSITA</v>
      </c>
      <c r="S44" s="134"/>
      <c r="T44" s="135"/>
      <c r="U44" s="135"/>
      <c r="V44" s="136"/>
      <c r="W44" s="136"/>
      <c r="X44" s="23">
        <f t="shared" si="20"/>
        <v>0</v>
      </c>
      <c r="Y44" s="21">
        <f t="shared" si="21"/>
        <v>7.3888888888888884</v>
      </c>
      <c r="Z44" s="180" t="str">
        <f t="shared" si="4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124">
        <v>12</v>
      </c>
      <c r="F45" s="125">
        <v>11</v>
      </c>
      <c r="G45" s="125"/>
      <c r="H45" s="125">
        <v>13</v>
      </c>
      <c r="I45" s="126"/>
      <c r="J45" s="127">
        <f t="shared" si="5"/>
        <v>12</v>
      </c>
      <c r="K45" s="180" t="str">
        <f t="shared" si="1"/>
        <v>TRANSITA</v>
      </c>
      <c r="L45" s="132">
        <v>10</v>
      </c>
      <c r="M45" s="133">
        <v>5</v>
      </c>
      <c r="N45" s="133"/>
      <c r="O45" s="133">
        <v>11.5</v>
      </c>
      <c r="P45" s="133"/>
      <c r="Q45" s="127">
        <f t="shared" si="19"/>
        <v>8.8333333333333339</v>
      </c>
      <c r="R45" s="180" t="str">
        <f t="shared" si="2"/>
        <v>N/TRANSITA</v>
      </c>
      <c r="S45" s="134"/>
      <c r="T45" s="135"/>
      <c r="U45" s="135"/>
      <c r="V45" s="136"/>
      <c r="W45" s="136"/>
      <c r="X45" s="23">
        <f t="shared" si="20"/>
        <v>0</v>
      </c>
      <c r="Y45" s="21">
        <f t="shared" si="21"/>
        <v>6.9444444444444455</v>
      </c>
      <c r="Z45" s="180" t="str">
        <f t="shared" si="4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124"/>
      <c r="F46" s="125"/>
      <c r="G46" s="125"/>
      <c r="H46" s="125"/>
      <c r="I46" s="126"/>
      <c r="J46" s="127">
        <f t="shared" si="5"/>
        <v>0</v>
      </c>
      <c r="K46" s="180" t="str">
        <f t="shared" si="1"/>
        <v>N/TRANSITA</v>
      </c>
      <c r="L46" s="132">
        <v>10</v>
      </c>
      <c r="M46" s="133">
        <v>13</v>
      </c>
      <c r="N46" s="133"/>
      <c r="O46" s="133">
        <v>9</v>
      </c>
      <c r="P46" s="133"/>
      <c r="Q46" s="127">
        <f t="shared" ref="Q46:Q47" si="27">AVERAGE(L46,MAX(M46:N46),MAX(O46:P46))</f>
        <v>10.666666666666666</v>
      </c>
      <c r="R46" s="180" t="str">
        <f t="shared" ref="R46:R47" si="28">IF(Q46&gt;=10,"TRANSITA","N/TRANSITA")</f>
        <v>TRANSITA</v>
      </c>
      <c r="S46" s="134"/>
      <c r="T46" s="135"/>
      <c r="U46" s="135"/>
      <c r="V46" s="136"/>
      <c r="W46" s="136"/>
      <c r="X46" s="23">
        <f t="shared" ref="X46:X47" si="29">AVERAGE(S46,MAX(T46:U46),MAX(V46:W46))</f>
        <v>0</v>
      </c>
      <c r="Y46" s="21">
        <f t="shared" ref="Y46:Y47" si="30">SUM(J46,Q46,X46)/3</f>
        <v>3.5555555555555554</v>
      </c>
      <c r="Z46" s="180" t="str">
        <f t="shared" ref="Z46:Z47" si="31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124">
        <v>20</v>
      </c>
      <c r="F47" s="125">
        <v>12.5</v>
      </c>
      <c r="G47" s="125"/>
      <c r="H47" s="125">
        <v>12</v>
      </c>
      <c r="I47" s="126"/>
      <c r="J47" s="127">
        <f t="shared" si="5"/>
        <v>14.833333333333334</v>
      </c>
      <c r="K47" s="180" t="str">
        <f t="shared" si="1"/>
        <v>TRANSITA</v>
      </c>
      <c r="L47" s="132">
        <v>11</v>
      </c>
      <c r="M47" s="133">
        <v>5</v>
      </c>
      <c r="N47" s="133"/>
      <c r="O47" s="133">
        <v>15</v>
      </c>
      <c r="P47" s="133"/>
      <c r="Q47" s="127">
        <f t="shared" si="27"/>
        <v>10.333333333333334</v>
      </c>
      <c r="R47" s="180" t="str">
        <f t="shared" si="28"/>
        <v>TRANSITA</v>
      </c>
      <c r="S47" s="134"/>
      <c r="T47" s="135"/>
      <c r="U47" s="135"/>
      <c r="V47" s="136"/>
      <c r="W47" s="136"/>
      <c r="X47" s="23">
        <f t="shared" si="29"/>
        <v>0</v>
      </c>
      <c r="Y47" s="21">
        <f t="shared" si="30"/>
        <v>8.3888888888888893</v>
      </c>
      <c r="Z47" s="180" t="str">
        <f t="shared" si="31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124">
        <v>12</v>
      </c>
      <c r="F48" s="125">
        <v>14</v>
      </c>
      <c r="G48" s="125"/>
      <c r="H48" s="125">
        <v>12</v>
      </c>
      <c r="I48" s="126"/>
      <c r="J48" s="127">
        <f t="shared" si="5"/>
        <v>12.666666666666666</v>
      </c>
      <c r="K48" s="180" t="str">
        <f t="shared" si="1"/>
        <v>TRANSITA</v>
      </c>
      <c r="L48" s="132">
        <v>10</v>
      </c>
      <c r="M48" s="133">
        <v>10</v>
      </c>
      <c r="N48" s="133"/>
      <c r="O48" s="133">
        <v>9</v>
      </c>
      <c r="P48" s="133"/>
      <c r="Q48" s="127">
        <f t="shared" si="19"/>
        <v>9.6666666666666661</v>
      </c>
      <c r="R48" s="180" t="str">
        <f t="shared" si="2"/>
        <v>N/TRANSITA</v>
      </c>
      <c r="S48" s="134"/>
      <c r="T48" s="135"/>
      <c r="U48" s="135"/>
      <c r="V48" s="136"/>
      <c r="W48" s="136"/>
      <c r="X48" s="23">
        <f t="shared" si="20"/>
        <v>0</v>
      </c>
      <c r="Y48" s="21">
        <f t="shared" si="21"/>
        <v>7.4444444444444438</v>
      </c>
      <c r="Z48" s="180" t="str">
        <f t="shared" si="4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124">
        <v>10</v>
      </c>
      <c r="F49" s="125"/>
      <c r="G49" s="125"/>
      <c r="H49" s="125"/>
      <c r="I49" s="126"/>
      <c r="J49" s="127">
        <f t="shared" si="5"/>
        <v>3.3333333333333335</v>
      </c>
      <c r="K49" s="180" t="str">
        <f t="shared" si="1"/>
        <v>N/TRANSITA</v>
      </c>
      <c r="L49" s="132"/>
      <c r="M49" s="133"/>
      <c r="N49" s="133"/>
      <c r="O49" s="133"/>
      <c r="P49" s="133"/>
      <c r="Q49" s="127">
        <f t="shared" si="6"/>
        <v>0</v>
      </c>
      <c r="R49" s="180" t="str">
        <f t="shared" si="2"/>
        <v>N/TRANSITA</v>
      </c>
      <c r="S49" s="134"/>
      <c r="T49" s="135"/>
      <c r="U49" s="135"/>
      <c r="V49" s="136"/>
      <c r="W49" s="136"/>
      <c r="X49" s="23">
        <f t="shared" si="7"/>
        <v>0</v>
      </c>
      <c r="Y49" s="21">
        <f t="shared" si="8"/>
        <v>1.1111111111111112</v>
      </c>
      <c r="Z49" s="180" t="str">
        <f t="shared" si="4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124">
        <v>5</v>
      </c>
      <c r="F50" s="125">
        <v>11</v>
      </c>
      <c r="G50" s="125"/>
      <c r="H50" s="125">
        <v>13</v>
      </c>
      <c r="I50" s="126"/>
      <c r="J50" s="127">
        <f t="shared" si="5"/>
        <v>9.6666666666666661</v>
      </c>
      <c r="K50" s="180" t="str">
        <f t="shared" si="1"/>
        <v>N/TRANSITA</v>
      </c>
      <c r="L50" s="132">
        <v>10</v>
      </c>
      <c r="M50" s="133">
        <v>5</v>
      </c>
      <c r="N50" s="133"/>
      <c r="O50" s="133">
        <v>5</v>
      </c>
      <c r="P50" s="133"/>
      <c r="Q50" s="127">
        <f t="shared" si="6"/>
        <v>6.666666666666667</v>
      </c>
      <c r="R50" s="180" t="str">
        <f t="shared" si="2"/>
        <v>N/TRANSITA</v>
      </c>
      <c r="S50" s="134"/>
      <c r="T50" s="135"/>
      <c r="U50" s="135"/>
      <c r="V50" s="136"/>
      <c r="W50" s="136"/>
      <c r="X50" s="23">
        <f t="shared" si="7"/>
        <v>0</v>
      </c>
      <c r="Y50" s="21">
        <f t="shared" si="8"/>
        <v>5.4444444444444438</v>
      </c>
      <c r="Z50" s="180" t="str">
        <f t="shared" si="4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124">
        <v>12</v>
      </c>
      <c r="F51" s="125">
        <v>5</v>
      </c>
      <c r="G51" s="125"/>
      <c r="H51" s="125">
        <v>13</v>
      </c>
      <c r="I51" s="126"/>
      <c r="J51" s="127">
        <f t="shared" si="5"/>
        <v>10</v>
      </c>
      <c r="K51" s="180" t="str">
        <f t="shared" si="1"/>
        <v>TRANSITA</v>
      </c>
      <c r="L51" s="132">
        <v>10</v>
      </c>
      <c r="M51" s="133">
        <v>13</v>
      </c>
      <c r="N51" s="133"/>
      <c r="O51" s="133">
        <v>5</v>
      </c>
      <c r="P51" s="133"/>
      <c r="Q51" s="127">
        <f t="shared" si="6"/>
        <v>9.3333333333333339</v>
      </c>
      <c r="R51" s="180" t="str">
        <f t="shared" si="2"/>
        <v>N/TRANSITA</v>
      </c>
      <c r="S51" s="134"/>
      <c r="T51" s="135"/>
      <c r="U51" s="135"/>
      <c r="V51" s="136"/>
      <c r="W51" s="136"/>
      <c r="X51" s="23">
        <f t="shared" si="7"/>
        <v>0</v>
      </c>
      <c r="Y51" s="21">
        <f t="shared" si="8"/>
        <v>6.4444444444444455</v>
      </c>
      <c r="Z51" s="180" t="str">
        <f t="shared" si="4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124">
        <v>5</v>
      </c>
      <c r="F52" s="125">
        <v>8.5</v>
      </c>
      <c r="G52" s="125"/>
      <c r="H52" s="125">
        <v>13</v>
      </c>
      <c r="I52" s="126"/>
      <c r="J52" s="127">
        <f t="shared" si="5"/>
        <v>8.8333333333333339</v>
      </c>
      <c r="K52" s="180" t="str">
        <f t="shared" si="1"/>
        <v>N/TRANSITA</v>
      </c>
      <c r="L52" s="132"/>
      <c r="M52" s="133"/>
      <c r="N52" s="133"/>
      <c r="O52" s="133"/>
      <c r="P52" s="133"/>
      <c r="Q52" s="127">
        <f t="shared" si="6"/>
        <v>0</v>
      </c>
      <c r="R52" s="180" t="str">
        <f t="shared" si="2"/>
        <v>N/TRANSITA</v>
      </c>
      <c r="S52" s="134"/>
      <c r="T52" s="135"/>
      <c r="U52" s="135"/>
      <c r="V52" s="136"/>
      <c r="W52" s="136"/>
      <c r="X52" s="23">
        <f t="shared" si="7"/>
        <v>0</v>
      </c>
      <c r="Y52" s="21">
        <f t="shared" si="8"/>
        <v>2.9444444444444446</v>
      </c>
      <c r="Z52" s="180" t="str">
        <f t="shared" si="4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37">
        <v>5</v>
      </c>
      <c r="F53" s="138"/>
      <c r="G53" s="138"/>
      <c r="H53" s="138"/>
      <c r="I53" s="135"/>
      <c r="J53" s="127">
        <f t="shared" si="5"/>
        <v>1.6666666666666667</v>
      </c>
      <c r="K53" s="180" t="str">
        <f t="shared" si="1"/>
        <v>N/TRANSITA</v>
      </c>
      <c r="L53" s="132"/>
      <c r="M53" s="133"/>
      <c r="N53" s="133"/>
      <c r="O53" s="133"/>
      <c r="P53" s="133"/>
      <c r="Q53" s="127">
        <f t="shared" si="6"/>
        <v>0</v>
      </c>
      <c r="R53" s="180" t="str">
        <f t="shared" si="2"/>
        <v>N/TRANSITA</v>
      </c>
      <c r="S53" s="134"/>
      <c r="T53" s="135"/>
      <c r="U53" s="135"/>
      <c r="V53" s="136"/>
      <c r="W53" s="136"/>
      <c r="X53" s="23">
        <f t="shared" si="7"/>
        <v>0</v>
      </c>
      <c r="Y53" s="21">
        <f t="shared" si="8"/>
        <v>0.55555555555555558</v>
      </c>
      <c r="Z53" s="180" t="str">
        <f t="shared" si="4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37"/>
      <c r="F54" s="138"/>
      <c r="G54" s="138"/>
      <c r="H54" s="138"/>
      <c r="I54" s="135"/>
      <c r="J54" s="127">
        <f t="shared" si="5"/>
        <v>0</v>
      </c>
      <c r="K54" s="180" t="str">
        <f t="shared" si="1"/>
        <v>N/TRANSITA</v>
      </c>
      <c r="L54" s="132">
        <v>12</v>
      </c>
      <c r="M54" s="133">
        <v>9</v>
      </c>
      <c r="N54" s="133"/>
      <c r="O54" s="133">
        <v>8</v>
      </c>
      <c r="P54" s="133"/>
      <c r="Q54" s="127">
        <f t="shared" ref="Q54:Q56" si="32">AVERAGE(L54,MAX(M54:N54),MAX(O54:P54))</f>
        <v>9.6666666666666661</v>
      </c>
      <c r="R54" s="180" t="str">
        <f t="shared" ref="R54:R56" si="33">IF(Q54&gt;=10,"TRANSITA","N/TRANSITA")</f>
        <v>N/TRANSITA</v>
      </c>
      <c r="S54" s="134"/>
      <c r="T54" s="135"/>
      <c r="U54" s="135"/>
      <c r="V54" s="136"/>
      <c r="W54" s="136"/>
      <c r="X54" s="23">
        <f t="shared" ref="X54:X56" si="34">AVERAGE(S54,MAX(T54:U54),MAX(V54:W54))</f>
        <v>0</v>
      </c>
      <c r="Y54" s="21">
        <f t="shared" ref="Y54:Y56" si="35">SUM(J54,Q54,X54)/3</f>
        <v>3.2222222222222219</v>
      </c>
      <c r="Z54" s="180" t="str">
        <f t="shared" ref="Z54:Z56" si="3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37">
        <v>5</v>
      </c>
      <c r="F55" s="138">
        <v>7</v>
      </c>
      <c r="G55" s="138"/>
      <c r="H55" s="138">
        <v>13</v>
      </c>
      <c r="I55" s="135"/>
      <c r="J55" s="127">
        <f t="shared" si="5"/>
        <v>8.3333333333333339</v>
      </c>
      <c r="K55" s="180" t="str">
        <f t="shared" si="1"/>
        <v>N/TRANSITA</v>
      </c>
      <c r="L55" s="132">
        <v>11</v>
      </c>
      <c r="M55" s="133">
        <v>5</v>
      </c>
      <c r="N55" s="133"/>
      <c r="O55" s="133">
        <v>5</v>
      </c>
      <c r="P55" s="133"/>
      <c r="Q55" s="127">
        <f t="shared" si="32"/>
        <v>7</v>
      </c>
      <c r="R55" s="180" t="str">
        <f t="shared" si="33"/>
        <v>N/TRANSITA</v>
      </c>
      <c r="S55" s="134"/>
      <c r="T55" s="135"/>
      <c r="U55" s="135"/>
      <c r="V55" s="136"/>
      <c r="W55" s="136"/>
      <c r="X55" s="23">
        <f t="shared" si="34"/>
        <v>0</v>
      </c>
      <c r="Y55" s="21">
        <f t="shared" si="35"/>
        <v>5.1111111111111116</v>
      </c>
      <c r="Z55" s="180" t="str">
        <f t="shared" si="3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37">
        <v>10</v>
      </c>
      <c r="F56" s="138">
        <v>6</v>
      </c>
      <c r="G56" s="138"/>
      <c r="H56" s="138">
        <v>11.5</v>
      </c>
      <c r="I56" s="135"/>
      <c r="J56" s="127">
        <f t="shared" si="5"/>
        <v>9.1666666666666661</v>
      </c>
      <c r="K56" s="180" t="str">
        <f t="shared" si="1"/>
        <v>N/TRANSITA</v>
      </c>
      <c r="L56" s="132">
        <v>13</v>
      </c>
      <c r="M56" s="133">
        <v>10</v>
      </c>
      <c r="N56" s="133"/>
      <c r="O56" s="133">
        <v>11.5</v>
      </c>
      <c r="P56" s="133"/>
      <c r="Q56" s="127">
        <f t="shared" si="32"/>
        <v>11.5</v>
      </c>
      <c r="R56" s="180" t="str">
        <f t="shared" si="33"/>
        <v>TRANSITA</v>
      </c>
      <c r="S56" s="134"/>
      <c r="T56" s="135"/>
      <c r="U56" s="135"/>
      <c r="V56" s="136"/>
      <c r="W56" s="136"/>
      <c r="X56" s="23">
        <f t="shared" si="34"/>
        <v>0</v>
      </c>
      <c r="Y56" s="21">
        <f t="shared" si="35"/>
        <v>6.8888888888888884</v>
      </c>
      <c r="Z56" s="180" t="str">
        <f t="shared" si="3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37">
        <v>18</v>
      </c>
      <c r="F57" s="138">
        <v>12.5</v>
      </c>
      <c r="G57" s="138"/>
      <c r="H57" s="138">
        <v>10</v>
      </c>
      <c r="I57" s="135"/>
      <c r="J57" s="127">
        <f t="shared" si="5"/>
        <v>13.5</v>
      </c>
      <c r="K57" s="180" t="str">
        <f t="shared" si="1"/>
        <v>TRANSITA</v>
      </c>
      <c r="L57" s="132">
        <v>14</v>
      </c>
      <c r="M57" s="133">
        <v>14</v>
      </c>
      <c r="N57" s="133"/>
      <c r="O57" s="133">
        <v>14</v>
      </c>
      <c r="P57" s="133"/>
      <c r="Q57" s="127">
        <f t="shared" si="6"/>
        <v>14</v>
      </c>
      <c r="R57" s="180" t="str">
        <f t="shared" si="2"/>
        <v>TRANSITA</v>
      </c>
      <c r="S57" s="134"/>
      <c r="T57" s="135"/>
      <c r="U57" s="135"/>
      <c r="V57" s="136"/>
      <c r="W57" s="136"/>
      <c r="X57" s="23">
        <f t="shared" si="7"/>
        <v>0</v>
      </c>
      <c r="Y57" s="21">
        <f t="shared" si="8"/>
        <v>9.1666666666666661</v>
      </c>
      <c r="Z57" s="180" t="str">
        <f t="shared" si="4"/>
        <v>N/TRANSITA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37"/>
      <c r="F58" s="138"/>
      <c r="G58" s="138"/>
      <c r="H58" s="138"/>
      <c r="I58" s="135"/>
      <c r="J58" s="127">
        <f t="shared" si="5"/>
        <v>0</v>
      </c>
      <c r="K58" s="180" t="str">
        <f t="shared" si="1"/>
        <v>N/TRANSITA</v>
      </c>
      <c r="L58" s="132"/>
      <c r="M58" s="133"/>
      <c r="N58" s="133"/>
      <c r="O58" s="133"/>
      <c r="P58" s="133"/>
      <c r="Q58" s="127">
        <f t="shared" si="6"/>
        <v>0</v>
      </c>
      <c r="R58" s="180" t="str">
        <f t="shared" si="2"/>
        <v>N/TRANSITA</v>
      </c>
      <c r="S58" s="134"/>
      <c r="T58" s="135"/>
      <c r="U58" s="135"/>
      <c r="V58" s="136"/>
      <c r="W58" s="136"/>
      <c r="X58" s="23">
        <f t="shared" si="7"/>
        <v>0</v>
      </c>
      <c r="Y58" s="21">
        <f t="shared" si="8"/>
        <v>0</v>
      </c>
      <c r="Z58" s="180" t="str">
        <f t="shared" si="4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37">
        <v>5</v>
      </c>
      <c r="F59" s="138">
        <v>10</v>
      </c>
      <c r="G59" s="138"/>
      <c r="H59" s="138">
        <v>13</v>
      </c>
      <c r="I59" s="135"/>
      <c r="J59" s="127">
        <f t="shared" si="5"/>
        <v>9.3333333333333339</v>
      </c>
      <c r="K59" s="180" t="str">
        <f t="shared" si="1"/>
        <v>N/TRANSITA</v>
      </c>
      <c r="L59" s="132">
        <v>10</v>
      </c>
      <c r="M59" s="133">
        <v>9</v>
      </c>
      <c r="N59" s="133"/>
      <c r="O59" s="133">
        <v>5</v>
      </c>
      <c r="P59" s="133"/>
      <c r="Q59" s="127">
        <f t="shared" si="6"/>
        <v>8</v>
      </c>
      <c r="R59" s="180" t="str">
        <f t="shared" si="2"/>
        <v>N/TRANSITA</v>
      </c>
      <c r="S59" s="134"/>
      <c r="T59" s="135"/>
      <c r="U59" s="135"/>
      <c r="V59" s="136"/>
      <c r="W59" s="136"/>
      <c r="X59" s="23">
        <f t="shared" si="7"/>
        <v>0</v>
      </c>
      <c r="Y59" s="21">
        <f t="shared" si="8"/>
        <v>5.7777777777777786</v>
      </c>
      <c r="Z59" s="180" t="str">
        <f t="shared" si="4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37">
        <v>12</v>
      </c>
      <c r="F60" s="138">
        <v>12</v>
      </c>
      <c r="G60" s="138"/>
      <c r="H60" s="138">
        <v>13</v>
      </c>
      <c r="I60" s="135"/>
      <c r="J60" s="127">
        <f t="shared" si="5"/>
        <v>12.333333333333334</v>
      </c>
      <c r="K60" s="180" t="str">
        <f t="shared" si="1"/>
        <v>TRANSITA</v>
      </c>
      <c r="L60" s="132">
        <v>13</v>
      </c>
      <c r="M60" s="133">
        <v>11</v>
      </c>
      <c r="N60" s="133"/>
      <c r="O60" s="133">
        <v>12</v>
      </c>
      <c r="P60" s="133"/>
      <c r="Q60" s="127">
        <f t="shared" si="6"/>
        <v>12</v>
      </c>
      <c r="R60" s="180" t="str">
        <f t="shared" si="2"/>
        <v>TRANSITA</v>
      </c>
      <c r="S60" s="134"/>
      <c r="T60" s="135"/>
      <c r="U60" s="135"/>
      <c r="V60" s="136"/>
      <c r="W60" s="136"/>
      <c r="X60" s="23">
        <f t="shared" si="7"/>
        <v>0</v>
      </c>
      <c r="Y60" s="21">
        <f t="shared" si="8"/>
        <v>8.1111111111111125</v>
      </c>
      <c r="Z60" s="180" t="str">
        <f t="shared" si="4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37">
        <v>14</v>
      </c>
      <c r="F61" s="138">
        <v>12</v>
      </c>
      <c r="G61" s="138"/>
      <c r="H61" s="138">
        <v>13</v>
      </c>
      <c r="I61" s="135"/>
      <c r="J61" s="127">
        <f t="shared" si="5"/>
        <v>13</v>
      </c>
      <c r="K61" s="180" t="str">
        <f t="shared" si="1"/>
        <v>TRANSITA</v>
      </c>
      <c r="L61" s="132">
        <v>11</v>
      </c>
      <c r="M61" s="133">
        <v>8</v>
      </c>
      <c r="N61" s="133"/>
      <c r="O61" s="133">
        <v>12</v>
      </c>
      <c r="P61" s="133"/>
      <c r="Q61" s="127">
        <f t="shared" si="6"/>
        <v>10.333333333333334</v>
      </c>
      <c r="R61" s="180" t="str">
        <f t="shared" si="2"/>
        <v>TRANSITA</v>
      </c>
      <c r="S61" s="134"/>
      <c r="T61" s="135"/>
      <c r="U61" s="135"/>
      <c r="V61" s="136"/>
      <c r="W61" s="136"/>
      <c r="X61" s="23">
        <f t="shared" ref="X61:X63" si="37">AVERAGE(S61,MAX(T61:U61),MAX(V61:W61))</f>
        <v>0</v>
      </c>
      <c r="Y61" s="21">
        <f t="shared" si="0"/>
        <v>7.7777777777777786</v>
      </c>
      <c r="Z61" s="180" t="str">
        <f t="shared" si="4"/>
        <v>N/TRANSITA</v>
      </c>
    </row>
    <row r="62" spans="2:31" ht="14.25" customHeight="1" x14ac:dyDescent="0.3">
      <c r="B62" s="37">
        <v>54</v>
      </c>
      <c r="C62" s="194" t="s">
        <v>142</v>
      </c>
      <c r="D62" s="28"/>
      <c r="E62" s="137">
        <v>10</v>
      </c>
      <c r="F62" s="138">
        <v>13.5</v>
      </c>
      <c r="G62" s="138"/>
      <c r="H62" s="138">
        <v>13</v>
      </c>
      <c r="I62" s="135"/>
      <c r="J62" s="127">
        <f t="shared" si="5"/>
        <v>12.166666666666666</v>
      </c>
      <c r="K62" s="180" t="str">
        <f t="shared" si="1"/>
        <v>TRANSITA</v>
      </c>
      <c r="L62" s="132">
        <v>11</v>
      </c>
      <c r="M62" s="133">
        <v>7</v>
      </c>
      <c r="N62" s="133"/>
      <c r="O62" s="133">
        <v>14</v>
      </c>
      <c r="P62" s="133"/>
      <c r="Q62" s="127">
        <f t="shared" si="6"/>
        <v>10.666666666666666</v>
      </c>
      <c r="R62" s="180" t="str">
        <f t="shared" si="2"/>
        <v>TRANSITA</v>
      </c>
      <c r="S62" s="134"/>
      <c r="T62" s="135"/>
      <c r="U62" s="135"/>
      <c r="V62" s="136"/>
      <c r="W62" s="136"/>
      <c r="X62" s="23">
        <f t="shared" si="37"/>
        <v>0</v>
      </c>
      <c r="Y62" s="21">
        <f t="shared" si="0"/>
        <v>7.6111111111111107</v>
      </c>
      <c r="Z62" s="180" t="str">
        <f t="shared" si="4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38">
        <v>12</v>
      </c>
      <c r="F63" s="138">
        <v>5</v>
      </c>
      <c r="G63" s="138"/>
      <c r="H63" s="138">
        <v>12</v>
      </c>
      <c r="I63" s="141"/>
      <c r="J63" s="142">
        <f t="shared" si="5"/>
        <v>9.6666666666666661</v>
      </c>
      <c r="K63" s="181" t="str">
        <f t="shared" si="1"/>
        <v>N/TRANSITA</v>
      </c>
      <c r="L63" s="143">
        <v>10</v>
      </c>
      <c r="M63" s="144">
        <v>5</v>
      </c>
      <c r="N63" s="144"/>
      <c r="O63" s="144">
        <v>5</v>
      </c>
      <c r="P63" s="144"/>
      <c r="Q63" s="142">
        <f t="shared" si="6"/>
        <v>6.666666666666667</v>
      </c>
      <c r="R63" s="181" t="str">
        <f t="shared" si="2"/>
        <v>N/TRANSITA</v>
      </c>
      <c r="S63" s="145"/>
      <c r="T63" s="141"/>
      <c r="U63" s="141"/>
      <c r="V63" s="146"/>
      <c r="W63" s="146"/>
      <c r="X63" s="24">
        <f t="shared" si="37"/>
        <v>0</v>
      </c>
      <c r="Y63" s="22">
        <f>SUM(J63,Q63,X63)/3</f>
        <v>5.4444444444444438</v>
      </c>
      <c r="Z63" s="181" t="str">
        <f t="shared" si="4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30"/>
      <c r="G66" s="30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31"/>
      <c r="G67" s="31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31"/>
      <c r="G68" s="31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53:AB55"/>
    <mergeCell ref="A66:E66"/>
    <mergeCell ref="S66:Z66"/>
    <mergeCell ref="A67:E67"/>
    <mergeCell ref="S67:Z67"/>
    <mergeCell ref="AA10:AB11"/>
    <mergeCell ref="K7:K8"/>
    <mergeCell ref="R7:R8"/>
    <mergeCell ref="AC8:AC9"/>
    <mergeCell ref="AD8:AD9"/>
    <mergeCell ref="AE8:AE9"/>
    <mergeCell ref="B5:C5"/>
    <mergeCell ref="I5:N5"/>
    <mergeCell ref="X5:Z5"/>
    <mergeCell ref="B6:Z6"/>
    <mergeCell ref="B7:B8"/>
    <mergeCell ref="C7:C8"/>
    <mergeCell ref="E7:J7"/>
    <mergeCell ref="L7:Q7"/>
    <mergeCell ref="S7:X7"/>
    <mergeCell ref="Y7:Y8"/>
    <mergeCell ref="A1:Z1"/>
    <mergeCell ref="B3:C3"/>
    <mergeCell ref="I3:M3"/>
    <mergeCell ref="V3:Z3"/>
    <mergeCell ref="B4:C4"/>
    <mergeCell ref="I4:Q4"/>
    <mergeCell ref="V4:Z4"/>
  </mergeCells>
  <conditionalFormatting sqref="Y9:Y63">
    <cfRule type="cellIs" dxfId="181" priority="111" stopIfTrue="1" operator="greaterThan">
      <formula>9.5</formula>
    </cfRule>
    <cfRule type="cellIs" dxfId="180" priority="112" stopIfTrue="1" operator="lessThanOrEqual">
      <formula>9.5</formula>
    </cfRule>
  </conditionalFormatting>
  <conditionalFormatting sqref="S9:W63">
    <cfRule type="cellIs" dxfId="179" priority="109" stopIfTrue="1" operator="lessThan">
      <formula>10</formula>
    </cfRule>
    <cfRule type="cellIs" dxfId="178" priority="110" stopIfTrue="1" operator="greaterThan">
      <formula>9</formula>
    </cfRule>
  </conditionalFormatting>
  <conditionalFormatting sqref="S9:W63">
    <cfRule type="cellIs" dxfId="177" priority="107" stopIfTrue="1" operator="lessThan">
      <formula>10</formula>
    </cfRule>
    <cfRule type="cellIs" dxfId="176" priority="108" stopIfTrue="1" operator="greaterThan">
      <formula>9</formula>
    </cfRule>
  </conditionalFormatting>
  <conditionalFormatting sqref="X9:X63 Q9:Q63">
    <cfRule type="cellIs" dxfId="175" priority="89" stopIfTrue="1" operator="lessThan">
      <formula>10</formula>
    </cfRule>
    <cfRule type="cellIs" dxfId="174" priority="90" stopIfTrue="1" operator="greaterThanOrEqual">
      <formula>10</formula>
    </cfRule>
  </conditionalFormatting>
  <conditionalFormatting sqref="P9:P63">
    <cfRule type="cellIs" dxfId="173" priority="41" stopIfTrue="1" operator="lessThan">
      <formula>10</formula>
    </cfRule>
    <cfRule type="cellIs" dxfId="172" priority="42" stopIfTrue="1" operator="greaterThan">
      <formula>9</formula>
    </cfRule>
    <cfRule type="cellIs" dxfId="171" priority="43" stopIfTrue="1" operator="lessThan">
      <formula>10</formula>
    </cfRule>
    <cfRule type="cellIs" dxfId="170" priority="44" stopIfTrue="1" operator="greaterThan">
      <formula>9</formula>
    </cfRule>
  </conditionalFormatting>
  <conditionalFormatting sqref="I9:I63">
    <cfRule type="cellIs" dxfId="169" priority="19" stopIfTrue="1" operator="lessThan">
      <formula>10</formula>
    </cfRule>
    <cfRule type="cellIs" dxfId="168" priority="20" stopIfTrue="1" operator="greaterThan">
      <formula>9</formula>
    </cfRule>
  </conditionalFormatting>
  <conditionalFormatting sqref="I9:I63">
    <cfRule type="cellIs" dxfId="167" priority="17" stopIfTrue="1" operator="lessThan">
      <formula>10</formula>
    </cfRule>
    <cfRule type="cellIs" dxfId="166" priority="18" stopIfTrue="1" operator="greaterThan">
      <formula>9</formula>
    </cfRule>
  </conditionalFormatting>
  <conditionalFormatting sqref="J9:J63">
    <cfRule type="cellIs" dxfId="165" priority="15" stopIfTrue="1" operator="lessThan">
      <formula>10</formula>
    </cfRule>
    <cfRule type="cellIs" dxfId="164" priority="16" stopIfTrue="1" operator="greaterThanOrEqual">
      <formula>10</formula>
    </cfRule>
  </conditionalFormatting>
  <conditionalFormatting sqref="L9:O63">
    <cfRule type="cellIs" dxfId="163" priority="11" stopIfTrue="1" operator="lessThan">
      <formula>10</formula>
    </cfRule>
    <cfRule type="cellIs" dxfId="162" priority="12" stopIfTrue="1" operator="greaterThan">
      <formula>9</formula>
    </cfRule>
    <cfRule type="cellIs" dxfId="161" priority="13" stopIfTrue="1" operator="lessThan">
      <formula>10</formula>
    </cfRule>
    <cfRule type="cellIs" dxfId="160" priority="14" stopIfTrue="1" operator="greaterThan">
      <formula>9</formula>
    </cfRule>
  </conditionalFormatting>
  <conditionalFormatting sqref="E9:G63">
    <cfRule type="cellIs" dxfId="159" priority="7" stopIfTrue="1" operator="lessThan">
      <formula>10</formula>
    </cfRule>
    <cfRule type="cellIs" dxfId="158" priority="8" stopIfTrue="1" operator="greaterThan">
      <formula>9</formula>
    </cfRule>
  </conditionalFormatting>
  <conditionalFormatting sqref="E9:G63">
    <cfRule type="cellIs" dxfId="157" priority="5" stopIfTrue="1" operator="lessThan">
      <formula>10</formula>
    </cfRule>
    <cfRule type="cellIs" dxfId="156" priority="6" stopIfTrue="1" operator="greaterThan">
      <formula>9</formula>
    </cfRule>
  </conditionalFormatting>
  <conditionalFormatting sqref="H9:H63">
    <cfRule type="cellIs" dxfId="155" priority="3" stopIfTrue="1" operator="lessThan">
      <formula>10</formula>
    </cfRule>
    <cfRule type="cellIs" dxfId="154" priority="4" stopIfTrue="1" operator="greaterThan">
      <formula>9</formula>
    </cfRule>
  </conditionalFormatting>
  <conditionalFormatting sqref="H9:H63">
    <cfRule type="cellIs" dxfId="153" priority="1" stopIfTrue="1" operator="lessThan">
      <formula>10</formula>
    </cfRule>
    <cfRule type="cellIs" dxfId="152" priority="2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3553" r:id="rId4">
          <objectPr defaultSize="0" autoPict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38100</xdr:colOff>
                <xdr:row>65</xdr:row>
                <xdr:rowOff>22860</xdr:rowOff>
              </to>
            </anchor>
          </objectPr>
        </oleObject>
      </mc:Choice>
      <mc:Fallback>
        <oleObject progId="Word.Document.8" shapeId="2355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stopIfTrue="1" operator="containsText" id="{77BE1845-BDA9-40E4-87A8-E0BCCDA22016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2" stopIfTrue="1" operator="containsText" id="{B9622A6D-1E92-409B-A853-D554A195BE0D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29" stopIfTrue="1" operator="containsText" id="{FD3ACAD1-F245-4D06-9A93-D4CB3D86BF65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0" stopIfTrue="1" operator="containsText" id="{7C4C8A44-6B8F-4F82-AB8B-8E0C6151B254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9" stopIfTrue="1" operator="containsText" id="{C0E2C0FF-1F79-40A0-A94C-3DB822F177A2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EA50CBE4-E159-466D-9979-492AB63EE9FC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topLeftCell="A30" zoomScaleNormal="100" zoomScalePageLayoutView="85" workbookViewId="0">
      <selection activeCell="C48" sqref="C48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118"/>
      <c r="I4" s="324" t="s">
        <v>88</v>
      </c>
      <c r="J4" s="324"/>
      <c r="K4" s="324"/>
      <c r="L4" s="324"/>
      <c r="M4" s="324"/>
      <c r="N4" s="324"/>
      <c r="O4" s="324"/>
      <c r="P4" s="324"/>
      <c r="Q4" s="324"/>
      <c r="R4" s="118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118"/>
      <c r="H5" s="36"/>
      <c r="I5" s="361" t="s">
        <v>34</v>
      </c>
      <c r="J5" s="361"/>
      <c r="K5" s="361"/>
      <c r="L5" s="361"/>
      <c r="M5" s="361"/>
      <c r="N5" s="361"/>
      <c r="O5" s="36"/>
      <c r="P5" s="36"/>
      <c r="Q5" s="36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2</v>
      </c>
      <c r="AD8" s="335">
        <f>COUNTIF(Z9:Z69,"N/TRANSITA")</f>
        <v>53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124">
        <v>11</v>
      </c>
      <c r="F9" s="125">
        <v>5</v>
      </c>
      <c r="G9" s="125"/>
      <c r="H9" s="126">
        <v>14</v>
      </c>
      <c r="I9" s="126"/>
      <c r="J9" s="127">
        <f>AVERAGE(E9,MAX(F9:G9),MAX(H9:I9))</f>
        <v>10</v>
      </c>
      <c r="K9" s="179" t="str">
        <f>IF(J9&gt;=10,"TRANSITA","N/TRANSITA")</f>
        <v>TRANSITA</v>
      </c>
      <c r="L9" s="128">
        <v>5</v>
      </c>
      <c r="M9" s="129">
        <v>5</v>
      </c>
      <c r="N9" s="129"/>
      <c r="O9" s="129">
        <v>5</v>
      </c>
      <c r="P9" s="129"/>
      <c r="Q9" s="127">
        <f>AVERAGE(L9,MAX(M9:N9),MAX(O9:P9))</f>
        <v>5</v>
      </c>
      <c r="R9" s="179" t="str">
        <f>IF(Q9&gt;=10,"TRANSITA","N/TRANSITA")</f>
        <v>N/TRANSITA</v>
      </c>
      <c r="S9" s="130"/>
      <c r="T9" s="126"/>
      <c r="U9" s="126"/>
      <c r="V9" s="131"/>
      <c r="W9" s="131"/>
      <c r="X9" s="23">
        <f>AVERAGE(S9,MAX(T9:U9),MAX(V9:W9))</f>
        <v>0</v>
      </c>
      <c r="Y9" s="20">
        <f t="shared" ref="Y9:Y62" si="0">SUM(J9,Q9,X9)/3</f>
        <v>5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124">
        <v>12</v>
      </c>
      <c r="F10" s="125">
        <v>10</v>
      </c>
      <c r="G10" s="125"/>
      <c r="H10" s="126">
        <v>12</v>
      </c>
      <c r="I10" s="126"/>
      <c r="J10" s="127">
        <f>AVERAGE(E10,MAX(F10:G10),MAX(H10:I10))</f>
        <v>11.333333333333334</v>
      </c>
      <c r="K10" s="180" t="str">
        <f t="shared" ref="K10:K63" si="1">IF(J10&gt;=10,"TRANSITA","N/TRANSITA")</f>
        <v>TRANSITA</v>
      </c>
      <c r="L10" s="132">
        <v>12</v>
      </c>
      <c r="M10" s="133">
        <v>14</v>
      </c>
      <c r="N10" s="133"/>
      <c r="O10" s="133">
        <v>11</v>
      </c>
      <c r="P10" s="133"/>
      <c r="Q10" s="127">
        <f>AVERAGE(L10,MAX(M10:N10),MAX(O10:P10))</f>
        <v>12.333333333333334</v>
      </c>
      <c r="R10" s="180" t="str">
        <f t="shared" ref="R10:R63" si="2">IF(Q10&gt;=10,"TRANSITA","N/TRANSITA")</f>
        <v>TRANSITA</v>
      </c>
      <c r="S10" s="134"/>
      <c r="T10" s="135"/>
      <c r="U10" s="135"/>
      <c r="V10" s="136"/>
      <c r="W10" s="136"/>
      <c r="X10" s="23">
        <f>AVERAGE(S10,MAX(T10:U10),MAX(V10:W10))</f>
        <v>0</v>
      </c>
      <c r="Y10" s="21">
        <f t="shared" si="0"/>
        <v>7.8888888888888893</v>
      </c>
      <c r="Z10" s="180" t="str">
        <f t="shared" ref="Z10:Z63" si="3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124">
        <v>10</v>
      </c>
      <c r="F11" s="125">
        <v>2</v>
      </c>
      <c r="G11" s="125"/>
      <c r="H11" s="126">
        <v>9</v>
      </c>
      <c r="I11" s="126"/>
      <c r="J11" s="127">
        <f t="shared" ref="J11:J63" si="4">AVERAGE(E11,MAX(F11:G11),MAX(H11:I11))</f>
        <v>7</v>
      </c>
      <c r="K11" s="180" t="str">
        <f t="shared" si="1"/>
        <v>N/TRANSITA</v>
      </c>
      <c r="L11" s="132">
        <v>10</v>
      </c>
      <c r="M11" s="133">
        <v>11</v>
      </c>
      <c r="N11" s="133"/>
      <c r="O11" s="133">
        <v>11</v>
      </c>
      <c r="P11" s="133"/>
      <c r="Q11" s="127">
        <f t="shared" ref="Q11:Q63" si="5">AVERAGE(L11,MAX(M11:N11),MAX(O11:P11))</f>
        <v>10.666666666666666</v>
      </c>
      <c r="R11" s="180" t="str">
        <f t="shared" si="2"/>
        <v>TRANSITA</v>
      </c>
      <c r="S11" s="134"/>
      <c r="T11" s="135"/>
      <c r="U11" s="135"/>
      <c r="V11" s="136"/>
      <c r="W11" s="136"/>
      <c r="X11" s="23">
        <f t="shared" ref="X11:X60" si="6">AVERAGE(S11,MAX(T11:U11),MAX(V11:W11))</f>
        <v>0</v>
      </c>
      <c r="Y11" s="21">
        <f t="shared" ref="Y11:Y60" si="7">SUM(J11,Q11,X11)/3</f>
        <v>5.8888888888888884</v>
      </c>
      <c r="Z11" s="180" t="str">
        <f t="shared" si="3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124">
        <v>14</v>
      </c>
      <c r="F12" s="125">
        <v>16</v>
      </c>
      <c r="G12" s="125"/>
      <c r="H12" s="126">
        <v>15</v>
      </c>
      <c r="I12" s="126"/>
      <c r="J12" s="127">
        <f t="shared" si="4"/>
        <v>15</v>
      </c>
      <c r="K12" s="180" t="str">
        <f t="shared" si="1"/>
        <v>TRANSITA</v>
      </c>
      <c r="L12" s="132">
        <v>14</v>
      </c>
      <c r="M12" s="133">
        <v>17</v>
      </c>
      <c r="N12" s="133"/>
      <c r="O12" s="133">
        <v>14</v>
      </c>
      <c r="P12" s="133"/>
      <c r="Q12" s="127">
        <f t="shared" si="5"/>
        <v>15</v>
      </c>
      <c r="R12" s="180" t="str">
        <f t="shared" si="2"/>
        <v>TRANSITA</v>
      </c>
      <c r="S12" s="134"/>
      <c r="T12" s="135"/>
      <c r="U12" s="135"/>
      <c r="V12" s="136"/>
      <c r="W12" s="136"/>
      <c r="X12" s="23">
        <f t="shared" si="6"/>
        <v>0</v>
      </c>
      <c r="Y12" s="21">
        <f t="shared" si="7"/>
        <v>10</v>
      </c>
      <c r="Z12" s="180" t="str">
        <f t="shared" si="3"/>
        <v>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124">
        <v>14</v>
      </c>
      <c r="F13" s="125">
        <v>18</v>
      </c>
      <c r="G13" s="125"/>
      <c r="H13" s="126">
        <v>16</v>
      </c>
      <c r="I13" s="126"/>
      <c r="J13" s="127">
        <f t="shared" si="4"/>
        <v>16</v>
      </c>
      <c r="K13" s="180" t="str">
        <f t="shared" si="1"/>
        <v>TRANSITA</v>
      </c>
      <c r="L13" s="132">
        <v>14</v>
      </c>
      <c r="M13" s="133">
        <v>17</v>
      </c>
      <c r="N13" s="133"/>
      <c r="O13" s="133">
        <v>17</v>
      </c>
      <c r="P13" s="133"/>
      <c r="Q13" s="127">
        <f t="shared" si="5"/>
        <v>16</v>
      </c>
      <c r="R13" s="180" t="str">
        <f t="shared" si="2"/>
        <v>TRANSITA</v>
      </c>
      <c r="S13" s="134"/>
      <c r="T13" s="135"/>
      <c r="U13" s="135"/>
      <c r="V13" s="136"/>
      <c r="W13" s="136"/>
      <c r="X13" s="23">
        <f t="shared" si="6"/>
        <v>0</v>
      </c>
      <c r="Y13" s="21">
        <f t="shared" si="7"/>
        <v>10.666666666666666</v>
      </c>
      <c r="Z13" s="180" t="str">
        <f t="shared" si="3"/>
        <v>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124">
        <v>14</v>
      </c>
      <c r="F14" s="125">
        <v>10</v>
      </c>
      <c r="G14" s="125"/>
      <c r="H14" s="126">
        <v>17</v>
      </c>
      <c r="I14" s="126"/>
      <c r="J14" s="127">
        <f t="shared" si="4"/>
        <v>13.666666666666666</v>
      </c>
      <c r="K14" s="180" t="str">
        <f t="shared" si="1"/>
        <v>TRANSITA</v>
      </c>
      <c r="L14" s="132">
        <v>13</v>
      </c>
      <c r="M14" s="133">
        <v>14</v>
      </c>
      <c r="N14" s="133"/>
      <c r="O14" s="133">
        <v>13</v>
      </c>
      <c r="P14" s="133"/>
      <c r="Q14" s="127">
        <f t="shared" si="5"/>
        <v>13.333333333333334</v>
      </c>
      <c r="R14" s="180" t="str">
        <f t="shared" si="2"/>
        <v>TRANSITA</v>
      </c>
      <c r="S14" s="134"/>
      <c r="T14" s="135"/>
      <c r="U14" s="135"/>
      <c r="V14" s="136"/>
      <c r="W14" s="136"/>
      <c r="X14" s="23">
        <f t="shared" si="6"/>
        <v>0</v>
      </c>
      <c r="Y14" s="21">
        <f t="shared" si="7"/>
        <v>9</v>
      </c>
      <c r="Z14" s="180" t="str">
        <f t="shared" si="3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124">
        <v>10</v>
      </c>
      <c r="F15" s="125">
        <v>7</v>
      </c>
      <c r="G15" s="125"/>
      <c r="H15" s="126">
        <v>12</v>
      </c>
      <c r="I15" s="126"/>
      <c r="J15" s="127">
        <f t="shared" si="4"/>
        <v>9.6666666666666661</v>
      </c>
      <c r="K15" s="180" t="str">
        <f t="shared" si="1"/>
        <v>N/TRANSITA</v>
      </c>
      <c r="L15" s="132">
        <v>10</v>
      </c>
      <c r="M15" s="133">
        <v>12</v>
      </c>
      <c r="N15" s="133"/>
      <c r="O15" s="133">
        <v>5</v>
      </c>
      <c r="P15" s="133"/>
      <c r="Q15" s="127">
        <f t="shared" si="5"/>
        <v>9</v>
      </c>
      <c r="R15" s="180" t="str">
        <f t="shared" si="2"/>
        <v>N/TRANSITA</v>
      </c>
      <c r="S15" s="134"/>
      <c r="T15" s="135"/>
      <c r="U15" s="135"/>
      <c r="V15" s="136"/>
      <c r="W15" s="136"/>
      <c r="X15" s="23">
        <f t="shared" si="6"/>
        <v>0</v>
      </c>
      <c r="Y15" s="21">
        <f t="shared" si="7"/>
        <v>6.2222222222222214</v>
      </c>
      <c r="Z15" s="180" t="str">
        <f t="shared" si="3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124">
        <v>10</v>
      </c>
      <c r="F16" s="125">
        <v>7</v>
      </c>
      <c r="G16" s="125"/>
      <c r="H16" s="126">
        <v>11</v>
      </c>
      <c r="I16" s="126"/>
      <c r="J16" s="127">
        <f t="shared" si="4"/>
        <v>9.3333333333333339</v>
      </c>
      <c r="K16" s="180" t="str">
        <f t="shared" si="1"/>
        <v>N/TRANSITA</v>
      </c>
      <c r="L16" s="132">
        <v>8</v>
      </c>
      <c r="M16" s="133">
        <v>5</v>
      </c>
      <c r="N16" s="133"/>
      <c r="O16" s="133">
        <v>8</v>
      </c>
      <c r="P16" s="133"/>
      <c r="Q16" s="127">
        <f t="shared" si="5"/>
        <v>7</v>
      </c>
      <c r="R16" s="180" t="str">
        <f t="shared" si="2"/>
        <v>N/TRANSITA</v>
      </c>
      <c r="S16" s="134"/>
      <c r="T16" s="135"/>
      <c r="U16" s="135"/>
      <c r="V16" s="136"/>
      <c r="W16" s="136"/>
      <c r="X16" s="23">
        <f t="shared" si="6"/>
        <v>0</v>
      </c>
      <c r="Y16" s="21">
        <f t="shared" si="7"/>
        <v>5.4444444444444455</v>
      </c>
      <c r="Z16" s="180" t="str">
        <f t="shared" si="3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124">
        <v>10</v>
      </c>
      <c r="F17" s="125">
        <v>7</v>
      </c>
      <c r="G17" s="125"/>
      <c r="H17" s="126">
        <v>10</v>
      </c>
      <c r="I17" s="126"/>
      <c r="J17" s="127">
        <f t="shared" si="4"/>
        <v>9</v>
      </c>
      <c r="K17" s="180" t="str">
        <f t="shared" si="1"/>
        <v>N/TRANSITA</v>
      </c>
      <c r="L17" s="132">
        <v>10</v>
      </c>
      <c r="M17" s="133">
        <v>11</v>
      </c>
      <c r="N17" s="133"/>
      <c r="O17" s="133">
        <v>7</v>
      </c>
      <c r="P17" s="133"/>
      <c r="Q17" s="127">
        <f t="shared" si="5"/>
        <v>9.3333333333333339</v>
      </c>
      <c r="R17" s="180" t="str">
        <f t="shared" si="2"/>
        <v>N/TRANSITA</v>
      </c>
      <c r="S17" s="134"/>
      <c r="T17" s="135"/>
      <c r="U17" s="135"/>
      <c r="V17" s="136"/>
      <c r="W17" s="136"/>
      <c r="X17" s="23">
        <f t="shared" si="6"/>
        <v>0</v>
      </c>
      <c r="Y17" s="21">
        <f t="shared" si="7"/>
        <v>6.1111111111111116</v>
      </c>
      <c r="Z17" s="180" t="str">
        <f t="shared" si="3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124">
        <v>10</v>
      </c>
      <c r="F18" s="125">
        <v>0</v>
      </c>
      <c r="G18" s="125"/>
      <c r="H18" s="126">
        <v>14</v>
      </c>
      <c r="I18" s="126"/>
      <c r="J18" s="127">
        <f t="shared" si="4"/>
        <v>8</v>
      </c>
      <c r="K18" s="180" t="str">
        <f t="shared" si="1"/>
        <v>N/TRANSITA</v>
      </c>
      <c r="L18" s="132">
        <v>5</v>
      </c>
      <c r="M18" s="133">
        <v>12</v>
      </c>
      <c r="N18" s="133"/>
      <c r="O18" s="133">
        <v>0</v>
      </c>
      <c r="P18" s="133"/>
      <c r="Q18" s="127">
        <f t="shared" si="5"/>
        <v>5.666666666666667</v>
      </c>
      <c r="R18" s="180" t="str">
        <f t="shared" si="2"/>
        <v>N/TRANSITA</v>
      </c>
      <c r="S18" s="134"/>
      <c r="T18" s="135"/>
      <c r="U18" s="135"/>
      <c r="V18" s="136"/>
      <c r="W18" s="136"/>
      <c r="X18" s="23">
        <f t="shared" si="6"/>
        <v>0</v>
      </c>
      <c r="Y18" s="21">
        <f t="shared" si="7"/>
        <v>4.5555555555555562</v>
      </c>
      <c r="Z18" s="180" t="str">
        <f t="shared" si="3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124"/>
      <c r="F19" s="125"/>
      <c r="G19" s="125"/>
      <c r="H19" s="126"/>
      <c r="I19" s="126"/>
      <c r="J19" s="127">
        <f t="shared" si="4"/>
        <v>0</v>
      </c>
      <c r="K19" s="180" t="str">
        <f t="shared" si="1"/>
        <v>N/TRANSITA</v>
      </c>
      <c r="L19" s="132">
        <v>10</v>
      </c>
      <c r="M19" s="133">
        <v>14</v>
      </c>
      <c r="N19" s="133"/>
      <c r="O19" s="133">
        <v>8</v>
      </c>
      <c r="P19" s="133"/>
      <c r="Q19" s="127">
        <f t="shared" si="5"/>
        <v>10.666666666666666</v>
      </c>
      <c r="R19" s="180" t="str">
        <f t="shared" si="2"/>
        <v>TRANSITA</v>
      </c>
      <c r="S19" s="134"/>
      <c r="T19" s="135"/>
      <c r="U19" s="135"/>
      <c r="V19" s="136"/>
      <c r="W19" s="136"/>
      <c r="X19" s="23">
        <f t="shared" si="6"/>
        <v>0</v>
      </c>
      <c r="Y19" s="21">
        <f t="shared" si="7"/>
        <v>3.5555555555555554</v>
      </c>
      <c r="Z19" s="180" t="str">
        <f t="shared" si="3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124">
        <v>10</v>
      </c>
      <c r="F20" s="125">
        <v>5</v>
      </c>
      <c r="G20" s="125"/>
      <c r="H20" s="126">
        <v>11</v>
      </c>
      <c r="I20" s="126"/>
      <c r="J20" s="127">
        <f t="shared" si="4"/>
        <v>8.6666666666666661</v>
      </c>
      <c r="K20" s="180" t="str">
        <f t="shared" si="1"/>
        <v>N/TRANSITA</v>
      </c>
      <c r="L20" s="132">
        <v>12</v>
      </c>
      <c r="M20" s="133">
        <v>12</v>
      </c>
      <c r="N20" s="133"/>
      <c r="O20" s="133">
        <v>12</v>
      </c>
      <c r="P20" s="133"/>
      <c r="Q20" s="127">
        <f t="shared" si="5"/>
        <v>12</v>
      </c>
      <c r="R20" s="180" t="str">
        <f t="shared" si="2"/>
        <v>TRANSITA</v>
      </c>
      <c r="S20" s="134"/>
      <c r="T20" s="135"/>
      <c r="U20" s="135"/>
      <c r="V20" s="136"/>
      <c r="W20" s="136"/>
      <c r="X20" s="23">
        <f t="shared" si="6"/>
        <v>0</v>
      </c>
      <c r="Y20" s="21">
        <f t="shared" si="7"/>
        <v>6.8888888888888884</v>
      </c>
      <c r="Z20" s="180" t="str">
        <f t="shared" si="3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124">
        <v>10</v>
      </c>
      <c r="F21" s="125">
        <v>8</v>
      </c>
      <c r="G21" s="125"/>
      <c r="H21" s="126">
        <v>12</v>
      </c>
      <c r="I21" s="126"/>
      <c r="J21" s="127">
        <f t="shared" si="4"/>
        <v>10</v>
      </c>
      <c r="K21" s="180" t="str">
        <f t="shared" si="1"/>
        <v>TRANSITA</v>
      </c>
      <c r="L21" s="132">
        <v>10</v>
      </c>
      <c r="M21" s="133">
        <v>15</v>
      </c>
      <c r="N21" s="133"/>
      <c r="O21" s="133">
        <v>8</v>
      </c>
      <c r="P21" s="133"/>
      <c r="Q21" s="127">
        <f t="shared" si="5"/>
        <v>11</v>
      </c>
      <c r="R21" s="180" t="str">
        <f t="shared" si="2"/>
        <v>TRANSITA</v>
      </c>
      <c r="S21" s="134"/>
      <c r="T21" s="135"/>
      <c r="U21" s="135"/>
      <c r="V21" s="136"/>
      <c r="W21" s="136"/>
      <c r="X21" s="23">
        <f t="shared" si="6"/>
        <v>0</v>
      </c>
      <c r="Y21" s="21">
        <f t="shared" si="7"/>
        <v>7</v>
      </c>
      <c r="Z21" s="180" t="str">
        <f t="shared" si="3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124">
        <v>14</v>
      </c>
      <c r="F22" s="125">
        <v>15</v>
      </c>
      <c r="G22" s="125"/>
      <c r="H22" s="126">
        <v>14</v>
      </c>
      <c r="I22" s="126"/>
      <c r="J22" s="127">
        <f t="shared" si="4"/>
        <v>14.333333333333334</v>
      </c>
      <c r="K22" s="180" t="str">
        <f t="shared" si="1"/>
        <v>TRANSITA</v>
      </c>
      <c r="L22" s="132">
        <v>10</v>
      </c>
      <c r="M22" s="133">
        <v>12</v>
      </c>
      <c r="N22" s="133"/>
      <c r="O22" s="133">
        <v>8</v>
      </c>
      <c r="P22" s="133"/>
      <c r="Q22" s="127">
        <f t="shared" si="5"/>
        <v>10</v>
      </c>
      <c r="R22" s="180" t="str">
        <f t="shared" si="2"/>
        <v>TRANSITA</v>
      </c>
      <c r="S22" s="134"/>
      <c r="T22" s="135"/>
      <c r="U22" s="135"/>
      <c r="V22" s="136"/>
      <c r="W22" s="136"/>
      <c r="X22" s="23">
        <f t="shared" si="6"/>
        <v>0</v>
      </c>
      <c r="Y22" s="21">
        <f t="shared" si="7"/>
        <v>8.1111111111111125</v>
      </c>
      <c r="Z22" s="180" t="str">
        <f t="shared" si="3"/>
        <v>N/TRANSITA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124">
        <v>12</v>
      </c>
      <c r="F23" s="125">
        <v>7</v>
      </c>
      <c r="G23" s="125"/>
      <c r="H23" s="126">
        <v>15</v>
      </c>
      <c r="I23" s="126"/>
      <c r="J23" s="127">
        <f t="shared" si="4"/>
        <v>11.333333333333334</v>
      </c>
      <c r="K23" s="180" t="str">
        <f t="shared" si="1"/>
        <v>TRANSITA</v>
      </c>
      <c r="L23" s="132">
        <v>12</v>
      </c>
      <c r="M23" s="133">
        <v>10</v>
      </c>
      <c r="N23" s="133"/>
      <c r="O23" s="133">
        <v>11</v>
      </c>
      <c r="P23" s="133"/>
      <c r="Q23" s="127">
        <f t="shared" si="5"/>
        <v>11</v>
      </c>
      <c r="R23" s="180" t="str">
        <f t="shared" si="2"/>
        <v>TRANSITA</v>
      </c>
      <c r="S23" s="134"/>
      <c r="T23" s="135"/>
      <c r="U23" s="135"/>
      <c r="V23" s="136"/>
      <c r="W23" s="136"/>
      <c r="X23" s="23">
        <f t="shared" si="6"/>
        <v>0</v>
      </c>
      <c r="Y23" s="21">
        <f t="shared" si="7"/>
        <v>7.4444444444444455</v>
      </c>
      <c r="Z23" s="180" t="str">
        <f t="shared" si="3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124">
        <v>8</v>
      </c>
      <c r="F24" s="125">
        <v>5</v>
      </c>
      <c r="G24" s="125"/>
      <c r="H24" s="126">
        <v>10</v>
      </c>
      <c r="I24" s="126"/>
      <c r="J24" s="127">
        <f t="shared" si="4"/>
        <v>7.666666666666667</v>
      </c>
      <c r="K24" s="180" t="str">
        <f t="shared" si="1"/>
        <v>N/TRANSITA</v>
      </c>
      <c r="L24" s="132">
        <v>12</v>
      </c>
      <c r="M24" s="133">
        <v>12</v>
      </c>
      <c r="N24" s="133"/>
      <c r="O24" s="133">
        <v>14</v>
      </c>
      <c r="P24" s="133"/>
      <c r="Q24" s="127">
        <f t="shared" si="5"/>
        <v>12.666666666666666</v>
      </c>
      <c r="R24" s="180" t="str">
        <f t="shared" si="2"/>
        <v>TRANSITA</v>
      </c>
      <c r="S24" s="134"/>
      <c r="T24" s="135"/>
      <c r="U24" s="135"/>
      <c r="V24" s="136"/>
      <c r="W24" s="136"/>
      <c r="X24" s="23">
        <f t="shared" si="6"/>
        <v>0</v>
      </c>
      <c r="Y24" s="21">
        <f t="shared" si="7"/>
        <v>6.7777777777777777</v>
      </c>
      <c r="Z24" s="180" t="str">
        <f t="shared" si="3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124">
        <v>11</v>
      </c>
      <c r="F25" s="125">
        <v>10</v>
      </c>
      <c r="G25" s="125"/>
      <c r="H25" s="126">
        <v>17</v>
      </c>
      <c r="I25" s="126"/>
      <c r="J25" s="127">
        <f t="shared" ref="J25:J26" si="8">AVERAGE(E25,MAX(F25:G25),MAX(H25:I25))</f>
        <v>12.666666666666666</v>
      </c>
      <c r="K25" s="180" t="str">
        <f t="shared" ref="K25:K26" si="9">IF(J25&gt;=10,"TRANSITA","N/TRANSITA")</f>
        <v>TRANSITA</v>
      </c>
      <c r="L25" s="132">
        <v>7</v>
      </c>
      <c r="M25" s="133">
        <v>7</v>
      </c>
      <c r="N25" s="133"/>
      <c r="O25" s="133">
        <v>11</v>
      </c>
      <c r="P25" s="133"/>
      <c r="Q25" s="127">
        <f t="shared" ref="Q25:Q26" si="10">AVERAGE(L25,MAX(M25:N25),MAX(O25:P25))</f>
        <v>8.3333333333333339</v>
      </c>
      <c r="R25" s="180" t="str">
        <f t="shared" ref="R25:R26" si="11">IF(Q25&gt;=10,"TRANSITA","N/TRANSITA")</f>
        <v>N/TRANSITA</v>
      </c>
      <c r="S25" s="134"/>
      <c r="T25" s="135"/>
      <c r="U25" s="135"/>
      <c r="V25" s="136"/>
      <c r="W25" s="136"/>
      <c r="X25" s="23">
        <f t="shared" ref="X25:X26" si="12">AVERAGE(S25,MAX(T25:U25),MAX(V25:W25))</f>
        <v>0</v>
      </c>
      <c r="Y25" s="21">
        <f t="shared" ref="Y25:Y26" si="13">SUM(J25,Q25,X25)/3</f>
        <v>7</v>
      </c>
      <c r="Z25" s="180" t="str">
        <f t="shared" ref="Z25:Z26" si="14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124">
        <v>10</v>
      </c>
      <c r="F26" s="125">
        <v>7</v>
      </c>
      <c r="G26" s="125"/>
      <c r="H26" s="126">
        <v>12</v>
      </c>
      <c r="I26" s="126"/>
      <c r="J26" s="127">
        <f t="shared" si="8"/>
        <v>9.6666666666666661</v>
      </c>
      <c r="K26" s="180" t="str">
        <f t="shared" si="9"/>
        <v>N/TRANSITA</v>
      </c>
      <c r="L26" s="132">
        <v>9</v>
      </c>
      <c r="M26" s="133">
        <v>12</v>
      </c>
      <c r="N26" s="133"/>
      <c r="O26" s="133">
        <v>9</v>
      </c>
      <c r="P26" s="133"/>
      <c r="Q26" s="127">
        <f t="shared" si="10"/>
        <v>10</v>
      </c>
      <c r="R26" s="180" t="str">
        <f t="shared" si="11"/>
        <v>TRANSITA</v>
      </c>
      <c r="S26" s="134"/>
      <c r="T26" s="135"/>
      <c r="U26" s="135"/>
      <c r="V26" s="136"/>
      <c r="W26" s="136"/>
      <c r="X26" s="23">
        <f t="shared" si="12"/>
        <v>0</v>
      </c>
      <c r="Y26" s="21">
        <f t="shared" si="13"/>
        <v>6.5555555555555545</v>
      </c>
      <c r="Z26" s="180" t="str">
        <f t="shared" si="14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124">
        <v>11</v>
      </c>
      <c r="F27" s="125">
        <v>10</v>
      </c>
      <c r="G27" s="125"/>
      <c r="H27" s="126">
        <v>15</v>
      </c>
      <c r="I27" s="126"/>
      <c r="J27" s="127">
        <f t="shared" si="4"/>
        <v>12</v>
      </c>
      <c r="K27" s="180" t="str">
        <f t="shared" si="1"/>
        <v>TRANSITA</v>
      </c>
      <c r="L27" s="132">
        <v>8</v>
      </c>
      <c r="M27" s="133">
        <v>13</v>
      </c>
      <c r="N27" s="133"/>
      <c r="O27" s="133">
        <v>6</v>
      </c>
      <c r="P27" s="133"/>
      <c r="Q27" s="127">
        <f t="shared" si="5"/>
        <v>9</v>
      </c>
      <c r="R27" s="180" t="str">
        <f t="shared" si="2"/>
        <v>N/TRANSITA</v>
      </c>
      <c r="S27" s="134"/>
      <c r="T27" s="135"/>
      <c r="U27" s="135"/>
      <c r="V27" s="136"/>
      <c r="W27" s="136"/>
      <c r="X27" s="23">
        <f t="shared" si="6"/>
        <v>0</v>
      </c>
      <c r="Y27" s="21">
        <f t="shared" si="7"/>
        <v>7</v>
      </c>
      <c r="Z27" s="180" t="str">
        <f t="shared" si="3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124"/>
      <c r="F28" s="125"/>
      <c r="G28" s="125"/>
      <c r="H28" s="126"/>
      <c r="I28" s="126"/>
      <c r="J28" s="127">
        <f t="shared" si="4"/>
        <v>0</v>
      </c>
      <c r="K28" s="180" t="str">
        <f t="shared" si="1"/>
        <v>N/TRANSITA</v>
      </c>
      <c r="L28" s="132"/>
      <c r="M28" s="133"/>
      <c r="N28" s="133"/>
      <c r="O28" s="133"/>
      <c r="P28" s="133"/>
      <c r="Q28" s="127">
        <f t="shared" si="5"/>
        <v>0</v>
      </c>
      <c r="R28" s="180" t="str">
        <f t="shared" si="2"/>
        <v>N/TRANSITA</v>
      </c>
      <c r="S28" s="134"/>
      <c r="T28" s="135"/>
      <c r="U28" s="135"/>
      <c r="V28" s="136"/>
      <c r="W28" s="136"/>
      <c r="X28" s="23">
        <f t="shared" si="6"/>
        <v>0</v>
      </c>
      <c r="Y28" s="21">
        <f t="shared" si="7"/>
        <v>0</v>
      </c>
      <c r="Z28" s="180" t="str">
        <f t="shared" si="3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124">
        <v>10</v>
      </c>
      <c r="F29" s="125">
        <v>5</v>
      </c>
      <c r="G29" s="125"/>
      <c r="H29" s="126">
        <v>16</v>
      </c>
      <c r="I29" s="126"/>
      <c r="J29" s="127">
        <f t="shared" si="4"/>
        <v>10.333333333333334</v>
      </c>
      <c r="K29" s="180" t="str">
        <f t="shared" si="1"/>
        <v>TRANSITA</v>
      </c>
      <c r="L29" s="132">
        <v>8</v>
      </c>
      <c r="M29" s="133">
        <v>13</v>
      </c>
      <c r="N29" s="133"/>
      <c r="O29" s="133">
        <v>4</v>
      </c>
      <c r="P29" s="133"/>
      <c r="Q29" s="127">
        <f t="shared" si="5"/>
        <v>8.3333333333333339</v>
      </c>
      <c r="R29" s="180" t="str">
        <f t="shared" si="2"/>
        <v>N/TRANSITA</v>
      </c>
      <c r="S29" s="134"/>
      <c r="T29" s="135"/>
      <c r="U29" s="135"/>
      <c r="V29" s="136"/>
      <c r="W29" s="136"/>
      <c r="X29" s="23">
        <f t="shared" si="6"/>
        <v>0</v>
      </c>
      <c r="Y29" s="21">
        <f t="shared" si="7"/>
        <v>6.2222222222222223</v>
      </c>
      <c r="Z29" s="180" t="str">
        <f t="shared" si="3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124">
        <v>10</v>
      </c>
      <c r="F30" s="125">
        <v>8</v>
      </c>
      <c r="G30" s="125"/>
      <c r="H30" s="126">
        <v>15</v>
      </c>
      <c r="I30" s="126"/>
      <c r="J30" s="127">
        <f t="shared" si="4"/>
        <v>11</v>
      </c>
      <c r="K30" s="180" t="str">
        <f t="shared" si="1"/>
        <v>TRANSITA</v>
      </c>
      <c r="L30" s="132">
        <v>8</v>
      </c>
      <c r="M30" s="133">
        <v>16</v>
      </c>
      <c r="N30" s="133"/>
      <c r="O30" s="133">
        <v>8</v>
      </c>
      <c r="P30" s="133"/>
      <c r="Q30" s="127">
        <f t="shared" si="5"/>
        <v>10.666666666666666</v>
      </c>
      <c r="R30" s="180" t="str">
        <f t="shared" si="2"/>
        <v>TRANSITA</v>
      </c>
      <c r="S30" s="134"/>
      <c r="T30" s="135"/>
      <c r="U30" s="135"/>
      <c r="V30" s="136"/>
      <c r="W30" s="136"/>
      <c r="X30" s="23">
        <f t="shared" si="6"/>
        <v>0</v>
      </c>
      <c r="Y30" s="21">
        <f t="shared" si="7"/>
        <v>7.2222222222222214</v>
      </c>
      <c r="Z30" s="180" t="str">
        <f t="shared" si="3"/>
        <v>N/TRANSITA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124"/>
      <c r="F31" s="125"/>
      <c r="G31" s="125"/>
      <c r="H31" s="126"/>
      <c r="I31" s="126"/>
      <c r="J31" s="127">
        <f t="shared" ref="J31" si="15">AVERAGE(E31,MAX(F31:G31),MAX(H31:I31))</f>
        <v>0</v>
      </c>
      <c r="K31" s="180" t="str">
        <f t="shared" ref="K31" si="16">IF(J31&gt;=10,"TRANSITA","N/TRANSITA")</f>
        <v>N/TRANSITA</v>
      </c>
      <c r="L31" s="132">
        <v>8</v>
      </c>
      <c r="M31" s="133">
        <v>14</v>
      </c>
      <c r="N31" s="133"/>
      <c r="O31" s="133">
        <v>8</v>
      </c>
      <c r="P31" s="133"/>
      <c r="Q31" s="127">
        <f t="shared" ref="Q31" si="17">AVERAGE(L31,MAX(M31:N31),MAX(O31:P31))</f>
        <v>10</v>
      </c>
      <c r="R31" s="180" t="str">
        <f t="shared" ref="R31" si="18">IF(Q31&gt;=10,"TRANSITA","N/TRANSITA")</f>
        <v>TRANSITA</v>
      </c>
      <c r="S31" s="134"/>
      <c r="T31" s="135"/>
      <c r="U31" s="135"/>
      <c r="V31" s="136"/>
      <c r="W31" s="136"/>
      <c r="X31" s="23">
        <f t="shared" ref="X31" si="19">AVERAGE(S31,MAX(T31:U31),MAX(V31:W31))</f>
        <v>0</v>
      </c>
      <c r="Y31" s="21">
        <f t="shared" ref="Y31" si="20">SUM(J31,Q31,X31)/3</f>
        <v>3.3333333333333335</v>
      </c>
      <c r="Z31" s="180" t="str">
        <f t="shared" ref="Z31" si="21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124">
        <v>11</v>
      </c>
      <c r="F32" s="125">
        <v>13</v>
      </c>
      <c r="G32" s="125"/>
      <c r="H32" s="126">
        <v>12</v>
      </c>
      <c r="I32" s="126"/>
      <c r="J32" s="127">
        <f t="shared" ref="J32:J48" si="22">AVERAGE(E32,MAX(F32:G32),MAX(H32:I32))</f>
        <v>12</v>
      </c>
      <c r="K32" s="180" t="str">
        <f t="shared" si="1"/>
        <v>TRANSITA</v>
      </c>
      <c r="L32" s="132">
        <v>10</v>
      </c>
      <c r="M32" s="133">
        <v>15</v>
      </c>
      <c r="N32" s="133"/>
      <c r="O32" s="133">
        <v>12</v>
      </c>
      <c r="P32" s="133"/>
      <c r="Q32" s="127">
        <f t="shared" ref="Q32:Q48" si="23">AVERAGE(L32,MAX(M32:N32),MAX(O32:P32))</f>
        <v>12.333333333333334</v>
      </c>
      <c r="R32" s="180" t="str">
        <f t="shared" si="2"/>
        <v>TRANSITA</v>
      </c>
      <c r="S32" s="134"/>
      <c r="T32" s="135"/>
      <c r="U32" s="135"/>
      <c r="V32" s="136"/>
      <c r="W32" s="136"/>
      <c r="X32" s="23">
        <f t="shared" ref="X32:X48" si="24">AVERAGE(S32,MAX(T32:U32),MAX(V32:W32))</f>
        <v>0</v>
      </c>
      <c r="Y32" s="21">
        <f t="shared" ref="Y32:Y48" si="25">SUM(J32,Q32,X32)/3</f>
        <v>8.1111111111111125</v>
      </c>
      <c r="Z32" s="180" t="str">
        <f t="shared" si="3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124">
        <v>10</v>
      </c>
      <c r="F33" s="125">
        <v>8</v>
      </c>
      <c r="G33" s="125"/>
      <c r="H33" s="126">
        <v>15</v>
      </c>
      <c r="I33" s="126"/>
      <c r="J33" s="127">
        <f t="shared" si="22"/>
        <v>11</v>
      </c>
      <c r="K33" s="180" t="str">
        <f t="shared" si="1"/>
        <v>TRANSITA</v>
      </c>
      <c r="L33" s="132">
        <v>10</v>
      </c>
      <c r="M33" s="133">
        <v>7</v>
      </c>
      <c r="N33" s="133"/>
      <c r="O33" s="133">
        <v>10</v>
      </c>
      <c r="P33" s="133"/>
      <c r="Q33" s="127">
        <f t="shared" si="23"/>
        <v>9</v>
      </c>
      <c r="R33" s="180" t="str">
        <f t="shared" si="2"/>
        <v>N/TRANSITA</v>
      </c>
      <c r="S33" s="134"/>
      <c r="T33" s="135"/>
      <c r="U33" s="135"/>
      <c r="V33" s="136"/>
      <c r="W33" s="136"/>
      <c r="X33" s="23">
        <f t="shared" si="24"/>
        <v>0</v>
      </c>
      <c r="Y33" s="21">
        <f t="shared" si="25"/>
        <v>6.666666666666667</v>
      </c>
      <c r="Z33" s="180" t="str">
        <f t="shared" si="3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124">
        <v>15</v>
      </c>
      <c r="F34" s="125">
        <v>20</v>
      </c>
      <c r="G34" s="125"/>
      <c r="H34" s="126">
        <v>16</v>
      </c>
      <c r="I34" s="126"/>
      <c r="J34" s="127">
        <f t="shared" si="22"/>
        <v>17</v>
      </c>
      <c r="K34" s="180" t="str">
        <f t="shared" si="1"/>
        <v>TRANSITA</v>
      </c>
      <c r="L34" s="132">
        <v>10</v>
      </c>
      <c r="M34" s="133">
        <v>16</v>
      </c>
      <c r="N34" s="133"/>
      <c r="O34" s="133">
        <v>11</v>
      </c>
      <c r="P34" s="133"/>
      <c r="Q34" s="127">
        <f t="shared" si="23"/>
        <v>12.333333333333334</v>
      </c>
      <c r="R34" s="180" t="str">
        <f t="shared" si="2"/>
        <v>TRANSITA</v>
      </c>
      <c r="S34" s="134"/>
      <c r="T34" s="135"/>
      <c r="U34" s="135"/>
      <c r="V34" s="136"/>
      <c r="W34" s="136"/>
      <c r="X34" s="23">
        <f t="shared" si="24"/>
        <v>0</v>
      </c>
      <c r="Y34" s="21">
        <f t="shared" si="25"/>
        <v>9.7777777777777786</v>
      </c>
      <c r="Z34" s="180" t="str">
        <f t="shared" si="3"/>
        <v>N/TRANSITA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124">
        <v>8</v>
      </c>
      <c r="F35" s="125">
        <v>5</v>
      </c>
      <c r="G35" s="125"/>
      <c r="H35" s="126">
        <v>8</v>
      </c>
      <c r="I35" s="126"/>
      <c r="J35" s="127">
        <f t="shared" si="22"/>
        <v>7</v>
      </c>
      <c r="K35" s="180" t="str">
        <f t="shared" si="1"/>
        <v>N/TRANSITA</v>
      </c>
      <c r="L35" s="132"/>
      <c r="M35" s="133"/>
      <c r="N35" s="133"/>
      <c r="O35" s="133"/>
      <c r="P35" s="133"/>
      <c r="Q35" s="127">
        <f t="shared" si="23"/>
        <v>0</v>
      </c>
      <c r="R35" s="180" t="str">
        <f t="shared" si="2"/>
        <v>N/TRANSITA</v>
      </c>
      <c r="S35" s="134"/>
      <c r="T35" s="135"/>
      <c r="U35" s="135"/>
      <c r="V35" s="136"/>
      <c r="W35" s="136"/>
      <c r="X35" s="23">
        <f t="shared" si="24"/>
        <v>0</v>
      </c>
      <c r="Y35" s="21">
        <f t="shared" si="25"/>
        <v>2.3333333333333335</v>
      </c>
      <c r="Z35" s="180" t="str">
        <f t="shared" si="3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124">
        <v>10</v>
      </c>
      <c r="F36" s="125">
        <v>8</v>
      </c>
      <c r="G36" s="125"/>
      <c r="H36" s="126">
        <v>12</v>
      </c>
      <c r="I36" s="126"/>
      <c r="J36" s="127">
        <f t="shared" si="22"/>
        <v>10</v>
      </c>
      <c r="K36" s="180" t="str">
        <f t="shared" si="1"/>
        <v>TRANSITA</v>
      </c>
      <c r="L36" s="132">
        <v>8</v>
      </c>
      <c r="M36" s="133">
        <v>13</v>
      </c>
      <c r="N36" s="133"/>
      <c r="O36" s="133">
        <v>8</v>
      </c>
      <c r="P36" s="133"/>
      <c r="Q36" s="127">
        <f t="shared" si="23"/>
        <v>9.6666666666666661</v>
      </c>
      <c r="R36" s="180" t="str">
        <f t="shared" si="2"/>
        <v>N/TRANSITA</v>
      </c>
      <c r="S36" s="134"/>
      <c r="T36" s="135"/>
      <c r="U36" s="135"/>
      <c r="V36" s="136"/>
      <c r="W36" s="136"/>
      <c r="X36" s="23">
        <f t="shared" si="24"/>
        <v>0</v>
      </c>
      <c r="Y36" s="21">
        <f t="shared" si="25"/>
        <v>6.5555555555555545</v>
      </c>
      <c r="Z36" s="180" t="str">
        <f t="shared" si="3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124">
        <v>14</v>
      </c>
      <c r="F37" s="125">
        <v>17</v>
      </c>
      <c r="G37" s="125"/>
      <c r="H37" s="126">
        <v>17</v>
      </c>
      <c r="I37" s="126"/>
      <c r="J37" s="127">
        <f t="shared" si="22"/>
        <v>16</v>
      </c>
      <c r="K37" s="180" t="str">
        <f t="shared" si="1"/>
        <v>TRANSITA</v>
      </c>
      <c r="L37" s="132">
        <v>8</v>
      </c>
      <c r="M37" s="133">
        <v>11</v>
      </c>
      <c r="N37" s="133"/>
      <c r="O37" s="133">
        <v>8</v>
      </c>
      <c r="P37" s="133"/>
      <c r="Q37" s="127">
        <f t="shared" si="23"/>
        <v>9</v>
      </c>
      <c r="R37" s="180" t="str">
        <f t="shared" si="2"/>
        <v>N/TRANSITA</v>
      </c>
      <c r="S37" s="134"/>
      <c r="T37" s="135"/>
      <c r="U37" s="135"/>
      <c r="V37" s="136"/>
      <c r="W37" s="136"/>
      <c r="X37" s="23">
        <f t="shared" si="24"/>
        <v>0</v>
      </c>
      <c r="Y37" s="21">
        <f t="shared" si="25"/>
        <v>8.3333333333333339</v>
      </c>
      <c r="Z37" s="180" t="str">
        <f t="shared" si="3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124">
        <v>12</v>
      </c>
      <c r="F38" s="125">
        <v>11</v>
      </c>
      <c r="G38" s="125"/>
      <c r="H38" s="126">
        <v>15</v>
      </c>
      <c r="I38" s="126"/>
      <c r="J38" s="127">
        <f t="shared" si="22"/>
        <v>12.666666666666666</v>
      </c>
      <c r="K38" s="180" t="str">
        <f t="shared" si="1"/>
        <v>TRANSITA</v>
      </c>
      <c r="L38" s="132">
        <v>10</v>
      </c>
      <c r="M38" s="133">
        <v>14</v>
      </c>
      <c r="N38" s="133"/>
      <c r="O38" s="133">
        <v>12</v>
      </c>
      <c r="P38" s="133"/>
      <c r="Q38" s="127">
        <f t="shared" si="23"/>
        <v>12</v>
      </c>
      <c r="R38" s="180" t="str">
        <f t="shared" si="2"/>
        <v>TRANSITA</v>
      </c>
      <c r="S38" s="134"/>
      <c r="T38" s="135"/>
      <c r="U38" s="135"/>
      <c r="V38" s="136"/>
      <c r="W38" s="136"/>
      <c r="X38" s="23">
        <f t="shared" si="24"/>
        <v>0</v>
      </c>
      <c r="Y38" s="21">
        <f t="shared" si="25"/>
        <v>8.2222222222222214</v>
      </c>
      <c r="Z38" s="180" t="str">
        <f t="shared" si="3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124"/>
      <c r="F39" s="125"/>
      <c r="G39" s="125"/>
      <c r="H39" s="126"/>
      <c r="I39" s="126"/>
      <c r="J39" s="127">
        <f t="shared" ref="J39:J43" si="26">AVERAGE(E39,MAX(F39:G39),MAX(H39:I39))</f>
        <v>0</v>
      </c>
      <c r="K39" s="180" t="str">
        <f t="shared" ref="K39:K43" si="27">IF(J39&gt;=10,"TRANSITA","N/TRANSITA")</f>
        <v>N/TRANSITA</v>
      </c>
      <c r="L39" s="132">
        <v>8</v>
      </c>
      <c r="M39" s="133">
        <v>11</v>
      </c>
      <c r="N39" s="133"/>
      <c r="O39" s="133">
        <v>8</v>
      </c>
      <c r="P39" s="133"/>
      <c r="Q39" s="127">
        <f t="shared" ref="Q39:Q43" si="28">AVERAGE(L39,MAX(M39:N39),MAX(O39:P39))</f>
        <v>9</v>
      </c>
      <c r="R39" s="180" t="str">
        <f t="shared" ref="R39:R43" si="29">IF(Q39&gt;=10,"TRANSITA","N/TRANSITA")</f>
        <v>N/TRANSITA</v>
      </c>
      <c r="S39" s="134"/>
      <c r="T39" s="135"/>
      <c r="U39" s="135"/>
      <c r="V39" s="136"/>
      <c r="W39" s="136"/>
      <c r="X39" s="23">
        <f t="shared" ref="X39:X43" si="30">AVERAGE(S39,MAX(T39:U39),MAX(V39:W39))</f>
        <v>0</v>
      </c>
      <c r="Y39" s="21">
        <f t="shared" ref="Y39:Y43" si="31">SUM(J39,Q39,X39)/3</f>
        <v>3</v>
      </c>
      <c r="Z39" s="180" t="str">
        <f t="shared" ref="Z39:Z43" si="32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124"/>
      <c r="F40" s="125"/>
      <c r="G40" s="125"/>
      <c r="H40" s="126"/>
      <c r="I40" s="126"/>
      <c r="J40" s="127">
        <f t="shared" si="26"/>
        <v>0</v>
      </c>
      <c r="K40" s="180" t="str">
        <f t="shared" si="27"/>
        <v>N/TRANSITA</v>
      </c>
      <c r="L40" s="132">
        <v>0</v>
      </c>
      <c r="M40" s="133"/>
      <c r="N40" s="133"/>
      <c r="O40" s="133">
        <v>5</v>
      </c>
      <c r="P40" s="133"/>
      <c r="Q40" s="127">
        <f t="shared" si="28"/>
        <v>1.6666666666666667</v>
      </c>
      <c r="R40" s="180" t="str">
        <f t="shared" si="29"/>
        <v>N/TRANSITA</v>
      </c>
      <c r="S40" s="134"/>
      <c r="T40" s="135"/>
      <c r="U40" s="135"/>
      <c r="V40" s="136"/>
      <c r="W40" s="136"/>
      <c r="X40" s="23">
        <f t="shared" si="30"/>
        <v>0</v>
      </c>
      <c r="Y40" s="21">
        <f t="shared" si="31"/>
        <v>0.55555555555555558</v>
      </c>
      <c r="Z40" s="180" t="str">
        <f t="shared" si="32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124">
        <v>10</v>
      </c>
      <c r="F41" s="125">
        <v>8</v>
      </c>
      <c r="G41" s="125"/>
      <c r="H41" s="126">
        <v>17</v>
      </c>
      <c r="I41" s="126"/>
      <c r="J41" s="127">
        <f t="shared" si="26"/>
        <v>11.666666666666666</v>
      </c>
      <c r="K41" s="180" t="str">
        <f t="shared" si="27"/>
        <v>TRANSITA</v>
      </c>
      <c r="L41" s="132">
        <v>8</v>
      </c>
      <c r="M41" s="133">
        <v>16</v>
      </c>
      <c r="N41" s="133"/>
      <c r="O41" s="133">
        <v>7</v>
      </c>
      <c r="P41" s="133"/>
      <c r="Q41" s="127">
        <f t="shared" si="28"/>
        <v>10.333333333333334</v>
      </c>
      <c r="R41" s="180" t="str">
        <f t="shared" si="29"/>
        <v>TRANSITA</v>
      </c>
      <c r="S41" s="134"/>
      <c r="T41" s="135"/>
      <c r="U41" s="135"/>
      <c r="V41" s="136"/>
      <c r="W41" s="136"/>
      <c r="X41" s="23">
        <f t="shared" si="30"/>
        <v>0</v>
      </c>
      <c r="Y41" s="21">
        <f t="shared" si="31"/>
        <v>7.333333333333333</v>
      </c>
      <c r="Z41" s="180" t="str">
        <f t="shared" si="32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124">
        <v>10</v>
      </c>
      <c r="F42" s="125">
        <v>0</v>
      </c>
      <c r="G42" s="125"/>
      <c r="H42" s="126">
        <v>16</v>
      </c>
      <c r="I42" s="126"/>
      <c r="J42" s="127">
        <f t="shared" si="26"/>
        <v>8.6666666666666661</v>
      </c>
      <c r="K42" s="180" t="str">
        <f t="shared" si="27"/>
        <v>N/TRANSITA</v>
      </c>
      <c r="L42" s="132">
        <v>8</v>
      </c>
      <c r="M42" s="133">
        <v>14</v>
      </c>
      <c r="N42" s="133"/>
      <c r="O42" s="133">
        <v>9</v>
      </c>
      <c r="P42" s="133"/>
      <c r="Q42" s="127">
        <f t="shared" si="28"/>
        <v>10.333333333333334</v>
      </c>
      <c r="R42" s="180" t="str">
        <f t="shared" si="29"/>
        <v>TRANSITA</v>
      </c>
      <c r="S42" s="134"/>
      <c r="T42" s="135"/>
      <c r="U42" s="135"/>
      <c r="V42" s="136"/>
      <c r="W42" s="136"/>
      <c r="X42" s="23">
        <f t="shared" si="30"/>
        <v>0</v>
      </c>
      <c r="Y42" s="21">
        <f t="shared" si="31"/>
        <v>6.333333333333333</v>
      </c>
      <c r="Z42" s="180" t="str">
        <f t="shared" si="32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124">
        <v>12</v>
      </c>
      <c r="F43" s="125">
        <v>10</v>
      </c>
      <c r="G43" s="125"/>
      <c r="H43" s="126">
        <v>19</v>
      </c>
      <c r="I43" s="126"/>
      <c r="J43" s="127">
        <f t="shared" si="26"/>
        <v>13.666666666666666</v>
      </c>
      <c r="K43" s="180" t="str">
        <f t="shared" si="27"/>
        <v>TRANSITA</v>
      </c>
      <c r="L43" s="132">
        <v>11</v>
      </c>
      <c r="M43" s="133">
        <v>16</v>
      </c>
      <c r="N43" s="133"/>
      <c r="O43" s="133">
        <v>11</v>
      </c>
      <c r="P43" s="133"/>
      <c r="Q43" s="127">
        <f t="shared" si="28"/>
        <v>12.666666666666666</v>
      </c>
      <c r="R43" s="180" t="str">
        <f t="shared" si="29"/>
        <v>TRANSITA</v>
      </c>
      <c r="S43" s="134"/>
      <c r="T43" s="135"/>
      <c r="U43" s="135"/>
      <c r="V43" s="136"/>
      <c r="W43" s="136"/>
      <c r="X43" s="23">
        <f t="shared" si="30"/>
        <v>0</v>
      </c>
      <c r="Y43" s="21">
        <f t="shared" si="31"/>
        <v>8.7777777777777768</v>
      </c>
      <c r="Z43" s="180" t="str">
        <f t="shared" si="32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124">
        <v>8</v>
      </c>
      <c r="F44" s="125">
        <v>7</v>
      </c>
      <c r="G44" s="125"/>
      <c r="H44" s="126">
        <v>11</v>
      </c>
      <c r="I44" s="126"/>
      <c r="J44" s="127">
        <f t="shared" si="22"/>
        <v>8.6666666666666661</v>
      </c>
      <c r="K44" s="180" t="str">
        <f t="shared" si="1"/>
        <v>N/TRANSITA</v>
      </c>
      <c r="L44" s="132">
        <v>8</v>
      </c>
      <c r="M44" s="133">
        <v>15</v>
      </c>
      <c r="N44" s="133"/>
      <c r="O44" s="133">
        <v>8</v>
      </c>
      <c r="P44" s="133"/>
      <c r="Q44" s="127">
        <f t="shared" si="23"/>
        <v>10.333333333333334</v>
      </c>
      <c r="R44" s="180" t="str">
        <f t="shared" si="2"/>
        <v>TRANSITA</v>
      </c>
      <c r="S44" s="134"/>
      <c r="T44" s="135"/>
      <c r="U44" s="135"/>
      <c r="V44" s="136"/>
      <c r="W44" s="136"/>
      <c r="X44" s="23">
        <f t="shared" si="24"/>
        <v>0</v>
      </c>
      <c r="Y44" s="21">
        <f t="shared" si="25"/>
        <v>6.333333333333333</v>
      </c>
      <c r="Z44" s="180" t="str">
        <f t="shared" si="3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124">
        <v>10</v>
      </c>
      <c r="F45" s="125">
        <v>7</v>
      </c>
      <c r="G45" s="125"/>
      <c r="H45" s="126">
        <v>11</v>
      </c>
      <c r="I45" s="126"/>
      <c r="J45" s="127">
        <f t="shared" si="22"/>
        <v>9.3333333333333339</v>
      </c>
      <c r="K45" s="180" t="str">
        <f t="shared" si="1"/>
        <v>N/TRANSITA</v>
      </c>
      <c r="L45" s="132">
        <v>5</v>
      </c>
      <c r="M45" s="133">
        <v>12</v>
      </c>
      <c r="N45" s="133"/>
      <c r="O45" s="133">
        <v>3</v>
      </c>
      <c r="P45" s="133"/>
      <c r="Q45" s="127">
        <f t="shared" si="23"/>
        <v>6.666666666666667</v>
      </c>
      <c r="R45" s="180" t="str">
        <f t="shared" si="2"/>
        <v>N/TRANSITA</v>
      </c>
      <c r="S45" s="134"/>
      <c r="T45" s="135"/>
      <c r="U45" s="135"/>
      <c r="V45" s="136"/>
      <c r="W45" s="136"/>
      <c r="X45" s="23">
        <f t="shared" si="24"/>
        <v>0</v>
      </c>
      <c r="Y45" s="21">
        <f t="shared" si="25"/>
        <v>5.333333333333333</v>
      </c>
      <c r="Z45" s="180" t="str">
        <f t="shared" si="3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124">
        <v>0</v>
      </c>
      <c r="F46" s="125"/>
      <c r="G46" s="125"/>
      <c r="H46" s="126"/>
      <c r="I46" s="126"/>
      <c r="J46" s="127">
        <f t="shared" ref="J46:J47" si="33">AVERAGE(E46,MAX(F46:G46),MAX(H46:I46))</f>
        <v>0</v>
      </c>
      <c r="K46" s="180" t="str">
        <f t="shared" ref="K46:K47" si="34">IF(J46&gt;=10,"TRANSITA","N/TRANSITA")</f>
        <v>N/TRANSITA</v>
      </c>
      <c r="L46" s="132">
        <v>8</v>
      </c>
      <c r="M46" s="133">
        <v>11</v>
      </c>
      <c r="N46" s="133"/>
      <c r="O46" s="133">
        <v>7</v>
      </c>
      <c r="P46" s="133"/>
      <c r="Q46" s="127">
        <f t="shared" ref="Q46:Q47" si="35">AVERAGE(L46,MAX(M46:N46),MAX(O46:P46))</f>
        <v>8.6666666666666661</v>
      </c>
      <c r="R46" s="180" t="str">
        <f t="shared" ref="R46:R47" si="36">IF(Q46&gt;=10,"TRANSITA","N/TRANSITA")</f>
        <v>N/TRANSITA</v>
      </c>
      <c r="S46" s="134"/>
      <c r="T46" s="135"/>
      <c r="U46" s="135"/>
      <c r="V46" s="136"/>
      <c r="W46" s="136"/>
      <c r="X46" s="23">
        <f t="shared" ref="X46:X47" si="37">AVERAGE(S46,MAX(T46:U46),MAX(V46:W46))</f>
        <v>0</v>
      </c>
      <c r="Y46" s="21">
        <f t="shared" ref="Y46:Y47" si="38">SUM(J46,Q46,X46)/3</f>
        <v>2.8888888888888888</v>
      </c>
      <c r="Z46" s="180" t="str">
        <f t="shared" ref="Z46:Z47" si="39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124">
        <v>12</v>
      </c>
      <c r="F47" s="125">
        <v>14</v>
      </c>
      <c r="G47" s="125"/>
      <c r="H47" s="126">
        <v>12</v>
      </c>
      <c r="I47" s="126"/>
      <c r="J47" s="127">
        <f t="shared" si="33"/>
        <v>12.666666666666666</v>
      </c>
      <c r="K47" s="180" t="str">
        <f t="shared" si="34"/>
        <v>TRANSITA</v>
      </c>
      <c r="L47" s="132">
        <v>10</v>
      </c>
      <c r="M47" s="133">
        <v>14</v>
      </c>
      <c r="N47" s="133"/>
      <c r="O47" s="133">
        <v>11</v>
      </c>
      <c r="P47" s="133"/>
      <c r="Q47" s="127">
        <f t="shared" si="35"/>
        <v>11.666666666666666</v>
      </c>
      <c r="R47" s="180" t="str">
        <f t="shared" si="36"/>
        <v>TRANSITA</v>
      </c>
      <c r="S47" s="134"/>
      <c r="T47" s="135"/>
      <c r="U47" s="135"/>
      <c r="V47" s="136"/>
      <c r="W47" s="136"/>
      <c r="X47" s="23">
        <f t="shared" si="37"/>
        <v>0</v>
      </c>
      <c r="Y47" s="21">
        <f t="shared" si="38"/>
        <v>8.1111111111111107</v>
      </c>
      <c r="Z47" s="180" t="str">
        <f t="shared" si="39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124">
        <v>8</v>
      </c>
      <c r="F48" s="125">
        <v>5</v>
      </c>
      <c r="G48" s="125"/>
      <c r="H48" s="126">
        <v>10</v>
      </c>
      <c r="I48" s="126"/>
      <c r="J48" s="127">
        <f t="shared" si="22"/>
        <v>7.666666666666667</v>
      </c>
      <c r="K48" s="180" t="str">
        <f t="shared" si="1"/>
        <v>N/TRANSITA</v>
      </c>
      <c r="L48" s="132">
        <v>7</v>
      </c>
      <c r="M48" s="133">
        <v>10</v>
      </c>
      <c r="N48" s="133"/>
      <c r="O48" s="133">
        <v>7</v>
      </c>
      <c r="P48" s="133"/>
      <c r="Q48" s="127">
        <f t="shared" si="23"/>
        <v>8</v>
      </c>
      <c r="R48" s="180" t="str">
        <f t="shared" si="2"/>
        <v>N/TRANSITA</v>
      </c>
      <c r="S48" s="134"/>
      <c r="T48" s="135"/>
      <c r="U48" s="135"/>
      <c r="V48" s="136"/>
      <c r="W48" s="136"/>
      <c r="X48" s="23">
        <f t="shared" si="24"/>
        <v>0</v>
      </c>
      <c r="Y48" s="21">
        <f t="shared" si="25"/>
        <v>5.2222222222222223</v>
      </c>
      <c r="Z48" s="180" t="str">
        <f t="shared" si="3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124"/>
      <c r="F49" s="125"/>
      <c r="G49" s="125"/>
      <c r="H49" s="126"/>
      <c r="I49" s="126"/>
      <c r="J49" s="127">
        <f t="shared" si="4"/>
        <v>0</v>
      </c>
      <c r="K49" s="180" t="str">
        <f t="shared" si="1"/>
        <v>N/TRANSITA</v>
      </c>
      <c r="L49" s="132"/>
      <c r="M49" s="133"/>
      <c r="N49" s="133"/>
      <c r="O49" s="133"/>
      <c r="P49" s="133"/>
      <c r="Q49" s="127">
        <f t="shared" si="5"/>
        <v>0</v>
      </c>
      <c r="R49" s="180" t="str">
        <f t="shared" si="2"/>
        <v>N/TRANSITA</v>
      </c>
      <c r="S49" s="134"/>
      <c r="T49" s="135"/>
      <c r="U49" s="135"/>
      <c r="V49" s="136"/>
      <c r="W49" s="136"/>
      <c r="X49" s="23">
        <f t="shared" si="6"/>
        <v>0</v>
      </c>
      <c r="Y49" s="21">
        <f t="shared" si="7"/>
        <v>0</v>
      </c>
      <c r="Z49" s="180" t="str">
        <f t="shared" si="3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124">
        <v>8</v>
      </c>
      <c r="F50" s="125">
        <v>7</v>
      </c>
      <c r="G50" s="125"/>
      <c r="H50" s="126">
        <v>7</v>
      </c>
      <c r="I50" s="126"/>
      <c r="J50" s="127">
        <f t="shared" si="4"/>
        <v>7.333333333333333</v>
      </c>
      <c r="K50" s="180" t="str">
        <f t="shared" si="1"/>
        <v>N/TRANSITA</v>
      </c>
      <c r="L50" s="132">
        <v>8</v>
      </c>
      <c r="M50" s="133">
        <v>11</v>
      </c>
      <c r="N50" s="133"/>
      <c r="O50" s="133">
        <v>4</v>
      </c>
      <c r="P50" s="133"/>
      <c r="Q50" s="127">
        <f t="shared" si="5"/>
        <v>7.666666666666667</v>
      </c>
      <c r="R50" s="180" t="str">
        <f t="shared" si="2"/>
        <v>N/TRANSITA</v>
      </c>
      <c r="S50" s="134"/>
      <c r="T50" s="135"/>
      <c r="U50" s="135"/>
      <c r="V50" s="136"/>
      <c r="W50" s="136"/>
      <c r="X50" s="23">
        <f t="shared" si="6"/>
        <v>0</v>
      </c>
      <c r="Y50" s="21">
        <f t="shared" si="7"/>
        <v>5</v>
      </c>
      <c r="Z50" s="180" t="str">
        <f t="shared" si="3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124">
        <v>10</v>
      </c>
      <c r="F51" s="125">
        <v>9</v>
      </c>
      <c r="G51" s="125"/>
      <c r="H51" s="126">
        <v>9</v>
      </c>
      <c r="I51" s="126"/>
      <c r="J51" s="127">
        <f t="shared" si="4"/>
        <v>9.3333333333333339</v>
      </c>
      <c r="K51" s="180" t="str">
        <f t="shared" si="1"/>
        <v>N/TRANSITA</v>
      </c>
      <c r="L51" s="132">
        <v>8</v>
      </c>
      <c r="M51" s="133">
        <v>7</v>
      </c>
      <c r="N51" s="133"/>
      <c r="O51" s="133">
        <v>6</v>
      </c>
      <c r="P51" s="133"/>
      <c r="Q51" s="127">
        <f t="shared" si="5"/>
        <v>7</v>
      </c>
      <c r="R51" s="180" t="str">
        <f t="shared" si="2"/>
        <v>N/TRANSITA</v>
      </c>
      <c r="S51" s="62"/>
      <c r="T51" s="135"/>
      <c r="U51" s="135"/>
      <c r="V51" s="136"/>
      <c r="W51" s="136"/>
      <c r="X51" s="23">
        <f t="shared" si="6"/>
        <v>0</v>
      </c>
      <c r="Y51" s="21">
        <f t="shared" si="7"/>
        <v>5.4444444444444455</v>
      </c>
      <c r="Z51" s="180" t="str">
        <f t="shared" si="3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124"/>
      <c r="F52" s="125"/>
      <c r="G52" s="125"/>
      <c r="H52" s="126"/>
      <c r="I52" s="126"/>
      <c r="J52" s="127">
        <f t="shared" si="4"/>
        <v>0</v>
      </c>
      <c r="K52" s="180" t="str">
        <f t="shared" si="1"/>
        <v>N/TRANSITA</v>
      </c>
      <c r="L52" s="132"/>
      <c r="M52" s="133"/>
      <c r="N52" s="133"/>
      <c r="O52" s="133"/>
      <c r="P52" s="133"/>
      <c r="Q52" s="127">
        <f t="shared" si="5"/>
        <v>0</v>
      </c>
      <c r="R52" s="180" t="str">
        <f t="shared" si="2"/>
        <v>N/TRANSITA</v>
      </c>
      <c r="S52" s="134"/>
      <c r="T52" s="135"/>
      <c r="U52" s="134"/>
      <c r="V52" s="136"/>
      <c r="W52" s="136"/>
      <c r="X52" s="23">
        <f t="shared" si="6"/>
        <v>0</v>
      </c>
      <c r="Y52" s="21">
        <f t="shared" si="7"/>
        <v>0</v>
      </c>
      <c r="Z52" s="180" t="str">
        <f t="shared" si="3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37"/>
      <c r="F53" s="138"/>
      <c r="G53" s="138"/>
      <c r="H53" s="135"/>
      <c r="I53" s="135"/>
      <c r="J53" s="127">
        <f t="shared" si="4"/>
        <v>0</v>
      </c>
      <c r="K53" s="180" t="str">
        <f t="shared" si="1"/>
        <v>N/TRANSITA</v>
      </c>
      <c r="L53" s="132"/>
      <c r="M53" s="133"/>
      <c r="N53" s="133"/>
      <c r="O53" s="133"/>
      <c r="P53" s="133"/>
      <c r="Q53" s="127">
        <f t="shared" si="5"/>
        <v>0</v>
      </c>
      <c r="R53" s="180" t="str">
        <f t="shared" si="2"/>
        <v>N/TRANSITA</v>
      </c>
      <c r="S53" s="134"/>
      <c r="T53" s="135"/>
      <c r="U53" s="135"/>
      <c r="V53" s="136"/>
      <c r="W53" s="136"/>
      <c r="X53" s="23">
        <f t="shared" si="6"/>
        <v>0</v>
      </c>
      <c r="Y53" s="21">
        <f t="shared" si="7"/>
        <v>0</v>
      </c>
      <c r="Z53" s="180" t="str">
        <f t="shared" si="3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37">
        <v>8</v>
      </c>
      <c r="F54" s="138">
        <v>5</v>
      </c>
      <c r="G54" s="138"/>
      <c r="H54" s="135">
        <v>7</v>
      </c>
      <c r="I54" s="135"/>
      <c r="J54" s="127">
        <f t="shared" ref="J54:J56" si="40">AVERAGE(E54,MAX(F54:G54),MAX(H54:I54))</f>
        <v>6.666666666666667</v>
      </c>
      <c r="K54" s="180" t="str">
        <f t="shared" ref="K54:K56" si="41">IF(J54&gt;=10,"TRANSITA","N/TRANSITA")</f>
        <v>N/TRANSITA</v>
      </c>
      <c r="L54" s="132">
        <v>7</v>
      </c>
      <c r="M54" s="133">
        <v>3</v>
      </c>
      <c r="N54" s="133"/>
      <c r="O54" s="133">
        <v>1</v>
      </c>
      <c r="P54" s="133"/>
      <c r="Q54" s="127">
        <f t="shared" ref="Q54:Q56" si="42">AVERAGE(L54,MAX(M54:N54),MAX(O54:P54))</f>
        <v>3.6666666666666665</v>
      </c>
      <c r="R54" s="180" t="str">
        <f t="shared" ref="R54:R56" si="43">IF(Q54&gt;=10,"TRANSITA","N/TRANSITA")</f>
        <v>N/TRANSITA</v>
      </c>
      <c r="S54" s="134"/>
      <c r="T54" s="135"/>
      <c r="U54" s="135"/>
      <c r="V54" s="136"/>
      <c r="W54" s="136"/>
      <c r="X54" s="23">
        <f t="shared" ref="X54:X56" si="44">AVERAGE(S54,MAX(T54:U54),MAX(V54:W54))</f>
        <v>0</v>
      </c>
      <c r="Y54" s="21">
        <f t="shared" ref="Y54:Y56" si="45">SUM(J54,Q54,X54)/3</f>
        <v>3.4444444444444446</v>
      </c>
      <c r="Z54" s="180" t="str">
        <f t="shared" ref="Z54:Z56" si="4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37">
        <v>8</v>
      </c>
      <c r="F55" s="138">
        <v>5</v>
      </c>
      <c r="G55" s="138"/>
      <c r="H55" s="135">
        <v>8</v>
      </c>
      <c r="I55" s="135"/>
      <c r="J55" s="127">
        <f t="shared" si="40"/>
        <v>7</v>
      </c>
      <c r="K55" s="180" t="str">
        <f t="shared" si="41"/>
        <v>N/TRANSITA</v>
      </c>
      <c r="L55" s="132">
        <v>5</v>
      </c>
      <c r="M55" s="133">
        <v>15</v>
      </c>
      <c r="N55" s="133"/>
      <c r="O55" s="133">
        <v>3</v>
      </c>
      <c r="P55" s="133"/>
      <c r="Q55" s="127">
        <f t="shared" si="42"/>
        <v>7.666666666666667</v>
      </c>
      <c r="R55" s="180" t="str">
        <f t="shared" si="43"/>
        <v>N/TRANSITA</v>
      </c>
      <c r="S55" s="134"/>
      <c r="T55" s="135"/>
      <c r="U55" s="135"/>
      <c r="V55" s="136"/>
      <c r="W55" s="136"/>
      <c r="X55" s="23">
        <f t="shared" si="44"/>
        <v>0</v>
      </c>
      <c r="Y55" s="21">
        <f t="shared" si="45"/>
        <v>4.8888888888888893</v>
      </c>
      <c r="Z55" s="180" t="str">
        <f t="shared" si="4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37">
        <v>10</v>
      </c>
      <c r="F56" s="138">
        <v>7</v>
      </c>
      <c r="G56" s="138"/>
      <c r="H56" s="135">
        <v>13</v>
      </c>
      <c r="I56" s="135"/>
      <c r="J56" s="127">
        <f t="shared" si="40"/>
        <v>10</v>
      </c>
      <c r="K56" s="180" t="str">
        <f t="shared" si="41"/>
        <v>TRANSITA</v>
      </c>
      <c r="L56" s="132">
        <v>5</v>
      </c>
      <c r="M56" s="133">
        <v>8</v>
      </c>
      <c r="N56" s="133"/>
      <c r="O56" s="133">
        <v>6</v>
      </c>
      <c r="P56" s="133"/>
      <c r="Q56" s="127">
        <f t="shared" si="42"/>
        <v>6.333333333333333</v>
      </c>
      <c r="R56" s="180" t="str">
        <f t="shared" si="43"/>
        <v>N/TRANSITA</v>
      </c>
      <c r="S56" s="134"/>
      <c r="T56" s="135"/>
      <c r="U56" s="135"/>
      <c r="V56" s="136"/>
      <c r="W56" s="136"/>
      <c r="X56" s="23">
        <f t="shared" si="44"/>
        <v>0</v>
      </c>
      <c r="Y56" s="21">
        <f t="shared" si="45"/>
        <v>5.4444444444444438</v>
      </c>
      <c r="Z56" s="180" t="str">
        <f t="shared" si="4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37">
        <v>14</v>
      </c>
      <c r="F57" s="138">
        <v>13</v>
      </c>
      <c r="G57" s="138"/>
      <c r="H57" s="135">
        <v>18</v>
      </c>
      <c r="I57" s="135"/>
      <c r="J57" s="127">
        <f t="shared" si="4"/>
        <v>15</v>
      </c>
      <c r="K57" s="180" t="str">
        <f t="shared" si="1"/>
        <v>TRANSITA</v>
      </c>
      <c r="L57" s="132">
        <v>12</v>
      </c>
      <c r="M57" s="133">
        <v>16</v>
      </c>
      <c r="N57" s="133"/>
      <c r="O57" s="133">
        <v>14</v>
      </c>
      <c r="P57" s="133"/>
      <c r="Q57" s="127">
        <f t="shared" si="5"/>
        <v>14</v>
      </c>
      <c r="R57" s="180" t="str">
        <f t="shared" si="2"/>
        <v>TRANSITA</v>
      </c>
      <c r="S57" s="134"/>
      <c r="T57" s="135"/>
      <c r="U57" s="135"/>
      <c r="V57" s="136"/>
      <c r="W57" s="136"/>
      <c r="X57" s="23">
        <f t="shared" si="6"/>
        <v>0</v>
      </c>
      <c r="Y57" s="21">
        <f t="shared" si="7"/>
        <v>9.6666666666666661</v>
      </c>
      <c r="Z57" s="180" t="str">
        <f t="shared" si="3"/>
        <v>N/TRANSITA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37"/>
      <c r="F58" s="138"/>
      <c r="G58" s="138"/>
      <c r="H58" s="135"/>
      <c r="I58" s="135"/>
      <c r="J58" s="127">
        <f t="shared" si="4"/>
        <v>0</v>
      </c>
      <c r="K58" s="180" t="str">
        <f t="shared" si="1"/>
        <v>N/TRANSITA</v>
      </c>
      <c r="L58" s="132"/>
      <c r="M58" s="133"/>
      <c r="N58" s="133"/>
      <c r="O58" s="133"/>
      <c r="P58" s="133"/>
      <c r="Q58" s="127">
        <f t="shared" si="5"/>
        <v>0</v>
      </c>
      <c r="R58" s="180" t="str">
        <f t="shared" si="2"/>
        <v>N/TRANSITA</v>
      </c>
      <c r="S58" s="134"/>
      <c r="T58" s="135"/>
      <c r="U58" s="135"/>
      <c r="V58" s="136"/>
      <c r="W58" s="136"/>
      <c r="X58" s="23">
        <f t="shared" si="6"/>
        <v>0</v>
      </c>
      <c r="Y58" s="21">
        <f t="shared" si="7"/>
        <v>0</v>
      </c>
      <c r="Z58" s="180" t="str">
        <f t="shared" si="3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37">
        <v>10</v>
      </c>
      <c r="F59" s="138">
        <v>5</v>
      </c>
      <c r="G59" s="138"/>
      <c r="H59" s="135">
        <v>13</v>
      </c>
      <c r="I59" s="135"/>
      <c r="J59" s="127">
        <f t="shared" si="4"/>
        <v>9.3333333333333339</v>
      </c>
      <c r="K59" s="180" t="str">
        <f t="shared" si="1"/>
        <v>N/TRANSITA</v>
      </c>
      <c r="L59" s="132">
        <v>5</v>
      </c>
      <c r="M59" s="133">
        <v>5</v>
      </c>
      <c r="N59" s="133"/>
      <c r="O59" s="133">
        <v>6</v>
      </c>
      <c r="P59" s="133"/>
      <c r="Q59" s="127">
        <f t="shared" si="5"/>
        <v>5.333333333333333</v>
      </c>
      <c r="R59" s="180" t="str">
        <f t="shared" si="2"/>
        <v>N/TRANSITA</v>
      </c>
      <c r="S59" s="134"/>
      <c r="T59" s="135"/>
      <c r="U59" s="135"/>
      <c r="V59" s="136"/>
      <c r="W59" s="136"/>
      <c r="X59" s="23">
        <f t="shared" si="6"/>
        <v>0</v>
      </c>
      <c r="Y59" s="21">
        <f t="shared" si="7"/>
        <v>4.8888888888888893</v>
      </c>
      <c r="Z59" s="180" t="str">
        <f t="shared" si="3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37">
        <v>10</v>
      </c>
      <c r="F60" s="138">
        <v>5</v>
      </c>
      <c r="G60" s="138"/>
      <c r="H60" s="135">
        <v>10</v>
      </c>
      <c r="I60" s="135"/>
      <c r="J60" s="127">
        <f t="shared" si="4"/>
        <v>8.3333333333333339</v>
      </c>
      <c r="K60" s="180" t="str">
        <f t="shared" si="1"/>
        <v>N/TRANSITA</v>
      </c>
      <c r="L60" s="132">
        <v>8</v>
      </c>
      <c r="M60" s="133">
        <v>13</v>
      </c>
      <c r="N60" s="133"/>
      <c r="O60" s="133">
        <v>6</v>
      </c>
      <c r="P60" s="133"/>
      <c r="Q60" s="127">
        <f t="shared" si="5"/>
        <v>9</v>
      </c>
      <c r="R60" s="180" t="str">
        <f t="shared" si="2"/>
        <v>N/TRANSITA</v>
      </c>
      <c r="S60" s="134"/>
      <c r="T60" s="135"/>
      <c r="U60" s="135"/>
      <c r="V60" s="136"/>
      <c r="W60" s="136"/>
      <c r="X60" s="23">
        <f t="shared" si="6"/>
        <v>0</v>
      </c>
      <c r="Y60" s="21">
        <f t="shared" si="7"/>
        <v>5.7777777777777786</v>
      </c>
      <c r="Z60" s="180" t="str">
        <f t="shared" si="3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37">
        <v>14</v>
      </c>
      <c r="F61" s="138">
        <v>19</v>
      </c>
      <c r="G61" s="138"/>
      <c r="H61" s="135">
        <v>17</v>
      </c>
      <c r="I61" s="135"/>
      <c r="J61" s="127">
        <f t="shared" si="4"/>
        <v>16.666666666666668</v>
      </c>
      <c r="K61" s="180" t="str">
        <f t="shared" si="1"/>
        <v>TRANSITA</v>
      </c>
      <c r="L61" s="132">
        <v>12</v>
      </c>
      <c r="M61" s="133">
        <v>16</v>
      </c>
      <c r="N61" s="133"/>
      <c r="O61" s="133">
        <v>11</v>
      </c>
      <c r="P61" s="133"/>
      <c r="Q61" s="127">
        <f t="shared" si="5"/>
        <v>13</v>
      </c>
      <c r="R61" s="180" t="str">
        <f t="shared" si="2"/>
        <v>TRANSITA</v>
      </c>
      <c r="S61" s="134"/>
      <c r="T61" s="135"/>
      <c r="U61" s="135"/>
      <c r="V61" s="136"/>
      <c r="W61" s="136"/>
      <c r="X61" s="23">
        <f t="shared" ref="X61:X63" si="47">AVERAGE(S61,MAX(T61:U61),MAX(V61:W61))</f>
        <v>0</v>
      </c>
      <c r="Y61" s="21">
        <f t="shared" si="0"/>
        <v>9.8888888888888893</v>
      </c>
      <c r="Z61" s="180" t="str">
        <f t="shared" si="3"/>
        <v>N/TRANSITA</v>
      </c>
    </row>
    <row r="62" spans="2:31" ht="14.25" customHeight="1" x14ac:dyDescent="0.3">
      <c r="B62" s="37">
        <v>54</v>
      </c>
      <c r="C62" s="194" t="s">
        <v>142</v>
      </c>
      <c r="D62" s="28"/>
      <c r="E62" s="137">
        <v>10</v>
      </c>
      <c r="F62" s="138">
        <v>7</v>
      </c>
      <c r="G62" s="138"/>
      <c r="H62" s="135">
        <v>10</v>
      </c>
      <c r="I62" s="135"/>
      <c r="J62" s="127">
        <f t="shared" si="4"/>
        <v>9</v>
      </c>
      <c r="K62" s="180" t="str">
        <f t="shared" si="1"/>
        <v>N/TRANSITA</v>
      </c>
      <c r="L62" s="132">
        <v>10</v>
      </c>
      <c r="M62" s="133">
        <v>14</v>
      </c>
      <c r="N62" s="133"/>
      <c r="O62" s="133">
        <v>10</v>
      </c>
      <c r="P62" s="133"/>
      <c r="Q62" s="127">
        <f t="shared" si="5"/>
        <v>11.333333333333334</v>
      </c>
      <c r="R62" s="180" t="str">
        <f t="shared" si="2"/>
        <v>TRANSITA</v>
      </c>
      <c r="S62" s="134"/>
      <c r="T62" s="135"/>
      <c r="U62" s="135"/>
      <c r="V62" s="136"/>
      <c r="W62" s="136"/>
      <c r="X62" s="23">
        <f t="shared" si="47"/>
        <v>0</v>
      </c>
      <c r="Y62" s="21">
        <f t="shared" si="0"/>
        <v>6.7777777777777786</v>
      </c>
      <c r="Z62" s="180" t="str">
        <f t="shared" si="3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39">
        <v>10</v>
      </c>
      <c r="F63" s="140">
        <v>8</v>
      </c>
      <c r="G63" s="140"/>
      <c r="H63" s="141">
        <v>12</v>
      </c>
      <c r="I63" s="141"/>
      <c r="J63" s="142">
        <f t="shared" si="4"/>
        <v>10</v>
      </c>
      <c r="K63" s="181" t="str">
        <f t="shared" si="1"/>
        <v>TRANSITA</v>
      </c>
      <c r="L63" s="143">
        <v>8</v>
      </c>
      <c r="M63" s="144">
        <v>12</v>
      </c>
      <c r="N63" s="144"/>
      <c r="O63" s="144">
        <v>5</v>
      </c>
      <c r="P63" s="144"/>
      <c r="Q63" s="142">
        <f t="shared" si="5"/>
        <v>8.3333333333333339</v>
      </c>
      <c r="R63" s="181" t="str">
        <f t="shared" si="2"/>
        <v>N/TRANSITA</v>
      </c>
      <c r="S63" s="145"/>
      <c r="T63" s="141"/>
      <c r="U63" s="141"/>
      <c r="V63" s="146"/>
      <c r="W63" s="146"/>
      <c r="X63" s="24">
        <f t="shared" si="47"/>
        <v>0</v>
      </c>
      <c r="Y63" s="22">
        <f>SUM(J63,Q63,X63)/3</f>
        <v>6.1111111111111116</v>
      </c>
      <c r="Z63" s="181" t="str">
        <f t="shared" si="3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117"/>
      <c r="G66" s="117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113"/>
      <c r="G67" s="113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113"/>
      <c r="G68" s="113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10:AB11"/>
    <mergeCell ref="AA53:AB55"/>
    <mergeCell ref="A66:E66"/>
    <mergeCell ref="S66:Z66"/>
    <mergeCell ref="A67:E67"/>
    <mergeCell ref="S67:Z67"/>
    <mergeCell ref="K7:K8"/>
    <mergeCell ref="R7:R8"/>
    <mergeCell ref="AC8:AC9"/>
    <mergeCell ref="AD8:AD9"/>
    <mergeCell ref="AE8:AE9"/>
    <mergeCell ref="B5:C5"/>
    <mergeCell ref="I5:N5"/>
    <mergeCell ref="X5:Z5"/>
    <mergeCell ref="B6:Z6"/>
    <mergeCell ref="B7:B8"/>
    <mergeCell ref="C7:C8"/>
    <mergeCell ref="E7:J7"/>
    <mergeCell ref="L7:Q7"/>
    <mergeCell ref="S7:X7"/>
    <mergeCell ref="Y7:Y8"/>
    <mergeCell ref="A1:Z1"/>
    <mergeCell ref="B3:C3"/>
    <mergeCell ref="I3:M3"/>
    <mergeCell ref="V3:Z3"/>
    <mergeCell ref="B4:C4"/>
    <mergeCell ref="I4:Q4"/>
    <mergeCell ref="V4:Z4"/>
  </mergeCells>
  <conditionalFormatting sqref="Y9:Y63">
    <cfRule type="cellIs" dxfId="145" priority="51" stopIfTrue="1" operator="greaterThan">
      <formula>9.5</formula>
    </cfRule>
    <cfRule type="cellIs" dxfId="144" priority="52" stopIfTrue="1" operator="lessThanOrEqual">
      <formula>9.5</formula>
    </cfRule>
  </conditionalFormatting>
  <conditionalFormatting sqref="E9:I63 S57:W63 S52:V56 W9:W56">
    <cfRule type="cellIs" dxfId="143" priority="49" stopIfTrue="1" operator="lessThan">
      <formula>10</formula>
    </cfRule>
    <cfRule type="cellIs" dxfId="142" priority="50" stopIfTrue="1" operator="greaterThan">
      <formula>9</formula>
    </cfRule>
  </conditionalFormatting>
  <conditionalFormatting sqref="E9:I63 S57:W63 S52:V56 W9:W56">
    <cfRule type="cellIs" dxfId="141" priority="47" stopIfTrue="1" operator="lessThan">
      <formula>10</formula>
    </cfRule>
    <cfRule type="cellIs" dxfId="140" priority="48" stopIfTrue="1" operator="greaterThan">
      <formula>9</formula>
    </cfRule>
  </conditionalFormatting>
  <conditionalFormatting sqref="X9:X63 Q9:Q63 J9:J63">
    <cfRule type="cellIs" dxfId="139" priority="41" stopIfTrue="1" operator="lessThan">
      <formula>10</formula>
    </cfRule>
    <cfRule type="cellIs" dxfId="138" priority="42" stopIfTrue="1" operator="greaterThanOrEqual">
      <formula>10</formula>
    </cfRule>
  </conditionalFormatting>
  <conditionalFormatting sqref="T51:V51 S9:V50">
    <cfRule type="cellIs" dxfId="137" priority="15" stopIfTrue="1" operator="lessThan">
      <formula>10</formula>
    </cfRule>
    <cfRule type="cellIs" dxfId="136" priority="16" stopIfTrue="1" operator="greaterThan">
      <formula>9</formula>
    </cfRule>
  </conditionalFormatting>
  <conditionalFormatting sqref="T51:V51 S9:V50">
    <cfRule type="cellIs" dxfId="135" priority="13" stopIfTrue="1" operator="lessThan">
      <formula>10</formula>
    </cfRule>
    <cfRule type="cellIs" dxfId="134" priority="14" stopIfTrue="1" operator="greaterThan">
      <formula>9</formula>
    </cfRule>
  </conditionalFormatting>
  <conditionalFormatting sqref="L9:P63">
    <cfRule type="cellIs" dxfId="133" priority="9" stopIfTrue="1" operator="lessThan">
      <formula>10</formula>
    </cfRule>
    <cfRule type="cellIs" dxfId="132" priority="10" stopIfTrue="1" operator="greaterThan">
      <formula>9</formula>
    </cfRule>
    <cfRule type="cellIs" dxfId="131" priority="11" stopIfTrue="1" operator="lessThan">
      <formula>10</formula>
    </cfRule>
    <cfRule type="cellIs" dxfId="130" priority="12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65537" r:id="rId4">
          <objectPr defaultSize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38100</xdr:colOff>
                <xdr:row>65</xdr:row>
                <xdr:rowOff>22860</xdr:rowOff>
              </to>
            </anchor>
          </objectPr>
        </oleObject>
      </mc:Choice>
      <mc:Fallback>
        <oleObject progId="Word.Document.8" shapeId="65537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stopIfTrue="1" operator="containsText" id="{83733FC9-5CEE-4772-949B-F7F1E87DC3F6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2B8FE933-67B9-4379-A7F1-3633F931C39E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3" stopIfTrue="1" operator="containsText" id="{FD0091BC-82B6-4DF8-9C71-0666E7BE720D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4" stopIfTrue="1" operator="containsText" id="{9A022374-1C85-4381-9E49-27E258E7FF5F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  <x14:conditionalFormatting xmlns:xm="http://schemas.microsoft.com/office/excel/2006/main">
          <x14:cfRule type="containsText" priority="1" stopIfTrue="1" operator="containsText" id="{A1BC0B9D-CFF7-4D59-A9D0-3DE9AB7ABE15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" stopIfTrue="1" operator="containsText" id="{85C5DFC8-51E9-40EE-846E-DAB79CC9082B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G19" sqref="G19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118"/>
      <c r="I4" s="324" t="s">
        <v>89</v>
      </c>
      <c r="J4" s="324"/>
      <c r="K4" s="324"/>
      <c r="L4" s="324"/>
      <c r="M4" s="324"/>
      <c r="N4" s="324"/>
      <c r="O4" s="324"/>
      <c r="P4" s="324"/>
      <c r="Q4" s="324"/>
      <c r="R4" s="118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118"/>
      <c r="H5" s="36"/>
      <c r="I5" s="361" t="s">
        <v>34</v>
      </c>
      <c r="J5" s="361"/>
      <c r="K5" s="361"/>
      <c r="L5" s="361"/>
      <c r="M5" s="361"/>
      <c r="N5" s="361"/>
      <c r="O5" s="36"/>
      <c r="P5" s="36"/>
      <c r="Q5" s="36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0</v>
      </c>
      <c r="AD8" s="335">
        <f>COUNTIF(Z9:Z69,"N/TRANSITA")</f>
        <v>55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98">
        <v>13.5</v>
      </c>
      <c r="F9" s="99">
        <v>10</v>
      </c>
      <c r="G9" s="99"/>
      <c r="H9" s="99">
        <v>4.5</v>
      </c>
      <c r="I9" s="100"/>
      <c r="J9" s="101">
        <f>AVERAGE(E9,MAX(F9:G9),MAX(H9:I9))</f>
        <v>9.3333333333333339</v>
      </c>
      <c r="K9" s="179" t="str">
        <f>IF(J9&gt;=10,"TRANSITA","N/TRANSITA")</f>
        <v>N/TRANSITA</v>
      </c>
      <c r="L9" s="81">
        <v>10</v>
      </c>
      <c r="M9" s="82">
        <v>8</v>
      </c>
      <c r="N9" s="82"/>
      <c r="O9" s="82">
        <v>3.5</v>
      </c>
      <c r="P9" s="129"/>
      <c r="Q9" s="127">
        <f>AVERAGE(L9,MAX(M9:N9),MAX(O9:P9))</f>
        <v>7.166666666666667</v>
      </c>
      <c r="R9" s="179" t="str">
        <f>IF(Q9&gt;=10,"TRANSITA","N/TRANSITA")</f>
        <v>N/TRANSITA</v>
      </c>
      <c r="S9" s="130"/>
      <c r="T9" s="126"/>
      <c r="U9" s="126"/>
      <c r="V9" s="131"/>
      <c r="W9" s="131"/>
      <c r="X9" s="23">
        <f>AVERAGE(S9,MAX(T9:U9),MAX(V9:W9))</f>
        <v>0</v>
      </c>
      <c r="Y9" s="20">
        <f t="shared" ref="Y9:Y62" si="0">SUM(J9,Q9,X9)/3</f>
        <v>5.5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98">
        <v>13.5</v>
      </c>
      <c r="F10" s="99">
        <v>10</v>
      </c>
      <c r="G10" s="99"/>
      <c r="H10" s="99">
        <v>6</v>
      </c>
      <c r="I10" s="100"/>
      <c r="J10" s="101">
        <f>AVERAGE(E10,MAX(F10:G10),MAX(H10:I10))</f>
        <v>9.8333333333333339</v>
      </c>
      <c r="K10" s="180" t="str">
        <f t="shared" ref="K10:K63" si="1">IF(J10&gt;=10,"TRANSITA","N/TRANSITA")</f>
        <v>N/TRANSITA</v>
      </c>
      <c r="L10" s="83">
        <v>10</v>
      </c>
      <c r="M10" s="84">
        <v>9</v>
      </c>
      <c r="N10" s="84"/>
      <c r="O10" s="84">
        <v>6</v>
      </c>
      <c r="P10" s="133"/>
      <c r="Q10" s="127">
        <f>AVERAGE(L10,MAX(M10:N10),MAX(O10:P10))</f>
        <v>8.3333333333333339</v>
      </c>
      <c r="R10" s="180" t="str">
        <f t="shared" ref="R10:R63" si="2">IF(Q10&gt;=10,"TRANSITA","N/TRANSITA")</f>
        <v>N/TRANSITA</v>
      </c>
      <c r="S10" s="134"/>
      <c r="T10" s="135"/>
      <c r="U10" s="135"/>
      <c r="V10" s="136"/>
      <c r="W10" s="136"/>
      <c r="X10" s="23">
        <f>AVERAGE(S10,MAX(T10:U10),MAX(V10:W10))</f>
        <v>0</v>
      </c>
      <c r="Y10" s="21">
        <f t="shared" si="0"/>
        <v>6.0555555555555562</v>
      </c>
      <c r="Z10" s="180" t="str">
        <f t="shared" ref="Z10:Z63" si="3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98">
        <v>14.5</v>
      </c>
      <c r="F11" s="99">
        <v>10</v>
      </c>
      <c r="G11" s="99"/>
      <c r="H11" s="99">
        <v>9.5</v>
      </c>
      <c r="I11" s="100"/>
      <c r="J11" s="101">
        <f t="shared" ref="J11:J63" si="4">AVERAGE(E11,MAX(F11:G11),MAX(H11:I11))</f>
        <v>11.333333333333334</v>
      </c>
      <c r="K11" s="180" t="str">
        <f t="shared" si="1"/>
        <v>TRANSITA</v>
      </c>
      <c r="L11" s="83">
        <v>10</v>
      </c>
      <c r="M11" s="84">
        <v>10</v>
      </c>
      <c r="N11" s="84"/>
      <c r="O11" s="84">
        <v>8.5</v>
      </c>
      <c r="P11" s="133"/>
      <c r="Q11" s="127">
        <f t="shared" ref="Q11:Q63" si="5">AVERAGE(L11,MAX(M11:N11),MAX(O11:P11))</f>
        <v>9.5</v>
      </c>
      <c r="R11" s="180" t="str">
        <f t="shared" si="2"/>
        <v>N/TRANSITA</v>
      </c>
      <c r="S11" s="134"/>
      <c r="T11" s="135"/>
      <c r="U11" s="135"/>
      <c r="V11" s="136"/>
      <c r="W11" s="136"/>
      <c r="X11" s="23">
        <f t="shared" ref="X11:X63" si="6">AVERAGE(S11,MAX(T11:U11),MAX(V11:W11))</f>
        <v>0</v>
      </c>
      <c r="Y11" s="21">
        <f t="shared" si="0"/>
        <v>6.9444444444444455</v>
      </c>
      <c r="Z11" s="180" t="str">
        <f t="shared" si="3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98">
        <v>17</v>
      </c>
      <c r="F12" s="99">
        <v>18</v>
      </c>
      <c r="G12" s="99"/>
      <c r="H12" s="99">
        <v>15</v>
      </c>
      <c r="I12" s="100"/>
      <c r="J12" s="101">
        <f t="shared" si="4"/>
        <v>16.666666666666668</v>
      </c>
      <c r="K12" s="180" t="str">
        <f t="shared" si="1"/>
        <v>TRANSITA</v>
      </c>
      <c r="L12" s="83">
        <v>10</v>
      </c>
      <c r="M12" s="84">
        <v>14</v>
      </c>
      <c r="N12" s="84"/>
      <c r="O12" s="84">
        <v>13.5</v>
      </c>
      <c r="P12" s="133"/>
      <c r="Q12" s="127">
        <f t="shared" si="5"/>
        <v>12.5</v>
      </c>
      <c r="R12" s="180" t="str">
        <f t="shared" si="2"/>
        <v>TRANSITA</v>
      </c>
      <c r="S12" s="134"/>
      <c r="T12" s="135"/>
      <c r="U12" s="135"/>
      <c r="V12" s="136"/>
      <c r="W12" s="136"/>
      <c r="X12" s="23">
        <f t="shared" si="6"/>
        <v>0</v>
      </c>
      <c r="Y12" s="21">
        <f t="shared" si="0"/>
        <v>9.7222222222222232</v>
      </c>
      <c r="Z12" s="180" t="str">
        <f t="shared" si="3"/>
        <v>N/TRANSITA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98">
        <v>17</v>
      </c>
      <c r="F13" s="99">
        <v>18</v>
      </c>
      <c r="G13" s="99"/>
      <c r="H13" s="99">
        <v>12</v>
      </c>
      <c r="I13" s="100"/>
      <c r="J13" s="101">
        <f t="shared" si="4"/>
        <v>15.666666666666666</v>
      </c>
      <c r="K13" s="180" t="str">
        <f t="shared" si="1"/>
        <v>TRANSITA</v>
      </c>
      <c r="L13" s="83">
        <v>10</v>
      </c>
      <c r="M13" s="84"/>
      <c r="N13" s="84"/>
      <c r="O13" s="84">
        <v>12</v>
      </c>
      <c r="P13" s="133"/>
      <c r="Q13" s="127">
        <f t="shared" si="5"/>
        <v>7.333333333333333</v>
      </c>
      <c r="R13" s="180" t="str">
        <f t="shared" si="2"/>
        <v>N/TRANSITA</v>
      </c>
      <c r="S13" s="134"/>
      <c r="T13" s="135"/>
      <c r="U13" s="135"/>
      <c r="V13" s="136"/>
      <c r="W13" s="136"/>
      <c r="X13" s="23">
        <f t="shared" si="6"/>
        <v>0</v>
      </c>
      <c r="Y13" s="21">
        <f t="shared" si="0"/>
        <v>7.666666666666667</v>
      </c>
      <c r="Z13" s="180" t="str">
        <f t="shared" si="3"/>
        <v>N/TRANSITA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98">
        <v>10</v>
      </c>
      <c r="F14" s="99">
        <v>16</v>
      </c>
      <c r="G14" s="99"/>
      <c r="H14" s="99">
        <v>14</v>
      </c>
      <c r="I14" s="100"/>
      <c r="J14" s="101">
        <f t="shared" si="4"/>
        <v>13.333333333333334</v>
      </c>
      <c r="K14" s="180" t="str">
        <f t="shared" si="1"/>
        <v>TRANSITA</v>
      </c>
      <c r="L14" s="83">
        <v>10</v>
      </c>
      <c r="M14" s="84">
        <v>12</v>
      </c>
      <c r="N14" s="84"/>
      <c r="O14" s="84">
        <v>4.5</v>
      </c>
      <c r="P14" s="133"/>
      <c r="Q14" s="127">
        <f t="shared" si="5"/>
        <v>8.8333333333333339</v>
      </c>
      <c r="R14" s="180" t="str">
        <f t="shared" si="2"/>
        <v>N/TRANSITA</v>
      </c>
      <c r="S14" s="134"/>
      <c r="T14" s="135"/>
      <c r="U14" s="135"/>
      <c r="V14" s="136"/>
      <c r="W14" s="136"/>
      <c r="X14" s="23">
        <f t="shared" si="6"/>
        <v>0</v>
      </c>
      <c r="Y14" s="21">
        <f t="shared" si="0"/>
        <v>7.3888888888888893</v>
      </c>
      <c r="Z14" s="180" t="str">
        <f t="shared" si="3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98">
        <v>10</v>
      </c>
      <c r="F15" s="99">
        <v>10</v>
      </c>
      <c r="G15" s="99"/>
      <c r="H15" s="99">
        <v>7</v>
      </c>
      <c r="I15" s="100"/>
      <c r="J15" s="101">
        <f t="shared" si="4"/>
        <v>9</v>
      </c>
      <c r="K15" s="180" t="str">
        <f t="shared" si="1"/>
        <v>N/TRANSITA</v>
      </c>
      <c r="L15" s="83">
        <v>10</v>
      </c>
      <c r="M15" s="84">
        <v>7</v>
      </c>
      <c r="N15" s="84"/>
      <c r="O15" s="84">
        <v>4</v>
      </c>
      <c r="P15" s="133"/>
      <c r="Q15" s="127">
        <f t="shared" si="5"/>
        <v>7</v>
      </c>
      <c r="R15" s="180" t="str">
        <f t="shared" si="2"/>
        <v>N/TRANSITA</v>
      </c>
      <c r="S15" s="134"/>
      <c r="T15" s="135"/>
      <c r="U15" s="135"/>
      <c r="V15" s="136"/>
      <c r="W15" s="136"/>
      <c r="X15" s="23">
        <f t="shared" si="6"/>
        <v>0</v>
      </c>
      <c r="Y15" s="21">
        <f t="shared" si="0"/>
        <v>5.333333333333333</v>
      </c>
      <c r="Z15" s="180" t="str">
        <f t="shared" si="3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98">
        <v>13.5</v>
      </c>
      <c r="F16" s="99"/>
      <c r="G16" s="99"/>
      <c r="H16" s="99">
        <v>4</v>
      </c>
      <c r="I16" s="100"/>
      <c r="J16" s="101">
        <f t="shared" si="4"/>
        <v>5.833333333333333</v>
      </c>
      <c r="K16" s="180" t="str">
        <f t="shared" si="1"/>
        <v>N/TRANSITA</v>
      </c>
      <c r="L16" s="83">
        <v>10</v>
      </c>
      <c r="M16" s="84">
        <v>7</v>
      </c>
      <c r="N16" s="84"/>
      <c r="O16" s="84"/>
      <c r="P16" s="133"/>
      <c r="Q16" s="127">
        <f t="shared" si="5"/>
        <v>5.666666666666667</v>
      </c>
      <c r="R16" s="180" t="str">
        <f t="shared" si="2"/>
        <v>N/TRANSITA</v>
      </c>
      <c r="S16" s="134"/>
      <c r="T16" s="135"/>
      <c r="U16" s="135"/>
      <c r="V16" s="136"/>
      <c r="W16" s="136"/>
      <c r="X16" s="23">
        <f t="shared" si="6"/>
        <v>0</v>
      </c>
      <c r="Y16" s="21">
        <f t="shared" si="0"/>
        <v>3.8333333333333335</v>
      </c>
      <c r="Z16" s="180" t="str">
        <f t="shared" si="3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98">
        <v>15</v>
      </c>
      <c r="F17" s="99">
        <v>17</v>
      </c>
      <c r="G17" s="99"/>
      <c r="H17" s="99">
        <v>9</v>
      </c>
      <c r="I17" s="100"/>
      <c r="J17" s="101">
        <f t="shared" si="4"/>
        <v>13.666666666666666</v>
      </c>
      <c r="K17" s="180" t="str">
        <f t="shared" si="1"/>
        <v>TRANSITA</v>
      </c>
      <c r="L17" s="83">
        <v>10</v>
      </c>
      <c r="M17" s="84">
        <v>6.5</v>
      </c>
      <c r="N17" s="84"/>
      <c r="O17" s="84">
        <v>9.5</v>
      </c>
      <c r="P17" s="133"/>
      <c r="Q17" s="127">
        <f t="shared" si="5"/>
        <v>8.6666666666666661</v>
      </c>
      <c r="R17" s="180" t="str">
        <f t="shared" si="2"/>
        <v>N/TRANSITA</v>
      </c>
      <c r="S17" s="134"/>
      <c r="T17" s="135"/>
      <c r="U17" s="135"/>
      <c r="V17" s="136"/>
      <c r="W17" s="136"/>
      <c r="X17" s="23">
        <f t="shared" si="6"/>
        <v>0</v>
      </c>
      <c r="Y17" s="21">
        <f t="shared" si="0"/>
        <v>7.4444444444444438</v>
      </c>
      <c r="Z17" s="180" t="str">
        <f t="shared" si="3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98">
        <v>13</v>
      </c>
      <c r="F18" s="99">
        <v>10</v>
      </c>
      <c r="G18" s="99"/>
      <c r="H18" s="99">
        <v>8.5</v>
      </c>
      <c r="I18" s="100"/>
      <c r="J18" s="101">
        <f t="shared" si="4"/>
        <v>10.5</v>
      </c>
      <c r="K18" s="180" t="str">
        <f t="shared" si="1"/>
        <v>TRANSITA</v>
      </c>
      <c r="L18" s="83">
        <v>10</v>
      </c>
      <c r="M18" s="84">
        <v>8</v>
      </c>
      <c r="N18" s="84"/>
      <c r="O18" s="84"/>
      <c r="P18" s="133"/>
      <c r="Q18" s="127">
        <f t="shared" si="5"/>
        <v>6</v>
      </c>
      <c r="R18" s="180" t="str">
        <f t="shared" si="2"/>
        <v>N/TRANSITA</v>
      </c>
      <c r="S18" s="134"/>
      <c r="T18" s="135"/>
      <c r="U18" s="135"/>
      <c r="V18" s="136"/>
      <c r="W18" s="136"/>
      <c r="X18" s="23">
        <f t="shared" si="6"/>
        <v>0</v>
      </c>
      <c r="Y18" s="21">
        <f t="shared" si="0"/>
        <v>5.5</v>
      </c>
      <c r="Z18" s="180" t="str">
        <f t="shared" si="3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98">
        <v>13</v>
      </c>
      <c r="F19" s="99"/>
      <c r="G19" s="99"/>
      <c r="H19" s="99">
        <v>7</v>
      </c>
      <c r="I19" s="100"/>
      <c r="J19" s="101">
        <f t="shared" si="4"/>
        <v>6.666666666666667</v>
      </c>
      <c r="K19" s="180" t="str">
        <f t="shared" si="1"/>
        <v>N/TRANSITA</v>
      </c>
      <c r="L19" s="83">
        <v>10</v>
      </c>
      <c r="M19" s="84">
        <v>11</v>
      </c>
      <c r="N19" s="84"/>
      <c r="O19" s="84"/>
      <c r="P19" s="133"/>
      <c r="Q19" s="127">
        <f t="shared" si="5"/>
        <v>7</v>
      </c>
      <c r="R19" s="180" t="str">
        <f t="shared" si="2"/>
        <v>N/TRANSITA</v>
      </c>
      <c r="S19" s="134"/>
      <c r="T19" s="135"/>
      <c r="U19" s="135"/>
      <c r="V19" s="136"/>
      <c r="W19" s="136"/>
      <c r="X19" s="23">
        <f t="shared" si="6"/>
        <v>0</v>
      </c>
      <c r="Y19" s="21">
        <f t="shared" si="0"/>
        <v>4.5555555555555562</v>
      </c>
      <c r="Z19" s="180" t="str">
        <f t="shared" si="3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98">
        <v>14</v>
      </c>
      <c r="F20" s="99">
        <v>16</v>
      </c>
      <c r="G20" s="99"/>
      <c r="H20" s="99">
        <v>9</v>
      </c>
      <c r="I20" s="100"/>
      <c r="J20" s="101">
        <f t="shared" si="4"/>
        <v>13</v>
      </c>
      <c r="K20" s="180" t="str">
        <f t="shared" si="1"/>
        <v>TRANSITA</v>
      </c>
      <c r="L20" s="83">
        <v>10</v>
      </c>
      <c r="M20" s="84">
        <v>10</v>
      </c>
      <c r="N20" s="84"/>
      <c r="O20" s="84">
        <v>8</v>
      </c>
      <c r="P20" s="133"/>
      <c r="Q20" s="127">
        <f t="shared" si="5"/>
        <v>9.3333333333333339</v>
      </c>
      <c r="R20" s="180" t="str">
        <f t="shared" si="2"/>
        <v>N/TRANSITA</v>
      </c>
      <c r="S20" s="134"/>
      <c r="T20" s="135"/>
      <c r="U20" s="135"/>
      <c r="V20" s="136"/>
      <c r="W20" s="136"/>
      <c r="X20" s="23">
        <f t="shared" si="6"/>
        <v>0</v>
      </c>
      <c r="Y20" s="21">
        <f t="shared" si="0"/>
        <v>7.4444444444444455</v>
      </c>
      <c r="Z20" s="180" t="str">
        <f t="shared" si="3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98">
        <v>14</v>
      </c>
      <c r="F21" s="99">
        <v>13.5</v>
      </c>
      <c r="G21" s="99"/>
      <c r="H21" s="99">
        <v>7</v>
      </c>
      <c r="I21" s="100"/>
      <c r="J21" s="101">
        <f t="shared" si="4"/>
        <v>11.5</v>
      </c>
      <c r="K21" s="180" t="str">
        <f t="shared" si="1"/>
        <v>TRANSITA</v>
      </c>
      <c r="L21" s="83">
        <v>10</v>
      </c>
      <c r="M21" s="84">
        <v>9</v>
      </c>
      <c r="N21" s="84"/>
      <c r="O21" s="84">
        <v>7</v>
      </c>
      <c r="P21" s="133"/>
      <c r="Q21" s="127">
        <f t="shared" si="5"/>
        <v>8.6666666666666661</v>
      </c>
      <c r="R21" s="180" t="str">
        <f t="shared" si="2"/>
        <v>N/TRANSITA</v>
      </c>
      <c r="S21" s="134"/>
      <c r="T21" s="135"/>
      <c r="U21" s="135"/>
      <c r="V21" s="136"/>
      <c r="W21" s="136"/>
      <c r="X21" s="23">
        <f t="shared" si="6"/>
        <v>0</v>
      </c>
      <c r="Y21" s="21">
        <f t="shared" si="0"/>
        <v>6.7222222222222214</v>
      </c>
      <c r="Z21" s="180" t="str">
        <f t="shared" si="3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98">
        <v>13.5</v>
      </c>
      <c r="F22" s="99">
        <v>16</v>
      </c>
      <c r="G22" s="99"/>
      <c r="H22" s="99">
        <v>7.5</v>
      </c>
      <c r="I22" s="100"/>
      <c r="J22" s="101">
        <f t="shared" si="4"/>
        <v>12.333333333333334</v>
      </c>
      <c r="K22" s="180" t="str">
        <f t="shared" si="1"/>
        <v>TRANSITA</v>
      </c>
      <c r="L22" s="83">
        <v>10</v>
      </c>
      <c r="M22" s="84">
        <v>12</v>
      </c>
      <c r="N22" s="84"/>
      <c r="O22" s="84">
        <v>9.5</v>
      </c>
      <c r="P22" s="133"/>
      <c r="Q22" s="127">
        <f t="shared" si="5"/>
        <v>10.5</v>
      </c>
      <c r="R22" s="180" t="str">
        <f t="shared" si="2"/>
        <v>TRANSITA</v>
      </c>
      <c r="S22" s="134"/>
      <c r="T22" s="135"/>
      <c r="U22" s="135"/>
      <c r="V22" s="136"/>
      <c r="W22" s="136"/>
      <c r="X22" s="23">
        <f t="shared" si="6"/>
        <v>0</v>
      </c>
      <c r="Y22" s="21">
        <f t="shared" si="0"/>
        <v>7.6111111111111116</v>
      </c>
      <c r="Z22" s="180" t="str">
        <f t="shared" si="3"/>
        <v>N/TRANSITA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98">
        <v>14</v>
      </c>
      <c r="F23" s="99">
        <v>10</v>
      </c>
      <c r="G23" s="99"/>
      <c r="H23" s="99">
        <v>13</v>
      </c>
      <c r="I23" s="100"/>
      <c r="J23" s="101">
        <f t="shared" si="4"/>
        <v>12.333333333333334</v>
      </c>
      <c r="K23" s="180" t="str">
        <f t="shared" si="1"/>
        <v>TRANSITA</v>
      </c>
      <c r="L23" s="83">
        <v>10</v>
      </c>
      <c r="M23" s="84">
        <v>12</v>
      </c>
      <c r="N23" s="84"/>
      <c r="O23" s="84">
        <v>10</v>
      </c>
      <c r="P23" s="133"/>
      <c r="Q23" s="127">
        <f t="shared" si="5"/>
        <v>10.666666666666666</v>
      </c>
      <c r="R23" s="180" t="str">
        <f t="shared" si="2"/>
        <v>TRANSITA</v>
      </c>
      <c r="S23" s="134"/>
      <c r="T23" s="135"/>
      <c r="U23" s="135"/>
      <c r="V23" s="136"/>
      <c r="W23" s="136"/>
      <c r="X23" s="23">
        <f t="shared" si="6"/>
        <v>0</v>
      </c>
      <c r="Y23" s="21">
        <f t="shared" si="0"/>
        <v>7.666666666666667</v>
      </c>
      <c r="Z23" s="180" t="str">
        <f t="shared" si="3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98">
        <v>13.5</v>
      </c>
      <c r="F24" s="99">
        <v>17</v>
      </c>
      <c r="G24" s="99"/>
      <c r="H24" s="99">
        <v>10</v>
      </c>
      <c r="I24" s="100"/>
      <c r="J24" s="101">
        <f t="shared" si="4"/>
        <v>13.5</v>
      </c>
      <c r="K24" s="180" t="str">
        <f t="shared" si="1"/>
        <v>TRANSITA</v>
      </c>
      <c r="L24" s="83">
        <v>10</v>
      </c>
      <c r="M24" s="84">
        <v>12</v>
      </c>
      <c r="N24" s="84"/>
      <c r="O24" s="84">
        <v>6.5</v>
      </c>
      <c r="P24" s="133"/>
      <c r="Q24" s="127">
        <f t="shared" si="5"/>
        <v>9.5</v>
      </c>
      <c r="R24" s="180" t="str">
        <f t="shared" si="2"/>
        <v>N/TRANSITA</v>
      </c>
      <c r="S24" s="134"/>
      <c r="T24" s="135"/>
      <c r="U24" s="135"/>
      <c r="V24" s="136"/>
      <c r="W24" s="136"/>
      <c r="X24" s="23">
        <f t="shared" si="6"/>
        <v>0</v>
      </c>
      <c r="Y24" s="21">
        <f t="shared" si="0"/>
        <v>7.666666666666667</v>
      </c>
      <c r="Z24" s="180" t="str">
        <f t="shared" si="3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98">
        <v>13.5</v>
      </c>
      <c r="F25" s="99">
        <v>11.5</v>
      </c>
      <c r="G25" s="99"/>
      <c r="H25" s="99">
        <v>10</v>
      </c>
      <c r="I25" s="100"/>
      <c r="J25" s="101">
        <f t="shared" si="4"/>
        <v>11.666666666666666</v>
      </c>
      <c r="K25" s="180" t="str">
        <f t="shared" si="1"/>
        <v>TRANSITA</v>
      </c>
      <c r="L25" s="83">
        <v>10</v>
      </c>
      <c r="M25" s="84">
        <v>5</v>
      </c>
      <c r="N25" s="84"/>
      <c r="O25" s="84">
        <v>3</v>
      </c>
      <c r="P25" s="133"/>
      <c r="Q25" s="127">
        <f t="shared" ref="Q25:Q26" si="7">AVERAGE(L25,MAX(M25:N25),MAX(O25:P25))</f>
        <v>6</v>
      </c>
      <c r="R25" s="180" t="str">
        <f t="shared" ref="R25:R26" si="8">IF(Q25&gt;=10,"TRANSITA","N/TRANSITA")</f>
        <v>N/TRANSITA</v>
      </c>
      <c r="S25" s="134"/>
      <c r="T25" s="135"/>
      <c r="U25" s="135"/>
      <c r="V25" s="136"/>
      <c r="W25" s="136"/>
      <c r="X25" s="23">
        <f t="shared" ref="X25:X26" si="9">AVERAGE(S25,MAX(T25:U25),MAX(V25:W25))</f>
        <v>0</v>
      </c>
      <c r="Y25" s="21">
        <f t="shared" ref="Y25:Y26" si="10">SUM(J25,Q25,X25)/3</f>
        <v>5.8888888888888884</v>
      </c>
      <c r="Z25" s="180" t="str">
        <f t="shared" ref="Z25:Z26" si="11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98">
        <v>15</v>
      </c>
      <c r="F26" s="99">
        <v>17</v>
      </c>
      <c r="G26" s="99"/>
      <c r="H26" s="99">
        <v>13.5</v>
      </c>
      <c r="I26" s="100"/>
      <c r="J26" s="101">
        <f t="shared" si="4"/>
        <v>15.166666666666666</v>
      </c>
      <c r="K26" s="180" t="str">
        <f t="shared" si="1"/>
        <v>TRANSITA</v>
      </c>
      <c r="L26" s="83">
        <v>12</v>
      </c>
      <c r="M26" s="84">
        <v>12</v>
      </c>
      <c r="N26" s="84"/>
      <c r="O26" s="84">
        <v>7</v>
      </c>
      <c r="P26" s="133"/>
      <c r="Q26" s="127">
        <f t="shared" si="7"/>
        <v>10.333333333333334</v>
      </c>
      <c r="R26" s="180" t="str">
        <f t="shared" si="8"/>
        <v>TRANSITA</v>
      </c>
      <c r="S26" s="134"/>
      <c r="T26" s="135"/>
      <c r="U26" s="135"/>
      <c r="V26" s="136"/>
      <c r="W26" s="136"/>
      <c r="X26" s="23">
        <f t="shared" si="9"/>
        <v>0</v>
      </c>
      <c r="Y26" s="21">
        <f t="shared" si="10"/>
        <v>8.5</v>
      </c>
      <c r="Z26" s="180" t="str">
        <f t="shared" si="11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98">
        <v>14</v>
      </c>
      <c r="F27" s="99">
        <v>13.5</v>
      </c>
      <c r="G27" s="99"/>
      <c r="H27" s="99">
        <v>7.5</v>
      </c>
      <c r="I27" s="100"/>
      <c r="J27" s="101">
        <f t="shared" si="4"/>
        <v>11.666666666666666</v>
      </c>
      <c r="K27" s="180" t="str">
        <f t="shared" si="1"/>
        <v>TRANSITA</v>
      </c>
      <c r="L27" s="83">
        <v>10</v>
      </c>
      <c r="M27" s="84">
        <v>8</v>
      </c>
      <c r="N27" s="84"/>
      <c r="O27" s="84">
        <v>10.5</v>
      </c>
      <c r="P27" s="133"/>
      <c r="Q27" s="127">
        <f t="shared" si="5"/>
        <v>9.5</v>
      </c>
      <c r="R27" s="180" t="str">
        <f t="shared" si="2"/>
        <v>N/TRANSITA</v>
      </c>
      <c r="S27" s="134"/>
      <c r="T27" s="135"/>
      <c r="U27" s="135"/>
      <c r="V27" s="136"/>
      <c r="W27" s="136"/>
      <c r="X27" s="23">
        <f t="shared" si="6"/>
        <v>0</v>
      </c>
      <c r="Y27" s="21">
        <f t="shared" si="0"/>
        <v>7.0555555555555545</v>
      </c>
      <c r="Z27" s="180" t="str">
        <f t="shared" si="3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98">
        <v>13.5</v>
      </c>
      <c r="F28" s="99">
        <v>10</v>
      </c>
      <c r="G28" s="99"/>
      <c r="H28" s="99">
        <v>8.25</v>
      </c>
      <c r="I28" s="100"/>
      <c r="J28" s="101">
        <f t="shared" si="4"/>
        <v>10.583333333333334</v>
      </c>
      <c r="K28" s="180" t="str">
        <f t="shared" si="1"/>
        <v>TRANSITA</v>
      </c>
      <c r="L28" s="83"/>
      <c r="M28" s="84"/>
      <c r="N28" s="84"/>
      <c r="O28" s="84"/>
      <c r="P28" s="133"/>
      <c r="Q28" s="127">
        <f t="shared" si="5"/>
        <v>0</v>
      </c>
      <c r="R28" s="180" t="str">
        <f t="shared" si="2"/>
        <v>N/TRANSITA</v>
      </c>
      <c r="S28" s="134"/>
      <c r="T28" s="135"/>
      <c r="U28" s="135"/>
      <c r="V28" s="136"/>
      <c r="W28" s="136"/>
      <c r="X28" s="23">
        <f t="shared" si="6"/>
        <v>0</v>
      </c>
      <c r="Y28" s="21">
        <f t="shared" si="0"/>
        <v>3.5277777777777781</v>
      </c>
      <c r="Z28" s="180" t="str">
        <f t="shared" si="3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98">
        <v>14</v>
      </c>
      <c r="F29" s="99">
        <v>12</v>
      </c>
      <c r="G29" s="99"/>
      <c r="H29" s="99">
        <v>8</v>
      </c>
      <c r="I29" s="100"/>
      <c r="J29" s="101">
        <f t="shared" si="4"/>
        <v>11.333333333333334</v>
      </c>
      <c r="K29" s="180" t="str">
        <f t="shared" si="1"/>
        <v>TRANSITA</v>
      </c>
      <c r="L29" s="83"/>
      <c r="M29" s="84"/>
      <c r="N29" s="84"/>
      <c r="O29" s="84">
        <v>8.5</v>
      </c>
      <c r="P29" s="133"/>
      <c r="Q29" s="127">
        <f t="shared" si="5"/>
        <v>4.25</v>
      </c>
      <c r="R29" s="180" t="str">
        <f t="shared" si="2"/>
        <v>N/TRANSITA</v>
      </c>
      <c r="S29" s="134"/>
      <c r="T29" s="135"/>
      <c r="U29" s="135"/>
      <c r="V29" s="136"/>
      <c r="W29" s="136"/>
      <c r="X29" s="23">
        <f t="shared" si="6"/>
        <v>0</v>
      </c>
      <c r="Y29" s="21">
        <f t="shared" si="0"/>
        <v>5.1944444444444446</v>
      </c>
      <c r="Z29" s="180" t="str">
        <f t="shared" si="3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98">
        <v>14</v>
      </c>
      <c r="F30" s="99">
        <v>16</v>
      </c>
      <c r="G30" s="99"/>
      <c r="H30" s="99">
        <v>11</v>
      </c>
      <c r="I30" s="100"/>
      <c r="J30" s="101">
        <f t="shared" si="4"/>
        <v>13.666666666666666</v>
      </c>
      <c r="K30" s="180" t="str">
        <f t="shared" si="1"/>
        <v>TRANSITA</v>
      </c>
      <c r="L30" s="83">
        <v>10</v>
      </c>
      <c r="M30" s="84">
        <v>12</v>
      </c>
      <c r="N30" s="84"/>
      <c r="O30" s="84">
        <v>10.5</v>
      </c>
      <c r="P30" s="133"/>
      <c r="Q30" s="127">
        <f t="shared" si="5"/>
        <v>10.833333333333334</v>
      </c>
      <c r="R30" s="180" t="str">
        <f t="shared" si="2"/>
        <v>TRANSITA</v>
      </c>
      <c r="S30" s="134"/>
      <c r="T30" s="135"/>
      <c r="U30" s="135"/>
      <c r="V30" s="136"/>
      <c r="W30" s="136"/>
      <c r="X30" s="23">
        <f t="shared" si="6"/>
        <v>0</v>
      </c>
      <c r="Y30" s="21">
        <f t="shared" si="0"/>
        <v>8.1666666666666661</v>
      </c>
      <c r="Z30" s="180" t="str">
        <f t="shared" si="3"/>
        <v>N/TRANSITA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98">
        <v>13</v>
      </c>
      <c r="F31" s="99">
        <v>10</v>
      </c>
      <c r="G31" s="99"/>
      <c r="H31" s="99"/>
      <c r="I31" s="100"/>
      <c r="J31" s="101">
        <f t="shared" si="4"/>
        <v>7.666666666666667</v>
      </c>
      <c r="K31" s="180" t="str">
        <f t="shared" si="1"/>
        <v>N/TRANSITA</v>
      </c>
      <c r="L31" s="83"/>
      <c r="M31" s="84">
        <v>8</v>
      </c>
      <c r="N31" s="84"/>
      <c r="O31" s="84">
        <v>5</v>
      </c>
      <c r="P31" s="133"/>
      <c r="Q31" s="127">
        <f t="shared" ref="Q31" si="12">AVERAGE(L31,MAX(M31:N31),MAX(O31:P31))</f>
        <v>6.5</v>
      </c>
      <c r="R31" s="180" t="str">
        <f t="shared" ref="R31" si="13">IF(Q31&gt;=10,"TRANSITA","N/TRANSITA")</f>
        <v>N/TRANSITA</v>
      </c>
      <c r="S31" s="134"/>
      <c r="T31" s="135"/>
      <c r="U31" s="135"/>
      <c r="V31" s="136"/>
      <c r="W31" s="136"/>
      <c r="X31" s="23">
        <f t="shared" ref="X31" si="14">AVERAGE(S31,MAX(T31:U31),MAX(V31:W31))</f>
        <v>0</v>
      </c>
      <c r="Y31" s="21">
        <f t="shared" ref="Y31" si="15">SUM(J31,Q31,X31)/3</f>
        <v>4.7222222222222223</v>
      </c>
      <c r="Z31" s="180" t="str">
        <f t="shared" ref="Z31" si="16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98">
        <v>13.5</v>
      </c>
      <c r="F32" s="99">
        <v>10</v>
      </c>
      <c r="G32" s="99"/>
      <c r="H32" s="99">
        <v>7</v>
      </c>
      <c r="I32" s="100"/>
      <c r="J32" s="101">
        <f t="shared" si="4"/>
        <v>10.166666666666666</v>
      </c>
      <c r="K32" s="180" t="str">
        <f t="shared" si="1"/>
        <v>TRANSITA</v>
      </c>
      <c r="L32" s="83">
        <v>10</v>
      </c>
      <c r="M32" s="84">
        <v>5</v>
      </c>
      <c r="N32" s="84"/>
      <c r="O32" s="84">
        <v>5.5</v>
      </c>
      <c r="P32" s="133"/>
      <c r="Q32" s="127">
        <f t="shared" ref="Q32:Q48" si="17">AVERAGE(L32,MAX(M32:N32),MAX(O32:P32))</f>
        <v>6.833333333333333</v>
      </c>
      <c r="R32" s="180" t="str">
        <f t="shared" si="2"/>
        <v>N/TRANSITA</v>
      </c>
      <c r="S32" s="134"/>
      <c r="T32" s="135"/>
      <c r="U32" s="135"/>
      <c r="V32" s="136"/>
      <c r="W32" s="136"/>
      <c r="X32" s="23">
        <f t="shared" ref="X32:X48" si="18">AVERAGE(S32,MAX(T32:U32),MAX(V32:W32))</f>
        <v>0</v>
      </c>
      <c r="Y32" s="21">
        <f t="shared" ref="Y32:Y48" si="19">SUM(J32,Q32,X32)/3</f>
        <v>5.666666666666667</v>
      </c>
      <c r="Z32" s="180" t="str">
        <f t="shared" si="3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98">
        <v>13</v>
      </c>
      <c r="F33" s="99">
        <v>18</v>
      </c>
      <c r="G33" s="99"/>
      <c r="H33" s="99">
        <v>6</v>
      </c>
      <c r="I33" s="100"/>
      <c r="J33" s="101">
        <f t="shared" si="4"/>
        <v>12.333333333333334</v>
      </c>
      <c r="K33" s="180" t="str">
        <f t="shared" si="1"/>
        <v>TRANSITA</v>
      </c>
      <c r="L33" s="83">
        <v>10</v>
      </c>
      <c r="M33" s="84">
        <v>10</v>
      </c>
      <c r="N33" s="84"/>
      <c r="O33" s="84">
        <v>8.5</v>
      </c>
      <c r="P33" s="133"/>
      <c r="Q33" s="127">
        <f t="shared" si="17"/>
        <v>9.5</v>
      </c>
      <c r="R33" s="180" t="str">
        <f t="shared" si="2"/>
        <v>N/TRANSITA</v>
      </c>
      <c r="S33" s="134"/>
      <c r="T33" s="135"/>
      <c r="U33" s="135"/>
      <c r="V33" s="136"/>
      <c r="W33" s="136"/>
      <c r="X33" s="23">
        <f t="shared" si="18"/>
        <v>0</v>
      </c>
      <c r="Y33" s="21">
        <f t="shared" si="19"/>
        <v>7.2777777777777786</v>
      </c>
      <c r="Z33" s="180" t="str">
        <f t="shared" si="3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98">
        <v>15</v>
      </c>
      <c r="F34" s="99">
        <v>16</v>
      </c>
      <c r="G34" s="99"/>
      <c r="H34" s="99">
        <v>13.75</v>
      </c>
      <c r="I34" s="100"/>
      <c r="J34" s="101">
        <f t="shared" si="4"/>
        <v>14.916666666666666</v>
      </c>
      <c r="K34" s="180" t="str">
        <f t="shared" si="1"/>
        <v>TRANSITA</v>
      </c>
      <c r="L34" s="83">
        <v>10</v>
      </c>
      <c r="M34" s="84">
        <v>10</v>
      </c>
      <c r="N34" s="84"/>
      <c r="O34" s="84">
        <v>11.5</v>
      </c>
      <c r="P34" s="133"/>
      <c r="Q34" s="127">
        <f t="shared" si="17"/>
        <v>10.5</v>
      </c>
      <c r="R34" s="180" t="str">
        <f t="shared" si="2"/>
        <v>TRANSITA</v>
      </c>
      <c r="S34" s="134"/>
      <c r="T34" s="135"/>
      <c r="U34" s="135"/>
      <c r="V34" s="136"/>
      <c r="W34" s="136"/>
      <c r="X34" s="23">
        <f t="shared" si="18"/>
        <v>0</v>
      </c>
      <c r="Y34" s="21">
        <f t="shared" si="19"/>
        <v>8.4722222222222214</v>
      </c>
      <c r="Z34" s="180" t="str">
        <f t="shared" si="3"/>
        <v>N/TRANSITA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98">
        <v>14</v>
      </c>
      <c r="F35" s="99">
        <v>10</v>
      </c>
      <c r="G35" s="99"/>
      <c r="H35" s="99">
        <v>6.25</v>
      </c>
      <c r="I35" s="100"/>
      <c r="J35" s="101">
        <f t="shared" si="4"/>
        <v>10.083333333333334</v>
      </c>
      <c r="K35" s="180" t="str">
        <f t="shared" si="1"/>
        <v>TRANSITA</v>
      </c>
      <c r="L35" s="83"/>
      <c r="M35" s="84"/>
      <c r="N35" s="84"/>
      <c r="O35" s="84"/>
      <c r="P35" s="133"/>
      <c r="Q35" s="127">
        <f t="shared" si="17"/>
        <v>0</v>
      </c>
      <c r="R35" s="180" t="str">
        <f t="shared" si="2"/>
        <v>N/TRANSITA</v>
      </c>
      <c r="S35" s="134"/>
      <c r="T35" s="135"/>
      <c r="U35" s="135"/>
      <c r="V35" s="136"/>
      <c r="W35" s="136"/>
      <c r="X35" s="23">
        <f t="shared" si="18"/>
        <v>0</v>
      </c>
      <c r="Y35" s="21">
        <f t="shared" si="19"/>
        <v>3.3611111111111112</v>
      </c>
      <c r="Z35" s="180" t="str">
        <f t="shared" si="3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98">
        <v>14</v>
      </c>
      <c r="F36" s="99">
        <v>9</v>
      </c>
      <c r="G36" s="99"/>
      <c r="H36" s="99">
        <v>5</v>
      </c>
      <c r="I36" s="100"/>
      <c r="J36" s="101">
        <f t="shared" si="4"/>
        <v>9.3333333333333339</v>
      </c>
      <c r="K36" s="180" t="str">
        <f t="shared" si="1"/>
        <v>N/TRANSITA</v>
      </c>
      <c r="L36" s="83">
        <v>10</v>
      </c>
      <c r="M36" s="84">
        <v>8</v>
      </c>
      <c r="N36" s="84"/>
      <c r="O36" s="84">
        <v>1.5</v>
      </c>
      <c r="P36" s="133"/>
      <c r="Q36" s="127">
        <f t="shared" si="17"/>
        <v>6.5</v>
      </c>
      <c r="R36" s="180" t="str">
        <f t="shared" si="2"/>
        <v>N/TRANSITA</v>
      </c>
      <c r="S36" s="134"/>
      <c r="T36" s="135"/>
      <c r="U36" s="135"/>
      <c r="V36" s="136"/>
      <c r="W36" s="136"/>
      <c r="X36" s="23">
        <f t="shared" si="18"/>
        <v>0</v>
      </c>
      <c r="Y36" s="21">
        <f t="shared" si="19"/>
        <v>5.2777777777777777</v>
      </c>
      <c r="Z36" s="180" t="str">
        <f t="shared" si="3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98">
        <v>15</v>
      </c>
      <c r="F37" s="99">
        <v>15</v>
      </c>
      <c r="G37" s="99"/>
      <c r="H37" s="99">
        <v>11.5</v>
      </c>
      <c r="I37" s="100"/>
      <c r="J37" s="101">
        <f t="shared" si="4"/>
        <v>13.833333333333334</v>
      </c>
      <c r="K37" s="180" t="str">
        <f t="shared" si="1"/>
        <v>TRANSITA</v>
      </c>
      <c r="L37" s="83">
        <v>10</v>
      </c>
      <c r="M37" s="84">
        <v>10</v>
      </c>
      <c r="N37" s="84"/>
      <c r="O37" s="84">
        <v>12.5</v>
      </c>
      <c r="P37" s="133"/>
      <c r="Q37" s="127">
        <f t="shared" si="17"/>
        <v>10.833333333333334</v>
      </c>
      <c r="R37" s="180" t="str">
        <f t="shared" si="2"/>
        <v>TRANSITA</v>
      </c>
      <c r="S37" s="134"/>
      <c r="T37" s="135"/>
      <c r="U37" s="135"/>
      <c r="V37" s="136"/>
      <c r="W37" s="136"/>
      <c r="X37" s="23">
        <f t="shared" si="18"/>
        <v>0</v>
      </c>
      <c r="Y37" s="21">
        <f t="shared" si="19"/>
        <v>8.2222222222222232</v>
      </c>
      <c r="Z37" s="180" t="str">
        <f t="shared" si="3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98">
        <v>14.5</v>
      </c>
      <c r="F38" s="99">
        <v>10</v>
      </c>
      <c r="G38" s="99"/>
      <c r="H38" s="99">
        <v>11.5</v>
      </c>
      <c r="I38" s="100"/>
      <c r="J38" s="101">
        <f t="shared" si="4"/>
        <v>12</v>
      </c>
      <c r="K38" s="180" t="str">
        <f t="shared" si="1"/>
        <v>TRANSITA</v>
      </c>
      <c r="L38" s="83">
        <v>10</v>
      </c>
      <c r="M38" s="84">
        <v>8</v>
      </c>
      <c r="N38" s="84"/>
      <c r="O38" s="84">
        <v>3.5</v>
      </c>
      <c r="P38" s="133"/>
      <c r="Q38" s="127">
        <f t="shared" si="17"/>
        <v>7.166666666666667</v>
      </c>
      <c r="R38" s="180" t="str">
        <f t="shared" si="2"/>
        <v>N/TRANSITA</v>
      </c>
      <c r="S38" s="134"/>
      <c r="T38" s="135"/>
      <c r="U38" s="135"/>
      <c r="V38" s="136"/>
      <c r="W38" s="136"/>
      <c r="X38" s="23">
        <f t="shared" si="18"/>
        <v>0</v>
      </c>
      <c r="Y38" s="21">
        <f t="shared" si="19"/>
        <v>6.3888888888888893</v>
      </c>
      <c r="Z38" s="180" t="str">
        <f t="shared" si="3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98">
        <v>12</v>
      </c>
      <c r="F39" s="99">
        <v>9</v>
      </c>
      <c r="G39" s="99"/>
      <c r="H39" s="99">
        <v>6</v>
      </c>
      <c r="I39" s="100"/>
      <c r="J39" s="101">
        <f t="shared" si="4"/>
        <v>9</v>
      </c>
      <c r="K39" s="180" t="str">
        <f t="shared" si="1"/>
        <v>N/TRANSITA</v>
      </c>
      <c r="L39" s="83">
        <v>10</v>
      </c>
      <c r="M39" s="84">
        <v>7</v>
      </c>
      <c r="N39" s="84"/>
      <c r="O39" s="84">
        <v>2.5</v>
      </c>
      <c r="P39" s="133"/>
      <c r="Q39" s="127">
        <f t="shared" ref="Q39:Q43" si="20">AVERAGE(L39,MAX(M39:N39),MAX(O39:P39))</f>
        <v>6.5</v>
      </c>
      <c r="R39" s="180" t="str">
        <f t="shared" ref="R39:R43" si="21">IF(Q39&gt;=10,"TRANSITA","N/TRANSITA")</f>
        <v>N/TRANSITA</v>
      </c>
      <c r="S39" s="134"/>
      <c r="T39" s="135"/>
      <c r="U39" s="135"/>
      <c r="V39" s="136"/>
      <c r="W39" s="136"/>
      <c r="X39" s="23">
        <f t="shared" ref="X39:X43" si="22">AVERAGE(S39,MAX(T39:U39),MAX(V39:W39))</f>
        <v>0</v>
      </c>
      <c r="Y39" s="21">
        <f t="shared" ref="Y39:Y43" si="23">SUM(J39,Q39,X39)/3</f>
        <v>5.166666666666667</v>
      </c>
      <c r="Z39" s="180" t="str">
        <f t="shared" ref="Z39:Z43" si="24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98">
        <v>13</v>
      </c>
      <c r="F40" s="99">
        <v>11</v>
      </c>
      <c r="G40" s="99"/>
      <c r="H40" s="99">
        <v>10</v>
      </c>
      <c r="I40" s="100"/>
      <c r="J40" s="101">
        <f t="shared" si="4"/>
        <v>11.333333333333334</v>
      </c>
      <c r="K40" s="180" t="str">
        <f t="shared" si="1"/>
        <v>TRANSITA</v>
      </c>
      <c r="L40" s="83">
        <v>10</v>
      </c>
      <c r="M40" s="84">
        <v>7.5</v>
      </c>
      <c r="N40" s="84"/>
      <c r="O40" s="84">
        <v>6</v>
      </c>
      <c r="P40" s="133"/>
      <c r="Q40" s="127">
        <f t="shared" si="20"/>
        <v>7.833333333333333</v>
      </c>
      <c r="R40" s="180" t="str">
        <f t="shared" si="21"/>
        <v>N/TRANSITA</v>
      </c>
      <c r="S40" s="134"/>
      <c r="T40" s="135"/>
      <c r="U40" s="135"/>
      <c r="V40" s="136"/>
      <c r="W40" s="136"/>
      <c r="X40" s="23">
        <f t="shared" si="22"/>
        <v>0</v>
      </c>
      <c r="Y40" s="21">
        <f t="shared" si="23"/>
        <v>6.3888888888888893</v>
      </c>
      <c r="Z40" s="180" t="str">
        <f t="shared" si="24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98"/>
      <c r="F41" s="99"/>
      <c r="G41" s="99"/>
      <c r="H41" s="99">
        <v>10</v>
      </c>
      <c r="I41" s="100"/>
      <c r="J41" s="101">
        <f t="shared" si="4"/>
        <v>5</v>
      </c>
      <c r="K41" s="180" t="str">
        <f t="shared" si="1"/>
        <v>N/TRANSITA</v>
      </c>
      <c r="L41" s="83">
        <v>10</v>
      </c>
      <c r="M41" s="84">
        <v>6.5</v>
      </c>
      <c r="N41" s="84"/>
      <c r="O41" s="84">
        <v>8.5</v>
      </c>
      <c r="P41" s="133"/>
      <c r="Q41" s="127">
        <f t="shared" si="20"/>
        <v>8.3333333333333339</v>
      </c>
      <c r="R41" s="180" t="str">
        <f t="shared" si="21"/>
        <v>N/TRANSITA</v>
      </c>
      <c r="S41" s="134"/>
      <c r="T41" s="135"/>
      <c r="U41" s="135"/>
      <c r="V41" s="136"/>
      <c r="W41" s="136"/>
      <c r="X41" s="23">
        <f t="shared" si="22"/>
        <v>0</v>
      </c>
      <c r="Y41" s="21">
        <f t="shared" si="23"/>
        <v>4.4444444444444446</v>
      </c>
      <c r="Z41" s="180" t="str">
        <f t="shared" si="24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98">
        <v>14</v>
      </c>
      <c r="F42" s="99">
        <v>10</v>
      </c>
      <c r="G42" s="99"/>
      <c r="H42" s="99">
        <v>7.75</v>
      </c>
      <c r="I42" s="100"/>
      <c r="J42" s="101">
        <f t="shared" si="4"/>
        <v>10.583333333333334</v>
      </c>
      <c r="K42" s="180" t="str">
        <f t="shared" si="1"/>
        <v>TRANSITA</v>
      </c>
      <c r="L42" s="83">
        <v>10</v>
      </c>
      <c r="M42" s="84">
        <v>10</v>
      </c>
      <c r="N42" s="84"/>
      <c r="O42" s="84">
        <v>8.5</v>
      </c>
      <c r="P42" s="133"/>
      <c r="Q42" s="127">
        <f t="shared" si="20"/>
        <v>9.5</v>
      </c>
      <c r="R42" s="180" t="str">
        <f t="shared" si="21"/>
        <v>N/TRANSITA</v>
      </c>
      <c r="S42" s="134"/>
      <c r="T42" s="135"/>
      <c r="U42" s="135"/>
      <c r="V42" s="136"/>
      <c r="W42" s="136"/>
      <c r="X42" s="23">
        <f t="shared" si="22"/>
        <v>0</v>
      </c>
      <c r="Y42" s="21">
        <f t="shared" si="23"/>
        <v>6.6944444444444455</v>
      </c>
      <c r="Z42" s="180" t="str">
        <f t="shared" si="24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98">
        <v>15</v>
      </c>
      <c r="F43" s="99">
        <v>16</v>
      </c>
      <c r="G43" s="99"/>
      <c r="H43" s="99">
        <v>10</v>
      </c>
      <c r="I43" s="100"/>
      <c r="J43" s="101">
        <f t="shared" si="4"/>
        <v>13.666666666666666</v>
      </c>
      <c r="K43" s="180" t="str">
        <f t="shared" si="1"/>
        <v>TRANSITA</v>
      </c>
      <c r="L43" s="83">
        <v>10</v>
      </c>
      <c r="M43" s="84">
        <v>10</v>
      </c>
      <c r="N43" s="84"/>
      <c r="O43" s="84">
        <v>4</v>
      </c>
      <c r="P43" s="133"/>
      <c r="Q43" s="127">
        <f t="shared" si="20"/>
        <v>8</v>
      </c>
      <c r="R43" s="180" t="str">
        <f t="shared" si="21"/>
        <v>N/TRANSITA</v>
      </c>
      <c r="S43" s="134"/>
      <c r="T43" s="135"/>
      <c r="U43" s="135"/>
      <c r="V43" s="136"/>
      <c r="W43" s="136"/>
      <c r="X43" s="23">
        <f t="shared" si="22"/>
        <v>0</v>
      </c>
      <c r="Y43" s="21">
        <f t="shared" si="23"/>
        <v>7.2222222222222214</v>
      </c>
      <c r="Z43" s="180" t="str">
        <f t="shared" si="24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98">
        <v>14</v>
      </c>
      <c r="F44" s="99">
        <v>9</v>
      </c>
      <c r="G44" s="99"/>
      <c r="H44" s="99">
        <v>8.25</v>
      </c>
      <c r="I44" s="100"/>
      <c r="J44" s="101">
        <f t="shared" si="4"/>
        <v>10.416666666666666</v>
      </c>
      <c r="K44" s="180" t="str">
        <f t="shared" si="1"/>
        <v>TRANSITA</v>
      </c>
      <c r="L44" s="83">
        <v>10</v>
      </c>
      <c r="M44" s="84">
        <v>7</v>
      </c>
      <c r="N44" s="84"/>
      <c r="O44" s="84">
        <v>3</v>
      </c>
      <c r="P44" s="133"/>
      <c r="Q44" s="127">
        <f t="shared" si="17"/>
        <v>6.666666666666667</v>
      </c>
      <c r="R44" s="180" t="str">
        <f t="shared" si="2"/>
        <v>N/TRANSITA</v>
      </c>
      <c r="S44" s="134"/>
      <c r="T44" s="135"/>
      <c r="U44" s="135"/>
      <c r="V44" s="136"/>
      <c r="W44" s="136"/>
      <c r="X44" s="23">
        <f t="shared" si="18"/>
        <v>0</v>
      </c>
      <c r="Y44" s="21">
        <f t="shared" si="19"/>
        <v>5.6944444444444438</v>
      </c>
      <c r="Z44" s="180" t="str">
        <f t="shared" si="3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98">
        <v>14</v>
      </c>
      <c r="F45" s="99">
        <v>11</v>
      </c>
      <c r="G45" s="99"/>
      <c r="H45" s="99">
        <v>8.25</v>
      </c>
      <c r="I45" s="100"/>
      <c r="J45" s="101">
        <f t="shared" si="4"/>
        <v>11.083333333333334</v>
      </c>
      <c r="K45" s="180" t="str">
        <f t="shared" si="1"/>
        <v>TRANSITA</v>
      </c>
      <c r="L45" s="83">
        <v>10</v>
      </c>
      <c r="M45" s="84">
        <v>11</v>
      </c>
      <c r="N45" s="84"/>
      <c r="O45" s="84">
        <v>2</v>
      </c>
      <c r="P45" s="133"/>
      <c r="Q45" s="127">
        <f t="shared" si="17"/>
        <v>7.666666666666667</v>
      </c>
      <c r="R45" s="180" t="str">
        <f t="shared" si="2"/>
        <v>N/TRANSITA</v>
      </c>
      <c r="S45" s="134"/>
      <c r="T45" s="135"/>
      <c r="U45" s="135"/>
      <c r="V45" s="136"/>
      <c r="W45" s="136"/>
      <c r="X45" s="23">
        <f t="shared" si="18"/>
        <v>0</v>
      </c>
      <c r="Y45" s="21">
        <f t="shared" si="19"/>
        <v>6.25</v>
      </c>
      <c r="Z45" s="180" t="str">
        <f t="shared" si="3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98">
        <v>12</v>
      </c>
      <c r="F46" s="99">
        <v>7.5</v>
      </c>
      <c r="G46" s="99"/>
      <c r="H46" s="99">
        <v>8</v>
      </c>
      <c r="I46" s="100"/>
      <c r="J46" s="101">
        <f t="shared" si="4"/>
        <v>9.1666666666666661</v>
      </c>
      <c r="K46" s="180" t="str">
        <f t="shared" si="1"/>
        <v>N/TRANSITA</v>
      </c>
      <c r="L46" s="83">
        <v>10</v>
      </c>
      <c r="M46" s="84">
        <v>6.5</v>
      </c>
      <c r="N46" s="84"/>
      <c r="O46" s="84">
        <v>9.5</v>
      </c>
      <c r="P46" s="133"/>
      <c r="Q46" s="127">
        <f t="shared" ref="Q46:Q47" si="25">AVERAGE(L46,MAX(M46:N46),MAX(O46:P46))</f>
        <v>8.6666666666666661</v>
      </c>
      <c r="R46" s="180" t="str">
        <f t="shared" ref="R46:R47" si="26">IF(Q46&gt;=10,"TRANSITA","N/TRANSITA")</f>
        <v>N/TRANSITA</v>
      </c>
      <c r="S46" s="134"/>
      <c r="T46" s="135"/>
      <c r="U46" s="135"/>
      <c r="V46" s="136"/>
      <c r="W46" s="136"/>
      <c r="X46" s="23">
        <f t="shared" ref="X46:X47" si="27">AVERAGE(S46,MAX(T46:U46),MAX(V46:W46))</f>
        <v>0</v>
      </c>
      <c r="Y46" s="21">
        <f t="shared" ref="Y46:Y47" si="28">SUM(J46,Q46,X46)/3</f>
        <v>5.9444444444444438</v>
      </c>
      <c r="Z46" s="180" t="str">
        <f t="shared" ref="Z46:Z47" si="29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98">
        <v>14.5</v>
      </c>
      <c r="F47" s="99">
        <v>17</v>
      </c>
      <c r="G47" s="99"/>
      <c r="H47" s="99">
        <v>10</v>
      </c>
      <c r="I47" s="100"/>
      <c r="J47" s="101">
        <f t="shared" si="4"/>
        <v>13.833333333333334</v>
      </c>
      <c r="K47" s="180" t="str">
        <f t="shared" si="1"/>
        <v>TRANSITA</v>
      </c>
      <c r="L47" s="83">
        <v>10</v>
      </c>
      <c r="M47" s="84">
        <v>11.5</v>
      </c>
      <c r="N47" s="84"/>
      <c r="O47" s="84">
        <v>8.5</v>
      </c>
      <c r="P47" s="133"/>
      <c r="Q47" s="127">
        <f t="shared" si="25"/>
        <v>10</v>
      </c>
      <c r="R47" s="180" t="str">
        <f t="shared" si="26"/>
        <v>TRANSITA</v>
      </c>
      <c r="S47" s="134"/>
      <c r="T47" s="135"/>
      <c r="U47" s="135"/>
      <c r="V47" s="136"/>
      <c r="W47" s="136"/>
      <c r="X47" s="23">
        <f t="shared" si="27"/>
        <v>0</v>
      </c>
      <c r="Y47" s="21">
        <f t="shared" si="28"/>
        <v>7.9444444444444455</v>
      </c>
      <c r="Z47" s="180" t="str">
        <f t="shared" si="29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98">
        <v>13.5</v>
      </c>
      <c r="F48" s="99">
        <v>13.5</v>
      </c>
      <c r="G48" s="99"/>
      <c r="H48" s="99">
        <v>6</v>
      </c>
      <c r="I48" s="100"/>
      <c r="J48" s="101">
        <f t="shared" si="4"/>
        <v>11</v>
      </c>
      <c r="K48" s="180" t="str">
        <f t="shared" si="1"/>
        <v>TRANSITA</v>
      </c>
      <c r="L48" s="83">
        <v>10</v>
      </c>
      <c r="M48" s="84">
        <v>10</v>
      </c>
      <c r="N48" s="84"/>
      <c r="O48" s="84"/>
      <c r="P48" s="133"/>
      <c r="Q48" s="127">
        <f t="shared" si="17"/>
        <v>6.666666666666667</v>
      </c>
      <c r="R48" s="180" t="str">
        <f t="shared" si="2"/>
        <v>N/TRANSITA</v>
      </c>
      <c r="S48" s="134"/>
      <c r="T48" s="135"/>
      <c r="U48" s="135"/>
      <c r="V48" s="136"/>
      <c r="W48" s="136"/>
      <c r="X48" s="23">
        <f t="shared" si="18"/>
        <v>0</v>
      </c>
      <c r="Y48" s="21">
        <f t="shared" si="19"/>
        <v>5.8888888888888893</v>
      </c>
      <c r="Z48" s="180" t="str">
        <f t="shared" si="3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98">
        <v>10</v>
      </c>
      <c r="F49" s="99">
        <v>10</v>
      </c>
      <c r="G49" s="99"/>
      <c r="H49" s="99"/>
      <c r="I49" s="100"/>
      <c r="J49" s="101">
        <f t="shared" si="4"/>
        <v>6.666666666666667</v>
      </c>
      <c r="K49" s="180" t="str">
        <f t="shared" si="1"/>
        <v>N/TRANSITA</v>
      </c>
      <c r="L49" s="83">
        <v>10</v>
      </c>
      <c r="M49" s="84">
        <v>5.5</v>
      </c>
      <c r="N49" s="84"/>
      <c r="O49" s="84"/>
      <c r="P49" s="133"/>
      <c r="Q49" s="127">
        <f t="shared" si="5"/>
        <v>5.166666666666667</v>
      </c>
      <c r="R49" s="180" t="str">
        <f t="shared" si="2"/>
        <v>N/TRANSITA</v>
      </c>
      <c r="S49" s="134"/>
      <c r="T49" s="135"/>
      <c r="U49" s="135"/>
      <c r="V49" s="136"/>
      <c r="W49" s="136"/>
      <c r="X49" s="23">
        <f t="shared" si="6"/>
        <v>0</v>
      </c>
      <c r="Y49" s="21">
        <f t="shared" si="0"/>
        <v>3.9444444444444446</v>
      </c>
      <c r="Z49" s="180" t="str">
        <f t="shared" si="3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98"/>
      <c r="F50" s="99"/>
      <c r="G50" s="99"/>
      <c r="H50" s="99">
        <v>6</v>
      </c>
      <c r="I50" s="100"/>
      <c r="J50" s="101">
        <f t="shared" si="4"/>
        <v>3</v>
      </c>
      <c r="K50" s="180" t="str">
        <f t="shared" si="1"/>
        <v>N/TRANSITA</v>
      </c>
      <c r="L50" s="83">
        <v>10</v>
      </c>
      <c r="M50" s="84">
        <v>5.5</v>
      </c>
      <c r="N50" s="84"/>
      <c r="O50" s="84">
        <v>6</v>
      </c>
      <c r="P50" s="133"/>
      <c r="Q50" s="127">
        <f t="shared" si="5"/>
        <v>7.166666666666667</v>
      </c>
      <c r="R50" s="180" t="str">
        <f t="shared" si="2"/>
        <v>N/TRANSITA</v>
      </c>
      <c r="S50" s="134"/>
      <c r="T50" s="135"/>
      <c r="U50" s="135"/>
      <c r="V50" s="136"/>
      <c r="W50" s="136"/>
      <c r="X50" s="23">
        <f t="shared" si="6"/>
        <v>0</v>
      </c>
      <c r="Y50" s="21">
        <f t="shared" si="0"/>
        <v>3.3888888888888893</v>
      </c>
      <c r="Z50" s="180" t="str">
        <f t="shared" si="3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98">
        <v>14</v>
      </c>
      <c r="F51" s="99">
        <v>8</v>
      </c>
      <c r="G51" s="99"/>
      <c r="H51" s="99">
        <v>7.5</v>
      </c>
      <c r="I51" s="100"/>
      <c r="J51" s="101">
        <f t="shared" si="4"/>
        <v>9.8333333333333339</v>
      </c>
      <c r="K51" s="180" t="str">
        <f t="shared" si="1"/>
        <v>N/TRANSITA</v>
      </c>
      <c r="L51" s="83">
        <v>10</v>
      </c>
      <c r="M51" s="84">
        <v>5</v>
      </c>
      <c r="N51" s="84"/>
      <c r="O51" s="84">
        <v>6</v>
      </c>
      <c r="P51" s="133"/>
      <c r="Q51" s="127">
        <f t="shared" si="5"/>
        <v>7</v>
      </c>
      <c r="R51" s="180" t="str">
        <f t="shared" si="2"/>
        <v>N/TRANSITA</v>
      </c>
      <c r="S51" s="134"/>
      <c r="T51" s="135"/>
      <c r="U51" s="135"/>
      <c r="V51" s="136"/>
      <c r="W51" s="136"/>
      <c r="X51" s="23">
        <f t="shared" si="6"/>
        <v>0</v>
      </c>
      <c r="Y51" s="21">
        <f t="shared" si="0"/>
        <v>5.6111111111111116</v>
      </c>
      <c r="Z51" s="180" t="str">
        <f t="shared" si="3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98"/>
      <c r="F52" s="99"/>
      <c r="G52" s="99"/>
      <c r="H52" s="99">
        <v>6.5</v>
      </c>
      <c r="I52" s="100"/>
      <c r="J52" s="101">
        <f t="shared" si="4"/>
        <v>3.25</v>
      </c>
      <c r="K52" s="180" t="str">
        <f t="shared" si="1"/>
        <v>N/TRANSITA</v>
      </c>
      <c r="L52" s="83">
        <v>10</v>
      </c>
      <c r="M52" s="84">
        <v>7</v>
      </c>
      <c r="N52" s="84"/>
      <c r="O52" s="84"/>
      <c r="P52" s="133"/>
      <c r="Q52" s="127">
        <f t="shared" si="5"/>
        <v>5.666666666666667</v>
      </c>
      <c r="R52" s="180" t="str">
        <f t="shared" si="2"/>
        <v>N/TRANSITA</v>
      </c>
      <c r="S52" s="134"/>
      <c r="T52" s="135"/>
      <c r="U52" s="135"/>
      <c r="V52" s="136"/>
      <c r="W52" s="136"/>
      <c r="X52" s="23">
        <f t="shared" si="6"/>
        <v>0</v>
      </c>
      <c r="Y52" s="21">
        <f t="shared" si="0"/>
        <v>2.9722222222222228</v>
      </c>
      <c r="Z52" s="180" t="str">
        <f t="shared" si="3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21"/>
      <c r="F53" s="107"/>
      <c r="G53" s="107"/>
      <c r="H53" s="107"/>
      <c r="I53" s="105"/>
      <c r="J53" s="101">
        <f t="shared" si="4"/>
        <v>0</v>
      </c>
      <c r="K53" s="180" t="str">
        <f t="shared" si="1"/>
        <v>N/TRANSITA</v>
      </c>
      <c r="L53" s="83"/>
      <c r="M53" s="84"/>
      <c r="N53" s="84"/>
      <c r="O53" s="84"/>
      <c r="P53" s="133"/>
      <c r="Q53" s="127">
        <f t="shared" si="5"/>
        <v>0</v>
      </c>
      <c r="R53" s="180" t="str">
        <f t="shared" si="2"/>
        <v>N/TRANSITA</v>
      </c>
      <c r="S53" s="134"/>
      <c r="T53" s="135"/>
      <c r="U53" s="135"/>
      <c r="V53" s="136"/>
      <c r="W53" s="136"/>
      <c r="X53" s="23">
        <f t="shared" si="6"/>
        <v>0</v>
      </c>
      <c r="Y53" s="21">
        <f t="shared" si="0"/>
        <v>0</v>
      </c>
      <c r="Z53" s="180" t="str">
        <f t="shared" si="3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21">
        <v>13</v>
      </c>
      <c r="F54" s="107">
        <v>10</v>
      </c>
      <c r="G54" s="107"/>
      <c r="H54" s="107">
        <v>2</v>
      </c>
      <c r="I54" s="105"/>
      <c r="J54" s="101">
        <f t="shared" si="4"/>
        <v>8.3333333333333339</v>
      </c>
      <c r="K54" s="180" t="str">
        <f t="shared" si="1"/>
        <v>N/TRANSITA</v>
      </c>
      <c r="L54" s="83">
        <v>10</v>
      </c>
      <c r="M54" s="84">
        <v>4.5</v>
      </c>
      <c r="N54" s="84"/>
      <c r="O54" s="84"/>
      <c r="P54" s="133"/>
      <c r="Q54" s="127">
        <f t="shared" ref="Q54:Q56" si="30">AVERAGE(L54,MAX(M54:N54),MAX(O54:P54))</f>
        <v>4.833333333333333</v>
      </c>
      <c r="R54" s="180" t="str">
        <f t="shared" ref="R54:R56" si="31">IF(Q54&gt;=10,"TRANSITA","N/TRANSITA")</f>
        <v>N/TRANSITA</v>
      </c>
      <c r="S54" s="134"/>
      <c r="T54" s="135"/>
      <c r="U54" s="135"/>
      <c r="V54" s="136"/>
      <c r="W54" s="136"/>
      <c r="X54" s="23">
        <f t="shared" ref="X54:X56" si="32">AVERAGE(S54,MAX(T54:U54),MAX(V54:W54))</f>
        <v>0</v>
      </c>
      <c r="Y54" s="21">
        <f t="shared" ref="Y54:Y56" si="33">SUM(J54,Q54,X54)/3</f>
        <v>4.3888888888888893</v>
      </c>
      <c r="Z54" s="180" t="str">
        <f t="shared" ref="Z54:Z56" si="34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21">
        <v>13.5</v>
      </c>
      <c r="F55" s="107">
        <v>10</v>
      </c>
      <c r="G55" s="107"/>
      <c r="H55" s="107">
        <v>8</v>
      </c>
      <c r="I55" s="105"/>
      <c r="J55" s="101">
        <f t="shared" si="4"/>
        <v>10.5</v>
      </c>
      <c r="K55" s="180" t="str">
        <f t="shared" si="1"/>
        <v>TRANSITA</v>
      </c>
      <c r="L55" s="83">
        <v>10</v>
      </c>
      <c r="M55" s="84">
        <v>9</v>
      </c>
      <c r="N55" s="84"/>
      <c r="O55" s="84">
        <v>7</v>
      </c>
      <c r="P55" s="133"/>
      <c r="Q55" s="127">
        <f t="shared" si="30"/>
        <v>8.6666666666666661</v>
      </c>
      <c r="R55" s="180" t="str">
        <f t="shared" si="31"/>
        <v>N/TRANSITA</v>
      </c>
      <c r="S55" s="134"/>
      <c r="T55" s="135"/>
      <c r="U55" s="135"/>
      <c r="V55" s="136"/>
      <c r="W55" s="136"/>
      <c r="X55" s="23">
        <f t="shared" si="32"/>
        <v>0</v>
      </c>
      <c r="Y55" s="21">
        <f t="shared" si="33"/>
        <v>6.3888888888888884</v>
      </c>
      <c r="Z55" s="180" t="str">
        <f t="shared" si="34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21"/>
      <c r="F56" s="107"/>
      <c r="G56" s="107"/>
      <c r="H56" s="107">
        <v>4.5</v>
      </c>
      <c r="I56" s="105"/>
      <c r="J56" s="101">
        <f t="shared" si="4"/>
        <v>2.25</v>
      </c>
      <c r="K56" s="180" t="str">
        <f t="shared" si="1"/>
        <v>N/TRANSITA</v>
      </c>
      <c r="L56" s="83">
        <v>10</v>
      </c>
      <c r="M56" s="84">
        <v>5</v>
      </c>
      <c r="N56" s="84"/>
      <c r="O56" s="84"/>
      <c r="P56" s="133"/>
      <c r="Q56" s="127">
        <f t="shared" si="30"/>
        <v>5</v>
      </c>
      <c r="R56" s="180" t="str">
        <f t="shared" si="31"/>
        <v>N/TRANSITA</v>
      </c>
      <c r="S56" s="134"/>
      <c r="T56" s="135"/>
      <c r="U56" s="135"/>
      <c r="V56" s="136"/>
      <c r="W56" s="136"/>
      <c r="X56" s="23">
        <f t="shared" si="32"/>
        <v>0</v>
      </c>
      <c r="Y56" s="21">
        <f t="shared" si="33"/>
        <v>2.4166666666666665</v>
      </c>
      <c r="Z56" s="180" t="str">
        <f t="shared" si="34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21">
        <v>14</v>
      </c>
      <c r="F57" s="107">
        <v>18</v>
      </c>
      <c r="G57" s="107"/>
      <c r="H57" s="107">
        <v>13.5</v>
      </c>
      <c r="I57" s="105"/>
      <c r="J57" s="101">
        <f t="shared" si="4"/>
        <v>15.166666666666666</v>
      </c>
      <c r="K57" s="180" t="str">
        <f t="shared" si="1"/>
        <v>TRANSITA</v>
      </c>
      <c r="L57" s="83">
        <v>10</v>
      </c>
      <c r="M57" s="84">
        <v>7</v>
      </c>
      <c r="N57" s="84"/>
      <c r="O57" s="84">
        <v>13.5</v>
      </c>
      <c r="P57" s="133"/>
      <c r="Q57" s="127">
        <f t="shared" si="5"/>
        <v>10.166666666666666</v>
      </c>
      <c r="R57" s="180" t="str">
        <f t="shared" si="2"/>
        <v>TRANSITA</v>
      </c>
      <c r="S57" s="134"/>
      <c r="T57" s="135"/>
      <c r="U57" s="135"/>
      <c r="V57" s="136"/>
      <c r="W57" s="136"/>
      <c r="X57" s="23">
        <f t="shared" si="6"/>
        <v>0</v>
      </c>
      <c r="Y57" s="21">
        <f t="shared" si="0"/>
        <v>8.4444444444444446</v>
      </c>
      <c r="Z57" s="180" t="str">
        <f t="shared" si="3"/>
        <v>N/TRANSITA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21"/>
      <c r="F58" s="107"/>
      <c r="G58" s="107"/>
      <c r="H58" s="107"/>
      <c r="I58" s="105"/>
      <c r="J58" s="101">
        <f t="shared" si="4"/>
        <v>0</v>
      </c>
      <c r="K58" s="180" t="str">
        <f t="shared" si="1"/>
        <v>N/TRANSITA</v>
      </c>
      <c r="L58" s="83"/>
      <c r="M58" s="84"/>
      <c r="N58" s="84"/>
      <c r="O58" s="84"/>
      <c r="P58" s="133"/>
      <c r="Q58" s="127">
        <f t="shared" si="5"/>
        <v>0</v>
      </c>
      <c r="R58" s="180" t="str">
        <f t="shared" si="2"/>
        <v>N/TRANSITA</v>
      </c>
      <c r="S58" s="134"/>
      <c r="T58" s="135"/>
      <c r="U58" s="135"/>
      <c r="V58" s="136"/>
      <c r="W58" s="136"/>
      <c r="X58" s="23">
        <f t="shared" si="6"/>
        <v>0</v>
      </c>
      <c r="Y58" s="21">
        <f t="shared" si="0"/>
        <v>0</v>
      </c>
      <c r="Z58" s="180" t="str">
        <f t="shared" si="3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21">
        <v>13</v>
      </c>
      <c r="F59" s="107">
        <v>9</v>
      </c>
      <c r="G59" s="107"/>
      <c r="H59" s="107">
        <v>9</v>
      </c>
      <c r="I59" s="105"/>
      <c r="J59" s="101">
        <f t="shared" si="4"/>
        <v>10.333333333333334</v>
      </c>
      <c r="K59" s="180" t="str">
        <f t="shared" si="1"/>
        <v>TRANSITA</v>
      </c>
      <c r="L59" s="83">
        <v>10</v>
      </c>
      <c r="M59" s="84">
        <v>6</v>
      </c>
      <c r="N59" s="84"/>
      <c r="O59" s="84">
        <v>3</v>
      </c>
      <c r="P59" s="133"/>
      <c r="Q59" s="127">
        <f t="shared" si="5"/>
        <v>6.333333333333333</v>
      </c>
      <c r="R59" s="180" t="str">
        <f t="shared" si="2"/>
        <v>N/TRANSITA</v>
      </c>
      <c r="S59" s="134"/>
      <c r="T59" s="135"/>
      <c r="U59" s="135"/>
      <c r="V59" s="136"/>
      <c r="W59" s="136"/>
      <c r="X59" s="23">
        <f t="shared" si="6"/>
        <v>0</v>
      </c>
      <c r="Y59" s="21">
        <f t="shared" si="0"/>
        <v>5.5555555555555562</v>
      </c>
      <c r="Z59" s="180" t="str">
        <f t="shared" si="3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21">
        <v>15</v>
      </c>
      <c r="F60" s="107">
        <v>13.5</v>
      </c>
      <c r="G60" s="107"/>
      <c r="H60" s="107">
        <v>9</v>
      </c>
      <c r="I60" s="105"/>
      <c r="J60" s="101">
        <f t="shared" si="4"/>
        <v>12.5</v>
      </c>
      <c r="K60" s="180" t="str">
        <f t="shared" si="1"/>
        <v>TRANSITA</v>
      </c>
      <c r="L60" s="83">
        <v>10</v>
      </c>
      <c r="M60" s="84">
        <v>5.5</v>
      </c>
      <c r="N60" s="84"/>
      <c r="O60" s="84">
        <v>3</v>
      </c>
      <c r="P60" s="133"/>
      <c r="Q60" s="127">
        <f t="shared" si="5"/>
        <v>6.166666666666667</v>
      </c>
      <c r="R60" s="180" t="str">
        <f t="shared" si="2"/>
        <v>N/TRANSITA</v>
      </c>
      <c r="S60" s="134"/>
      <c r="T60" s="135"/>
      <c r="U60" s="135"/>
      <c r="V60" s="136"/>
      <c r="W60" s="136"/>
      <c r="X60" s="23">
        <f t="shared" si="6"/>
        <v>0</v>
      </c>
      <c r="Y60" s="21">
        <f t="shared" si="0"/>
        <v>6.2222222222222223</v>
      </c>
      <c r="Z60" s="180" t="str">
        <f t="shared" si="3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21">
        <v>14</v>
      </c>
      <c r="F61" s="107">
        <v>10</v>
      </c>
      <c r="G61" s="107"/>
      <c r="H61" s="107">
        <v>12</v>
      </c>
      <c r="I61" s="105"/>
      <c r="J61" s="101">
        <f t="shared" si="4"/>
        <v>12</v>
      </c>
      <c r="K61" s="180" t="str">
        <f t="shared" si="1"/>
        <v>TRANSITA</v>
      </c>
      <c r="L61" s="83">
        <v>10</v>
      </c>
      <c r="M61" s="84">
        <v>10</v>
      </c>
      <c r="N61" s="84"/>
      <c r="O61" s="84">
        <v>8</v>
      </c>
      <c r="P61" s="133"/>
      <c r="Q61" s="127">
        <f t="shared" si="5"/>
        <v>9.3333333333333339</v>
      </c>
      <c r="R61" s="180" t="str">
        <f t="shared" si="2"/>
        <v>N/TRANSITA</v>
      </c>
      <c r="S61" s="134"/>
      <c r="T61" s="135"/>
      <c r="U61" s="135"/>
      <c r="V61" s="136"/>
      <c r="W61" s="136"/>
      <c r="X61" s="23">
        <f t="shared" si="6"/>
        <v>0</v>
      </c>
      <c r="Y61" s="21">
        <f t="shared" si="0"/>
        <v>7.1111111111111116</v>
      </c>
      <c r="Z61" s="180" t="str">
        <f t="shared" si="3"/>
        <v>N/TRANSITA</v>
      </c>
    </row>
    <row r="62" spans="2:31" ht="14.25" customHeight="1" x14ac:dyDescent="0.3">
      <c r="B62" s="37">
        <v>54</v>
      </c>
      <c r="C62" s="194" t="s">
        <v>142</v>
      </c>
      <c r="D62" s="28"/>
      <c r="E62" s="121">
        <v>15</v>
      </c>
      <c r="F62" s="107">
        <v>11</v>
      </c>
      <c r="G62" s="107"/>
      <c r="H62" s="107"/>
      <c r="I62" s="105"/>
      <c r="J62" s="101">
        <f t="shared" si="4"/>
        <v>8.6666666666666661</v>
      </c>
      <c r="K62" s="180" t="str">
        <f t="shared" si="1"/>
        <v>N/TRANSITA</v>
      </c>
      <c r="L62" s="83">
        <v>10</v>
      </c>
      <c r="M62" s="84">
        <v>8</v>
      </c>
      <c r="N62" s="84"/>
      <c r="O62" s="84">
        <v>6.5</v>
      </c>
      <c r="P62" s="133"/>
      <c r="Q62" s="127">
        <f t="shared" si="5"/>
        <v>8.1666666666666661</v>
      </c>
      <c r="R62" s="180" t="str">
        <f t="shared" si="2"/>
        <v>N/TRANSITA</v>
      </c>
      <c r="S62" s="134"/>
      <c r="T62" s="135"/>
      <c r="U62" s="135"/>
      <c r="V62" s="136"/>
      <c r="W62" s="136"/>
      <c r="X62" s="23">
        <f t="shared" si="6"/>
        <v>0</v>
      </c>
      <c r="Y62" s="21">
        <f t="shared" si="0"/>
        <v>5.6111111111111107</v>
      </c>
      <c r="Z62" s="180" t="str">
        <f t="shared" si="3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22">
        <v>13.5</v>
      </c>
      <c r="F63" s="108">
        <v>14.5</v>
      </c>
      <c r="G63" s="108"/>
      <c r="H63" s="108">
        <v>6.5</v>
      </c>
      <c r="I63" s="109"/>
      <c r="J63" s="110">
        <f t="shared" si="4"/>
        <v>11.5</v>
      </c>
      <c r="K63" s="181" t="str">
        <f t="shared" si="1"/>
        <v>TRANSITA</v>
      </c>
      <c r="L63" s="85">
        <v>10</v>
      </c>
      <c r="M63" s="86">
        <v>9.5</v>
      </c>
      <c r="N63" s="86"/>
      <c r="O63" s="86">
        <v>9.5</v>
      </c>
      <c r="P63" s="144"/>
      <c r="Q63" s="142">
        <f t="shared" si="5"/>
        <v>9.6666666666666661</v>
      </c>
      <c r="R63" s="181" t="str">
        <f t="shared" si="2"/>
        <v>N/TRANSITA</v>
      </c>
      <c r="S63" s="145"/>
      <c r="T63" s="141"/>
      <c r="U63" s="141"/>
      <c r="V63" s="146"/>
      <c r="W63" s="146"/>
      <c r="X63" s="24">
        <f t="shared" si="6"/>
        <v>0</v>
      </c>
      <c r="Y63" s="22">
        <f>SUM(J63,Q63,X63)/3</f>
        <v>7.0555555555555545</v>
      </c>
      <c r="Z63" s="181" t="str">
        <f t="shared" si="3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117"/>
      <c r="G66" s="117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113"/>
      <c r="G67" s="113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113"/>
      <c r="G68" s="113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K7:K8"/>
    <mergeCell ref="R7:R8"/>
    <mergeCell ref="A68:E68"/>
    <mergeCell ref="S68:Z68"/>
    <mergeCell ref="AA10:AB11"/>
    <mergeCell ref="AA53:AB55"/>
    <mergeCell ref="A66:E66"/>
    <mergeCell ref="S66:Z66"/>
    <mergeCell ref="A67:E67"/>
    <mergeCell ref="S67:Z67"/>
    <mergeCell ref="AE8:AE9"/>
    <mergeCell ref="B5:C5"/>
    <mergeCell ref="I5:N5"/>
    <mergeCell ref="X5:Z5"/>
    <mergeCell ref="B6:Z6"/>
    <mergeCell ref="B7:B8"/>
    <mergeCell ref="C7:C8"/>
    <mergeCell ref="E7:J7"/>
    <mergeCell ref="L7:Q7"/>
    <mergeCell ref="S7:X7"/>
    <mergeCell ref="Y7:Y8"/>
    <mergeCell ref="Z7:Z8"/>
    <mergeCell ref="AA8:AA9"/>
    <mergeCell ref="AB8:AB9"/>
    <mergeCell ref="AC8:AC9"/>
    <mergeCell ref="AD8:AD9"/>
    <mergeCell ref="A1:Z1"/>
    <mergeCell ref="B3:C3"/>
    <mergeCell ref="I3:M3"/>
    <mergeCell ref="V3:Z3"/>
    <mergeCell ref="B4:C4"/>
    <mergeCell ref="I4:Q4"/>
    <mergeCell ref="V4:Z4"/>
  </mergeCells>
  <conditionalFormatting sqref="Y9:Y63">
    <cfRule type="cellIs" dxfId="123" priority="85" stopIfTrue="1" operator="greaterThan">
      <formula>9.5</formula>
    </cfRule>
    <cfRule type="cellIs" dxfId="122" priority="86" stopIfTrue="1" operator="lessThanOrEqual">
      <formula>9.5</formula>
    </cfRule>
  </conditionalFormatting>
  <conditionalFormatting sqref="S9:W63">
    <cfRule type="cellIs" dxfId="121" priority="83" stopIfTrue="1" operator="lessThan">
      <formula>10</formula>
    </cfRule>
    <cfRule type="cellIs" dxfId="120" priority="84" stopIfTrue="1" operator="greaterThan">
      <formula>9</formula>
    </cfRule>
  </conditionalFormatting>
  <conditionalFormatting sqref="S9:W63">
    <cfRule type="cellIs" dxfId="119" priority="81" stopIfTrue="1" operator="lessThan">
      <formula>10</formula>
    </cfRule>
    <cfRule type="cellIs" dxfId="118" priority="82" stopIfTrue="1" operator="greaterThan">
      <formula>9</formula>
    </cfRule>
  </conditionalFormatting>
  <conditionalFormatting sqref="X9:X63 Q9:Q63">
    <cfRule type="cellIs" dxfId="117" priority="79" stopIfTrue="1" operator="lessThan">
      <formula>10</formula>
    </cfRule>
    <cfRule type="cellIs" dxfId="116" priority="80" stopIfTrue="1" operator="greaterThanOrEqual">
      <formula>10</formula>
    </cfRule>
  </conditionalFormatting>
  <conditionalFormatting sqref="P9:P63">
    <cfRule type="cellIs" dxfId="115" priority="47" stopIfTrue="1" operator="lessThan">
      <formula>10</formula>
    </cfRule>
    <cfRule type="cellIs" dxfId="114" priority="48" stopIfTrue="1" operator="greaterThan">
      <formula>9</formula>
    </cfRule>
    <cfRule type="cellIs" dxfId="113" priority="49" stopIfTrue="1" operator="lessThan">
      <formula>10</formula>
    </cfRule>
    <cfRule type="cellIs" dxfId="112" priority="50" stopIfTrue="1" operator="greaterThan">
      <formula>9</formula>
    </cfRule>
  </conditionalFormatting>
  <conditionalFormatting sqref="J9:J63">
    <cfRule type="cellIs" dxfId="111" priority="15" stopIfTrue="1" operator="lessThan">
      <formula>10</formula>
    </cfRule>
    <cfRule type="cellIs" dxfId="110" priority="16" stopIfTrue="1" operator="greaterThanOrEqual">
      <formula>10</formula>
    </cfRule>
  </conditionalFormatting>
  <conditionalFormatting sqref="I9:I63">
    <cfRule type="cellIs" dxfId="109" priority="11" stopIfTrue="1" operator="lessThan">
      <formula>10</formula>
    </cfRule>
    <cfRule type="cellIs" dxfId="108" priority="12" stopIfTrue="1" operator="greaterThan">
      <formula>9</formula>
    </cfRule>
    <cfRule type="cellIs" dxfId="107" priority="13" stopIfTrue="1" operator="lessThan">
      <formula>10</formula>
    </cfRule>
    <cfRule type="cellIs" dxfId="106" priority="14" stopIfTrue="1" operator="greaterThan">
      <formula>9</formula>
    </cfRule>
  </conditionalFormatting>
  <conditionalFormatting sqref="L9:O63">
    <cfRule type="cellIs" dxfId="105" priority="7" stopIfTrue="1" operator="lessThan">
      <formula>10</formula>
    </cfRule>
    <cfRule type="cellIs" dxfId="104" priority="8" stopIfTrue="1" operator="greaterThan">
      <formula>9</formula>
    </cfRule>
    <cfRule type="cellIs" dxfId="103" priority="9" stopIfTrue="1" operator="lessThan">
      <formula>10</formula>
    </cfRule>
    <cfRule type="cellIs" dxfId="102" priority="10" stopIfTrue="1" operator="greaterThan">
      <formula>9</formula>
    </cfRule>
  </conditionalFormatting>
  <conditionalFormatting sqref="E9:H63">
    <cfRule type="cellIs" dxfId="101" priority="1" stopIfTrue="1" operator="lessThan">
      <formula>10</formula>
    </cfRule>
    <cfRule type="cellIs" dxfId="100" priority="2" stopIfTrue="1" operator="greaterThan">
      <formula>9</formula>
    </cfRule>
    <cfRule type="cellIs" dxfId="99" priority="3" stopIfTrue="1" operator="lessThan">
      <formula>10</formula>
    </cfRule>
    <cfRule type="cellIs" dxfId="98" priority="4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68609" r:id="rId4">
          <objectPr defaultSize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22860</xdr:colOff>
                <xdr:row>65</xdr:row>
                <xdr:rowOff>22860</xdr:rowOff>
              </to>
            </anchor>
          </objectPr>
        </oleObject>
      </mc:Choice>
      <mc:Fallback>
        <oleObject progId="Word.Document.8" shapeId="6860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9" stopIfTrue="1" operator="containsText" id="{A14E4CB7-151C-49FF-96CE-267AB99F00E3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40" stopIfTrue="1" operator="containsText" id="{89ADC6E4-06DD-4E39-88F1-D507FA89BA89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37" stopIfTrue="1" operator="containsText" id="{692FF0F2-0166-4E89-BA53-2BE8F8F94648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8" stopIfTrue="1" operator="containsText" id="{CD2E7804-2117-4D1E-9492-B03EAA7AE45D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5" stopIfTrue="1" operator="containsText" id="{C39569F5-6FEC-40E0-872E-2C3B334749F5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B0E85E9E-69F9-456C-8CB6-CC39D03E7637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F14" sqref="F14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32"/>
      <c r="I4" s="324" t="s">
        <v>33</v>
      </c>
      <c r="J4" s="324"/>
      <c r="K4" s="324"/>
      <c r="L4" s="324"/>
      <c r="M4" s="324"/>
      <c r="N4" s="324"/>
      <c r="O4" s="324"/>
      <c r="P4" s="324"/>
      <c r="Q4" s="324"/>
      <c r="R4" s="32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32"/>
      <c r="H5" s="36"/>
      <c r="I5" s="361" t="s">
        <v>34</v>
      </c>
      <c r="J5" s="361"/>
      <c r="K5" s="361"/>
      <c r="L5" s="361"/>
      <c r="M5" s="361"/>
      <c r="N5" s="361"/>
      <c r="O5" s="36"/>
      <c r="P5" s="36"/>
      <c r="Q5" s="36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7</v>
      </c>
      <c r="AD8" s="335">
        <f>COUNTIF(Z9:Z69,"N/TRANSITA")</f>
        <v>48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124">
        <v>10</v>
      </c>
      <c r="F9" s="125">
        <v>10</v>
      </c>
      <c r="G9" s="125"/>
      <c r="H9" s="126">
        <v>16</v>
      </c>
      <c r="I9" s="126"/>
      <c r="J9" s="127">
        <f>AVERAGE(E9,MAX(F9:G9),MAX(H9:I9))</f>
        <v>12</v>
      </c>
      <c r="K9" s="179" t="str">
        <f>IF(J9&gt;=10,"TRANSITA","N/TRANSITA")</f>
        <v>TRANSITA</v>
      </c>
      <c r="L9" s="128">
        <v>15</v>
      </c>
      <c r="M9" s="129">
        <v>10</v>
      </c>
      <c r="N9" s="129"/>
      <c r="O9" s="129">
        <v>14</v>
      </c>
      <c r="P9" s="129"/>
      <c r="Q9" s="127">
        <f>AVERAGE(L9,MAX(M9:N9),MAX(O9:P9))</f>
        <v>13</v>
      </c>
      <c r="R9" s="179" t="str">
        <f>IF(Q9&gt;=10,"TRANSITA","N/TRANSITA")</f>
        <v>TRANSITA</v>
      </c>
      <c r="S9" s="130"/>
      <c r="T9" s="126"/>
      <c r="U9" s="126"/>
      <c r="V9" s="131"/>
      <c r="W9" s="131"/>
      <c r="X9" s="23">
        <f>AVERAGE(S9,MAX(T9:U9),MAX(V9:W9))</f>
        <v>0</v>
      </c>
      <c r="Y9" s="20">
        <f t="shared" ref="Y9:Y62" si="0">SUM(J9,Q9,X9)/3</f>
        <v>8.3333333333333339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124">
        <v>12</v>
      </c>
      <c r="F10" s="125">
        <v>15</v>
      </c>
      <c r="G10" s="125"/>
      <c r="H10" s="126">
        <v>18</v>
      </c>
      <c r="I10" s="126"/>
      <c r="J10" s="127">
        <f>AVERAGE(E10,MAX(F10:G10),MAX(H10:I10))</f>
        <v>15</v>
      </c>
      <c r="K10" s="180" t="str">
        <f t="shared" ref="K10:K63" si="1">IF(J10&gt;=10,"TRANSITA","N/TRANSITA")</f>
        <v>TRANSITA</v>
      </c>
      <c r="L10" s="132">
        <v>10</v>
      </c>
      <c r="M10" s="133"/>
      <c r="N10" s="133"/>
      <c r="O10" s="133"/>
      <c r="P10" s="133"/>
      <c r="Q10" s="127">
        <f>AVERAGE(L10,MAX(M10:N10),MAX(O10:P10))</f>
        <v>3.3333333333333335</v>
      </c>
      <c r="R10" s="180" t="str">
        <f t="shared" ref="R10:R63" si="2">IF(Q10&gt;=10,"TRANSITA","N/TRANSITA")</f>
        <v>N/TRANSITA</v>
      </c>
      <c r="S10" s="134"/>
      <c r="T10" s="135"/>
      <c r="U10" s="135"/>
      <c r="V10" s="136"/>
      <c r="W10" s="136"/>
      <c r="X10" s="23">
        <f>AVERAGE(S10,MAX(T10:U10),MAX(V10:W10))</f>
        <v>0</v>
      </c>
      <c r="Y10" s="21">
        <f t="shared" ref="Y10" si="3">SUM(J10,Q10,X10)/3</f>
        <v>6.1111111111111107</v>
      </c>
      <c r="Z10" s="180" t="str">
        <f t="shared" ref="Z10:Z63" si="4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124">
        <v>13</v>
      </c>
      <c r="F11" s="125">
        <v>13</v>
      </c>
      <c r="G11" s="125"/>
      <c r="H11" s="126">
        <v>16</v>
      </c>
      <c r="I11" s="126"/>
      <c r="J11" s="127">
        <f t="shared" ref="J11:J63" si="5">AVERAGE(E11,MAX(F11:G11),MAX(H11:I11))</f>
        <v>14</v>
      </c>
      <c r="K11" s="180" t="str">
        <f t="shared" si="1"/>
        <v>TRANSITA</v>
      </c>
      <c r="L11" s="132">
        <v>10</v>
      </c>
      <c r="M11" s="133">
        <v>14</v>
      </c>
      <c r="N11" s="133"/>
      <c r="O11" s="133">
        <v>18</v>
      </c>
      <c r="P11" s="133"/>
      <c r="Q11" s="127">
        <f t="shared" ref="Q11:Q63" si="6">AVERAGE(L11,MAX(M11:N11),MAX(O11:P11))</f>
        <v>14</v>
      </c>
      <c r="R11" s="180" t="str">
        <f t="shared" si="2"/>
        <v>TRANSITA</v>
      </c>
      <c r="S11" s="134"/>
      <c r="T11" s="135"/>
      <c r="U11" s="135"/>
      <c r="V11" s="136"/>
      <c r="W11" s="136"/>
      <c r="X11" s="23">
        <f t="shared" ref="X11:X60" si="7">AVERAGE(S11,MAX(T11:U11),MAX(V11:W11))</f>
        <v>0</v>
      </c>
      <c r="Y11" s="21">
        <f t="shared" ref="Y11:Y60" si="8">SUM(J11,Q11,X11)/3</f>
        <v>9.3333333333333339</v>
      </c>
      <c r="Z11" s="180" t="str">
        <f t="shared" si="4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124">
        <v>15</v>
      </c>
      <c r="F12" s="125">
        <v>18</v>
      </c>
      <c r="G12" s="125"/>
      <c r="H12" s="126">
        <v>18</v>
      </c>
      <c r="I12" s="126"/>
      <c r="J12" s="127">
        <f t="shared" si="5"/>
        <v>17</v>
      </c>
      <c r="K12" s="180" t="str">
        <f t="shared" si="1"/>
        <v>TRANSITA</v>
      </c>
      <c r="L12" s="132">
        <v>16</v>
      </c>
      <c r="M12" s="133">
        <v>18</v>
      </c>
      <c r="N12" s="133"/>
      <c r="O12" s="133">
        <v>20</v>
      </c>
      <c r="P12" s="133"/>
      <c r="Q12" s="127">
        <f t="shared" si="6"/>
        <v>18</v>
      </c>
      <c r="R12" s="180" t="str">
        <f t="shared" si="2"/>
        <v>TRANSITA</v>
      </c>
      <c r="S12" s="134"/>
      <c r="T12" s="135"/>
      <c r="U12" s="135"/>
      <c r="V12" s="136"/>
      <c r="W12" s="136"/>
      <c r="X12" s="23">
        <f t="shared" si="7"/>
        <v>0</v>
      </c>
      <c r="Y12" s="21">
        <f t="shared" si="8"/>
        <v>11.666666666666666</v>
      </c>
      <c r="Z12" s="180" t="str">
        <f t="shared" si="4"/>
        <v>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124">
        <v>13</v>
      </c>
      <c r="F13" s="125">
        <v>15</v>
      </c>
      <c r="G13" s="125"/>
      <c r="H13" s="126">
        <v>17</v>
      </c>
      <c r="I13" s="126"/>
      <c r="J13" s="127">
        <f t="shared" si="5"/>
        <v>15</v>
      </c>
      <c r="K13" s="180" t="str">
        <f t="shared" si="1"/>
        <v>TRANSITA</v>
      </c>
      <c r="L13" s="132">
        <v>5</v>
      </c>
      <c r="M13" s="133">
        <v>15</v>
      </c>
      <c r="N13" s="133"/>
      <c r="O13" s="133">
        <v>10</v>
      </c>
      <c r="P13" s="133"/>
      <c r="Q13" s="127">
        <f t="shared" si="6"/>
        <v>10</v>
      </c>
      <c r="R13" s="180" t="str">
        <f t="shared" si="2"/>
        <v>TRANSITA</v>
      </c>
      <c r="S13" s="134"/>
      <c r="T13" s="135"/>
      <c r="U13" s="135"/>
      <c r="V13" s="136"/>
      <c r="W13" s="136"/>
      <c r="X13" s="23">
        <f t="shared" si="7"/>
        <v>0</v>
      </c>
      <c r="Y13" s="21">
        <f t="shared" si="8"/>
        <v>8.3333333333333339</v>
      </c>
      <c r="Z13" s="180" t="str">
        <f t="shared" si="4"/>
        <v>N/TRANSITA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124">
        <v>10</v>
      </c>
      <c r="F14" s="125">
        <v>13</v>
      </c>
      <c r="G14" s="125"/>
      <c r="H14" s="126">
        <v>16</v>
      </c>
      <c r="I14" s="126"/>
      <c r="J14" s="127">
        <f t="shared" si="5"/>
        <v>13</v>
      </c>
      <c r="K14" s="180" t="str">
        <f t="shared" si="1"/>
        <v>TRANSITA</v>
      </c>
      <c r="L14" s="132">
        <v>13</v>
      </c>
      <c r="M14" s="133">
        <v>16</v>
      </c>
      <c r="N14" s="133"/>
      <c r="O14" s="133">
        <v>16</v>
      </c>
      <c r="P14" s="133"/>
      <c r="Q14" s="127">
        <f t="shared" si="6"/>
        <v>15</v>
      </c>
      <c r="R14" s="180" t="str">
        <f t="shared" si="2"/>
        <v>TRANSITA</v>
      </c>
      <c r="S14" s="134"/>
      <c r="T14" s="135"/>
      <c r="U14" s="135"/>
      <c r="V14" s="136"/>
      <c r="W14" s="136"/>
      <c r="X14" s="23">
        <f t="shared" si="7"/>
        <v>0</v>
      </c>
      <c r="Y14" s="21">
        <f t="shared" si="8"/>
        <v>9.3333333333333339</v>
      </c>
      <c r="Z14" s="180" t="str">
        <f t="shared" si="4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124">
        <v>10</v>
      </c>
      <c r="F15" s="125">
        <v>13</v>
      </c>
      <c r="G15" s="125"/>
      <c r="H15" s="126">
        <v>16</v>
      </c>
      <c r="I15" s="126"/>
      <c r="J15" s="127">
        <f t="shared" si="5"/>
        <v>13</v>
      </c>
      <c r="K15" s="180" t="str">
        <f t="shared" si="1"/>
        <v>TRANSITA</v>
      </c>
      <c r="L15" s="132">
        <v>13</v>
      </c>
      <c r="M15" s="133">
        <v>15</v>
      </c>
      <c r="N15" s="133"/>
      <c r="O15" s="133">
        <v>17</v>
      </c>
      <c r="P15" s="133"/>
      <c r="Q15" s="127">
        <f t="shared" si="6"/>
        <v>15</v>
      </c>
      <c r="R15" s="180" t="str">
        <f t="shared" si="2"/>
        <v>TRANSITA</v>
      </c>
      <c r="S15" s="134"/>
      <c r="T15" s="135"/>
      <c r="U15" s="135"/>
      <c r="V15" s="136"/>
      <c r="W15" s="136"/>
      <c r="X15" s="23">
        <f t="shared" si="7"/>
        <v>0</v>
      </c>
      <c r="Y15" s="21">
        <f t="shared" si="8"/>
        <v>9.3333333333333339</v>
      </c>
      <c r="Z15" s="180" t="str">
        <f t="shared" si="4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124">
        <v>13</v>
      </c>
      <c r="F16" s="125">
        <v>15</v>
      </c>
      <c r="G16" s="125"/>
      <c r="H16" s="126">
        <v>17</v>
      </c>
      <c r="I16" s="126"/>
      <c r="J16" s="127">
        <f t="shared" si="5"/>
        <v>15</v>
      </c>
      <c r="K16" s="180" t="str">
        <f t="shared" si="1"/>
        <v>TRANSITA</v>
      </c>
      <c r="L16" s="132">
        <v>10</v>
      </c>
      <c r="M16" s="133">
        <v>10</v>
      </c>
      <c r="N16" s="133"/>
      <c r="O16" s="133">
        <v>10</v>
      </c>
      <c r="P16" s="133"/>
      <c r="Q16" s="127">
        <f t="shared" si="6"/>
        <v>10</v>
      </c>
      <c r="R16" s="180" t="str">
        <f t="shared" si="2"/>
        <v>TRANSITA</v>
      </c>
      <c r="S16" s="134"/>
      <c r="T16" s="135"/>
      <c r="U16" s="135"/>
      <c r="V16" s="136"/>
      <c r="W16" s="136"/>
      <c r="X16" s="23">
        <f t="shared" si="7"/>
        <v>0</v>
      </c>
      <c r="Y16" s="21">
        <f t="shared" si="8"/>
        <v>8.3333333333333339</v>
      </c>
      <c r="Z16" s="180" t="str">
        <f t="shared" si="4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124">
        <v>12</v>
      </c>
      <c r="F17" s="125">
        <v>13</v>
      </c>
      <c r="G17" s="125"/>
      <c r="H17" s="126">
        <v>17</v>
      </c>
      <c r="I17" s="126"/>
      <c r="J17" s="127">
        <f t="shared" si="5"/>
        <v>14</v>
      </c>
      <c r="K17" s="180" t="str">
        <f t="shared" si="1"/>
        <v>TRANSITA</v>
      </c>
      <c r="L17" s="132">
        <v>8</v>
      </c>
      <c r="M17" s="133"/>
      <c r="N17" s="133"/>
      <c r="O17" s="133">
        <v>13</v>
      </c>
      <c r="P17" s="133"/>
      <c r="Q17" s="127">
        <f t="shared" si="6"/>
        <v>7</v>
      </c>
      <c r="R17" s="180" t="str">
        <f t="shared" si="2"/>
        <v>N/TRANSITA</v>
      </c>
      <c r="S17" s="134"/>
      <c r="T17" s="135"/>
      <c r="U17" s="135"/>
      <c r="V17" s="136"/>
      <c r="W17" s="136"/>
      <c r="X17" s="23">
        <f t="shared" si="7"/>
        <v>0</v>
      </c>
      <c r="Y17" s="21">
        <f t="shared" si="8"/>
        <v>7</v>
      </c>
      <c r="Z17" s="180" t="str">
        <f t="shared" si="4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124">
        <v>10</v>
      </c>
      <c r="F18" s="125">
        <v>10</v>
      </c>
      <c r="G18" s="125"/>
      <c r="H18" s="126">
        <v>10</v>
      </c>
      <c r="I18" s="126"/>
      <c r="J18" s="127">
        <f t="shared" si="5"/>
        <v>10</v>
      </c>
      <c r="K18" s="180" t="str">
        <f t="shared" si="1"/>
        <v>TRANSITA</v>
      </c>
      <c r="L18" s="132">
        <v>14</v>
      </c>
      <c r="M18" s="133">
        <v>18</v>
      </c>
      <c r="N18" s="133"/>
      <c r="O18" s="133">
        <v>15</v>
      </c>
      <c r="P18" s="133"/>
      <c r="Q18" s="127">
        <f t="shared" si="6"/>
        <v>15.666666666666666</v>
      </c>
      <c r="R18" s="180" t="str">
        <f t="shared" si="2"/>
        <v>TRANSITA</v>
      </c>
      <c r="S18" s="134"/>
      <c r="T18" s="135"/>
      <c r="U18" s="135"/>
      <c r="V18" s="136"/>
      <c r="W18" s="136"/>
      <c r="X18" s="23">
        <f t="shared" si="7"/>
        <v>0</v>
      </c>
      <c r="Y18" s="21">
        <f t="shared" si="8"/>
        <v>8.5555555555555554</v>
      </c>
      <c r="Z18" s="180" t="str">
        <f t="shared" si="4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124">
        <v>10</v>
      </c>
      <c r="F19" s="125">
        <v>10</v>
      </c>
      <c r="G19" s="125"/>
      <c r="H19" s="126">
        <v>10</v>
      </c>
      <c r="I19" s="126"/>
      <c r="J19" s="127">
        <f t="shared" si="5"/>
        <v>10</v>
      </c>
      <c r="K19" s="180" t="str">
        <f t="shared" si="1"/>
        <v>TRANSITA</v>
      </c>
      <c r="L19" s="132">
        <v>10</v>
      </c>
      <c r="M19" s="133">
        <v>13</v>
      </c>
      <c r="N19" s="133"/>
      <c r="O19" s="133">
        <v>16</v>
      </c>
      <c r="P19" s="133"/>
      <c r="Q19" s="127">
        <f t="shared" si="6"/>
        <v>13</v>
      </c>
      <c r="R19" s="180" t="str">
        <f t="shared" si="2"/>
        <v>TRANSITA</v>
      </c>
      <c r="S19" s="134"/>
      <c r="T19" s="135"/>
      <c r="U19" s="135"/>
      <c r="V19" s="136"/>
      <c r="W19" s="136"/>
      <c r="X19" s="23">
        <f t="shared" si="7"/>
        <v>0</v>
      </c>
      <c r="Y19" s="21">
        <f t="shared" si="8"/>
        <v>7.666666666666667</v>
      </c>
      <c r="Z19" s="180" t="str">
        <f t="shared" si="4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124">
        <v>8</v>
      </c>
      <c r="F20" s="125">
        <v>10</v>
      </c>
      <c r="G20" s="125"/>
      <c r="H20" s="126">
        <v>15</v>
      </c>
      <c r="I20" s="126"/>
      <c r="J20" s="127">
        <f t="shared" si="5"/>
        <v>11</v>
      </c>
      <c r="K20" s="180" t="str">
        <f t="shared" si="1"/>
        <v>TRANSITA</v>
      </c>
      <c r="L20" s="132">
        <v>10</v>
      </c>
      <c r="M20" s="133">
        <v>10</v>
      </c>
      <c r="N20" s="133"/>
      <c r="O20" s="133">
        <v>13</v>
      </c>
      <c r="P20" s="133"/>
      <c r="Q20" s="127">
        <f t="shared" si="6"/>
        <v>11</v>
      </c>
      <c r="R20" s="180" t="str">
        <f t="shared" si="2"/>
        <v>TRANSITA</v>
      </c>
      <c r="S20" s="134"/>
      <c r="T20" s="135"/>
      <c r="U20" s="135"/>
      <c r="V20" s="136"/>
      <c r="W20" s="136"/>
      <c r="X20" s="23">
        <f t="shared" si="7"/>
        <v>0</v>
      </c>
      <c r="Y20" s="21">
        <f t="shared" si="8"/>
        <v>7.333333333333333</v>
      </c>
      <c r="Z20" s="180" t="str">
        <f t="shared" si="4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124">
        <v>12</v>
      </c>
      <c r="F21" s="125">
        <v>13</v>
      </c>
      <c r="G21" s="125"/>
      <c r="H21" s="126">
        <v>17</v>
      </c>
      <c r="I21" s="126"/>
      <c r="J21" s="127">
        <f t="shared" si="5"/>
        <v>14</v>
      </c>
      <c r="K21" s="180" t="str">
        <f t="shared" si="1"/>
        <v>TRANSITA</v>
      </c>
      <c r="L21" s="132">
        <v>13</v>
      </c>
      <c r="M21" s="133">
        <v>10</v>
      </c>
      <c r="N21" s="133"/>
      <c r="O21" s="133">
        <v>13</v>
      </c>
      <c r="P21" s="133"/>
      <c r="Q21" s="127">
        <f t="shared" si="6"/>
        <v>12</v>
      </c>
      <c r="R21" s="180" t="str">
        <f t="shared" si="2"/>
        <v>TRANSITA</v>
      </c>
      <c r="S21" s="134"/>
      <c r="T21" s="135"/>
      <c r="U21" s="135"/>
      <c r="V21" s="136"/>
      <c r="W21" s="136"/>
      <c r="X21" s="23">
        <f t="shared" si="7"/>
        <v>0</v>
      </c>
      <c r="Y21" s="21">
        <f t="shared" si="8"/>
        <v>8.6666666666666661</v>
      </c>
      <c r="Z21" s="180" t="str">
        <f t="shared" si="4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124">
        <v>14</v>
      </c>
      <c r="F22" s="125">
        <v>16</v>
      </c>
      <c r="G22" s="125"/>
      <c r="H22" s="126">
        <v>18</v>
      </c>
      <c r="I22" s="126"/>
      <c r="J22" s="127">
        <f t="shared" si="5"/>
        <v>16</v>
      </c>
      <c r="K22" s="180" t="str">
        <f t="shared" si="1"/>
        <v>TRANSITA</v>
      </c>
      <c r="L22" s="132">
        <v>15</v>
      </c>
      <c r="M22" s="133">
        <v>15</v>
      </c>
      <c r="N22" s="133"/>
      <c r="O22" s="133">
        <v>18</v>
      </c>
      <c r="P22" s="133"/>
      <c r="Q22" s="127">
        <f t="shared" si="6"/>
        <v>16</v>
      </c>
      <c r="R22" s="180" t="str">
        <f t="shared" si="2"/>
        <v>TRANSITA</v>
      </c>
      <c r="S22" s="134"/>
      <c r="T22" s="135"/>
      <c r="U22" s="135"/>
      <c r="V22" s="136"/>
      <c r="W22" s="136"/>
      <c r="X22" s="23">
        <f t="shared" si="7"/>
        <v>0</v>
      </c>
      <c r="Y22" s="21">
        <f t="shared" si="8"/>
        <v>10.666666666666666</v>
      </c>
      <c r="Z22" s="180" t="str">
        <f t="shared" si="4"/>
        <v>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124">
        <v>12</v>
      </c>
      <c r="F23" s="125">
        <v>15</v>
      </c>
      <c r="G23" s="125"/>
      <c r="H23" s="126">
        <v>15</v>
      </c>
      <c r="I23" s="126"/>
      <c r="J23" s="127">
        <f t="shared" si="5"/>
        <v>14</v>
      </c>
      <c r="K23" s="180" t="str">
        <f t="shared" si="1"/>
        <v>TRANSITA</v>
      </c>
      <c r="L23" s="132">
        <v>5</v>
      </c>
      <c r="M23" s="133"/>
      <c r="N23" s="133"/>
      <c r="O23" s="133">
        <v>13</v>
      </c>
      <c r="P23" s="133"/>
      <c r="Q23" s="127">
        <f t="shared" si="6"/>
        <v>6</v>
      </c>
      <c r="R23" s="180" t="str">
        <f t="shared" si="2"/>
        <v>N/TRANSITA</v>
      </c>
      <c r="S23" s="134"/>
      <c r="T23" s="135"/>
      <c r="U23" s="135"/>
      <c r="V23" s="136"/>
      <c r="W23" s="136"/>
      <c r="X23" s="23">
        <f t="shared" si="7"/>
        <v>0</v>
      </c>
      <c r="Y23" s="21">
        <f t="shared" si="8"/>
        <v>6.666666666666667</v>
      </c>
      <c r="Z23" s="180" t="str">
        <f t="shared" si="4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124">
        <v>11</v>
      </c>
      <c r="F24" s="125">
        <v>16</v>
      </c>
      <c r="G24" s="125"/>
      <c r="H24" s="126">
        <v>15</v>
      </c>
      <c r="I24" s="126"/>
      <c r="J24" s="127">
        <f t="shared" si="5"/>
        <v>14</v>
      </c>
      <c r="K24" s="180" t="str">
        <f t="shared" si="1"/>
        <v>TRANSITA</v>
      </c>
      <c r="L24" s="132">
        <v>14</v>
      </c>
      <c r="M24" s="133">
        <v>10</v>
      </c>
      <c r="N24" s="133"/>
      <c r="O24" s="133">
        <v>18</v>
      </c>
      <c r="P24" s="133"/>
      <c r="Q24" s="127">
        <f t="shared" si="6"/>
        <v>14</v>
      </c>
      <c r="R24" s="180" t="str">
        <f t="shared" si="2"/>
        <v>TRANSITA</v>
      </c>
      <c r="S24" s="134"/>
      <c r="T24" s="135"/>
      <c r="U24" s="135"/>
      <c r="V24" s="136"/>
      <c r="W24" s="136"/>
      <c r="X24" s="23">
        <f t="shared" si="7"/>
        <v>0</v>
      </c>
      <c r="Y24" s="21">
        <f t="shared" si="8"/>
        <v>9.3333333333333339</v>
      </c>
      <c r="Z24" s="180" t="str">
        <f t="shared" si="4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124">
        <v>10</v>
      </c>
      <c r="F25" s="125">
        <v>13</v>
      </c>
      <c r="G25" s="125"/>
      <c r="H25" s="126">
        <v>16</v>
      </c>
      <c r="I25" s="126"/>
      <c r="J25" s="127">
        <f t="shared" si="5"/>
        <v>13</v>
      </c>
      <c r="K25" s="180" t="str">
        <f t="shared" si="1"/>
        <v>TRANSITA</v>
      </c>
      <c r="L25" s="132">
        <v>8</v>
      </c>
      <c r="M25" s="133">
        <v>8</v>
      </c>
      <c r="N25" s="133"/>
      <c r="O25" s="133">
        <v>14</v>
      </c>
      <c r="P25" s="133"/>
      <c r="Q25" s="127">
        <f t="shared" ref="Q25:Q26" si="9">AVERAGE(L25,MAX(M25:N25),MAX(O25:P25))</f>
        <v>10</v>
      </c>
      <c r="R25" s="180" t="str">
        <f t="shared" ref="R25:R26" si="10">IF(Q25&gt;=10,"TRANSITA","N/TRANSITA")</f>
        <v>TRANSITA</v>
      </c>
      <c r="S25" s="134"/>
      <c r="T25" s="135"/>
      <c r="U25" s="135"/>
      <c r="V25" s="136"/>
      <c r="W25" s="136"/>
      <c r="X25" s="23">
        <f t="shared" ref="X25:X26" si="11">AVERAGE(S25,MAX(T25:U25),MAX(V25:W25))</f>
        <v>0</v>
      </c>
      <c r="Y25" s="21">
        <f t="shared" ref="Y25:Y26" si="12">SUM(J25,Q25,X25)/3</f>
        <v>7.666666666666667</v>
      </c>
      <c r="Z25" s="180" t="str">
        <f t="shared" ref="Z25:Z26" si="13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124">
        <v>15</v>
      </c>
      <c r="F26" s="125">
        <v>18</v>
      </c>
      <c r="G26" s="125"/>
      <c r="H26" s="126">
        <v>15</v>
      </c>
      <c r="I26" s="126"/>
      <c r="J26" s="127">
        <f t="shared" si="5"/>
        <v>16</v>
      </c>
      <c r="K26" s="180" t="str">
        <f t="shared" si="1"/>
        <v>TRANSITA</v>
      </c>
      <c r="L26" s="132">
        <v>14</v>
      </c>
      <c r="M26" s="133">
        <v>13</v>
      </c>
      <c r="N26" s="133"/>
      <c r="O26" s="133">
        <v>18</v>
      </c>
      <c r="P26" s="133"/>
      <c r="Q26" s="127">
        <f t="shared" si="9"/>
        <v>15</v>
      </c>
      <c r="R26" s="180" t="str">
        <f t="shared" si="10"/>
        <v>TRANSITA</v>
      </c>
      <c r="S26" s="134"/>
      <c r="T26" s="135"/>
      <c r="U26" s="135"/>
      <c r="V26" s="136"/>
      <c r="W26" s="136"/>
      <c r="X26" s="23">
        <f t="shared" si="11"/>
        <v>0</v>
      </c>
      <c r="Y26" s="21">
        <f t="shared" si="12"/>
        <v>10.333333333333334</v>
      </c>
      <c r="Z26" s="180" t="str">
        <f t="shared" si="13"/>
        <v>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124">
        <v>10</v>
      </c>
      <c r="F27" s="125"/>
      <c r="G27" s="125"/>
      <c r="H27" s="126"/>
      <c r="I27" s="126"/>
      <c r="J27" s="127">
        <f t="shared" si="5"/>
        <v>3.3333333333333335</v>
      </c>
      <c r="K27" s="180" t="str">
        <f t="shared" si="1"/>
        <v>N/TRANSITA</v>
      </c>
      <c r="L27" s="132"/>
      <c r="M27" s="133"/>
      <c r="N27" s="133"/>
      <c r="O27" s="133">
        <v>18</v>
      </c>
      <c r="P27" s="133"/>
      <c r="Q27" s="127">
        <f t="shared" si="6"/>
        <v>9</v>
      </c>
      <c r="R27" s="180" t="str">
        <f t="shared" si="2"/>
        <v>N/TRANSITA</v>
      </c>
      <c r="S27" s="134"/>
      <c r="T27" s="135"/>
      <c r="U27" s="135"/>
      <c r="V27" s="136"/>
      <c r="W27" s="136"/>
      <c r="X27" s="23">
        <f t="shared" si="7"/>
        <v>0</v>
      </c>
      <c r="Y27" s="21">
        <f t="shared" si="8"/>
        <v>4.1111111111111116</v>
      </c>
      <c r="Z27" s="180" t="str">
        <f t="shared" si="4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124"/>
      <c r="F28" s="125"/>
      <c r="G28" s="125"/>
      <c r="H28" s="126"/>
      <c r="I28" s="126"/>
      <c r="J28" s="127">
        <f t="shared" si="5"/>
        <v>0</v>
      </c>
      <c r="K28" s="180" t="str">
        <f t="shared" si="1"/>
        <v>N/TRANSITA</v>
      </c>
      <c r="L28" s="132"/>
      <c r="M28" s="133"/>
      <c r="N28" s="133"/>
      <c r="O28" s="133"/>
      <c r="P28" s="133"/>
      <c r="Q28" s="127">
        <f t="shared" si="6"/>
        <v>0</v>
      </c>
      <c r="R28" s="180" t="str">
        <f t="shared" si="2"/>
        <v>N/TRANSITA</v>
      </c>
      <c r="S28" s="134"/>
      <c r="T28" s="135"/>
      <c r="U28" s="135"/>
      <c r="V28" s="136"/>
      <c r="W28" s="136"/>
      <c r="X28" s="23">
        <f t="shared" si="7"/>
        <v>0</v>
      </c>
      <c r="Y28" s="21">
        <f t="shared" si="8"/>
        <v>0</v>
      </c>
      <c r="Z28" s="180" t="str">
        <f t="shared" si="4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124">
        <v>10</v>
      </c>
      <c r="F29" s="125">
        <v>10</v>
      </c>
      <c r="G29" s="125"/>
      <c r="H29" s="126">
        <v>16</v>
      </c>
      <c r="I29" s="126"/>
      <c r="J29" s="127">
        <f t="shared" si="5"/>
        <v>12</v>
      </c>
      <c r="K29" s="180" t="str">
        <f t="shared" si="1"/>
        <v>TRANSITA</v>
      </c>
      <c r="L29" s="132">
        <v>5</v>
      </c>
      <c r="M29" s="133">
        <v>10</v>
      </c>
      <c r="N29" s="133"/>
      <c r="O29" s="133">
        <v>18</v>
      </c>
      <c r="P29" s="133"/>
      <c r="Q29" s="127">
        <f t="shared" si="6"/>
        <v>11</v>
      </c>
      <c r="R29" s="180" t="str">
        <f t="shared" si="2"/>
        <v>TRANSITA</v>
      </c>
      <c r="S29" s="134"/>
      <c r="T29" s="135"/>
      <c r="U29" s="135"/>
      <c r="V29" s="136"/>
      <c r="W29" s="136"/>
      <c r="X29" s="23">
        <f t="shared" si="7"/>
        <v>0</v>
      </c>
      <c r="Y29" s="21">
        <f t="shared" si="8"/>
        <v>7.666666666666667</v>
      </c>
      <c r="Z29" s="180" t="str">
        <f t="shared" si="4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124">
        <v>11</v>
      </c>
      <c r="F30" s="125">
        <v>12</v>
      </c>
      <c r="G30" s="125"/>
      <c r="H30" s="126">
        <v>16</v>
      </c>
      <c r="I30" s="126"/>
      <c r="J30" s="127">
        <f t="shared" si="5"/>
        <v>13</v>
      </c>
      <c r="K30" s="180" t="str">
        <f t="shared" si="1"/>
        <v>TRANSITA</v>
      </c>
      <c r="L30" s="132">
        <v>12</v>
      </c>
      <c r="M30" s="133">
        <v>14</v>
      </c>
      <c r="N30" s="133"/>
      <c r="O30" s="133">
        <v>16</v>
      </c>
      <c r="P30" s="133"/>
      <c r="Q30" s="127">
        <f t="shared" si="6"/>
        <v>14</v>
      </c>
      <c r="R30" s="180" t="str">
        <f t="shared" si="2"/>
        <v>TRANSITA</v>
      </c>
      <c r="S30" s="134"/>
      <c r="T30" s="135"/>
      <c r="U30" s="135"/>
      <c r="V30" s="136"/>
      <c r="W30" s="136"/>
      <c r="X30" s="23">
        <f t="shared" si="7"/>
        <v>0</v>
      </c>
      <c r="Y30" s="21">
        <f t="shared" si="8"/>
        <v>9</v>
      </c>
      <c r="Z30" s="180" t="str">
        <f t="shared" si="4"/>
        <v>N/TRANSITA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124"/>
      <c r="F31" s="125"/>
      <c r="G31" s="125"/>
      <c r="H31" s="126"/>
      <c r="I31" s="126"/>
      <c r="J31" s="127">
        <f t="shared" si="5"/>
        <v>0</v>
      </c>
      <c r="K31" s="180" t="str">
        <f t="shared" si="1"/>
        <v>N/TRANSITA</v>
      </c>
      <c r="L31" s="132"/>
      <c r="M31" s="133"/>
      <c r="N31" s="133"/>
      <c r="O31" s="133"/>
      <c r="P31" s="133"/>
      <c r="Q31" s="127">
        <f t="shared" ref="Q31" si="14">AVERAGE(L31,MAX(M31:N31),MAX(O31:P31))</f>
        <v>0</v>
      </c>
      <c r="R31" s="180" t="str">
        <f t="shared" ref="R31" si="15">IF(Q31&gt;=10,"TRANSITA","N/TRANSITA")</f>
        <v>N/TRANSITA</v>
      </c>
      <c r="S31" s="134"/>
      <c r="T31" s="135"/>
      <c r="U31" s="135"/>
      <c r="V31" s="136"/>
      <c r="W31" s="136"/>
      <c r="X31" s="23">
        <f t="shared" ref="X31" si="16">AVERAGE(S31,MAX(T31:U31),MAX(V31:W31))</f>
        <v>0</v>
      </c>
      <c r="Y31" s="21">
        <f t="shared" ref="Y31" si="17">SUM(J31,Q31,X31)/3</f>
        <v>0</v>
      </c>
      <c r="Z31" s="180" t="str">
        <f t="shared" ref="Z31" si="18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124">
        <v>14</v>
      </c>
      <c r="F32" s="125">
        <v>12</v>
      </c>
      <c r="G32" s="125"/>
      <c r="H32" s="126">
        <v>16</v>
      </c>
      <c r="I32" s="126"/>
      <c r="J32" s="127">
        <f t="shared" si="5"/>
        <v>14</v>
      </c>
      <c r="K32" s="180" t="str">
        <f t="shared" si="1"/>
        <v>TRANSITA</v>
      </c>
      <c r="L32" s="132">
        <v>12</v>
      </c>
      <c r="M32" s="133">
        <v>8</v>
      </c>
      <c r="N32" s="133"/>
      <c r="O32" s="133">
        <v>10</v>
      </c>
      <c r="P32" s="133"/>
      <c r="Q32" s="127">
        <f t="shared" ref="Q32:Q48" si="19">AVERAGE(L32,MAX(M32:N32),MAX(O32:P32))</f>
        <v>10</v>
      </c>
      <c r="R32" s="180" t="str">
        <f t="shared" si="2"/>
        <v>TRANSITA</v>
      </c>
      <c r="S32" s="134"/>
      <c r="T32" s="135"/>
      <c r="U32" s="135"/>
      <c r="V32" s="136"/>
      <c r="W32" s="136"/>
      <c r="X32" s="23">
        <f t="shared" ref="X32:X48" si="20">AVERAGE(S32,MAX(T32:U32),MAX(V32:W32))</f>
        <v>0</v>
      </c>
      <c r="Y32" s="21">
        <f t="shared" ref="Y32:Y48" si="21">SUM(J32,Q32,X32)/3</f>
        <v>8</v>
      </c>
      <c r="Z32" s="180" t="str">
        <f t="shared" si="4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124">
        <v>15</v>
      </c>
      <c r="F33" s="125">
        <v>14</v>
      </c>
      <c r="G33" s="125"/>
      <c r="H33" s="126">
        <v>16</v>
      </c>
      <c r="I33" s="126"/>
      <c r="J33" s="127">
        <f t="shared" si="5"/>
        <v>15</v>
      </c>
      <c r="K33" s="180" t="str">
        <f t="shared" si="1"/>
        <v>TRANSITA</v>
      </c>
      <c r="L33" s="132">
        <v>10</v>
      </c>
      <c r="M33" s="133">
        <v>10</v>
      </c>
      <c r="N33" s="133"/>
      <c r="O33" s="133">
        <v>10</v>
      </c>
      <c r="P33" s="133"/>
      <c r="Q33" s="127">
        <f t="shared" si="19"/>
        <v>10</v>
      </c>
      <c r="R33" s="180" t="str">
        <f t="shared" si="2"/>
        <v>TRANSITA</v>
      </c>
      <c r="S33" s="134"/>
      <c r="T33" s="135"/>
      <c r="U33" s="135"/>
      <c r="V33" s="136"/>
      <c r="W33" s="136"/>
      <c r="X33" s="23">
        <f t="shared" si="20"/>
        <v>0</v>
      </c>
      <c r="Y33" s="21">
        <f t="shared" si="21"/>
        <v>8.3333333333333339</v>
      </c>
      <c r="Z33" s="180" t="str">
        <f t="shared" si="4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124">
        <v>13</v>
      </c>
      <c r="F34" s="125">
        <v>15</v>
      </c>
      <c r="G34" s="125"/>
      <c r="H34" s="126">
        <v>17</v>
      </c>
      <c r="I34" s="126"/>
      <c r="J34" s="127">
        <f t="shared" si="5"/>
        <v>15</v>
      </c>
      <c r="K34" s="180" t="str">
        <f t="shared" si="1"/>
        <v>TRANSITA</v>
      </c>
      <c r="L34" s="132">
        <v>12</v>
      </c>
      <c r="M34" s="133">
        <v>15</v>
      </c>
      <c r="N34" s="133"/>
      <c r="O34" s="133">
        <v>18</v>
      </c>
      <c r="P34" s="133"/>
      <c r="Q34" s="127">
        <f t="shared" si="19"/>
        <v>15</v>
      </c>
      <c r="R34" s="180" t="str">
        <f t="shared" si="2"/>
        <v>TRANSITA</v>
      </c>
      <c r="S34" s="134"/>
      <c r="T34" s="135"/>
      <c r="U34" s="135"/>
      <c r="V34" s="136"/>
      <c r="W34" s="136"/>
      <c r="X34" s="23">
        <f t="shared" si="20"/>
        <v>0</v>
      </c>
      <c r="Y34" s="21">
        <f t="shared" si="21"/>
        <v>10</v>
      </c>
      <c r="Z34" s="180" t="str">
        <f t="shared" si="4"/>
        <v>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124">
        <v>10</v>
      </c>
      <c r="F35" s="125">
        <v>12</v>
      </c>
      <c r="G35" s="125"/>
      <c r="H35" s="126">
        <v>8</v>
      </c>
      <c r="I35" s="126"/>
      <c r="J35" s="127">
        <f t="shared" si="5"/>
        <v>10</v>
      </c>
      <c r="K35" s="180" t="str">
        <f t="shared" si="1"/>
        <v>TRANSITA</v>
      </c>
      <c r="L35" s="132"/>
      <c r="M35" s="133"/>
      <c r="N35" s="133"/>
      <c r="O35" s="133"/>
      <c r="P35" s="133"/>
      <c r="Q35" s="127">
        <f t="shared" si="19"/>
        <v>0</v>
      </c>
      <c r="R35" s="180" t="str">
        <f t="shared" si="2"/>
        <v>N/TRANSITA</v>
      </c>
      <c r="S35" s="134"/>
      <c r="T35" s="135"/>
      <c r="U35" s="135"/>
      <c r="V35" s="136"/>
      <c r="W35" s="136"/>
      <c r="X35" s="23">
        <f t="shared" si="20"/>
        <v>0</v>
      </c>
      <c r="Y35" s="21">
        <f t="shared" si="21"/>
        <v>3.3333333333333335</v>
      </c>
      <c r="Z35" s="180" t="str">
        <f t="shared" si="4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124">
        <v>8</v>
      </c>
      <c r="F36" s="125">
        <v>14</v>
      </c>
      <c r="G36" s="125"/>
      <c r="H36" s="126">
        <v>17</v>
      </c>
      <c r="I36" s="126"/>
      <c r="J36" s="127">
        <f t="shared" si="5"/>
        <v>13</v>
      </c>
      <c r="K36" s="180" t="str">
        <f t="shared" si="1"/>
        <v>TRANSITA</v>
      </c>
      <c r="L36" s="132">
        <v>10</v>
      </c>
      <c r="M36" s="133">
        <v>10</v>
      </c>
      <c r="N36" s="133"/>
      <c r="O36" s="133">
        <v>13</v>
      </c>
      <c r="P36" s="133"/>
      <c r="Q36" s="127">
        <f t="shared" si="19"/>
        <v>11</v>
      </c>
      <c r="R36" s="180" t="str">
        <f t="shared" si="2"/>
        <v>TRANSITA</v>
      </c>
      <c r="S36" s="134"/>
      <c r="T36" s="135"/>
      <c r="U36" s="135"/>
      <c r="V36" s="136"/>
      <c r="W36" s="136"/>
      <c r="X36" s="23">
        <f t="shared" si="20"/>
        <v>0</v>
      </c>
      <c r="Y36" s="21">
        <f t="shared" si="21"/>
        <v>8</v>
      </c>
      <c r="Z36" s="180" t="str">
        <f t="shared" si="4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124">
        <v>14</v>
      </c>
      <c r="F37" s="125">
        <v>18</v>
      </c>
      <c r="G37" s="125"/>
      <c r="H37" s="126">
        <v>16</v>
      </c>
      <c r="I37" s="126"/>
      <c r="J37" s="127">
        <f t="shared" si="5"/>
        <v>16</v>
      </c>
      <c r="K37" s="180" t="str">
        <f t="shared" si="1"/>
        <v>TRANSITA</v>
      </c>
      <c r="L37" s="132">
        <v>10</v>
      </c>
      <c r="M37" s="133">
        <v>16</v>
      </c>
      <c r="N37" s="133"/>
      <c r="O37" s="133">
        <v>16</v>
      </c>
      <c r="P37" s="133"/>
      <c r="Q37" s="127">
        <f t="shared" si="19"/>
        <v>14</v>
      </c>
      <c r="R37" s="180" t="str">
        <f t="shared" si="2"/>
        <v>TRANSITA</v>
      </c>
      <c r="S37" s="134"/>
      <c r="T37" s="135"/>
      <c r="U37" s="135"/>
      <c r="V37" s="136"/>
      <c r="W37" s="136"/>
      <c r="X37" s="23">
        <f t="shared" si="20"/>
        <v>0</v>
      </c>
      <c r="Y37" s="21">
        <f t="shared" si="21"/>
        <v>10</v>
      </c>
      <c r="Z37" s="180" t="str">
        <f t="shared" si="4"/>
        <v>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124">
        <v>15</v>
      </c>
      <c r="F38" s="125">
        <v>18</v>
      </c>
      <c r="G38" s="125"/>
      <c r="H38" s="126">
        <v>16</v>
      </c>
      <c r="I38" s="126"/>
      <c r="J38" s="127">
        <f t="shared" si="5"/>
        <v>16.333333333333332</v>
      </c>
      <c r="K38" s="180" t="str">
        <f t="shared" si="1"/>
        <v>TRANSITA</v>
      </c>
      <c r="L38" s="132">
        <v>13</v>
      </c>
      <c r="M38" s="133">
        <v>8</v>
      </c>
      <c r="N38" s="133"/>
      <c r="O38" s="133">
        <v>18</v>
      </c>
      <c r="P38" s="133"/>
      <c r="Q38" s="127">
        <f t="shared" si="19"/>
        <v>13</v>
      </c>
      <c r="R38" s="180" t="str">
        <f t="shared" si="2"/>
        <v>TRANSITA</v>
      </c>
      <c r="S38" s="134"/>
      <c r="T38" s="135"/>
      <c r="U38" s="135"/>
      <c r="V38" s="136"/>
      <c r="W38" s="136"/>
      <c r="X38" s="23">
        <f t="shared" si="20"/>
        <v>0</v>
      </c>
      <c r="Y38" s="21">
        <f t="shared" si="21"/>
        <v>9.7777777777777768</v>
      </c>
      <c r="Z38" s="180" t="str">
        <f t="shared" si="4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124"/>
      <c r="F39" s="125"/>
      <c r="G39" s="125"/>
      <c r="H39" s="126"/>
      <c r="I39" s="126"/>
      <c r="J39" s="127">
        <f t="shared" si="5"/>
        <v>0</v>
      </c>
      <c r="K39" s="180" t="str">
        <f t="shared" si="1"/>
        <v>N/TRANSITA</v>
      </c>
      <c r="L39" s="132"/>
      <c r="M39" s="133"/>
      <c r="N39" s="133"/>
      <c r="O39" s="133"/>
      <c r="P39" s="133"/>
      <c r="Q39" s="127">
        <f t="shared" ref="Q39:Q43" si="22">AVERAGE(L39,MAX(M39:N39),MAX(O39:P39))</f>
        <v>0</v>
      </c>
      <c r="R39" s="180" t="str">
        <f t="shared" ref="R39:R43" si="23">IF(Q39&gt;=10,"TRANSITA","N/TRANSITA")</f>
        <v>N/TRANSITA</v>
      </c>
      <c r="S39" s="134"/>
      <c r="T39" s="135"/>
      <c r="U39" s="135"/>
      <c r="V39" s="136"/>
      <c r="W39" s="136"/>
      <c r="X39" s="23">
        <f t="shared" ref="X39:X43" si="24">AVERAGE(S39,MAX(T39:U39),MAX(V39:W39))</f>
        <v>0</v>
      </c>
      <c r="Y39" s="21">
        <f t="shared" ref="Y39:Y43" si="25">SUM(J39,Q39,X39)/3</f>
        <v>0</v>
      </c>
      <c r="Z39" s="180" t="str">
        <f t="shared" ref="Z39:Z43" si="26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124"/>
      <c r="F40" s="125"/>
      <c r="G40" s="125"/>
      <c r="H40" s="126"/>
      <c r="I40" s="126"/>
      <c r="J40" s="127">
        <f t="shared" si="5"/>
        <v>0</v>
      </c>
      <c r="K40" s="180" t="str">
        <f t="shared" si="1"/>
        <v>N/TRANSITA</v>
      </c>
      <c r="L40" s="132"/>
      <c r="M40" s="133"/>
      <c r="N40" s="133"/>
      <c r="O40" s="133"/>
      <c r="P40" s="133"/>
      <c r="Q40" s="127">
        <f t="shared" si="22"/>
        <v>0</v>
      </c>
      <c r="R40" s="180" t="str">
        <f t="shared" si="23"/>
        <v>N/TRANSITA</v>
      </c>
      <c r="S40" s="134"/>
      <c r="T40" s="135"/>
      <c r="U40" s="135"/>
      <c r="V40" s="136"/>
      <c r="W40" s="136"/>
      <c r="X40" s="23">
        <f t="shared" si="24"/>
        <v>0</v>
      </c>
      <c r="Y40" s="21">
        <f t="shared" si="25"/>
        <v>0</v>
      </c>
      <c r="Z40" s="180" t="str">
        <f t="shared" si="26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124">
        <v>10</v>
      </c>
      <c r="F41" s="125">
        <v>10</v>
      </c>
      <c r="G41" s="125"/>
      <c r="H41" s="126">
        <v>10</v>
      </c>
      <c r="I41" s="126"/>
      <c r="J41" s="127">
        <f t="shared" si="5"/>
        <v>10</v>
      </c>
      <c r="K41" s="180" t="str">
        <f t="shared" si="1"/>
        <v>TRANSITA</v>
      </c>
      <c r="L41" s="132">
        <v>10</v>
      </c>
      <c r="M41" s="133">
        <v>14</v>
      </c>
      <c r="N41" s="133"/>
      <c r="O41" s="133">
        <v>18</v>
      </c>
      <c r="P41" s="133"/>
      <c r="Q41" s="127">
        <f t="shared" si="22"/>
        <v>14</v>
      </c>
      <c r="R41" s="180" t="str">
        <f t="shared" si="23"/>
        <v>TRANSITA</v>
      </c>
      <c r="S41" s="134"/>
      <c r="T41" s="135"/>
      <c r="U41" s="135"/>
      <c r="V41" s="136"/>
      <c r="W41" s="136"/>
      <c r="X41" s="23">
        <f t="shared" si="24"/>
        <v>0</v>
      </c>
      <c r="Y41" s="21">
        <f t="shared" si="25"/>
        <v>8</v>
      </c>
      <c r="Z41" s="180" t="str">
        <f t="shared" si="26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124">
        <v>10</v>
      </c>
      <c r="F42" s="125">
        <v>14</v>
      </c>
      <c r="G42" s="125"/>
      <c r="H42" s="126">
        <v>12</v>
      </c>
      <c r="I42" s="126"/>
      <c r="J42" s="127">
        <f t="shared" si="5"/>
        <v>12</v>
      </c>
      <c r="K42" s="180" t="str">
        <f t="shared" si="1"/>
        <v>TRANSITA</v>
      </c>
      <c r="L42" s="132">
        <v>8</v>
      </c>
      <c r="M42" s="133">
        <v>8</v>
      </c>
      <c r="N42" s="133"/>
      <c r="O42" s="133">
        <v>14</v>
      </c>
      <c r="P42" s="133"/>
      <c r="Q42" s="127">
        <f t="shared" si="22"/>
        <v>10</v>
      </c>
      <c r="R42" s="180" t="str">
        <f t="shared" si="23"/>
        <v>TRANSITA</v>
      </c>
      <c r="S42" s="134"/>
      <c r="T42" s="135"/>
      <c r="U42" s="135"/>
      <c r="V42" s="136"/>
      <c r="W42" s="136"/>
      <c r="X42" s="23">
        <f t="shared" si="24"/>
        <v>0</v>
      </c>
      <c r="Y42" s="21">
        <f t="shared" si="25"/>
        <v>7.333333333333333</v>
      </c>
      <c r="Z42" s="180" t="str">
        <f t="shared" si="26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124">
        <v>10</v>
      </c>
      <c r="F43" s="125">
        <v>16</v>
      </c>
      <c r="G43" s="125"/>
      <c r="H43" s="126">
        <v>16</v>
      </c>
      <c r="I43" s="126"/>
      <c r="J43" s="127">
        <f t="shared" si="5"/>
        <v>14</v>
      </c>
      <c r="K43" s="180" t="str">
        <f t="shared" si="1"/>
        <v>TRANSITA</v>
      </c>
      <c r="L43" s="132">
        <v>14</v>
      </c>
      <c r="M43" s="133">
        <v>14</v>
      </c>
      <c r="N43" s="133"/>
      <c r="O43" s="133">
        <v>14</v>
      </c>
      <c r="P43" s="133"/>
      <c r="Q43" s="127">
        <f t="shared" si="22"/>
        <v>14</v>
      </c>
      <c r="R43" s="180" t="str">
        <f t="shared" si="23"/>
        <v>TRANSITA</v>
      </c>
      <c r="S43" s="134"/>
      <c r="T43" s="135"/>
      <c r="U43" s="135"/>
      <c r="V43" s="136"/>
      <c r="W43" s="136"/>
      <c r="X43" s="23">
        <f t="shared" si="24"/>
        <v>0</v>
      </c>
      <c r="Y43" s="21">
        <f t="shared" si="25"/>
        <v>9.3333333333333339</v>
      </c>
      <c r="Z43" s="180" t="str">
        <f t="shared" si="26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124">
        <v>6</v>
      </c>
      <c r="F44" s="125">
        <v>14</v>
      </c>
      <c r="G44" s="125"/>
      <c r="H44" s="126">
        <v>13</v>
      </c>
      <c r="I44" s="126"/>
      <c r="J44" s="127">
        <f t="shared" si="5"/>
        <v>11</v>
      </c>
      <c r="K44" s="180" t="str">
        <f t="shared" si="1"/>
        <v>TRANSITA</v>
      </c>
      <c r="L44" s="132">
        <v>11</v>
      </c>
      <c r="M44" s="133">
        <v>10</v>
      </c>
      <c r="N44" s="133"/>
      <c r="O44" s="133"/>
      <c r="P44" s="133"/>
      <c r="Q44" s="127">
        <f t="shared" si="19"/>
        <v>7</v>
      </c>
      <c r="R44" s="180" t="str">
        <f t="shared" si="2"/>
        <v>N/TRANSITA</v>
      </c>
      <c r="S44" s="134"/>
      <c r="T44" s="135"/>
      <c r="U44" s="135"/>
      <c r="V44" s="136"/>
      <c r="W44" s="136"/>
      <c r="X44" s="23">
        <f t="shared" si="20"/>
        <v>0</v>
      </c>
      <c r="Y44" s="21">
        <f t="shared" si="21"/>
        <v>6</v>
      </c>
      <c r="Z44" s="180" t="str">
        <f t="shared" si="4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124">
        <v>12</v>
      </c>
      <c r="F45" s="125">
        <v>10</v>
      </c>
      <c r="G45" s="125"/>
      <c r="H45" s="126">
        <v>8</v>
      </c>
      <c r="I45" s="126"/>
      <c r="J45" s="127">
        <f t="shared" si="5"/>
        <v>10</v>
      </c>
      <c r="K45" s="180" t="str">
        <f t="shared" si="1"/>
        <v>TRANSITA</v>
      </c>
      <c r="L45" s="132"/>
      <c r="M45" s="133"/>
      <c r="N45" s="133"/>
      <c r="O45" s="133"/>
      <c r="P45" s="133"/>
      <c r="Q45" s="127">
        <f t="shared" si="19"/>
        <v>0</v>
      </c>
      <c r="R45" s="180" t="str">
        <f t="shared" si="2"/>
        <v>N/TRANSITA</v>
      </c>
      <c r="S45" s="134"/>
      <c r="T45" s="135"/>
      <c r="U45" s="135"/>
      <c r="V45" s="136"/>
      <c r="W45" s="136"/>
      <c r="X45" s="23">
        <f t="shared" si="20"/>
        <v>0</v>
      </c>
      <c r="Y45" s="21">
        <f t="shared" si="21"/>
        <v>3.3333333333333335</v>
      </c>
      <c r="Z45" s="180" t="str">
        <f t="shared" si="4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124"/>
      <c r="F46" s="125"/>
      <c r="G46" s="125"/>
      <c r="H46" s="126"/>
      <c r="I46" s="126"/>
      <c r="J46" s="127">
        <f t="shared" si="5"/>
        <v>0</v>
      </c>
      <c r="K46" s="180" t="str">
        <f t="shared" si="1"/>
        <v>N/TRANSITA</v>
      </c>
      <c r="L46" s="132"/>
      <c r="M46" s="133"/>
      <c r="N46" s="133"/>
      <c r="O46" s="133"/>
      <c r="P46" s="133"/>
      <c r="Q46" s="127">
        <f t="shared" ref="Q46:Q47" si="27">AVERAGE(L46,MAX(M46:N46),MAX(O46:P46))</f>
        <v>0</v>
      </c>
      <c r="R46" s="180" t="str">
        <f t="shared" ref="R46:R47" si="28">IF(Q46&gt;=10,"TRANSITA","N/TRANSITA")</f>
        <v>N/TRANSITA</v>
      </c>
      <c r="S46" s="134"/>
      <c r="T46" s="135"/>
      <c r="U46" s="135"/>
      <c r="V46" s="136"/>
      <c r="W46" s="136"/>
      <c r="X46" s="23">
        <f t="shared" ref="X46:X47" si="29">AVERAGE(S46,MAX(T46:U46),MAX(V46:W46))</f>
        <v>0</v>
      </c>
      <c r="Y46" s="21">
        <f t="shared" ref="Y46:Y47" si="30">SUM(J46,Q46,X46)/3</f>
        <v>0</v>
      </c>
      <c r="Z46" s="180" t="str">
        <f t="shared" ref="Z46:Z47" si="31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124">
        <v>10</v>
      </c>
      <c r="F47" s="125">
        <v>10</v>
      </c>
      <c r="G47" s="125"/>
      <c r="H47" s="126">
        <v>13</v>
      </c>
      <c r="I47" s="126"/>
      <c r="J47" s="127">
        <f t="shared" si="5"/>
        <v>11</v>
      </c>
      <c r="K47" s="180" t="str">
        <f t="shared" si="1"/>
        <v>TRANSITA</v>
      </c>
      <c r="L47" s="132">
        <v>16</v>
      </c>
      <c r="M47" s="133">
        <v>14</v>
      </c>
      <c r="N47" s="133"/>
      <c r="O47" s="133">
        <v>18</v>
      </c>
      <c r="P47" s="133"/>
      <c r="Q47" s="127">
        <f t="shared" si="27"/>
        <v>16</v>
      </c>
      <c r="R47" s="180" t="str">
        <f t="shared" si="28"/>
        <v>TRANSITA</v>
      </c>
      <c r="S47" s="134"/>
      <c r="T47" s="135"/>
      <c r="U47" s="135"/>
      <c r="V47" s="136"/>
      <c r="W47" s="136"/>
      <c r="X47" s="23">
        <f t="shared" si="29"/>
        <v>0</v>
      </c>
      <c r="Y47" s="21">
        <f t="shared" si="30"/>
        <v>9</v>
      </c>
      <c r="Z47" s="180" t="str">
        <f t="shared" si="31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124">
        <v>13</v>
      </c>
      <c r="F48" s="125">
        <v>10</v>
      </c>
      <c r="G48" s="125"/>
      <c r="H48" s="126">
        <v>16</v>
      </c>
      <c r="I48" s="126"/>
      <c r="J48" s="127">
        <f t="shared" si="5"/>
        <v>13</v>
      </c>
      <c r="K48" s="180" t="str">
        <f t="shared" si="1"/>
        <v>TRANSITA</v>
      </c>
      <c r="L48" s="132">
        <v>8</v>
      </c>
      <c r="M48" s="133"/>
      <c r="N48" s="133"/>
      <c r="O48" s="133"/>
      <c r="P48" s="133"/>
      <c r="Q48" s="127">
        <f t="shared" si="19"/>
        <v>2.6666666666666665</v>
      </c>
      <c r="R48" s="180" t="str">
        <f t="shared" si="2"/>
        <v>N/TRANSITA</v>
      </c>
      <c r="S48" s="134"/>
      <c r="T48" s="135"/>
      <c r="U48" s="135"/>
      <c r="V48" s="136"/>
      <c r="W48" s="136"/>
      <c r="X48" s="23">
        <f t="shared" si="20"/>
        <v>0</v>
      </c>
      <c r="Y48" s="21">
        <f t="shared" si="21"/>
        <v>5.2222222222222223</v>
      </c>
      <c r="Z48" s="180" t="str">
        <f t="shared" si="4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124">
        <v>12</v>
      </c>
      <c r="F49" s="125"/>
      <c r="G49" s="125"/>
      <c r="H49" s="126"/>
      <c r="I49" s="126"/>
      <c r="J49" s="127">
        <f t="shared" si="5"/>
        <v>4</v>
      </c>
      <c r="K49" s="180" t="str">
        <f t="shared" si="1"/>
        <v>N/TRANSITA</v>
      </c>
      <c r="L49" s="132"/>
      <c r="M49" s="133"/>
      <c r="N49" s="133"/>
      <c r="O49" s="133"/>
      <c r="P49" s="133"/>
      <c r="Q49" s="127">
        <f t="shared" si="6"/>
        <v>0</v>
      </c>
      <c r="R49" s="180" t="str">
        <f t="shared" si="2"/>
        <v>N/TRANSITA</v>
      </c>
      <c r="S49" s="134"/>
      <c r="T49" s="135"/>
      <c r="U49" s="135"/>
      <c r="V49" s="136"/>
      <c r="W49" s="136"/>
      <c r="X49" s="23">
        <f t="shared" si="7"/>
        <v>0</v>
      </c>
      <c r="Y49" s="21">
        <f t="shared" si="8"/>
        <v>1.3333333333333333</v>
      </c>
      <c r="Z49" s="180" t="str">
        <f t="shared" si="4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124">
        <v>7</v>
      </c>
      <c r="F50" s="125">
        <v>10</v>
      </c>
      <c r="G50" s="125"/>
      <c r="H50" s="126">
        <v>10</v>
      </c>
      <c r="I50" s="126"/>
      <c r="J50" s="127">
        <f t="shared" si="5"/>
        <v>9</v>
      </c>
      <c r="K50" s="180" t="str">
        <f t="shared" si="1"/>
        <v>N/TRANSITA</v>
      </c>
      <c r="L50" s="132"/>
      <c r="M50" s="133"/>
      <c r="N50" s="133"/>
      <c r="O50" s="133">
        <v>14</v>
      </c>
      <c r="P50" s="133"/>
      <c r="Q50" s="127">
        <f t="shared" si="6"/>
        <v>7</v>
      </c>
      <c r="R50" s="180" t="str">
        <f t="shared" si="2"/>
        <v>N/TRANSITA</v>
      </c>
      <c r="S50" s="134"/>
      <c r="T50" s="135"/>
      <c r="U50" s="135"/>
      <c r="V50" s="136"/>
      <c r="W50" s="136"/>
      <c r="X50" s="23">
        <f t="shared" si="7"/>
        <v>0</v>
      </c>
      <c r="Y50" s="21">
        <f t="shared" si="8"/>
        <v>5.333333333333333</v>
      </c>
      <c r="Z50" s="180" t="str">
        <f t="shared" si="4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124">
        <v>14</v>
      </c>
      <c r="F51" s="125">
        <v>10</v>
      </c>
      <c r="G51" s="125"/>
      <c r="H51" s="126">
        <v>18</v>
      </c>
      <c r="I51" s="126"/>
      <c r="J51" s="127">
        <f t="shared" si="5"/>
        <v>14</v>
      </c>
      <c r="K51" s="180" t="str">
        <f t="shared" si="1"/>
        <v>TRANSITA</v>
      </c>
      <c r="L51" s="132">
        <v>14</v>
      </c>
      <c r="M51" s="133">
        <v>16</v>
      </c>
      <c r="N51" s="133"/>
      <c r="O51" s="133">
        <v>18</v>
      </c>
      <c r="P51" s="133"/>
      <c r="Q51" s="127">
        <f t="shared" si="6"/>
        <v>16</v>
      </c>
      <c r="R51" s="180" t="str">
        <f t="shared" si="2"/>
        <v>TRANSITA</v>
      </c>
      <c r="S51" s="134"/>
      <c r="T51" s="135"/>
      <c r="U51" s="135"/>
      <c r="V51" s="136"/>
      <c r="W51" s="136"/>
      <c r="X51" s="23">
        <f t="shared" si="7"/>
        <v>0</v>
      </c>
      <c r="Y51" s="21">
        <f t="shared" si="8"/>
        <v>10</v>
      </c>
      <c r="Z51" s="180" t="str">
        <f t="shared" si="4"/>
        <v>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124"/>
      <c r="F52" s="125"/>
      <c r="G52" s="125"/>
      <c r="H52" s="126"/>
      <c r="I52" s="126"/>
      <c r="J52" s="127">
        <f t="shared" si="5"/>
        <v>0</v>
      </c>
      <c r="K52" s="180" t="str">
        <f t="shared" si="1"/>
        <v>N/TRANSITA</v>
      </c>
      <c r="L52" s="132"/>
      <c r="M52" s="133"/>
      <c r="N52" s="133"/>
      <c r="O52" s="133"/>
      <c r="P52" s="133"/>
      <c r="Q52" s="127">
        <f t="shared" si="6"/>
        <v>0</v>
      </c>
      <c r="R52" s="180" t="str">
        <f t="shared" si="2"/>
        <v>N/TRANSITA</v>
      </c>
      <c r="S52" s="134"/>
      <c r="T52" s="135"/>
      <c r="U52" s="135"/>
      <c r="V52" s="136"/>
      <c r="W52" s="136"/>
      <c r="X52" s="23">
        <f t="shared" si="7"/>
        <v>0</v>
      </c>
      <c r="Y52" s="21">
        <f t="shared" si="8"/>
        <v>0</v>
      </c>
      <c r="Z52" s="180" t="str">
        <f t="shared" si="4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37"/>
      <c r="F53" s="138"/>
      <c r="G53" s="138"/>
      <c r="H53" s="135"/>
      <c r="I53" s="135"/>
      <c r="J53" s="127">
        <f t="shared" si="5"/>
        <v>0</v>
      </c>
      <c r="K53" s="180" t="str">
        <f t="shared" si="1"/>
        <v>N/TRANSITA</v>
      </c>
      <c r="L53" s="132"/>
      <c r="M53" s="133"/>
      <c r="N53" s="133"/>
      <c r="O53" s="133"/>
      <c r="P53" s="133"/>
      <c r="Q53" s="127">
        <f t="shared" si="6"/>
        <v>0</v>
      </c>
      <c r="R53" s="180" t="str">
        <f t="shared" si="2"/>
        <v>N/TRANSITA</v>
      </c>
      <c r="S53" s="134"/>
      <c r="T53" s="135"/>
      <c r="U53" s="135"/>
      <c r="V53" s="136"/>
      <c r="W53" s="136"/>
      <c r="X53" s="23">
        <f t="shared" si="7"/>
        <v>0</v>
      </c>
      <c r="Y53" s="21">
        <f t="shared" si="8"/>
        <v>0</v>
      </c>
      <c r="Z53" s="180" t="str">
        <f t="shared" si="4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37"/>
      <c r="F54" s="138"/>
      <c r="G54" s="138"/>
      <c r="H54" s="135"/>
      <c r="I54" s="135"/>
      <c r="J54" s="127">
        <f t="shared" si="5"/>
        <v>0</v>
      </c>
      <c r="K54" s="180" t="str">
        <f t="shared" si="1"/>
        <v>N/TRANSITA</v>
      </c>
      <c r="L54" s="132"/>
      <c r="M54" s="133"/>
      <c r="N54" s="133"/>
      <c r="O54" s="133"/>
      <c r="P54" s="133"/>
      <c r="Q54" s="127">
        <f t="shared" ref="Q54:Q56" si="32">AVERAGE(L54,MAX(M54:N54),MAX(O54:P54))</f>
        <v>0</v>
      </c>
      <c r="R54" s="180" t="str">
        <f t="shared" ref="R54:R56" si="33">IF(Q54&gt;=10,"TRANSITA","N/TRANSITA")</f>
        <v>N/TRANSITA</v>
      </c>
      <c r="S54" s="134"/>
      <c r="T54" s="135"/>
      <c r="U54" s="135"/>
      <c r="V54" s="136"/>
      <c r="W54" s="136"/>
      <c r="X54" s="23">
        <f t="shared" ref="X54:X56" si="34">AVERAGE(S54,MAX(T54:U54),MAX(V54:W54))</f>
        <v>0</v>
      </c>
      <c r="Y54" s="21">
        <f t="shared" ref="Y54:Y56" si="35">SUM(J54,Q54,X54)/3</f>
        <v>0</v>
      </c>
      <c r="Z54" s="180" t="str">
        <f t="shared" ref="Z54:Z56" si="3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37">
        <v>10</v>
      </c>
      <c r="F55" s="138">
        <v>12</v>
      </c>
      <c r="G55" s="138"/>
      <c r="H55" s="135">
        <v>10</v>
      </c>
      <c r="I55" s="135"/>
      <c r="J55" s="127">
        <f t="shared" si="5"/>
        <v>10.666666666666666</v>
      </c>
      <c r="K55" s="180" t="str">
        <f t="shared" si="1"/>
        <v>TRANSITA</v>
      </c>
      <c r="L55" s="132">
        <v>5</v>
      </c>
      <c r="M55" s="133"/>
      <c r="N55" s="133"/>
      <c r="O55" s="133">
        <v>18</v>
      </c>
      <c r="P55" s="133"/>
      <c r="Q55" s="127">
        <f t="shared" si="32"/>
        <v>7.666666666666667</v>
      </c>
      <c r="R55" s="180" t="str">
        <f t="shared" si="33"/>
        <v>N/TRANSITA</v>
      </c>
      <c r="S55" s="134"/>
      <c r="T55" s="135"/>
      <c r="U55" s="135"/>
      <c r="V55" s="136"/>
      <c r="W55" s="136"/>
      <c r="X55" s="23">
        <f t="shared" si="34"/>
        <v>0</v>
      </c>
      <c r="Y55" s="21">
        <f t="shared" si="35"/>
        <v>6.1111111111111107</v>
      </c>
      <c r="Z55" s="180" t="str">
        <f t="shared" si="3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37">
        <v>13</v>
      </c>
      <c r="F56" s="138">
        <v>13</v>
      </c>
      <c r="G56" s="138"/>
      <c r="H56" s="135">
        <v>10</v>
      </c>
      <c r="I56" s="135"/>
      <c r="J56" s="127">
        <f t="shared" si="5"/>
        <v>12</v>
      </c>
      <c r="K56" s="180" t="str">
        <f t="shared" si="1"/>
        <v>TRANSITA</v>
      </c>
      <c r="L56" s="132"/>
      <c r="M56" s="133"/>
      <c r="N56" s="133"/>
      <c r="O56" s="133">
        <v>14</v>
      </c>
      <c r="P56" s="133"/>
      <c r="Q56" s="127">
        <f t="shared" si="32"/>
        <v>7</v>
      </c>
      <c r="R56" s="180" t="str">
        <f t="shared" si="33"/>
        <v>N/TRANSITA</v>
      </c>
      <c r="S56" s="134"/>
      <c r="T56" s="135"/>
      <c r="U56" s="135"/>
      <c r="V56" s="136"/>
      <c r="W56" s="136"/>
      <c r="X56" s="23">
        <f t="shared" si="34"/>
        <v>0</v>
      </c>
      <c r="Y56" s="21">
        <f t="shared" si="35"/>
        <v>6.333333333333333</v>
      </c>
      <c r="Z56" s="180" t="str">
        <f t="shared" si="3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37">
        <v>15</v>
      </c>
      <c r="F57" s="138">
        <v>17</v>
      </c>
      <c r="G57" s="138"/>
      <c r="H57" s="135">
        <v>13</v>
      </c>
      <c r="I57" s="135"/>
      <c r="J57" s="127">
        <f t="shared" si="5"/>
        <v>15</v>
      </c>
      <c r="K57" s="180" t="str">
        <f t="shared" si="1"/>
        <v>TRANSITA</v>
      </c>
      <c r="L57" s="132">
        <v>10</v>
      </c>
      <c r="M57" s="133">
        <v>11</v>
      </c>
      <c r="N57" s="133"/>
      <c r="O57" s="133">
        <v>18</v>
      </c>
      <c r="P57" s="133"/>
      <c r="Q57" s="127">
        <f t="shared" si="6"/>
        <v>13</v>
      </c>
      <c r="R57" s="180" t="str">
        <f t="shared" si="2"/>
        <v>TRANSITA</v>
      </c>
      <c r="S57" s="134"/>
      <c r="T57" s="135"/>
      <c r="U57" s="135"/>
      <c r="V57" s="136"/>
      <c r="W57" s="136"/>
      <c r="X57" s="23">
        <f t="shared" si="7"/>
        <v>0</v>
      </c>
      <c r="Y57" s="21">
        <f t="shared" si="8"/>
        <v>9.3333333333333339</v>
      </c>
      <c r="Z57" s="180" t="str">
        <f t="shared" si="4"/>
        <v>N/TRANSITA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37">
        <v>10</v>
      </c>
      <c r="F58" s="138">
        <v>10</v>
      </c>
      <c r="G58" s="138"/>
      <c r="H58" s="135">
        <v>10</v>
      </c>
      <c r="I58" s="135"/>
      <c r="J58" s="127">
        <f t="shared" si="5"/>
        <v>10</v>
      </c>
      <c r="K58" s="180" t="str">
        <f t="shared" si="1"/>
        <v>TRANSITA</v>
      </c>
      <c r="L58" s="132"/>
      <c r="M58" s="133"/>
      <c r="N58" s="133"/>
      <c r="O58" s="133"/>
      <c r="P58" s="133"/>
      <c r="Q58" s="127">
        <f t="shared" si="6"/>
        <v>0</v>
      </c>
      <c r="R58" s="180" t="str">
        <f t="shared" si="2"/>
        <v>N/TRANSITA</v>
      </c>
      <c r="S58" s="134"/>
      <c r="T58" s="135"/>
      <c r="U58" s="135"/>
      <c r="V58" s="136"/>
      <c r="W58" s="136"/>
      <c r="X58" s="23">
        <f t="shared" si="7"/>
        <v>0</v>
      </c>
      <c r="Y58" s="21">
        <f t="shared" si="8"/>
        <v>3.3333333333333335</v>
      </c>
      <c r="Z58" s="180" t="str">
        <f t="shared" si="4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37">
        <v>16</v>
      </c>
      <c r="F59" s="138">
        <v>16</v>
      </c>
      <c r="G59" s="138"/>
      <c r="H59" s="135">
        <v>10</v>
      </c>
      <c r="I59" s="135"/>
      <c r="J59" s="127">
        <f t="shared" si="5"/>
        <v>14</v>
      </c>
      <c r="K59" s="180" t="str">
        <f t="shared" si="1"/>
        <v>TRANSITA</v>
      </c>
      <c r="L59" s="132">
        <v>11</v>
      </c>
      <c r="M59" s="133">
        <v>10</v>
      </c>
      <c r="N59" s="133"/>
      <c r="O59" s="133"/>
      <c r="P59" s="133"/>
      <c r="Q59" s="127">
        <f t="shared" si="6"/>
        <v>7</v>
      </c>
      <c r="R59" s="180" t="str">
        <f t="shared" si="2"/>
        <v>N/TRANSITA</v>
      </c>
      <c r="S59" s="134"/>
      <c r="T59" s="135"/>
      <c r="U59" s="135"/>
      <c r="V59" s="136"/>
      <c r="W59" s="136"/>
      <c r="X59" s="23">
        <f t="shared" si="7"/>
        <v>0</v>
      </c>
      <c r="Y59" s="21">
        <f t="shared" si="8"/>
        <v>7</v>
      </c>
      <c r="Z59" s="180" t="str">
        <f t="shared" si="4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37">
        <v>15</v>
      </c>
      <c r="F60" s="138">
        <v>14</v>
      </c>
      <c r="G60" s="138"/>
      <c r="H60" s="135">
        <v>16</v>
      </c>
      <c r="I60" s="135"/>
      <c r="J60" s="127">
        <f t="shared" si="5"/>
        <v>15</v>
      </c>
      <c r="K60" s="180" t="str">
        <f t="shared" si="1"/>
        <v>TRANSITA</v>
      </c>
      <c r="L60" s="132">
        <v>8</v>
      </c>
      <c r="M60" s="133">
        <v>10</v>
      </c>
      <c r="N60" s="133"/>
      <c r="O60" s="133">
        <v>12</v>
      </c>
      <c r="P60" s="133"/>
      <c r="Q60" s="127">
        <f t="shared" si="6"/>
        <v>10</v>
      </c>
      <c r="R60" s="180" t="str">
        <f t="shared" si="2"/>
        <v>TRANSITA</v>
      </c>
      <c r="S60" s="134"/>
      <c r="T60" s="135"/>
      <c r="U60" s="135"/>
      <c r="V60" s="136"/>
      <c r="W60" s="136"/>
      <c r="X60" s="23">
        <f t="shared" si="7"/>
        <v>0</v>
      </c>
      <c r="Y60" s="21">
        <f t="shared" si="8"/>
        <v>8.3333333333333339</v>
      </c>
      <c r="Z60" s="180" t="str">
        <f t="shared" si="4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37">
        <v>15</v>
      </c>
      <c r="F61" s="138">
        <v>16</v>
      </c>
      <c r="G61" s="138"/>
      <c r="H61" s="135">
        <v>18</v>
      </c>
      <c r="I61" s="135"/>
      <c r="J61" s="127">
        <f t="shared" si="5"/>
        <v>16.333333333333332</v>
      </c>
      <c r="K61" s="180" t="str">
        <f t="shared" si="1"/>
        <v>TRANSITA</v>
      </c>
      <c r="L61" s="132">
        <v>10</v>
      </c>
      <c r="M61" s="133">
        <v>16</v>
      </c>
      <c r="N61" s="133"/>
      <c r="O61" s="133">
        <v>16</v>
      </c>
      <c r="P61" s="133"/>
      <c r="Q61" s="127">
        <f t="shared" si="6"/>
        <v>14</v>
      </c>
      <c r="R61" s="180" t="str">
        <f t="shared" si="2"/>
        <v>TRANSITA</v>
      </c>
      <c r="S61" s="134"/>
      <c r="T61" s="135"/>
      <c r="U61" s="135"/>
      <c r="V61" s="136"/>
      <c r="W61" s="136"/>
      <c r="X61" s="23">
        <f t="shared" ref="X61:X63" si="37">AVERAGE(S61,MAX(T61:U61),MAX(V61:W61))</f>
        <v>0</v>
      </c>
      <c r="Y61" s="21">
        <f t="shared" si="0"/>
        <v>10.111111111111111</v>
      </c>
      <c r="Z61" s="180" t="str">
        <f t="shared" si="4"/>
        <v>TRANSITA</v>
      </c>
    </row>
    <row r="62" spans="2:31" ht="14.25" customHeight="1" x14ac:dyDescent="0.3">
      <c r="B62" s="37">
        <v>54</v>
      </c>
      <c r="C62" s="194" t="s">
        <v>142</v>
      </c>
      <c r="D62" s="28"/>
      <c r="E62" s="137">
        <v>16</v>
      </c>
      <c r="F62" s="138">
        <v>12</v>
      </c>
      <c r="G62" s="138"/>
      <c r="H62" s="135">
        <v>14</v>
      </c>
      <c r="I62" s="135"/>
      <c r="J62" s="127">
        <f t="shared" si="5"/>
        <v>14</v>
      </c>
      <c r="K62" s="180" t="str">
        <f t="shared" si="1"/>
        <v>TRANSITA</v>
      </c>
      <c r="L62" s="132">
        <v>12</v>
      </c>
      <c r="M62" s="133">
        <v>10</v>
      </c>
      <c r="N62" s="133"/>
      <c r="O62" s="133">
        <v>16</v>
      </c>
      <c r="P62" s="133"/>
      <c r="Q62" s="127">
        <f t="shared" si="6"/>
        <v>12.666666666666666</v>
      </c>
      <c r="R62" s="180" t="str">
        <f t="shared" si="2"/>
        <v>TRANSITA</v>
      </c>
      <c r="S62" s="134"/>
      <c r="T62" s="135"/>
      <c r="U62" s="135"/>
      <c r="V62" s="136"/>
      <c r="W62" s="136"/>
      <c r="X62" s="23">
        <f t="shared" si="37"/>
        <v>0</v>
      </c>
      <c r="Y62" s="21">
        <f t="shared" si="0"/>
        <v>8.8888888888888875</v>
      </c>
      <c r="Z62" s="180" t="str">
        <f t="shared" si="4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39">
        <v>13</v>
      </c>
      <c r="F63" s="140">
        <v>14</v>
      </c>
      <c r="G63" s="140"/>
      <c r="H63" s="141">
        <v>15</v>
      </c>
      <c r="I63" s="141"/>
      <c r="J63" s="142">
        <f t="shared" si="5"/>
        <v>14</v>
      </c>
      <c r="K63" s="181" t="str">
        <f t="shared" si="1"/>
        <v>TRANSITA</v>
      </c>
      <c r="L63" s="143">
        <v>8</v>
      </c>
      <c r="M63" s="144">
        <v>12</v>
      </c>
      <c r="N63" s="144"/>
      <c r="O63" s="144">
        <v>10</v>
      </c>
      <c r="P63" s="144"/>
      <c r="Q63" s="142">
        <f t="shared" si="6"/>
        <v>10</v>
      </c>
      <c r="R63" s="181" t="str">
        <f t="shared" si="2"/>
        <v>TRANSITA</v>
      </c>
      <c r="S63" s="145"/>
      <c r="T63" s="141"/>
      <c r="U63" s="141"/>
      <c r="V63" s="146"/>
      <c r="W63" s="146"/>
      <c r="X63" s="24">
        <f t="shared" si="37"/>
        <v>0</v>
      </c>
      <c r="Y63" s="22">
        <f>SUM(J63,Q63,X63)/3</f>
        <v>8</v>
      </c>
      <c r="Z63" s="181" t="str">
        <f t="shared" si="4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30"/>
      <c r="G66" s="30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31"/>
      <c r="G67" s="31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31"/>
      <c r="G68" s="31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53:AB55"/>
    <mergeCell ref="A66:E66"/>
    <mergeCell ref="S66:Z66"/>
    <mergeCell ref="A67:E67"/>
    <mergeCell ref="S67:Z67"/>
    <mergeCell ref="AA10:AB11"/>
    <mergeCell ref="K7:K8"/>
    <mergeCell ref="R7:R8"/>
    <mergeCell ref="AC8:AC9"/>
    <mergeCell ref="AD8:AD9"/>
    <mergeCell ref="AE8:AE9"/>
    <mergeCell ref="B5:C5"/>
    <mergeCell ref="X5:Z5"/>
    <mergeCell ref="B6:Z6"/>
    <mergeCell ref="B7:B8"/>
    <mergeCell ref="C7:C8"/>
    <mergeCell ref="E7:J7"/>
    <mergeCell ref="L7:Q7"/>
    <mergeCell ref="S7:X7"/>
    <mergeCell ref="Y7:Y8"/>
    <mergeCell ref="I5:N5"/>
    <mergeCell ref="A1:Z1"/>
    <mergeCell ref="B3:C3"/>
    <mergeCell ref="I3:M3"/>
    <mergeCell ref="V3:Z3"/>
    <mergeCell ref="B4:C4"/>
    <mergeCell ref="V4:Z4"/>
    <mergeCell ref="I4:Q4"/>
  </mergeCells>
  <conditionalFormatting sqref="Y9:Y63">
    <cfRule type="cellIs" dxfId="91" priority="105" stopIfTrue="1" operator="greaterThan">
      <formula>9.5</formula>
    </cfRule>
    <cfRule type="cellIs" dxfId="90" priority="106" stopIfTrue="1" operator="lessThanOrEqual">
      <formula>9.5</formula>
    </cfRule>
  </conditionalFormatting>
  <conditionalFormatting sqref="S9:W63">
    <cfRule type="cellIs" dxfId="89" priority="103" stopIfTrue="1" operator="lessThan">
      <formula>10</formula>
    </cfRule>
    <cfRule type="cellIs" dxfId="88" priority="104" stopIfTrue="1" operator="greaterThan">
      <formula>9</formula>
    </cfRule>
  </conditionalFormatting>
  <conditionalFormatting sqref="S9:W63">
    <cfRule type="cellIs" dxfId="87" priority="101" stopIfTrue="1" operator="lessThan">
      <formula>10</formula>
    </cfRule>
    <cfRule type="cellIs" dxfId="86" priority="102" stopIfTrue="1" operator="greaterThan">
      <formula>9</formula>
    </cfRule>
  </conditionalFormatting>
  <conditionalFormatting sqref="X9:X63 Q9:Q63">
    <cfRule type="cellIs" dxfId="85" priority="83" stopIfTrue="1" operator="lessThan">
      <formula>10</formula>
    </cfRule>
    <cfRule type="cellIs" dxfId="84" priority="84" stopIfTrue="1" operator="greaterThanOrEqual">
      <formula>10</formula>
    </cfRule>
  </conditionalFormatting>
  <conditionalFormatting sqref="P9:P63">
    <cfRule type="cellIs" dxfId="83" priority="27" stopIfTrue="1" operator="lessThan">
      <formula>10</formula>
    </cfRule>
    <cfRule type="cellIs" dxfId="82" priority="28" stopIfTrue="1" operator="greaterThan">
      <formula>9</formula>
    </cfRule>
    <cfRule type="cellIs" dxfId="81" priority="29" stopIfTrue="1" operator="lessThan">
      <formula>10</formula>
    </cfRule>
    <cfRule type="cellIs" dxfId="80" priority="30" stopIfTrue="1" operator="greaterThan">
      <formula>9</formula>
    </cfRule>
  </conditionalFormatting>
  <conditionalFormatting sqref="E9:I63">
    <cfRule type="cellIs" dxfId="79" priority="11" stopIfTrue="1" operator="lessThan">
      <formula>10</formula>
    </cfRule>
    <cfRule type="cellIs" dxfId="78" priority="12" stopIfTrue="1" operator="greaterThan">
      <formula>9</formula>
    </cfRule>
  </conditionalFormatting>
  <conditionalFormatting sqref="E9:I63">
    <cfRule type="cellIs" dxfId="77" priority="9" stopIfTrue="1" operator="lessThan">
      <formula>10</formula>
    </cfRule>
    <cfRule type="cellIs" dxfId="76" priority="10" stopIfTrue="1" operator="greaterThan">
      <formula>9</formula>
    </cfRule>
  </conditionalFormatting>
  <conditionalFormatting sqref="J9:J63">
    <cfRule type="cellIs" dxfId="75" priority="7" stopIfTrue="1" operator="lessThan">
      <formula>10</formula>
    </cfRule>
    <cfRule type="cellIs" dxfId="74" priority="8" stopIfTrue="1" operator="greaterThanOrEqual">
      <formula>10</formula>
    </cfRule>
  </conditionalFormatting>
  <conditionalFormatting sqref="L9:O63">
    <cfRule type="cellIs" dxfId="73" priority="3" stopIfTrue="1" operator="lessThan">
      <formula>10</formula>
    </cfRule>
    <cfRule type="cellIs" dxfId="72" priority="4" stopIfTrue="1" operator="greaterThan">
      <formula>9</formula>
    </cfRule>
    <cfRule type="cellIs" dxfId="71" priority="5" stopIfTrue="1" operator="lessThan">
      <formula>10</formula>
    </cfRule>
    <cfRule type="cellIs" dxfId="70" priority="6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7409" r:id="rId4">
          <objectPr defaultSize="0" autoPict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12</xdr:col>
                <xdr:colOff>327660</xdr:colOff>
                <xdr:row>65</xdr:row>
                <xdr:rowOff>22860</xdr:rowOff>
              </to>
            </anchor>
          </objectPr>
        </oleObject>
      </mc:Choice>
      <mc:Fallback>
        <oleObject progId="Word.Document.8" shapeId="1740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" stopIfTrue="1" operator="containsText" id="{0CE3FE5E-F096-4DAD-B460-DFCDB68CB709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FDB5A7A9-16C6-4A6B-AE1C-CD804F1D13E7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17" stopIfTrue="1" operator="containsText" id="{AAE9AD3E-EF92-470C-9DF8-65499F6A2DED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8" stopIfTrue="1" operator="containsText" id="{C6AA9A51-5A69-4EB2-B4C3-45E66CC1F894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1" stopIfTrue="1" operator="containsText" id="{D73436F0-EE9F-4F5F-B53C-345D8341D943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" stopIfTrue="1" operator="containsText" id="{AAA5D623-D472-49A4-B031-8A7A716FFC0A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E9" sqref="E9:O63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32"/>
      <c r="I4" s="324" t="s">
        <v>39</v>
      </c>
      <c r="J4" s="324"/>
      <c r="K4" s="324"/>
      <c r="L4" s="324"/>
      <c r="M4" s="324"/>
      <c r="N4" s="324"/>
      <c r="O4" s="324"/>
      <c r="P4" s="324"/>
      <c r="Q4" s="324"/>
      <c r="R4" s="32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32"/>
      <c r="H5" s="36"/>
      <c r="I5" s="361" t="s">
        <v>34</v>
      </c>
      <c r="J5" s="361"/>
      <c r="K5" s="361"/>
      <c r="L5" s="361"/>
      <c r="M5" s="361"/>
      <c r="N5" s="361"/>
      <c r="O5" s="36"/>
      <c r="P5" s="36"/>
      <c r="Q5" s="36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2</v>
      </c>
      <c r="AD8" s="335">
        <f>COUNTIF(Z9:Z69,"N/TRANSITA")</f>
        <v>53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124">
        <v>10</v>
      </c>
      <c r="F9" s="125">
        <v>3</v>
      </c>
      <c r="G9" s="125"/>
      <c r="H9" s="126">
        <v>11</v>
      </c>
      <c r="I9" s="126"/>
      <c r="J9" s="127">
        <f>AVERAGE(E9,MAX(F9:G9),MAX(H9:I9))</f>
        <v>8</v>
      </c>
      <c r="K9" s="179" t="str">
        <f>IF(J9&gt;=10,"TRANSITA","N/TRANSITA")</f>
        <v>N/TRANSITA</v>
      </c>
      <c r="L9" s="128">
        <v>8</v>
      </c>
      <c r="M9" s="129">
        <v>18</v>
      </c>
      <c r="N9" s="129"/>
      <c r="O9" s="129">
        <v>2.5</v>
      </c>
      <c r="P9" s="129"/>
      <c r="Q9" s="127">
        <f>AVERAGE(L9,MAX(M9:N9),MAX(O9:P9))</f>
        <v>9.5</v>
      </c>
      <c r="R9" s="179" t="str">
        <f>IF(Q9&gt;=10,"TRANSITA","N/TRANSITA")</f>
        <v>N/TRANSITA</v>
      </c>
      <c r="S9" s="130"/>
      <c r="T9" s="126"/>
      <c r="U9" s="126"/>
      <c r="V9" s="131"/>
      <c r="W9" s="131"/>
      <c r="X9" s="23">
        <f>AVERAGE(S9,MAX(T9:U9),MAX(V9:W9))</f>
        <v>0</v>
      </c>
      <c r="Y9" s="20">
        <f t="shared" ref="Y9:Y62" si="0">SUM(J9,Q9,X9)/3</f>
        <v>5.833333333333333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124">
        <v>10</v>
      </c>
      <c r="F10" s="125">
        <v>2</v>
      </c>
      <c r="G10" s="125"/>
      <c r="H10" s="126">
        <v>14.5</v>
      </c>
      <c r="I10" s="126"/>
      <c r="J10" s="127">
        <f>AVERAGE(E10,MAX(F10:G10),MAX(H10:I10))</f>
        <v>8.8333333333333339</v>
      </c>
      <c r="K10" s="180" t="str">
        <f t="shared" ref="K10:K63" si="1">IF(J10&gt;=10,"TRANSITA","N/TRANSITA")</f>
        <v>N/TRANSITA</v>
      </c>
      <c r="L10" s="132">
        <v>12</v>
      </c>
      <c r="M10" s="133">
        <v>18</v>
      </c>
      <c r="N10" s="133"/>
      <c r="O10" s="133">
        <v>1.5</v>
      </c>
      <c r="P10" s="133"/>
      <c r="Q10" s="127">
        <f>AVERAGE(L10,MAX(M10:N10),MAX(O10:P10))</f>
        <v>10.5</v>
      </c>
      <c r="R10" s="180" t="str">
        <f t="shared" ref="R10:R63" si="2">IF(Q10&gt;=10,"TRANSITA","N/TRANSITA")</f>
        <v>TRANSITA</v>
      </c>
      <c r="S10" s="134"/>
      <c r="T10" s="135"/>
      <c r="U10" s="135"/>
      <c r="V10" s="136"/>
      <c r="W10" s="136"/>
      <c r="X10" s="23">
        <f>AVERAGE(S10,MAX(T10:U10),MAX(V10:W10))</f>
        <v>0</v>
      </c>
      <c r="Y10" s="21">
        <f t="shared" ref="Y10" si="3">SUM(J10,Q10,X10)/3</f>
        <v>6.4444444444444455</v>
      </c>
      <c r="Z10" s="180" t="str">
        <f t="shared" ref="Z10:Z63" si="4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124">
        <v>8</v>
      </c>
      <c r="F11" s="125">
        <v>7</v>
      </c>
      <c r="G11" s="125"/>
      <c r="H11" s="126">
        <v>12</v>
      </c>
      <c r="I11" s="126"/>
      <c r="J11" s="127">
        <f t="shared" ref="J11:J63" si="5">AVERAGE(E11,MAX(F11:G11),MAX(H11:I11))</f>
        <v>9</v>
      </c>
      <c r="K11" s="180" t="str">
        <f t="shared" si="1"/>
        <v>N/TRANSITA</v>
      </c>
      <c r="L11" s="132">
        <v>12</v>
      </c>
      <c r="M11" s="133">
        <v>16</v>
      </c>
      <c r="N11" s="133"/>
      <c r="O11" s="133">
        <v>6.5</v>
      </c>
      <c r="P11" s="133"/>
      <c r="Q11" s="127">
        <f t="shared" ref="Q11:Q63" si="6">AVERAGE(L11,MAX(M11:N11),MAX(O11:P11))</f>
        <v>11.5</v>
      </c>
      <c r="R11" s="180" t="str">
        <f t="shared" si="2"/>
        <v>TRANSITA</v>
      </c>
      <c r="S11" s="134"/>
      <c r="T11" s="135"/>
      <c r="U11" s="135"/>
      <c r="V11" s="136"/>
      <c r="W11" s="136"/>
      <c r="X11" s="23">
        <f t="shared" ref="X11:X60" si="7">AVERAGE(S11,MAX(T11:U11),MAX(V11:W11))</f>
        <v>0</v>
      </c>
      <c r="Y11" s="21">
        <f t="shared" ref="Y11:Y60" si="8">SUM(J11,Q11,X11)/3</f>
        <v>6.833333333333333</v>
      </c>
      <c r="Z11" s="180" t="str">
        <f t="shared" si="4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124">
        <v>14</v>
      </c>
      <c r="F12" s="125">
        <v>16.5</v>
      </c>
      <c r="G12" s="125"/>
      <c r="H12" s="126">
        <v>19</v>
      </c>
      <c r="I12" s="126"/>
      <c r="J12" s="127">
        <f t="shared" si="5"/>
        <v>16.5</v>
      </c>
      <c r="K12" s="180" t="str">
        <f t="shared" si="1"/>
        <v>TRANSITA</v>
      </c>
      <c r="L12" s="132">
        <v>16.5</v>
      </c>
      <c r="M12" s="133">
        <v>18</v>
      </c>
      <c r="N12" s="133"/>
      <c r="O12" s="133">
        <v>9</v>
      </c>
      <c r="P12" s="133"/>
      <c r="Q12" s="127">
        <f t="shared" si="6"/>
        <v>14.5</v>
      </c>
      <c r="R12" s="180" t="str">
        <f t="shared" si="2"/>
        <v>TRANSITA</v>
      </c>
      <c r="S12" s="134"/>
      <c r="T12" s="135"/>
      <c r="U12" s="135"/>
      <c r="V12" s="136"/>
      <c r="W12" s="136"/>
      <c r="X12" s="23">
        <f t="shared" si="7"/>
        <v>0</v>
      </c>
      <c r="Y12" s="21">
        <f t="shared" si="8"/>
        <v>10.333333333333334</v>
      </c>
      <c r="Z12" s="180" t="str">
        <f t="shared" si="4"/>
        <v>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124">
        <v>11</v>
      </c>
      <c r="F13" s="125">
        <v>17</v>
      </c>
      <c r="G13" s="125"/>
      <c r="H13" s="126">
        <v>15.5</v>
      </c>
      <c r="I13" s="126"/>
      <c r="J13" s="127">
        <f t="shared" si="5"/>
        <v>14.5</v>
      </c>
      <c r="K13" s="180" t="str">
        <f t="shared" si="1"/>
        <v>TRANSITA</v>
      </c>
      <c r="L13" s="132">
        <v>12</v>
      </c>
      <c r="M13" s="133">
        <v>18</v>
      </c>
      <c r="N13" s="133"/>
      <c r="O13" s="133">
        <v>11</v>
      </c>
      <c r="P13" s="133"/>
      <c r="Q13" s="127">
        <f t="shared" si="6"/>
        <v>13.666666666666666</v>
      </c>
      <c r="R13" s="180" t="str">
        <f t="shared" si="2"/>
        <v>TRANSITA</v>
      </c>
      <c r="S13" s="134"/>
      <c r="T13" s="135"/>
      <c r="U13" s="135"/>
      <c r="V13" s="136"/>
      <c r="W13" s="136"/>
      <c r="X13" s="23">
        <f t="shared" si="7"/>
        <v>0</v>
      </c>
      <c r="Y13" s="21">
        <f t="shared" si="8"/>
        <v>9.3888888888888875</v>
      </c>
      <c r="Z13" s="180" t="str">
        <f t="shared" si="4"/>
        <v>N/TRANSITA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124">
        <v>5</v>
      </c>
      <c r="F14" s="125">
        <v>11.5</v>
      </c>
      <c r="G14" s="125"/>
      <c r="H14" s="126">
        <v>18.5</v>
      </c>
      <c r="I14" s="126"/>
      <c r="J14" s="127">
        <f t="shared" si="5"/>
        <v>11.666666666666666</v>
      </c>
      <c r="K14" s="180" t="str">
        <f t="shared" si="1"/>
        <v>TRANSITA</v>
      </c>
      <c r="L14" s="132">
        <v>12</v>
      </c>
      <c r="M14" s="133">
        <v>18</v>
      </c>
      <c r="N14" s="133"/>
      <c r="O14" s="133">
        <v>6</v>
      </c>
      <c r="P14" s="133"/>
      <c r="Q14" s="127">
        <f t="shared" si="6"/>
        <v>12</v>
      </c>
      <c r="R14" s="180" t="str">
        <f t="shared" si="2"/>
        <v>TRANSITA</v>
      </c>
      <c r="S14" s="134"/>
      <c r="T14" s="135"/>
      <c r="U14" s="135"/>
      <c r="V14" s="136"/>
      <c r="W14" s="136"/>
      <c r="X14" s="23">
        <f t="shared" si="7"/>
        <v>0</v>
      </c>
      <c r="Y14" s="21">
        <f t="shared" si="8"/>
        <v>7.8888888888888884</v>
      </c>
      <c r="Z14" s="180" t="str">
        <f t="shared" si="4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124">
        <v>14</v>
      </c>
      <c r="F15" s="125">
        <v>7.5</v>
      </c>
      <c r="G15" s="125"/>
      <c r="H15" s="126">
        <v>14.5</v>
      </c>
      <c r="I15" s="126"/>
      <c r="J15" s="127">
        <f t="shared" si="5"/>
        <v>12</v>
      </c>
      <c r="K15" s="180" t="str">
        <f t="shared" si="1"/>
        <v>TRANSITA</v>
      </c>
      <c r="L15" s="132">
        <v>12</v>
      </c>
      <c r="M15" s="133">
        <v>18</v>
      </c>
      <c r="N15" s="133"/>
      <c r="O15" s="133">
        <v>2</v>
      </c>
      <c r="P15" s="133"/>
      <c r="Q15" s="127">
        <f t="shared" si="6"/>
        <v>10.666666666666666</v>
      </c>
      <c r="R15" s="180" t="str">
        <f t="shared" si="2"/>
        <v>TRANSITA</v>
      </c>
      <c r="S15" s="134"/>
      <c r="T15" s="135"/>
      <c r="U15" s="135"/>
      <c r="V15" s="136"/>
      <c r="W15" s="136"/>
      <c r="X15" s="23">
        <f t="shared" si="7"/>
        <v>0</v>
      </c>
      <c r="Y15" s="21">
        <f t="shared" si="8"/>
        <v>7.5555555555555545</v>
      </c>
      <c r="Z15" s="180" t="str">
        <f t="shared" si="4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124">
        <v>5</v>
      </c>
      <c r="F16" s="125">
        <v>4</v>
      </c>
      <c r="G16" s="125"/>
      <c r="H16" s="126">
        <v>13.5</v>
      </c>
      <c r="I16" s="126"/>
      <c r="J16" s="127">
        <f t="shared" si="5"/>
        <v>7.5</v>
      </c>
      <c r="K16" s="180" t="str">
        <f t="shared" si="1"/>
        <v>N/TRANSITA</v>
      </c>
      <c r="L16" s="132">
        <v>6.5</v>
      </c>
      <c r="M16" s="133">
        <v>15.5</v>
      </c>
      <c r="N16" s="133"/>
      <c r="O16" s="133">
        <v>0</v>
      </c>
      <c r="P16" s="133"/>
      <c r="Q16" s="127">
        <f t="shared" si="6"/>
        <v>7.333333333333333</v>
      </c>
      <c r="R16" s="180" t="str">
        <f t="shared" si="2"/>
        <v>N/TRANSITA</v>
      </c>
      <c r="S16" s="134"/>
      <c r="T16" s="135"/>
      <c r="U16" s="135"/>
      <c r="V16" s="136"/>
      <c r="W16" s="136"/>
      <c r="X16" s="23">
        <f t="shared" si="7"/>
        <v>0</v>
      </c>
      <c r="Y16" s="21">
        <f t="shared" si="8"/>
        <v>4.9444444444444438</v>
      </c>
      <c r="Z16" s="180" t="str">
        <f t="shared" si="4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124">
        <v>10</v>
      </c>
      <c r="F17" s="125">
        <v>13.5</v>
      </c>
      <c r="G17" s="125"/>
      <c r="H17" s="126">
        <v>18</v>
      </c>
      <c r="I17" s="126"/>
      <c r="J17" s="127">
        <f t="shared" si="5"/>
        <v>13.833333333333334</v>
      </c>
      <c r="K17" s="180" t="str">
        <f t="shared" si="1"/>
        <v>TRANSITA</v>
      </c>
      <c r="L17" s="132">
        <v>5.5</v>
      </c>
      <c r="M17" s="133">
        <v>18</v>
      </c>
      <c r="N17" s="133"/>
      <c r="O17" s="133">
        <v>6.5</v>
      </c>
      <c r="P17" s="133"/>
      <c r="Q17" s="127">
        <f t="shared" si="6"/>
        <v>10</v>
      </c>
      <c r="R17" s="180" t="str">
        <f t="shared" si="2"/>
        <v>TRANSITA</v>
      </c>
      <c r="S17" s="134"/>
      <c r="T17" s="135"/>
      <c r="U17" s="135"/>
      <c r="V17" s="136"/>
      <c r="W17" s="136"/>
      <c r="X17" s="23">
        <f t="shared" si="7"/>
        <v>0</v>
      </c>
      <c r="Y17" s="21">
        <f t="shared" si="8"/>
        <v>7.9444444444444455</v>
      </c>
      <c r="Z17" s="180" t="str">
        <f t="shared" si="4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124">
        <v>3</v>
      </c>
      <c r="F18" s="125">
        <v>3</v>
      </c>
      <c r="G18" s="125"/>
      <c r="H18" s="126"/>
      <c r="I18" s="126"/>
      <c r="J18" s="127">
        <f t="shared" si="5"/>
        <v>2</v>
      </c>
      <c r="K18" s="180" t="str">
        <f t="shared" si="1"/>
        <v>N/TRANSITA</v>
      </c>
      <c r="L18" s="132">
        <v>6</v>
      </c>
      <c r="M18" s="133">
        <v>10</v>
      </c>
      <c r="N18" s="133"/>
      <c r="O18" s="133">
        <v>0</v>
      </c>
      <c r="P18" s="133"/>
      <c r="Q18" s="127">
        <f t="shared" si="6"/>
        <v>5.333333333333333</v>
      </c>
      <c r="R18" s="180" t="str">
        <f t="shared" si="2"/>
        <v>N/TRANSITA</v>
      </c>
      <c r="S18" s="134"/>
      <c r="T18" s="135"/>
      <c r="U18" s="135"/>
      <c r="V18" s="136"/>
      <c r="W18" s="136"/>
      <c r="X18" s="23">
        <f t="shared" si="7"/>
        <v>0</v>
      </c>
      <c r="Y18" s="21">
        <f t="shared" si="8"/>
        <v>2.4444444444444442</v>
      </c>
      <c r="Z18" s="180" t="str">
        <f t="shared" si="4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124">
        <v>6</v>
      </c>
      <c r="F19" s="125">
        <v>3</v>
      </c>
      <c r="G19" s="125"/>
      <c r="H19" s="126">
        <v>5</v>
      </c>
      <c r="I19" s="126"/>
      <c r="J19" s="127">
        <f t="shared" si="5"/>
        <v>4.666666666666667</v>
      </c>
      <c r="K19" s="180" t="str">
        <f t="shared" si="1"/>
        <v>N/TRANSITA</v>
      </c>
      <c r="L19" s="132">
        <v>5</v>
      </c>
      <c r="M19" s="133">
        <v>5</v>
      </c>
      <c r="N19" s="133"/>
      <c r="O19" s="133">
        <v>2</v>
      </c>
      <c r="P19" s="133"/>
      <c r="Q19" s="127">
        <f t="shared" si="6"/>
        <v>4</v>
      </c>
      <c r="R19" s="180" t="str">
        <f t="shared" si="2"/>
        <v>N/TRANSITA</v>
      </c>
      <c r="S19" s="134"/>
      <c r="T19" s="135"/>
      <c r="U19" s="135"/>
      <c r="V19" s="136"/>
      <c r="W19" s="136"/>
      <c r="X19" s="23">
        <f t="shared" si="7"/>
        <v>0</v>
      </c>
      <c r="Y19" s="21">
        <f t="shared" si="8"/>
        <v>2.8888888888888893</v>
      </c>
      <c r="Z19" s="180" t="str">
        <f t="shared" si="4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124">
        <v>10</v>
      </c>
      <c r="F20" s="125">
        <v>5.5</v>
      </c>
      <c r="G20" s="125"/>
      <c r="H20" s="126">
        <v>16.5</v>
      </c>
      <c r="I20" s="126"/>
      <c r="J20" s="127">
        <f t="shared" si="5"/>
        <v>10.666666666666666</v>
      </c>
      <c r="K20" s="180" t="str">
        <f t="shared" si="1"/>
        <v>TRANSITA</v>
      </c>
      <c r="L20" s="132">
        <v>9</v>
      </c>
      <c r="M20" s="133">
        <v>17.5</v>
      </c>
      <c r="N20" s="133"/>
      <c r="O20" s="133">
        <v>6.5</v>
      </c>
      <c r="P20" s="133"/>
      <c r="Q20" s="127">
        <f t="shared" si="6"/>
        <v>11</v>
      </c>
      <c r="R20" s="180" t="str">
        <f t="shared" si="2"/>
        <v>TRANSITA</v>
      </c>
      <c r="S20" s="134"/>
      <c r="T20" s="135"/>
      <c r="U20" s="135"/>
      <c r="V20" s="136"/>
      <c r="W20" s="136"/>
      <c r="X20" s="23">
        <f t="shared" si="7"/>
        <v>0</v>
      </c>
      <c r="Y20" s="21">
        <f t="shared" si="8"/>
        <v>7.2222222222222214</v>
      </c>
      <c r="Z20" s="180" t="str">
        <f t="shared" si="4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124">
        <v>10</v>
      </c>
      <c r="F21" s="125">
        <v>16.5</v>
      </c>
      <c r="G21" s="125"/>
      <c r="H21" s="126">
        <v>15</v>
      </c>
      <c r="I21" s="126"/>
      <c r="J21" s="127">
        <f t="shared" si="5"/>
        <v>13.833333333333334</v>
      </c>
      <c r="K21" s="180" t="str">
        <f t="shared" si="1"/>
        <v>TRANSITA</v>
      </c>
      <c r="L21" s="132">
        <v>10</v>
      </c>
      <c r="M21" s="133">
        <v>5</v>
      </c>
      <c r="N21" s="133"/>
      <c r="O21" s="133">
        <v>6</v>
      </c>
      <c r="P21" s="133"/>
      <c r="Q21" s="127">
        <f t="shared" si="6"/>
        <v>7</v>
      </c>
      <c r="R21" s="180" t="str">
        <f t="shared" si="2"/>
        <v>N/TRANSITA</v>
      </c>
      <c r="S21" s="134"/>
      <c r="T21" s="135"/>
      <c r="U21" s="135"/>
      <c r="V21" s="136"/>
      <c r="W21" s="136"/>
      <c r="X21" s="23">
        <f t="shared" si="7"/>
        <v>0</v>
      </c>
      <c r="Y21" s="21">
        <f t="shared" si="8"/>
        <v>6.9444444444444455</v>
      </c>
      <c r="Z21" s="180" t="str">
        <f t="shared" si="4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124">
        <v>10</v>
      </c>
      <c r="F22" s="125">
        <v>9</v>
      </c>
      <c r="G22" s="125"/>
      <c r="H22" s="126">
        <v>16</v>
      </c>
      <c r="I22" s="126"/>
      <c r="J22" s="127">
        <f t="shared" si="5"/>
        <v>11.666666666666666</v>
      </c>
      <c r="K22" s="180" t="str">
        <f t="shared" si="1"/>
        <v>TRANSITA</v>
      </c>
      <c r="L22" s="132">
        <v>12.5</v>
      </c>
      <c r="M22" s="133">
        <v>18</v>
      </c>
      <c r="N22" s="133"/>
      <c r="O22" s="133">
        <v>11.5</v>
      </c>
      <c r="P22" s="133"/>
      <c r="Q22" s="127">
        <f t="shared" si="6"/>
        <v>14</v>
      </c>
      <c r="R22" s="180" t="str">
        <f t="shared" si="2"/>
        <v>TRANSITA</v>
      </c>
      <c r="S22" s="134"/>
      <c r="T22" s="135"/>
      <c r="U22" s="135"/>
      <c r="V22" s="136"/>
      <c r="W22" s="136"/>
      <c r="X22" s="23">
        <f t="shared" si="7"/>
        <v>0</v>
      </c>
      <c r="Y22" s="21">
        <f t="shared" si="8"/>
        <v>8.5555555555555554</v>
      </c>
      <c r="Z22" s="180" t="str">
        <f t="shared" si="4"/>
        <v>N/TRANSITA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124">
        <v>8.1</v>
      </c>
      <c r="F23" s="125">
        <v>11</v>
      </c>
      <c r="G23" s="125"/>
      <c r="H23" s="126">
        <v>6</v>
      </c>
      <c r="I23" s="126"/>
      <c r="J23" s="127">
        <f t="shared" si="5"/>
        <v>8.3666666666666671</v>
      </c>
      <c r="K23" s="180" t="str">
        <f t="shared" si="1"/>
        <v>N/TRANSITA</v>
      </c>
      <c r="L23" s="132">
        <v>8</v>
      </c>
      <c r="M23" s="133">
        <v>15</v>
      </c>
      <c r="N23" s="133"/>
      <c r="O23" s="133">
        <v>3</v>
      </c>
      <c r="P23" s="133"/>
      <c r="Q23" s="127">
        <f t="shared" si="6"/>
        <v>8.6666666666666661</v>
      </c>
      <c r="R23" s="180" t="str">
        <f t="shared" si="2"/>
        <v>N/TRANSITA</v>
      </c>
      <c r="S23" s="134"/>
      <c r="T23" s="135"/>
      <c r="U23" s="135"/>
      <c r="V23" s="136"/>
      <c r="W23" s="136"/>
      <c r="X23" s="23">
        <f t="shared" si="7"/>
        <v>0</v>
      </c>
      <c r="Y23" s="21">
        <f t="shared" si="8"/>
        <v>5.6777777777777771</v>
      </c>
      <c r="Z23" s="180" t="str">
        <f t="shared" si="4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124">
        <v>5</v>
      </c>
      <c r="F24" s="125">
        <v>5.5</v>
      </c>
      <c r="G24" s="125"/>
      <c r="H24" s="126">
        <v>15.4</v>
      </c>
      <c r="I24" s="126"/>
      <c r="J24" s="127">
        <f t="shared" si="5"/>
        <v>8.6333333333333329</v>
      </c>
      <c r="K24" s="180" t="str">
        <f t="shared" si="1"/>
        <v>N/TRANSITA</v>
      </c>
      <c r="L24" s="132">
        <v>7</v>
      </c>
      <c r="M24" s="133">
        <v>17</v>
      </c>
      <c r="N24" s="133"/>
      <c r="O24" s="133">
        <v>6</v>
      </c>
      <c r="P24" s="133"/>
      <c r="Q24" s="127">
        <f t="shared" si="6"/>
        <v>10</v>
      </c>
      <c r="R24" s="180" t="str">
        <f t="shared" si="2"/>
        <v>TRANSITA</v>
      </c>
      <c r="S24" s="134"/>
      <c r="T24" s="135"/>
      <c r="U24" s="135"/>
      <c r="V24" s="136"/>
      <c r="W24" s="136"/>
      <c r="X24" s="23">
        <f t="shared" si="7"/>
        <v>0</v>
      </c>
      <c r="Y24" s="21">
        <f t="shared" si="8"/>
        <v>6.2111111111111112</v>
      </c>
      <c r="Z24" s="180" t="str">
        <f t="shared" si="4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124">
        <v>8</v>
      </c>
      <c r="F25" s="125">
        <v>9</v>
      </c>
      <c r="G25" s="125"/>
      <c r="H25" s="126"/>
      <c r="I25" s="126"/>
      <c r="J25" s="127">
        <f t="shared" si="5"/>
        <v>5.666666666666667</v>
      </c>
      <c r="K25" s="180" t="str">
        <f t="shared" si="1"/>
        <v>N/TRANSITA</v>
      </c>
      <c r="L25" s="132">
        <v>7</v>
      </c>
      <c r="M25" s="133">
        <v>16.5</v>
      </c>
      <c r="N25" s="133"/>
      <c r="O25" s="133">
        <v>0.5</v>
      </c>
      <c r="P25" s="133"/>
      <c r="Q25" s="127">
        <f t="shared" ref="Q25:Q26" si="9">AVERAGE(L25,MAX(M25:N25),MAX(O25:P25))</f>
        <v>8</v>
      </c>
      <c r="R25" s="180" t="str">
        <f t="shared" ref="R25:R26" si="10">IF(Q25&gt;=10,"TRANSITA","N/TRANSITA")</f>
        <v>N/TRANSITA</v>
      </c>
      <c r="S25" s="134"/>
      <c r="T25" s="135"/>
      <c r="U25" s="135"/>
      <c r="V25" s="136"/>
      <c r="W25" s="136"/>
      <c r="X25" s="23">
        <f t="shared" ref="X25:X26" si="11">AVERAGE(S25,MAX(T25:U25),MAX(V25:W25))</f>
        <v>0</v>
      </c>
      <c r="Y25" s="21">
        <f t="shared" ref="Y25:Y26" si="12">SUM(J25,Q25,X25)/3</f>
        <v>4.5555555555555562</v>
      </c>
      <c r="Z25" s="180" t="str">
        <f t="shared" ref="Z25:Z26" si="13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124">
        <v>10</v>
      </c>
      <c r="F26" s="125">
        <v>5.5</v>
      </c>
      <c r="G26" s="125"/>
      <c r="H26" s="126">
        <v>5</v>
      </c>
      <c r="I26" s="126"/>
      <c r="J26" s="127">
        <f t="shared" si="5"/>
        <v>6.833333333333333</v>
      </c>
      <c r="K26" s="180" t="str">
        <f t="shared" si="1"/>
        <v>N/TRANSITA</v>
      </c>
      <c r="L26" s="132">
        <v>10.5</v>
      </c>
      <c r="M26" s="133">
        <v>17.5</v>
      </c>
      <c r="N26" s="133"/>
      <c r="O26" s="133">
        <v>8.5</v>
      </c>
      <c r="P26" s="133"/>
      <c r="Q26" s="127">
        <f t="shared" si="9"/>
        <v>12.166666666666666</v>
      </c>
      <c r="R26" s="180" t="str">
        <f t="shared" si="10"/>
        <v>TRANSITA</v>
      </c>
      <c r="S26" s="134"/>
      <c r="T26" s="135"/>
      <c r="U26" s="135"/>
      <c r="V26" s="136"/>
      <c r="W26" s="136"/>
      <c r="X26" s="23">
        <f t="shared" si="11"/>
        <v>0</v>
      </c>
      <c r="Y26" s="21">
        <f t="shared" si="12"/>
        <v>6.333333333333333</v>
      </c>
      <c r="Z26" s="180" t="str">
        <f t="shared" si="13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124">
        <v>10</v>
      </c>
      <c r="F27" s="125">
        <v>13</v>
      </c>
      <c r="G27" s="125"/>
      <c r="H27" s="126">
        <v>18.5</v>
      </c>
      <c r="I27" s="126"/>
      <c r="J27" s="127">
        <f t="shared" si="5"/>
        <v>13.833333333333334</v>
      </c>
      <c r="K27" s="180" t="str">
        <f t="shared" si="1"/>
        <v>TRANSITA</v>
      </c>
      <c r="L27" s="132">
        <v>10</v>
      </c>
      <c r="M27" s="133">
        <v>8</v>
      </c>
      <c r="N27" s="133"/>
      <c r="O27" s="133">
        <v>2.5</v>
      </c>
      <c r="P27" s="133"/>
      <c r="Q27" s="127">
        <f t="shared" si="6"/>
        <v>6.833333333333333</v>
      </c>
      <c r="R27" s="180" t="str">
        <f t="shared" si="2"/>
        <v>N/TRANSITA</v>
      </c>
      <c r="S27" s="134"/>
      <c r="T27" s="135"/>
      <c r="U27" s="135"/>
      <c r="V27" s="136"/>
      <c r="W27" s="136"/>
      <c r="X27" s="23">
        <f t="shared" si="7"/>
        <v>0</v>
      </c>
      <c r="Y27" s="21">
        <f t="shared" si="8"/>
        <v>6.8888888888888893</v>
      </c>
      <c r="Z27" s="180" t="str">
        <f t="shared" si="4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124">
        <v>8</v>
      </c>
      <c r="F28" s="125">
        <v>3.5</v>
      </c>
      <c r="G28" s="125"/>
      <c r="H28" s="126">
        <v>10</v>
      </c>
      <c r="I28" s="126"/>
      <c r="J28" s="127">
        <f t="shared" si="5"/>
        <v>7.166666666666667</v>
      </c>
      <c r="K28" s="180" t="str">
        <f t="shared" si="1"/>
        <v>N/TRANSITA</v>
      </c>
      <c r="L28" s="132"/>
      <c r="M28" s="133"/>
      <c r="N28" s="133"/>
      <c r="O28" s="133"/>
      <c r="P28" s="133"/>
      <c r="Q28" s="127">
        <f t="shared" si="6"/>
        <v>0</v>
      </c>
      <c r="R28" s="180" t="str">
        <f t="shared" si="2"/>
        <v>N/TRANSITA</v>
      </c>
      <c r="S28" s="134"/>
      <c r="T28" s="135"/>
      <c r="U28" s="135"/>
      <c r="V28" s="136"/>
      <c r="W28" s="136"/>
      <c r="X28" s="23">
        <f t="shared" si="7"/>
        <v>0</v>
      </c>
      <c r="Y28" s="21">
        <f t="shared" si="8"/>
        <v>2.3888888888888888</v>
      </c>
      <c r="Z28" s="180" t="str">
        <f t="shared" si="4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124"/>
      <c r="F29" s="125">
        <v>6.5</v>
      </c>
      <c r="G29" s="125"/>
      <c r="H29" s="126"/>
      <c r="I29" s="126"/>
      <c r="J29" s="127">
        <f t="shared" si="5"/>
        <v>3.25</v>
      </c>
      <c r="K29" s="180" t="str">
        <f t="shared" si="1"/>
        <v>N/TRANSITA</v>
      </c>
      <c r="L29" s="132">
        <v>6</v>
      </c>
      <c r="M29" s="133">
        <v>3</v>
      </c>
      <c r="N29" s="133"/>
      <c r="O29" s="133">
        <v>0</v>
      </c>
      <c r="P29" s="133"/>
      <c r="Q29" s="127">
        <f t="shared" si="6"/>
        <v>3</v>
      </c>
      <c r="R29" s="180" t="str">
        <f t="shared" si="2"/>
        <v>N/TRANSITA</v>
      </c>
      <c r="S29" s="134"/>
      <c r="T29" s="135"/>
      <c r="U29" s="135"/>
      <c r="V29" s="136"/>
      <c r="W29" s="136"/>
      <c r="X29" s="23">
        <f t="shared" si="7"/>
        <v>0</v>
      </c>
      <c r="Y29" s="21">
        <f t="shared" si="8"/>
        <v>2.0833333333333335</v>
      </c>
      <c r="Z29" s="180" t="str">
        <f t="shared" si="4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124">
        <v>13</v>
      </c>
      <c r="F30" s="125">
        <v>16.5</v>
      </c>
      <c r="G30" s="125"/>
      <c r="H30" s="126">
        <v>16</v>
      </c>
      <c r="I30" s="126"/>
      <c r="J30" s="127">
        <f t="shared" si="5"/>
        <v>15.166666666666666</v>
      </c>
      <c r="K30" s="180" t="str">
        <f t="shared" si="1"/>
        <v>TRANSITA</v>
      </c>
      <c r="L30" s="132">
        <v>14.5</v>
      </c>
      <c r="M30" s="133">
        <v>18</v>
      </c>
      <c r="N30" s="133"/>
      <c r="O30" s="133">
        <v>9</v>
      </c>
      <c r="P30" s="133"/>
      <c r="Q30" s="127">
        <f t="shared" si="6"/>
        <v>13.833333333333334</v>
      </c>
      <c r="R30" s="180" t="str">
        <f t="shared" si="2"/>
        <v>TRANSITA</v>
      </c>
      <c r="S30" s="134"/>
      <c r="T30" s="135"/>
      <c r="U30" s="135"/>
      <c r="V30" s="136"/>
      <c r="W30" s="136"/>
      <c r="X30" s="23">
        <f t="shared" si="7"/>
        <v>0</v>
      </c>
      <c r="Y30" s="21">
        <f t="shared" si="8"/>
        <v>9.6666666666666661</v>
      </c>
      <c r="Z30" s="180" t="str">
        <f t="shared" si="4"/>
        <v>N/TRANSITA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124"/>
      <c r="F31" s="125"/>
      <c r="G31" s="125"/>
      <c r="H31" s="126"/>
      <c r="I31" s="126"/>
      <c r="J31" s="127">
        <f t="shared" si="5"/>
        <v>0</v>
      </c>
      <c r="K31" s="180" t="str">
        <f t="shared" si="1"/>
        <v>N/TRANSITA</v>
      </c>
      <c r="L31" s="132">
        <v>10.5</v>
      </c>
      <c r="M31" s="133">
        <v>10</v>
      </c>
      <c r="N31" s="133"/>
      <c r="O31" s="133"/>
      <c r="P31" s="133"/>
      <c r="Q31" s="127">
        <f t="shared" ref="Q31" si="14">AVERAGE(L31,MAX(M31:N31),MAX(O31:P31))</f>
        <v>6.833333333333333</v>
      </c>
      <c r="R31" s="180" t="str">
        <f t="shared" ref="R31" si="15">IF(Q31&gt;=10,"TRANSITA","N/TRANSITA")</f>
        <v>N/TRANSITA</v>
      </c>
      <c r="S31" s="134"/>
      <c r="T31" s="135"/>
      <c r="U31" s="135"/>
      <c r="V31" s="136"/>
      <c r="W31" s="136"/>
      <c r="X31" s="23">
        <f t="shared" ref="X31" si="16">AVERAGE(S31,MAX(T31:U31),MAX(V31:W31))</f>
        <v>0</v>
      </c>
      <c r="Y31" s="21">
        <f t="shared" ref="Y31" si="17">SUM(J31,Q31,X31)/3</f>
        <v>2.2777777777777777</v>
      </c>
      <c r="Z31" s="180" t="str">
        <f t="shared" ref="Z31" si="18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124">
        <v>13</v>
      </c>
      <c r="F32" s="125">
        <v>18.5</v>
      </c>
      <c r="G32" s="125"/>
      <c r="H32" s="126">
        <v>14.5</v>
      </c>
      <c r="I32" s="126"/>
      <c r="J32" s="127">
        <f t="shared" si="5"/>
        <v>15.333333333333334</v>
      </c>
      <c r="K32" s="180" t="str">
        <f t="shared" si="1"/>
        <v>TRANSITA</v>
      </c>
      <c r="L32" s="132">
        <v>10.5</v>
      </c>
      <c r="M32" s="133">
        <v>17</v>
      </c>
      <c r="N32" s="133"/>
      <c r="O32" s="133">
        <v>5.5</v>
      </c>
      <c r="P32" s="133"/>
      <c r="Q32" s="127">
        <f t="shared" ref="Q32:Q48" si="19">AVERAGE(L32,MAX(M32:N32),MAX(O32:P32))</f>
        <v>11</v>
      </c>
      <c r="R32" s="180" t="str">
        <f t="shared" si="2"/>
        <v>TRANSITA</v>
      </c>
      <c r="S32" s="134"/>
      <c r="T32" s="135"/>
      <c r="U32" s="135"/>
      <c r="V32" s="136"/>
      <c r="W32" s="136"/>
      <c r="X32" s="23">
        <f t="shared" ref="X32:X48" si="20">AVERAGE(S32,MAX(T32:U32),MAX(V32:W32))</f>
        <v>0</v>
      </c>
      <c r="Y32" s="21">
        <f t="shared" ref="Y32:Y48" si="21">SUM(J32,Q32,X32)/3</f>
        <v>8.7777777777777786</v>
      </c>
      <c r="Z32" s="180" t="str">
        <f t="shared" si="4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124">
        <v>8</v>
      </c>
      <c r="F33" s="125">
        <v>7</v>
      </c>
      <c r="G33" s="125"/>
      <c r="H33" s="126">
        <v>14.5</v>
      </c>
      <c r="I33" s="126"/>
      <c r="J33" s="127">
        <f t="shared" si="5"/>
        <v>9.8333333333333339</v>
      </c>
      <c r="K33" s="180" t="str">
        <f t="shared" si="1"/>
        <v>N/TRANSITA</v>
      </c>
      <c r="L33" s="132">
        <v>13.5</v>
      </c>
      <c r="M33" s="133">
        <v>18</v>
      </c>
      <c r="N33" s="133"/>
      <c r="O33" s="133">
        <v>3.5</v>
      </c>
      <c r="P33" s="133"/>
      <c r="Q33" s="127">
        <f t="shared" si="19"/>
        <v>11.666666666666666</v>
      </c>
      <c r="R33" s="180" t="str">
        <f t="shared" si="2"/>
        <v>TRANSITA</v>
      </c>
      <c r="S33" s="134"/>
      <c r="T33" s="135"/>
      <c r="U33" s="135"/>
      <c r="V33" s="136"/>
      <c r="W33" s="136"/>
      <c r="X33" s="23">
        <f t="shared" si="20"/>
        <v>0</v>
      </c>
      <c r="Y33" s="21">
        <f t="shared" si="21"/>
        <v>7.166666666666667</v>
      </c>
      <c r="Z33" s="180" t="str">
        <f t="shared" si="4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124">
        <v>12</v>
      </c>
      <c r="F34" s="125">
        <v>15.5</v>
      </c>
      <c r="G34" s="125"/>
      <c r="H34" s="126">
        <v>15</v>
      </c>
      <c r="I34" s="126"/>
      <c r="J34" s="127">
        <f t="shared" si="5"/>
        <v>14.166666666666666</v>
      </c>
      <c r="K34" s="180" t="str">
        <f t="shared" si="1"/>
        <v>TRANSITA</v>
      </c>
      <c r="L34" s="132">
        <v>14.5</v>
      </c>
      <c r="M34" s="133">
        <v>17.5</v>
      </c>
      <c r="N34" s="133"/>
      <c r="O34" s="133">
        <v>15</v>
      </c>
      <c r="P34" s="133"/>
      <c r="Q34" s="127">
        <f t="shared" si="19"/>
        <v>15.666666666666666</v>
      </c>
      <c r="R34" s="180" t="str">
        <f t="shared" si="2"/>
        <v>TRANSITA</v>
      </c>
      <c r="S34" s="134"/>
      <c r="T34" s="135"/>
      <c r="U34" s="135"/>
      <c r="V34" s="136"/>
      <c r="W34" s="136"/>
      <c r="X34" s="23">
        <f t="shared" si="20"/>
        <v>0</v>
      </c>
      <c r="Y34" s="21">
        <f t="shared" si="21"/>
        <v>9.9444444444444446</v>
      </c>
      <c r="Z34" s="180" t="str">
        <f t="shared" si="4"/>
        <v>N/TRANSITA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124"/>
      <c r="F35" s="125"/>
      <c r="G35" s="125"/>
      <c r="H35" s="126"/>
      <c r="I35" s="126"/>
      <c r="J35" s="127">
        <f t="shared" si="5"/>
        <v>0</v>
      </c>
      <c r="K35" s="180" t="str">
        <f t="shared" si="1"/>
        <v>N/TRANSITA</v>
      </c>
      <c r="L35" s="132"/>
      <c r="M35" s="133"/>
      <c r="N35" s="133"/>
      <c r="O35" s="133"/>
      <c r="P35" s="133"/>
      <c r="Q35" s="127">
        <f t="shared" si="19"/>
        <v>0</v>
      </c>
      <c r="R35" s="180" t="str">
        <f t="shared" si="2"/>
        <v>N/TRANSITA</v>
      </c>
      <c r="S35" s="134"/>
      <c r="T35" s="135"/>
      <c r="U35" s="135"/>
      <c r="V35" s="136"/>
      <c r="W35" s="136"/>
      <c r="X35" s="23">
        <f t="shared" si="20"/>
        <v>0</v>
      </c>
      <c r="Y35" s="21">
        <f t="shared" si="21"/>
        <v>0</v>
      </c>
      <c r="Z35" s="180" t="str">
        <f t="shared" si="4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124">
        <v>5</v>
      </c>
      <c r="F36" s="125">
        <v>9</v>
      </c>
      <c r="G36" s="125"/>
      <c r="H36" s="126">
        <v>13.5</v>
      </c>
      <c r="I36" s="126"/>
      <c r="J36" s="127">
        <f t="shared" si="5"/>
        <v>9.1666666666666661</v>
      </c>
      <c r="K36" s="180" t="str">
        <f t="shared" si="1"/>
        <v>N/TRANSITA</v>
      </c>
      <c r="L36" s="132">
        <v>9</v>
      </c>
      <c r="M36" s="133">
        <v>16.5</v>
      </c>
      <c r="N36" s="133"/>
      <c r="O36" s="133">
        <v>7</v>
      </c>
      <c r="P36" s="133"/>
      <c r="Q36" s="127">
        <f t="shared" si="19"/>
        <v>10.833333333333334</v>
      </c>
      <c r="R36" s="180" t="str">
        <f t="shared" si="2"/>
        <v>TRANSITA</v>
      </c>
      <c r="S36" s="134"/>
      <c r="T36" s="135"/>
      <c r="U36" s="135"/>
      <c r="V36" s="136"/>
      <c r="W36" s="136"/>
      <c r="X36" s="23">
        <f t="shared" si="20"/>
        <v>0</v>
      </c>
      <c r="Y36" s="21">
        <f t="shared" si="21"/>
        <v>6.666666666666667</v>
      </c>
      <c r="Z36" s="180" t="str">
        <f t="shared" si="4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124">
        <v>12</v>
      </c>
      <c r="F37" s="125">
        <v>19</v>
      </c>
      <c r="G37" s="125"/>
      <c r="H37" s="126">
        <v>17.5</v>
      </c>
      <c r="I37" s="126"/>
      <c r="J37" s="127">
        <f t="shared" si="5"/>
        <v>16.166666666666668</v>
      </c>
      <c r="K37" s="180" t="str">
        <f t="shared" si="1"/>
        <v>TRANSITA</v>
      </c>
      <c r="L37" s="132">
        <v>12</v>
      </c>
      <c r="M37" s="133">
        <v>18</v>
      </c>
      <c r="N37" s="133"/>
      <c r="O37" s="133">
        <v>9</v>
      </c>
      <c r="P37" s="133"/>
      <c r="Q37" s="127">
        <f t="shared" si="19"/>
        <v>13</v>
      </c>
      <c r="R37" s="180" t="str">
        <f t="shared" si="2"/>
        <v>TRANSITA</v>
      </c>
      <c r="S37" s="134"/>
      <c r="T37" s="135"/>
      <c r="U37" s="135"/>
      <c r="V37" s="136"/>
      <c r="W37" s="136"/>
      <c r="X37" s="23">
        <f t="shared" si="20"/>
        <v>0</v>
      </c>
      <c r="Y37" s="21">
        <f t="shared" si="21"/>
        <v>9.7222222222222232</v>
      </c>
      <c r="Z37" s="180" t="str">
        <f t="shared" si="4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124">
        <v>12</v>
      </c>
      <c r="F38" s="125">
        <v>11</v>
      </c>
      <c r="G38" s="125"/>
      <c r="H38" s="126">
        <v>19</v>
      </c>
      <c r="I38" s="126"/>
      <c r="J38" s="127">
        <f t="shared" si="5"/>
        <v>14</v>
      </c>
      <c r="K38" s="180" t="str">
        <f t="shared" si="1"/>
        <v>TRANSITA</v>
      </c>
      <c r="L38" s="132">
        <v>12</v>
      </c>
      <c r="M38" s="133">
        <v>8</v>
      </c>
      <c r="N38" s="133"/>
      <c r="O38" s="133">
        <v>4</v>
      </c>
      <c r="P38" s="133"/>
      <c r="Q38" s="127">
        <f t="shared" si="19"/>
        <v>8</v>
      </c>
      <c r="R38" s="180" t="str">
        <f t="shared" si="2"/>
        <v>N/TRANSITA</v>
      </c>
      <c r="S38" s="134"/>
      <c r="T38" s="135"/>
      <c r="U38" s="135"/>
      <c r="V38" s="136"/>
      <c r="W38" s="136"/>
      <c r="X38" s="23">
        <f t="shared" si="20"/>
        <v>0</v>
      </c>
      <c r="Y38" s="21">
        <f t="shared" si="21"/>
        <v>7.333333333333333</v>
      </c>
      <c r="Z38" s="180" t="str">
        <f t="shared" si="4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124"/>
      <c r="F39" s="125"/>
      <c r="G39" s="125"/>
      <c r="H39" s="126"/>
      <c r="I39" s="126"/>
      <c r="J39" s="127">
        <f t="shared" si="5"/>
        <v>0</v>
      </c>
      <c r="K39" s="180" t="str">
        <f t="shared" si="1"/>
        <v>N/TRANSITA</v>
      </c>
      <c r="L39" s="132">
        <v>6</v>
      </c>
      <c r="M39" s="133">
        <v>17</v>
      </c>
      <c r="N39" s="133"/>
      <c r="O39" s="133">
        <v>5.5</v>
      </c>
      <c r="P39" s="133"/>
      <c r="Q39" s="127">
        <f t="shared" ref="Q39:Q43" si="22">AVERAGE(L39,MAX(M39:N39),MAX(O39:P39))</f>
        <v>9.5</v>
      </c>
      <c r="R39" s="180" t="str">
        <f t="shared" ref="R39:R43" si="23">IF(Q39&gt;=10,"TRANSITA","N/TRANSITA")</f>
        <v>N/TRANSITA</v>
      </c>
      <c r="S39" s="134"/>
      <c r="T39" s="135"/>
      <c r="U39" s="135"/>
      <c r="V39" s="136"/>
      <c r="W39" s="136"/>
      <c r="X39" s="23">
        <f t="shared" ref="X39:X43" si="24">AVERAGE(S39,MAX(T39:U39),MAX(V39:W39))</f>
        <v>0</v>
      </c>
      <c r="Y39" s="21">
        <f t="shared" ref="Y39:Y43" si="25">SUM(J39,Q39,X39)/3</f>
        <v>3.1666666666666665</v>
      </c>
      <c r="Z39" s="180" t="str">
        <f t="shared" ref="Z39:Z43" si="26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124"/>
      <c r="F40" s="125"/>
      <c r="G40" s="125"/>
      <c r="H40" s="126"/>
      <c r="I40" s="126"/>
      <c r="J40" s="127">
        <f t="shared" si="5"/>
        <v>0</v>
      </c>
      <c r="K40" s="180" t="str">
        <f t="shared" si="1"/>
        <v>N/TRANSITA</v>
      </c>
      <c r="L40" s="132">
        <v>6</v>
      </c>
      <c r="M40" s="133">
        <v>16</v>
      </c>
      <c r="N40" s="133"/>
      <c r="O40" s="133">
        <v>1.5</v>
      </c>
      <c r="P40" s="133"/>
      <c r="Q40" s="127">
        <f t="shared" si="22"/>
        <v>7.833333333333333</v>
      </c>
      <c r="R40" s="180" t="str">
        <f t="shared" si="23"/>
        <v>N/TRANSITA</v>
      </c>
      <c r="S40" s="134"/>
      <c r="T40" s="135"/>
      <c r="U40" s="135"/>
      <c r="V40" s="136"/>
      <c r="W40" s="136"/>
      <c r="X40" s="23">
        <f t="shared" si="24"/>
        <v>0</v>
      </c>
      <c r="Y40" s="21">
        <f t="shared" si="25"/>
        <v>2.6111111111111112</v>
      </c>
      <c r="Z40" s="180" t="str">
        <f t="shared" si="26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124">
        <v>10</v>
      </c>
      <c r="F41" s="125">
        <v>8.5</v>
      </c>
      <c r="G41" s="125"/>
      <c r="H41" s="126">
        <v>15.5</v>
      </c>
      <c r="I41" s="126"/>
      <c r="J41" s="127">
        <f t="shared" si="5"/>
        <v>11.333333333333334</v>
      </c>
      <c r="K41" s="180" t="str">
        <f t="shared" si="1"/>
        <v>TRANSITA</v>
      </c>
      <c r="L41" s="132">
        <v>10</v>
      </c>
      <c r="M41" s="133">
        <v>18</v>
      </c>
      <c r="N41" s="133"/>
      <c r="O41" s="133">
        <v>0</v>
      </c>
      <c r="P41" s="133"/>
      <c r="Q41" s="127">
        <f t="shared" si="22"/>
        <v>9.3333333333333339</v>
      </c>
      <c r="R41" s="180" t="str">
        <f t="shared" si="23"/>
        <v>N/TRANSITA</v>
      </c>
      <c r="S41" s="134"/>
      <c r="T41" s="135"/>
      <c r="U41" s="135"/>
      <c r="V41" s="136"/>
      <c r="W41" s="136"/>
      <c r="X41" s="23">
        <f t="shared" si="24"/>
        <v>0</v>
      </c>
      <c r="Y41" s="21">
        <f t="shared" si="25"/>
        <v>6.8888888888888893</v>
      </c>
      <c r="Z41" s="180" t="str">
        <f t="shared" si="26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124">
        <v>11</v>
      </c>
      <c r="F42" s="125">
        <v>16</v>
      </c>
      <c r="G42" s="125"/>
      <c r="H42" s="126">
        <v>13.5</v>
      </c>
      <c r="I42" s="126"/>
      <c r="J42" s="127">
        <f t="shared" si="5"/>
        <v>13.5</v>
      </c>
      <c r="K42" s="180" t="str">
        <f t="shared" si="1"/>
        <v>TRANSITA</v>
      </c>
      <c r="L42" s="132">
        <v>11.5</v>
      </c>
      <c r="M42" s="133">
        <v>18</v>
      </c>
      <c r="N42" s="133"/>
      <c r="O42" s="133">
        <v>0</v>
      </c>
      <c r="P42" s="133"/>
      <c r="Q42" s="127">
        <f t="shared" si="22"/>
        <v>9.8333333333333339</v>
      </c>
      <c r="R42" s="180" t="str">
        <f t="shared" si="23"/>
        <v>N/TRANSITA</v>
      </c>
      <c r="S42" s="134"/>
      <c r="T42" s="135"/>
      <c r="U42" s="135"/>
      <c r="V42" s="136"/>
      <c r="W42" s="136"/>
      <c r="X42" s="23">
        <f t="shared" si="24"/>
        <v>0</v>
      </c>
      <c r="Y42" s="21">
        <f t="shared" si="25"/>
        <v>7.7777777777777786</v>
      </c>
      <c r="Z42" s="180" t="str">
        <f t="shared" si="26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124">
        <v>10</v>
      </c>
      <c r="F43" s="125">
        <v>19.5</v>
      </c>
      <c r="G43" s="125"/>
      <c r="H43" s="126">
        <v>15.5</v>
      </c>
      <c r="I43" s="126"/>
      <c r="J43" s="127">
        <f t="shared" si="5"/>
        <v>15</v>
      </c>
      <c r="K43" s="180" t="str">
        <f t="shared" si="1"/>
        <v>TRANSITA</v>
      </c>
      <c r="L43" s="132">
        <v>12.5</v>
      </c>
      <c r="M43" s="133">
        <v>12</v>
      </c>
      <c r="N43" s="133"/>
      <c r="O43" s="133">
        <v>9</v>
      </c>
      <c r="P43" s="133"/>
      <c r="Q43" s="127">
        <f t="shared" si="22"/>
        <v>11.166666666666666</v>
      </c>
      <c r="R43" s="180" t="str">
        <f t="shared" si="23"/>
        <v>TRANSITA</v>
      </c>
      <c r="S43" s="134"/>
      <c r="T43" s="135"/>
      <c r="U43" s="135"/>
      <c r="V43" s="136"/>
      <c r="W43" s="136"/>
      <c r="X43" s="23">
        <f t="shared" si="24"/>
        <v>0</v>
      </c>
      <c r="Y43" s="21">
        <f t="shared" si="25"/>
        <v>8.7222222222222214</v>
      </c>
      <c r="Z43" s="180" t="str">
        <f t="shared" si="26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124">
        <v>10</v>
      </c>
      <c r="F44" s="125">
        <v>12</v>
      </c>
      <c r="G44" s="125"/>
      <c r="H44" s="126">
        <v>18.5</v>
      </c>
      <c r="I44" s="126"/>
      <c r="J44" s="127">
        <f t="shared" si="5"/>
        <v>13.5</v>
      </c>
      <c r="K44" s="180" t="str">
        <f t="shared" si="1"/>
        <v>TRANSITA</v>
      </c>
      <c r="L44" s="132">
        <v>9</v>
      </c>
      <c r="M44" s="133">
        <v>18</v>
      </c>
      <c r="N44" s="133"/>
      <c r="O44" s="133">
        <v>2.5</v>
      </c>
      <c r="P44" s="133"/>
      <c r="Q44" s="127">
        <f t="shared" si="19"/>
        <v>9.8333333333333339</v>
      </c>
      <c r="R44" s="180" t="str">
        <f t="shared" si="2"/>
        <v>N/TRANSITA</v>
      </c>
      <c r="S44" s="134"/>
      <c r="T44" s="135"/>
      <c r="U44" s="135"/>
      <c r="V44" s="136"/>
      <c r="W44" s="136"/>
      <c r="X44" s="23">
        <f t="shared" si="20"/>
        <v>0</v>
      </c>
      <c r="Y44" s="21">
        <f t="shared" si="21"/>
        <v>7.7777777777777786</v>
      </c>
      <c r="Z44" s="180" t="str">
        <f t="shared" si="4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124">
        <v>11</v>
      </c>
      <c r="F45" s="125">
        <v>10</v>
      </c>
      <c r="G45" s="125"/>
      <c r="H45" s="126">
        <v>16</v>
      </c>
      <c r="I45" s="126"/>
      <c r="J45" s="127">
        <f t="shared" si="5"/>
        <v>12.333333333333334</v>
      </c>
      <c r="K45" s="180" t="str">
        <f t="shared" si="1"/>
        <v>TRANSITA</v>
      </c>
      <c r="L45" s="132">
        <v>9</v>
      </c>
      <c r="M45" s="133">
        <v>18.5</v>
      </c>
      <c r="N45" s="133"/>
      <c r="O45" s="133">
        <v>0.5</v>
      </c>
      <c r="P45" s="133"/>
      <c r="Q45" s="127">
        <f t="shared" si="19"/>
        <v>9.3333333333333339</v>
      </c>
      <c r="R45" s="180" t="str">
        <f t="shared" si="2"/>
        <v>N/TRANSITA</v>
      </c>
      <c r="S45" s="134"/>
      <c r="T45" s="135"/>
      <c r="U45" s="135"/>
      <c r="V45" s="136"/>
      <c r="W45" s="136"/>
      <c r="X45" s="23">
        <f t="shared" si="20"/>
        <v>0</v>
      </c>
      <c r="Y45" s="21">
        <f t="shared" si="21"/>
        <v>7.2222222222222223</v>
      </c>
      <c r="Z45" s="180" t="str">
        <f t="shared" si="4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124"/>
      <c r="F46" s="125"/>
      <c r="G46" s="125"/>
      <c r="H46" s="126"/>
      <c r="I46" s="126"/>
      <c r="J46" s="127">
        <f t="shared" si="5"/>
        <v>0</v>
      </c>
      <c r="K46" s="180" t="str">
        <f t="shared" si="1"/>
        <v>N/TRANSITA</v>
      </c>
      <c r="L46" s="132">
        <v>9</v>
      </c>
      <c r="M46" s="133">
        <v>14</v>
      </c>
      <c r="N46" s="133"/>
      <c r="O46" s="133">
        <v>5</v>
      </c>
      <c r="P46" s="133"/>
      <c r="Q46" s="127">
        <f t="shared" ref="Q46:Q47" si="27">AVERAGE(L46,MAX(M46:N46),MAX(O46:P46))</f>
        <v>9.3333333333333339</v>
      </c>
      <c r="R46" s="180" t="str">
        <f t="shared" ref="R46:R47" si="28">IF(Q46&gt;=10,"TRANSITA","N/TRANSITA")</f>
        <v>N/TRANSITA</v>
      </c>
      <c r="S46" s="134"/>
      <c r="T46" s="135"/>
      <c r="U46" s="135"/>
      <c r="V46" s="136"/>
      <c r="W46" s="136"/>
      <c r="X46" s="23">
        <f t="shared" ref="X46:X47" si="29">AVERAGE(S46,MAX(T46:U46),MAX(V46:W46))</f>
        <v>0</v>
      </c>
      <c r="Y46" s="21">
        <f t="shared" ref="Y46:Y47" si="30">SUM(J46,Q46,X46)/3</f>
        <v>3.1111111111111112</v>
      </c>
      <c r="Z46" s="180" t="str">
        <f t="shared" ref="Z46:Z47" si="31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124">
        <v>11</v>
      </c>
      <c r="F47" s="125">
        <v>19</v>
      </c>
      <c r="G47" s="125"/>
      <c r="H47" s="126">
        <v>16</v>
      </c>
      <c r="I47" s="126"/>
      <c r="J47" s="127">
        <f t="shared" si="5"/>
        <v>15.333333333333334</v>
      </c>
      <c r="K47" s="180" t="str">
        <f t="shared" si="1"/>
        <v>TRANSITA</v>
      </c>
      <c r="L47" s="132">
        <v>10</v>
      </c>
      <c r="M47" s="133">
        <v>17.5</v>
      </c>
      <c r="N47" s="133"/>
      <c r="O47" s="133">
        <v>6</v>
      </c>
      <c r="P47" s="133"/>
      <c r="Q47" s="127">
        <f t="shared" si="27"/>
        <v>11.166666666666666</v>
      </c>
      <c r="R47" s="180" t="str">
        <f t="shared" si="28"/>
        <v>TRANSITA</v>
      </c>
      <c r="S47" s="134"/>
      <c r="T47" s="135"/>
      <c r="U47" s="135"/>
      <c r="V47" s="136"/>
      <c r="W47" s="136"/>
      <c r="X47" s="23">
        <f t="shared" si="29"/>
        <v>0</v>
      </c>
      <c r="Y47" s="21">
        <f t="shared" si="30"/>
        <v>8.8333333333333339</v>
      </c>
      <c r="Z47" s="180" t="str">
        <f t="shared" si="31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124">
        <v>10.5</v>
      </c>
      <c r="F48" s="125">
        <v>8.5</v>
      </c>
      <c r="G48" s="125"/>
      <c r="H48" s="126">
        <v>16</v>
      </c>
      <c r="I48" s="126"/>
      <c r="J48" s="127">
        <f t="shared" si="5"/>
        <v>11.666666666666666</v>
      </c>
      <c r="K48" s="180" t="str">
        <f t="shared" si="1"/>
        <v>TRANSITA</v>
      </c>
      <c r="L48" s="132">
        <v>8</v>
      </c>
      <c r="M48" s="133">
        <v>18</v>
      </c>
      <c r="N48" s="133"/>
      <c r="O48" s="133">
        <v>4</v>
      </c>
      <c r="P48" s="133"/>
      <c r="Q48" s="127">
        <f t="shared" si="19"/>
        <v>10</v>
      </c>
      <c r="R48" s="180" t="str">
        <f t="shared" si="2"/>
        <v>TRANSITA</v>
      </c>
      <c r="S48" s="134"/>
      <c r="T48" s="135"/>
      <c r="U48" s="135"/>
      <c r="V48" s="136"/>
      <c r="W48" s="136"/>
      <c r="X48" s="23">
        <f t="shared" si="20"/>
        <v>0</v>
      </c>
      <c r="Y48" s="21">
        <f t="shared" si="21"/>
        <v>7.2222222222222214</v>
      </c>
      <c r="Z48" s="180" t="str">
        <f t="shared" si="4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124"/>
      <c r="F49" s="125"/>
      <c r="G49" s="125"/>
      <c r="H49" s="126"/>
      <c r="I49" s="126"/>
      <c r="J49" s="127">
        <f t="shared" si="5"/>
        <v>0</v>
      </c>
      <c r="K49" s="180" t="str">
        <f t="shared" si="1"/>
        <v>N/TRANSITA</v>
      </c>
      <c r="L49" s="132"/>
      <c r="M49" s="133"/>
      <c r="N49" s="133"/>
      <c r="O49" s="133"/>
      <c r="P49" s="133"/>
      <c r="Q49" s="127">
        <f t="shared" si="6"/>
        <v>0</v>
      </c>
      <c r="R49" s="180" t="str">
        <f t="shared" si="2"/>
        <v>N/TRANSITA</v>
      </c>
      <c r="S49" s="134"/>
      <c r="T49" s="135"/>
      <c r="U49" s="135"/>
      <c r="V49" s="136"/>
      <c r="W49" s="136"/>
      <c r="X49" s="23">
        <f t="shared" si="7"/>
        <v>0</v>
      </c>
      <c r="Y49" s="21">
        <f t="shared" si="8"/>
        <v>0</v>
      </c>
      <c r="Z49" s="180" t="str">
        <f t="shared" si="4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124">
        <v>12.5</v>
      </c>
      <c r="F50" s="125">
        <v>7.5</v>
      </c>
      <c r="G50" s="125"/>
      <c r="H50" s="126">
        <v>13.5</v>
      </c>
      <c r="I50" s="126"/>
      <c r="J50" s="127">
        <f t="shared" si="5"/>
        <v>11.166666666666666</v>
      </c>
      <c r="K50" s="180" t="str">
        <f t="shared" si="1"/>
        <v>TRANSITA</v>
      </c>
      <c r="L50" s="132">
        <v>9</v>
      </c>
      <c r="M50" s="133">
        <v>8</v>
      </c>
      <c r="N50" s="133"/>
      <c r="O50" s="133">
        <v>1</v>
      </c>
      <c r="P50" s="133"/>
      <c r="Q50" s="127">
        <f t="shared" si="6"/>
        <v>6</v>
      </c>
      <c r="R50" s="180" t="str">
        <f t="shared" si="2"/>
        <v>N/TRANSITA</v>
      </c>
      <c r="S50" s="134"/>
      <c r="T50" s="135"/>
      <c r="U50" s="135"/>
      <c r="V50" s="136"/>
      <c r="W50" s="136"/>
      <c r="X50" s="23">
        <f t="shared" si="7"/>
        <v>0</v>
      </c>
      <c r="Y50" s="21">
        <f t="shared" si="8"/>
        <v>5.7222222222222214</v>
      </c>
      <c r="Z50" s="180" t="str">
        <f t="shared" si="4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124">
        <v>12</v>
      </c>
      <c r="F51" s="125">
        <v>11</v>
      </c>
      <c r="G51" s="125"/>
      <c r="H51" s="126">
        <v>11.5</v>
      </c>
      <c r="I51" s="126"/>
      <c r="J51" s="127">
        <f t="shared" si="5"/>
        <v>11.5</v>
      </c>
      <c r="K51" s="180" t="str">
        <f t="shared" si="1"/>
        <v>TRANSITA</v>
      </c>
      <c r="L51" s="132">
        <v>10</v>
      </c>
      <c r="M51" s="133">
        <v>8</v>
      </c>
      <c r="N51" s="133"/>
      <c r="O51" s="133">
        <v>1.5</v>
      </c>
      <c r="P51" s="133"/>
      <c r="Q51" s="127">
        <f t="shared" si="6"/>
        <v>6.5</v>
      </c>
      <c r="R51" s="180" t="str">
        <f t="shared" si="2"/>
        <v>N/TRANSITA</v>
      </c>
      <c r="S51" s="134"/>
      <c r="T51" s="135"/>
      <c r="U51" s="135"/>
      <c r="V51" s="136"/>
      <c r="W51" s="136"/>
      <c r="X51" s="23">
        <f t="shared" si="7"/>
        <v>0</v>
      </c>
      <c r="Y51" s="21">
        <f t="shared" si="8"/>
        <v>6</v>
      </c>
      <c r="Z51" s="180" t="str">
        <f t="shared" si="4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124">
        <v>5</v>
      </c>
      <c r="F52" s="125">
        <v>5</v>
      </c>
      <c r="G52" s="125"/>
      <c r="H52" s="126">
        <v>16.5</v>
      </c>
      <c r="I52" s="126"/>
      <c r="J52" s="127">
        <f t="shared" si="5"/>
        <v>8.8333333333333339</v>
      </c>
      <c r="K52" s="180" t="str">
        <f t="shared" si="1"/>
        <v>N/TRANSITA</v>
      </c>
      <c r="L52" s="132"/>
      <c r="M52" s="133"/>
      <c r="N52" s="133"/>
      <c r="O52" s="133"/>
      <c r="P52" s="133"/>
      <c r="Q52" s="127">
        <f t="shared" si="6"/>
        <v>0</v>
      </c>
      <c r="R52" s="180" t="str">
        <f t="shared" si="2"/>
        <v>N/TRANSITA</v>
      </c>
      <c r="S52" s="134"/>
      <c r="T52" s="135"/>
      <c r="U52" s="135"/>
      <c r="V52" s="136"/>
      <c r="W52" s="136"/>
      <c r="X52" s="23">
        <f t="shared" si="7"/>
        <v>0</v>
      </c>
      <c r="Y52" s="21">
        <f t="shared" si="8"/>
        <v>2.9444444444444446</v>
      </c>
      <c r="Z52" s="180" t="str">
        <f t="shared" si="4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37"/>
      <c r="F53" s="138"/>
      <c r="G53" s="138"/>
      <c r="H53" s="135"/>
      <c r="I53" s="135"/>
      <c r="J53" s="127">
        <f t="shared" si="5"/>
        <v>0</v>
      </c>
      <c r="K53" s="180" t="str">
        <f t="shared" si="1"/>
        <v>N/TRANSITA</v>
      </c>
      <c r="L53" s="132"/>
      <c r="M53" s="133"/>
      <c r="N53" s="133"/>
      <c r="O53" s="133"/>
      <c r="P53" s="133"/>
      <c r="Q53" s="127">
        <f t="shared" si="6"/>
        <v>0</v>
      </c>
      <c r="R53" s="180" t="str">
        <f t="shared" si="2"/>
        <v>N/TRANSITA</v>
      </c>
      <c r="S53" s="134"/>
      <c r="T53" s="135"/>
      <c r="U53" s="135"/>
      <c r="V53" s="136"/>
      <c r="W53" s="136"/>
      <c r="X53" s="23">
        <f t="shared" si="7"/>
        <v>0</v>
      </c>
      <c r="Y53" s="21">
        <f t="shared" si="8"/>
        <v>0</v>
      </c>
      <c r="Z53" s="180" t="str">
        <f t="shared" si="4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37"/>
      <c r="F54" s="138"/>
      <c r="G54" s="138"/>
      <c r="H54" s="135"/>
      <c r="I54" s="135"/>
      <c r="J54" s="127">
        <f t="shared" si="5"/>
        <v>0</v>
      </c>
      <c r="K54" s="180" t="str">
        <f t="shared" si="1"/>
        <v>N/TRANSITA</v>
      </c>
      <c r="L54" s="132">
        <v>6</v>
      </c>
      <c r="M54" s="133">
        <v>18</v>
      </c>
      <c r="N54" s="133"/>
      <c r="O54" s="133">
        <v>1.5</v>
      </c>
      <c r="P54" s="133"/>
      <c r="Q54" s="127">
        <f t="shared" ref="Q54:Q56" si="32">AVERAGE(L54,MAX(M54:N54),MAX(O54:P54))</f>
        <v>8.5</v>
      </c>
      <c r="R54" s="180" t="str">
        <f t="shared" ref="R54:R56" si="33">IF(Q54&gt;=10,"TRANSITA","N/TRANSITA")</f>
        <v>N/TRANSITA</v>
      </c>
      <c r="S54" s="134"/>
      <c r="T54" s="135"/>
      <c r="U54" s="135"/>
      <c r="V54" s="136"/>
      <c r="W54" s="136"/>
      <c r="X54" s="23">
        <f t="shared" ref="X54:X56" si="34">AVERAGE(S54,MAX(T54:U54),MAX(V54:W54))</f>
        <v>0</v>
      </c>
      <c r="Y54" s="21">
        <f t="shared" ref="Y54:Y56" si="35">SUM(J54,Q54,X54)/3</f>
        <v>2.8333333333333335</v>
      </c>
      <c r="Z54" s="180" t="str">
        <f t="shared" ref="Z54:Z56" si="36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37">
        <v>11</v>
      </c>
      <c r="F55" s="138">
        <v>8</v>
      </c>
      <c r="G55" s="138"/>
      <c r="H55" s="135">
        <v>16</v>
      </c>
      <c r="I55" s="135"/>
      <c r="J55" s="127">
        <f t="shared" si="5"/>
        <v>11.666666666666666</v>
      </c>
      <c r="K55" s="180" t="str">
        <f t="shared" si="1"/>
        <v>TRANSITA</v>
      </c>
      <c r="L55" s="132">
        <v>4</v>
      </c>
      <c r="M55" s="133">
        <v>8</v>
      </c>
      <c r="N55" s="133"/>
      <c r="O55" s="133">
        <v>8</v>
      </c>
      <c r="P55" s="133"/>
      <c r="Q55" s="127">
        <f t="shared" si="32"/>
        <v>6.666666666666667</v>
      </c>
      <c r="R55" s="180" t="str">
        <f t="shared" si="33"/>
        <v>N/TRANSITA</v>
      </c>
      <c r="S55" s="134"/>
      <c r="T55" s="135"/>
      <c r="U55" s="135"/>
      <c r="V55" s="136"/>
      <c r="W55" s="136"/>
      <c r="X55" s="23">
        <f t="shared" si="34"/>
        <v>0</v>
      </c>
      <c r="Y55" s="21">
        <f t="shared" si="35"/>
        <v>6.1111111111111107</v>
      </c>
      <c r="Z55" s="180" t="str">
        <f t="shared" si="36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37"/>
      <c r="F56" s="138">
        <v>3</v>
      </c>
      <c r="G56" s="138"/>
      <c r="H56" s="135"/>
      <c r="I56" s="135"/>
      <c r="J56" s="127">
        <f t="shared" si="5"/>
        <v>1.5</v>
      </c>
      <c r="K56" s="180" t="str">
        <f t="shared" si="1"/>
        <v>N/TRANSITA</v>
      </c>
      <c r="L56" s="132">
        <v>8</v>
      </c>
      <c r="M56" s="133">
        <v>18</v>
      </c>
      <c r="N56" s="133"/>
      <c r="O56" s="133">
        <v>3</v>
      </c>
      <c r="P56" s="133"/>
      <c r="Q56" s="127">
        <f t="shared" si="32"/>
        <v>9.6666666666666661</v>
      </c>
      <c r="R56" s="180" t="str">
        <f t="shared" si="33"/>
        <v>N/TRANSITA</v>
      </c>
      <c r="S56" s="134"/>
      <c r="T56" s="135"/>
      <c r="U56" s="135"/>
      <c r="V56" s="136"/>
      <c r="W56" s="136"/>
      <c r="X56" s="23">
        <f t="shared" si="34"/>
        <v>0</v>
      </c>
      <c r="Y56" s="21">
        <f t="shared" si="35"/>
        <v>3.7222222222222219</v>
      </c>
      <c r="Z56" s="180" t="str">
        <f t="shared" si="36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37">
        <v>11</v>
      </c>
      <c r="F57" s="138">
        <v>19.5</v>
      </c>
      <c r="G57" s="138"/>
      <c r="H57" s="135">
        <v>16.5</v>
      </c>
      <c r="I57" s="135"/>
      <c r="J57" s="127">
        <f t="shared" si="5"/>
        <v>15.666666666666666</v>
      </c>
      <c r="K57" s="180" t="str">
        <f t="shared" si="1"/>
        <v>TRANSITA</v>
      </c>
      <c r="L57" s="132">
        <v>14.5</v>
      </c>
      <c r="M57" s="133">
        <v>19</v>
      </c>
      <c r="N57" s="133"/>
      <c r="O57" s="133">
        <v>11</v>
      </c>
      <c r="P57" s="133"/>
      <c r="Q57" s="127">
        <f t="shared" si="6"/>
        <v>14.833333333333334</v>
      </c>
      <c r="R57" s="180" t="str">
        <f t="shared" si="2"/>
        <v>TRANSITA</v>
      </c>
      <c r="S57" s="134"/>
      <c r="T57" s="135"/>
      <c r="U57" s="135"/>
      <c r="V57" s="136"/>
      <c r="W57" s="136"/>
      <c r="X57" s="23">
        <f t="shared" si="7"/>
        <v>0</v>
      </c>
      <c r="Y57" s="21">
        <f t="shared" si="8"/>
        <v>10.166666666666666</v>
      </c>
      <c r="Z57" s="180" t="str">
        <f t="shared" si="4"/>
        <v>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37"/>
      <c r="F58" s="138"/>
      <c r="G58" s="138"/>
      <c r="H58" s="135"/>
      <c r="I58" s="135"/>
      <c r="J58" s="127">
        <f t="shared" si="5"/>
        <v>0</v>
      </c>
      <c r="K58" s="180" t="str">
        <f t="shared" si="1"/>
        <v>N/TRANSITA</v>
      </c>
      <c r="L58" s="132"/>
      <c r="M58" s="133"/>
      <c r="N58" s="133"/>
      <c r="O58" s="133"/>
      <c r="P58" s="133"/>
      <c r="Q58" s="127">
        <f t="shared" si="6"/>
        <v>0</v>
      </c>
      <c r="R58" s="180" t="str">
        <f t="shared" si="2"/>
        <v>N/TRANSITA</v>
      </c>
      <c r="S58" s="134"/>
      <c r="T58" s="135"/>
      <c r="U58" s="135"/>
      <c r="V58" s="136"/>
      <c r="W58" s="136"/>
      <c r="X58" s="23">
        <f t="shared" si="7"/>
        <v>0</v>
      </c>
      <c r="Y58" s="21">
        <f t="shared" si="8"/>
        <v>0</v>
      </c>
      <c r="Z58" s="180" t="str">
        <f t="shared" si="4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37"/>
      <c r="F59" s="138">
        <v>4</v>
      </c>
      <c r="G59" s="138"/>
      <c r="H59" s="135"/>
      <c r="I59" s="135"/>
      <c r="J59" s="127">
        <f t="shared" si="5"/>
        <v>2</v>
      </c>
      <c r="K59" s="180" t="str">
        <f t="shared" si="1"/>
        <v>N/TRANSITA</v>
      </c>
      <c r="L59" s="132">
        <v>9</v>
      </c>
      <c r="M59" s="133">
        <v>15.5</v>
      </c>
      <c r="N59" s="133"/>
      <c r="O59" s="133">
        <v>0</v>
      </c>
      <c r="P59" s="133"/>
      <c r="Q59" s="127">
        <f t="shared" si="6"/>
        <v>8.1666666666666661</v>
      </c>
      <c r="R59" s="180" t="str">
        <f t="shared" si="2"/>
        <v>N/TRANSITA</v>
      </c>
      <c r="S59" s="134"/>
      <c r="T59" s="135"/>
      <c r="U59" s="135"/>
      <c r="V59" s="136"/>
      <c r="W59" s="136"/>
      <c r="X59" s="23">
        <f t="shared" si="7"/>
        <v>0</v>
      </c>
      <c r="Y59" s="21">
        <f t="shared" si="8"/>
        <v>3.3888888888888888</v>
      </c>
      <c r="Z59" s="180" t="str">
        <f t="shared" si="4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37">
        <v>5</v>
      </c>
      <c r="F60" s="138">
        <v>7.5</v>
      </c>
      <c r="G60" s="138"/>
      <c r="H60" s="135">
        <v>15.5</v>
      </c>
      <c r="I60" s="135"/>
      <c r="J60" s="127">
        <f t="shared" si="5"/>
        <v>9.3333333333333339</v>
      </c>
      <c r="K60" s="180" t="str">
        <f t="shared" si="1"/>
        <v>N/TRANSITA</v>
      </c>
      <c r="L60" s="132">
        <v>10</v>
      </c>
      <c r="M60" s="133">
        <v>18</v>
      </c>
      <c r="N60" s="133"/>
      <c r="O60" s="133">
        <v>4</v>
      </c>
      <c r="P60" s="133"/>
      <c r="Q60" s="127">
        <f t="shared" si="6"/>
        <v>10.666666666666666</v>
      </c>
      <c r="R60" s="180" t="str">
        <f t="shared" si="2"/>
        <v>TRANSITA</v>
      </c>
      <c r="S60" s="134"/>
      <c r="T60" s="135"/>
      <c r="U60" s="135"/>
      <c r="V60" s="136"/>
      <c r="W60" s="136"/>
      <c r="X60" s="23">
        <f t="shared" si="7"/>
        <v>0</v>
      </c>
      <c r="Y60" s="21">
        <f t="shared" si="8"/>
        <v>6.666666666666667</v>
      </c>
      <c r="Z60" s="180" t="str">
        <f t="shared" si="4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37">
        <v>14</v>
      </c>
      <c r="F61" s="138">
        <v>18</v>
      </c>
      <c r="G61" s="138"/>
      <c r="H61" s="135">
        <v>18.5</v>
      </c>
      <c r="I61" s="135"/>
      <c r="J61" s="127">
        <f t="shared" si="5"/>
        <v>16.833333333333332</v>
      </c>
      <c r="K61" s="180" t="str">
        <f t="shared" si="1"/>
        <v>TRANSITA</v>
      </c>
      <c r="L61" s="132">
        <v>14.5</v>
      </c>
      <c r="M61" s="133">
        <v>8</v>
      </c>
      <c r="N61" s="133"/>
      <c r="O61" s="133">
        <v>9</v>
      </c>
      <c r="P61" s="133"/>
      <c r="Q61" s="127">
        <f t="shared" si="6"/>
        <v>10.5</v>
      </c>
      <c r="R61" s="180" t="str">
        <f t="shared" si="2"/>
        <v>TRANSITA</v>
      </c>
      <c r="S61" s="134"/>
      <c r="T61" s="135"/>
      <c r="U61" s="135"/>
      <c r="V61" s="136"/>
      <c r="W61" s="136"/>
      <c r="X61" s="23">
        <f t="shared" ref="X61:X63" si="37">AVERAGE(S61,MAX(T61:U61),MAX(V61:W61))</f>
        <v>0</v>
      </c>
      <c r="Y61" s="21">
        <f t="shared" si="0"/>
        <v>9.1111111111111107</v>
      </c>
      <c r="Z61" s="180" t="str">
        <f t="shared" si="4"/>
        <v>N/TRANSITA</v>
      </c>
    </row>
    <row r="62" spans="2:31" ht="14.25" customHeight="1" x14ac:dyDescent="0.3">
      <c r="B62" s="37">
        <v>54</v>
      </c>
      <c r="C62" s="194" t="s">
        <v>142</v>
      </c>
      <c r="D62" s="28"/>
      <c r="E62" s="137">
        <v>12</v>
      </c>
      <c r="F62" s="138">
        <v>6</v>
      </c>
      <c r="G62" s="138"/>
      <c r="H62" s="135">
        <v>15</v>
      </c>
      <c r="I62" s="135"/>
      <c r="J62" s="127">
        <f t="shared" si="5"/>
        <v>11</v>
      </c>
      <c r="K62" s="180" t="str">
        <f t="shared" si="1"/>
        <v>TRANSITA</v>
      </c>
      <c r="L62" s="132">
        <v>13.5</v>
      </c>
      <c r="M62" s="133">
        <v>18</v>
      </c>
      <c r="N62" s="133"/>
      <c r="O62" s="133">
        <v>3</v>
      </c>
      <c r="P62" s="133"/>
      <c r="Q62" s="127">
        <f t="shared" si="6"/>
        <v>11.5</v>
      </c>
      <c r="R62" s="180" t="str">
        <f t="shared" si="2"/>
        <v>TRANSITA</v>
      </c>
      <c r="S62" s="134"/>
      <c r="T62" s="135"/>
      <c r="U62" s="135"/>
      <c r="V62" s="136"/>
      <c r="W62" s="136"/>
      <c r="X62" s="23">
        <f t="shared" si="37"/>
        <v>0</v>
      </c>
      <c r="Y62" s="21">
        <f t="shared" si="0"/>
        <v>7.5</v>
      </c>
      <c r="Z62" s="180" t="str">
        <f t="shared" si="4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39">
        <v>11</v>
      </c>
      <c r="F63" s="140">
        <v>11</v>
      </c>
      <c r="G63" s="140"/>
      <c r="H63" s="141">
        <v>15</v>
      </c>
      <c r="I63" s="141"/>
      <c r="J63" s="142">
        <f t="shared" si="5"/>
        <v>12.333333333333334</v>
      </c>
      <c r="K63" s="181" t="str">
        <f t="shared" si="1"/>
        <v>TRANSITA</v>
      </c>
      <c r="L63" s="143">
        <v>13.5</v>
      </c>
      <c r="M63" s="144">
        <v>8</v>
      </c>
      <c r="N63" s="144"/>
      <c r="O63" s="144">
        <v>2</v>
      </c>
      <c r="P63" s="144"/>
      <c r="Q63" s="142">
        <f t="shared" si="6"/>
        <v>7.833333333333333</v>
      </c>
      <c r="R63" s="181" t="str">
        <f t="shared" si="2"/>
        <v>N/TRANSITA</v>
      </c>
      <c r="S63" s="145"/>
      <c r="T63" s="141"/>
      <c r="U63" s="141"/>
      <c r="V63" s="146"/>
      <c r="W63" s="146"/>
      <c r="X63" s="24">
        <f t="shared" si="37"/>
        <v>0</v>
      </c>
      <c r="Y63" s="22">
        <f>SUM(J63,Q63,X63)/3</f>
        <v>6.7222222222222223</v>
      </c>
      <c r="Z63" s="181" t="str">
        <f t="shared" si="4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30"/>
      <c r="G66" s="30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31"/>
      <c r="G67" s="31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31"/>
      <c r="G68" s="31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53:AB55"/>
    <mergeCell ref="A66:E66"/>
    <mergeCell ref="S66:Z66"/>
    <mergeCell ref="A67:E67"/>
    <mergeCell ref="S67:Z67"/>
    <mergeCell ref="AA10:AB11"/>
    <mergeCell ref="K7:K8"/>
    <mergeCell ref="R7:R8"/>
    <mergeCell ref="AC8:AC9"/>
    <mergeCell ref="AD8:AD9"/>
    <mergeCell ref="AE8:AE9"/>
    <mergeCell ref="B5:C5"/>
    <mergeCell ref="I5:N5"/>
    <mergeCell ref="X5:Z5"/>
    <mergeCell ref="B6:Z6"/>
    <mergeCell ref="B7:B8"/>
    <mergeCell ref="C7:C8"/>
    <mergeCell ref="E7:J7"/>
    <mergeCell ref="L7:Q7"/>
    <mergeCell ref="S7:X7"/>
    <mergeCell ref="Y7:Y8"/>
    <mergeCell ref="A1:Z1"/>
    <mergeCell ref="B3:C3"/>
    <mergeCell ref="I3:M3"/>
    <mergeCell ref="V3:Z3"/>
    <mergeCell ref="B4:C4"/>
    <mergeCell ref="I4:Q4"/>
    <mergeCell ref="V4:Z4"/>
  </mergeCells>
  <conditionalFormatting sqref="Y9:Y63">
    <cfRule type="cellIs" dxfId="63" priority="127" stopIfTrue="1" operator="greaterThan">
      <formula>9.5</formula>
    </cfRule>
    <cfRule type="cellIs" dxfId="62" priority="128" stopIfTrue="1" operator="lessThanOrEqual">
      <formula>9.5</formula>
    </cfRule>
  </conditionalFormatting>
  <conditionalFormatting sqref="S9:W63">
    <cfRule type="cellIs" dxfId="61" priority="125" stopIfTrue="1" operator="lessThan">
      <formula>10</formula>
    </cfRule>
    <cfRule type="cellIs" dxfId="60" priority="126" stopIfTrue="1" operator="greaterThan">
      <formula>9</formula>
    </cfRule>
  </conditionalFormatting>
  <conditionalFormatting sqref="S9:W63">
    <cfRule type="cellIs" dxfId="59" priority="123" stopIfTrue="1" operator="lessThan">
      <formula>10</formula>
    </cfRule>
    <cfRule type="cellIs" dxfId="58" priority="124" stopIfTrue="1" operator="greaterThan">
      <formula>9</formula>
    </cfRule>
  </conditionalFormatting>
  <conditionalFormatting sqref="X9:X63 Q9:Q63">
    <cfRule type="cellIs" dxfId="57" priority="105" stopIfTrue="1" operator="lessThan">
      <formula>10</formula>
    </cfRule>
    <cfRule type="cellIs" dxfId="56" priority="106" stopIfTrue="1" operator="greaterThanOrEqual">
      <formula>10</formula>
    </cfRule>
  </conditionalFormatting>
  <conditionalFormatting sqref="P9:P63">
    <cfRule type="cellIs" dxfId="55" priority="31" stopIfTrue="1" operator="lessThan">
      <formula>10</formula>
    </cfRule>
    <cfRule type="cellIs" dxfId="54" priority="32" stopIfTrue="1" operator="greaterThan">
      <formula>9</formula>
    </cfRule>
    <cfRule type="cellIs" dxfId="53" priority="33" stopIfTrue="1" operator="lessThan">
      <formula>10</formula>
    </cfRule>
    <cfRule type="cellIs" dxfId="52" priority="34" stopIfTrue="1" operator="greaterThan">
      <formula>9</formula>
    </cfRule>
  </conditionalFormatting>
  <conditionalFormatting sqref="I9:I63">
    <cfRule type="cellIs" dxfId="51" priority="15" stopIfTrue="1" operator="lessThan">
      <formula>10</formula>
    </cfRule>
    <cfRule type="cellIs" dxfId="50" priority="16" stopIfTrue="1" operator="greaterThan">
      <formula>9</formula>
    </cfRule>
  </conditionalFormatting>
  <conditionalFormatting sqref="I9:I63">
    <cfRule type="cellIs" dxfId="49" priority="13" stopIfTrue="1" operator="lessThan">
      <formula>10</formula>
    </cfRule>
    <cfRule type="cellIs" dxfId="48" priority="14" stopIfTrue="1" operator="greaterThan">
      <formula>9</formula>
    </cfRule>
  </conditionalFormatting>
  <conditionalFormatting sqref="J9:J63">
    <cfRule type="cellIs" dxfId="47" priority="11" stopIfTrue="1" operator="lessThan">
      <formula>10</formula>
    </cfRule>
    <cfRule type="cellIs" dxfId="46" priority="12" stopIfTrue="1" operator="greaterThanOrEqual">
      <formula>10</formula>
    </cfRule>
  </conditionalFormatting>
  <conditionalFormatting sqref="L9:O63">
    <cfRule type="cellIs" dxfId="45" priority="7" stopIfTrue="1" operator="lessThan">
      <formula>10</formula>
    </cfRule>
    <cfRule type="cellIs" dxfId="44" priority="8" stopIfTrue="1" operator="greaterThan">
      <formula>9</formula>
    </cfRule>
    <cfRule type="cellIs" dxfId="43" priority="9" stopIfTrue="1" operator="lessThan">
      <formula>10</formula>
    </cfRule>
    <cfRule type="cellIs" dxfId="42" priority="10" stopIfTrue="1" operator="greaterThan">
      <formula>9</formula>
    </cfRule>
  </conditionalFormatting>
  <conditionalFormatting sqref="E9:H63">
    <cfRule type="cellIs" dxfId="41" priority="3" stopIfTrue="1" operator="lessThan">
      <formula>10</formula>
    </cfRule>
    <cfRule type="cellIs" dxfId="40" priority="4" stopIfTrue="1" operator="greaterThan">
      <formula>9</formula>
    </cfRule>
  </conditionalFormatting>
  <conditionalFormatting sqref="E9:H63">
    <cfRule type="cellIs" dxfId="39" priority="1" stopIfTrue="1" operator="lessThan">
      <formula>10</formula>
    </cfRule>
    <cfRule type="cellIs" dxfId="38" priority="2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4577" r:id="rId4">
          <objectPr defaultSize="0" autoPict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68580</xdr:colOff>
                <xdr:row>65</xdr:row>
                <xdr:rowOff>22860</xdr:rowOff>
              </to>
            </anchor>
          </objectPr>
        </oleObject>
      </mc:Choice>
      <mc:Fallback>
        <oleObject progId="Word.Document.8" shapeId="24577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" stopIfTrue="1" operator="containsText" id="{F9C645D8-604D-4667-AF2B-4EB78A5F22D2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4" stopIfTrue="1" operator="containsText" id="{02CE4333-3D76-49F4-B949-FAB2E7E1259E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21" stopIfTrue="1" operator="containsText" id="{97B3C2B1-30E5-4AE9-9CB3-B3C201C082D1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E0606293-0B26-4917-9B86-4FA9ED7A0024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5" stopIfTrue="1" operator="containsText" id="{AA3A914A-6CA9-4F3C-BD85-C4CE6B561FBC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6225E758-5AC8-49A9-9CA3-88484A75E728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E68"/>
  <sheetViews>
    <sheetView showGridLines="0" zoomScaleNormal="100" zoomScalePageLayoutView="85" workbookViewId="0">
      <selection activeCell="E19" sqref="E19"/>
    </sheetView>
  </sheetViews>
  <sheetFormatPr defaultRowHeight="14.4" x14ac:dyDescent="0.3"/>
  <cols>
    <col min="1" max="1" width="1.6640625" customWidth="1"/>
    <col min="2" max="2" width="3.6640625" customWidth="1"/>
    <col min="3" max="3" width="37.33203125" customWidth="1"/>
    <col min="4" max="4" width="6.44140625" customWidth="1"/>
    <col min="5" max="10" width="5.109375" customWidth="1"/>
    <col min="11" max="11" width="12" customWidth="1"/>
    <col min="12" max="17" width="5.109375" customWidth="1"/>
    <col min="18" max="18" width="12.44140625" customWidth="1"/>
    <col min="19" max="24" width="5.109375" customWidth="1"/>
    <col min="25" max="25" width="6" customWidth="1"/>
    <col min="26" max="26" width="12.6640625" customWidth="1"/>
    <col min="27" max="27" width="3.44140625" customWidth="1"/>
    <col min="28" max="28" width="5" customWidth="1"/>
  </cols>
  <sheetData>
    <row r="1" spans="1:31" ht="30" customHeight="1" x14ac:dyDescent="0.3">
      <c r="A1" s="323" t="s">
        <v>42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28"/>
      <c r="C3" s="328"/>
      <c r="D3" s="2"/>
      <c r="E3" s="2"/>
      <c r="F3" s="2"/>
      <c r="G3" s="2"/>
      <c r="H3" s="2"/>
      <c r="I3" s="324" t="s">
        <v>145</v>
      </c>
      <c r="J3" s="329"/>
      <c r="K3" s="329"/>
      <c r="L3" s="329"/>
      <c r="M3" s="329"/>
      <c r="N3" s="2"/>
      <c r="O3" s="2"/>
      <c r="P3" s="2"/>
      <c r="Q3" s="2"/>
      <c r="R3" s="2"/>
      <c r="S3" s="2"/>
      <c r="T3" s="2"/>
      <c r="U3" s="2"/>
      <c r="V3" s="330"/>
      <c r="W3" s="330"/>
      <c r="X3" s="330"/>
      <c r="Y3" s="330"/>
      <c r="Z3" s="330"/>
    </row>
    <row r="4" spans="1:31" ht="17.399999999999999" customHeight="1" x14ac:dyDescent="0.3">
      <c r="B4" s="324" t="s">
        <v>40</v>
      </c>
      <c r="C4" s="324"/>
      <c r="D4" s="118"/>
      <c r="I4" s="324" t="s">
        <v>90</v>
      </c>
      <c r="J4" s="324"/>
      <c r="K4" s="324"/>
      <c r="L4" s="324"/>
      <c r="M4" s="324"/>
      <c r="N4" s="324"/>
      <c r="O4" s="324"/>
      <c r="P4" s="324"/>
      <c r="Q4" s="324"/>
      <c r="R4" s="118"/>
      <c r="V4" s="326" t="s">
        <v>146</v>
      </c>
      <c r="W4" s="326"/>
      <c r="X4" s="326"/>
      <c r="Y4" s="326"/>
      <c r="Z4" s="326"/>
    </row>
    <row r="5" spans="1:31" ht="18" customHeight="1" x14ac:dyDescent="0.3">
      <c r="B5" s="324" t="s">
        <v>41</v>
      </c>
      <c r="C5" s="324"/>
      <c r="D5" s="118"/>
      <c r="H5" s="36"/>
      <c r="I5" s="361" t="s">
        <v>34</v>
      </c>
      <c r="J5" s="361"/>
      <c r="K5" s="361"/>
      <c r="L5" s="361"/>
      <c r="M5" s="361"/>
      <c r="N5" s="361"/>
      <c r="O5" s="36"/>
      <c r="P5" s="36"/>
      <c r="Q5" s="36"/>
      <c r="X5" s="326" t="s">
        <v>28</v>
      </c>
      <c r="Y5" s="326"/>
      <c r="Z5" s="326"/>
    </row>
    <row r="6" spans="1:31" ht="34.5" customHeight="1" thickBot="1" x14ac:dyDescent="1.05">
      <c r="B6" s="331" t="s">
        <v>31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3"/>
    </row>
    <row r="7" spans="1:31" ht="19.5" customHeight="1" thickTop="1" x14ac:dyDescent="0.3">
      <c r="B7" s="344" t="s">
        <v>21</v>
      </c>
      <c r="C7" s="346" t="s">
        <v>6</v>
      </c>
      <c r="D7" s="25" t="s">
        <v>25</v>
      </c>
      <c r="E7" s="348" t="s">
        <v>22</v>
      </c>
      <c r="F7" s="349"/>
      <c r="G7" s="349"/>
      <c r="H7" s="349"/>
      <c r="I7" s="349"/>
      <c r="J7" s="350"/>
      <c r="K7" s="358" t="s">
        <v>8</v>
      </c>
      <c r="L7" s="348" t="s">
        <v>23</v>
      </c>
      <c r="M7" s="349"/>
      <c r="N7" s="349"/>
      <c r="O7" s="349"/>
      <c r="P7" s="349"/>
      <c r="Q7" s="350"/>
      <c r="R7" s="358" t="s">
        <v>8</v>
      </c>
      <c r="S7" s="348" t="s">
        <v>24</v>
      </c>
      <c r="T7" s="349"/>
      <c r="U7" s="349"/>
      <c r="V7" s="349"/>
      <c r="W7" s="349"/>
      <c r="X7" s="350"/>
      <c r="Y7" s="340" t="s">
        <v>7</v>
      </c>
      <c r="Z7" s="342" t="s">
        <v>8</v>
      </c>
      <c r="AA7" s="33" t="s">
        <v>0</v>
      </c>
      <c r="AB7" s="33" t="s">
        <v>1</v>
      </c>
      <c r="AC7" s="34" t="s">
        <v>2</v>
      </c>
      <c r="AD7" s="35" t="s">
        <v>3</v>
      </c>
      <c r="AE7" s="35" t="s">
        <v>29</v>
      </c>
    </row>
    <row r="8" spans="1:31" ht="20.25" customHeight="1" thickBot="1" x14ac:dyDescent="0.35">
      <c r="B8" s="345"/>
      <c r="C8" s="347"/>
      <c r="D8" s="26" t="s">
        <v>26</v>
      </c>
      <c r="E8" s="18" t="s">
        <v>9</v>
      </c>
      <c r="F8" s="17" t="s">
        <v>10</v>
      </c>
      <c r="G8" s="17" t="s">
        <v>19</v>
      </c>
      <c r="H8" s="17" t="s">
        <v>11</v>
      </c>
      <c r="I8" s="17" t="s">
        <v>20</v>
      </c>
      <c r="J8" s="19" t="s">
        <v>12</v>
      </c>
      <c r="K8" s="359"/>
      <c r="L8" s="18" t="s">
        <v>9</v>
      </c>
      <c r="M8" s="17" t="s">
        <v>10</v>
      </c>
      <c r="N8" s="17" t="s">
        <v>19</v>
      </c>
      <c r="O8" s="17" t="s">
        <v>11</v>
      </c>
      <c r="P8" s="17" t="s">
        <v>20</v>
      </c>
      <c r="Q8" s="19" t="s">
        <v>13</v>
      </c>
      <c r="R8" s="359"/>
      <c r="S8" s="18" t="s">
        <v>9</v>
      </c>
      <c r="T8" s="17" t="s">
        <v>10</v>
      </c>
      <c r="U8" s="17" t="s">
        <v>19</v>
      </c>
      <c r="V8" s="17" t="s">
        <v>11</v>
      </c>
      <c r="W8" s="17" t="s">
        <v>20</v>
      </c>
      <c r="X8" s="19" t="s">
        <v>14</v>
      </c>
      <c r="Y8" s="341"/>
      <c r="Z8" s="343"/>
      <c r="AA8" s="353">
        <f>COUNTIF(Z9:Z69,"M")</f>
        <v>0</v>
      </c>
      <c r="AB8" s="353">
        <f>COUNTIF(Z9:Z69,"F")</f>
        <v>0</v>
      </c>
      <c r="AC8" s="334">
        <f>COUNTIF(Z9:Z69,"TRANSITA")</f>
        <v>4</v>
      </c>
      <c r="AD8" s="335">
        <f>COUNTIF(Z9:Z69,"N/TRANSITA")</f>
        <v>51</v>
      </c>
      <c r="AE8" s="335">
        <f>COUNTIF(Z9:Z69,"E.E.F")</f>
        <v>0</v>
      </c>
    </row>
    <row r="9" spans="1:31" ht="14.25" customHeight="1" thickTop="1" x14ac:dyDescent="0.3">
      <c r="B9" s="37">
        <v>1</v>
      </c>
      <c r="C9" s="193" t="s">
        <v>147</v>
      </c>
      <c r="D9" s="27"/>
      <c r="E9" s="124">
        <v>10</v>
      </c>
      <c r="F9" s="125">
        <v>7.5</v>
      </c>
      <c r="G9" s="125"/>
      <c r="H9" s="126">
        <v>7.5</v>
      </c>
      <c r="I9" s="126"/>
      <c r="J9" s="127">
        <f>AVERAGE(E9,MAX(F9:G9),MAX(H9:I9))</f>
        <v>8.3333333333333339</v>
      </c>
      <c r="K9" s="179" t="str">
        <f>IF(J9&gt;=10,"TRANSITA","N/TRANSITA")</f>
        <v>N/TRANSITA</v>
      </c>
      <c r="L9" s="128">
        <v>12</v>
      </c>
      <c r="M9" s="129">
        <v>10</v>
      </c>
      <c r="N9" s="129"/>
      <c r="O9" s="129">
        <v>10</v>
      </c>
      <c r="P9" s="129"/>
      <c r="Q9" s="127">
        <f>AVERAGE(L9,MAX(M9:N9),MAX(O9:P9))</f>
        <v>10.666666666666666</v>
      </c>
      <c r="R9" s="179" t="str">
        <f>IF(Q9&gt;=10,"TRANSITA","N/TRANSITA")</f>
        <v>TRANSITA</v>
      </c>
      <c r="S9" s="130"/>
      <c r="T9" s="126"/>
      <c r="U9" s="126"/>
      <c r="V9" s="131"/>
      <c r="W9" s="131"/>
      <c r="X9" s="23">
        <f>AVERAGE(S9,MAX(T9:U9),MAX(V9:W9))</f>
        <v>0</v>
      </c>
      <c r="Y9" s="20">
        <f t="shared" ref="Y9:Y62" si="0">SUM(J9,Q9,X9)/3</f>
        <v>6.333333333333333</v>
      </c>
      <c r="Z9" s="179" t="str">
        <f>IF(Y9&gt;=10,"TRANSITA","N/TRANSITA")</f>
        <v>N/TRANSITA</v>
      </c>
      <c r="AA9" s="354"/>
      <c r="AB9" s="355"/>
      <c r="AC9" s="334"/>
      <c r="AD9" s="335"/>
      <c r="AE9" s="335"/>
    </row>
    <row r="10" spans="1:31" ht="14.25" customHeight="1" x14ac:dyDescent="0.3">
      <c r="B10" s="37">
        <v>2</v>
      </c>
      <c r="C10" s="194" t="s">
        <v>95</v>
      </c>
      <c r="D10" s="27"/>
      <c r="E10" s="124">
        <v>14</v>
      </c>
      <c r="F10" s="125">
        <v>17.5</v>
      </c>
      <c r="G10" s="125"/>
      <c r="H10" s="126">
        <v>17.5</v>
      </c>
      <c r="I10" s="126"/>
      <c r="J10" s="127">
        <f>AVERAGE(E10,MAX(F10:G10),MAX(H10:I10))</f>
        <v>16.333333333333332</v>
      </c>
      <c r="K10" s="180" t="str">
        <f t="shared" ref="K10:K63" si="1">IF(J10&gt;=10,"TRANSITA","N/TRANSITA")</f>
        <v>TRANSITA</v>
      </c>
      <c r="L10" s="132">
        <v>15</v>
      </c>
      <c r="M10" s="133">
        <v>13</v>
      </c>
      <c r="N10" s="133"/>
      <c r="O10" s="133">
        <v>12</v>
      </c>
      <c r="P10" s="133"/>
      <c r="Q10" s="127">
        <f>AVERAGE(L10,MAX(M10:N10),MAX(O10:P10))</f>
        <v>13.333333333333334</v>
      </c>
      <c r="R10" s="180" t="str">
        <f t="shared" ref="R10:R63" si="2">IF(Q10&gt;=10,"TRANSITA","N/TRANSITA")</f>
        <v>TRANSITA</v>
      </c>
      <c r="S10" s="134"/>
      <c r="T10" s="135"/>
      <c r="U10" s="135"/>
      <c r="V10" s="136"/>
      <c r="W10" s="136"/>
      <c r="X10" s="23">
        <f>AVERAGE(S10,MAX(T10:U10),MAX(V10:W10))</f>
        <v>0</v>
      </c>
      <c r="Y10" s="21">
        <f t="shared" si="0"/>
        <v>9.8888888888888875</v>
      </c>
      <c r="Z10" s="180" t="str">
        <f t="shared" ref="Z10:Z63" si="3">IF(Y10&gt;=10,"TRANSITA","N/TRANSITA")</f>
        <v>N/TRANSITA</v>
      </c>
      <c r="AA10" s="336">
        <f>SUM(AA8:AB9)</f>
        <v>0</v>
      </c>
      <c r="AB10" s="337"/>
      <c r="AC10" s="39"/>
      <c r="AD10" s="40"/>
      <c r="AE10" s="40"/>
    </row>
    <row r="11" spans="1:31" ht="14.25" customHeight="1" x14ac:dyDescent="0.3">
      <c r="B11" s="37">
        <v>3</v>
      </c>
      <c r="C11" s="194" t="s">
        <v>96</v>
      </c>
      <c r="D11" s="27"/>
      <c r="E11" s="124">
        <v>5</v>
      </c>
      <c r="F11" s="125">
        <v>7.5</v>
      </c>
      <c r="G11" s="125"/>
      <c r="H11" s="126">
        <v>12</v>
      </c>
      <c r="I11" s="126"/>
      <c r="J11" s="127">
        <f t="shared" ref="J11:J63" si="4">AVERAGE(E11,MAX(F11:G11),MAX(H11:I11))</f>
        <v>8.1666666666666661</v>
      </c>
      <c r="K11" s="180" t="str">
        <f t="shared" si="1"/>
        <v>N/TRANSITA</v>
      </c>
      <c r="L11" s="132">
        <v>10</v>
      </c>
      <c r="M11" s="133">
        <v>8</v>
      </c>
      <c r="N11" s="133"/>
      <c r="O11" s="133">
        <v>14</v>
      </c>
      <c r="P11" s="133"/>
      <c r="Q11" s="127">
        <f t="shared" ref="Q11:Q63" si="5">AVERAGE(L11,MAX(M11:N11),MAX(O11:P11))</f>
        <v>10.666666666666666</v>
      </c>
      <c r="R11" s="180" t="str">
        <f t="shared" si="2"/>
        <v>TRANSITA</v>
      </c>
      <c r="S11" s="134"/>
      <c r="T11" s="135"/>
      <c r="U11" s="135"/>
      <c r="V11" s="136"/>
      <c r="W11" s="136"/>
      <c r="X11" s="23">
        <f t="shared" ref="X11:X60" si="6">AVERAGE(S11,MAX(T11:U11),MAX(V11:W11))</f>
        <v>0</v>
      </c>
      <c r="Y11" s="21">
        <f t="shared" ref="Y11:Y60" si="7">SUM(J11,Q11,X11)/3</f>
        <v>6.2777777777777777</v>
      </c>
      <c r="Z11" s="180" t="str">
        <f t="shared" si="3"/>
        <v>N/TRANSITA</v>
      </c>
      <c r="AA11" s="338"/>
      <c r="AB11" s="339"/>
      <c r="AC11" s="39"/>
      <c r="AD11" s="40"/>
      <c r="AE11" s="40"/>
    </row>
    <row r="12" spans="1:31" ht="14.25" customHeight="1" x14ac:dyDescent="0.3">
      <c r="B12" s="37">
        <v>4</v>
      </c>
      <c r="C12" s="194" t="s">
        <v>97</v>
      </c>
      <c r="D12" s="27"/>
      <c r="E12" s="124">
        <v>17</v>
      </c>
      <c r="F12" s="125">
        <v>17</v>
      </c>
      <c r="G12" s="125"/>
      <c r="H12" s="126">
        <v>19</v>
      </c>
      <c r="I12" s="126"/>
      <c r="J12" s="127">
        <f t="shared" si="4"/>
        <v>17.666666666666668</v>
      </c>
      <c r="K12" s="180" t="str">
        <f t="shared" si="1"/>
        <v>TRANSITA</v>
      </c>
      <c r="L12" s="132">
        <v>12</v>
      </c>
      <c r="M12" s="133">
        <v>12</v>
      </c>
      <c r="N12" s="133"/>
      <c r="O12" s="133">
        <v>17</v>
      </c>
      <c r="P12" s="133"/>
      <c r="Q12" s="127">
        <f t="shared" si="5"/>
        <v>13.666666666666666</v>
      </c>
      <c r="R12" s="180" t="str">
        <f t="shared" si="2"/>
        <v>TRANSITA</v>
      </c>
      <c r="S12" s="134"/>
      <c r="T12" s="135"/>
      <c r="U12" s="135"/>
      <c r="V12" s="136"/>
      <c r="W12" s="136"/>
      <c r="X12" s="23">
        <f t="shared" si="6"/>
        <v>0</v>
      </c>
      <c r="Y12" s="21">
        <f t="shared" si="7"/>
        <v>10.444444444444445</v>
      </c>
      <c r="Z12" s="180" t="str">
        <f t="shared" si="3"/>
        <v>TRANSITA</v>
      </c>
      <c r="AA12" s="38"/>
      <c r="AB12" s="38"/>
      <c r="AC12" s="39"/>
      <c r="AD12" s="40"/>
      <c r="AE12" s="40"/>
    </row>
    <row r="13" spans="1:31" ht="14.25" customHeight="1" x14ac:dyDescent="0.3">
      <c r="B13" s="37">
        <v>5</v>
      </c>
      <c r="C13" s="194" t="s">
        <v>98</v>
      </c>
      <c r="D13" s="27"/>
      <c r="E13" s="124">
        <v>15</v>
      </c>
      <c r="F13" s="125">
        <v>15</v>
      </c>
      <c r="G13" s="125"/>
      <c r="H13" s="126">
        <v>14.5</v>
      </c>
      <c r="I13" s="126"/>
      <c r="J13" s="127">
        <f t="shared" si="4"/>
        <v>14.833333333333334</v>
      </c>
      <c r="K13" s="180" t="str">
        <f t="shared" si="1"/>
        <v>TRANSITA</v>
      </c>
      <c r="L13" s="132">
        <v>12</v>
      </c>
      <c r="M13" s="133">
        <v>12</v>
      </c>
      <c r="N13" s="133"/>
      <c r="O13" s="133">
        <v>14</v>
      </c>
      <c r="P13" s="133"/>
      <c r="Q13" s="127">
        <f t="shared" si="5"/>
        <v>12.666666666666666</v>
      </c>
      <c r="R13" s="180" t="str">
        <f t="shared" si="2"/>
        <v>TRANSITA</v>
      </c>
      <c r="S13" s="134"/>
      <c r="T13" s="135"/>
      <c r="U13" s="135"/>
      <c r="V13" s="136"/>
      <c r="W13" s="136"/>
      <c r="X13" s="23">
        <f t="shared" si="6"/>
        <v>0</v>
      </c>
      <c r="Y13" s="21">
        <f t="shared" si="7"/>
        <v>9.1666666666666661</v>
      </c>
      <c r="Z13" s="180" t="str">
        <f t="shared" si="3"/>
        <v>N/TRANSITA</v>
      </c>
      <c r="AA13" s="38"/>
      <c r="AB13" s="38"/>
      <c r="AC13" s="39"/>
      <c r="AD13" s="40"/>
      <c r="AE13" s="40"/>
    </row>
    <row r="14" spans="1:31" ht="14.25" customHeight="1" x14ac:dyDescent="0.3">
      <c r="B14" s="37">
        <v>6</v>
      </c>
      <c r="C14" s="194" t="s">
        <v>99</v>
      </c>
      <c r="D14" s="27"/>
      <c r="E14" s="124">
        <v>13</v>
      </c>
      <c r="F14" s="125">
        <v>17</v>
      </c>
      <c r="G14" s="125"/>
      <c r="H14" s="126">
        <v>19.5</v>
      </c>
      <c r="I14" s="126"/>
      <c r="J14" s="127">
        <f t="shared" si="4"/>
        <v>16.5</v>
      </c>
      <c r="K14" s="180" t="str">
        <f t="shared" si="1"/>
        <v>TRANSITA</v>
      </c>
      <c r="L14" s="132">
        <v>11</v>
      </c>
      <c r="M14" s="133">
        <v>13</v>
      </c>
      <c r="N14" s="133"/>
      <c r="O14" s="133">
        <v>11</v>
      </c>
      <c r="P14" s="133"/>
      <c r="Q14" s="127">
        <f t="shared" si="5"/>
        <v>11.666666666666666</v>
      </c>
      <c r="R14" s="180" t="str">
        <f t="shared" si="2"/>
        <v>TRANSITA</v>
      </c>
      <c r="S14" s="134"/>
      <c r="T14" s="135"/>
      <c r="U14" s="135"/>
      <c r="V14" s="136"/>
      <c r="W14" s="136"/>
      <c r="X14" s="23">
        <f t="shared" si="6"/>
        <v>0</v>
      </c>
      <c r="Y14" s="21">
        <f t="shared" si="7"/>
        <v>9.3888888888888875</v>
      </c>
      <c r="Z14" s="180" t="str">
        <f t="shared" si="3"/>
        <v>N/TRANSITA</v>
      </c>
      <c r="AA14" s="38"/>
      <c r="AB14" s="38"/>
      <c r="AC14" s="39"/>
      <c r="AD14" s="40"/>
      <c r="AE14" s="40"/>
    </row>
    <row r="15" spans="1:31" ht="14.25" customHeight="1" x14ac:dyDescent="0.3">
      <c r="B15" s="37">
        <v>7</v>
      </c>
      <c r="C15" s="194" t="s">
        <v>100</v>
      </c>
      <c r="D15" s="27"/>
      <c r="E15" s="124">
        <v>11</v>
      </c>
      <c r="F15" s="125">
        <v>10</v>
      </c>
      <c r="G15" s="125"/>
      <c r="H15" s="126">
        <v>12.5</v>
      </c>
      <c r="I15" s="126"/>
      <c r="J15" s="127">
        <f t="shared" si="4"/>
        <v>11.166666666666666</v>
      </c>
      <c r="K15" s="180" t="str">
        <f t="shared" si="1"/>
        <v>TRANSITA</v>
      </c>
      <c r="L15" s="132">
        <v>11</v>
      </c>
      <c r="M15" s="133">
        <v>12</v>
      </c>
      <c r="N15" s="133"/>
      <c r="O15" s="133">
        <v>11</v>
      </c>
      <c r="P15" s="133"/>
      <c r="Q15" s="127">
        <f t="shared" si="5"/>
        <v>11.333333333333334</v>
      </c>
      <c r="R15" s="180" t="str">
        <f t="shared" si="2"/>
        <v>TRANSITA</v>
      </c>
      <c r="S15" s="134"/>
      <c r="T15" s="135"/>
      <c r="U15" s="135"/>
      <c r="V15" s="136"/>
      <c r="W15" s="136"/>
      <c r="X15" s="23">
        <f t="shared" si="6"/>
        <v>0</v>
      </c>
      <c r="Y15" s="21">
        <f t="shared" si="7"/>
        <v>7.5</v>
      </c>
      <c r="Z15" s="180" t="str">
        <f t="shared" si="3"/>
        <v>N/TRANSITA</v>
      </c>
      <c r="AA15" s="38"/>
      <c r="AB15" s="38"/>
      <c r="AC15" s="39"/>
      <c r="AD15" s="40"/>
      <c r="AE15" s="40"/>
    </row>
    <row r="16" spans="1:31" ht="14.25" customHeight="1" x14ac:dyDescent="0.3">
      <c r="B16" s="37">
        <v>8</v>
      </c>
      <c r="C16" s="194" t="s">
        <v>101</v>
      </c>
      <c r="D16" s="27"/>
      <c r="E16" s="124">
        <v>14</v>
      </c>
      <c r="F16" s="125">
        <v>10</v>
      </c>
      <c r="G16" s="125"/>
      <c r="H16" s="126">
        <v>3</v>
      </c>
      <c r="I16" s="126"/>
      <c r="J16" s="127">
        <f t="shared" si="4"/>
        <v>9</v>
      </c>
      <c r="K16" s="180" t="str">
        <f t="shared" si="1"/>
        <v>N/TRANSITA</v>
      </c>
      <c r="L16" s="132">
        <v>12</v>
      </c>
      <c r="M16" s="133">
        <v>10</v>
      </c>
      <c r="N16" s="133"/>
      <c r="O16" s="133">
        <v>11</v>
      </c>
      <c r="P16" s="133"/>
      <c r="Q16" s="127">
        <f t="shared" si="5"/>
        <v>11</v>
      </c>
      <c r="R16" s="180" t="str">
        <f t="shared" si="2"/>
        <v>TRANSITA</v>
      </c>
      <c r="S16" s="134"/>
      <c r="T16" s="135"/>
      <c r="U16" s="135"/>
      <c r="V16" s="136"/>
      <c r="W16" s="136"/>
      <c r="X16" s="23">
        <f t="shared" si="6"/>
        <v>0</v>
      </c>
      <c r="Y16" s="21">
        <f t="shared" si="7"/>
        <v>6.666666666666667</v>
      </c>
      <c r="Z16" s="180" t="str">
        <f t="shared" si="3"/>
        <v>N/TRANSITA</v>
      </c>
      <c r="AA16" s="38"/>
      <c r="AB16" s="38"/>
      <c r="AC16" s="39"/>
      <c r="AD16" s="40"/>
      <c r="AE16" s="40"/>
    </row>
    <row r="17" spans="2:31" ht="14.25" customHeight="1" x14ac:dyDescent="0.3">
      <c r="B17" s="37">
        <v>9</v>
      </c>
      <c r="C17" s="194" t="s">
        <v>102</v>
      </c>
      <c r="D17" s="27"/>
      <c r="E17" s="124">
        <v>10</v>
      </c>
      <c r="F17" s="125">
        <v>10.5</v>
      </c>
      <c r="G17" s="125"/>
      <c r="H17" s="126">
        <v>10</v>
      </c>
      <c r="I17" s="126"/>
      <c r="J17" s="127">
        <f t="shared" si="4"/>
        <v>10.166666666666666</v>
      </c>
      <c r="K17" s="180" t="str">
        <f t="shared" si="1"/>
        <v>TRANSITA</v>
      </c>
      <c r="L17" s="132">
        <v>11</v>
      </c>
      <c r="M17" s="133">
        <v>11</v>
      </c>
      <c r="N17" s="133"/>
      <c r="O17" s="133">
        <v>11</v>
      </c>
      <c r="P17" s="133"/>
      <c r="Q17" s="127">
        <f t="shared" si="5"/>
        <v>11</v>
      </c>
      <c r="R17" s="180" t="str">
        <f t="shared" si="2"/>
        <v>TRANSITA</v>
      </c>
      <c r="S17" s="134"/>
      <c r="T17" s="135"/>
      <c r="U17" s="135"/>
      <c r="V17" s="136"/>
      <c r="W17" s="136"/>
      <c r="X17" s="23">
        <f t="shared" si="6"/>
        <v>0</v>
      </c>
      <c r="Y17" s="21">
        <f t="shared" si="7"/>
        <v>7.0555555555555545</v>
      </c>
      <c r="Z17" s="180" t="str">
        <f t="shared" si="3"/>
        <v>N/TRANSITA</v>
      </c>
      <c r="AA17" s="38"/>
      <c r="AB17" s="38"/>
      <c r="AC17" s="39"/>
      <c r="AD17" s="40"/>
      <c r="AE17" s="40"/>
    </row>
    <row r="18" spans="2:31" ht="14.25" customHeight="1" x14ac:dyDescent="0.3">
      <c r="B18" s="37">
        <v>10</v>
      </c>
      <c r="C18" s="194" t="s">
        <v>103</v>
      </c>
      <c r="D18" s="27"/>
      <c r="E18" s="124">
        <v>10</v>
      </c>
      <c r="F18" s="125">
        <v>5.5</v>
      </c>
      <c r="G18" s="125"/>
      <c r="H18" s="126">
        <v>7</v>
      </c>
      <c r="I18" s="126"/>
      <c r="J18" s="127">
        <f t="shared" si="4"/>
        <v>7.5</v>
      </c>
      <c r="K18" s="180" t="str">
        <f t="shared" si="1"/>
        <v>N/TRANSITA</v>
      </c>
      <c r="L18" s="132">
        <v>10</v>
      </c>
      <c r="M18" s="133">
        <v>10</v>
      </c>
      <c r="N18" s="133"/>
      <c r="O18" s="133">
        <v>10</v>
      </c>
      <c r="P18" s="133"/>
      <c r="Q18" s="127">
        <f t="shared" si="5"/>
        <v>10</v>
      </c>
      <c r="R18" s="180" t="str">
        <f t="shared" si="2"/>
        <v>TRANSITA</v>
      </c>
      <c r="S18" s="134"/>
      <c r="T18" s="135"/>
      <c r="U18" s="135"/>
      <c r="V18" s="136"/>
      <c r="W18" s="136"/>
      <c r="X18" s="23">
        <f t="shared" si="6"/>
        <v>0</v>
      </c>
      <c r="Y18" s="21">
        <f t="shared" si="7"/>
        <v>5.833333333333333</v>
      </c>
      <c r="Z18" s="180" t="str">
        <f t="shared" si="3"/>
        <v>N/TRANSITA</v>
      </c>
      <c r="AA18" s="38"/>
      <c r="AB18" s="38"/>
      <c r="AC18" s="39"/>
      <c r="AD18" s="40"/>
      <c r="AE18" s="40"/>
    </row>
    <row r="19" spans="2:31" ht="14.25" customHeight="1" x14ac:dyDescent="0.3">
      <c r="B19" s="37">
        <v>11</v>
      </c>
      <c r="C19" s="194" t="s">
        <v>104</v>
      </c>
      <c r="D19" s="27"/>
      <c r="E19" s="124">
        <v>13</v>
      </c>
      <c r="F19" s="125">
        <v>5</v>
      </c>
      <c r="G19" s="125"/>
      <c r="H19" s="126">
        <v>16.5</v>
      </c>
      <c r="I19" s="126"/>
      <c r="J19" s="127">
        <f t="shared" si="4"/>
        <v>11.5</v>
      </c>
      <c r="K19" s="180" t="str">
        <f t="shared" si="1"/>
        <v>TRANSITA</v>
      </c>
      <c r="L19" s="132">
        <v>14</v>
      </c>
      <c r="M19" s="133">
        <v>11</v>
      </c>
      <c r="N19" s="133"/>
      <c r="O19" s="133">
        <v>12</v>
      </c>
      <c r="P19" s="133"/>
      <c r="Q19" s="127">
        <f t="shared" si="5"/>
        <v>12.333333333333334</v>
      </c>
      <c r="R19" s="180" t="str">
        <f t="shared" si="2"/>
        <v>TRANSITA</v>
      </c>
      <c r="S19" s="134"/>
      <c r="T19" s="135"/>
      <c r="U19" s="135"/>
      <c r="V19" s="136"/>
      <c r="W19" s="136"/>
      <c r="X19" s="23">
        <f t="shared" si="6"/>
        <v>0</v>
      </c>
      <c r="Y19" s="21">
        <f t="shared" si="7"/>
        <v>7.9444444444444455</v>
      </c>
      <c r="Z19" s="180" t="str">
        <f t="shared" si="3"/>
        <v>N/TRANSITA</v>
      </c>
      <c r="AA19" s="38"/>
      <c r="AB19" s="38"/>
      <c r="AC19" s="39"/>
      <c r="AD19" s="40"/>
      <c r="AE19" s="40"/>
    </row>
    <row r="20" spans="2:31" ht="14.25" customHeight="1" x14ac:dyDescent="0.3">
      <c r="B20" s="37">
        <v>12</v>
      </c>
      <c r="C20" s="194" t="s">
        <v>105</v>
      </c>
      <c r="D20" s="27"/>
      <c r="E20" s="124">
        <v>10</v>
      </c>
      <c r="F20" s="125">
        <v>10</v>
      </c>
      <c r="G20" s="125"/>
      <c r="H20" s="126">
        <v>12.5</v>
      </c>
      <c r="I20" s="126"/>
      <c r="J20" s="127">
        <f t="shared" si="4"/>
        <v>10.833333333333334</v>
      </c>
      <c r="K20" s="180" t="str">
        <f t="shared" si="1"/>
        <v>TRANSITA</v>
      </c>
      <c r="L20" s="132">
        <v>12</v>
      </c>
      <c r="M20" s="133">
        <v>13</v>
      </c>
      <c r="N20" s="133"/>
      <c r="O20" s="133">
        <v>11</v>
      </c>
      <c r="P20" s="133"/>
      <c r="Q20" s="127">
        <f t="shared" si="5"/>
        <v>12</v>
      </c>
      <c r="R20" s="180" t="str">
        <f t="shared" si="2"/>
        <v>TRANSITA</v>
      </c>
      <c r="S20" s="134"/>
      <c r="T20" s="135"/>
      <c r="U20" s="135"/>
      <c r="V20" s="136"/>
      <c r="W20" s="136"/>
      <c r="X20" s="23">
        <f t="shared" si="6"/>
        <v>0</v>
      </c>
      <c r="Y20" s="21">
        <f t="shared" si="7"/>
        <v>7.6111111111111116</v>
      </c>
      <c r="Z20" s="180" t="str">
        <f t="shared" si="3"/>
        <v>N/TRANSITA</v>
      </c>
      <c r="AA20" s="38"/>
      <c r="AB20" s="38"/>
      <c r="AC20" s="39"/>
      <c r="AD20" s="40"/>
      <c r="AE20" s="40"/>
    </row>
    <row r="21" spans="2:31" ht="14.25" customHeight="1" x14ac:dyDescent="0.3">
      <c r="B21" s="37">
        <v>13</v>
      </c>
      <c r="C21" s="194" t="s">
        <v>106</v>
      </c>
      <c r="D21" s="27"/>
      <c r="E21" s="124">
        <v>12</v>
      </c>
      <c r="F21" s="125">
        <v>12</v>
      </c>
      <c r="G21" s="125"/>
      <c r="H21" s="126">
        <v>12</v>
      </c>
      <c r="I21" s="126"/>
      <c r="J21" s="127">
        <f t="shared" si="4"/>
        <v>12</v>
      </c>
      <c r="K21" s="180" t="str">
        <f t="shared" si="1"/>
        <v>TRANSITA</v>
      </c>
      <c r="L21" s="132">
        <v>14</v>
      </c>
      <c r="M21" s="133">
        <v>12</v>
      </c>
      <c r="N21" s="133"/>
      <c r="O21" s="133">
        <v>10</v>
      </c>
      <c r="P21" s="133"/>
      <c r="Q21" s="127">
        <f t="shared" si="5"/>
        <v>12</v>
      </c>
      <c r="R21" s="180" t="str">
        <f t="shared" si="2"/>
        <v>TRANSITA</v>
      </c>
      <c r="S21" s="134"/>
      <c r="T21" s="135"/>
      <c r="U21" s="135"/>
      <c r="V21" s="136"/>
      <c r="W21" s="136"/>
      <c r="X21" s="23">
        <f t="shared" si="6"/>
        <v>0</v>
      </c>
      <c r="Y21" s="21">
        <f t="shared" si="7"/>
        <v>8</v>
      </c>
      <c r="Z21" s="180" t="str">
        <f t="shared" si="3"/>
        <v>N/TRANSITA</v>
      </c>
      <c r="AA21" s="38"/>
      <c r="AB21" s="38"/>
      <c r="AC21" s="39"/>
      <c r="AD21" s="40"/>
      <c r="AE21" s="40"/>
    </row>
    <row r="22" spans="2:31" ht="14.25" customHeight="1" x14ac:dyDescent="0.3">
      <c r="B22" s="37">
        <v>14</v>
      </c>
      <c r="C22" s="194" t="s">
        <v>107</v>
      </c>
      <c r="D22" s="27"/>
      <c r="E22" s="124">
        <v>14</v>
      </c>
      <c r="F22" s="125">
        <v>12</v>
      </c>
      <c r="G22" s="125"/>
      <c r="H22" s="126">
        <v>17</v>
      </c>
      <c r="I22" s="126"/>
      <c r="J22" s="127">
        <f t="shared" si="4"/>
        <v>14.333333333333334</v>
      </c>
      <c r="K22" s="180" t="str">
        <f t="shared" si="1"/>
        <v>TRANSITA</v>
      </c>
      <c r="L22" s="132">
        <v>14</v>
      </c>
      <c r="M22" s="133">
        <v>18</v>
      </c>
      <c r="N22" s="133"/>
      <c r="O22" s="133">
        <v>15</v>
      </c>
      <c r="P22" s="133"/>
      <c r="Q22" s="127">
        <f t="shared" si="5"/>
        <v>15.666666666666666</v>
      </c>
      <c r="R22" s="180" t="str">
        <f t="shared" si="2"/>
        <v>TRANSITA</v>
      </c>
      <c r="S22" s="134"/>
      <c r="T22" s="135"/>
      <c r="U22" s="135"/>
      <c r="V22" s="136"/>
      <c r="W22" s="136"/>
      <c r="X22" s="23">
        <f t="shared" si="6"/>
        <v>0</v>
      </c>
      <c r="Y22" s="21">
        <f t="shared" si="7"/>
        <v>10</v>
      </c>
      <c r="Z22" s="180" t="str">
        <f t="shared" si="3"/>
        <v>TRANSITA</v>
      </c>
      <c r="AA22" s="38"/>
      <c r="AB22" s="38"/>
      <c r="AC22" s="39"/>
      <c r="AD22" s="40"/>
      <c r="AE22" s="40"/>
    </row>
    <row r="23" spans="2:31" ht="14.25" customHeight="1" x14ac:dyDescent="0.3">
      <c r="B23" s="37">
        <v>15</v>
      </c>
      <c r="C23" s="194" t="s">
        <v>108</v>
      </c>
      <c r="D23" s="27"/>
      <c r="E23" s="124">
        <v>5</v>
      </c>
      <c r="F23" s="125">
        <v>4</v>
      </c>
      <c r="G23" s="125"/>
      <c r="H23" s="126">
        <v>13</v>
      </c>
      <c r="I23" s="126"/>
      <c r="J23" s="127">
        <f t="shared" si="4"/>
        <v>7.333333333333333</v>
      </c>
      <c r="K23" s="180" t="str">
        <f t="shared" si="1"/>
        <v>N/TRANSITA</v>
      </c>
      <c r="L23" s="132">
        <v>10</v>
      </c>
      <c r="M23" s="133">
        <v>11</v>
      </c>
      <c r="N23" s="133"/>
      <c r="O23" s="133">
        <v>9</v>
      </c>
      <c r="P23" s="133"/>
      <c r="Q23" s="127">
        <f t="shared" si="5"/>
        <v>10</v>
      </c>
      <c r="R23" s="180" t="str">
        <f t="shared" si="2"/>
        <v>TRANSITA</v>
      </c>
      <c r="S23" s="134"/>
      <c r="T23" s="135"/>
      <c r="U23" s="135"/>
      <c r="V23" s="136"/>
      <c r="W23" s="136"/>
      <c r="X23" s="23">
        <f t="shared" si="6"/>
        <v>0</v>
      </c>
      <c r="Y23" s="21">
        <f t="shared" si="7"/>
        <v>5.7777777777777777</v>
      </c>
      <c r="Z23" s="180" t="str">
        <f t="shared" si="3"/>
        <v>N/TRANSITA</v>
      </c>
      <c r="AA23" s="38"/>
      <c r="AB23" s="38"/>
      <c r="AC23" s="39"/>
      <c r="AD23" s="40"/>
      <c r="AE23" s="40"/>
    </row>
    <row r="24" spans="2:31" ht="14.25" customHeight="1" x14ac:dyDescent="0.3">
      <c r="B24" s="37">
        <v>16</v>
      </c>
      <c r="C24" s="194" t="s">
        <v>109</v>
      </c>
      <c r="D24" s="27"/>
      <c r="E24" s="124">
        <v>12</v>
      </c>
      <c r="F24" s="125">
        <v>13</v>
      </c>
      <c r="G24" s="125"/>
      <c r="H24" s="126">
        <v>13</v>
      </c>
      <c r="I24" s="126"/>
      <c r="J24" s="127">
        <f t="shared" si="4"/>
        <v>12.666666666666666</v>
      </c>
      <c r="K24" s="180" t="str">
        <f t="shared" si="1"/>
        <v>TRANSITA</v>
      </c>
      <c r="L24" s="132">
        <v>11</v>
      </c>
      <c r="M24" s="133">
        <v>11</v>
      </c>
      <c r="N24" s="133"/>
      <c r="O24" s="133">
        <v>9</v>
      </c>
      <c r="P24" s="133"/>
      <c r="Q24" s="127">
        <f t="shared" si="5"/>
        <v>10.333333333333334</v>
      </c>
      <c r="R24" s="180" t="str">
        <f t="shared" si="2"/>
        <v>TRANSITA</v>
      </c>
      <c r="S24" s="134"/>
      <c r="T24" s="135"/>
      <c r="U24" s="135"/>
      <c r="V24" s="136"/>
      <c r="W24" s="136"/>
      <c r="X24" s="23">
        <f t="shared" si="6"/>
        <v>0</v>
      </c>
      <c r="Y24" s="21">
        <f t="shared" si="7"/>
        <v>7.666666666666667</v>
      </c>
      <c r="Z24" s="180" t="str">
        <f t="shared" si="3"/>
        <v>N/TRANSITA</v>
      </c>
      <c r="AA24" s="38"/>
      <c r="AB24" s="38"/>
      <c r="AC24" s="39"/>
      <c r="AD24" s="40"/>
      <c r="AE24" s="40"/>
    </row>
    <row r="25" spans="2:31" ht="14.25" customHeight="1" x14ac:dyDescent="0.3">
      <c r="B25" s="37">
        <v>17</v>
      </c>
      <c r="C25" s="194" t="s">
        <v>110</v>
      </c>
      <c r="D25" s="27"/>
      <c r="E25" s="124">
        <v>7</v>
      </c>
      <c r="F25" s="125">
        <v>8</v>
      </c>
      <c r="G25" s="125"/>
      <c r="H25" s="126">
        <v>9</v>
      </c>
      <c r="I25" s="126"/>
      <c r="J25" s="127">
        <f t="shared" si="4"/>
        <v>8</v>
      </c>
      <c r="K25" s="180" t="str">
        <f t="shared" si="1"/>
        <v>N/TRANSITA</v>
      </c>
      <c r="L25" s="132">
        <v>15</v>
      </c>
      <c r="M25" s="133">
        <v>9</v>
      </c>
      <c r="N25" s="133"/>
      <c r="O25" s="133">
        <v>8</v>
      </c>
      <c r="P25" s="133"/>
      <c r="Q25" s="127">
        <f t="shared" ref="Q25:Q26" si="8">AVERAGE(L25,MAX(M25:N25),MAX(O25:P25))</f>
        <v>10.666666666666666</v>
      </c>
      <c r="R25" s="180" t="str">
        <f t="shared" ref="R25:R26" si="9">IF(Q25&gt;=10,"TRANSITA","N/TRANSITA")</f>
        <v>TRANSITA</v>
      </c>
      <c r="S25" s="134"/>
      <c r="T25" s="135"/>
      <c r="U25" s="135"/>
      <c r="V25" s="136"/>
      <c r="W25" s="136"/>
      <c r="X25" s="23">
        <f t="shared" ref="X25:X26" si="10">AVERAGE(S25,MAX(T25:U25),MAX(V25:W25))</f>
        <v>0</v>
      </c>
      <c r="Y25" s="21">
        <f t="shared" ref="Y25:Y26" si="11">SUM(J25,Q25,X25)/3</f>
        <v>6.2222222222222214</v>
      </c>
      <c r="Z25" s="180" t="str">
        <f t="shared" ref="Z25:Z26" si="12">IF(Y25&gt;=10,"TRANSITA","N/TRANSITA")</f>
        <v>N/TRANSITA</v>
      </c>
      <c r="AA25" s="38"/>
      <c r="AB25" s="38"/>
      <c r="AC25" s="39"/>
      <c r="AD25" s="40"/>
      <c r="AE25" s="40"/>
    </row>
    <row r="26" spans="2:31" ht="14.25" customHeight="1" x14ac:dyDescent="0.3">
      <c r="B26" s="37">
        <v>18</v>
      </c>
      <c r="C26" s="194" t="s">
        <v>111</v>
      </c>
      <c r="D26" s="27"/>
      <c r="E26" s="124">
        <v>10</v>
      </c>
      <c r="F26" s="125">
        <v>10</v>
      </c>
      <c r="G26" s="125"/>
      <c r="H26" s="126">
        <v>13.5</v>
      </c>
      <c r="I26" s="126"/>
      <c r="J26" s="127">
        <f t="shared" si="4"/>
        <v>11.166666666666666</v>
      </c>
      <c r="K26" s="180" t="str">
        <f t="shared" si="1"/>
        <v>TRANSITA</v>
      </c>
      <c r="L26" s="132">
        <v>10</v>
      </c>
      <c r="M26" s="133">
        <v>10</v>
      </c>
      <c r="N26" s="133"/>
      <c r="O26" s="133">
        <v>10</v>
      </c>
      <c r="P26" s="133"/>
      <c r="Q26" s="127">
        <f t="shared" si="8"/>
        <v>10</v>
      </c>
      <c r="R26" s="180" t="str">
        <f t="shared" si="9"/>
        <v>TRANSITA</v>
      </c>
      <c r="S26" s="134"/>
      <c r="T26" s="135"/>
      <c r="U26" s="135"/>
      <c r="V26" s="136"/>
      <c r="W26" s="136"/>
      <c r="X26" s="23">
        <f t="shared" si="10"/>
        <v>0</v>
      </c>
      <c r="Y26" s="21">
        <f t="shared" si="11"/>
        <v>7.0555555555555545</v>
      </c>
      <c r="Z26" s="180" t="str">
        <f t="shared" si="12"/>
        <v>N/TRANSITA</v>
      </c>
      <c r="AA26" s="38"/>
      <c r="AB26" s="38"/>
      <c r="AC26" s="39"/>
      <c r="AD26" s="40"/>
      <c r="AE26" s="40"/>
    </row>
    <row r="27" spans="2:31" ht="14.25" customHeight="1" x14ac:dyDescent="0.3">
      <c r="B27" s="37">
        <v>19</v>
      </c>
      <c r="C27" s="194" t="s">
        <v>112</v>
      </c>
      <c r="D27" s="27"/>
      <c r="E27" s="124">
        <v>13</v>
      </c>
      <c r="F27" s="125">
        <v>7.5</v>
      </c>
      <c r="G27" s="125"/>
      <c r="H27" s="126">
        <v>11</v>
      </c>
      <c r="I27" s="126"/>
      <c r="J27" s="127">
        <f t="shared" si="4"/>
        <v>10.5</v>
      </c>
      <c r="K27" s="180" t="str">
        <f t="shared" si="1"/>
        <v>TRANSITA</v>
      </c>
      <c r="L27" s="132">
        <v>11</v>
      </c>
      <c r="M27" s="133">
        <v>12</v>
      </c>
      <c r="N27" s="133"/>
      <c r="O27" s="133">
        <v>10</v>
      </c>
      <c r="P27" s="133"/>
      <c r="Q27" s="127">
        <f t="shared" si="5"/>
        <v>11</v>
      </c>
      <c r="R27" s="180" t="str">
        <f t="shared" si="2"/>
        <v>TRANSITA</v>
      </c>
      <c r="S27" s="134"/>
      <c r="T27" s="135"/>
      <c r="U27" s="135"/>
      <c r="V27" s="136"/>
      <c r="W27" s="136"/>
      <c r="X27" s="23">
        <f t="shared" si="6"/>
        <v>0</v>
      </c>
      <c r="Y27" s="21">
        <f t="shared" si="7"/>
        <v>7.166666666666667</v>
      </c>
      <c r="Z27" s="180" t="str">
        <f t="shared" si="3"/>
        <v>N/TRANSITA</v>
      </c>
      <c r="AA27" s="38"/>
      <c r="AB27" s="38"/>
      <c r="AC27" s="39"/>
      <c r="AD27" s="40"/>
      <c r="AE27" s="40"/>
    </row>
    <row r="28" spans="2:31" ht="14.25" customHeight="1" x14ac:dyDescent="0.3">
      <c r="B28" s="37">
        <v>20</v>
      </c>
      <c r="C28" s="194" t="s">
        <v>113</v>
      </c>
      <c r="D28" s="27"/>
      <c r="E28" s="124">
        <v>10</v>
      </c>
      <c r="F28" s="125">
        <v>7</v>
      </c>
      <c r="G28" s="125"/>
      <c r="H28" s="126">
        <v>0</v>
      </c>
      <c r="I28" s="126"/>
      <c r="J28" s="127">
        <f t="shared" si="4"/>
        <v>5.666666666666667</v>
      </c>
      <c r="K28" s="180" t="str">
        <f t="shared" si="1"/>
        <v>N/TRANSITA</v>
      </c>
      <c r="L28" s="132">
        <v>10</v>
      </c>
      <c r="M28" s="133">
        <v>10</v>
      </c>
      <c r="N28" s="133"/>
      <c r="O28" s="133">
        <v>12.5</v>
      </c>
      <c r="P28" s="133"/>
      <c r="Q28" s="127">
        <f t="shared" si="5"/>
        <v>10.833333333333334</v>
      </c>
      <c r="R28" s="180" t="str">
        <f t="shared" si="2"/>
        <v>TRANSITA</v>
      </c>
      <c r="S28" s="134"/>
      <c r="T28" s="135"/>
      <c r="U28" s="135"/>
      <c r="V28" s="136"/>
      <c r="W28" s="136"/>
      <c r="X28" s="23">
        <f t="shared" si="6"/>
        <v>0</v>
      </c>
      <c r="Y28" s="21">
        <f t="shared" si="7"/>
        <v>5.5</v>
      </c>
      <c r="Z28" s="180" t="str">
        <f t="shared" si="3"/>
        <v>N/TRANSITA</v>
      </c>
      <c r="AA28" s="38"/>
      <c r="AB28" s="38"/>
      <c r="AC28" s="39"/>
      <c r="AD28" s="40"/>
      <c r="AE28" s="40"/>
    </row>
    <row r="29" spans="2:31" ht="14.25" customHeight="1" x14ac:dyDescent="0.3">
      <c r="B29" s="37">
        <v>21</v>
      </c>
      <c r="C29" s="194" t="s">
        <v>114</v>
      </c>
      <c r="D29" s="27"/>
      <c r="E29" s="124">
        <v>10</v>
      </c>
      <c r="F29" s="125">
        <v>10</v>
      </c>
      <c r="G29" s="125"/>
      <c r="H29" s="126">
        <v>10</v>
      </c>
      <c r="I29" s="126"/>
      <c r="J29" s="127">
        <f t="shared" si="4"/>
        <v>10</v>
      </c>
      <c r="K29" s="180" t="str">
        <f t="shared" si="1"/>
        <v>TRANSITA</v>
      </c>
      <c r="L29" s="132">
        <v>10</v>
      </c>
      <c r="M29" s="133">
        <v>10</v>
      </c>
      <c r="N29" s="133"/>
      <c r="O29" s="133">
        <v>10</v>
      </c>
      <c r="P29" s="133"/>
      <c r="Q29" s="127">
        <f t="shared" si="5"/>
        <v>10</v>
      </c>
      <c r="R29" s="180" t="str">
        <f t="shared" si="2"/>
        <v>TRANSITA</v>
      </c>
      <c r="S29" s="134"/>
      <c r="T29" s="135"/>
      <c r="U29" s="135"/>
      <c r="V29" s="136"/>
      <c r="W29" s="136"/>
      <c r="X29" s="23">
        <f t="shared" si="6"/>
        <v>0</v>
      </c>
      <c r="Y29" s="21">
        <f t="shared" si="7"/>
        <v>6.666666666666667</v>
      </c>
      <c r="Z29" s="180" t="str">
        <f t="shared" si="3"/>
        <v>N/TRANSITA</v>
      </c>
      <c r="AA29" s="38"/>
      <c r="AB29" s="38"/>
      <c r="AC29" s="39"/>
      <c r="AD29" s="40"/>
      <c r="AE29" s="40"/>
    </row>
    <row r="30" spans="2:31" ht="14.25" customHeight="1" x14ac:dyDescent="0.3">
      <c r="B30" s="37">
        <v>22</v>
      </c>
      <c r="C30" s="194" t="s">
        <v>115</v>
      </c>
      <c r="D30" s="27"/>
      <c r="E30" s="124">
        <v>14</v>
      </c>
      <c r="F30" s="125">
        <v>14</v>
      </c>
      <c r="G30" s="125"/>
      <c r="H30" s="126">
        <v>11</v>
      </c>
      <c r="I30" s="126"/>
      <c r="J30" s="127">
        <f t="shared" si="4"/>
        <v>13</v>
      </c>
      <c r="K30" s="180" t="str">
        <f t="shared" si="1"/>
        <v>TRANSITA</v>
      </c>
      <c r="L30" s="132">
        <v>13</v>
      </c>
      <c r="M30" s="133">
        <v>18</v>
      </c>
      <c r="N30" s="133"/>
      <c r="O30" s="133">
        <v>113</v>
      </c>
      <c r="P30" s="133"/>
      <c r="Q30" s="127">
        <f t="shared" si="5"/>
        <v>48</v>
      </c>
      <c r="R30" s="180" t="str">
        <f t="shared" si="2"/>
        <v>TRANSITA</v>
      </c>
      <c r="S30" s="134"/>
      <c r="T30" s="135"/>
      <c r="U30" s="135"/>
      <c r="V30" s="136"/>
      <c r="W30" s="136"/>
      <c r="X30" s="23">
        <f t="shared" si="6"/>
        <v>0</v>
      </c>
      <c r="Y30" s="21">
        <f t="shared" si="7"/>
        <v>20.333333333333332</v>
      </c>
      <c r="Z30" s="180" t="str">
        <f t="shared" si="3"/>
        <v>TRANSITA</v>
      </c>
      <c r="AA30" s="38"/>
      <c r="AB30" s="38"/>
      <c r="AC30" s="39"/>
      <c r="AD30" s="40"/>
      <c r="AE30" s="40"/>
    </row>
    <row r="31" spans="2:31" ht="14.25" customHeight="1" x14ac:dyDescent="0.3">
      <c r="B31" s="37">
        <v>23</v>
      </c>
      <c r="C31" s="194" t="s">
        <v>152</v>
      </c>
      <c r="D31" s="27"/>
      <c r="E31" s="124">
        <v>12</v>
      </c>
      <c r="F31" s="125">
        <v>11</v>
      </c>
      <c r="G31" s="125"/>
      <c r="H31" s="126">
        <v>12</v>
      </c>
      <c r="I31" s="126"/>
      <c r="J31" s="127">
        <f t="shared" si="4"/>
        <v>11.666666666666666</v>
      </c>
      <c r="K31" s="180" t="str">
        <f t="shared" si="1"/>
        <v>TRANSITA</v>
      </c>
      <c r="L31" s="132">
        <v>10</v>
      </c>
      <c r="M31" s="133">
        <v>10</v>
      </c>
      <c r="N31" s="133"/>
      <c r="O31" s="133">
        <v>12</v>
      </c>
      <c r="P31" s="133"/>
      <c r="Q31" s="127">
        <f t="shared" ref="Q31" si="13">AVERAGE(L31,MAX(M31:N31),MAX(O31:P31))</f>
        <v>10.666666666666666</v>
      </c>
      <c r="R31" s="180" t="str">
        <f t="shared" ref="R31" si="14">IF(Q31&gt;=10,"TRANSITA","N/TRANSITA")</f>
        <v>TRANSITA</v>
      </c>
      <c r="S31" s="134"/>
      <c r="T31" s="135"/>
      <c r="U31" s="135"/>
      <c r="V31" s="136"/>
      <c r="W31" s="136"/>
      <c r="X31" s="23">
        <f t="shared" ref="X31" si="15">AVERAGE(S31,MAX(T31:U31),MAX(V31:W31))</f>
        <v>0</v>
      </c>
      <c r="Y31" s="21">
        <f t="shared" ref="Y31" si="16">SUM(J31,Q31,X31)/3</f>
        <v>7.4444444444444438</v>
      </c>
      <c r="Z31" s="180" t="str">
        <f t="shared" ref="Z31" si="17">IF(Y31&gt;=10,"TRANSITA","N/TRANSITA")</f>
        <v>N/TRANSITA</v>
      </c>
      <c r="AA31" s="38"/>
      <c r="AB31" s="38"/>
      <c r="AC31" s="39"/>
      <c r="AD31" s="40"/>
      <c r="AE31" s="40"/>
    </row>
    <row r="32" spans="2:31" ht="14.25" customHeight="1" x14ac:dyDescent="0.3">
      <c r="B32" s="37">
        <v>24</v>
      </c>
      <c r="C32" s="194" t="s">
        <v>116</v>
      </c>
      <c r="D32" s="27"/>
      <c r="E32" s="124">
        <v>10</v>
      </c>
      <c r="F32" s="125">
        <v>13</v>
      </c>
      <c r="G32" s="125"/>
      <c r="H32" s="126">
        <v>16.5</v>
      </c>
      <c r="I32" s="126"/>
      <c r="J32" s="127">
        <f t="shared" si="4"/>
        <v>13.166666666666666</v>
      </c>
      <c r="K32" s="180" t="str">
        <f t="shared" si="1"/>
        <v>TRANSITA</v>
      </c>
      <c r="L32" s="132">
        <v>13</v>
      </c>
      <c r="M32" s="133">
        <v>10</v>
      </c>
      <c r="N32" s="133"/>
      <c r="O32" s="133">
        <v>9</v>
      </c>
      <c r="P32" s="133"/>
      <c r="Q32" s="127">
        <f t="shared" ref="Q32:Q48" si="18">AVERAGE(L32,MAX(M32:N32),MAX(O32:P32))</f>
        <v>10.666666666666666</v>
      </c>
      <c r="R32" s="180" t="str">
        <f t="shared" si="2"/>
        <v>TRANSITA</v>
      </c>
      <c r="S32" s="134"/>
      <c r="T32" s="135"/>
      <c r="U32" s="135"/>
      <c r="V32" s="136"/>
      <c r="W32" s="136"/>
      <c r="X32" s="23">
        <f t="shared" ref="X32:X48" si="19">AVERAGE(S32,MAX(T32:U32),MAX(V32:W32))</f>
        <v>0</v>
      </c>
      <c r="Y32" s="21">
        <f t="shared" ref="Y32:Y48" si="20">SUM(J32,Q32,X32)/3</f>
        <v>7.9444444444444438</v>
      </c>
      <c r="Z32" s="180" t="str">
        <f t="shared" si="3"/>
        <v>N/TRANSITA</v>
      </c>
      <c r="AA32" s="38"/>
      <c r="AB32" s="38"/>
      <c r="AC32" s="39"/>
      <c r="AD32" s="40"/>
      <c r="AE32" s="40"/>
    </row>
    <row r="33" spans="2:31" ht="14.25" customHeight="1" x14ac:dyDescent="0.3">
      <c r="B33" s="37">
        <v>25</v>
      </c>
      <c r="C33" s="194" t="s">
        <v>117</v>
      </c>
      <c r="D33" s="27"/>
      <c r="E33" s="124">
        <v>10</v>
      </c>
      <c r="F33" s="125">
        <v>13</v>
      </c>
      <c r="G33" s="125"/>
      <c r="H33" s="126">
        <v>7</v>
      </c>
      <c r="I33" s="126"/>
      <c r="J33" s="127">
        <f t="shared" si="4"/>
        <v>10</v>
      </c>
      <c r="K33" s="180" t="str">
        <f t="shared" si="1"/>
        <v>TRANSITA</v>
      </c>
      <c r="L33" s="132">
        <v>10</v>
      </c>
      <c r="M33" s="133">
        <v>10</v>
      </c>
      <c r="N33" s="133"/>
      <c r="O33" s="133">
        <v>10</v>
      </c>
      <c r="P33" s="133"/>
      <c r="Q33" s="127">
        <f t="shared" si="18"/>
        <v>10</v>
      </c>
      <c r="R33" s="180" t="str">
        <f t="shared" si="2"/>
        <v>TRANSITA</v>
      </c>
      <c r="S33" s="134"/>
      <c r="T33" s="135"/>
      <c r="U33" s="135"/>
      <c r="V33" s="136"/>
      <c r="W33" s="136"/>
      <c r="X33" s="23">
        <f t="shared" si="19"/>
        <v>0</v>
      </c>
      <c r="Y33" s="21">
        <f t="shared" si="20"/>
        <v>6.666666666666667</v>
      </c>
      <c r="Z33" s="180" t="str">
        <f t="shared" si="3"/>
        <v>N/TRANSITA</v>
      </c>
      <c r="AA33" s="38"/>
      <c r="AB33" s="38"/>
      <c r="AC33" s="39"/>
      <c r="AD33" s="40"/>
      <c r="AE33" s="40"/>
    </row>
    <row r="34" spans="2:31" ht="14.25" customHeight="1" x14ac:dyDescent="0.3">
      <c r="B34" s="37">
        <v>26</v>
      </c>
      <c r="C34" s="194" t="s">
        <v>118</v>
      </c>
      <c r="D34" s="27"/>
      <c r="E34" s="124">
        <v>16</v>
      </c>
      <c r="F34" s="125">
        <v>13</v>
      </c>
      <c r="G34" s="125"/>
      <c r="H34" s="126">
        <v>18.5</v>
      </c>
      <c r="I34" s="126"/>
      <c r="J34" s="127">
        <f t="shared" si="4"/>
        <v>15.833333333333334</v>
      </c>
      <c r="K34" s="180" t="str">
        <f t="shared" si="1"/>
        <v>TRANSITA</v>
      </c>
      <c r="L34" s="132">
        <v>10</v>
      </c>
      <c r="M34" s="133">
        <v>10</v>
      </c>
      <c r="N34" s="133"/>
      <c r="O34" s="133">
        <v>16</v>
      </c>
      <c r="P34" s="133"/>
      <c r="Q34" s="127">
        <f t="shared" si="18"/>
        <v>12</v>
      </c>
      <c r="R34" s="180" t="str">
        <f t="shared" si="2"/>
        <v>TRANSITA</v>
      </c>
      <c r="S34" s="134"/>
      <c r="T34" s="135"/>
      <c r="U34" s="135"/>
      <c r="V34" s="136"/>
      <c r="W34" s="136"/>
      <c r="X34" s="23">
        <f t="shared" si="19"/>
        <v>0</v>
      </c>
      <c r="Y34" s="21">
        <f t="shared" si="20"/>
        <v>9.2777777777777786</v>
      </c>
      <c r="Z34" s="180" t="str">
        <f t="shared" si="3"/>
        <v>N/TRANSITA</v>
      </c>
      <c r="AA34" s="38"/>
      <c r="AB34" s="38"/>
      <c r="AC34" s="39"/>
      <c r="AD34" s="40"/>
      <c r="AE34" s="40"/>
    </row>
    <row r="35" spans="2:31" ht="14.25" customHeight="1" x14ac:dyDescent="0.3">
      <c r="B35" s="37">
        <v>27</v>
      </c>
      <c r="C35" s="194" t="s">
        <v>119</v>
      </c>
      <c r="D35" s="27"/>
      <c r="E35" s="124">
        <v>7</v>
      </c>
      <c r="F35" s="125">
        <v>6</v>
      </c>
      <c r="G35" s="125"/>
      <c r="H35" s="126">
        <v>8</v>
      </c>
      <c r="I35" s="126"/>
      <c r="J35" s="127">
        <f t="shared" si="4"/>
        <v>7</v>
      </c>
      <c r="K35" s="180" t="str">
        <f t="shared" si="1"/>
        <v>N/TRANSITA</v>
      </c>
      <c r="L35" s="132"/>
      <c r="M35" s="133"/>
      <c r="N35" s="133"/>
      <c r="O35" s="133"/>
      <c r="P35" s="133"/>
      <c r="Q35" s="127">
        <f t="shared" si="18"/>
        <v>0</v>
      </c>
      <c r="R35" s="180" t="str">
        <f t="shared" si="2"/>
        <v>N/TRANSITA</v>
      </c>
      <c r="S35" s="134"/>
      <c r="T35" s="135"/>
      <c r="U35" s="135"/>
      <c r="V35" s="136"/>
      <c r="W35" s="136"/>
      <c r="X35" s="23">
        <f t="shared" si="19"/>
        <v>0</v>
      </c>
      <c r="Y35" s="21">
        <f t="shared" si="20"/>
        <v>2.3333333333333335</v>
      </c>
      <c r="Z35" s="180" t="str">
        <f t="shared" si="3"/>
        <v>N/TRANSITA</v>
      </c>
      <c r="AA35" s="38"/>
      <c r="AB35" s="38"/>
      <c r="AC35" s="39"/>
      <c r="AD35" s="40"/>
      <c r="AE35" s="40"/>
    </row>
    <row r="36" spans="2:31" ht="14.25" customHeight="1" x14ac:dyDescent="0.3">
      <c r="B36" s="37">
        <v>28</v>
      </c>
      <c r="C36" s="194" t="s">
        <v>120</v>
      </c>
      <c r="D36" s="27"/>
      <c r="E36" s="124">
        <v>15</v>
      </c>
      <c r="F36" s="125">
        <v>15</v>
      </c>
      <c r="G36" s="125"/>
      <c r="H36" s="126">
        <v>17.5</v>
      </c>
      <c r="I36" s="126"/>
      <c r="J36" s="127">
        <f t="shared" si="4"/>
        <v>15.833333333333334</v>
      </c>
      <c r="K36" s="180" t="str">
        <f t="shared" si="1"/>
        <v>TRANSITA</v>
      </c>
      <c r="L36" s="132">
        <v>10</v>
      </c>
      <c r="M36" s="133">
        <v>11</v>
      </c>
      <c r="N36" s="133"/>
      <c r="O36" s="133">
        <v>14</v>
      </c>
      <c r="P36" s="133"/>
      <c r="Q36" s="127">
        <f t="shared" si="18"/>
        <v>11.666666666666666</v>
      </c>
      <c r="R36" s="180" t="str">
        <f t="shared" si="2"/>
        <v>TRANSITA</v>
      </c>
      <c r="S36" s="134"/>
      <c r="T36" s="135"/>
      <c r="U36" s="135"/>
      <c r="V36" s="136"/>
      <c r="W36" s="136"/>
      <c r="X36" s="23">
        <f t="shared" si="19"/>
        <v>0</v>
      </c>
      <c r="Y36" s="21">
        <f t="shared" si="20"/>
        <v>9.1666666666666661</v>
      </c>
      <c r="Z36" s="180" t="str">
        <f t="shared" si="3"/>
        <v>N/TRANSITA</v>
      </c>
      <c r="AA36" s="38"/>
      <c r="AB36" s="38"/>
      <c r="AC36" s="39"/>
      <c r="AD36" s="40"/>
      <c r="AE36" s="40"/>
    </row>
    <row r="37" spans="2:31" ht="14.25" customHeight="1" x14ac:dyDescent="0.3">
      <c r="B37" s="37">
        <v>29</v>
      </c>
      <c r="C37" s="194" t="s">
        <v>121</v>
      </c>
      <c r="D37" s="27"/>
      <c r="E37" s="124">
        <v>12</v>
      </c>
      <c r="F37" s="125">
        <v>12.5</v>
      </c>
      <c r="G37" s="125"/>
      <c r="H37" s="126">
        <v>16.5</v>
      </c>
      <c r="I37" s="126"/>
      <c r="J37" s="127">
        <f t="shared" si="4"/>
        <v>13.666666666666666</v>
      </c>
      <c r="K37" s="180" t="str">
        <f t="shared" si="1"/>
        <v>TRANSITA</v>
      </c>
      <c r="L37" s="132">
        <v>10</v>
      </c>
      <c r="M37" s="133">
        <v>10</v>
      </c>
      <c r="N37" s="133"/>
      <c r="O37" s="133">
        <v>16</v>
      </c>
      <c r="P37" s="133"/>
      <c r="Q37" s="127">
        <f t="shared" si="18"/>
        <v>12</v>
      </c>
      <c r="R37" s="180" t="str">
        <f t="shared" si="2"/>
        <v>TRANSITA</v>
      </c>
      <c r="S37" s="134"/>
      <c r="T37" s="135"/>
      <c r="U37" s="135"/>
      <c r="V37" s="136"/>
      <c r="W37" s="136"/>
      <c r="X37" s="23">
        <f t="shared" si="19"/>
        <v>0</v>
      </c>
      <c r="Y37" s="21">
        <f t="shared" si="20"/>
        <v>8.5555555555555554</v>
      </c>
      <c r="Z37" s="180" t="str">
        <f t="shared" si="3"/>
        <v>N/TRANSITA</v>
      </c>
      <c r="AA37" s="38"/>
      <c r="AB37" s="38"/>
      <c r="AC37" s="39"/>
      <c r="AD37" s="40"/>
      <c r="AE37" s="40"/>
    </row>
    <row r="38" spans="2:31" ht="14.25" customHeight="1" x14ac:dyDescent="0.3">
      <c r="B38" s="37">
        <v>30</v>
      </c>
      <c r="C38" s="194" t="s">
        <v>122</v>
      </c>
      <c r="D38" s="27"/>
      <c r="E38" s="124">
        <v>10</v>
      </c>
      <c r="F38" s="125">
        <v>16</v>
      </c>
      <c r="G38" s="125"/>
      <c r="H38" s="126">
        <v>8</v>
      </c>
      <c r="I38" s="126"/>
      <c r="J38" s="127">
        <f t="shared" si="4"/>
        <v>11.333333333333334</v>
      </c>
      <c r="K38" s="180" t="str">
        <f t="shared" si="1"/>
        <v>TRANSITA</v>
      </c>
      <c r="L38" s="132">
        <v>10</v>
      </c>
      <c r="M38" s="133">
        <v>10</v>
      </c>
      <c r="N38" s="133"/>
      <c r="O38" s="133">
        <v>16</v>
      </c>
      <c r="P38" s="133"/>
      <c r="Q38" s="127">
        <f t="shared" si="18"/>
        <v>12</v>
      </c>
      <c r="R38" s="180" t="str">
        <f t="shared" si="2"/>
        <v>TRANSITA</v>
      </c>
      <c r="S38" s="134"/>
      <c r="T38" s="135"/>
      <c r="U38" s="135"/>
      <c r="V38" s="136"/>
      <c r="W38" s="136"/>
      <c r="X38" s="23">
        <f t="shared" si="19"/>
        <v>0</v>
      </c>
      <c r="Y38" s="21">
        <f t="shared" si="20"/>
        <v>7.7777777777777786</v>
      </c>
      <c r="Z38" s="180" t="str">
        <f t="shared" si="3"/>
        <v>N/TRANSITA</v>
      </c>
      <c r="AA38" s="38"/>
      <c r="AB38" s="38"/>
      <c r="AC38" s="39"/>
      <c r="AD38" s="40"/>
      <c r="AE38" s="40"/>
    </row>
    <row r="39" spans="2:31" ht="14.25" customHeight="1" x14ac:dyDescent="0.3">
      <c r="B39" s="37">
        <v>31</v>
      </c>
      <c r="C39" s="194" t="s">
        <v>149</v>
      </c>
      <c r="D39" s="27"/>
      <c r="E39" s="124">
        <v>11</v>
      </c>
      <c r="F39" s="125">
        <v>10</v>
      </c>
      <c r="G39" s="125"/>
      <c r="H39" s="126">
        <v>10</v>
      </c>
      <c r="I39" s="126"/>
      <c r="J39" s="127">
        <f t="shared" si="4"/>
        <v>10.333333333333334</v>
      </c>
      <c r="K39" s="180" t="str">
        <f t="shared" si="1"/>
        <v>TRANSITA</v>
      </c>
      <c r="L39" s="132">
        <v>10</v>
      </c>
      <c r="M39" s="133">
        <v>11</v>
      </c>
      <c r="N39" s="133"/>
      <c r="O39" s="133">
        <v>15</v>
      </c>
      <c r="P39" s="133"/>
      <c r="Q39" s="127">
        <f t="shared" ref="Q39:Q43" si="21">AVERAGE(L39,MAX(M39:N39),MAX(O39:P39))</f>
        <v>12</v>
      </c>
      <c r="R39" s="180" t="str">
        <f t="shared" ref="R39:R43" si="22">IF(Q39&gt;=10,"TRANSITA","N/TRANSITA")</f>
        <v>TRANSITA</v>
      </c>
      <c r="S39" s="134"/>
      <c r="T39" s="135"/>
      <c r="U39" s="135"/>
      <c r="V39" s="136"/>
      <c r="W39" s="136"/>
      <c r="X39" s="23">
        <f t="shared" ref="X39:X43" si="23">AVERAGE(S39,MAX(T39:U39),MAX(V39:W39))</f>
        <v>0</v>
      </c>
      <c r="Y39" s="21">
        <f t="shared" ref="Y39:Y43" si="24">SUM(J39,Q39,X39)/3</f>
        <v>7.4444444444444455</v>
      </c>
      <c r="Z39" s="180" t="str">
        <f t="shared" ref="Z39:Z43" si="25">IF(Y39&gt;=10,"TRANSITA","N/TRANSITA")</f>
        <v>N/TRANSITA</v>
      </c>
      <c r="AA39" s="38"/>
      <c r="AB39" s="38"/>
      <c r="AC39" s="39"/>
      <c r="AD39" s="40"/>
      <c r="AE39" s="40"/>
    </row>
    <row r="40" spans="2:31" ht="14.25" customHeight="1" x14ac:dyDescent="0.3">
      <c r="B40" s="37">
        <v>32</v>
      </c>
      <c r="C40" s="194" t="s">
        <v>148</v>
      </c>
      <c r="D40" s="27"/>
      <c r="E40" s="124">
        <v>10</v>
      </c>
      <c r="F40" s="125">
        <v>12</v>
      </c>
      <c r="G40" s="125"/>
      <c r="H40" s="126">
        <v>11</v>
      </c>
      <c r="I40" s="126"/>
      <c r="J40" s="127">
        <f t="shared" si="4"/>
        <v>11</v>
      </c>
      <c r="K40" s="180" t="str">
        <f t="shared" si="1"/>
        <v>TRANSITA</v>
      </c>
      <c r="L40" s="132">
        <v>12</v>
      </c>
      <c r="M40" s="133">
        <v>10</v>
      </c>
      <c r="N40" s="133"/>
      <c r="O40" s="133">
        <v>9</v>
      </c>
      <c r="P40" s="133"/>
      <c r="Q40" s="127">
        <f t="shared" si="21"/>
        <v>10.333333333333334</v>
      </c>
      <c r="R40" s="180" t="str">
        <f t="shared" si="22"/>
        <v>TRANSITA</v>
      </c>
      <c r="S40" s="134"/>
      <c r="T40" s="135"/>
      <c r="U40" s="135"/>
      <c r="V40" s="136"/>
      <c r="W40" s="136"/>
      <c r="X40" s="23">
        <f t="shared" si="23"/>
        <v>0</v>
      </c>
      <c r="Y40" s="21">
        <f t="shared" si="24"/>
        <v>7.1111111111111116</v>
      </c>
      <c r="Z40" s="180" t="str">
        <f t="shared" si="25"/>
        <v>N/TRANSITA</v>
      </c>
      <c r="AA40" s="38"/>
      <c r="AB40" s="38"/>
      <c r="AC40" s="39"/>
      <c r="AD40" s="40"/>
      <c r="AE40" s="40"/>
    </row>
    <row r="41" spans="2:31" ht="14.25" customHeight="1" x14ac:dyDescent="0.3">
      <c r="B41" s="37">
        <v>33</v>
      </c>
      <c r="C41" s="194" t="s">
        <v>123</v>
      </c>
      <c r="D41" s="27"/>
      <c r="E41" s="124">
        <v>10</v>
      </c>
      <c r="F41" s="125">
        <v>5</v>
      </c>
      <c r="G41" s="125"/>
      <c r="H41" s="126">
        <v>13</v>
      </c>
      <c r="I41" s="126"/>
      <c r="J41" s="127">
        <f t="shared" si="4"/>
        <v>9.3333333333333339</v>
      </c>
      <c r="K41" s="180" t="str">
        <f t="shared" si="1"/>
        <v>N/TRANSITA</v>
      </c>
      <c r="L41" s="132">
        <v>12</v>
      </c>
      <c r="M41" s="133">
        <v>10</v>
      </c>
      <c r="N41" s="133"/>
      <c r="O41" s="133">
        <v>9</v>
      </c>
      <c r="P41" s="133"/>
      <c r="Q41" s="127">
        <f t="shared" si="21"/>
        <v>10.333333333333334</v>
      </c>
      <c r="R41" s="180" t="str">
        <f t="shared" si="22"/>
        <v>TRANSITA</v>
      </c>
      <c r="S41" s="134"/>
      <c r="T41" s="135"/>
      <c r="U41" s="135"/>
      <c r="V41" s="136"/>
      <c r="W41" s="136"/>
      <c r="X41" s="23">
        <f t="shared" si="23"/>
        <v>0</v>
      </c>
      <c r="Y41" s="21">
        <f t="shared" si="24"/>
        <v>6.5555555555555562</v>
      </c>
      <c r="Z41" s="180" t="str">
        <f t="shared" si="25"/>
        <v>N/TRANSITA</v>
      </c>
      <c r="AA41" s="38"/>
      <c r="AB41" s="38"/>
      <c r="AC41" s="39"/>
      <c r="AD41" s="40"/>
      <c r="AE41" s="40"/>
    </row>
    <row r="42" spans="2:31" ht="14.25" customHeight="1" x14ac:dyDescent="0.3">
      <c r="B42" s="37">
        <v>34</v>
      </c>
      <c r="C42" s="194" t="s">
        <v>124</v>
      </c>
      <c r="D42" s="27"/>
      <c r="E42" s="124">
        <v>12</v>
      </c>
      <c r="F42" s="125">
        <v>15</v>
      </c>
      <c r="G42" s="125"/>
      <c r="H42" s="126">
        <v>14</v>
      </c>
      <c r="I42" s="126"/>
      <c r="J42" s="127">
        <f t="shared" si="4"/>
        <v>13.666666666666666</v>
      </c>
      <c r="K42" s="180" t="str">
        <f t="shared" si="1"/>
        <v>TRANSITA</v>
      </c>
      <c r="L42" s="132">
        <v>14</v>
      </c>
      <c r="M42" s="133">
        <v>11</v>
      </c>
      <c r="N42" s="133"/>
      <c r="O42" s="133">
        <v>10</v>
      </c>
      <c r="P42" s="133"/>
      <c r="Q42" s="127">
        <f t="shared" si="21"/>
        <v>11.666666666666666</v>
      </c>
      <c r="R42" s="180" t="str">
        <f t="shared" si="22"/>
        <v>TRANSITA</v>
      </c>
      <c r="S42" s="134"/>
      <c r="T42" s="135"/>
      <c r="U42" s="135"/>
      <c r="V42" s="136"/>
      <c r="W42" s="136"/>
      <c r="X42" s="23">
        <f t="shared" si="23"/>
        <v>0</v>
      </c>
      <c r="Y42" s="21">
        <f t="shared" si="24"/>
        <v>8.4444444444444446</v>
      </c>
      <c r="Z42" s="180" t="str">
        <f t="shared" si="25"/>
        <v>N/TRANSITA</v>
      </c>
      <c r="AA42" s="38"/>
      <c r="AB42" s="38"/>
      <c r="AC42" s="39"/>
      <c r="AD42" s="40"/>
      <c r="AE42" s="40"/>
    </row>
    <row r="43" spans="2:31" ht="14.25" customHeight="1" x14ac:dyDescent="0.3">
      <c r="B43" s="37">
        <v>35</v>
      </c>
      <c r="C43" s="194" t="s">
        <v>125</v>
      </c>
      <c r="D43" s="27"/>
      <c r="E43" s="124">
        <v>12</v>
      </c>
      <c r="F43" s="125">
        <v>15</v>
      </c>
      <c r="G43" s="125"/>
      <c r="H43" s="126">
        <v>16.5</v>
      </c>
      <c r="I43" s="126"/>
      <c r="J43" s="127">
        <f t="shared" si="4"/>
        <v>14.5</v>
      </c>
      <c r="K43" s="180" t="str">
        <f t="shared" si="1"/>
        <v>TRANSITA</v>
      </c>
      <c r="L43" s="132">
        <v>11</v>
      </c>
      <c r="M43" s="133">
        <v>10</v>
      </c>
      <c r="N43" s="133"/>
      <c r="O43" s="133">
        <v>10</v>
      </c>
      <c r="P43" s="133"/>
      <c r="Q43" s="127">
        <f t="shared" si="21"/>
        <v>10.333333333333334</v>
      </c>
      <c r="R43" s="180" t="str">
        <f t="shared" si="22"/>
        <v>TRANSITA</v>
      </c>
      <c r="S43" s="134"/>
      <c r="T43" s="135"/>
      <c r="U43" s="135"/>
      <c r="V43" s="136"/>
      <c r="W43" s="136"/>
      <c r="X43" s="23">
        <f t="shared" si="23"/>
        <v>0</v>
      </c>
      <c r="Y43" s="21">
        <f t="shared" si="24"/>
        <v>8.2777777777777786</v>
      </c>
      <c r="Z43" s="180" t="str">
        <f t="shared" si="25"/>
        <v>N/TRANSITA</v>
      </c>
      <c r="AA43" s="38"/>
      <c r="AB43" s="38"/>
      <c r="AC43" s="39"/>
      <c r="AD43" s="40"/>
      <c r="AE43" s="40"/>
    </row>
    <row r="44" spans="2:31" ht="14.25" customHeight="1" x14ac:dyDescent="0.3">
      <c r="B44" s="37">
        <v>36</v>
      </c>
      <c r="C44" s="194" t="s">
        <v>126</v>
      </c>
      <c r="D44" s="27"/>
      <c r="E44" s="124">
        <v>12</v>
      </c>
      <c r="F44" s="125">
        <v>13.5</v>
      </c>
      <c r="G44" s="125"/>
      <c r="H44" s="126">
        <v>14.5</v>
      </c>
      <c r="I44" s="126"/>
      <c r="J44" s="127">
        <f t="shared" si="4"/>
        <v>13.333333333333334</v>
      </c>
      <c r="K44" s="180" t="str">
        <f t="shared" si="1"/>
        <v>TRANSITA</v>
      </c>
      <c r="L44" s="132">
        <v>10</v>
      </c>
      <c r="M44" s="133">
        <v>9</v>
      </c>
      <c r="N44" s="133"/>
      <c r="O44" s="133">
        <v>16</v>
      </c>
      <c r="P44" s="133"/>
      <c r="Q44" s="127">
        <f t="shared" si="18"/>
        <v>11.666666666666666</v>
      </c>
      <c r="R44" s="180" t="str">
        <f t="shared" si="2"/>
        <v>TRANSITA</v>
      </c>
      <c r="S44" s="134"/>
      <c r="T44" s="135"/>
      <c r="U44" s="135"/>
      <c r="V44" s="136"/>
      <c r="W44" s="136"/>
      <c r="X44" s="23">
        <f t="shared" si="19"/>
        <v>0</v>
      </c>
      <c r="Y44" s="21">
        <f t="shared" si="20"/>
        <v>8.3333333333333339</v>
      </c>
      <c r="Z44" s="180" t="str">
        <f t="shared" si="3"/>
        <v>N/TRANSITA</v>
      </c>
      <c r="AA44" s="38"/>
      <c r="AB44" s="38"/>
      <c r="AC44" s="39"/>
      <c r="AD44" s="40"/>
      <c r="AE44" s="40"/>
    </row>
    <row r="45" spans="2:31" ht="14.25" customHeight="1" x14ac:dyDescent="0.3">
      <c r="B45" s="37">
        <v>37</v>
      </c>
      <c r="C45" s="194" t="s">
        <v>127</v>
      </c>
      <c r="D45" s="27"/>
      <c r="E45" s="124">
        <v>10</v>
      </c>
      <c r="F45" s="125">
        <v>11</v>
      </c>
      <c r="G45" s="125"/>
      <c r="H45" s="126">
        <v>9.5</v>
      </c>
      <c r="I45" s="126"/>
      <c r="J45" s="127">
        <f t="shared" si="4"/>
        <v>10.166666666666666</v>
      </c>
      <c r="K45" s="180" t="str">
        <f t="shared" si="1"/>
        <v>TRANSITA</v>
      </c>
      <c r="L45" s="132">
        <v>10</v>
      </c>
      <c r="M45" s="133">
        <v>8</v>
      </c>
      <c r="N45" s="133"/>
      <c r="O45" s="133">
        <v>12</v>
      </c>
      <c r="P45" s="133"/>
      <c r="Q45" s="127">
        <f t="shared" si="18"/>
        <v>10</v>
      </c>
      <c r="R45" s="180" t="str">
        <f t="shared" si="2"/>
        <v>TRANSITA</v>
      </c>
      <c r="S45" s="134"/>
      <c r="T45" s="135"/>
      <c r="U45" s="135"/>
      <c r="V45" s="136"/>
      <c r="W45" s="136"/>
      <c r="X45" s="23">
        <f t="shared" si="19"/>
        <v>0</v>
      </c>
      <c r="Y45" s="21">
        <f t="shared" si="20"/>
        <v>6.7222222222222214</v>
      </c>
      <c r="Z45" s="180" t="str">
        <f t="shared" si="3"/>
        <v>N/TRANSITA</v>
      </c>
      <c r="AA45" s="38"/>
      <c r="AB45" s="38"/>
      <c r="AC45" s="39"/>
      <c r="AD45" s="40"/>
      <c r="AE45" s="40"/>
    </row>
    <row r="46" spans="2:31" ht="14.25" customHeight="1" x14ac:dyDescent="0.3">
      <c r="B46" s="37">
        <v>38</v>
      </c>
      <c r="C46" s="194" t="s">
        <v>151</v>
      </c>
      <c r="D46" s="27"/>
      <c r="E46" s="124">
        <v>10</v>
      </c>
      <c r="F46" s="125">
        <v>10</v>
      </c>
      <c r="G46" s="125"/>
      <c r="H46" s="126">
        <v>10</v>
      </c>
      <c r="I46" s="126"/>
      <c r="J46" s="127">
        <f t="shared" si="4"/>
        <v>10</v>
      </c>
      <c r="K46" s="180" t="str">
        <f t="shared" si="1"/>
        <v>TRANSITA</v>
      </c>
      <c r="L46" s="132">
        <v>13</v>
      </c>
      <c r="M46" s="133">
        <v>9</v>
      </c>
      <c r="N46" s="133"/>
      <c r="O46" s="133">
        <v>9</v>
      </c>
      <c r="P46" s="133"/>
      <c r="Q46" s="127">
        <f t="shared" ref="Q46:Q47" si="26">AVERAGE(L46,MAX(M46:N46),MAX(O46:P46))</f>
        <v>10.333333333333334</v>
      </c>
      <c r="R46" s="180" t="str">
        <f t="shared" ref="R46:R47" si="27">IF(Q46&gt;=10,"TRANSITA","N/TRANSITA")</f>
        <v>TRANSITA</v>
      </c>
      <c r="S46" s="134"/>
      <c r="T46" s="135"/>
      <c r="U46" s="135"/>
      <c r="V46" s="136"/>
      <c r="W46" s="136"/>
      <c r="X46" s="23">
        <f t="shared" ref="X46:X47" si="28">AVERAGE(S46,MAX(T46:U46),MAX(V46:W46))</f>
        <v>0</v>
      </c>
      <c r="Y46" s="21">
        <f t="shared" ref="Y46:Y47" si="29">SUM(J46,Q46,X46)/3</f>
        <v>6.7777777777777786</v>
      </c>
      <c r="Z46" s="180" t="str">
        <f t="shared" ref="Z46:Z47" si="30">IF(Y46&gt;=10,"TRANSITA","N/TRANSITA")</f>
        <v>N/TRANSITA</v>
      </c>
      <c r="AA46" s="38"/>
      <c r="AB46" s="38"/>
      <c r="AC46" s="39"/>
      <c r="AD46" s="40"/>
      <c r="AE46" s="40"/>
    </row>
    <row r="47" spans="2:31" ht="14.25" customHeight="1" x14ac:dyDescent="0.3">
      <c r="B47" s="37">
        <v>39</v>
      </c>
      <c r="C47" s="194" t="s">
        <v>128</v>
      </c>
      <c r="D47" s="27"/>
      <c r="E47" s="124">
        <v>14</v>
      </c>
      <c r="F47" s="125">
        <v>19</v>
      </c>
      <c r="G47" s="125"/>
      <c r="H47" s="126">
        <v>14.5</v>
      </c>
      <c r="I47" s="126"/>
      <c r="J47" s="127">
        <f t="shared" si="4"/>
        <v>15.833333333333334</v>
      </c>
      <c r="K47" s="180" t="str">
        <f t="shared" si="1"/>
        <v>TRANSITA</v>
      </c>
      <c r="L47" s="132">
        <v>10</v>
      </c>
      <c r="M47" s="133">
        <v>10</v>
      </c>
      <c r="N47" s="133"/>
      <c r="O47" s="133">
        <v>15</v>
      </c>
      <c r="P47" s="133"/>
      <c r="Q47" s="127">
        <f t="shared" si="26"/>
        <v>11.666666666666666</v>
      </c>
      <c r="R47" s="180" t="str">
        <f t="shared" si="27"/>
        <v>TRANSITA</v>
      </c>
      <c r="S47" s="134"/>
      <c r="T47" s="135"/>
      <c r="U47" s="135"/>
      <c r="V47" s="136"/>
      <c r="W47" s="136"/>
      <c r="X47" s="23">
        <f t="shared" si="28"/>
        <v>0</v>
      </c>
      <c r="Y47" s="21">
        <f t="shared" si="29"/>
        <v>9.1666666666666661</v>
      </c>
      <c r="Z47" s="180" t="str">
        <f t="shared" si="30"/>
        <v>N/TRANSITA</v>
      </c>
      <c r="AA47" s="38"/>
      <c r="AB47" s="38"/>
      <c r="AC47" s="39"/>
      <c r="AD47" s="40"/>
      <c r="AE47" s="40"/>
    </row>
    <row r="48" spans="2:31" ht="14.25" customHeight="1" x14ac:dyDescent="0.3">
      <c r="B48" s="37">
        <v>40</v>
      </c>
      <c r="C48" s="194" t="s">
        <v>129</v>
      </c>
      <c r="D48" s="27"/>
      <c r="E48" s="124">
        <v>12</v>
      </c>
      <c r="F48" s="125">
        <v>10</v>
      </c>
      <c r="G48" s="125"/>
      <c r="H48" s="126">
        <v>10.5</v>
      </c>
      <c r="I48" s="126"/>
      <c r="J48" s="127">
        <f t="shared" si="4"/>
        <v>10.833333333333334</v>
      </c>
      <c r="K48" s="180" t="str">
        <f t="shared" si="1"/>
        <v>TRANSITA</v>
      </c>
      <c r="L48" s="132">
        <v>13</v>
      </c>
      <c r="M48" s="133">
        <v>8</v>
      </c>
      <c r="N48" s="133"/>
      <c r="O48" s="133">
        <v>13</v>
      </c>
      <c r="P48" s="133"/>
      <c r="Q48" s="127">
        <f t="shared" si="18"/>
        <v>11.333333333333334</v>
      </c>
      <c r="R48" s="180" t="str">
        <f t="shared" si="2"/>
        <v>TRANSITA</v>
      </c>
      <c r="S48" s="134"/>
      <c r="T48" s="135"/>
      <c r="U48" s="135"/>
      <c r="V48" s="136"/>
      <c r="W48" s="136"/>
      <c r="X48" s="23">
        <f t="shared" si="19"/>
        <v>0</v>
      </c>
      <c r="Y48" s="21">
        <f t="shared" si="20"/>
        <v>7.3888888888888893</v>
      </c>
      <c r="Z48" s="180" t="str">
        <f t="shared" si="3"/>
        <v>N/TRANSITA</v>
      </c>
      <c r="AA48" s="38"/>
      <c r="AB48" s="38"/>
      <c r="AC48" s="39"/>
      <c r="AD48" s="40"/>
      <c r="AE48" s="40"/>
    </row>
    <row r="49" spans="2:31" ht="14.25" customHeight="1" x14ac:dyDescent="0.3">
      <c r="B49" s="37">
        <v>41</v>
      </c>
      <c r="C49" s="194" t="s">
        <v>130</v>
      </c>
      <c r="D49" s="27"/>
      <c r="E49" s="124"/>
      <c r="F49" s="125"/>
      <c r="G49" s="125"/>
      <c r="H49" s="126"/>
      <c r="I49" s="126"/>
      <c r="J49" s="127">
        <f t="shared" si="4"/>
        <v>0</v>
      </c>
      <c r="K49" s="180" t="str">
        <f t="shared" si="1"/>
        <v>N/TRANSITA</v>
      </c>
      <c r="L49" s="132"/>
      <c r="M49" s="133"/>
      <c r="N49" s="133"/>
      <c r="O49" s="133"/>
      <c r="P49" s="133"/>
      <c r="Q49" s="127">
        <f t="shared" si="5"/>
        <v>0</v>
      </c>
      <c r="R49" s="180" t="str">
        <f t="shared" si="2"/>
        <v>N/TRANSITA</v>
      </c>
      <c r="S49" s="134"/>
      <c r="T49" s="135"/>
      <c r="U49" s="135"/>
      <c r="V49" s="136"/>
      <c r="W49" s="136"/>
      <c r="X49" s="23">
        <f t="shared" si="6"/>
        <v>0</v>
      </c>
      <c r="Y49" s="21">
        <f t="shared" si="7"/>
        <v>0</v>
      </c>
      <c r="Z49" s="180" t="str">
        <f t="shared" si="3"/>
        <v>N/TRANSITA</v>
      </c>
      <c r="AA49" s="38"/>
      <c r="AB49" s="38"/>
      <c r="AC49" s="39"/>
      <c r="AD49" s="40"/>
      <c r="AE49" s="40"/>
    </row>
    <row r="50" spans="2:31" ht="14.25" customHeight="1" x14ac:dyDescent="0.3">
      <c r="B50" s="37">
        <v>42</v>
      </c>
      <c r="C50" s="194" t="s">
        <v>131</v>
      </c>
      <c r="D50" s="27"/>
      <c r="E50" s="124">
        <v>9</v>
      </c>
      <c r="F50" s="125">
        <v>5.5</v>
      </c>
      <c r="G50" s="125"/>
      <c r="H50" s="126">
        <v>6.5</v>
      </c>
      <c r="I50" s="126"/>
      <c r="J50" s="127">
        <f t="shared" si="4"/>
        <v>7</v>
      </c>
      <c r="K50" s="180" t="str">
        <f t="shared" si="1"/>
        <v>N/TRANSITA</v>
      </c>
      <c r="L50" s="132">
        <v>11</v>
      </c>
      <c r="M50" s="133">
        <v>9</v>
      </c>
      <c r="N50" s="133"/>
      <c r="O50" s="133">
        <v>10</v>
      </c>
      <c r="P50" s="133"/>
      <c r="Q50" s="127">
        <f t="shared" si="5"/>
        <v>10</v>
      </c>
      <c r="R50" s="180" t="str">
        <f t="shared" si="2"/>
        <v>TRANSITA</v>
      </c>
      <c r="S50" s="134"/>
      <c r="T50" s="135"/>
      <c r="U50" s="135"/>
      <c r="V50" s="136"/>
      <c r="W50" s="136"/>
      <c r="X50" s="23">
        <f t="shared" si="6"/>
        <v>0</v>
      </c>
      <c r="Y50" s="21">
        <f t="shared" si="7"/>
        <v>5.666666666666667</v>
      </c>
      <c r="Z50" s="180" t="str">
        <f t="shared" si="3"/>
        <v>N/TRANSITA</v>
      </c>
      <c r="AA50" s="38"/>
      <c r="AB50" s="38"/>
      <c r="AC50" s="39"/>
      <c r="AD50" s="40"/>
      <c r="AE50" s="40"/>
    </row>
    <row r="51" spans="2:31" ht="14.25" customHeight="1" x14ac:dyDescent="0.3">
      <c r="B51" s="37">
        <v>43</v>
      </c>
      <c r="C51" s="194" t="s">
        <v>132</v>
      </c>
      <c r="D51" s="27"/>
      <c r="E51" s="124">
        <v>10</v>
      </c>
      <c r="F51" s="125">
        <v>10</v>
      </c>
      <c r="G51" s="125"/>
      <c r="H51" s="126">
        <v>8.5</v>
      </c>
      <c r="I51" s="126"/>
      <c r="J51" s="127">
        <f t="shared" si="4"/>
        <v>9.5</v>
      </c>
      <c r="K51" s="180" t="str">
        <f t="shared" si="1"/>
        <v>N/TRANSITA</v>
      </c>
      <c r="L51" s="132">
        <v>10</v>
      </c>
      <c r="M51" s="133">
        <v>10</v>
      </c>
      <c r="N51" s="133"/>
      <c r="O51" s="133">
        <v>10</v>
      </c>
      <c r="P51" s="133"/>
      <c r="Q51" s="127">
        <f t="shared" si="5"/>
        <v>10</v>
      </c>
      <c r="R51" s="180" t="str">
        <f t="shared" si="2"/>
        <v>TRANSITA</v>
      </c>
      <c r="S51" s="134"/>
      <c r="T51" s="135"/>
      <c r="U51" s="135"/>
      <c r="V51" s="136"/>
      <c r="W51" s="136"/>
      <c r="X51" s="23">
        <f t="shared" si="6"/>
        <v>0</v>
      </c>
      <c r="Y51" s="21">
        <f t="shared" si="7"/>
        <v>6.5</v>
      </c>
      <c r="Z51" s="180" t="str">
        <f t="shared" si="3"/>
        <v>N/TRANSITA</v>
      </c>
      <c r="AA51" s="38"/>
      <c r="AB51" s="38"/>
      <c r="AC51" s="39"/>
      <c r="AD51" s="40"/>
      <c r="AE51" s="40"/>
    </row>
    <row r="52" spans="2:31" ht="14.25" customHeight="1" x14ac:dyDescent="0.3">
      <c r="B52" s="37">
        <v>44</v>
      </c>
      <c r="C52" s="194" t="s">
        <v>133</v>
      </c>
      <c r="D52" s="27"/>
      <c r="E52" s="124">
        <v>8</v>
      </c>
      <c r="F52" s="125">
        <v>3</v>
      </c>
      <c r="G52" s="125"/>
      <c r="H52" s="126">
        <v>6</v>
      </c>
      <c r="I52" s="126"/>
      <c r="J52" s="127">
        <f t="shared" si="4"/>
        <v>5.666666666666667</v>
      </c>
      <c r="K52" s="180" t="str">
        <f t="shared" si="1"/>
        <v>N/TRANSITA</v>
      </c>
      <c r="L52" s="132"/>
      <c r="M52" s="133"/>
      <c r="N52" s="133"/>
      <c r="O52" s="133"/>
      <c r="P52" s="133"/>
      <c r="Q52" s="127">
        <f t="shared" si="5"/>
        <v>0</v>
      </c>
      <c r="R52" s="180" t="str">
        <f t="shared" si="2"/>
        <v>N/TRANSITA</v>
      </c>
      <c r="S52" s="134"/>
      <c r="T52" s="135"/>
      <c r="U52" s="135"/>
      <c r="V52" s="136"/>
      <c r="W52" s="136"/>
      <c r="X52" s="23">
        <f t="shared" si="6"/>
        <v>0</v>
      </c>
      <c r="Y52" s="21">
        <f t="shared" si="7"/>
        <v>1.8888888888888891</v>
      </c>
      <c r="Z52" s="180" t="str">
        <f t="shared" si="3"/>
        <v>N/TRANSITA</v>
      </c>
      <c r="AA52" s="38"/>
      <c r="AB52" s="38"/>
      <c r="AC52" s="39"/>
      <c r="AD52" s="40"/>
      <c r="AE52" s="40"/>
    </row>
    <row r="53" spans="2:31" ht="14.25" customHeight="1" x14ac:dyDescent="0.3">
      <c r="B53" s="37">
        <v>45</v>
      </c>
      <c r="C53" s="194" t="s">
        <v>134</v>
      </c>
      <c r="D53" s="28"/>
      <c r="E53" s="137"/>
      <c r="F53" s="138"/>
      <c r="G53" s="138"/>
      <c r="H53" s="135"/>
      <c r="I53" s="135"/>
      <c r="J53" s="127">
        <f t="shared" si="4"/>
        <v>0</v>
      </c>
      <c r="K53" s="180" t="str">
        <f t="shared" si="1"/>
        <v>N/TRANSITA</v>
      </c>
      <c r="L53" s="132"/>
      <c r="M53" s="133"/>
      <c r="N53" s="133"/>
      <c r="O53" s="133"/>
      <c r="P53" s="133"/>
      <c r="Q53" s="127">
        <f t="shared" si="5"/>
        <v>0</v>
      </c>
      <c r="R53" s="180" t="str">
        <f t="shared" si="2"/>
        <v>N/TRANSITA</v>
      </c>
      <c r="S53" s="134"/>
      <c r="T53" s="135"/>
      <c r="U53" s="135"/>
      <c r="V53" s="136"/>
      <c r="W53" s="136"/>
      <c r="X53" s="23">
        <f t="shared" si="6"/>
        <v>0</v>
      </c>
      <c r="Y53" s="21">
        <f t="shared" si="7"/>
        <v>0</v>
      </c>
      <c r="Z53" s="180" t="str">
        <f t="shared" si="3"/>
        <v>N/TRANSITA</v>
      </c>
      <c r="AA53" s="336"/>
      <c r="AB53" s="337"/>
      <c r="AC53" s="3"/>
      <c r="AD53" s="3"/>
    </row>
    <row r="54" spans="2:31" ht="14.25" customHeight="1" x14ac:dyDescent="0.3">
      <c r="B54" s="37">
        <v>46</v>
      </c>
      <c r="C54" s="194" t="s">
        <v>153</v>
      </c>
      <c r="D54" s="28"/>
      <c r="E54" s="137"/>
      <c r="F54" s="138"/>
      <c r="G54" s="138"/>
      <c r="H54" s="135"/>
      <c r="I54" s="135"/>
      <c r="J54" s="127">
        <f t="shared" si="4"/>
        <v>0</v>
      </c>
      <c r="K54" s="180" t="str">
        <f t="shared" si="1"/>
        <v>N/TRANSITA</v>
      </c>
      <c r="L54" s="132"/>
      <c r="M54" s="133"/>
      <c r="N54" s="133"/>
      <c r="O54" s="133"/>
      <c r="P54" s="133"/>
      <c r="Q54" s="127">
        <f t="shared" ref="Q54:Q56" si="31">AVERAGE(L54,MAX(M54:N54),MAX(O54:P54))</f>
        <v>0</v>
      </c>
      <c r="R54" s="180" t="str">
        <f t="shared" ref="R54:R56" si="32">IF(Q54&gt;=10,"TRANSITA","N/TRANSITA")</f>
        <v>N/TRANSITA</v>
      </c>
      <c r="S54" s="134"/>
      <c r="T54" s="135"/>
      <c r="U54" s="135"/>
      <c r="V54" s="136"/>
      <c r="W54" s="136"/>
      <c r="X54" s="23">
        <f t="shared" ref="X54:X56" si="33">AVERAGE(S54,MAX(T54:U54),MAX(V54:W54))</f>
        <v>0</v>
      </c>
      <c r="Y54" s="21">
        <f t="shared" ref="Y54:Y56" si="34">SUM(J54,Q54,X54)/3</f>
        <v>0</v>
      </c>
      <c r="Z54" s="180" t="str">
        <f t="shared" ref="Z54:Z56" si="35">IF(Y54&gt;=10,"TRANSITA","N/TRANSITA")</f>
        <v>N/TRANSITA</v>
      </c>
      <c r="AA54" s="351"/>
      <c r="AB54" s="352"/>
      <c r="AC54" s="3"/>
      <c r="AD54" s="3"/>
    </row>
    <row r="55" spans="2:31" ht="14.25" customHeight="1" x14ac:dyDescent="0.3">
      <c r="B55" s="37">
        <v>47</v>
      </c>
      <c r="C55" s="194" t="s">
        <v>135</v>
      </c>
      <c r="D55" s="28"/>
      <c r="E55" s="137">
        <v>10</v>
      </c>
      <c r="F55" s="138">
        <v>10</v>
      </c>
      <c r="G55" s="138"/>
      <c r="H55" s="135">
        <v>10</v>
      </c>
      <c r="I55" s="135"/>
      <c r="J55" s="127">
        <f t="shared" si="4"/>
        <v>10</v>
      </c>
      <c r="K55" s="180" t="str">
        <f t="shared" si="1"/>
        <v>TRANSITA</v>
      </c>
      <c r="L55" s="132">
        <v>10</v>
      </c>
      <c r="M55" s="133">
        <v>12</v>
      </c>
      <c r="N55" s="133"/>
      <c r="O55" s="133">
        <v>10</v>
      </c>
      <c r="P55" s="133"/>
      <c r="Q55" s="127">
        <f t="shared" si="31"/>
        <v>10.666666666666666</v>
      </c>
      <c r="R55" s="180" t="str">
        <f t="shared" si="32"/>
        <v>TRANSITA</v>
      </c>
      <c r="S55" s="134"/>
      <c r="T55" s="135"/>
      <c r="U55" s="135"/>
      <c r="V55" s="136"/>
      <c r="W55" s="136"/>
      <c r="X55" s="23">
        <f t="shared" si="33"/>
        <v>0</v>
      </c>
      <c r="Y55" s="21">
        <f t="shared" si="34"/>
        <v>6.8888888888888884</v>
      </c>
      <c r="Z55" s="180" t="str">
        <f t="shared" si="35"/>
        <v>N/TRANSITA</v>
      </c>
      <c r="AA55" s="338"/>
      <c r="AB55" s="339"/>
      <c r="AC55" s="3"/>
      <c r="AD55" s="3"/>
    </row>
    <row r="56" spans="2:31" ht="14.25" customHeight="1" x14ac:dyDescent="0.3">
      <c r="B56" s="37">
        <v>48</v>
      </c>
      <c r="C56" s="194" t="s">
        <v>136</v>
      </c>
      <c r="D56" s="28"/>
      <c r="E56" s="137">
        <v>8</v>
      </c>
      <c r="F56" s="138">
        <v>7</v>
      </c>
      <c r="G56" s="138"/>
      <c r="H56" s="135">
        <v>8.5</v>
      </c>
      <c r="I56" s="135"/>
      <c r="J56" s="127">
        <f t="shared" si="4"/>
        <v>7.833333333333333</v>
      </c>
      <c r="K56" s="180" t="str">
        <f t="shared" si="1"/>
        <v>N/TRANSITA</v>
      </c>
      <c r="L56" s="132">
        <v>14</v>
      </c>
      <c r="M56" s="133">
        <v>10</v>
      </c>
      <c r="N56" s="133"/>
      <c r="O56" s="133">
        <v>15</v>
      </c>
      <c r="P56" s="133"/>
      <c r="Q56" s="127">
        <f t="shared" si="31"/>
        <v>13</v>
      </c>
      <c r="R56" s="180" t="str">
        <f t="shared" si="32"/>
        <v>TRANSITA</v>
      </c>
      <c r="S56" s="134"/>
      <c r="T56" s="135"/>
      <c r="U56" s="135"/>
      <c r="V56" s="136"/>
      <c r="W56" s="136"/>
      <c r="X56" s="23">
        <f t="shared" si="33"/>
        <v>0</v>
      </c>
      <c r="Y56" s="21">
        <f t="shared" si="34"/>
        <v>6.9444444444444438</v>
      </c>
      <c r="Z56" s="180" t="str">
        <f t="shared" si="35"/>
        <v>N/TRANSITA</v>
      </c>
    </row>
    <row r="57" spans="2:31" ht="14.25" customHeight="1" x14ac:dyDescent="0.3">
      <c r="B57" s="37">
        <v>49</v>
      </c>
      <c r="C57" s="194" t="s">
        <v>137</v>
      </c>
      <c r="D57" s="28"/>
      <c r="E57" s="137">
        <v>16</v>
      </c>
      <c r="F57" s="138">
        <v>12</v>
      </c>
      <c r="G57" s="138"/>
      <c r="H57" s="135">
        <v>17.5</v>
      </c>
      <c r="I57" s="135"/>
      <c r="J57" s="127">
        <f t="shared" si="4"/>
        <v>15.166666666666666</v>
      </c>
      <c r="K57" s="180" t="str">
        <f t="shared" si="1"/>
        <v>TRANSITA</v>
      </c>
      <c r="L57" s="132">
        <v>13</v>
      </c>
      <c r="M57" s="133">
        <v>10</v>
      </c>
      <c r="N57" s="133"/>
      <c r="O57" s="133">
        <v>15</v>
      </c>
      <c r="P57" s="133"/>
      <c r="Q57" s="127">
        <f t="shared" si="5"/>
        <v>12.666666666666666</v>
      </c>
      <c r="R57" s="180" t="str">
        <f t="shared" si="2"/>
        <v>TRANSITA</v>
      </c>
      <c r="S57" s="134"/>
      <c r="T57" s="135"/>
      <c r="U57" s="135"/>
      <c r="V57" s="136"/>
      <c r="W57" s="136"/>
      <c r="X57" s="23">
        <f t="shared" si="6"/>
        <v>0</v>
      </c>
      <c r="Y57" s="21">
        <f t="shared" si="7"/>
        <v>9.2777777777777768</v>
      </c>
      <c r="Z57" s="180" t="str">
        <f t="shared" si="3"/>
        <v>N/TRANSITA</v>
      </c>
      <c r="AA57" s="2"/>
      <c r="AB57" s="2"/>
      <c r="AC57" s="2"/>
    </row>
    <row r="58" spans="2:31" ht="14.25" customHeight="1" x14ac:dyDescent="0.3">
      <c r="B58" s="37">
        <v>50</v>
      </c>
      <c r="C58" s="194" t="s">
        <v>138</v>
      </c>
      <c r="D58" s="28"/>
      <c r="E58" s="137">
        <v>10</v>
      </c>
      <c r="F58" s="138">
        <v>10</v>
      </c>
      <c r="G58" s="138"/>
      <c r="H58" s="135">
        <v>10</v>
      </c>
      <c r="I58" s="135"/>
      <c r="J58" s="127">
        <f t="shared" si="4"/>
        <v>10</v>
      </c>
      <c r="K58" s="180" t="str">
        <f t="shared" si="1"/>
        <v>TRANSITA</v>
      </c>
      <c r="L58" s="132">
        <v>10</v>
      </c>
      <c r="M58" s="133">
        <v>10</v>
      </c>
      <c r="N58" s="133"/>
      <c r="O58" s="133">
        <v>18</v>
      </c>
      <c r="P58" s="133"/>
      <c r="Q58" s="127">
        <f t="shared" si="5"/>
        <v>12.666666666666666</v>
      </c>
      <c r="R58" s="180" t="str">
        <f t="shared" si="2"/>
        <v>TRANSITA</v>
      </c>
      <c r="S58" s="134"/>
      <c r="T58" s="135"/>
      <c r="U58" s="135"/>
      <c r="V58" s="136"/>
      <c r="W58" s="136"/>
      <c r="X58" s="23">
        <f t="shared" si="6"/>
        <v>0</v>
      </c>
      <c r="Y58" s="21">
        <f t="shared" si="7"/>
        <v>7.5555555555555545</v>
      </c>
      <c r="Z58" s="180" t="str">
        <f t="shared" si="3"/>
        <v>N/TRANSITA</v>
      </c>
    </row>
    <row r="59" spans="2:31" ht="14.25" customHeight="1" x14ac:dyDescent="0.3">
      <c r="B59" s="37">
        <v>51</v>
      </c>
      <c r="C59" s="194" t="s">
        <v>139</v>
      </c>
      <c r="D59" s="28"/>
      <c r="E59" s="137">
        <v>10</v>
      </c>
      <c r="F59" s="138">
        <v>5.5</v>
      </c>
      <c r="G59" s="138"/>
      <c r="H59" s="135">
        <v>14.5</v>
      </c>
      <c r="I59" s="135"/>
      <c r="J59" s="127">
        <f t="shared" si="4"/>
        <v>10</v>
      </c>
      <c r="K59" s="180" t="str">
        <f t="shared" si="1"/>
        <v>TRANSITA</v>
      </c>
      <c r="L59" s="132">
        <v>10</v>
      </c>
      <c r="M59" s="133">
        <v>7</v>
      </c>
      <c r="N59" s="133"/>
      <c r="O59" s="133">
        <v>10</v>
      </c>
      <c r="P59" s="133"/>
      <c r="Q59" s="127">
        <f t="shared" si="5"/>
        <v>9</v>
      </c>
      <c r="R59" s="180" t="str">
        <f t="shared" si="2"/>
        <v>N/TRANSITA</v>
      </c>
      <c r="S59" s="134"/>
      <c r="T59" s="135"/>
      <c r="U59" s="135"/>
      <c r="V59" s="136"/>
      <c r="W59" s="136"/>
      <c r="X59" s="23">
        <f t="shared" si="6"/>
        <v>0</v>
      </c>
      <c r="Y59" s="21">
        <f t="shared" si="7"/>
        <v>6.333333333333333</v>
      </c>
      <c r="Z59" s="180" t="str">
        <f t="shared" si="3"/>
        <v>N/TRANSITA</v>
      </c>
    </row>
    <row r="60" spans="2:31" ht="14.25" customHeight="1" x14ac:dyDescent="0.3">
      <c r="B60" s="37">
        <v>52</v>
      </c>
      <c r="C60" s="194" t="s">
        <v>140</v>
      </c>
      <c r="D60" s="28"/>
      <c r="E60" s="137">
        <v>12</v>
      </c>
      <c r="F60" s="138">
        <v>11.5</v>
      </c>
      <c r="G60" s="138"/>
      <c r="H60" s="135">
        <v>11</v>
      </c>
      <c r="I60" s="135"/>
      <c r="J60" s="127">
        <f t="shared" si="4"/>
        <v>11.5</v>
      </c>
      <c r="K60" s="180" t="str">
        <f t="shared" si="1"/>
        <v>TRANSITA</v>
      </c>
      <c r="L60" s="132">
        <v>13</v>
      </c>
      <c r="M60" s="133">
        <v>9</v>
      </c>
      <c r="N60" s="133"/>
      <c r="O60" s="133">
        <v>9</v>
      </c>
      <c r="P60" s="133"/>
      <c r="Q60" s="127">
        <f t="shared" si="5"/>
        <v>10.333333333333334</v>
      </c>
      <c r="R60" s="180" t="str">
        <f t="shared" si="2"/>
        <v>TRANSITA</v>
      </c>
      <c r="S60" s="134"/>
      <c r="T60" s="135"/>
      <c r="U60" s="135"/>
      <c r="V60" s="136"/>
      <c r="W60" s="136"/>
      <c r="X60" s="23">
        <f t="shared" si="6"/>
        <v>0</v>
      </c>
      <c r="Y60" s="21">
        <f t="shared" si="7"/>
        <v>7.2777777777777786</v>
      </c>
      <c r="Z60" s="180" t="str">
        <f t="shared" si="3"/>
        <v>N/TRANSITA</v>
      </c>
    </row>
    <row r="61" spans="2:31" ht="14.25" customHeight="1" x14ac:dyDescent="0.3">
      <c r="B61" s="37">
        <v>53</v>
      </c>
      <c r="C61" s="194" t="s">
        <v>141</v>
      </c>
      <c r="D61" s="28"/>
      <c r="E61" s="137">
        <v>17</v>
      </c>
      <c r="F61" s="138">
        <v>17</v>
      </c>
      <c r="G61" s="138"/>
      <c r="H61" s="135">
        <v>19</v>
      </c>
      <c r="I61" s="135"/>
      <c r="J61" s="127">
        <f t="shared" si="4"/>
        <v>17.666666666666668</v>
      </c>
      <c r="K61" s="180" t="str">
        <f t="shared" si="1"/>
        <v>TRANSITA</v>
      </c>
      <c r="L61" s="132">
        <v>17</v>
      </c>
      <c r="M61" s="133">
        <v>18</v>
      </c>
      <c r="N61" s="133"/>
      <c r="O61" s="133">
        <v>19</v>
      </c>
      <c r="P61" s="133"/>
      <c r="Q61" s="127">
        <f t="shared" si="5"/>
        <v>18</v>
      </c>
      <c r="R61" s="180" t="str">
        <f t="shared" si="2"/>
        <v>TRANSITA</v>
      </c>
      <c r="S61" s="134"/>
      <c r="T61" s="135"/>
      <c r="U61" s="135"/>
      <c r="V61" s="136"/>
      <c r="W61" s="136"/>
      <c r="X61" s="23">
        <f t="shared" ref="X61:X63" si="36">AVERAGE(S61,MAX(T61:U61),MAX(V61:W61))</f>
        <v>0</v>
      </c>
      <c r="Y61" s="21">
        <f t="shared" si="0"/>
        <v>11.888888888888891</v>
      </c>
      <c r="Z61" s="180" t="str">
        <f t="shared" si="3"/>
        <v>TRANSITA</v>
      </c>
    </row>
    <row r="62" spans="2:31" ht="14.25" customHeight="1" x14ac:dyDescent="0.3">
      <c r="B62" s="37">
        <v>54</v>
      </c>
      <c r="C62" s="194" t="s">
        <v>142</v>
      </c>
      <c r="D62" s="28"/>
      <c r="E62" s="137">
        <v>15</v>
      </c>
      <c r="F62" s="138">
        <v>13</v>
      </c>
      <c r="G62" s="138"/>
      <c r="H62" s="135">
        <v>16.5</v>
      </c>
      <c r="I62" s="135"/>
      <c r="J62" s="127">
        <f t="shared" si="4"/>
        <v>14.833333333333334</v>
      </c>
      <c r="K62" s="180" t="str">
        <f t="shared" si="1"/>
        <v>TRANSITA</v>
      </c>
      <c r="L62" s="132">
        <v>13</v>
      </c>
      <c r="M62" s="133">
        <v>10</v>
      </c>
      <c r="N62" s="133"/>
      <c r="O62" s="133">
        <v>10</v>
      </c>
      <c r="P62" s="133"/>
      <c r="Q62" s="127">
        <f t="shared" si="5"/>
        <v>11</v>
      </c>
      <c r="R62" s="180" t="str">
        <f t="shared" si="2"/>
        <v>TRANSITA</v>
      </c>
      <c r="S62" s="134"/>
      <c r="T62" s="135"/>
      <c r="U62" s="135"/>
      <c r="V62" s="136"/>
      <c r="W62" s="136"/>
      <c r="X62" s="23">
        <f t="shared" si="36"/>
        <v>0</v>
      </c>
      <c r="Y62" s="21">
        <f t="shared" si="0"/>
        <v>8.6111111111111125</v>
      </c>
      <c r="Z62" s="180" t="str">
        <f t="shared" si="3"/>
        <v>N/TRANSITA</v>
      </c>
    </row>
    <row r="63" spans="2:31" ht="14.25" customHeight="1" thickBot="1" x14ac:dyDescent="0.35">
      <c r="B63" s="37">
        <v>55</v>
      </c>
      <c r="C63" s="195" t="s">
        <v>143</v>
      </c>
      <c r="D63" s="29"/>
      <c r="E63" s="139">
        <v>14</v>
      </c>
      <c r="F63" s="140">
        <v>11</v>
      </c>
      <c r="G63" s="140"/>
      <c r="H63" s="141">
        <v>10</v>
      </c>
      <c r="I63" s="141"/>
      <c r="J63" s="142">
        <f t="shared" si="4"/>
        <v>11.666666666666666</v>
      </c>
      <c r="K63" s="181" t="str">
        <f t="shared" si="1"/>
        <v>TRANSITA</v>
      </c>
      <c r="L63" s="143">
        <v>14</v>
      </c>
      <c r="M63" s="144">
        <v>13</v>
      </c>
      <c r="N63" s="144"/>
      <c r="O63" s="144">
        <v>12</v>
      </c>
      <c r="P63" s="144"/>
      <c r="Q63" s="142">
        <f t="shared" si="5"/>
        <v>13</v>
      </c>
      <c r="R63" s="181" t="str">
        <f t="shared" si="2"/>
        <v>TRANSITA</v>
      </c>
      <c r="S63" s="145"/>
      <c r="T63" s="141"/>
      <c r="U63" s="141"/>
      <c r="V63" s="146"/>
      <c r="W63" s="146">
        <v>5</v>
      </c>
      <c r="X63" s="24">
        <f t="shared" si="36"/>
        <v>2.5</v>
      </c>
      <c r="Y63" s="22">
        <f>SUM(J63,Q63,X63)/3</f>
        <v>9.0555555555555554</v>
      </c>
      <c r="Z63" s="181" t="str">
        <f t="shared" si="3"/>
        <v>N/TRANSITA</v>
      </c>
    </row>
    <row r="64" spans="2:31" ht="93.75" customHeight="1" thickTop="1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4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S65" s="4"/>
      <c r="T65" s="4"/>
      <c r="U65" s="4"/>
      <c r="V65" s="5"/>
      <c r="W65" s="5"/>
      <c r="X65" s="5"/>
      <c r="Y65" s="4"/>
      <c r="Z65" s="4"/>
    </row>
    <row r="66" spans="1:26" ht="15.6" x14ac:dyDescent="0.3">
      <c r="A66" s="360" t="s">
        <v>30</v>
      </c>
      <c r="B66" s="360"/>
      <c r="C66" s="360"/>
      <c r="D66" s="360"/>
      <c r="E66" s="360"/>
      <c r="F66" s="117"/>
      <c r="G66" s="117"/>
      <c r="H66" s="7"/>
      <c r="I66" s="7"/>
      <c r="J66" s="7"/>
      <c r="K66" s="7"/>
      <c r="L66" s="7"/>
      <c r="M66" s="7"/>
      <c r="N66" s="7"/>
      <c r="O66" s="8"/>
      <c r="P66" s="8"/>
      <c r="Q66" s="8"/>
      <c r="R66" s="8"/>
      <c r="S66" s="360" t="s">
        <v>4</v>
      </c>
      <c r="T66" s="360"/>
      <c r="U66" s="360"/>
      <c r="V66" s="360"/>
      <c r="W66" s="360"/>
      <c r="X66" s="360"/>
      <c r="Y66" s="360"/>
      <c r="Z66" s="360"/>
    </row>
    <row r="67" spans="1:26" ht="15.6" x14ac:dyDescent="0.3">
      <c r="A67" s="321" t="s">
        <v>15</v>
      </c>
      <c r="B67" s="321"/>
      <c r="C67" s="321"/>
      <c r="D67" s="321"/>
      <c r="E67" s="321"/>
      <c r="F67" s="113"/>
      <c r="G67" s="113"/>
      <c r="H67" s="10"/>
      <c r="I67" s="10"/>
      <c r="J67" s="10"/>
      <c r="K67" s="10"/>
      <c r="L67" s="10"/>
      <c r="M67" s="10"/>
      <c r="N67" s="10"/>
      <c r="S67" s="325" t="s">
        <v>16</v>
      </c>
      <c r="T67" s="325"/>
      <c r="U67" s="325"/>
      <c r="V67" s="325"/>
      <c r="W67" s="325"/>
      <c r="X67" s="325"/>
      <c r="Y67" s="325"/>
      <c r="Z67" s="325"/>
    </row>
    <row r="68" spans="1:26" ht="15.6" x14ac:dyDescent="0.3">
      <c r="A68" s="356"/>
      <c r="B68" s="356"/>
      <c r="C68" s="356"/>
      <c r="D68" s="356"/>
      <c r="E68" s="356"/>
      <c r="F68" s="113"/>
      <c r="G68" s="113"/>
      <c r="S68" s="357" t="s">
        <v>17</v>
      </c>
      <c r="T68" s="357"/>
      <c r="U68" s="357"/>
      <c r="V68" s="357"/>
      <c r="W68" s="357"/>
      <c r="X68" s="357"/>
      <c r="Y68" s="357"/>
      <c r="Z68" s="357"/>
    </row>
  </sheetData>
  <mergeCells count="33">
    <mergeCell ref="A68:E68"/>
    <mergeCell ref="S68:Z68"/>
    <mergeCell ref="Z7:Z8"/>
    <mergeCell ref="AA8:AA9"/>
    <mergeCell ref="AB8:AB9"/>
    <mergeCell ref="AA10:AB11"/>
    <mergeCell ref="AA53:AB55"/>
    <mergeCell ref="A66:E66"/>
    <mergeCell ref="S66:Z66"/>
    <mergeCell ref="A67:E67"/>
    <mergeCell ref="S67:Z67"/>
    <mergeCell ref="K7:K8"/>
    <mergeCell ref="R7:R8"/>
    <mergeCell ref="AC8:AC9"/>
    <mergeCell ref="AD8:AD9"/>
    <mergeCell ref="AE8:AE9"/>
    <mergeCell ref="B5:C5"/>
    <mergeCell ref="I5:N5"/>
    <mergeCell ref="X5:Z5"/>
    <mergeCell ref="B6:Z6"/>
    <mergeCell ref="B7:B8"/>
    <mergeCell ref="C7:C8"/>
    <mergeCell ref="E7:J7"/>
    <mergeCell ref="L7:Q7"/>
    <mergeCell ref="S7:X7"/>
    <mergeCell ref="Y7:Y8"/>
    <mergeCell ref="A1:Z1"/>
    <mergeCell ref="B3:C3"/>
    <mergeCell ref="I3:M3"/>
    <mergeCell ref="V3:Z3"/>
    <mergeCell ref="B4:C4"/>
    <mergeCell ref="I4:Q4"/>
    <mergeCell ref="V4:Z4"/>
  </mergeCells>
  <conditionalFormatting sqref="Y9:Y63">
    <cfRule type="cellIs" dxfId="31" priority="89" stopIfTrue="1" operator="greaterThan">
      <formula>9.5</formula>
    </cfRule>
    <cfRule type="cellIs" dxfId="30" priority="90" stopIfTrue="1" operator="lessThanOrEqual">
      <formula>9.5</formula>
    </cfRule>
  </conditionalFormatting>
  <conditionalFormatting sqref="X9:X63 Q9:Q63">
    <cfRule type="cellIs" dxfId="29" priority="83" stopIfTrue="1" operator="lessThan">
      <formula>10</formula>
    </cfRule>
    <cfRule type="cellIs" dxfId="28" priority="84" stopIfTrue="1" operator="greaterThanOrEqual">
      <formula>10</formula>
    </cfRule>
  </conditionalFormatting>
  <conditionalFormatting sqref="S9:W63">
    <cfRule type="cellIs" dxfId="27" priority="39" stopIfTrue="1" operator="lessThan">
      <formula>10</formula>
    </cfRule>
    <cfRule type="cellIs" dxfId="26" priority="40" stopIfTrue="1" operator="greaterThan">
      <formula>9</formula>
    </cfRule>
  </conditionalFormatting>
  <conditionalFormatting sqref="S9:W63">
    <cfRule type="cellIs" dxfId="25" priority="37" stopIfTrue="1" operator="lessThan">
      <formula>10</formula>
    </cfRule>
    <cfRule type="cellIs" dxfId="24" priority="38" stopIfTrue="1" operator="greaterThan">
      <formula>9</formula>
    </cfRule>
  </conditionalFormatting>
  <conditionalFormatting sqref="P9:P63">
    <cfRule type="cellIs" dxfId="23" priority="31" stopIfTrue="1" operator="lessThan">
      <formula>10</formula>
    </cfRule>
    <cfRule type="cellIs" dxfId="22" priority="32" stopIfTrue="1" operator="greaterThan">
      <formula>9</formula>
    </cfRule>
    <cfRule type="cellIs" dxfId="21" priority="33" stopIfTrue="1" operator="lessThan">
      <formula>10</formula>
    </cfRule>
    <cfRule type="cellIs" dxfId="20" priority="34" stopIfTrue="1" operator="greaterThan">
      <formula>9</formula>
    </cfRule>
  </conditionalFormatting>
  <conditionalFormatting sqref="J9:J63">
    <cfRule type="cellIs" dxfId="19" priority="15" stopIfTrue="1" operator="lessThan">
      <formula>10</formula>
    </cfRule>
    <cfRule type="cellIs" dxfId="18" priority="16" stopIfTrue="1" operator="greaterThanOrEqual">
      <formula>10</formula>
    </cfRule>
  </conditionalFormatting>
  <conditionalFormatting sqref="I9:I63">
    <cfRule type="cellIs" dxfId="17" priority="13" stopIfTrue="1" operator="lessThan">
      <formula>10</formula>
    </cfRule>
    <cfRule type="cellIs" dxfId="16" priority="14" stopIfTrue="1" operator="greaterThan">
      <formula>9</formula>
    </cfRule>
  </conditionalFormatting>
  <conditionalFormatting sqref="I9:I63">
    <cfRule type="cellIs" dxfId="15" priority="11" stopIfTrue="1" operator="lessThan">
      <formula>10</formula>
    </cfRule>
    <cfRule type="cellIs" dxfId="14" priority="12" stopIfTrue="1" operator="greaterThan">
      <formula>9</formula>
    </cfRule>
  </conditionalFormatting>
  <conditionalFormatting sqref="L9:O63">
    <cfRule type="cellIs" dxfId="13" priority="7" stopIfTrue="1" operator="lessThan">
      <formula>10</formula>
    </cfRule>
    <cfRule type="cellIs" dxfId="12" priority="8" stopIfTrue="1" operator="greaterThan">
      <formula>9</formula>
    </cfRule>
    <cfRule type="cellIs" dxfId="11" priority="9" stopIfTrue="1" operator="lessThan">
      <formula>10</formula>
    </cfRule>
    <cfRule type="cellIs" dxfId="10" priority="10" stopIfTrue="1" operator="greaterThan">
      <formula>9</formula>
    </cfRule>
  </conditionalFormatting>
  <conditionalFormatting sqref="E9:H63">
    <cfRule type="cellIs" dxfId="9" priority="3" stopIfTrue="1" operator="lessThan">
      <formula>10</formula>
    </cfRule>
    <cfRule type="cellIs" dxfId="8" priority="4" stopIfTrue="1" operator="greaterThan">
      <formula>9</formula>
    </cfRule>
  </conditionalFormatting>
  <conditionalFormatting sqref="E9:H63">
    <cfRule type="cellIs" dxfId="7" priority="1" stopIfTrue="1" operator="lessThan">
      <formula>10</formula>
    </cfRule>
    <cfRule type="cellIs" dxfId="6" priority="2" stopIfTrue="1" operator="greaterThan">
      <formula>9</formula>
    </cfRule>
  </conditionalFormatting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66561" r:id="rId4">
          <objectPr defaultSize="0" r:id="rId5">
            <anchor moveWithCells="1">
              <from>
                <xdr:col>1</xdr:col>
                <xdr:colOff>60960</xdr:colOff>
                <xdr:row>63</xdr:row>
                <xdr:rowOff>160020</xdr:rowOff>
              </from>
              <to>
                <xdr:col>13</xdr:col>
                <xdr:colOff>68580</xdr:colOff>
                <xdr:row>65</xdr:row>
                <xdr:rowOff>22860</xdr:rowOff>
              </to>
            </anchor>
          </objectPr>
        </oleObject>
      </mc:Choice>
      <mc:Fallback>
        <oleObject progId="Word.Document.8" shapeId="66561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stopIfTrue="1" operator="containsText" id="{763ED7F6-2D10-4663-B2EE-87D04E84BF5C}">
            <xm:f>NOT(ISERROR(SEARCH("N/TRANSITA",Z9)))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6" stopIfTrue="1" operator="containsText" id="{DF6CF127-EC2C-4D52-B134-01D6440B0E5A}">
            <xm:f>NOT(ISERROR(SEARCH("TRANSITA",Z9)))</xm:f>
            <xm:f>"TRANSITA"</xm:f>
            <x14:dxf>
              <font>
                <b/>
                <i val="0"/>
                <color rgb="FF0000FF"/>
              </font>
            </x14:dxf>
          </x14:cfRule>
          <xm:sqref>Z9:Z63</xm:sqref>
        </x14:conditionalFormatting>
        <x14:conditionalFormatting xmlns:xm="http://schemas.microsoft.com/office/excel/2006/main">
          <x14:cfRule type="containsText" priority="21" stopIfTrue="1" operator="containsText" id="{6B27FCB7-5F2A-41A7-A284-2C41F43B9EFA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1177E486-CE85-43D6-A84D-15625EA8FFAB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R9:R63</xm:sqref>
        </x14:conditionalFormatting>
        <x14:conditionalFormatting xmlns:xm="http://schemas.microsoft.com/office/excel/2006/main">
          <x14:cfRule type="containsText" priority="5" stopIfTrue="1" operator="containsText" id="{4D322A22-9DC7-4220-9A44-5257FC7CB1F7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CB27F637-53CE-4DD3-8739-670C65AF02AC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K9:K63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1ºT-11ª-FAR-UNICA-PAUTA</vt:lpstr>
      <vt:lpstr>2ºT-11ª-FAR-UNICA-PAUTA</vt:lpstr>
      <vt:lpstr>11CL-FAR-L PORT</vt:lpstr>
      <vt:lpstr>11CL-FAR-MAT</vt:lpstr>
      <vt:lpstr>11CL-FAR-BIOL</vt:lpstr>
      <vt:lpstr>11CL-FAR-INGLES</vt:lpstr>
      <vt:lpstr>11CL-FAR-PATOL</vt:lpstr>
      <vt:lpstr>11CL-FAR-MPARASITOL</vt:lpstr>
      <vt:lpstr>11CL-FAR-FARMACOL</vt:lpstr>
      <vt:lpstr>11CL-FAR-FARMACOG</vt:lpstr>
      <vt:lpstr>11CL-FAR-TPM</vt:lpstr>
      <vt:lpstr>11CL-FAR-QCA ORG.</vt:lpstr>
      <vt:lpstr>11CL-FAR-ED. FIS</vt:lpstr>
      <vt:lpstr>11CL-FAR-BOTANICA</vt:lpstr>
      <vt:lpstr>11CL-FAR-AFH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fuene</dc:creator>
  <cp:lastModifiedBy>SP JM</cp:lastModifiedBy>
  <dcterms:created xsi:type="dcterms:W3CDTF">2021-10-18T14:18:43Z</dcterms:created>
  <dcterms:modified xsi:type="dcterms:W3CDTF">2026-04-23T17:53:11Z</dcterms:modified>
</cp:coreProperties>
</file>