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OCUMENTOS-SDP-CEITPSJM-2025-2026\SUPERVISÃO DE TURNOS\VESPERTINO\SAUDE\AC\11CL - AC-A - RUTH ZEMBO\"/>
    </mc:Choice>
  </mc:AlternateContent>
  <bookViews>
    <workbookView xWindow="0" yWindow="0" windowWidth="20496" windowHeight="7752" tabRatio="882" firstSheet="1" activeTab="1"/>
  </bookViews>
  <sheets>
    <sheet name="1ºT-11ª-A-PAUTA" sheetId="26" r:id="rId1"/>
    <sheet name="2ºT-11ª-A-PAUTA" sheetId="27" r:id="rId2"/>
    <sheet name="11CL-AC-A-L PORT" sheetId="2" r:id="rId3"/>
    <sheet name="11CL-AC-A-MAT" sheetId="18" r:id="rId4"/>
    <sheet name="11CL-AC-A-BIOL" sheetId="19" r:id="rId5"/>
    <sheet name="11CL-AC-A-INGLES" sheetId="15" r:id="rId6"/>
    <sheet name="11CL-AC-A-QCA ORG." sheetId="20" r:id="rId7"/>
    <sheet name="11CL-AC-A-MICROBIOL" sheetId="21" r:id="rId8"/>
    <sheet name="11CL-AC-A-HEMAT I" sheetId="23" r:id="rId9"/>
    <sheet name="11CL-AC-A-IMUNOL." sheetId="16" r:id="rId10"/>
    <sheet name="11CL-AC-A-URINOL." sheetId="17" r:id="rId11"/>
    <sheet name="11CL-AC-A-PRASITOL." sheetId="22" r:id="rId12"/>
    <sheet name="11CL-AC-A-ED. FIS" sheetId="24" r:id="rId13"/>
    <sheet name="11CL-AC-A-AFH" sheetId="25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27" l="1"/>
  <c r="K18" i="27"/>
  <c r="N18" i="27"/>
  <c r="Q18" i="27"/>
  <c r="T18" i="27"/>
  <c r="W18" i="27"/>
  <c r="Z18" i="27"/>
  <c r="AC18" i="27"/>
  <c r="AF18" i="27"/>
  <c r="AI18" i="27"/>
  <c r="AL18" i="27"/>
  <c r="AO18" i="27"/>
  <c r="H19" i="27"/>
  <c r="K19" i="27"/>
  <c r="N19" i="27"/>
  <c r="Q19" i="27"/>
  <c r="AQ19" i="27" s="1"/>
  <c r="T19" i="27"/>
  <c r="W19" i="27"/>
  <c r="Z19" i="27"/>
  <c r="AC19" i="27"/>
  <c r="AF19" i="27"/>
  <c r="AI19" i="27"/>
  <c r="AL19" i="27"/>
  <c r="AO19" i="27"/>
  <c r="H20" i="27"/>
  <c r="K20" i="27"/>
  <c r="N20" i="27"/>
  <c r="Q20" i="27"/>
  <c r="AQ20" i="27" s="1"/>
  <c r="T20" i="27"/>
  <c r="W20" i="27"/>
  <c r="Z20" i="27"/>
  <c r="AC20" i="27"/>
  <c r="AF20" i="27"/>
  <c r="AI20" i="27"/>
  <c r="AL20" i="27"/>
  <c r="AO20" i="27"/>
  <c r="H21" i="27"/>
  <c r="K21" i="27"/>
  <c r="N21" i="27"/>
  <c r="Q21" i="27"/>
  <c r="T21" i="27"/>
  <c r="W21" i="27"/>
  <c r="Z21" i="27"/>
  <c r="AC21" i="27"/>
  <c r="AF21" i="27"/>
  <c r="AI21" i="27"/>
  <c r="AL21" i="27"/>
  <c r="AO21" i="27"/>
  <c r="H22" i="27"/>
  <c r="K22" i="27"/>
  <c r="N22" i="27"/>
  <c r="Q22" i="27"/>
  <c r="AQ22" i="27" s="1"/>
  <c r="T22" i="27"/>
  <c r="W22" i="27"/>
  <c r="Z22" i="27"/>
  <c r="AC22" i="27"/>
  <c r="AF22" i="27"/>
  <c r="AI22" i="27"/>
  <c r="AL22" i="27"/>
  <c r="AO22" i="27"/>
  <c r="H23" i="27"/>
  <c r="K23" i="27"/>
  <c r="N23" i="27"/>
  <c r="Q23" i="27"/>
  <c r="AQ23" i="27" s="1"/>
  <c r="T23" i="27"/>
  <c r="W23" i="27"/>
  <c r="Z23" i="27"/>
  <c r="AC23" i="27"/>
  <c r="AF23" i="27"/>
  <c r="AI23" i="27"/>
  <c r="AL23" i="27"/>
  <c r="AO23" i="27"/>
  <c r="H24" i="27"/>
  <c r="K24" i="27"/>
  <c r="N24" i="27"/>
  <c r="Q24" i="27"/>
  <c r="AQ24" i="27" s="1"/>
  <c r="T24" i="27"/>
  <c r="W24" i="27"/>
  <c r="Z24" i="27"/>
  <c r="AC24" i="27"/>
  <c r="AF24" i="27"/>
  <c r="AI24" i="27"/>
  <c r="AL24" i="27"/>
  <c r="AO24" i="27"/>
  <c r="H25" i="27"/>
  <c r="K25" i="27"/>
  <c r="N25" i="27"/>
  <c r="Q25" i="27"/>
  <c r="T25" i="27"/>
  <c r="W25" i="27"/>
  <c r="Z25" i="27"/>
  <c r="AC25" i="27"/>
  <c r="AF25" i="27"/>
  <c r="AI25" i="27"/>
  <c r="AL25" i="27"/>
  <c r="AO25" i="27"/>
  <c r="H26" i="27"/>
  <c r="K26" i="27"/>
  <c r="N26" i="27"/>
  <c r="Q26" i="27"/>
  <c r="AQ26" i="27" s="1"/>
  <c r="T26" i="27"/>
  <c r="W26" i="27"/>
  <c r="Z26" i="27"/>
  <c r="AC26" i="27"/>
  <c r="AF26" i="27"/>
  <c r="AI26" i="27"/>
  <c r="AL26" i="27"/>
  <c r="AO26" i="27"/>
  <c r="H27" i="27"/>
  <c r="K27" i="27"/>
  <c r="N27" i="27"/>
  <c r="Q27" i="27"/>
  <c r="AQ27" i="27" s="1"/>
  <c r="T27" i="27"/>
  <c r="W27" i="27"/>
  <c r="Z27" i="27"/>
  <c r="AC27" i="27"/>
  <c r="AF27" i="27"/>
  <c r="AI27" i="27"/>
  <c r="AL27" i="27"/>
  <c r="AO27" i="27"/>
  <c r="H28" i="27"/>
  <c r="K28" i="27"/>
  <c r="N28" i="27"/>
  <c r="Q28" i="27"/>
  <c r="AQ28" i="27" s="1"/>
  <c r="T28" i="27"/>
  <c r="W28" i="27"/>
  <c r="Z28" i="27"/>
  <c r="AC28" i="27"/>
  <c r="AF28" i="27"/>
  <c r="AI28" i="27"/>
  <c r="AL28" i="27"/>
  <c r="AO28" i="27"/>
  <c r="H29" i="27"/>
  <c r="K29" i="27"/>
  <c r="N29" i="27"/>
  <c r="Q29" i="27"/>
  <c r="T29" i="27"/>
  <c r="W29" i="27"/>
  <c r="Z29" i="27"/>
  <c r="AC29" i="27"/>
  <c r="AF29" i="27"/>
  <c r="AI29" i="27"/>
  <c r="AL29" i="27"/>
  <c r="AO29" i="27"/>
  <c r="H30" i="27"/>
  <c r="K30" i="27"/>
  <c r="N30" i="27"/>
  <c r="Q30" i="27"/>
  <c r="AQ30" i="27" s="1"/>
  <c r="T30" i="27"/>
  <c r="W30" i="27"/>
  <c r="Z30" i="27"/>
  <c r="AC30" i="27"/>
  <c r="AF30" i="27"/>
  <c r="AI30" i="27"/>
  <c r="AL30" i="27"/>
  <c r="AO30" i="27"/>
  <c r="H31" i="27"/>
  <c r="K31" i="27"/>
  <c r="N31" i="27"/>
  <c r="Q31" i="27"/>
  <c r="AQ31" i="27" s="1"/>
  <c r="T31" i="27"/>
  <c r="W31" i="27"/>
  <c r="Z31" i="27"/>
  <c r="AC31" i="27"/>
  <c r="AF31" i="27"/>
  <c r="AI31" i="27"/>
  <c r="AL31" i="27"/>
  <c r="AO31" i="27"/>
  <c r="H32" i="27"/>
  <c r="K32" i="27"/>
  <c r="N32" i="27"/>
  <c r="Q32" i="27"/>
  <c r="AQ32" i="27" s="1"/>
  <c r="T32" i="27"/>
  <c r="W32" i="27"/>
  <c r="Z32" i="27"/>
  <c r="AC32" i="27"/>
  <c r="AF32" i="27"/>
  <c r="AI32" i="27"/>
  <c r="AL32" i="27"/>
  <c r="AO32" i="27"/>
  <c r="H33" i="27"/>
  <c r="K33" i="27"/>
  <c r="N33" i="27"/>
  <c r="Q33" i="27"/>
  <c r="T33" i="27"/>
  <c r="W33" i="27"/>
  <c r="Z33" i="27"/>
  <c r="AC33" i="27"/>
  <c r="AF33" i="27"/>
  <c r="AI33" i="27"/>
  <c r="AL33" i="27"/>
  <c r="AO33" i="27"/>
  <c r="H34" i="27"/>
  <c r="K34" i="27"/>
  <c r="N34" i="27"/>
  <c r="Q34" i="27"/>
  <c r="AQ34" i="27" s="1"/>
  <c r="T34" i="27"/>
  <c r="W34" i="27"/>
  <c r="Z34" i="27"/>
  <c r="AC34" i="27"/>
  <c r="AF34" i="27"/>
  <c r="AI34" i="27"/>
  <c r="AL34" i="27"/>
  <c r="AO34" i="27"/>
  <c r="H35" i="27"/>
  <c r="K35" i="27"/>
  <c r="N35" i="27"/>
  <c r="Q35" i="27"/>
  <c r="AQ35" i="27" s="1"/>
  <c r="T35" i="27"/>
  <c r="W35" i="27"/>
  <c r="Z35" i="27"/>
  <c r="AC35" i="27"/>
  <c r="AF35" i="27"/>
  <c r="AI35" i="27"/>
  <c r="AL35" i="27"/>
  <c r="AO35" i="27"/>
  <c r="H36" i="27"/>
  <c r="K36" i="27"/>
  <c r="N36" i="27"/>
  <c r="Q36" i="27"/>
  <c r="AQ36" i="27" s="1"/>
  <c r="T36" i="27"/>
  <c r="W36" i="27"/>
  <c r="Z36" i="27"/>
  <c r="AC36" i="27"/>
  <c r="AF36" i="27"/>
  <c r="AI36" i="27"/>
  <c r="AL36" i="27"/>
  <c r="AO36" i="27"/>
  <c r="H37" i="27"/>
  <c r="K37" i="27"/>
  <c r="N37" i="27"/>
  <c r="Q37" i="27"/>
  <c r="T37" i="27"/>
  <c r="W37" i="27"/>
  <c r="Z37" i="27"/>
  <c r="AC37" i="27"/>
  <c r="AF37" i="27"/>
  <c r="AI37" i="27"/>
  <c r="AL37" i="27"/>
  <c r="AO37" i="27"/>
  <c r="H38" i="27"/>
  <c r="K38" i="27"/>
  <c r="N38" i="27"/>
  <c r="Q38" i="27"/>
  <c r="AQ38" i="27" s="1"/>
  <c r="T38" i="27"/>
  <c r="W38" i="27"/>
  <c r="Z38" i="27"/>
  <c r="AC38" i="27"/>
  <c r="AF38" i="27"/>
  <c r="AI38" i="27"/>
  <c r="AL38" i="27"/>
  <c r="AO38" i="27"/>
  <c r="H39" i="27"/>
  <c r="K39" i="27"/>
  <c r="N39" i="27"/>
  <c r="Q39" i="27"/>
  <c r="AQ39" i="27" s="1"/>
  <c r="T39" i="27"/>
  <c r="W39" i="27"/>
  <c r="Z39" i="27"/>
  <c r="AC39" i="27"/>
  <c r="AF39" i="27"/>
  <c r="AI39" i="27"/>
  <c r="AL39" i="27"/>
  <c r="AO39" i="27"/>
  <c r="H40" i="27"/>
  <c r="K40" i="27"/>
  <c r="N40" i="27"/>
  <c r="Q40" i="27"/>
  <c r="AQ40" i="27" s="1"/>
  <c r="T40" i="27"/>
  <c r="W40" i="27"/>
  <c r="Z40" i="27"/>
  <c r="AC40" i="27"/>
  <c r="AF40" i="27"/>
  <c r="AI40" i="27"/>
  <c r="AL40" i="27"/>
  <c r="AO40" i="27"/>
  <c r="H41" i="27"/>
  <c r="K41" i="27"/>
  <c r="N41" i="27"/>
  <c r="Q41" i="27"/>
  <c r="T41" i="27"/>
  <c r="W41" i="27"/>
  <c r="Z41" i="27"/>
  <c r="AC41" i="27"/>
  <c r="AF41" i="27"/>
  <c r="AI41" i="27"/>
  <c r="AL41" i="27"/>
  <c r="AO41" i="27"/>
  <c r="H42" i="27"/>
  <c r="K42" i="27"/>
  <c r="N42" i="27"/>
  <c r="Q42" i="27"/>
  <c r="AQ42" i="27" s="1"/>
  <c r="T42" i="27"/>
  <c r="W42" i="27"/>
  <c r="Z42" i="27"/>
  <c r="AC42" i="27"/>
  <c r="AF42" i="27"/>
  <c r="AI42" i="27"/>
  <c r="AL42" i="27"/>
  <c r="AO42" i="27"/>
  <c r="H43" i="27"/>
  <c r="K43" i="27"/>
  <c r="N43" i="27"/>
  <c r="Q43" i="27"/>
  <c r="AQ43" i="27" s="1"/>
  <c r="T43" i="27"/>
  <c r="W43" i="27"/>
  <c r="Z43" i="27"/>
  <c r="AC43" i="27"/>
  <c r="AF43" i="27"/>
  <c r="AI43" i="27"/>
  <c r="AL43" i="27"/>
  <c r="AO43" i="27"/>
  <c r="H44" i="27"/>
  <c r="K44" i="27"/>
  <c r="N44" i="27"/>
  <c r="Q44" i="27"/>
  <c r="AQ44" i="27" s="1"/>
  <c r="T44" i="27"/>
  <c r="W44" i="27"/>
  <c r="Z44" i="27"/>
  <c r="AC44" i="27"/>
  <c r="AF44" i="27"/>
  <c r="AI44" i="27"/>
  <c r="AL44" i="27"/>
  <c r="AO44" i="27"/>
  <c r="H45" i="27"/>
  <c r="K45" i="27"/>
  <c r="N45" i="27"/>
  <c r="Q45" i="27"/>
  <c r="T45" i="27"/>
  <c r="W45" i="27"/>
  <c r="Z45" i="27"/>
  <c r="AC45" i="27"/>
  <c r="AF45" i="27"/>
  <c r="AI45" i="27"/>
  <c r="AL45" i="27"/>
  <c r="AO45" i="27"/>
  <c r="H46" i="27"/>
  <c r="K46" i="27"/>
  <c r="N46" i="27"/>
  <c r="Q46" i="27"/>
  <c r="AQ46" i="27" s="1"/>
  <c r="T46" i="27"/>
  <c r="W46" i="27"/>
  <c r="Z46" i="27"/>
  <c r="AC46" i="27"/>
  <c r="AF46" i="27"/>
  <c r="AI46" i="27"/>
  <c r="AL46" i="27"/>
  <c r="AO46" i="27"/>
  <c r="H47" i="27"/>
  <c r="K47" i="27"/>
  <c r="N47" i="27"/>
  <c r="Q47" i="27"/>
  <c r="AQ47" i="27" s="1"/>
  <c r="T47" i="27"/>
  <c r="W47" i="27"/>
  <c r="Z47" i="27"/>
  <c r="AC47" i="27"/>
  <c r="AF47" i="27"/>
  <c r="AI47" i="27"/>
  <c r="AL47" i="27"/>
  <c r="AO47" i="27"/>
  <c r="H48" i="27"/>
  <c r="K48" i="27"/>
  <c r="N48" i="27"/>
  <c r="Q48" i="27"/>
  <c r="AQ48" i="27" s="1"/>
  <c r="T48" i="27"/>
  <c r="W48" i="27"/>
  <c r="Z48" i="27"/>
  <c r="AC48" i="27"/>
  <c r="AF48" i="27"/>
  <c r="AI48" i="27"/>
  <c r="AL48" i="27"/>
  <c r="AO48" i="27"/>
  <c r="H49" i="27"/>
  <c r="K49" i="27"/>
  <c r="N49" i="27"/>
  <c r="Q49" i="27"/>
  <c r="T49" i="27"/>
  <c r="W49" i="27"/>
  <c r="Z49" i="27"/>
  <c r="AC49" i="27"/>
  <c r="AF49" i="27"/>
  <c r="AI49" i="27"/>
  <c r="AL49" i="27"/>
  <c r="AO49" i="27"/>
  <c r="H50" i="27"/>
  <c r="K50" i="27"/>
  <c r="N50" i="27"/>
  <c r="Q50" i="27"/>
  <c r="AQ50" i="27" s="1"/>
  <c r="T50" i="27"/>
  <c r="W50" i="27"/>
  <c r="Z50" i="27"/>
  <c r="AC50" i="27"/>
  <c r="AF50" i="27"/>
  <c r="AI50" i="27"/>
  <c r="AL50" i="27"/>
  <c r="AO50" i="27"/>
  <c r="H51" i="27"/>
  <c r="K51" i="27"/>
  <c r="N51" i="27"/>
  <c r="Q51" i="27"/>
  <c r="AQ51" i="27" s="1"/>
  <c r="T51" i="27"/>
  <c r="W51" i="27"/>
  <c r="Z51" i="27"/>
  <c r="AC51" i="27"/>
  <c r="AF51" i="27"/>
  <c r="AI51" i="27"/>
  <c r="AL51" i="27"/>
  <c r="AO51" i="27"/>
  <c r="H52" i="27"/>
  <c r="K52" i="27"/>
  <c r="N52" i="27"/>
  <c r="Q52" i="27"/>
  <c r="AQ52" i="27" s="1"/>
  <c r="T52" i="27"/>
  <c r="W52" i="27"/>
  <c r="Z52" i="27"/>
  <c r="AC52" i="27"/>
  <c r="AF52" i="27"/>
  <c r="AI52" i="27"/>
  <c r="AL52" i="27"/>
  <c r="AO52" i="27"/>
  <c r="H53" i="27"/>
  <c r="K53" i="27"/>
  <c r="N53" i="27"/>
  <c r="Q53" i="27"/>
  <c r="T53" i="27"/>
  <c r="W53" i="27"/>
  <c r="Z53" i="27"/>
  <c r="AC53" i="27"/>
  <c r="AF53" i="27"/>
  <c r="AI53" i="27"/>
  <c r="AL53" i="27"/>
  <c r="AO53" i="27"/>
  <c r="H54" i="27"/>
  <c r="K54" i="27"/>
  <c r="N54" i="27"/>
  <c r="Q54" i="27"/>
  <c r="AQ54" i="27" s="1"/>
  <c r="T54" i="27"/>
  <c r="W54" i="27"/>
  <c r="Z54" i="27"/>
  <c r="AC54" i="27"/>
  <c r="AF54" i="27"/>
  <c r="AI54" i="27"/>
  <c r="AL54" i="27"/>
  <c r="AO54" i="27"/>
  <c r="H55" i="27"/>
  <c r="K55" i="27"/>
  <c r="N55" i="27"/>
  <c r="Q55" i="27"/>
  <c r="AQ55" i="27" s="1"/>
  <c r="T55" i="27"/>
  <c r="W55" i="27"/>
  <c r="Z55" i="27"/>
  <c r="AC55" i="27"/>
  <c r="AF55" i="27"/>
  <c r="AI55" i="27"/>
  <c r="AL55" i="27"/>
  <c r="AO55" i="27"/>
  <c r="H56" i="27"/>
  <c r="K56" i="27"/>
  <c r="N56" i="27"/>
  <c r="Q56" i="27"/>
  <c r="AQ56" i="27" s="1"/>
  <c r="T56" i="27"/>
  <c r="W56" i="27"/>
  <c r="Z56" i="27"/>
  <c r="AC56" i="27"/>
  <c r="AF56" i="27"/>
  <c r="AI56" i="27"/>
  <c r="AL56" i="27"/>
  <c r="AO56" i="27"/>
  <c r="H57" i="27"/>
  <c r="K57" i="27"/>
  <c r="N57" i="27"/>
  <c r="Q57" i="27"/>
  <c r="T57" i="27"/>
  <c r="W57" i="27"/>
  <c r="Z57" i="27"/>
  <c r="AC57" i="27"/>
  <c r="AF57" i="27"/>
  <c r="AI57" i="27"/>
  <c r="AL57" i="27"/>
  <c r="AO57" i="27"/>
  <c r="H58" i="27"/>
  <c r="K58" i="27"/>
  <c r="N58" i="27"/>
  <c r="Q58" i="27"/>
  <c r="AQ58" i="27" s="1"/>
  <c r="T58" i="27"/>
  <c r="W58" i="27"/>
  <c r="Z58" i="27"/>
  <c r="AC58" i="27"/>
  <c r="AF58" i="27"/>
  <c r="AI58" i="27"/>
  <c r="AL58" i="27"/>
  <c r="AO58" i="27"/>
  <c r="H59" i="27"/>
  <c r="K59" i="27"/>
  <c r="N59" i="27"/>
  <c r="Q59" i="27"/>
  <c r="AQ59" i="27" s="1"/>
  <c r="T59" i="27"/>
  <c r="W59" i="27"/>
  <c r="Z59" i="27"/>
  <c r="AC59" i="27"/>
  <c r="AF59" i="27"/>
  <c r="AI59" i="27"/>
  <c r="AL59" i="27"/>
  <c r="AO59" i="27"/>
  <c r="H60" i="27"/>
  <c r="K60" i="27"/>
  <c r="AQ60" i="27" s="1"/>
  <c r="N60" i="27"/>
  <c r="Q60" i="27"/>
  <c r="T60" i="27"/>
  <c r="W60" i="27"/>
  <c r="Z60" i="27"/>
  <c r="AC60" i="27"/>
  <c r="AF60" i="27"/>
  <c r="AI60" i="27"/>
  <c r="AL60" i="27"/>
  <c r="AO60" i="27"/>
  <c r="AO17" i="27"/>
  <c r="AL17" i="27"/>
  <c r="AI17" i="27"/>
  <c r="AF17" i="27"/>
  <c r="AC17" i="27"/>
  <c r="Z17" i="27"/>
  <c r="W17" i="27"/>
  <c r="T17" i="27"/>
  <c r="Q17" i="27"/>
  <c r="N17" i="27"/>
  <c r="K17" i="27"/>
  <c r="H17" i="27"/>
  <c r="AQ57" i="27"/>
  <c r="AQ53" i="27"/>
  <c r="AQ49" i="27"/>
  <c r="AQ45" i="27"/>
  <c r="AQ41" i="27"/>
  <c r="AQ37" i="27"/>
  <c r="AQ33" i="27"/>
  <c r="AQ29" i="27"/>
  <c r="AQ25" i="27"/>
  <c r="AQ21" i="27"/>
  <c r="AQ18" i="27"/>
  <c r="BA17" i="27"/>
  <c r="AZ17" i="27"/>
  <c r="AY17" i="27"/>
  <c r="AX17" i="27"/>
  <c r="AW17" i="27"/>
  <c r="AV17" i="27"/>
  <c r="AU17" i="27"/>
  <c r="AT17" i="27"/>
  <c r="AT18" i="27" s="1"/>
  <c r="AM12" i="27"/>
  <c r="AM11" i="27"/>
  <c r="AM10" i="27"/>
  <c r="AX18" i="27" l="1"/>
  <c r="AV18" i="27"/>
  <c r="AZ18" i="27"/>
  <c r="AQ17" i="27"/>
  <c r="AV23" i="27" s="1"/>
  <c r="J52" i="23"/>
  <c r="K52" i="23" s="1"/>
  <c r="J51" i="23"/>
  <c r="K51" i="23" s="1"/>
  <c r="J50" i="23"/>
  <c r="K50" i="23" s="1"/>
  <c r="J49" i="23"/>
  <c r="K49" i="23" s="1"/>
  <c r="J48" i="23"/>
  <c r="K48" i="23" s="1"/>
  <c r="J47" i="23"/>
  <c r="K47" i="23" s="1"/>
  <c r="J46" i="23"/>
  <c r="K46" i="23" s="1"/>
  <c r="J45" i="23"/>
  <c r="K45" i="23" s="1"/>
  <c r="J44" i="23"/>
  <c r="K44" i="23" s="1"/>
  <c r="J43" i="23"/>
  <c r="K43" i="23" s="1"/>
  <c r="J42" i="23"/>
  <c r="K42" i="23" s="1"/>
  <c r="J41" i="23"/>
  <c r="K41" i="23" s="1"/>
  <c r="J40" i="23"/>
  <c r="K40" i="23" s="1"/>
  <c r="J39" i="23"/>
  <c r="K39" i="23" s="1"/>
  <c r="J38" i="23"/>
  <c r="K38" i="23" s="1"/>
  <c r="J37" i="23"/>
  <c r="K37" i="23" s="1"/>
  <c r="J36" i="23"/>
  <c r="K36" i="23" s="1"/>
  <c r="J35" i="23"/>
  <c r="K35" i="23" s="1"/>
  <c r="J34" i="23"/>
  <c r="K34" i="23" s="1"/>
  <c r="J33" i="23"/>
  <c r="K33" i="23" s="1"/>
  <c r="J32" i="23"/>
  <c r="K32" i="23" s="1"/>
  <c r="J31" i="23"/>
  <c r="K31" i="23" s="1"/>
  <c r="J30" i="23"/>
  <c r="K30" i="23" s="1"/>
  <c r="J29" i="23"/>
  <c r="K29" i="23" s="1"/>
  <c r="J28" i="23"/>
  <c r="K28" i="23" s="1"/>
  <c r="J27" i="23"/>
  <c r="K27" i="23" s="1"/>
  <c r="J26" i="23"/>
  <c r="K26" i="23" s="1"/>
  <c r="J25" i="23"/>
  <c r="K25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2" i="23"/>
  <c r="K12" i="23" s="1"/>
  <c r="J11" i="23"/>
  <c r="K11" i="23" s="1"/>
  <c r="J10" i="23"/>
  <c r="K10" i="23" s="1"/>
  <c r="J9" i="23"/>
  <c r="K9" i="23" s="1"/>
  <c r="J52" i="21" l="1"/>
  <c r="K52" i="21" s="1"/>
  <c r="J51" i="21"/>
  <c r="K51" i="21" s="1"/>
  <c r="J50" i="21"/>
  <c r="K50" i="21" s="1"/>
  <c r="J49" i="21"/>
  <c r="K49" i="21" s="1"/>
  <c r="J48" i="21"/>
  <c r="K48" i="21" s="1"/>
  <c r="J47" i="21"/>
  <c r="K47" i="21" s="1"/>
  <c r="J46" i="21"/>
  <c r="K46" i="21" s="1"/>
  <c r="J45" i="21"/>
  <c r="K45" i="21" s="1"/>
  <c r="J44" i="21"/>
  <c r="K44" i="21" s="1"/>
  <c r="J43" i="21"/>
  <c r="K43" i="21" s="1"/>
  <c r="J42" i="21"/>
  <c r="K42" i="21" s="1"/>
  <c r="J41" i="21"/>
  <c r="K41" i="21" s="1"/>
  <c r="J40" i="21"/>
  <c r="K40" i="21" s="1"/>
  <c r="J39" i="21"/>
  <c r="K39" i="21" s="1"/>
  <c r="J38" i="21"/>
  <c r="K38" i="21" s="1"/>
  <c r="J37" i="21"/>
  <c r="K37" i="21" s="1"/>
  <c r="J36" i="21"/>
  <c r="K36" i="21" s="1"/>
  <c r="J35" i="21"/>
  <c r="K35" i="21" s="1"/>
  <c r="J34" i="21"/>
  <c r="K34" i="21" s="1"/>
  <c r="J33" i="21"/>
  <c r="K33" i="21" s="1"/>
  <c r="J32" i="21"/>
  <c r="K32" i="21" s="1"/>
  <c r="J31" i="21"/>
  <c r="K31" i="21" s="1"/>
  <c r="J30" i="21"/>
  <c r="K30" i="21" s="1"/>
  <c r="J29" i="21"/>
  <c r="K29" i="21" s="1"/>
  <c r="J28" i="21"/>
  <c r="K28" i="21" s="1"/>
  <c r="J27" i="21"/>
  <c r="K27" i="21" s="1"/>
  <c r="J26" i="21"/>
  <c r="K26" i="21" s="1"/>
  <c r="J25" i="21"/>
  <c r="K25" i="21" s="1"/>
  <c r="J24" i="21"/>
  <c r="K24" i="2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52" i="25" l="1"/>
  <c r="K52" i="25" s="1"/>
  <c r="J51" i="25"/>
  <c r="K51" i="25" s="1"/>
  <c r="J50" i="25"/>
  <c r="K50" i="25" s="1"/>
  <c r="J49" i="25"/>
  <c r="K49" i="25" s="1"/>
  <c r="J48" i="25"/>
  <c r="K48" i="25" s="1"/>
  <c r="J47" i="25"/>
  <c r="K47" i="25" s="1"/>
  <c r="J46" i="25"/>
  <c r="K46" i="25" s="1"/>
  <c r="J45" i="25"/>
  <c r="K45" i="25" s="1"/>
  <c r="J44" i="25"/>
  <c r="K44" i="25" s="1"/>
  <c r="J43" i="25"/>
  <c r="K43" i="25" s="1"/>
  <c r="J42" i="25"/>
  <c r="K42" i="25" s="1"/>
  <c r="J41" i="25"/>
  <c r="K41" i="25" s="1"/>
  <c r="J40" i="25"/>
  <c r="K40" i="25" s="1"/>
  <c r="J39" i="25"/>
  <c r="K39" i="25" s="1"/>
  <c r="J38" i="25"/>
  <c r="K38" i="25" s="1"/>
  <c r="J37" i="25"/>
  <c r="K37" i="25" s="1"/>
  <c r="J36" i="25"/>
  <c r="K36" i="25" s="1"/>
  <c r="J35" i="25"/>
  <c r="K35" i="25" s="1"/>
  <c r="J34" i="25"/>
  <c r="K34" i="25" s="1"/>
  <c r="J33" i="25"/>
  <c r="K33" i="25" s="1"/>
  <c r="J32" i="25"/>
  <c r="K32" i="25" s="1"/>
  <c r="J31" i="25"/>
  <c r="K31" i="25" s="1"/>
  <c r="J30" i="25"/>
  <c r="K30" i="25" s="1"/>
  <c r="J29" i="25"/>
  <c r="K29" i="25" s="1"/>
  <c r="J28" i="25"/>
  <c r="K28" i="25" s="1"/>
  <c r="J27" i="25"/>
  <c r="K27" i="25" s="1"/>
  <c r="J26" i="25"/>
  <c r="K26" i="25" s="1"/>
  <c r="J25" i="25"/>
  <c r="K25" i="25" s="1"/>
  <c r="J24" i="25"/>
  <c r="K24" i="25" s="1"/>
  <c r="J23" i="25"/>
  <c r="K23" i="25" s="1"/>
  <c r="J22" i="25"/>
  <c r="K22" i="25" s="1"/>
  <c r="J21" i="25"/>
  <c r="K21" i="25" s="1"/>
  <c r="J20" i="25"/>
  <c r="K20" i="25" s="1"/>
  <c r="J19" i="25"/>
  <c r="K19" i="25" s="1"/>
  <c r="J18" i="25"/>
  <c r="K18" i="25" s="1"/>
  <c r="J17" i="25"/>
  <c r="K17" i="25" s="1"/>
  <c r="J16" i="25"/>
  <c r="K16" i="25" s="1"/>
  <c r="J15" i="25"/>
  <c r="K15" i="25" s="1"/>
  <c r="J14" i="25"/>
  <c r="K14" i="25" s="1"/>
  <c r="J13" i="25"/>
  <c r="K13" i="25" s="1"/>
  <c r="J12" i="25"/>
  <c r="K12" i="25" s="1"/>
  <c r="J11" i="25"/>
  <c r="K11" i="25" s="1"/>
  <c r="J10" i="25"/>
  <c r="K10" i="25" s="1"/>
  <c r="J9" i="25"/>
  <c r="K9" i="25" s="1"/>
  <c r="J52" i="18" l="1"/>
  <c r="K52" i="18" s="1"/>
  <c r="J51" i="18"/>
  <c r="K51" i="18" s="1"/>
  <c r="J50" i="18"/>
  <c r="K50" i="18" s="1"/>
  <c r="J49" i="18"/>
  <c r="K49" i="18" s="1"/>
  <c r="J48" i="18"/>
  <c r="K48" i="18" s="1"/>
  <c r="J47" i="18"/>
  <c r="K47" i="18" s="1"/>
  <c r="J46" i="18"/>
  <c r="K46" i="18" s="1"/>
  <c r="J45" i="18"/>
  <c r="K45" i="18" s="1"/>
  <c r="J44" i="18"/>
  <c r="K44" i="18" s="1"/>
  <c r="J43" i="18"/>
  <c r="K43" i="18" s="1"/>
  <c r="J42" i="18"/>
  <c r="K42" i="18" s="1"/>
  <c r="J41" i="18"/>
  <c r="K41" i="18" s="1"/>
  <c r="J40" i="18"/>
  <c r="K40" i="18" s="1"/>
  <c r="J39" i="18"/>
  <c r="K39" i="18" s="1"/>
  <c r="J38" i="18"/>
  <c r="K38" i="18" s="1"/>
  <c r="J37" i="18"/>
  <c r="K37" i="18" s="1"/>
  <c r="J36" i="18"/>
  <c r="K36" i="18" s="1"/>
  <c r="J35" i="18"/>
  <c r="K35" i="18" s="1"/>
  <c r="J34" i="18"/>
  <c r="K34" i="18" s="1"/>
  <c r="J33" i="18"/>
  <c r="K33" i="18" s="1"/>
  <c r="J32" i="18"/>
  <c r="K32" i="18" s="1"/>
  <c r="J31" i="18"/>
  <c r="K31" i="18" s="1"/>
  <c r="J30" i="18"/>
  <c r="K30" i="18" s="1"/>
  <c r="J29" i="18"/>
  <c r="K29" i="18" s="1"/>
  <c r="J28" i="18"/>
  <c r="K28" i="18" s="1"/>
  <c r="J27" i="18"/>
  <c r="K27" i="18" s="1"/>
  <c r="J26" i="18"/>
  <c r="K26" i="18" s="1"/>
  <c r="J25" i="18"/>
  <c r="K25" i="18" s="1"/>
  <c r="J24" i="18"/>
  <c r="K24" i="18" s="1"/>
  <c r="J23" i="18"/>
  <c r="K23" i="18" s="1"/>
  <c r="J22" i="18"/>
  <c r="K22" i="18" s="1"/>
  <c r="J21" i="18"/>
  <c r="K21" i="18" s="1"/>
  <c r="J20" i="18"/>
  <c r="K20" i="18" s="1"/>
  <c r="J19" i="18"/>
  <c r="K19" i="18" s="1"/>
  <c r="J18" i="18"/>
  <c r="K18" i="18" s="1"/>
  <c r="J17" i="18"/>
  <c r="K17" i="18" s="1"/>
  <c r="J16" i="18"/>
  <c r="K16" i="18" s="1"/>
  <c r="J15" i="18"/>
  <c r="K15" i="18" s="1"/>
  <c r="J14" i="18"/>
  <c r="K14" i="18" s="1"/>
  <c r="J13" i="18"/>
  <c r="K13" i="18" s="1"/>
  <c r="J12" i="18"/>
  <c r="K12" i="18" s="1"/>
  <c r="J11" i="18"/>
  <c r="K11" i="18" s="1"/>
  <c r="J10" i="18"/>
  <c r="K10" i="18" s="1"/>
  <c r="J9" i="18"/>
  <c r="K9" i="18" s="1"/>
  <c r="K52" i="17" l="1"/>
  <c r="J52" i="17"/>
  <c r="J51" i="17"/>
  <c r="K51" i="17" s="1"/>
  <c r="K50" i="17"/>
  <c r="J50" i="17"/>
  <c r="J49" i="17"/>
  <c r="K49" i="17" s="1"/>
  <c r="K48" i="17"/>
  <c r="J48" i="17"/>
  <c r="J47" i="17"/>
  <c r="K47" i="17" s="1"/>
  <c r="K46" i="17"/>
  <c r="J46" i="17"/>
  <c r="J45" i="17"/>
  <c r="K45" i="17" s="1"/>
  <c r="K44" i="17"/>
  <c r="J44" i="17"/>
  <c r="J43" i="17"/>
  <c r="K43" i="17" s="1"/>
  <c r="K42" i="17"/>
  <c r="J42" i="17"/>
  <c r="J41" i="17"/>
  <c r="K41" i="17" s="1"/>
  <c r="K40" i="17"/>
  <c r="J40" i="17"/>
  <c r="J39" i="17"/>
  <c r="K39" i="17" s="1"/>
  <c r="K38" i="17"/>
  <c r="J38" i="17"/>
  <c r="J37" i="17"/>
  <c r="K37" i="17" s="1"/>
  <c r="K36" i="17"/>
  <c r="J36" i="17"/>
  <c r="J35" i="17"/>
  <c r="K35" i="17" s="1"/>
  <c r="K34" i="17"/>
  <c r="J34" i="17"/>
  <c r="J33" i="17"/>
  <c r="K33" i="17" s="1"/>
  <c r="K32" i="17"/>
  <c r="J32" i="17"/>
  <c r="J31" i="17"/>
  <c r="K31" i="17" s="1"/>
  <c r="K30" i="17"/>
  <c r="J30" i="17"/>
  <c r="J29" i="17"/>
  <c r="K29" i="17" s="1"/>
  <c r="K28" i="17"/>
  <c r="J28" i="17"/>
  <c r="J27" i="17"/>
  <c r="K27" i="17" s="1"/>
  <c r="K26" i="17"/>
  <c r="J26" i="17"/>
  <c r="J25" i="17"/>
  <c r="K25" i="17" s="1"/>
  <c r="K24" i="17"/>
  <c r="J24" i="17"/>
  <c r="J23" i="17"/>
  <c r="K23" i="17" s="1"/>
  <c r="K22" i="17"/>
  <c r="J22" i="17"/>
  <c r="J21" i="17"/>
  <c r="K21" i="17" s="1"/>
  <c r="K20" i="17"/>
  <c r="J20" i="17"/>
  <c r="J19" i="17"/>
  <c r="K19" i="17" s="1"/>
  <c r="K18" i="17"/>
  <c r="J18" i="17"/>
  <c r="J17" i="17"/>
  <c r="K17" i="17" s="1"/>
  <c r="K16" i="17"/>
  <c r="J16" i="17"/>
  <c r="J15" i="17"/>
  <c r="K15" i="17" s="1"/>
  <c r="K14" i="17"/>
  <c r="J14" i="17"/>
  <c r="J13" i="17"/>
  <c r="K13" i="17" s="1"/>
  <c r="K12" i="17"/>
  <c r="J12" i="17"/>
  <c r="J11" i="17"/>
  <c r="K11" i="17" s="1"/>
  <c r="K10" i="17"/>
  <c r="J10" i="17"/>
  <c r="J9" i="17"/>
  <c r="K9" i="17" s="1"/>
  <c r="J52" i="2" l="1"/>
  <c r="K52" i="2" s="1"/>
  <c r="J51" i="2"/>
  <c r="K51" i="2" s="1"/>
  <c r="J50" i="2"/>
  <c r="K50" i="2" s="1"/>
  <c r="J49" i="2"/>
  <c r="K49" i="2" s="1"/>
  <c r="J48" i="2"/>
  <c r="K48" i="2" s="1"/>
  <c r="J47" i="2"/>
  <c r="K47" i="2" s="1"/>
  <c r="J46" i="2"/>
  <c r="K46" i="2" s="1"/>
  <c r="J45" i="2"/>
  <c r="K45" i="2" s="1"/>
  <c r="J44" i="2"/>
  <c r="K44" i="2" s="1"/>
  <c r="J43" i="2"/>
  <c r="K43" i="2" s="1"/>
  <c r="J42" i="2"/>
  <c r="K42" i="2" s="1"/>
  <c r="J41" i="2"/>
  <c r="K41" i="2" s="1"/>
  <c r="J40" i="2"/>
  <c r="K40" i="2" s="1"/>
  <c r="J39" i="2"/>
  <c r="K39" i="2" s="1"/>
  <c r="J38" i="2"/>
  <c r="K38" i="2" s="1"/>
  <c r="J37" i="2"/>
  <c r="K37" i="2" s="1"/>
  <c r="J36" i="2"/>
  <c r="K36" i="2" s="1"/>
  <c r="J35" i="2"/>
  <c r="K35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52" i="15" l="1"/>
  <c r="K52" i="15" s="1"/>
  <c r="J51" i="15"/>
  <c r="K51" i="15" s="1"/>
  <c r="J50" i="15"/>
  <c r="K50" i="15" s="1"/>
  <c r="J49" i="15"/>
  <c r="K49" i="15" s="1"/>
  <c r="J48" i="15"/>
  <c r="K48" i="15" s="1"/>
  <c r="J47" i="15"/>
  <c r="K47" i="15" s="1"/>
  <c r="J46" i="15"/>
  <c r="K46" i="15" s="1"/>
  <c r="J45" i="15"/>
  <c r="K45" i="15" s="1"/>
  <c r="J44" i="15"/>
  <c r="K44" i="15" s="1"/>
  <c r="J43" i="15"/>
  <c r="K43" i="15" s="1"/>
  <c r="J42" i="15"/>
  <c r="K42" i="15" s="1"/>
  <c r="J41" i="15"/>
  <c r="K41" i="15" s="1"/>
  <c r="J40" i="15"/>
  <c r="K40" i="15" s="1"/>
  <c r="J39" i="15"/>
  <c r="K39" i="15" s="1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K31" i="15" s="1"/>
  <c r="J30" i="15"/>
  <c r="K30" i="15" s="1"/>
  <c r="J29" i="15"/>
  <c r="K29" i="15" s="1"/>
  <c r="J28" i="15"/>
  <c r="K28" i="15" s="1"/>
  <c r="J27" i="15"/>
  <c r="K27" i="15" s="1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K9" i="15" s="1"/>
  <c r="K52" i="19" l="1"/>
  <c r="J52" i="19"/>
  <c r="K51" i="19"/>
  <c r="J51" i="19"/>
  <c r="K50" i="19"/>
  <c r="J50" i="19"/>
  <c r="K49" i="19"/>
  <c r="J49" i="19"/>
  <c r="K48" i="19"/>
  <c r="J48" i="19"/>
  <c r="K47" i="19"/>
  <c r="J47" i="19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K37" i="19"/>
  <c r="J37" i="19"/>
  <c r="K36" i="19"/>
  <c r="J36" i="19"/>
  <c r="K35" i="19"/>
  <c r="J35" i="19"/>
  <c r="K34" i="19"/>
  <c r="J34" i="19"/>
  <c r="K33" i="19"/>
  <c r="J33" i="19"/>
  <c r="K32" i="19"/>
  <c r="J32" i="19"/>
  <c r="K31" i="19"/>
  <c r="J31" i="19"/>
  <c r="K30" i="19"/>
  <c r="J30" i="19"/>
  <c r="K29" i="19"/>
  <c r="J29" i="19"/>
  <c r="K28" i="19"/>
  <c r="J28" i="19"/>
  <c r="K27" i="19"/>
  <c r="J26" i="19"/>
  <c r="K26" i="19" s="1"/>
  <c r="J25" i="19"/>
  <c r="K25" i="19" s="1"/>
  <c r="J24" i="19"/>
  <c r="K24" i="19" s="1"/>
  <c r="J23" i="19"/>
  <c r="K23" i="19" s="1"/>
  <c r="J22" i="19"/>
  <c r="K22" i="19" s="1"/>
  <c r="K21" i="19"/>
  <c r="K20" i="19"/>
  <c r="J20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J52" i="20" l="1"/>
  <c r="K52" i="20" s="1"/>
  <c r="J51" i="20"/>
  <c r="K51" i="20" s="1"/>
  <c r="J50" i="20"/>
  <c r="K50" i="20" s="1"/>
  <c r="J49" i="20"/>
  <c r="K49" i="20" s="1"/>
  <c r="J48" i="20"/>
  <c r="K48" i="20" s="1"/>
  <c r="J47" i="20"/>
  <c r="K47" i="20" s="1"/>
  <c r="J46" i="20"/>
  <c r="K46" i="20" s="1"/>
  <c r="J45" i="20"/>
  <c r="K45" i="20" s="1"/>
  <c r="J44" i="20"/>
  <c r="K44" i="20" s="1"/>
  <c r="J43" i="20"/>
  <c r="K43" i="20" s="1"/>
  <c r="J42" i="20"/>
  <c r="K42" i="20" s="1"/>
  <c r="J41" i="20"/>
  <c r="K41" i="20" s="1"/>
  <c r="J40" i="20"/>
  <c r="K40" i="20" s="1"/>
  <c r="J39" i="20"/>
  <c r="K39" i="20" s="1"/>
  <c r="J38" i="20"/>
  <c r="K38" i="20" s="1"/>
  <c r="J37" i="20"/>
  <c r="K37" i="20" s="1"/>
  <c r="J36" i="20"/>
  <c r="K36" i="20" s="1"/>
  <c r="J35" i="20"/>
  <c r="K35" i="20" s="1"/>
  <c r="J34" i="20"/>
  <c r="K34" i="20" s="1"/>
  <c r="J33" i="20"/>
  <c r="K33" i="20" s="1"/>
  <c r="J32" i="20"/>
  <c r="K32" i="20" s="1"/>
  <c r="J31" i="20"/>
  <c r="K31" i="20" s="1"/>
  <c r="J30" i="20"/>
  <c r="K30" i="20" s="1"/>
  <c r="J29" i="20"/>
  <c r="K29" i="20" s="1"/>
  <c r="J28" i="20"/>
  <c r="K28" i="20" s="1"/>
  <c r="J27" i="20"/>
  <c r="K27" i="20" s="1"/>
  <c r="J26" i="20"/>
  <c r="K26" i="20" s="1"/>
  <c r="J25" i="20"/>
  <c r="K25" i="20" s="1"/>
  <c r="J24" i="20"/>
  <c r="K24" i="20" s="1"/>
  <c r="J23" i="20"/>
  <c r="K23" i="20" s="1"/>
  <c r="J22" i="20"/>
  <c r="K22" i="20" s="1"/>
  <c r="J21" i="20"/>
  <c r="K21" i="20" s="1"/>
  <c r="J20" i="20"/>
  <c r="K20" i="20" s="1"/>
  <c r="J19" i="20"/>
  <c r="K19" i="20" s="1"/>
  <c r="J18" i="20"/>
  <c r="K18" i="20" s="1"/>
  <c r="J17" i="20"/>
  <c r="K17" i="20" s="1"/>
  <c r="J16" i="20"/>
  <c r="K16" i="20" s="1"/>
  <c r="J15" i="20"/>
  <c r="K15" i="20" s="1"/>
  <c r="J14" i="20"/>
  <c r="K14" i="20" s="1"/>
  <c r="J13" i="20"/>
  <c r="K13" i="20" s="1"/>
  <c r="J12" i="20"/>
  <c r="K12" i="20" s="1"/>
  <c r="J11" i="20"/>
  <c r="K11" i="20" s="1"/>
  <c r="J10" i="20"/>
  <c r="K10" i="20" s="1"/>
  <c r="J9" i="20"/>
  <c r="K9" i="20" s="1"/>
  <c r="K52" i="22" l="1"/>
  <c r="J52" i="22"/>
  <c r="J51" i="22"/>
  <c r="K51" i="22" s="1"/>
  <c r="K50" i="22"/>
  <c r="J50" i="22"/>
  <c r="J49" i="22"/>
  <c r="K49" i="22" s="1"/>
  <c r="K48" i="22"/>
  <c r="J48" i="22"/>
  <c r="J47" i="22"/>
  <c r="K47" i="22" s="1"/>
  <c r="K46" i="22"/>
  <c r="J46" i="22"/>
  <c r="J45" i="22"/>
  <c r="K45" i="22" s="1"/>
  <c r="K44" i="22"/>
  <c r="J44" i="22"/>
  <c r="J43" i="22"/>
  <c r="K43" i="22" s="1"/>
  <c r="K42" i="22"/>
  <c r="J42" i="22"/>
  <c r="J41" i="22"/>
  <c r="K41" i="22" s="1"/>
  <c r="K40" i="22"/>
  <c r="J40" i="22"/>
  <c r="J39" i="22"/>
  <c r="K39" i="22" s="1"/>
  <c r="K38" i="22"/>
  <c r="J38" i="22"/>
  <c r="J37" i="22"/>
  <c r="K37" i="22" s="1"/>
  <c r="K36" i="22"/>
  <c r="J36" i="22"/>
  <c r="J35" i="22"/>
  <c r="K35" i="22" s="1"/>
  <c r="K34" i="22"/>
  <c r="J34" i="22"/>
  <c r="J33" i="22"/>
  <c r="K33" i="22" s="1"/>
  <c r="K32" i="22"/>
  <c r="J32" i="22"/>
  <c r="J31" i="22"/>
  <c r="K31" i="22" s="1"/>
  <c r="K30" i="22"/>
  <c r="J30" i="22"/>
  <c r="J29" i="22"/>
  <c r="K29" i="22" s="1"/>
  <c r="K28" i="22"/>
  <c r="J28" i="22"/>
  <c r="J27" i="22"/>
  <c r="K27" i="22" s="1"/>
  <c r="K26" i="22"/>
  <c r="J26" i="22"/>
  <c r="J25" i="22"/>
  <c r="K25" i="22" s="1"/>
  <c r="K24" i="22"/>
  <c r="J24" i="22"/>
  <c r="J23" i="22"/>
  <c r="K23" i="22" s="1"/>
  <c r="K22" i="22"/>
  <c r="J22" i="22"/>
  <c r="J21" i="22"/>
  <c r="K21" i="22" s="1"/>
  <c r="K20" i="22"/>
  <c r="J20" i="22"/>
  <c r="J19" i="22"/>
  <c r="K19" i="22" s="1"/>
  <c r="K18" i="22"/>
  <c r="J18" i="22"/>
  <c r="J17" i="22"/>
  <c r="K17" i="22" s="1"/>
  <c r="K16" i="22"/>
  <c r="J16" i="22"/>
  <c r="J15" i="22"/>
  <c r="K15" i="22" s="1"/>
  <c r="K14" i="22"/>
  <c r="J14" i="22"/>
  <c r="J13" i="22"/>
  <c r="K13" i="22" s="1"/>
  <c r="K12" i="22"/>
  <c r="J12" i="22"/>
  <c r="J11" i="22"/>
  <c r="K11" i="22" s="1"/>
  <c r="K10" i="22"/>
  <c r="J10" i="22"/>
  <c r="J9" i="22"/>
  <c r="K9" i="22" s="1"/>
  <c r="J52" i="24" l="1"/>
  <c r="K52" i="24" s="1"/>
  <c r="J51" i="24"/>
  <c r="K51" i="24" s="1"/>
  <c r="J50" i="24"/>
  <c r="K50" i="24" s="1"/>
  <c r="J49" i="24"/>
  <c r="K49" i="24" s="1"/>
  <c r="J48" i="24"/>
  <c r="K48" i="24" s="1"/>
  <c r="J47" i="24"/>
  <c r="K47" i="24" s="1"/>
  <c r="J46" i="24"/>
  <c r="K46" i="24" s="1"/>
  <c r="J45" i="24"/>
  <c r="K45" i="24" s="1"/>
  <c r="J44" i="24"/>
  <c r="K44" i="24" s="1"/>
  <c r="J43" i="24"/>
  <c r="K43" i="24" s="1"/>
  <c r="J42" i="24"/>
  <c r="K42" i="24" s="1"/>
  <c r="J41" i="24"/>
  <c r="K41" i="24" s="1"/>
  <c r="J40" i="24"/>
  <c r="K40" i="24" s="1"/>
  <c r="J39" i="24"/>
  <c r="K39" i="24" s="1"/>
  <c r="J38" i="24"/>
  <c r="K38" i="24" s="1"/>
  <c r="J37" i="24"/>
  <c r="K37" i="24" s="1"/>
  <c r="J36" i="24"/>
  <c r="K36" i="24" s="1"/>
  <c r="J35" i="24"/>
  <c r="K35" i="24" s="1"/>
  <c r="J34" i="24"/>
  <c r="K34" i="24" s="1"/>
  <c r="J33" i="24"/>
  <c r="K33" i="24" s="1"/>
  <c r="J32" i="24"/>
  <c r="K32" i="24" s="1"/>
  <c r="J31" i="24"/>
  <c r="K31" i="24" s="1"/>
  <c r="J30" i="24"/>
  <c r="K30" i="24" s="1"/>
  <c r="J29" i="24"/>
  <c r="K29" i="24" s="1"/>
  <c r="J28" i="24"/>
  <c r="K28" i="24" s="1"/>
  <c r="J27" i="24"/>
  <c r="K27" i="24" s="1"/>
  <c r="J26" i="24"/>
  <c r="K26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52" i="16" l="1"/>
  <c r="K52" i="16" s="1"/>
  <c r="J51" i="16"/>
  <c r="K51" i="16" s="1"/>
  <c r="J50" i="16"/>
  <c r="K50" i="16" s="1"/>
  <c r="J49" i="16"/>
  <c r="K49" i="16" s="1"/>
  <c r="J48" i="16"/>
  <c r="K48" i="16" s="1"/>
  <c r="J47" i="16"/>
  <c r="K47" i="16" s="1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K40" i="16" s="1"/>
  <c r="J39" i="16"/>
  <c r="K39" i="16" s="1"/>
  <c r="J38" i="16"/>
  <c r="K38" i="16" s="1"/>
  <c r="J37" i="16"/>
  <c r="K37" i="16" s="1"/>
  <c r="J36" i="16"/>
  <c r="K36" i="16" s="1"/>
  <c r="J35" i="16"/>
  <c r="K35" i="16" s="1"/>
  <c r="J34" i="16"/>
  <c r="K34" i="16" s="1"/>
  <c r="J33" i="16"/>
  <c r="K33" i="16" s="1"/>
  <c r="J32" i="16"/>
  <c r="K32" i="16" s="1"/>
  <c r="J31" i="16"/>
  <c r="K31" i="16" s="1"/>
  <c r="J30" i="16"/>
  <c r="K30" i="16" s="1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K24" i="16" s="1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H50" i="26" l="1"/>
  <c r="K50" i="26"/>
  <c r="N50" i="26"/>
  <c r="Q50" i="26"/>
  <c r="T50" i="26"/>
  <c r="W50" i="26"/>
  <c r="Z50" i="26"/>
  <c r="AC50" i="26"/>
  <c r="AF50" i="26"/>
  <c r="AI50" i="26"/>
  <c r="AL50" i="26"/>
  <c r="AO50" i="26"/>
  <c r="Q42" i="18"/>
  <c r="Y42" i="18" s="1"/>
  <c r="Z42" i="18" s="1"/>
  <c r="X42" i="18"/>
  <c r="Q42" i="19"/>
  <c r="R42" i="19" s="1"/>
  <c r="X42" i="19"/>
  <c r="Q42" i="15"/>
  <c r="Y42" i="15" s="1"/>
  <c r="Z42" i="15" s="1"/>
  <c r="R42" i="15"/>
  <c r="X42" i="15"/>
  <c r="Q42" i="20"/>
  <c r="R42" i="20" s="1"/>
  <c r="X42" i="20"/>
  <c r="Q42" i="21"/>
  <c r="Y42" i="21" s="1"/>
  <c r="Z42" i="21" s="1"/>
  <c r="R42" i="21"/>
  <c r="X42" i="21"/>
  <c r="Q42" i="23"/>
  <c r="R42" i="23" s="1"/>
  <c r="X42" i="23"/>
  <c r="Q42" i="16"/>
  <c r="R42" i="16" s="1"/>
  <c r="X42" i="16"/>
  <c r="Q42" i="17"/>
  <c r="R42" i="17" s="1"/>
  <c r="X42" i="17"/>
  <c r="Q42" i="22"/>
  <c r="Y42" i="22" s="1"/>
  <c r="Z42" i="22" s="1"/>
  <c r="R42" i="22"/>
  <c r="X42" i="22"/>
  <c r="Q42" i="24"/>
  <c r="R42" i="24" s="1"/>
  <c r="X42" i="24"/>
  <c r="Q42" i="25"/>
  <c r="R42" i="25" s="1"/>
  <c r="X42" i="25"/>
  <c r="Q42" i="2"/>
  <c r="R42" i="2" s="1"/>
  <c r="X42" i="2"/>
  <c r="Y42" i="25" l="1"/>
  <c r="Z42" i="25" s="1"/>
  <c r="R42" i="18"/>
  <c r="Y42" i="16"/>
  <c r="Z42" i="16" s="1"/>
  <c r="AQ50" i="26"/>
  <c r="Y42" i="2"/>
  <c r="Z42" i="2" s="1"/>
  <c r="Y42" i="17"/>
  <c r="Z42" i="17" s="1"/>
  <c r="Y42" i="20"/>
  <c r="Z42" i="20" s="1"/>
  <c r="Y42" i="24"/>
  <c r="Z42" i="24" s="1"/>
  <c r="Y42" i="23"/>
  <c r="Z42" i="23" s="1"/>
  <c r="Y42" i="19"/>
  <c r="Z42" i="19" s="1"/>
  <c r="Q15" i="19"/>
  <c r="Q52" i="21" l="1"/>
  <c r="R52" i="21" s="1"/>
  <c r="Q51" i="21"/>
  <c r="R51" i="21" s="1"/>
  <c r="Q50" i="21"/>
  <c r="R50" i="21" s="1"/>
  <c r="Q49" i="21"/>
  <c r="R49" i="21" s="1"/>
  <c r="Q48" i="21"/>
  <c r="R48" i="21" s="1"/>
  <c r="Q47" i="21"/>
  <c r="R47" i="21" s="1"/>
  <c r="Q46" i="21"/>
  <c r="R46" i="21" s="1"/>
  <c r="Q45" i="21"/>
  <c r="R45" i="21" s="1"/>
  <c r="Q44" i="21"/>
  <c r="R44" i="21" s="1"/>
  <c r="Q43" i="21"/>
  <c r="R43" i="21" s="1"/>
  <c r="Q41" i="21"/>
  <c r="R41" i="21" s="1"/>
  <c r="Q40" i="21"/>
  <c r="R40" i="21" s="1"/>
  <c r="Q39" i="21"/>
  <c r="R39" i="21" s="1"/>
  <c r="Q38" i="21"/>
  <c r="R38" i="21" s="1"/>
  <c r="Q37" i="21"/>
  <c r="R37" i="21" s="1"/>
  <c r="Q36" i="21"/>
  <c r="R36" i="21" s="1"/>
  <c r="Q35" i="21"/>
  <c r="R35" i="21" s="1"/>
  <c r="Q34" i="21"/>
  <c r="R34" i="21" s="1"/>
  <c r="Q33" i="21"/>
  <c r="R33" i="21" s="1"/>
  <c r="Q32" i="21"/>
  <c r="R32" i="21" s="1"/>
  <c r="Q31" i="21"/>
  <c r="R31" i="21" s="1"/>
  <c r="Q30" i="21"/>
  <c r="R30" i="21" s="1"/>
  <c r="Q29" i="21"/>
  <c r="R29" i="21" s="1"/>
  <c r="Q28" i="21"/>
  <c r="R28" i="21" s="1"/>
  <c r="Q27" i="21"/>
  <c r="R27" i="21" s="1"/>
  <c r="Q26" i="21"/>
  <c r="R26" i="21" s="1"/>
  <c r="Q25" i="21"/>
  <c r="R25" i="21" s="1"/>
  <c r="Q24" i="21"/>
  <c r="R24" i="21" s="1"/>
  <c r="Q23" i="21"/>
  <c r="R23" i="21" s="1"/>
  <c r="Q22" i="21"/>
  <c r="R22" i="21" s="1"/>
  <c r="Q21" i="21"/>
  <c r="R21" i="21" s="1"/>
  <c r="Q20" i="21"/>
  <c r="R20" i="21" s="1"/>
  <c r="Q19" i="21"/>
  <c r="R19" i="21" s="1"/>
  <c r="Q18" i="21"/>
  <c r="R18" i="21" s="1"/>
  <c r="Q17" i="21"/>
  <c r="R17" i="21" s="1"/>
  <c r="Q16" i="21"/>
  <c r="R16" i="21" s="1"/>
  <c r="Q15" i="21"/>
  <c r="R15" i="21" s="1"/>
  <c r="Q14" i="21"/>
  <c r="R14" i="21" s="1"/>
  <c r="Q13" i="21"/>
  <c r="R13" i="21" s="1"/>
  <c r="Q12" i="21"/>
  <c r="R12" i="21" s="1"/>
  <c r="Q11" i="21"/>
  <c r="R11" i="21" s="1"/>
  <c r="Q10" i="21"/>
  <c r="R10" i="21" s="1"/>
  <c r="Q9" i="21"/>
  <c r="R9" i="21" s="1"/>
  <c r="Q52" i="18" l="1"/>
  <c r="R52" i="18" s="1"/>
  <c r="Q51" i="18"/>
  <c r="R51" i="18" s="1"/>
  <c r="Q50" i="18"/>
  <c r="R50" i="18" s="1"/>
  <c r="Q49" i="18"/>
  <c r="R49" i="18" s="1"/>
  <c r="Q48" i="18"/>
  <c r="R48" i="18" s="1"/>
  <c r="Q47" i="18"/>
  <c r="R47" i="18" s="1"/>
  <c r="Q46" i="18"/>
  <c r="R46" i="18" s="1"/>
  <c r="Q45" i="18"/>
  <c r="R45" i="18" s="1"/>
  <c r="Q44" i="18"/>
  <c r="R44" i="18" s="1"/>
  <c r="Q43" i="18"/>
  <c r="R43" i="18" s="1"/>
  <c r="Q41" i="18"/>
  <c r="R41" i="18" s="1"/>
  <c r="Q40" i="18"/>
  <c r="R40" i="18" s="1"/>
  <c r="Q39" i="18"/>
  <c r="R39" i="18" s="1"/>
  <c r="Q38" i="18"/>
  <c r="R38" i="18" s="1"/>
  <c r="Q37" i="18"/>
  <c r="R37" i="18" s="1"/>
  <c r="Q36" i="18"/>
  <c r="R36" i="18" s="1"/>
  <c r="Q35" i="18"/>
  <c r="R35" i="18" s="1"/>
  <c r="Q34" i="18"/>
  <c r="R34" i="18" s="1"/>
  <c r="Q33" i="18"/>
  <c r="R33" i="18" s="1"/>
  <c r="Q32" i="18"/>
  <c r="R32" i="18" s="1"/>
  <c r="Q31" i="18"/>
  <c r="R31" i="18" s="1"/>
  <c r="Q30" i="18"/>
  <c r="R30" i="18" s="1"/>
  <c r="Q29" i="18"/>
  <c r="R29" i="18" s="1"/>
  <c r="Q28" i="18"/>
  <c r="R28" i="18" s="1"/>
  <c r="Q27" i="18"/>
  <c r="R27" i="18" s="1"/>
  <c r="Q26" i="18"/>
  <c r="R26" i="18" s="1"/>
  <c r="Q25" i="18"/>
  <c r="R25" i="18" s="1"/>
  <c r="Q24" i="18"/>
  <c r="R24" i="18" s="1"/>
  <c r="Q23" i="18"/>
  <c r="R23" i="18" s="1"/>
  <c r="Q22" i="18"/>
  <c r="R22" i="18" s="1"/>
  <c r="Q21" i="18"/>
  <c r="R21" i="18" s="1"/>
  <c r="Q20" i="18"/>
  <c r="R20" i="18" s="1"/>
  <c r="Q19" i="18"/>
  <c r="R19" i="18" s="1"/>
  <c r="Q18" i="18"/>
  <c r="R18" i="18" s="1"/>
  <c r="Q17" i="18"/>
  <c r="R17" i="18" s="1"/>
  <c r="Q16" i="18"/>
  <c r="R16" i="18" s="1"/>
  <c r="Q15" i="18"/>
  <c r="R15" i="18" s="1"/>
  <c r="Q14" i="18"/>
  <c r="R14" i="18" s="1"/>
  <c r="Q13" i="18"/>
  <c r="R13" i="18" s="1"/>
  <c r="Q12" i="18"/>
  <c r="R12" i="18" s="1"/>
  <c r="Q11" i="18"/>
  <c r="R11" i="18" s="1"/>
  <c r="Q10" i="18"/>
  <c r="R10" i="18" s="1"/>
  <c r="Q9" i="18"/>
  <c r="R9" i="18" s="1"/>
  <c r="Q52" i="25" l="1"/>
  <c r="R52" i="25" s="1"/>
  <c r="Q51" i="25"/>
  <c r="R51" i="25" s="1"/>
  <c r="Q50" i="25"/>
  <c r="R50" i="25" s="1"/>
  <c r="Q49" i="25"/>
  <c r="R49" i="25" s="1"/>
  <c r="Q48" i="25"/>
  <c r="R48" i="25" s="1"/>
  <c r="Q47" i="25"/>
  <c r="R47" i="25" s="1"/>
  <c r="Q46" i="25"/>
  <c r="R46" i="25" s="1"/>
  <c r="Q45" i="25"/>
  <c r="R45" i="25" s="1"/>
  <c r="Q44" i="25"/>
  <c r="R44" i="25" s="1"/>
  <c r="Q43" i="25"/>
  <c r="R43" i="25" s="1"/>
  <c r="Q41" i="25"/>
  <c r="R41" i="25" s="1"/>
  <c r="Q40" i="25"/>
  <c r="R40" i="25" s="1"/>
  <c r="Q39" i="25"/>
  <c r="R39" i="25" s="1"/>
  <c r="Q38" i="25"/>
  <c r="R38" i="25" s="1"/>
  <c r="Q37" i="25"/>
  <c r="R37" i="25" s="1"/>
  <c r="Q36" i="25"/>
  <c r="R36" i="25" s="1"/>
  <c r="Q35" i="25"/>
  <c r="R35" i="25" s="1"/>
  <c r="Q34" i="25"/>
  <c r="R34" i="25" s="1"/>
  <c r="Q33" i="25"/>
  <c r="R33" i="25" s="1"/>
  <c r="Q32" i="25"/>
  <c r="R32" i="25" s="1"/>
  <c r="Q31" i="25"/>
  <c r="R31" i="25" s="1"/>
  <c r="Q30" i="25"/>
  <c r="R30" i="25" s="1"/>
  <c r="Q29" i="25"/>
  <c r="R29" i="25" s="1"/>
  <c r="Q28" i="25"/>
  <c r="R28" i="25" s="1"/>
  <c r="Q27" i="25"/>
  <c r="R27" i="25" s="1"/>
  <c r="Q26" i="25"/>
  <c r="R26" i="25" s="1"/>
  <c r="Q25" i="25"/>
  <c r="R25" i="25" s="1"/>
  <c r="Q24" i="25"/>
  <c r="R24" i="25" s="1"/>
  <c r="Q23" i="25"/>
  <c r="R23" i="25" s="1"/>
  <c r="Q22" i="25"/>
  <c r="R22" i="25" s="1"/>
  <c r="Q21" i="25"/>
  <c r="R21" i="25" s="1"/>
  <c r="Q20" i="25"/>
  <c r="R20" i="25" s="1"/>
  <c r="Q19" i="25"/>
  <c r="R19" i="25" s="1"/>
  <c r="Q18" i="25"/>
  <c r="R18" i="25" s="1"/>
  <c r="Q17" i="25"/>
  <c r="R17" i="25" s="1"/>
  <c r="Q16" i="25"/>
  <c r="R16" i="25" s="1"/>
  <c r="Q15" i="25"/>
  <c r="R15" i="25" s="1"/>
  <c r="Q14" i="25"/>
  <c r="R14" i="25" s="1"/>
  <c r="Q13" i="25"/>
  <c r="R13" i="25" s="1"/>
  <c r="Q12" i="25"/>
  <c r="R12" i="25" s="1"/>
  <c r="Q11" i="25"/>
  <c r="R11" i="25" s="1"/>
  <c r="Q10" i="25"/>
  <c r="R10" i="25" s="1"/>
  <c r="Q9" i="25"/>
  <c r="R9" i="25" s="1"/>
  <c r="Q52" i="22" l="1"/>
  <c r="R52" i="22" s="1"/>
  <c r="Q51" i="22"/>
  <c r="R51" i="22" s="1"/>
  <c r="Q50" i="22"/>
  <c r="R50" i="22" s="1"/>
  <c r="Q49" i="22"/>
  <c r="R49" i="22" s="1"/>
  <c r="Q48" i="22"/>
  <c r="R48" i="22" s="1"/>
  <c r="Q47" i="22"/>
  <c r="R47" i="22" s="1"/>
  <c r="Q46" i="22"/>
  <c r="R46" i="22" s="1"/>
  <c r="Q45" i="22"/>
  <c r="R45" i="22" s="1"/>
  <c r="Q44" i="22"/>
  <c r="R44" i="22" s="1"/>
  <c r="Q43" i="22"/>
  <c r="R43" i="22" s="1"/>
  <c r="Q41" i="22"/>
  <c r="R41" i="22" s="1"/>
  <c r="Q40" i="22"/>
  <c r="R40" i="22" s="1"/>
  <c r="Q39" i="22"/>
  <c r="R39" i="22" s="1"/>
  <c r="Q38" i="22"/>
  <c r="R38" i="22" s="1"/>
  <c r="Q37" i="22"/>
  <c r="R37" i="22" s="1"/>
  <c r="Q36" i="22"/>
  <c r="R36" i="22" s="1"/>
  <c r="Q35" i="22"/>
  <c r="R35" i="22" s="1"/>
  <c r="Q34" i="22"/>
  <c r="R34" i="22" s="1"/>
  <c r="Q33" i="22"/>
  <c r="R33" i="22" s="1"/>
  <c r="Q32" i="22"/>
  <c r="R32" i="22" s="1"/>
  <c r="Q31" i="22"/>
  <c r="R31" i="22" s="1"/>
  <c r="Q30" i="22"/>
  <c r="R30" i="22" s="1"/>
  <c r="Q29" i="22"/>
  <c r="R29" i="22" s="1"/>
  <c r="Q28" i="22"/>
  <c r="R28" i="22" s="1"/>
  <c r="Q27" i="22"/>
  <c r="R27" i="22" s="1"/>
  <c r="Q26" i="22"/>
  <c r="R26" i="22" s="1"/>
  <c r="Q25" i="22"/>
  <c r="R25" i="22" s="1"/>
  <c r="Q24" i="22"/>
  <c r="R24" i="22" s="1"/>
  <c r="Q23" i="22"/>
  <c r="R23" i="22" s="1"/>
  <c r="Q22" i="22"/>
  <c r="R22" i="22" s="1"/>
  <c r="Q21" i="22"/>
  <c r="R21" i="22" s="1"/>
  <c r="Q20" i="22"/>
  <c r="R20" i="22" s="1"/>
  <c r="Q19" i="22"/>
  <c r="R19" i="22" s="1"/>
  <c r="Q18" i="22"/>
  <c r="R18" i="22" s="1"/>
  <c r="Q17" i="22"/>
  <c r="R17" i="22" s="1"/>
  <c r="Q16" i="22"/>
  <c r="R16" i="22" s="1"/>
  <c r="Q15" i="22"/>
  <c r="R15" i="22" s="1"/>
  <c r="Q14" i="22"/>
  <c r="R14" i="22" s="1"/>
  <c r="Q13" i="22"/>
  <c r="R13" i="22" s="1"/>
  <c r="Q12" i="22"/>
  <c r="R12" i="22" s="1"/>
  <c r="Q11" i="22"/>
  <c r="R11" i="22" s="1"/>
  <c r="Q10" i="22"/>
  <c r="R10" i="22" s="1"/>
  <c r="Q9" i="22"/>
  <c r="R9" i="22" s="1"/>
  <c r="Q52" i="19" l="1"/>
  <c r="R52" i="19" s="1"/>
  <c r="Q51" i="19"/>
  <c r="R51" i="19" s="1"/>
  <c r="Q50" i="19"/>
  <c r="R50" i="19" s="1"/>
  <c r="Q49" i="19"/>
  <c r="R49" i="19" s="1"/>
  <c r="Q48" i="19"/>
  <c r="R48" i="19" s="1"/>
  <c r="Q47" i="19"/>
  <c r="R47" i="19" s="1"/>
  <c r="Q46" i="19"/>
  <c r="R46" i="19" s="1"/>
  <c r="Q45" i="19"/>
  <c r="R45" i="19" s="1"/>
  <c r="Q44" i="19"/>
  <c r="R44" i="19" s="1"/>
  <c r="Q43" i="19"/>
  <c r="R43" i="19" s="1"/>
  <c r="Q41" i="19"/>
  <c r="R41" i="19" s="1"/>
  <c r="Q40" i="19"/>
  <c r="R40" i="19" s="1"/>
  <c r="Q39" i="19"/>
  <c r="R39" i="19" s="1"/>
  <c r="Q38" i="19"/>
  <c r="R38" i="19" s="1"/>
  <c r="Q37" i="19"/>
  <c r="R37" i="19" s="1"/>
  <c r="Q36" i="19"/>
  <c r="R36" i="19" s="1"/>
  <c r="Q35" i="19"/>
  <c r="R35" i="19" s="1"/>
  <c r="Q34" i="19"/>
  <c r="R34" i="19" s="1"/>
  <c r="Q33" i="19"/>
  <c r="R33" i="19" s="1"/>
  <c r="Q32" i="19"/>
  <c r="R32" i="19" s="1"/>
  <c r="Q31" i="19"/>
  <c r="R31" i="19" s="1"/>
  <c r="Q30" i="19"/>
  <c r="R30" i="19" s="1"/>
  <c r="Q29" i="19"/>
  <c r="R29" i="19" s="1"/>
  <c r="Q28" i="19"/>
  <c r="R28" i="19" s="1"/>
  <c r="R27" i="19"/>
  <c r="Q26" i="19"/>
  <c r="R26" i="19" s="1"/>
  <c r="Q25" i="19"/>
  <c r="R25" i="19" s="1"/>
  <c r="Q24" i="19"/>
  <c r="R24" i="19" s="1"/>
  <c r="Q23" i="19"/>
  <c r="R23" i="19" s="1"/>
  <c r="Q22" i="19"/>
  <c r="R22" i="19" s="1"/>
  <c r="R21" i="19"/>
  <c r="Q20" i="19"/>
  <c r="R20" i="19" s="1"/>
  <c r="Q19" i="19"/>
  <c r="R19" i="19" s="1"/>
  <c r="Q18" i="19"/>
  <c r="R18" i="19" s="1"/>
  <c r="Q17" i="19"/>
  <c r="R17" i="19" s="1"/>
  <c r="Q16" i="19"/>
  <c r="R16" i="19" s="1"/>
  <c r="R15" i="19"/>
  <c r="Q14" i="19"/>
  <c r="R14" i="19" s="1"/>
  <c r="Q13" i="19"/>
  <c r="R13" i="19" s="1"/>
  <c r="Q12" i="19"/>
  <c r="R12" i="19" s="1"/>
  <c r="Q11" i="19"/>
  <c r="R11" i="19" s="1"/>
  <c r="Q10" i="19"/>
  <c r="R10" i="19" s="1"/>
  <c r="Q9" i="19"/>
  <c r="R9" i="19" s="1"/>
  <c r="Q52" i="20" l="1"/>
  <c r="R52" i="20" s="1"/>
  <c r="Q51" i="20"/>
  <c r="R51" i="20" s="1"/>
  <c r="Q50" i="20"/>
  <c r="R50" i="20" s="1"/>
  <c r="Q49" i="20"/>
  <c r="R49" i="20" s="1"/>
  <c r="Q48" i="20"/>
  <c r="R48" i="20" s="1"/>
  <c r="Q47" i="20"/>
  <c r="R47" i="20" s="1"/>
  <c r="Q46" i="20"/>
  <c r="R46" i="20" s="1"/>
  <c r="Q45" i="20"/>
  <c r="R45" i="20" s="1"/>
  <c r="Q44" i="20"/>
  <c r="R44" i="20" s="1"/>
  <c r="Q43" i="20"/>
  <c r="R43" i="20" s="1"/>
  <c r="Q41" i="20"/>
  <c r="R41" i="20" s="1"/>
  <c r="Q40" i="20"/>
  <c r="R40" i="20" s="1"/>
  <c r="Q39" i="20"/>
  <c r="R39" i="20" s="1"/>
  <c r="Q38" i="20"/>
  <c r="R38" i="20" s="1"/>
  <c r="Q37" i="20"/>
  <c r="R37" i="20" s="1"/>
  <c r="Q36" i="20"/>
  <c r="R36" i="20" s="1"/>
  <c r="Q35" i="20"/>
  <c r="R35" i="20" s="1"/>
  <c r="Q34" i="20"/>
  <c r="R34" i="20" s="1"/>
  <c r="Q33" i="20"/>
  <c r="R33" i="20" s="1"/>
  <c r="Q32" i="20"/>
  <c r="R32" i="20" s="1"/>
  <c r="Q31" i="20"/>
  <c r="R31" i="20" s="1"/>
  <c r="Q30" i="20"/>
  <c r="R30" i="20" s="1"/>
  <c r="Q29" i="20"/>
  <c r="R29" i="20" s="1"/>
  <c r="Q28" i="20"/>
  <c r="R28" i="20" s="1"/>
  <c r="Q27" i="20"/>
  <c r="R27" i="20" s="1"/>
  <c r="Q26" i="20"/>
  <c r="R26" i="20" s="1"/>
  <c r="Q25" i="20"/>
  <c r="R25" i="20" s="1"/>
  <c r="Q24" i="20"/>
  <c r="R24" i="20" s="1"/>
  <c r="Q23" i="20"/>
  <c r="R23" i="20" s="1"/>
  <c r="Q22" i="20"/>
  <c r="R22" i="20" s="1"/>
  <c r="Q21" i="20"/>
  <c r="R21" i="20" s="1"/>
  <c r="Q20" i="20"/>
  <c r="R20" i="20" s="1"/>
  <c r="Q19" i="20"/>
  <c r="R19" i="20" s="1"/>
  <c r="Q18" i="20"/>
  <c r="R18" i="20" s="1"/>
  <c r="Q17" i="20"/>
  <c r="R17" i="20" s="1"/>
  <c r="Q16" i="20"/>
  <c r="R16" i="20" s="1"/>
  <c r="Q15" i="20"/>
  <c r="R15" i="20" s="1"/>
  <c r="Q14" i="20"/>
  <c r="R14" i="20" s="1"/>
  <c r="Q13" i="20"/>
  <c r="R13" i="20" s="1"/>
  <c r="Q12" i="20"/>
  <c r="R12" i="20" s="1"/>
  <c r="Q11" i="20"/>
  <c r="R11" i="20" s="1"/>
  <c r="Q10" i="20"/>
  <c r="R10" i="20" s="1"/>
  <c r="Q9" i="20"/>
  <c r="R9" i="20" s="1"/>
  <c r="Q52" i="24" l="1"/>
  <c r="R52" i="24" s="1"/>
  <c r="Q51" i="24"/>
  <c r="R51" i="24" s="1"/>
  <c r="Q50" i="24"/>
  <c r="R50" i="24" s="1"/>
  <c r="Q49" i="24"/>
  <c r="R49" i="24" s="1"/>
  <c r="Q48" i="24"/>
  <c r="R48" i="24" s="1"/>
  <c r="Q47" i="24"/>
  <c r="R47" i="24" s="1"/>
  <c r="Q46" i="24"/>
  <c r="R46" i="24" s="1"/>
  <c r="Q45" i="24"/>
  <c r="R45" i="24" s="1"/>
  <c r="Q44" i="24"/>
  <c r="R44" i="24" s="1"/>
  <c r="Q43" i="24"/>
  <c r="R43" i="24" s="1"/>
  <c r="Q41" i="24"/>
  <c r="R41" i="24" s="1"/>
  <c r="Q40" i="24"/>
  <c r="R40" i="24" s="1"/>
  <c r="Q39" i="24"/>
  <c r="R39" i="24" s="1"/>
  <c r="Q38" i="24"/>
  <c r="R38" i="24" s="1"/>
  <c r="Q37" i="24"/>
  <c r="R37" i="24" s="1"/>
  <c r="Q36" i="24"/>
  <c r="R36" i="24" s="1"/>
  <c r="Q35" i="24"/>
  <c r="R35" i="24" s="1"/>
  <c r="Q34" i="24"/>
  <c r="R34" i="24" s="1"/>
  <c r="Q33" i="24"/>
  <c r="R33" i="24" s="1"/>
  <c r="Q32" i="24"/>
  <c r="R32" i="24" s="1"/>
  <c r="Q31" i="24"/>
  <c r="R31" i="24" s="1"/>
  <c r="Q30" i="24"/>
  <c r="R30" i="24" s="1"/>
  <c r="Q29" i="24"/>
  <c r="R29" i="24" s="1"/>
  <c r="Q28" i="24"/>
  <c r="R28" i="24" s="1"/>
  <c r="Q27" i="24"/>
  <c r="R27" i="24" s="1"/>
  <c r="Q26" i="24"/>
  <c r="R26" i="24" s="1"/>
  <c r="Q25" i="24"/>
  <c r="R25" i="24" s="1"/>
  <c r="Q24" i="24"/>
  <c r="R24" i="24" s="1"/>
  <c r="Q23" i="24"/>
  <c r="R23" i="24" s="1"/>
  <c r="Q22" i="24"/>
  <c r="R22" i="24" s="1"/>
  <c r="Q21" i="24"/>
  <c r="R21" i="24" s="1"/>
  <c r="Q20" i="24"/>
  <c r="R20" i="24" s="1"/>
  <c r="Q19" i="24"/>
  <c r="R19" i="24" s="1"/>
  <c r="Q18" i="24"/>
  <c r="R18" i="24" s="1"/>
  <c r="Q17" i="24"/>
  <c r="R17" i="24" s="1"/>
  <c r="Q16" i="24"/>
  <c r="R16" i="24" s="1"/>
  <c r="Q15" i="24"/>
  <c r="R15" i="24" s="1"/>
  <c r="Q14" i="24"/>
  <c r="R14" i="24" s="1"/>
  <c r="Q13" i="24"/>
  <c r="R13" i="24" s="1"/>
  <c r="Q12" i="24"/>
  <c r="R12" i="24" s="1"/>
  <c r="Q11" i="24"/>
  <c r="R11" i="24" s="1"/>
  <c r="Q10" i="24"/>
  <c r="R10" i="24" s="1"/>
  <c r="Q9" i="24"/>
  <c r="R9" i="24" s="1"/>
  <c r="Q52" i="16" l="1"/>
  <c r="R52" i="16" s="1"/>
  <c r="Q51" i="16"/>
  <c r="R51" i="16" s="1"/>
  <c r="Q50" i="16"/>
  <c r="R50" i="16" s="1"/>
  <c r="Q49" i="16"/>
  <c r="R49" i="16" s="1"/>
  <c r="Q48" i="16"/>
  <c r="R48" i="16" s="1"/>
  <c r="Q47" i="16"/>
  <c r="R47" i="16" s="1"/>
  <c r="Q46" i="16"/>
  <c r="R46" i="16" s="1"/>
  <c r="Q45" i="16"/>
  <c r="R45" i="16" s="1"/>
  <c r="Q44" i="16"/>
  <c r="R44" i="16" s="1"/>
  <c r="Q43" i="16"/>
  <c r="R43" i="16" s="1"/>
  <c r="Q41" i="16"/>
  <c r="R41" i="16" s="1"/>
  <c r="Q40" i="16"/>
  <c r="R40" i="16" s="1"/>
  <c r="Q39" i="16"/>
  <c r="R39" i="16" s="1"/>
  <c r="Q38" i="16"/>
  <c r="R38" i="16" s="1"/>
  <c r="Q37" i="16"/>
  <c r="R37" i="16" s="1"/>
  <c r="Q36" i="16"/>
  <c r="R36" i="16" s="1"/>
  <c r="Q35" i="16"/>
  <c r="R35" i="16" s="1"/>
  <c r="Q34" i="16"/>
  <c r="R34" i="16" s="1"/>
  <c r="Q33" i="16"/>
  <c r="R33" i="16" s="1"/>
  <c r="Q32" i="16"/>
  <c r="R32" i="16" s="1"/>
  <c r="Q31" i="16"/>
  <c r="R31" i="16" s="1"/>
  <c r="Q30" i="16"/>
  <c r="R30" i="16" s="1"/>
  <c r="Q29" i="16"/>
  <c r="R29" i="16" s="1"/>
  <c r="Q28" i="16"/>
  <c r="R28" i="16" s="1"/>
  <c r="Q27" i="16"/>
  <c r="R27" i="16" s="1"/>
  <c r="Q26" i="16"/>
  <c r="R26" i="16" s="1"/>
  <c r="Q25" i="16"/>
  <c r="R25" i="16" s="1"/>
  <c r="Q24" i="16"/>
  <c r="R24" i="16" s="1"/>
  <c r="Q23" i="16"/>
  <c r="R23" i="16" s="1"/>
  <c r="Q22" i="16"/>
  <c r="R22" i="16" s="1"/>
  <c r="Q21" i="16"/>
  <c r="R21" i="16" s="1"/>
  <c r="Q20" i="16"/>
  <c r="R20" i="16" s="1"/>
  <c r="Q19" i="16"/>
  <c r="R19" i="16" s="1"/>
  <c r="Q18" i="16"/>
  <c r="R18" i="16" s="1"/>
  <c r="Q17" i="16"/>
  <c r="R17" i="16" s="1"/>
  <c r="Q16" i="16"/>
  <c r="R16" i="16" s="1"/>
  <c r="Q15" i="16"/>
  <c r="R15" i="16" s="1"/>
  <c r="Q14" i="16"/>
  <c r="R14" i="16" s="1"/>
  <c r="Q13" i="16"/>
  <c r="R13" i="16" s="1"/>
  <c r="Q12" i="16"/>
  <c r="R12" i="16" s="1"/>
  <c r="Q11" i="16"/>
  <c r="R11" i="16" s="1"/>
  <c r="Q10" i="16"/>
  <c r="R10" i="16" s="1"/>
  <c r="Q9" i="16"/>
  <c r="R9" i="16" s="1"/>
  <c r="Q52" i="15" l="1"/>
  <c r="R52" i="15" s="1"/>
  <c r="Q51" i="15"/>
  <c r="R51" i="15" s="1"/>
  <c r="Q50" i="15"/>
  <c r="R50" i="15" s="1"/>
  <c r="Q49" i="15"/>
  <c r="R49" i="15" s="1"/>
  <c r="Q48" i="15"/>
  <c r="R48" i="15" s="1"/>
  <c r="Q47" i="15"/>
  <c r="R47" i="15" s="1"/>
  <c r="Q46" i="15"/>
  <c r="R46" i="15" s="1"/>
  <c r="Q45" i="15"/>
  <c r="R45" i="15" s="1"/>
  <c r="Q44" i="15"/>
  <c r="R44" i="15" s="1"/>
  <c r="Q43" i="15"/>
  <c r="R43" i="15" s="1"/>
  <c r="Q41" i="15"/>
  <c r="R41" i="15" s="1"/>
  <c r="Q40" i="15"/>
  <c r="R40" i="15" s="1"/>
  <c r="Q39" i="15"/>
  <c r="R39" i="15" s="1"/>
  <c r="Q38" i="15"/>
  <c r="R38" i="15" s="1"/>
  <c r="Q37" i="15"/>
  <c r="R37" i="15" s="1"/>
  <c r="Q36" i="15"/>
  <c r="R36" i="15" s="1"/>
  <c r="Q35" i="15"/>
  <c r="R35" i="15" s="1"/>
  <c r="Q34" i="15"/>
  <c r="R34" i="15" s="1"/>
  <c r="Q33" i="15"/>
  <c r="R33" i="15" s="1"/>
  <c r="Q32" i="15"/>
  <c r="R32" i="15" s="1"/>
  <c r="Q31" i="15"/>
  <c r="R31" i="15" s="1"/>
  <c r="Q30" i="15"/>
  <c r="R30" i="15" s="1"/>
  <c r="Q29" i="15"/>
  <c r="R29" i="15" s="1"/>
  <c r="Q28" i="15"/>
  <c r="R28" i="15" s="1"/>
  <c r="Q27" i="15"/>
  <c r="R27" i="15" s="1"/>
  <c r="Q26" i="15"/>
  <c r="R26" i="15" s="1"/>
  <c r="Q25" i="15"/>
  <c r="R25" i="15" s="1"/>
  <c r="Q24" i="15"/>
  <c r="R24" i="15" s="1"/>
  <c r="Q23" i="15"/>
  <c r="R23" i="15" s="1"/>
  <c r="Q22" i="15"/>
  <c r="R22" i="15" s="1"/>
  <c r="Q21" i="15"/>
  <c r="R21" i="15" s="1"/>
  <c r="Q20" i="15"/>
  <c r="R20" i="15" s="1"/>
  <c r="Q19" i="15"/>
  <c r="R19" i="15" s="1"/>
  <c r="Q18" i="15"/>
  <c r="R18" i="15" s="1"/>
  <c r="Q17" i="15"/>
  <c r="R17" i="15" s="1"/>
  <c r="Q16" i="15"/>
  <c r="R16" i="15" s="1"/>
  <c r="Q15" i="15"/>
  <c r="R15" i="15" s="1"/>
  <c r="Q14" i="15"/>
  <c r="R14" i="15" s="1"/>
  <c r="Q13" i="15"/>
  <c r="R13" i="15" s="1"/>
  <c r="Q12" i="15"/>
  <c r="R12" i="15" s="1"/>
  <c r="Q11" i="15"/>
  <c r="R11" i="15" s="1"/>
  <c r="Q10" i="15"/>
  <c r="R10" i="15" s="1"/>
  <c r="Q9" i="15"/>
  <c r="R9" i="15" s="1"/>
  <c r="H18" i="26" l="1"/>
  <c r="K18" i="26"/>
  <c r="N18" i="26"/>
  <c r="Q18" i="26"/>
  <c r="T18" i="26"/>
  <c r="W18" i="26"/>
  <c r="Z18" i="26"/>
  <c r="AC18" i="26"/>
  <c r="AF18" i="26"/>
  <c r="AI18" i="26"/>
  <c r="AL18" i="26"/>
  <c r="AO18" i="26"/>
  <c r="H19" i="26"/>
  <c r="K19" i="26"/>
  <c r="N19" i="26"/>
  <c r="Q19" i="26"/>
  <c r="T19" i="26"/>
  <c r="W19" i="26"/>
  <c r="Z19" i="26"/>
  <c r="AC19" i="26"/>
  <c r="AF19" i="26"/>
  <c r="AI19" i="26"/>
  <c r="AL19" i="26"/>
  <c r="AO19" i="26"/>
  <c r="H20" i="26"/>
  <c r="K20" i="26"/>
  <c r="N20" i="26"/>
  <c r="Q20" i="26"/>
  <c r="T20" i="26"/>
  <c r="W20" i="26"/>
  <c r="Z20" i="26"/>
  <c r="AC20" i="26"/>
  <c r="AF20" i="26"/>
  <c r="AI20" i="26"/>
  <c r="AL20" i="26"/>
  <c r="AO20" i="26"/>
  <c r="H21" i="26"/>
  <c r="K21" i="26"/>
  <c r="N21" i="26"/>
  <c r="Q21" i="26"/>
  <c r="T21" i="26"/>
  <c r="W21" i="26"/>
  <c r="Z21" i="26"/>
  <c r="AC21" i="26"/>
  <c r="AF21" i="26"/>
  <c r="AI21" i="26"/>
  <c r="AL21" i="26"/>
  <c r="AO21" i="26"/>
  <c r="H22" i="26"/>
  <c r="K22" i="26"/>
  <c r="N22" i="26"/>
  <c r="Q22" i="26"/>
  <c r="T22" i="26"/>
  <c r="W22" i="26"/>
  <c r="Z22" i="26"/>
  <c r="AC22" i="26"/>
  <c r="AF22" i="26"/>
  <c r="AI22" i="26"/>
  <c r="AL22" i="26"/>
  <c r="AO22" i="26"/>
  <c r="H23" i="26"/>
  <c r="K23" i="26"/>
  <c r="N23" i="26"/>
  <c r="Q23" i="26"/>
  <c r="T23" i="26"/>
  <c r="W23" i="26"/>
  <c r="Z23" i="26"/>
  <c r="AC23" i="26"/>
  <c r="AF23" i="26"/>
  <c r="AI23" i="26"/>
  <c r="AL23" i="26"/>
  <c r="AO23" i="26"/>
  <c r="H24" i="26"/>
  <c r="K24" i="26"/>
  <c r="N24" i="26"/>
  <c r="Q24" i="26"/>
  <c r="T24" i="26"/>
  <c r="W24" i="26"/>
  <c r="Z24" i="26"/>
  <c r="AC24" i="26"/>
  <c r="AF24" i="26"/>
  <c r="AI24" i="26"/>
  <c r="AL24" i="26"/>
  <c r="AO24" i="26"/>
  <c r="H25" i="26"/>
  <c r="K25" i="26"/>
  <c r="N25" i="26"/>
  <c r="Q25" i="26"/>
  <c r="T25" i="26"/>
  <c r="W25" i="26"/>
  <c r="Z25" i="26"/>
  <c r="AC25" i="26"/>
  <c r="AF25" i="26"/>
  <c r="AI25" i="26"/>
  <c r="AL25" i="26"/>
  <c r="AO25" i="26"/>
  <c r="H26" i="26"/>
  <c r="K26" i="26"/>
  <c r="N26" i="26"/>
  <c r="Q26" i="26"/>
  <c r="T26" i="26"/>
  <c r="W26" i="26"/>
  <c r="Z26" i="26"/>
  <c r="AC26" i="26"/>
  <c r="AF26" i="26"/>
  <c r="AI26" i="26"/>
  <c r="AL26" i="26"/>
  <c r="AO26" i="26"/>
  <c r="H27" i="26"/>
  <c r="K27" i="26"/>
  <c r="N27" i="26"/>
  <c r="Q27" i="26"/>
  <c r="T27" i="26"/>
  <c r="W27" i="26"/>
  <c r="Z27" i="26"/>
  <c r="AC27" i="26"/>
  <c r="AF27" i="26"/>
  <c r="AI27" i="26"/>
  <c r="AL27" i="26"/>
  <c r="AO27" i="26"/>
  <c r="H28" i="26"/>
  <c r="K28" i="26"/>
  <c r="N28" i="26"/>
  <c r="Q28" i="26"/>
  <c r="T28" i="26"/>
  <c r="W28" i="26"/>
  <c r="Z28" i="26"/>
  <c r="AC28" i="26"/>
  <c r="AF28" i="26"/>
  <c r="AI28" i="26"/>
  <c r="AL28" i="26"/>
  <c r="AO28" i="26"/>
  <c r="H29" i="26"/>
  <c r="K29" i="26"/>
  <c r="N29" i="26"/>
  <c r="Q29" i="26"/>
  <c r="T29" i="26"/>
  <c r="W29" i="26"/>
  <c r="Z29" i="26"/>
  <c r="AC29" i="26"/>
  <c r="AF29" i="26"/>
  <c r="AI29" i="26"/>
  <c r="AL29" i="26"/>
  <c r="AO29" i="26"/>
  <c r="H30" i="26"/>
  <c r="K30" i="26"/>
  <c r="N30" i="26"/>
  <c r="Q30" i="26"/>
  <c r="T30" i="26"/>
  <c r="W30" i="26"/>
  <c r="Z30" i="26"/>
  <c r="AC30" i="26"/>
  <c r="AF30" i="26"/>
  <c r="AI30" i="26"/>
  <c r="AL30" i="26"/>
  <c r="AO30" i="26"/>
  <c r="H31" i="26"/>
  <c r="K31" i="26"/>
  <c r="N31" i="26"/>
  <c r="Q31" i="26"/>
  <c r="T31" i="26"/>
  <c r="W31" i="26"/>
  <c r="Z31" i="26"/>
  <c r="AC31" i="26"/>
  <c r="AF31" i="26"/>
  <c r="AI31" i="26"/>
  <c r="AL31" i="26"/>
  <c r="AO31" i="26"/>
  <c r="H32" i="26"/>
  <c r="K32" i="26"/>
  <c r="N32" i="26"/>
  <c r="Q32" i="26"/>
  <c r="T32" i="26"/>
  <c r="W32" i="26"/>
  <c r="Z32" i="26"/>
  <c r="AC32" i="26"/>
  <c r="AF32" i="26"/>
  <c r="AI32" i="26"/>
  <c r="AL32" i="26"/>
  <c r="AO32" i="26"/>
  <c r="H33" i="26"/>
  <c r="K33" i="26"/>
  <c r="N33" i="26"/>
  <c r="Q33" i="26"/>
  <c r="T33" i="26"/>
  <c r="W33" i="26"/>
  <c r="Z33" i="26"/>
  <c r="AC33" i="26"/>
  <c r="AF33" i="26"/>
  <c r="AI33" i="26"/>
  <c r="AL33" i="26"/>
  <c r="AO33" i="26"/>
  <c r="H34" i="26"/>
  <c r="K34" i="26"/>
  <c r="N34" i="26"/>
  <c r="Q34" i="26"/>
  <c r="T34" i="26"/>
  <c r="W34" i="26"/>
  <c r="Z34" i="26"/>
  <c r="AC34" i="26"/>
  <c r="AF34" i="26"/>
  <c r="AI34" i="26"/>
  <c r="AL34" i="26"/>
  <c r="AO34" i="26"/>
  <c r="H35" i="26"/>
  <c r="K35" i="26"/>
  <c r="N35" i="26"/>
  <c r="Q35" i="26"/>
  <c r="T35" i="26"/>
  <c r="W35" i="26"/>
  <c r="Z35" i="26"/>
  <c r="AC35" i="26"/>
  <c r="AF35" i="26"/>
  <c r="AI35" i="26"/>
  <c r="AL35" i="26"/>
  <c r="AO35" i="26"/>
  <c r="H36" i="26"/>
  <c r="K36" i="26"/>
  <c r="N36" i="26"/>
  <c r="Q36" i="26"/>
  <c r="T36" i="26"/>
  <c r="W36" i="26"/>
  <c r="Z36" i="26"/>
  <c r="AC36" i="26"/>
  <c r="AF36" i="26"/>
  <c r="AI36" i="26"/>
  <c r="AL36" i="26"/>
  <c r="AO36" i="26"/>
  <c r="H37" i="26"/>
  <c r="K37" i="26"/>
  <c r="N37" i="26"/>
  <c r="Q37" i="26"/>
  <c r="T37" i="26"/>
  <c r="W37" i="26"/>
  <c r="Z37" i="26"/>
  <c r="AC37" i="26"/>
  <c r="AF37" i="26"/>
  <c r="AI37" i="26"/>
  <c r="AL37" i="26"/>
  <c r="AO37" i="26"/>
  <c r="H38" i="26"/>
  <c r="K38" i="26"/>
  <c r="N38" i="26"/>
  <c r="Q38" i="26"/>
  <c r="T38" i="26"/>
  <c r="W38" i="26"/>
  <c r="Z38" i="26"/>
  <c r="AC38" i="26"/>
  <c r="AF38" i="26"/>
  <c r="AI38" i="26"/>
  <c r="AL38" i="26"/>
  <c r="AO38" i="26"/>
  <c r="H39" i="26"/>
  <c r="K39" i="26"/>
  <c r="N39" i="26"/>
  <c r="Q39" i="26"/>
  <c r="T39" i="26"/>
  <c r="W39" i="26"/>
  <c r="Z39" i="26"/>
  <c r="AC39" i="26"/>
  <c r="AF39" i="26"/>
  <c r="AI39" i="26"/>
  <c r="AL39" i="26"/>
  <c r="AO39" i="26"/>
  <c r="H40" i="26"/>
  <c r="K40" i="26"/>
  <c r="N40" i="26"/>
  <c r="Q40" i="26"/>
  <c r="T40" i="26"/>
  <c r="W40" i="26"/>
  <c r="Z40" i="26"/>
  <c r="AC40" i="26"/>
  <c r="AF40" i="26"/>
  <c r="AI40" i="26"/>
  <c r="AL40" i="26"/>
  <c r="AO40" i="26"/>
  <c r="H41" i="26"/>
  <c r="K41" i="26"/>
  <c r="N41" i="26"/>
  <c r="Q41" i="26"/>
  <c r="T41" i="26"/>
  <c r="W41" i="26"/>
  <c r="Z41" i="26"/>
  <c r="AC41" i="26"/>
  <c r="AF41" i="26"/>
  <c r="AI41" i="26"/>
  <c r="AL41" i="26"/>
  <c r="AO41" i="26"/>
  <c r="H42" i="26"/>
  <c r="K42" i="26"/>
  <c r="N42" i="26"/>
  <c r="Q42" i="26"/>
  <c r="T42" i="26"/>
  <c r="W42" i="26"/>
  <c r="Z42" i="26"/>
  <c r="AC42" i="26"/>
  <c r="AF42" i="26"/>
  <c r="AI42" i="26"/>
  <c r="AL42" i="26"/>
  <c r="AO42" i="26"/>
  <c r="H43" i="26"/>
  <c r="K43" i="26"/>
  <c r="N43" i="26"/>
  <c r="Q43" i="26"/>
  <c r="T43" i="26"/>
  <c r="W43" i="26"/>
  <c r="Z43" i="26"/>
  <c r="AC43" i="26"/>
  <c r="AF43" i="26"/>
  <c r="AI43" i="26"/>
  <c r="AL43" i="26"/>
  <c r="AO43" i="26"/>
  <c r="H44" i="26"/>
  <c r="K44" i="26"/>
  <c r="N44" i="26"/>
  <c r="Q44" i="26"/>
  <c r="T44" i="26"/>
  <c r="W44" i="26"/>
  <c r="Z44" i="26"/>
  <c r="AC44" i="26"/>
  <c r="AF44" i="26"/>
  <c r="AI44" i="26"/>
  <c r="AL44" i="26"/>
  <c r="AO44" i="26"/>
  <c r="H45" i="26"/>
  <c r="K45" i="26"/>
  <c r="N45" i="26"/>
  <c r="Q45" i="26"/>
  <c r="T45" i="26"/>
  <c r="W45" i="26"/>
  <c r="Z45" i="26"/>
  <c r="AC45" i="26"/>
  <c r="AF45" i="26"/>
  <c r="AI45" i="26"/>
  <c r="AL45" i="26"/>
  <c r="AO45" i="26"/>
  <c r="H46" i="26"/>
  <c r="K46" i="26"/>
  <c r="N46" i="26"/>
  <c r="Q46" i="26"/>
  <c r="T46" i="26"/>
  <c r="W46" i="26"/>
  <c r="Z46" i="26"/>
  <c r="AC46" i="26"/>
  <c r="AF46" i="26"/>
  <c r="AI46" i="26"/>
  <c r="AL46" i="26"/>
  <c r="AO46" i="26"/>
  <c r="H47" i="26"/>
  <c r="K47" i="26"/>
  <c r="N47" i="26"/>
  <c r="Q47" i="26"/>
  <c r="T47" i="26"/>
  <c r="W47" i="26"/>
  <c r="Z47" i="26"/>
  <c r="AC47" i="26"/>
  <c r="AF47" i="26"/>
  <c r="AI47" i="26"/>
  <c r="AL47" i="26"/>
  <c r="AO47" i="26"/>
  <c r="H48" i="26"/>
  <c r="K48" i="26"/>
  <c r="N48" i="26"/>
  <c r="Q48" i="26"/>
  <c r="T48" i="26"/>
  <c r="W48" i="26"/>
  <c r="Z48" i="26"/>
  <c r="AC48" i="26"/>
  <c r="AF48" i="26"/>
  <c r="AI48" i="26"/>
  <c r="AL48" i="26"/>
  <c r="AO48" i="26"/>
  <c r="H49" i="26"/>
  <c r="K49" i="26"/>
  <c r="N49" i="26"/>
  <c r="Q49" i="26"/>
  <c r="T49" i="26"/>
  <c r="W49" i="26"/>
  <c r="Z49" i="26"/>
  <c r="AC49" i="26"/>
  <c r="AF49" i="26"/>
  <c r="AI49" i="26"/>
  <c r="AL49" i="26"/>
  <c r="AO49" i="26"/>
  <c r="H51" i="26"/>
  <c r="K51" i="26"/>
  <c r="N51" i="26"/>
  <c r="Q51" i="26"/>
  <c r="T51" i="26"/>
  <c r="W51" i="26"/>
  <c r="Z51" i="26"/>
  <c r="AC51" i="26"/>
  <c r="AF51" i="26"/>
  <c r="AI51" i="26"/>
  <c r="AL51" i="26"/>
  <c r="AO51" i="26"/>
  <c r="H52" i="26"/>
  <c r="K52" i="26"/>
  <c r="N52" i="26"/>
  <c r="Q52" i="26"/>
  <c r="T52" i="26"/>
  <c r="W52" i="26"/>
  <c r="Z52" i="26"/>
  <c r="AC52" i="26"/>
  <c r="AF52" i="26"/>
  <c r="AI52" i="26"/>
  <c r="AL52" i="26"/>
  <c r="AO52" i="26"/>
  <c r="H53" i="26"/>
  <c r="K53" i="26"/>
  <c r="N53" i="26"/>
  <c r="Q53" i="26"/>
  <c r="T53" i="26"/>
  <c r="W53" i="26"/>
  <c r="Z53" i="26"/>
  <c r="AC53" i="26"/>
  <c r="AF53" i="26"/>
  <c r="AI53" i="26"/>
  <c r="AL53" i="26"/>
  <c r="AO53" i="26"/>
  <c r="H54" i="26"/>
  <c r="K54" i="26"/>
  <c r="N54" i="26"/>
  <c r="Q54" i="26"/>
  <c r="T54" i="26"/>
  <c r="W54" i="26"/>
  <c r="Z54" i="26"/>
  <c r="AC54" i="26"/>
  <c r="AF54" i="26"/>
  <c r="AI54" i="26"/>
  <c r="AL54" i="26"/>
  <c r="AO54" i="26"/>
  <c r="H55" i="26"/>
  <c r="K55" i="26"/>
  <c r="N55" i="26"/>
  <c r="Q55" i="26"/>
  <c r="T55" i="26"/>
  <c r="W55" i="26"/>
  <c r="Z55" i="26"/>
  <c r="AC55" i="26"/>
  <c r="AF55" i="26"/>
  <c r="AI55" i="26"/>
  <c r="AL55" i="26"/>
  <c r="AO55" i="26"/>
  <c r="H56" i="26"/>
  <c r="K56" i="26"/>
  <c r="N56" i="26"/>
  <c r="Q56" i="26"/>
  <c r="T56" i="26"/>
  <c r="W56" i="26"/>
  <c r="Z56" i="26"/>
  <c r="AC56" i="26"/>
  <c r="AF56" i="26"/>
  <c r="AI56" i="26"/>
  <c r="AL56" i="26"/>
  <c r="AO56" i="26"/>
  <c r="H57" i="26"/>
  <c r="K57" i="26"/>
  <c r="N57" i="26"/>
  <c r="Q57" i="26"/>
  <c r="T57" i="26"/>
  <c r="W57" i="26"/>
  <c r="Z57" i="26"/>
  <c r="AC57" i="26"/>
  <c r="AF57" i="26"/>
  <c r="AI57" i="26"/>
  <c r="AL57" i="26"/>
  <c r="AO57" i="26"/>
  <c r="H58" i="26"/>
  <c r="K58" i="26"/>
  <c r="N58" i="26"/>
  <c r="Q58" i="26"/>
  <c r="T58" i="26"/>
  <c r="W58" i="26"/>
  <c r="Z58" i="26"/>
  <c r="AC58" i="26"/>
  <c r="AF58" i="26"/>
  <c r="AI58" i="26"/>
  <c r="AL58" i="26"/>
  <c r="AO58" i="26"/>
  <c r="H59" i="26"/>
  <c r="K59" i="26"/>
  <c r="N59" i="26"/>
  <c r="Q59" i="26"/>
  <c r="T59" i="26"/>
  <c r="W59" i="26"/>
  <c r="Z59" i="26"/>
  <c r="AC59" i="26"/>
  <c r="AF59" i="26"/>
  <c r="AI59" i="26"/>
  <c r="AL59" i="26"/>
  <c r="AO59" i="26"/>
  <c r="H60" i="26"/>
  <c r="K60" i="26"/>
  <c r="N60" i="26"/>
  <c r="Q60" i="26"/>
  <c r="T60" i="26"/>
  <c r="W60" i="26"/>
  <c r="Z60" i="26"/>
  <c r="AC60" i="26"/>
  <c r="AF60" i="26"/>
  <c r="AI60" i="26"/>
  <c r="AL60" i="26"/>
  <c r="AO60" i="26"/>
  <c r="X49" i="18" l="1"/>
  <c r="X50" i="18"/>
  <c r="Y50" i="18" s="1"/>
  <c r="X51" i="18"/>
  <c r="X49" i="19"/>
  <c r="X50" i="19"/>
  <c r="X51" i="19"/>
  <c r="X49" i="15"/>
  <c r="X50" i="15"/>
  <c r="X51" i="15"/>
  <c r="X49" i="20"/>
  <c r="X50" i="20"/>
  <c r="X51" i="20"/>
  <c r="Y51" i="20" s="1"/>
  <c r="X49" i="21"/>
  <c r="X50" i="21"/>
  <c r="X51" i="21"/>
  <c r="Q49" i="23"/>
  <c r="X49" i="23"/>
  <c r="Q50" i="23"/>
  <c r="X50" i="23"/>
  <c r="Q51" i="23"/>
  <c r="X51" i="23"/>
  <c r="X49" i="16"/>
  <c r="X50" i="16"/>
  <c r="Y50" i="16" s="1"/>
  <c r="X51" i="16"/>
  <c r="Y51" i="16" s="1"/>
  <c r="Q49" i="17"/>
  <c r="X49" i="17"/>
  <c r="Q50" i="17"/>
  <c r="X50" i="17"/>
  <c r="Q51" i="17"/>
  <c r="X51" i="17"/>
  <c r="X49" i="22"/>
  <c r="X50" i="22"/>
  <c r="Y50" i="22" s="1"/>
  <c r="X51" i="22"/>
  <c r="Y51" i="22" s="1"/>
  <c r="X49" i="24"/>
  <c r="X50" i="24"/>
  <c r="X51" i="24"/>
  <c r="X49" i="25"/>
  <c r="Y49" i="25" s="1"/>
  <c r="X50" i="25"/>
  <c r="Y50" i="25" s="1"/>
  <c r="X51" i="25"/>
  <c r="Q49" i="2"/>
  <c r="X49" i="2"/>
  <c r="Q50" i="2"/>
  <c r="X50" i="2"/>
  <c r="Q51" i="2"/>
  <c r="X51" i="2"/>
  <c r="Y51" i="2" l="1"/>
  <c r="Y50" i="2"/>
  <c r="Y51" i="17"/>
  <c r="Z51" i="17" s="1"/>
  <c r="Y51" i="23"/>
  <c r="Z51" i="23" s="1"/>
  <c r="Y49" i="2"/>
  <c r="Z49" i="2" s="1"/>
  <c r="Y49" i="23"/>
  <c r="Z49" i="23" s="1"/>
  <c r="Z50" i="18"/>
  <c r="Z50" i="25"/>
  <c r="Z49" i="25"/>
  <c r="Z51" i="22"/>
  <c r="Z50" i="22"/>
  <c r="Z51" i="20"/>
  <c r="Z50" i="2"/>
  <c r="Z51" i="2"/>
  <c r="Z51" i="16"/>
  <c r="Z50" i="16"/>
  <c r="Y51" i="18"/>
  <c r="Y50" i="20"/>
  <c r="Y49" i="20"/>
  <c r="Y50" i="19"/>
  <c r="Y49" i="19"/>
  <c r="Y51" i="19"/>
  <c r="R50" i="17"/>
  <c r="Y49" i="17"/>
  <c r="R49" i="17"/>
  <c r="R51" i="17"/>
  <c r="R50" i="23"/>
  <c r="R49" i="23"/>
  <c r="R51" i="23"/>
  <c r="Y49" i="21"/>
  <c r="Y51" i="21"/>
  <c r="Y50" i="21"/>
  <c r="R49" i="2"/>
  <c r="R51" i="2"/>
  <c r="R50" i="2"/>
  <c r="Y49" i="24"/>
  <c r="Y49" i="16"/>
  <c r="Y50" i="15"/>
  <c r="Y50" i="24"/>
  <c r="Y51" i="24"/>
  <c r="Y50" i="17"/>
  <c r="Y49" i="15"/>
  <c r="Y51" i="25"/>
  <c r="Y49" i="22"/>
  <c r="Y50" i="23"/>
  <c r="Y51" i="15"/>
  <c r="Y49" i="18"/>
  <c r="X41" i="18"/>
  <c r="X43" i="18"/>
  <c r="X41" i="19"/>
  <c r="X43" i="19"/>
  <c r="X41" i="15"/>
  <c r="X43" i="15"/>
  <c r="X41" i="20"/>
  <c r="X43" i="20"/>
  <c r="X41" i="21"/>
  <c r="X43" i="21"/>
  <c r="Q41" i="23"/>
  <c r="X41" i="23"/>
  <c r="Q43" i="23"/>
  <c r="X43" i="23"/>
  <c r="X41" i="16"/>
  <c r="X43" i="16"/>
  <c r="Q41" i="17"/>
  <c r="X41" i="17"/>
  <c r="Q43" i="17"/>
  <c r="X43" i="17"/>
  <c r="X41" i="22"/>
  <c r="X43" i="22"/>
  <c r="X41" i="24"/>
  <c r="Y41" i="24" s="1"/>
  <c r="X43" i="24"/>
  <c r="X41" i="25"/>
  <c r="X43" i="25"/>
  <c r="Y43" i="25" s="1"/>
  <c r="Q41" i="2"/>
  <c r="X41" i="2"/>
  <c r="Q43" i="2"/>
  <c r="X43" i="2"/>
  <c r="Z50" i="21" l="1"/>
  <c r="Z51" i="21"/>
  <c r="Z49" i="21"/>
  <c r="Z51" i="18"/>
  <c r="Z49" i="18"/>
  <c r="Z43" i="25"/>
  <c r="Z51" i="25"/>
  <c r="Z49" i="22"/>
  <c r="Z51" i="19"/>
  <c r="Z49" i="19"/>
  <c r="Z50" i="19"/>
  <c r="Z49" i="20"/>
  <c r="Z50" i="20"/>
  <c r="Z50" i="23"/>
  <c r="Z49" i="17"/>
  <c r="Z50" i="17"/>
  <c r="Z41" i="24"/>
  <c r="Z51" i="24"/>
  <c r="Z50" i="24"/>
  <c r="Z49" i="24"/>
  <c r="Z49" i="16"/>
  <c r="Z49" i="15"/>
  <c r="Z51" i="15"/>
  <c r="Z50" i="15"/>
  <c r="R43" i="17"/>
  <c r="R41" i="17"/>
  <c r="R43" i="23"/>
  <c r="R41" i="23"/>
  <c r="R41" i="2"/>
  <c r="R43" i="2"/>
  <c r="Y41" i="15"/>
  <c r="Y41" i="20"/>
  <c r="Z41" i="20" s="1"/>
  <c r="Y41" i="25"/>
  <c r="Y41" i="2"/>
  <c r="Y43" i="15"/>
  <c r="Y41" i="17"/>
  <c r="Y43" i="16"/>
  <c r="Y41" i="16"/>
  <c r="Y43" i="2"/>
  <c r="Y43" i="17"/>
  <c r="Y43" i="20"/>
  <c r="Y41" i="22"/>
  <c r="Y41" i="21"/>
  <c r="Y41" i="18"/>
  <c r="Y43" i="22"/>
  <c r="Y43" i="21"/>
  <c r="Y43" i="18"/>
  <c r="Y41" i="23"/>
  <c r="Y41" i="19"/>
  <c r="Y43" i="24"/>
  <c r="Y43" i="23"/>
  <c r="Y43" i="19"/>
  <c r="X44" i="18"/>
  <c r="X45" i="18"/>
  <c r="X46" i="18"/>
  <c r="X44" i="19"/>
  <c r="X45" i="19"/>
  <c r="X46" i="19"/>
  <c r="X44" i="15"/>
  <c r="Y44" i="15" s="1"/>
  <c r="X45" i="15"/>
  <c r="X46" i="15"/>
  <c r="X44" i="20"/>
  <c r="X45" i="20"/>
  <c r="X46" i="20"/>
  <c r="X44" i="21"/>
  <c r="X45" i="21"/>
  <c r="X46" i="21"/>
  <c r="Q44" i="23"/>
  <c r="X44" i="23"/>
  <c r="Q45" i="23"/>
  <c r="X45" i="23"/>
  <c r="Q46" i="23"/>
  <c r="X46" i="23"/>
  <c r="X44" i="16"/>
  <c r="X45" i="16"/>
  <c r="X46" i="16"/>
  <c r="Q44" i="17"/>
  <c r="X44" i="17"/>
  <c r="Q45" i="17"/>
  <c r="X45" i="17"/>
  <c r="Q46" i="17"/>
  <c r="R46" i="17" s="1"/>
  <c r="X46" i="17"/>
  <c r="X44" i="22"/>
  <c r="X45" i="22"/>
  <c r="X46" i="22"/>
  <c r="X44" i="24"/>
  <c r="X45" i="24"/>
  <c r="X46" i="24"/>
  <c r="X44" i="25"/>
  <c r="Y44" i="25" s="1"/>
  <c r="X45" i="25"/>
  <c r="X46" i="25"/>
  <c r="Q44" i="2"/>
  <c r="X44" i="2"/>
  <c r="Q45" i="2"/>
  <c r="X45" i="2"/>
  <c r="Q46" i="2"/>
  <c r="X46" i="2"/>
  <c r="Z41" i="21" l="1"/>
  <c r="Z43" i="21"/>
  <c r="Z43" i="18"/>
  <c r="Z41" i="18"/>
  <c r="Z44" i="25"/>
  <c r="Z41" i="25"/>
  <c r="Z43" i="22"/>
  <c r="Z41" i="22"/>
  <c r="Z43" i="19"/>
  <c r="Z41" i="19"/>
  <c r="Z43" i="20"/>
  <c r="Z43" i="23"/>
  <c r="Z41" i="23"/>
  <c r="Z41" i="17"/>
  <c r="Z43" i="17"/>
  <c r="Z43" i="2"/>
  <c r="Z41" i="2"/>
  <c r="Z43" i="24"/>
  <c r="Z41" i="16"/>
  <c r="Z43" i="16"/>
  <c r="Z44" i="15"/>
  <c r="Z41" i="15"/>
  <c r="Z43" i="15"/>
  <c r="Y46" i="19"/>
  <c r="R45" i="17"/>
  <c r="R44" i="17"/>
  <c r="R45" i="23"/>
  <c r="R44" i="23"/>
  <c r="R46" i="23"/>
  <c r="Y46" i="21"/>
  <c r="R44" i="2"/>
  <c r="R46" i="2"/>
  <c r="R45" i="2"/>
  <c r="Y45" i="15"/>
  <c r="Y46" i="18"/>
  <c r="Y45" i="25"/>
  <c r="Y45" i="19"/>
  <c r="Y44" i="24"/>
  <c r="Y45" i="24"/>
  <c r="Y46" i="24"/>
  <c r="Y44" i="17"/>
  <c r="Y46" i="17"/>
  <c r="Y45" i="17"/>
  <c r="Y44" i="23"/>
  <c r="AQ49" i="26"/>
  <c r="Y44" i="21"/>
  <c r="Y45" i="21"/>
  <c r="Y44" i="16"/>
  <c r="Y46" i="16"/>
  <c r="AQ53" i="26"/>
  <c r="Y46" i="25"/>
  <c r="Y44" i="22"/>
  <c r="Y45" i="23"/>
  <c r="Y46" i="15"/>
  <c r="Y44" i="18"/>
  <c r="Y44" i="2"/>
  <c r="Y44" i="20"/>
  <c r="Y45" i="18"/>
  <c r="Y46" i="22"/>
  <c r="Y45" i="20"/>
  <c r="Y45" i="2"/>
  <c r="Y46" i="2"/>
  <c r="Y45" i="16"/>
  <c r="Y46" i="20"/>
  <c r="Y44" i="19"/>
  <c r="Y45" i="22"/>
  <c r="Y46" i="23"/>
  <c r="Z46" i="21" l="1"/>
  <c r="Z44" i="21"/>
  <c r="Z45" i="21"/>
  <c r="Z44" i="18"/>
  <c r="Z46" i="18"/>
  <c r="Z45" i="18"/>
  <c r="Z45" i="25"/>
  <c r="Z46" i="25"/>
  <c r="Z44" i="22"/>
  <c r="Z46" i="22"/>
  <c r="Z45" i="22"/>
  <c r="Z45" i="19"/>
  <c r="Z46" i="19"/>
  <c r="Z44" i="19"/>
  <c r="Z45" i="20"/>
  <c r="Z46" i="20"/>
  <c r="Z44" i="20"/>
  <c r="Z45" i="23"/>
  <c r="Z44" i="23"/>
  <c r="Z46" i="23"/>
  <c r="Z44" i="17"/>
  <c r="Z45" i="17"/>
  <c r="Z46" i="17"/>
  <c r="Z44" i="2"/>
  <c r="Z46" i="2"/>
  <c r="Z45" i="2"/>
  <c r="Z44" i="24"/>
  <c r="Z46" i="24"/>
  <c r="Z45" i="24"/>
  <c r="Z46" i="16"/>
  <c r="Z44" i="16"/>
  <c r="Z45" i="16"/>
  <c r="Z45" i="15"/>
  <c r="Z46" i="15"/>
  <c r="AQ52" i="26"/>
  <c r="AQ51" i="26"/>
  <c r="Q52" i="17"/>
  <c r="Q48" i="17"/>
  <c r="Q47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4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52" i="23"/>
  <c r="Q48" i="23"/>
  <c r="Q47" i="23"/>
  <c r="Q40" i="23"/>
  <c r="Q39" i="23"/>
  <c r="Q38" i="23"/>
  <c r="Q37" i="23"/>
  <c r="Q36" i="23"/>
  <c r="Q35" i="23"/>
  <c r="Q34" i="23"/>
  <c r="Q33" i="23"/>
  <c r="Q32" i="23"/>
  <c r="Q31" i="23"/>
  <c r="Q30" i="23"/>
  <c r="Q29" i="23"/>
  <c r="Q28" i="23"/>
  <c r="Q27" i="23"/>
  <c r="Q26" i="23"/>
  <c r="Q25" i="23"/>
  <c r="Q24" i="23"/>
  <c r="Q23" i="23"/>
  <c r="Q22" i="23"/>
  <c r="Q21" i="23"/>
  <c r="Q20" i="23"/>
  <c r="Q19" i="23"/>
  <c r="Q18" i="23"/>
  <c r="Q17" i="23"/>
  <c r="Q16" i="23"/>
  <c r="Q15" i="23"/>
  <c r="Q14" i="23"/>
  <c r="Q13" i="23"/>
  <c r="Q12" i="23"/>
  <c r="Q11" i="23"/>
  <c r="Q10" i="23"/>
  <c r="Q9" i="23"/>
  <c r="R14" i="17" l="1"/>
  <c r="R15" i="17"/>
  <c r="R23" i="17"/>
  <c r="R31" i="17"/>
  <c r="R39" i="17"/>
  <c r="R22" i="17"/>
  <c r="R38" i="17"/>
  <c r="R16" i="17"/>
  <c r="R24" i="17"/>
  <c r="R32" i="17"/>
  <c r="R40" i="17"/>
  <c r="R30" i="17"/>
  <c r="R9" i="17"/>
  <c r="R17" i="17"/>
  <c r="R25" i="17"/>
  <c r="R33" i="17"/>
  <c r="R47" i="17"/>
  <c r="R52" i="17"/>
  <c r="R18" i="17"/>
  <c r="R34" i="17"/>
  <c r="R48" i="17"/>
  <c r="R10" i="17"/>
  <c r="R26" i="17"/>
  <c r="R11" i="17"/>
  <c r="R19" i="17"/>
  <c r="R27" i="17"/>
  <c r="R35" i="17"/>
  <c r="R20" i="17"/>
  <c r="R36" i="17"/>
  <c r="R12" i="17"/>
  <c r="R28" i="17"/>
  <c r="R13" i="17"/>
  <c r="R21" i="17"/>
  <c r="R29" i="17"/>
  <c r="R37" i="17"/>
  <c r="R9" i="23"/>
  <c r="R17" i="23"/>
  <c r="R25" i="23"/>
  <c r="R33" i="23"/>
  <c r="R47" i="23"/>
  <c r="R52" i="23"/>
  <c r="R32" i="23"/>
  <c r="R10" i="23"/>
  <c r="R18" i="23"/>
  <c r="R26" i="23"/>
  <c r="R34" i="23"/>
  <c r="R48" i="23"/>
  <c r="R24" i="23"/>
  <c r="R11" i="23"/>
  <c r="R19" i="23"/>
  <c r="R27" i="23"/>
  <c r="R35" i="23"/>
  <c r="R16" i="23"/>
  <c r="R12" i="23"/>
  <c r="R20" i="23"/>
  <c r="R28" i="23"/>
  <c r="R36" i="23"/>
  <c r="R13" i="23"/>
  <c r="R21" i="23"/>
  <c r="R29" i="23"/>
  <c r="R37" i="23"/>
  <c r="R40" i="23"/>
  <c r="R14" i="23"/>
  <c r="R22" i="23"/>
  <c r="R30" i="23"/>
  <c r="R38" i="23"/>
  <c r="R15" i="23"/>
  <c r="R23" i="23"/>
  <c r="R31" i="23"/>
  <c r="R39" i="23"/>
  <c r="Q52" i="2" l="1"/>
  <c r="Q48" i="2"/>
  <c r="Q4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R9" i="2" l="1"/>
  <c r="R47" i="2"/>
  <c r="R52" i="2"/>
  <c r="R10" i="2"/>
  <c r="R18" i="2"/>
  <c r="R26" i="2"/>
  <c r="R34" i="2"/>
  <c r="R48" i="2"/>
  <c r="R32" i="2"/>
  <c r="R11" i="2"/>
  <c r="R19" i="2"/>
  <c r="R27" i="2"/>
  <c r="R35" i="2"/>
  <c r="R40" i="2"/>
  <c r="R24" i="2"/>
  <c r="R33" i="2"/>
  <c r="R28" i="2"/>
  <c r="R13" i="2"/>
  <c r="R21" i="2"/>
  <c r="R29" i="2"/>
  <c r="R37" i="2"/>
  <c r="R17" i="2"/>
  <c r="R20" i="2"/>
  <c r="R36" i="2"/>
  <c r="R14" i="2"/>
  <c r="R22" i="2"/>
  <c r="R30" i="2"/>
  <c r="R38" i="2"/>
  <c r="R16" i="2"/>
  <c r="R25" i="2"/>
  <c r="R12" i="2"/>
  <c r="R15" i="2"/>
  <c r="R23" i="2"/>
  <c r="R31" i="2"/>
  <c r="R39" i="2"/>
  <c r="AQ58" i="26" l="1"/>
  <c r="AQ59" i="26"/>
  <c r="AQ57" i="26"/>
  <c r="AQ54" i="26"/>
  <c r="AO17" i="26"/>
  <c r="Z17" i="26"/>
  <c r="AC17" i="26" l="1"/>
  <c r="AI17" i="26"/>
  <c r="Q17" i="26" l="1"/>
  <c r="K17" i="26" l="1"/>
  <c r="T17" i="26" l="1"/>
  <c r="W17" i="26" l="1"/>
  <c r="AL17" i="26" l="1"/>
  <c r="AF17" i="26" l="1"/>
  <c r="AQ60" i="26" l="1"/>
  <c r="N17" i="26"/>
  <c r="BA17" i="26" l="1"/>
  <c r="AZ17" i="26"/>
  <c r="AY17" i="26"/>
  <c r="AX17" i="26"/>
  <c r="AW17" i="26"/>
  <c r="AV17" i="26"/>
  <c r="AU17" i="26"/>
  <c r="AT17" i="26"/>
  <c r="AM12" i="26"/>
  <c r="AM11" i="26"/>
  <c r="AZ18" i="26" l="1"/>
  <c r="AT18" i="26"/>
  <c r="AX18" i="26"/>
  <c r="AM10" i="26"/>
  <c r="AV18" i="26"/>
  <c r="X52" i="25"/>
  <c r="Y52" i="25" s="1"/>
  <c r="X48" i="25"/>
  <c r="Y48" i="25" s="1"/>
  <c r="X47" i="25"/>
  <c r="X40" i="25"/>
  <c r="X39" i="25"/>
  <c r="X38" i="25"/>
  <c r="X37" i="25"/>
  <c r="X36" i="25"/>
  <c r="X35" i="25"/>
  <c r="Y35" i="25" s="1"/>
  <c r="X34" i="25"/>
  <c r="X33" i="25"/>
  <c r="Y33" i="25" s="1"/>
  <c r="X32" i="25"/>
  <c r="X31" i="25"/>
  <c r="X30" i="25"/>
  <c r="X29" i="25"/>
  <c r="X28" i="25"/>
  <c r="X27" i="25"/>
  <c r="Y27" i="25" s="1"/>
  <c r="X26" i="25"/>
  <c r="X25" i="25"/>
  <c r="Y25" i="25" s="1"/>
  <c r="X24" i="25"/>
  <c r="X23" i="25"/>
  <c r="X22" i="25"/>
  <c r="X21" i="25"/>
  <c r="X20" i="25"/>
  <c r="X19" i="25"/>
  <c r="Y19" i="25" s="1"/>
  <c r="X18" i="25"/>
  <c r="X17" i="25"/>
  <c r="Y17" i="25" s="1"/>
  <c r="X16" i="25"/>
  <c r="X15" i="25"/>
  <c r="X14" i="25"/>
  <c r="X13" i="25"/>
  <c r="X12" i="25"/>
  <c r="X11" i="25"/>
  <c r="X10" i="25"/>
  <c r="X9" i="25"/>
  <c r="Z27" i="25" l="1"/>
  <c r="Z19" i="25"/>
  <c r="Z48" i="25"/>
  <c r="Z33" i="25"/>
  <c r="Z52" i="25"/>
  <c r="Z25" i="25"/>
  <c r="Z17" i="25"/>
  <c r="Z35" i="25"/>
  <c r="Y11" i="25"/>
  <c r="Y15" i="25"/>
  <c r="Y18" i="25"/>
  <c r="Y23" i="25"/>
  <c r="Y26" i="25"/>
  <c r="Y31" i="25"/>
  <c r="Y34" i="25"/>
  <c r="Y39" i="25"/>
  <c r="Y47" i="25"/>
  <c r="Y16" i="25"/>
  <c r="Y21" i="25"/>
  <c r="Y24" i="25"/>
  <c r="Y29" i="25"/>
  <c r="Y32" i="25"/>
  <c r="Y37" i="25"/>
  <c r="Y40" i="25"/>
  <c r="Y9" i="25"/>
  <c r="Y13" i="25"/>
  <c r="Y14" i="25"/>
  <c r="Y22" i="25"/>
  <c r="Y30" i="25"/>
  <c r="Y38" i="25"/>
  <c r="Y10" i="25"/>
  <c r="Y12" i="25"/>
  <c r="Y20" i="25"/>
  <c r="Y28" i="25"/>
  <c r="Y36" i="25"/>
  <c r="X52" i="24"/>
  <c r="X48" i="24"/>
  <c r="X47" i="24"/>
  <c r="X40" i="24"/>
  <c r="X39" i="24"/>
  <c r="X38" i="24"/>
  <c r="X37" i="24"/>
  <c r="X36" i="24"/>
  <c r="X35" i="24"/>
  <c r="X34" i="24"/>
  <c r="X33" i="24"/>
  <c r="X32" i="24"/>
  <c r="X31" i="24"/>
  <c r="X30" i="24"/>
  <c r="X29" i="24"/>
  <c r="X28" i="24"/>
  <c r="X27" i="24"/>
  <c r="X26" i="24"/>
  <c r="X25" i="24"/>
  <c r="X24" i="24"/>
  <c r="X23" i="24"/>
  <c r="X22" i="24"/>
  <c r="X21" i="24"/>
  <c r="X20" i="24"/>
  <c r="X19" i="24"/>
  <c r="X18" i="24"/>
  <c r="X17" i="24"/>
  <c r="X16" i="24"/>
  <c r="X15" i="24"/>
  <c r="X14" i="24"/>
  <c r="X13" i="24"/>
  <c r="X12" i="24"/>
  <c r="X11" i="24"/>
  <c r="X10" i="24"/>
  <c r="X9" i="24"/>
  <c r="X52" i="23"/>
  <c r="X48" i="23"/>
  <c r="X47" i="23"/>
  <c r="X40" i="23"/>
  <c r="X39" i="23"/>
  <c r="X38" i="23"/>
  <c r="X37" i="23"/>
  <c r="X36" i="23"/>
  <c r="X35" i="23"/>
  <c r="X34" i="23"/>
  <c r="X33" i="23"/>
  <c r="X32" i="23"/>
  <c r="X31" i="23"/>
  <c r="X30" i="23"/>
  <c r="X29" i="23"/>
  <c r="X28" i="23"/>
  <c r="X27" i="23"/>
  <c r="X26" i="23"/>
  <c r="X25" i="23"/>
  <c r="X24" i="23"/>
  <c r="X23" i="23"/>
  <c r="X22" i="23"/>
  <c r="X21" i="23"/>
  <c r="X20" i="23"/>
  <c r="X19" i="23"/>
  <c r="X18" i="23"/>
  <c r="X17" i="23"/>
  <c r="X16" i="23"/>
  <c r="X15" i="23"/>
  <c r="X14" i="23"/>
  <c r="X13" i="23"/>
  <c r="X12" i="23"/>
  <c r="X11" i="23"/>
  <c r="X10" i="23"/>
  <c r="X9" i="23"/>
  <c r="X52" i="22"/>
  <c r="X48" i="22"/>
  <c r="X47" i="22"/>
  <c r="X40" i="22"/>
  <c r="X39" i="22"/>
  <c r="X38" i="22"/>
  <c r="X37" i="22"/>
  <c r="X36" i="22"/>
  <c r="X35" i="22"/>
  <c r="X34" i="22"/>
  <c r="X33" i="22"/>
  <c r="X32" i="22"/>
  <c r="X31" i="22"/>
  <c r="X30" i="22"/>
  <c r="X29" i="22"/>
  <c r="X28" i="22"/>
  <c r="X27" i="22"/>
  <c r="X26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X11" i="22"/>
  <c r="X10" i="22"/>
  <c r="X9" i="22"/>
  <c r="X52" i="21"/>
  <c r="X48" i="21"/>
  <c r="X47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52" i="20"/>
  <c r="X48" i="20"/>
  <c r="X47" i="20"/>
  <c r="Y47" i="20" s="1"/>
  <c r="Z47" i="20" s="1"/>
  <c r="X40" i="20"/>
  <c r="X39" i="20"/>
  <c r="X38" i="20"/>
  <c r="X37" i="20"/>
  <c r="X36" i="20"/>
  <c r="X35" i="20"/>
  <c r="X34" i="20"/>
  <c r="X33" i="20"/>
  <c r="X32" i="20"/>
  <c r="X31" i="20"/>
  <c r="X30" i="20"/>
  <c r="X29" i="20"/>
  <c r="X28" i="20"/>
  <c r="X27" i="20"/>
  <c r="X26" i="20"/>
  <c r="X25" i="20"/>
  <c r="X24" i="20"/>
  <c r="X23" i="20"/>
  <c r="X22" i="20"/>
  <c r="X21" i="20"/>
  <c r="X20" i="20"/>
  <c r="X19" i="20"/>
  <c r="X18" i="20"/>
  <c r="X17" i="20"/>
  <c r="X16" i="20"/>
  <c r="X15" i="20"/>
  <c r="X14" i="20"/>
  <c r="X13" i="20"/>
  <c r="X12" i="20"/>
  <c r="X11" i="20"/>
  <c r="X10" i="20"/>
  <c r="X9" i="20"/>
  <c r="X52" i="19"/>
  <c r="X48" i="19"/>
  <c r="X47" i="19"/>
  <c r="X40" i="19"/>
  <c r="X39" i="19"/>
  <c r="X38" i="19"/>
  <c r="X37" i="19"/>
  <c r="X36" i="19"/>
  <c r="X35" i="19"/>
  <c r="X34" i="19"/>
  <c r="X33" i="19"/>
  <c r="X32" i="19"/>
  <c r="X31" i="19"/>
  <c r="X30" i="19"/>
  <c r="X29" i="19"/>
  <c r="X28" i="19"/>
  <c r="X27" i="19"/>
  <c r="X26" i="19"/>
  <c r="X25" i="19"/>
  <c r="X24" i="19"/>
  <c r="X23" i="19"/>
  <c r="X22" i="19"/>
  <c r="X21" i="19"/>
  <c r="X20" i="19"/>
  <c r="X19" i="19"/>
  <c r="X18" i="19"/>
  <c r="X17" i="19"/>
  <c r="X16" i="19"/>
  <c r="X15" i="19"/>
  <c r="X14" i="19"/>
  <c r="X13" i="19"/>
  <c r="X12" i="19"/>
  <c r="X11" i="19"/>
  <c r="X10" i="19"/>
  <c r="X9" i="19"/>
  <c r="X52" i="18"/>
  <c r="X48" i="18"/>
  <c r="X47" i="18"/>
  <c r="X40" i="18"/>
  <c r="X39" i="18"/>
  <c r="X38" i="18"/>
  <c r="X37" i="18"/>
  <c r="X36" i="18"/>
  <c r="X35" i="18"/>
  <c r="X34" i="18"/>
  <c r="X33" i="18"/>
  <c r="X32" i="18"/>
  <c r="X31" i="18"/>
  <c r="X30" i="18"/>
  <c r="X29" i="18"/>
  <c r="X28" i="18"/>
  <c r="X27" i="18"/>
  <c r="X26" i="18"/>
  <c r="X25" i="18"/>
  <c r="X24" i="18"/>
  <c r="X23" i="18"/>
  <c r="X22" i="18"/>
  <c r="X21" i="18"/>
  <c r="X20" i="18"/>
  <c r="X19" i="18"/>
  <c r="X18" i="18"/>
  <c r="X17" i="18"/>
  <c r="X16" i="18"/>
  <c r="X15" i="18"/>
  <c r="X14" i="18"/>
  <c r="X13" i="18"/>
  <c r="X12" i="18"/>
  <c r="X11" i="18"/>
  <c r="X10" i="18"/>
  <c r="X9" i="18"/>
  <c r="X52" i="17"/>
  <c r="X48" i="17"/>
  <c r="X47" i="17"/>
  <c r="X40" i="17"/>
  <c r="X39" i="17"/>
  <c r="X38" i="17"/>
  <c r="X37" i="17"/>
  <c r="X36" i="17"/>
  <c r="X35" i="17"/>
  <c r="X34" i="17"/>
  <c r="X33" i="17"/>
  <c r="X32" i="17"/>
  <c r="X31" i="17"/>
  <c r="X30" i="17"/>
  <c r="X29" i="17"/>
  <c r="X28" i="17"/>
  <c r="X27" i="17"/>
  <c r="X26" i="17"/>
  <c r="X25" i="17"/>
  <c r="X24" i="17"/>
  <c r="X23" i="17"/>
  <c r="X22" i="17"/>
  <c r="X21" i="17"/>
  <c r="X20" i="17"/>
  <c r="X19" i="17"/>
  <c r="X18" i="17"/>
  <c r="X17" i="17"/>
  <c r="X16" i="17"/>
  <c r="X15" i="17"/>
  <c r="X14" i="17"/>
  <c r="X13" i="17"/>
  <c r="X12" i="17"/>
  <c r="X11" i="17"/>
  <c r="X10" i="17"/>
  <c r="X9" i="17"/>
  <c r="X52" i="16"/>
  <c r="X48" i="16"/>
  <c r="X47" i="16"/>
  <c r="X40" i="16"/>
  <c r="X39" i="16"/>
  <c r="X38" i="16"/>
  <c r="X37" i="16"/>
  <c r="X36" i="16"/>
  <c r="X35" i="16"/>
  <c r="X34" i="16"/>
  <c r="X33" i="16"/>
  <c r="X32" i="16"/>
  <c r="X31" i="16"/>
  <c r="X30" i="16"/>
  <c r="X29" i="16"/>
  <c r="X28" i="16"/>
  <c r="X27" i="16"/>
  <c r="X26" i="16"/>
  <c r="X25" i="16"/>
  <c r="X24" i="16"/>
  <c r="X23" i="16"/>
  <c r="X22" i="16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52" i="15"/>
  <c r="X48" i="15"/>
  <c r="X47" i="15"/>
  <c r="X40" i="15"/>
  <c r="X39" i="15"/>
  <c r="X38" i="15"/>
  <c r="X37" i="15"/>
  <c r="X36" i="15"/>
  <c r="X35" i="15"/>
  <c r="X34" i="15"/>
  <c r="X33" i="15"/>
  <c r="X32" i="15"/>
  <c r="X31" i="15"/>
  <c r="X30" i="15"/>
  <c r="X29" i="15"/>
  <c r="X28" i="15"/>
  <c r="X27" i="15"/>
  <c r="X26" i="15"/>
  <c r="X25" i="15"/>
  <c r="X24" i="15"/>
  <c r="X23" i="15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Z12" i="25" l="1"/>
  <c r="Z22" i="25"/>
  <c r="Z9" i="25"/>
  <c r="Z15" i="25"/>
  <c r="Z10" i="25"/>
  <c r="Z14" i="25"/>
  <c r="Z29" i="25"/>
  <c r="Z31" i="25"/>
  <c r="Z11" i="25"/>
  <c r="Z32" i="25"/>
  <c r="Z36" i="25"/>
  <c r="Z34" i="25"/>
  <c r="Z38" i="25"/>
  <c r="Z24" i="25"/>
  <c r="Z26" i="25"/>
  <c r="Z28" i="25"/>
  <c r="Z21" i="25"/>
  <c r="Z23" i="25"/>
  <c r="Z30" i="25"/>
  <c r="Z13" i="25"/>
  <c r="Z40" i="25"/>
  <c r="Z47" i="25"/>
  <c r="Z20" i="25"/>
  <c r="Z37" i="25"/>
  <c r="Z16" i="25"/>
  <c r="Z39" i="25"/>
  <c r="Z18" i="25"/>
  <c r="Y14" i="19"/>
  <c r="Y22" i="19"/>
  <c r="Y30" i="19"/>
  <c r="Y38" i="19"/>
  <c r="Y15" i="18"/>
  <c r="Y23" i="18"/>
  <c r="Y31" i="18"/>
  <c r="Y39" i="18"/>
  <c r="Y10" i="18"/>
  <c r="Y10" i="15"/>
  <c r="Y39" i="22"/>
  <c r="Y15" i="16"/>
  <c r="Y23" i="16"/>
  <c r="Y31" i="16"/>
  <c r="Y39" i="16"/>
  <c r="Y10" i="19"/>
  <c r="Y12" i="20"/>
  <c r="Y19" i="21"/>
  <c r="Y27" i="21"/>
  <c r="Y35" i="21"/>
  <c r="Y48" i="21"/>
  <c r="Y11" i="22"/>
  <c r="Y18" i="22"/>
  <c r="Y26" i="22"/>
  <c r="Y11" i="24"/>
  <c r="Y14" i="24"/>
  <c r="Y17" i="24"/>
  <c r="Y22" i="24"/>
  <c r="Y25" i="24"/>
  <c r="Y30" i="24"/>
  <c r="Y33" i="24"/>
  <c r="Y38" i="24"/>
  <c r="Y20" i="20"/>
  <c r="Y10" i="23"/>
  <c r="Y11" i="17"/>
  <c r="Y18" i="17"/>
  <c r="Y34" i="22"/>
  <c r="Y47" i="22"/>
  <c r="Y13" i="19"/>
  <c r="Y21" i="19"/>
  <c r="Y29" i="19"/>
  <c r="Y13" i="23"/>
  <c r="Y21" i="23"/>
  <c r="Y29" i="23"/>
  <c r="Y13" i="24"/>
  <c r="Y18" i="24"/>
  <c r="Y21" i="24"/>
  <c r="Y26" i="24"/>
  <c r="Y29" i="24"/>
  <c r="Y34" i="24"/>
  <c r="Y37" i="24"/>
  <c r="Y47" i="24"/>
  <c r="Y52" i="15"/>
  <c r="Y9" i="16"/>
  <c r="Y52" i="18"/>
  <c r="Y26" i="20"/>
  <c r="Y34" i="20"/>
  <c r="Y14" i="16"/>
  <c r="Y22" i="16"/>
  <c r="Y30" i="16"/>
  <c r="Y38" i="16"/>
  <c r="Y52" i="17"/>
  <c r="Y9" i="24"/>
  <c r="Y14" i="15"/>
  <c r="Y22" i="15"/>
  <c r="Y30" i="15"/>
  <c r="Y38" i="15"/>
  <c r="Y13" i="16"/>
  <c r="Y21" i="16"/>
  <c r="Y29" i="16"/>
  <c r="Y37" i="16"/>
  <c r="Y22" i="17"/>
  <c r="Y30" i="17"/>
  <c r="Y38" i="17"/>
  <c r="Y13" i="18"/>
  <c r="Y21" i="18"/>
  <c r="Y29" i="18"/>
  <c r="Y37" i="18"/>
  <c r="Y15" i="19"/>
  <c r="Y20" i="19"/>
  <c r="Y23" i="19"/>
  <c r="Y28" i="19"/>
  <c r="Y31" i="19"/>
  <c r="Y36" i="19"/>
  <c r="Y39" i="19"/>
  <c r="Y9" i="20"/>
  <c r="Y16" i="23"/>
  <c r="Y19" i="23"/>
  <c r="Y24" i="23"/>
  <c r="Y27" i="23"/>
  <c r="Y28" i="17"/>
  <c r="Y36" i="17"/>
  <c r="Y18" i="19"/>
  <c r="Y26" i="19"/>
  <c r="Y22" i="20"/>
  <c r="Y30" i="20"/>
  <c r="Y38" i="20"/>
  <c r="Y9" i="21"/>
  <c r="Y12" i="18"/>
  <c r="Y20" i="18"/>
  <c r="Y28" i="18"/>
  <c r="Y36" i="18"/>
  <c r="Y11" i="15"/>
  <c r="Y18" i="15"/>
  <c r="Y26" i="15"/>
  <c r="Y34" i="15"/>
  <c r="Y47" i="15"/>
  <c r="Y9" i="17"/>
  <c r="Y19" i="17"/>
  <c r="Y27" i="17"/>
  <c r="Y35" i="17"/>
  <c r="Y48" i="17"/>
  <c r="Y9" i="15"/>
  <c r="Y11" i="23"/>
  <c r="Y18" i="23"/>
  <c r="Y26" i="23"/>
  <c r="Y13" i="15"/>
  <c r="Y21" i="15"/>
  <c r="Y29" i="15"/>
  <c r="Y37" i="15"/>
  <c r="Y25" i="17"/>
  <c r="Y33" i="17"/>
  <c r="Y19" i="20"/>
  <c r="Y27" i="20"/>
  <c r="Y35" i="20"/>
  <c r="Y48" i="20"/>
  <c r="Y11" i="21"/>
  <c r="Y18" i="21"/>
  <c r="Y26" i="21"/>
  <c r="Y34" i="21"/>
  <c r="Y47" i="21"/>
  <c r="Y17" i="22"/>
  <c r="Y25" i="22"/>
  <c r="Y33" i="22"/>
  <c r="Y52" i="22"/>
  <c r="Y9" i="23"/>
  <c r="Y12" i="24"/>
  <c r="Y20" i="24"/>
  <c r="Y28" i="24"/>
  <c r="Y36" i="24"/>
  <c r="Y16" i="15"/>
  <c r="Y24" i="15"/>
  <c r="Y32" i="15"/>
  <c r="Y40" i="15"/>
  <c r="Y12" i="16"/>
  <c r="Y20" i="16"/>
  <c r="Y28" i="16"/>
  <c r="Y36" i="16"/>
  <c r="Y16" i="17"/>
  <c r="Y26" i="17"/>
  <c r="Y34" i="17"/>
  <c r="Y47" i="17"/>
  <c r="Y19" i="18"/>
  <c r="Y27" i="18"/>
  <c r="Y35" i="18"/>
  <c r="Y48" i="18"/>
  <c r="Y34" i="19"/>
  <c r="Y37" i="19"/>
  <c r="Y47" i="19"/>
  <c r="Y10" i="20"/>
  <c r="Y17" i="20"/>
  <c r="Y25" i="20"/>
  <c r="Y33" i="20"/>
  <c r="Y16" i="21"/>
  <c r="Y24" i="21"/>
  <c r="Y32" i="21"/>
  <c r="Y40" i="21"/>
  <c r="Y15" i="22"/>
  <c r="Y23" i="22"/>
  <c r="Y31" i="22"/>
  <c r="Y32" i="23"/>
  <c r="Y35" i="23"/>
  <c r="Y40" i="23"/>
  <c r="Y48" i="23"/>
  <c r="Y9" i="19"/>
  <c r="Y11" i="16"/>
  <c r="Y18" i="16"/>
  <c r="Y26" i="16"/>
  <c r="Y34" i="16"/>
  <c r="Y47" i="16"/>
  <c r="Y14" i="17"/>
  <c r="Y24" i="17"/>
  <c r="Y32" i="17"/>
  <c r="Y40" i="17"/>
  <c r="Y17" i="18"/>
  <c r="Y25" i="18"/>
  <c r="Y33" i="18"/>
  <c r="Y16" i="19"/>
  <c r="Y19" i="19"/>
  <c r="Y24" i="19"/>
  <c r="Y27" i="19"/>
  <c r="Y32" i="19"/>
  <c r="Y35" i="19"/>
  <c r="Y40" i="19"/>
  <c r="Y48" i="19"/>
  <c r="Y15" i="20"/>
  <c r="Y23" i="20"/>
  <c r="Y31" i="20"/>
  <c r="Y39" i="20"/>
  <c r="Y52" i="20"/>
  <c r="Y14" i="21"/>
  <c r="Y22" i="21"/>
  <c r="Y30" i="21"/>
  <c r="Y38" i="21"/>
  <c r="Y13" i="22"/>
  <c r="Y21" i="22"/>
  <c r="Y29" i="22"/>
  <c r="Y37" i="22"/>
  <c r="Y14" i="23"/>
  <c r="Y17" i="23"/>
  <c r="Y22" i="23"/>
  <c r="Y25" i="23"/>
  <c r="Y30" i="23"/>
  <c r="Y33" i="23"/>
  <c r="Y38" i="23"/>
  <c r="Y19" i="15"/>
  <c r="Y27" i="15"/>
  <c r="Y35" i="15"/>
  <c r="Y48" i="15"/>
  <c r="Y10" i="17"/>
  <c r="Y17" i="17"/>
  <c r="Y9" i="18"/>
  <c r="Y11" i="18"/>
  <c r="Y18" i="18"/>
  <c r="Y26" i="18"/>
  <c r="Y34" i="18"/>
  <c r="Y47" i="18"/>
  <c r="Y11" i="20"/>
  <c r="Y18" i="20"/>
  <c r="Y28" i="20"/>
  <c r="Y36" i="20"/>
  <c r="Y17" i="21"/>
  <c r="Y25" i="21"/>
  <c r="Y33" i="21"/>
  <c r="Y52" i="21"/>
  <c r="Y16" i="22"/>
  <c r="Y24" i="22"/>
  <c r="Y32" i="22"/>
  <c r="Y40" i="22"/>
  <c r="Y52" i="23"/>
  <c r="Y16" i="24"/>
  <c r="Y19" i="24"/>
  <c r="Y24" i="24"/>
  <c r="Y27" i="24"/>
  <c r="Y32" i="24"/>
  <c r="Y35" i="24"/>
  <c r="Y40" i="24"/>
  <c r="Y48" i="24"/>
  <c r="Y12" i="15"/>
  <c r="Y20" i="15"/>
  <c r="Y28" i="15"/>
  <c r="Y36" i="15"/>
  <c r="Y16" i="16"/>
  <c r="Y24" i="16"/>
  <c r="Y32" i="16"/>
  <c r="Y40" i="16"/>
  <c r="Y12" i="17"/>
  <c r="Y20" i="17"/>
  <c r="Y17" i="19"/>
  <c r="Y25" i="19"/>
  <c r="Y33" i="19"/>
  <c r="Y13" i="20"/>
  <c r="Y21" i="20"/>
  <c r="Y29" i="20"/>
  <c r="Y37" i="20"/>
  <c r="Y10" i="21"/>
  <c r="Y12" i="21"/>
  <c r="Y20" i="21"/>
  <c r="Y28" i="21"/>
  <c r="Y36" i="21"/>
  <c r="Y9" i="22"/>
  <c r="Y19" i="22"/>
  <c r="Y27" i="22"/>
  <c r="Y35" i="22"/>
  <c r="Y48" i="22"/>
  <c r="Y12" i="23"/>
  <c r="Y15" i="23"/>
  <c r="Y20" i="23"/>
  <c r="Y23" i="23"/>
  <c r="Y28" i="23"/>
  <c r="Y31" i="23"/>
  <c r="Y36" i="23"/>
  <c r="Y39" i="23"/>
  <c r="Y17" i="15"/>
  <c r="Y25" i="15"/>
  <c r="Y33" i="15"/>
  <c r="Y19" i="16"/>
  <c r="Y27" i="16"/>
  <c r="Y35" i="16"/>
  <c r="Y48" i="16"/>
  <c r="Y15" i="17"/>
  <c r="Y23" i="17"/>
  <c r="Y31" i="17"/>
  <c r="Y39" i="17"/>
  <c r="Y16" i="18"/>
  <c r="Y24" i="18"/>
  <c r="Y32" i="18"/>
  <c r="Y40" i="18"/>
  <c r="Y12" i="19"/>
  <c r="Y52" i="19"/>
  <c r="Y16" i="20"/>
  <c r="Y15" i="21"/>
  <c r="Y23" i="21"/>
  <c r="Y31" i="21"/>
  <c r="Y39" i="21"/>
  <c r="Y14" i="22"/>
  <c r="Y22" i="22"/>
  <c r="Y30" i="22"/>
  <c r="Y38" i="22"/>
  <c r="Y34" i="23"/>
  <c r="Y37" i="23"/>
  <c r="Y47" i="23"/>
  <c r="Y10" i="24"/>
  <c r="Y52" i="24"/>
  <c r="Y15" i="15"/>
  <c r="Y23" i="15"/>
  <c r="Y31" i="15"/>
  <c r="Y39" i="15"/>
  <c r="Y10" i="16"/>
  <c r="Y17" i="16"/>
  <c r="Y25" i="16"/>
  <c r="Y33" i="16"/>
  <c r="Y52" i="16"/>
  <c r="Y13" i="17"/>
  <c r="Y21" i="17"/>
  <c r="Y29" i="17"/>
  <c r="Y37" i="17"/>
  <c r="Y14" i="18"/>
  <c r="Y22" i="18"/>
  <c r="Y30" i="18"/>
  <c r="Y38" i="18"/>
  <c r="Y11" i="19"/>
  <c r="Y14" i="20"/>
  <c r="Y24" i="20"/>
  <c r="Y32" i="20"/>
  <c r="Y40" i="20"/>
  <c r="Y13" i="21"/>
  <c r="Y21" i="21"/>
  <c r="Y29" i="21"/>
  <c r="Y37" i="21"/>
  <c r="Y10" i="22"/>
  <c r="Y12" i="22"/>
  <c r="Y20" i="22"/>
  <c r="Y28" i="22"/>
  <c r="Y36" i="22"/>
  <c r="Y15" i="24"/>
  <c r="Y23" i="24"/>
  <c r="Y31" i="24"/>
  <c r="Y39" i="24"/>
  <c r="Z40" i="17" l="1"/>
  <c r="Z11" i="17"/>
  <c r="Z21" i="17"/>
  <c r="Z39" i="17"/>
  <c r="Z32" i="17"/>
  <c r="Z12" i="17"/>
  <c r="Z52" i="17"/>
  <c r="Z13" i="17"/>
  <c r="Z31" i="17"/>
  <c r="Z24" i="17"/>
  <c r="Z47" i="17"/>
  <c r="Z38" i="17"/>
  <c r="Z29" i="17"/>
  <c r="Z34" i="17"/>
  <c r="Z48" i="17"/>
  <c r="Z30" i="17"/>
  <c r="Z10" i="17"/>
  <c r="Z15" i="17"/>
  <c r="Z26" i="17"/>
  <c r="Z35" i="17"/>
  <c r="Z36" i="17"/>
  <c r="Z22" i="17"/>
  <c r="Z25" i="17"/>
  <c r="Z14" i="17"/>
  <c r="Z16" i="17"/>
  <c r="Z27" i="17"/>
  <c r="Z28" i="17"/>
  <c r="Z23" i="17"/>
  <c r="Z19" i="17"/>
  <c r="Z37" i="17"/>
  <c r="Z20" i="17"/>
  <c r="Z17" i="17"/>
  <c r="Z33" i="17"/>
  <c r="Z9" i="17"/>
  <c r="Z18" i="17"/>
  <c r="Z22" i="20"/>
  <c r="Z34" i="20"/>
  <c r="Z13" i="20"/>
  <c r="Z26" i="20"/>
  <c r="Z21" i="20"/>
  <c r="Z36" i="20"/>
  <c r="Z52" i="20"/>
  <c r="Z9" i="20"/>
  <c r="Z48" i="20"/>
  <c r="Z20" i="20"/>
  <c r="Z33" i="20"/>
  <c r="Z40" i="20"/>
  <c r="Z18" i="20"/>
  <c r="Z39" i="20"/>
  <c r="Z25" i="20"/>
  <c r="Z35" i="20"/>
  <c r="Z28" i="20"/>
  <c r="Z32" i="20"/>
  <c r="Z11" i="20"/>
  <c r="Z31" i="20"/>
  <c r="Z17" i="20"/>
  <c r="Z27" i="20"/>
  <c r="Z23" i="20"/>
  <c r="Z19" i="20"/>
  <c r="Z38" i="20"/>
  <c r="Z16" i="20"/>
  <c r="Z24" i="20"/>
  <c r="Z37" i="20"/>
  <c r="Z10" i="20"/>
  <c r="Z14" i="20"/>
  <c r="Z29" i="20"/>
  <c r="Z15" i="20"/>
  <c r="Z30" i="20"/>
  <c r="Z12" i="20"/>
  <c r="Z34" i="18"/>
  <c r="Z19" i="18"/>
  <c r="Z28" i="18"/>
  <c r="Z13" i="18"/>
  <c r="Z10" i="18"/>
  <c r="Z26" i="18"/>
  <c r="Z20" i="18"/>
  <c r="Z38" i="18"/>
  <c r="Z18" i="18"/>
  <c r="Z12" i="18"/>
  <c r="Z52" i="18"/>
  <c r="Z39" i="18"/>
  <c r="Z30" i="18"/>
  <c r="Z11" i="18"/>
  <c r="Z31" i="18"/>
  <c r="Z22" i="18"/>
  <c r="Z40" i="18"/>
  <c r="Z9" i="18"/>
  <c r="Z33" i="18"/>
  <c r="Z23" i="18"/>
  <c r="Z14" i="18"/>
  <c r="Z32" i="18"/>
  <c r="Z25" i="18"/>
  <c r="Z48" i="18"/>
  <c r="Z37" i="18"/>
  <c r="Z15" i="18"/>
  <c r="Z24" i="18"/>
  <c r="Z17" i="18"/>
  <c r="Z35" i="18"/>
  <c r="Z29" i="18"/>
  <c r="Z16" i="18"/>
  <c r="Z47" i="18"/>
  <c r="Z27" i="18"/>
  <c r="Z36" i="18"/>
  <c r="Z21" i="18"/>
  <c r="Z9" i="22"/>
  <c r="Z52" i="22"/>
  <c r="Z34" i="22"/>
  <c r="Z39" i="22"/>
  <c r="Z38" i="22"/>
  <c r="Z40" i="22"/>
  <c r="Z26" i="22"/>
  <c r="Z22" i="22"/>
  <c r="Z24" i="22"/>
  <c r="Z37" i="22"/>
  <c r="Z31" i="22"/>
  <c r="Z33" i="22"/>
  <c r="Z11" i="22"/>
  <c r="Z32" i="22"/>
  <c r="Z28" i="22"/>
  <c r="Z14" i="22"/>
  <c r="Z48" i="22"/>
  <c r="Z16" i="22"/>
  <c r="Z29" i="22"/>
  <c r="Z23" i="22"/>
  <c r="Z25" i="22"/>
  <c r="Z18" i="22"/>
  <c r="Z36" i="22"/>
  <c r="Z35" i="22"/>
  <c r="Z21" i="22"/>
  <c r="Z15" i="22"/>
  <c r="Z17" i="22"/>
  <c r="Z12" i="22"/>
  <c r="Z27" i="22"/>
  <c r="Z13" i="22"/>
  <c r="Z30" i="22"/>
  <c r="Z20" i="22"/>
  <c r="Z10" i="22"/>
  <c r="Z19" i="22"/>
  <c r="Z47" i="22"/>
  <c r="Z21" i="16"/>
  <c r="Z33" i="16"/>
  <c r="Z48" i="16"/>
  <c r="Z34" i="16"/>
  <c r="Z37" i="16"/>
  <c r="Z25" i="16"/>
  <c r="Z35" i="16"/>
  <c r="Z26" i="16"/>
  <c r="Z36" i="16"/>
  <c r="Z29" i="16"/>
  <c r="Z10" i="16"/>
  <c r="Z19" i="16"/>
  <c r="Z11" i="16"/>
  <c r="Z20" i="16"/>
  <c r="Z13" i="16"/>
  <c r="Z27" i="16"/>
  <c r="Z40" i="16"/>
  <c r="Z12" i="16"/>
  <c r="Z38" i="16"/>
  <c r="Z39" i="16"/>
  <c r="Z18" i="16"/>
  <c r="Z52" i="16"/>
  <c r="Z32" i="16"/>
  <c r="Z30" i="16"/>
  <c r="Z9" i="16"/>
  <c r="Z31" i="16"/>
  <c r="Z17" i="16"/>
  <c r="Z28" i="16"/>
  <c r="Z24" i="16"/>
  <c r="Z22" i="16"/>
  <c r="Z23" i="16"/>
  <c r="Z16" i="16"/>
  <c r="Z47" i="16"/>
  <c r="Z14" i="16"/>
  <c r="Z15" i="16"/>
  <c r="Z32" i="21"/>
  <c r="Z37" i="21"/>
  <c r="Z15" i="21"/>
  <c r="Z25" i="21"/>
  <c r="Z30" i="21"/>
  <c r="Z24" i="21"/>
  <c r="Z26" i="21"/>
  <c r="Z23" i="21"/>
  <c r="Z29" i="21"/>
  <c r="Z36" i="21"/>
  <c r="Z17" i="21"/>
  <c r="Z22" i="21"/>
  <c r="Z16" i="21"/>
  <c r="Z18" i="21"/>
  <c r="Z21" i="21"/>
  <c r="Z28" i="21"/>
  <c r="Z14" i="21"/>
  <c r="Z11" i="21"/>
  <c r="Z33" i="21"/>
  <c r="Z13" i="21"/>
  <c r="Z20" i="21"/>
  <c r="Z19" i="21"/>
  <c r="Z12" i="21"/>
  <c r="Z52" i="21"/>
  <c r="Z48" i="21"/>
  <c r="Z38" i="21"/>
  <c r="Z39" i="21"/>
  <c r="Z10" i="21"/>
  <c r="Z9" i="21"/>
  <c r="Z35" i="21"/>
  <c r="Z34" i="21"/>
  <c r="Z31" i="21"/>
  <c r="Z40" i="21"/>
  <c r="Z47" i="21"/>
  <c r="Z27" i="21"/>
  <c r="Z17" i="19"/>
  <c r="Z24" i="19"/>
  <c r="Z31" i="19"/>
  <c r="Z38" i="19"/>
  <c r="Z11" i="19"/>
  <c r="Z19" i="19"/>
  <c r="Z28" i="19"/>
  <c r="Z10" i="19"/>
  <c r="Z30" i="19"/>
  <c r="Z27" i="19"/>
  <c r="Z52" i="19"/>
  <c r="Z16" i="19"/>
  <c r="Z47" i="19"/>
  <c r="Z26" i="19"/>
  <c r="Z23" i="19"/>
  <c r="Z22" i="19"/>
  <c r="Z12" i="19"/>
  <c r="Z48" i="19"/>
  <c r="Z9" i="19"/>
  <c r="Z37" i="19"/>
  <c r="Z18" i="19"/>
  <c r="Z20" i="19"/>
  <c r="Z29" i="19"/>
  <c r="Z14" i="19"/>
  <c r="Z40" i="19"/>
  <c r="Z34" i="19"/>
  <c r="Z15" i="19"/>
  <c r="Z21" i="19"/>
  <c r="Z36" i="19"/>
  <c r="Z33" i="19"/>
  <c r="Z35" i="19"/>
  <c r="Z13" i="19"/>
  <c r="Z25" i="19"/>
  <c r="Z32" i="19"/>
  <c r="Z39" i="19"/>
  <c r="Z23" i="24"/>
  <c r="Z13" i="24"/>
  <c r="Z52" i="24"/>
  <c r="Z35" i="24"/>
  <c r="Z9" i="24"/>
  <c r="Z47" i="24"/>
  <c r="Z38" i="24"/>
  <c r="Z40" i="24"/>
  <c r="Z11" i="24"/>
  <c r="Z15" i="24"/>
  <c r="Z10" i="24"/>
  <c r="Z32" i="24"/>
  <c r="Z37" i="24"/>
  <c r="Z33" i="24"/>
  <c r="Z27" i="24"/>
  <c r="Z36" i="24"/>
  <c r="Z34" i="24"/>
  <c r="Z30" i="24"/>
  <c r="Z28" i="24"/>
  <c r="Z29" i="24"/>
  <c r="Z25" i="24"/>
  <c r="Z39" i="24"/>
  <c r="Z24" i="24"/>
  <c r="Z19" i="24"/>
  <c r="Z20" i="24"/>
  <c r="Z26" i="24"/>
  <c r="Z22" i="24"/>
  <c r="Z16" i="24"/>
  <c r="Z21" i="24"/>
  <c r="Z17" i="24"/>
  <c r="Z12" i="24"/>
  <c r="Z31" i="24"/>
  <c r="Z48" i="24"/>
  <c r="Z18" i="24"/>
  <c r="Z14" i="24"/>
  <c r="Z24" i="15"/>
  <c r="Z36" i="15"/>
  <c r="Z16" i="15"/>
  <c r="Z10" i="15"/>
  <c r="Z14" i="15"/>
  <c r="Z28" i="15"/>
  <c r="Z20" i="15"/>
  <c r="Z9" i="15"/>
  <c r="Z47" i="15"/>
  <c r="Z48" i="15"/>
  <c r="Z37" i="15"/>
  <c r="Z34" i="15"/>
  <c r="Z17" i="15"/>
  <c r="Z12" i="15"/>
  <c r="Z39" i="15"/>
  <c r="Z35" i="15"/>
  <c r="Z29" i="15"/>
  <c r="Z26" i="15"/>
  <c r="Z38" i="15"/>
  <c r="Z15" i="15"/>
  <c r="Z31" i="15"/>
  <c r="Z33" i="15"/>
  <c r="Z27" i="15"/>
  <c r="Z40" i="15"/>
  <c r="Z21" i="15"/>
  <c r="Z18" i="15"/>
  <c r="Z30" i="15"/>
  <c r="Z52" i="15"/>
  <c r="Z23" i="15"/>
  <c r="Z25" i="15"/>
  <c r="Z19" i="15"/>
  <c r="Z32" i="15"/>
  <c r="Z13" i="15"/>
  <c r="Z11" i="15"/>
  <c r="Z22" i="15"/>
  <c r="AD8" i="25"/>
  <c r="AC8" i="25"/>
  <c r="AB8" i="25"/>
  <c r="AA8" i="25"/>
  <c r="AE8" i="25"/>
  <c r="Z39" i="23"/>
  <c r="Z30" i="23"/>
  <c r="Z40" i="23"/>
  <c r="Z37" i="23"/>
  <c r="Z12" i="23"/>
  <c r="Z22" i="23"/>
  <c r="Z32" i="23"/>
  <c r="Z29" i="23"/>
  <c r="Z52" i="23"/>
  <c r="Z14" i="23"/>
  <c r="Z24" i="23"/>
  <c r="Z13" i="23"/>
  <c r="Z10" i="23"/>
  <c r="Z17" i="23"/>
  <c r="Z27" i="23"/>
  <c r="Z21" i="23"/>
  <c r="Z36" i="23"/>
  <c r="Z31" i="23"/>
  <c r="Z19" i="23"/>
  <c r="Z38" i="23"/>
  <c r="Z16" i="23"/>
  <c r="Z28" i="23"/>
  <c r="Z23" i="23"/>
  <c r="Z33" i="23"/>
  <c r="Z48" i="23"/>
  <c r="Z26" i="23"/>
  <c r="Z34" i="23"/>
  <c r="Z20" i="23"/>
  <c r="Z18" i="23"/>
  <c r="Z47" i="23"/>
  <c r="Z15" i="23"/>
  <c r="Z25" i="23"/>
  <c r="Z35" i="23"/>
  <c r="Z9" i="23"/>
  <c r="Z11" i="23"/>
  <c r="AB8" i="19" l="1"/>
  <c r="AE8" i="21"/>
  <c r="AD8" i="22"/>
  <c r="AD8" i="18"/>
  <c r="AD8" i="20"/>
  <c r="AA8" i="15"/>
  <c r="AB8" i="15"/>
  <c r="AC8" i="17"/>
  <c r="AB8" i="24"/>
  <c r="AA8" i="19"/>
  <c r="AE8" i="15"/>
  <c r="AC8" i="24"/>
  <c r="AC8" i="19"/>
  <c r="AC8" i="16"/>
  <c r="AA8" i="20"/>
  <c r="AC8" i="20"/>
  <c r="AC8" i="15"/>
  <c r="AA8" i="24"/>
  <c r="AA8" i="21"/>
  <c r="AA8" i="18"/>
  <c r="AE8" i="22"/>
  <c r="AE8" i="20"/>
  <c r="AB8" i="16"/>
  <c r="AD8" i="15"/>
  <c r="AB8" i="18"/>
  <c r="AC8" i="22"/>
  <c r="AC8" i="21"/>
  <c r="AA8" i="22"/>
  <c r="AD8" i="24"/>
  <c r="AD8" i="21"/>
  <c r="AD8" i="19"/>
  <c r="AC8" i="18"/>
  <c r="AB8" i="22"/>
  <c r="AB8" i="21"/>
  <c r="AE8" i="18"/>
  <c r="AB8" i="20"/>
  <c r="AA8" i="17"/>
  <c r="AE8" i="24"/>
  <c r="AE8" i="19"/>
  <c r="AB8" i="17"/>
  <c r="AD8" i="17"/>
  <c r="AE8" i="17"/>
  <c r="AD8" i="16"/>
  <c r="AE8" i="16"/>
  <c r="AA8" i="16"/>
  <c r="AA10" i="25"/>
  <c r="AA8" i="23"/>
  <c r="AE8" i="23"/>
  <c r="AC8" i="23"/>
  <c r="AD8" i="23"/>
  <c r="AB8" i="23"/>
  <c r="X52" i="2"/>
  <c r="X48" i="2"/>
  <c r="X47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AQ19" i="26"/>
  <c r="AQ20" i="26"/>
  <c r="AQ21" i="26"/>
  <c r="AQ22" i="26"/>
  <c r="AQ23" i="26"/>
  <c r="AQ24" i="26"/>
  <c r="AQ25" i="26"/>
  <c r="AQ26" i="26"/>
  <c r="AQ27" i="26"/>
  <c r="AQ28" i="26"/>
  <c r="AQ29" i="26"/>
  <c r="AQ30" i="26"/>
  <c r="AQ31" i="26"/>
  <c r="AQ32" i="26"/>
  <c r="AQ33" i="26"/>
  <c r="AQ34" i="26"/>
  <c r="AQ35" i="26"/>
  <c r="AQ36" i="26"/>
  <c r="AQ37" i="26"/>
  <c r="AQ38" i="26"/>
  <c r="AQ39" i="26"/>
  <c r="AQ40" i="26"/>
  <c r="AQ41" i="26"/>
  <c r="AQ42" i="26"/>
  <c r="AQ43" i="26"/>
  <c r="AQ44" i="26"/>
  <c r="AQ45" i="26"/>
  <c r="AQ46" i="26"/>
  <c r="AQ47" i="26"/>
  <c r="AQ48" i="26"/>
  <c r="AQ55" i="26"/>
  <c r="AQ56" i="26"/>
  <c r="AQ18" i="26"/>
  <c r="H17" i="26"/>
  <c r="AQ17" i="26" s="1"/>
  <c r="AA10" i="19" l="1"/>
  <c r="AA10" i="15"/>
  <c r="AA10" i="16"/>
  <c r="AA10" i="24"/>
  <c r="AA10" i="20"/>
  <c r="AA10" i="22"/>
  <c r="AA10" i="18"/>
  <c r="AA10" i="21"/>
  <c r="AA10" i="17"/>
  <c r="AA10" i="23"/>
  <c r="AV23" i="26"/>
  <c r="Y36" i="2"/>
  <c r="Z36" i="2" l="1"/>
  <c r="Y30" i="2"/>
  <c r="Z30" i="2" l="1"/>
  <c r="Y48" i="2"/>
  <c r="Y47" i="2"/>
  <c r="Y40" i="2"/>
  <c r="Y39" i="2"/>
  <c r="Y38" i="2"/>
  <c r="Y37" i="2"/>
  <c r="Y35" i="2"/>
  <c r="Y34" i="2"/>
  <c r="Z48" i="2" l="1"/>
  <c r="Z34" i="2"/>
  <c r="Z40" i="2"/>
  <c r="Z47" i="2"/>
  <c r="Z35" i="2"/>
  <c r="Z37" i="2"/>
  <c r="Z38" i="2"/>
  <c r="Z39" i="2"/>
  <c r="Y9" i="2"/>
  <c r="Y11" i="2"/>
  <c r="Y12" i="2"/>
  <c r="Y14" i="2"/>
  <c r="Y16" i="2"/>
  <c r="Y18" i="2"/>
  <c r="Y20" i="2"/>
  <c r="Y22" i="2"/>
  <c r="Y24" i="2"/>
  <c r="Y26" i="2"/>
  <c r="Y28" i="2"/>
  <c r="Y31" i="2"/>
  <c r="Y52" i="2"/>
  <c r="Y33" i="2"/>
  <c r="Y32" i="2"/>
  <c r="Y10" i="2"/>
  <c r="Y13" i="2"/>
  <c r="Y15" i="2"/>
  <c r="Y17" i="2"/>
  <c r="Y19" i="2"/>
  <c r="Y21" i="2"/>
  <c r="Y23" i="2"/>
  <c r="Y25" i="2"/>
  <c r="Y27" i="2"/>
  <c r="Y29" i="2"/>
  <c r="Z26" i="2" l="1"/>
  <c r="Z11" i="2"/>
  <c r="Z27" i="2"/>
  <c r="Z10" i="2"/>
  <c r="Z25" i="2"/>
  <c r="Z32" i="2"/>
  <c r="Z24" i="2"/>
  <c r="Z9" i="2"/>
  <c r="AE8" i="2" s="1"/>
  <c r="Z21" i="2"/>
  <c r="Z33" i="2"/>
  <c r="Z20" i="2"/>
  <c r="Z18" i="2"/>
  <c r="Z23" i="2"/>
  <c r="Z17" i="2"/>
  <c r="Z52" i="2"/>
  <c r="Z16" i="2"/>
  <c r="Z22" i="2"/>
  <c r="Z19" i="2"/>
  <c r="Z15" i="2"/>
  <c r="Z14" i="2"/>
  <c r="Z31" i="2"/>
  <c r="Z29" i="2"/>
  <c r="Z13" i="2"/>
  <c r="Z28" i="2"/>
  <c r="Z12" i="2"/>
  <c r="AA8" i="2" l="1"/>
  <c r="AB8" i="2"/>
  <c r="AC8" i="2"/>
  <c r="AD8" i="2"/>
  <c r="AA10" i="2" l="1"/>
</calcChain>
</file>

<file path=xl/comments1.xml><?xml version="1.0" encoding="utf-8"?>
<comments xmlns="http://schemas.openxmlformats.org/spreadsheetml/2006/main">
  <authors>
    <author>Operadores</author>
  </authors>
  <commentList>
    <comment ref="B66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Operadores</author>
  </authors>
  <commentList>
    <comment ref="B66" authorId="0" shapeId="0">
      <text>
        <r>
          <rPr>
            <b/>
            <sz val="9"/>
            <color indexed="81"/>
            <rFont val="Tahoma"/>
            <family val="2"/>
          </rPr>
          <t>Operadores: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<sst xmlns="http://schemas.openxmlformats.org/spreadsheetml/2006/main" count="1584" uniqueCount="146">
  <si>
    <t>M</t>
  </si>
  <si>
    <t>F</t>
  </si>
  <si>
    <t>TRANSITA</t>
  </si>
  <si>
    <t>N/TRANSITA</t>
  </si>
  <si>
    <t>O Subdirector Pedagógico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</si>
  <si>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Portuguesa</t>
    </r>
  </si>
  <si>
    <t>Nome do (a) Aluno (a)</t>
  </si>
  <si>
    <t>MFD</t>
  </si>
  <si>
    <t>OBS</t>
  </si>
  <si>
    <t>MAC</t>
  </si>
  <si>
    <t>NPP</t>
  </si>
  <si>
    <t>NPT</t>
  </si>
  <si>
    <t>MT1</t>
  </si>
  <si>
    <t>MT2</t>
  </si>
  <si>
    <t>MT3</t>
  </si>
  <si>
    <t>_______________________________</t>
  </si>
  <si>
    <t>___________________________</t>
  </si>
  <si>
    <t>ALBERTO SASSA TATI</t>
  </si>
  <si>
    <r>
      <t xml:space="preserve">Disciplina: </t>
    </r>
    <r>
      <rPr>
        <b/>
        <sz val="12"/>
        <color indexed="8"/>
        <rFont val="Times New Roman"/>
        <family val="1"/>
      </rPr>
      <t xml:space="preserve"> Matemática</t>
    </r>
  </si>
  <si>
    <t>NPR1</t>
  </si>
  <si>
    <t>NPR2</t>
  </si>
  <si>
    <r>
      <t>N</t>
    </r>
    <r>
      <rPr>
        <b/>
        <sz val="12"/>
        <color indexed="8"/>
        <rFont val="Agency FB"/>
        <family val="2"/>
      </rPr>
      <t>º</t>
    </r>
  </si>
  <si>
    <t>Avaliações/I Trimestre</t>
  </si>
  <si>
    <t>Avaliações/II Trimestre</t>
  </si>
  <si>
    <t>Avaliações/IIITrimestre</t>
  </si>
  <si>
    <t>FALTAS</t>
  </si>
  <si>
    <t>J/I</t>
  </si>
  <si>
    <t>E.E.F</t>
  </si>
  <si>
    <t>O (A) Professor (a)</t>
  </si>
  <si>
    <t>MINI-PAUTA - TÉCNICO DE SAÚDE</t>
  </si>
  <si>
    <r>
      <t xml:space="preserve">Disciplina: </t>
    </r>
    <r>
      <rPr>
        <b/>
        <sz val="12"/>
        <color indexed="8"/>
        <rFont val="Times New Roman"/>
        <family val="1"/>
      </rPr>
      <t xml:space="preserve"> Língua Inglesa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</si>
  <si>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Educação Física</t>
    </r>
  </si>
  <si>
    <r>
      <t xml:space="preserve">Curso: </t>
    </r>
    <r>
      <rPr>
        <b/>
        <sz val="12"/>
        <color theme="1"/>
        <rFont val="Times New Roman"/>
        <family val="1"/>
      </rPr>
      <t>ANÁLISES CLÍNICAS</t>
    </r>
  </si>
  <si>
    <r>
      <t xml:space="preserve">Período: </t>
    </r>
    <r>
      <rPr>
        <b/>
        <sz val="12"/>
        <color theme="1"/>
        <rFont val="Times New Roman"/>
        <family val="1"/>
      </rPr>
      <t>Vespertino</t>
    </r>
  </si>
  <si>
    <r>
      <t>Classe: 11</t>
    </r>
    <r>
      <rPr>
        <b/>
        <sz val="12"/>
        <color theme="1"/>
        <rFont val="Times New Roman"/>
        <family val="1"/>
      </rPr>
      <t>ª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</si>
  <si>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Hematologia I</t>
    </r>
  </si>
  <si>
    <t xml:space="preserve">                    INSTITUTO TÉCNICO PRIVADO DE SAÚDE JOMORAIS</t>
  </si>
  <si>
    <t>PAUTA DE APROVEITAMENTO ESCOLAR</t>
  </si>
  <si>
    <r>
      <t xml:space="preserve">ÁREA DE FORMAÇÃO: </t>
    </r>
    <r>
      <rPr>
        <b/>
        <sz val="18"/>
        <color rgb="FF0070C0"/>
        <rFont val="Algerian"/>
        <family val="5"/>
      </rPr>
      <t>SAÚDE</t>
    </r>
  </si>
  <si>
    <t>11ª CLASSE</t>
  </si>
  <si>
    <r>
      <t xml:space="preserve">CURSO: </t>
    </r>
    <r>
      <rPr>
        <b/>
        <sz val="26"/>
        <color rgb="FF0070C0"/>
        <rFont val="Calibri"/>
        <family val="2"/>
        <scheme val="minor"/>
      </rPr>
      <t>AN</t>
    </r>
    <r>
      <rPr>
        <b/>
        <sz val="26"/>
        <color rgb="FF0070C0"/>
        <rFont val="Calibri"/>
        <family val="2"/>
      </rPr>
      <t>ÁLISES CLÍNICAS</t>
    </r>
  </si>
  <si>
    <r>
      <rPr>
        <b/>
        <sz val="14"/>
        <color theme="4"/>
        <rFont val="Calibri"/>
        <family val="2"/>
        <scheme val="minor"/>
      </rPr>
      <t>PERÍODO</t>
    </r>
    <r>
      <rPr>
        <b/>
        <sz val="14"/>
        <color rgb="FFFF0000"/>
        <rFont val="Calibri"/>
        <family val="2"/>
        <scheme val="minor"/>
      </rPr>
      <t>: VESPERTINO</t>
    </r>
  </si>
  <si>
    <t>O Director do Instituto</t>
  </si>
  <si>
    <r>
      <rPr>
        <b/>
        <sz val="14"/>
        <color theme="4"/>
        <rFont val="Calibri"/>
        <family val="2"/>
        <scheme val="minor"/>
      </rPr>
      <t xml:space="preserve">1º </t>
    </r>
    <r>
      <rPr>
        <b/>
        <sz val="14"/>
        <color rgb="FFFF0000"/>
        <rFont val="Calibri"/>
        <family val="2"/>
        <scheme val="minor"/>
      </rPr>
      <t xml:space="preserve">TRIMESTRE </t>
    </r>
  </si>
  <si>
    <t>MF:</t>
  </si>
  <si>
    <t>________________________________________</t>
  </si>
  <si>
    <t>TURMA:</t>
  </si>
  <si>
    <r>
      <t>GABRIEL PR</t>
    </r>
    <r>
      <rPr>
        <b/>
        <sz val="14"/>
        <color theme="1"/>
        <rFont val="Calibri"/>
        <family val="2"/>
      </rPr>
      <t>ÓSPERO MABIALA</t>
    </r>
  </si>
  <si>
    <t>Nº</t>
  </si>
  <si>
    <t>Nº PROC</t>
  </si>
  <si>
    <t>NOME</t>
  </si>
  <si>
    <t>DISCIPLINA A REPETIR</t>
  </si>
  <si>
    <t>Inglês</t>
  </si>
  <si>
    <t>Idade</t>
  </si>
  <si>
    <t>Género</t>
  </si>
  <si>
    <t>DADOS ESTATÍSTICOS</t>
  </si>
  <si>
    <t>MT1º</t>
  </si>
  <si>
    <t>MATRICULADOS</t>
  </si>
  <si>
    <t>Desistido/a</t>
  </si>
  <si>
    <t>J</t>
  </si>
  <si>
    <t>I</t>
  </si>
  <si>
    <t>O Sibdirector Pedagógico</t>
  </si>
  <si>
    <t>_____________________________________</t>
  </si>
  <si>
    <t>A</t>
  </si>
  <si>
    <r>
      <t xml:space="preserve">                      INSTITUTO TÉCNICO PRIVADO DE SA</t>
    </r>
    <r>
      <rPr>
        <b/>
        <sz val="20"/>
        <color theme="1"/>
        <rFont val="Calibri"/>
        <family val="2"/>
      </rPr>
      <t>ÚDE</t>
    </r>
    <r>
      <rPr>
        <b/>
        <sz val="20"/>
        <color theme="1"/>
        <rFont val="Calibri"/>
        <family val="2"/>
        <scheme val="minor"/>
      </rPr>
      <t xml:space="preserve"> JOMORAIS</t>
    </r>
  </si>
  <si>
    <t>MÁXIMA</t>
  </si>
  <si>
    <t>NOME DO/A ALUNO/A</t>
  </si>
  <si>
    <t>IDADE:</t>
  </si>
  <si>
    <t>MÉDIA</t>
  </si>
  <si>
    <t>L. Port.</t>
  </si>
  <si>
    <t>Mat.</t>
  </si>
  <si>
    <t>Biol.</t>
  </si>
  <si>
    <t>Qca Org.</t>
  </si>
  <si>
    <t>Microbiol.</t>
  </si>
  <si>
    <t>Hemat.</t>
  </si>
  <si>
    <t>Imunol.</t>
  </si>
  <si>
    <t>Urinol.</t>
  </si>
  <si>
    <t>Parasitol.</t>
  </si>
  <si>
    <t>Ed. Física</t>
  </si>
  <si>
    <t>A.F.H</t>
  </si>
  <si>
    <r>
      <t xml:space="preserve">Disciplina: </t>
    </r>
    <r>
      <rPr>
        <b/>
        <sz val="12"/>
        <color indexed="8"/>
        <rFont val="Times New Roman"/>
        <family val="1"/>
      </rPr>
      <t xml:space="preserve"> Urinologia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</si>
  <si>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Parasitologia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</si>
  <si>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Anatomia e Fisiologia Humana</t>
    </r>
  </si>
  <si>
    <r>
      <t xml:space="preserve">                                  Turma: </t>
    </r>
    <r>
      <rPr>
        <b/>
        <sz val="12"/>
        <color theme="1"/>
        <rFont val="Times New Roman"/>
        <family val="1"/>
      </rPr>
      <t>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</si>
  <si>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Biologia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</si>
  <si>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Química Orgânica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</si>
  <si>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Microbiologia I</t>
    </r>
  </si>
  <si>
    <r>
      <t xml:space="preserve">Disciplina: </t>
    </r>
    <r>
      <rPr>
        <b/>
        <sz val="12"/>
        <color indexed="8"/>
        <rFont val="Times New Roman"/>
        <family val="1"/>
      </rPr>
      <t xml:space="preserve"> Imunologia</t>
    </r>
  </si>
  <si>
    <t>Felicidade Muanda Bititi</t>
  </si>
  <si>
    <t>Joana Bundo Fernandes</t>
  </si>
  <si>
    <t>DATA______/______/2025</t>
  </si>
  <si>
    <t>A Directora de Turma</t>
  </si>
  <si>
    <r>
      <rPr>
        <sz val="12"/>
        <color theme="1"/>
        <rFont val="Times New Roman"/>
        <family val="1"/>
      </rPr>
      <t>DATA:</t>
    </r>
    <r>
      <rPr>
        <b/>
        <sz val="12"/>
        <color theme="1"/>
        <rFont val="Times New Roman"/>
        <family val="1"/>
      </rPr>
      <t xml:space="preserve"> 12/12/2025</t>
    </r>
  </si>
  <si>
    <r>
      <t>DATA:</t>
    </r>
    <r>
      <rPr>
        <b/>
        <sz val="12"/>
        <color theme="1"/>
        <rFont val="Times New Roman"/>
        <family val="1"/>
      </rPr>
      <t xml:space="preserve"> 12/12/2025</t>
    </r>
  </si>
  <si>
    <r>
      <t>Ano Lectivo:</t>
    </r>
    <r>
      <rPr>
        <b/>
        <sz val="12"/>
        <color theme="1"/>
        <rFont val="Times New Roman"/>
        <family val="1"/>
      </rPr>
      <t>2025/2026</t>
    </r>
  </si>
  <si>
    <t>Abrão Gomes</t>
  </si>
  <si>
    <t>Agostinho Mbaki Baza</t>
  </si>
  <si>
    <t>Albertina Vumbi Bazunga</t>
  </si>
  <si>
    <t>Alberto Mambo Simba</t>
  </si>
  <si>
    <t>Alda Catarina Mamata Balou</t>
  </si>
  <si>
    <t>Alice Bitumba Mavungo</t>
  </si>
  <si>
    <t>Amélia Chibamba Chiama</t>
  </si>
  <si>
    <t>Ana De Jesus Custódio Sambo</t>
  </si>
  <si>
    <t>Ana Soca Deca Luba</t>
  </si>
  <si>
    <t>Angelina Buanga Poba</t>
  </si>
  <si>
    <t>Antoaneta Menga Futi Gime</t>
  </si>
  <si>
    <t>Arinalda De Canatividade Prata Bungo</t>
  </si>
  <si>
    <t>Basílio Araújo Simba Mabiala</t>
  </si>
  <si>
    <t>Carlota Mbungo Conde</t>
  </si>
  <si>
    <t>Catarina Luemba Makuama</t>
  </si>
  <si>
    <t>Cristina Conde Sassi</t>
  </si>
  <si>
    <t>Dorcas Milando Dembi</t>
  </si>
  <si>
    <t>Elisa Zuzi Bumba Da Silva</t>
  </si>
  <si>
    <t>Fernanda Pedro Tavares</t>
  </si>
  <si>
    <t>Gertrudes Buanga Zuzi</t>
  </si>
  <si>
    <t>Helena Kalembela Miguel</t>
  </si>
  <si>
    <t>Helena Maravilha Zinga Sumbo</t>
  </si>
  <si>
    <t>Inês Filomena Muanda Baiona</t>
  </si>
  <si>
    <t>Isabel Ndaia Muanda</t>
  </si>
  <si>
    <t>Janete Malonda Cunha</t>
  </si>
  <si>
    <t>Joana Albertina Mango</t>
  </si>
  <si>
    <t>Joana Laura Futi Muana</t>
  </si>
  <si>
    <t>Josefina Massanga Vumbi Goma</t>
  </si>
  <si>
    <t>Jurema Bernadete Nsunda</t>
  </si>
  <si>
    <t>Madalena Lando António</t>
  </si>
  <si>
    <t>Marcos Nduli Sechie Gouveia</t>
  </si>
  <si>
    <t>Maria Buiti Tuadi Soca</t>
  </si>
  <si>
    <t>Maria das Dores da Silva Lemos</t>
  </si>
  <si>
    <t>Maria De Fátima Builo Luamba</t>
  </si>
  <si>
    <t>Maria Lando Panzo Quibinda</t>
  </si>
  <si>
    <t>Maria Télica Conde</t>
  </si>
  <si>
    <t>Natália Casimiro Muanda</t>
  </si>
  <si>
    <t>Natália Divina Luemba Chincócolo</t>
  </si>
  <si>
    <t>Pascoalina Betchi Tati</t>
  </si>
  <si>
    <t>Pelágia Nsunda Poba Sassa</t>
  </si>
  <si>
    <t>Rachel Celina André Mingas</t>
  </si>
  <si>
    <t>Teresa Gertrudes Luzia Tati</t>
  </si>
  <si>
    <r>
      <rPr>
        <b/>
        <sz val="12"/>
        <color rgb="FF0070C0"/>
        <rFont val="Calibri"/>
        <family val="2"/>
        <scheme val="minor"/>
      </rPr>
      <t>ANO LECTIVO: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FF0000"/>
        <rFont val="Calibri"/>
        <family val="2"/>
        <scheme val="minor"/>
      </rPr>
      <t>2025/2026</t>
    </r>
  </si>
  <si>
    <t>DATA DO CONSELHO DE TURMA______/______/2025</t>
  </si>
  <si>
    <t>RUTH DEMBI QUIFOCO ZEMBO</t>
  </si>
  <si>
    <t>DESISTIDA</t>
  </si>
  <si>
    <t>Maria Catarina Piosso</t>
  </si>
  <si>
    <r>
      <rPr>
        <b/>
        <sz val="14"/>
        <color theme="4"/>
        <rFont val="Calibri"/>
        <family val="2"/>
        <scheme val="minor"/>
      </rPr>
      <t xml:space="preserve">2º </t>
    </r>
    <r>
      <rPr>
        <b/>
        <sz val="14"/>
        <color rgb="FFFF0000"/>
        <rFont val="Calibri"/>
        <family val="2"/>
        <scheme val="minor"/>
      </rPr>
      <t xml:space="preserve">TRIMESTRE </t>
    </r>
  </si>
  <si>
    <t>MT2º</t>
  </si>
  <si>
    <t>DATA DO CONSELHO DE TURMA______/______/2026</t>
  </si>
  <si>
    <t>DATA______/______/2026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</si>
</sst>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/mm/yy;@"/>
  </numFmts>
  <fonts count="7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</font>
    <font>
      <b/>
      <sz val="14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2"/>
      <color theme="1"/>
      <name val="Blackadder ITC"/>
      <family val="5"/>
    </font>
    <font>
      <b/>
      <sz val="14"/>
      <color theme="1"/>
      <name val="Agency FB"/>
      <family val="2"/>
    </font>
    <font>
      <sz val="10"/>
      <name val="Arial"/>
      <family val="2"/>
    </font>
    <font>
      <b/>
      <sz val="11"/>
      <color theme="1"/>
      <name val="Agency FB"/>
      <family val="2"/>
    </font>
    <font>
      <b/>
      <sz val="12"/>
      <color theme="1"/>
      <name val="Agency FB"/>
      <family val="2"/>
    </font>
    <font>
      <sz val="12"/>
      <color theme="1"/>
      <name val="Agency FB"/>
      <family val="2"/>
    </font>
    <font>
      <b/>
      <sz val="12"/>
      <color indexed="8"/>
      <name val="Agency FB"/>
      <family val="2"/>
    </font>
    <font>
      <sz val="12"/>
      <color rgb="FF000000"/>
      <name val="Agency FB"/>
      <family val="2"/>
    </font>
    <font>
      <sz val="14"/>
      <color theme="1"/>
      <name val="Agency FB"/>
      <family val="2"/>
    </font>
    <font>
      <b/>
      <sz val="20"/>
      <color theme="1"/>
      <name val="Papyrus"/>
      <family val="4"/>
    </font>
    <font>
      <sz val="14"/>
      <color rgb="FF0070C0"/>
      <name val="Agency FB"/>
      <family val="2"/>
    </font>
    <font>
      <sz val="14"/>
      <color rgb="FFFF0000"/>
      <name val="Agency FB"/>
      <family val="2"/>
    </font>
    <font>
      <b/>
      <sz val="20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theme="1"/>
      <name val="Algerian"/>
      <family val="5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lgerian"/>
      <family val="5"/>
    </font>
    <font>
      <b/>
      <sz val="18"/>
      <color rgb="FF0070C0"/>
      <name val="Algerian"/>
      <family val="5"/>
    </font>
    <font>
      <b/>
      <i/>
      <sz val="11"/>
      <color theme="1"/>
      <name val="Agency FB"/>
      <family val="2"/>
    </font>
    <font>
      <b/>
      <sz val="14"/>
      <color rgb="FF0070C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6"/>
      <color rgb="FF0070C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2"/>
      <color theme="1"/>
      <name val="Blackadder ITC"/>
      <family val="5"/>
    </font>
    <font>
      <b/>
      <sz val="14"/>
      <color theme="1"/>
      <name val="Calibri"/>
      <family val="2"/>
    </font>
    <font>
      <sz val="11"/>
      <color theme="1"/>
      <name val="Agency FB"/>
      <family val="2"/>
    </font>
    <font>
      <b/>
      <sz val="14"/>
      <color theme="1"/>
      <name val="Century Gothic"/>
      <family val="2"/>
    </font>
    <font>
      <b/>
      <sz val="11"/>
      <color theme="1"/>
      <name val="Century Gothic"/>
      <family val="2"/>
    </font>
    <font>
      <b/>
      <i/>
      <sz val="8"/>
      <color theme="1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onstantia"/>
      <family val="1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theme="1"/>
      <name val="Arial Black"/>
      <family val="2"/>
    </font>
    <font>
      <sz val="11"/>
      <color rgb="FF0070C0"/>
      <name val="Arial Black"/>
      <family val="2"/>
    </font>
    <font>
      <b/>
      <sz val="10"/>
      <color rgb="FFFF0000"/>
      <name val="Calibri"/>
      <family val="2"/>
      <scheme val="minor"/>
    </font>
    <font>
      <sz val="14"/>
      <color theme="1"/>
      <name val="Blackadder ITC"/>
      <family val="5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rgb="FF0070C0"/>
      <name val="Agency FB"/>
      <family val="2"/>
    </font>
    <font>
      <sz val="12"/>
      <color rgb="FF000000"/>
      <name val="Agency FB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gency FB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i/>
      <sz val="9"/>
      <color theme="1"/>
      <name val="Arial"/>
      <family val="2"/>
    </font>
    <font>
      <sz val="12"/>
      <color rgb="FF000000"/>
      <name val="Agency FB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9" fillId="0" borderId="0">
      <alignment vertical="center"/>
    </xf>
    <xf numFmtId="0" fontId="9" fillId="0" borderId="0">
      <alignment vertical="center"/>
    </xf>
    <xf numFmtId="0" fontId="14" fillId="0" borderId="0"/>
  </cellStyleXfs>
  <cellXfs count="318">
    <xf numFmtId="0" fontId="0" fillId="0" borderId="0" xfId="0"/>
    <xf numFmtId="0" fontId="3" fillId="0" borderId="0" xfId="0" applyFont="1" applyAlignment="1">
      <alignment horizontal="center" vertical="top"/>
    </xf>
    <xf numFmtId="0" fontId="2" fillId="0" borderId="0" xfId="0" applyFont="1" applyAlignment="1"/>
    <xf numFmtId="0" fontId="0" fillId="0" borderId="0" xfId="0" applyBorder="1"/>
    <xf numFmtId="0" fontId="0" fillId="0" borderId="0" xfId="0" applyBorder="1" applyAlignment="1"/>
    <xf numFmtId="0" fontId="12" fillId="0" borderId="0" xfId="0" applyFont="1" applyBorder="1" applyAlignment="1"/>
    <xf numFmtId="0" fontId="7" fillId="0" borderId="0" xfId="0" applyFont="1" applyBorder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19" fillId="2" borderId="13" xfId="0" applyFont="1" applyFill="1" applyBorder="1" applyAlignment="1">
      <alignment horizontal="center"/>
    </xf>
    <xf numFmtId="0" fontId="16" fillId="0" borderId="13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9" fillId="2" borderId="12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9" fillId="0" borderId="17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2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/>
    <xf numFmtId="0" fontId="44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6" fillId="0" borderId="0" xfId="0" applyFont="1"/>
    <xf numFmtId="0" fontId="46" fillId="0" borderId="0" xfId="0" applyFont="1" applyAlignment="1">
      <alignment vertical="center"/>
    </xf>
    <xf numFmtId="0" fontId="54" fillId="3" borderId="42" xfId="0" applyFont="1" applyFill="1" applyBorder="1" applyAlignment="1">
      <alignment horizontal="center" vertical="center"/>
    </xf>
    <xf numFmtId="0" fontId="54" fillId="3" borderId="43" xfId="0" applyFont="1" applyFill="1" applyBorder="1" applyAlignment="1">
      <alignment horizontal="center" vertical="center"/>
    </xf>
    <xf numFmtId="0" fontId="54" fillId="0" borderId="44" xfId="0" applyFont="1" applyBorder="1" applyAlignment="1">
      <alignment horizontal="center" vertical="center"/>
    </xf>
    <xf numFmtId="0" fontId="54" fillId="0" borderId="43" xfId="0" applyFont="1" applyBorder="1" applyAlignment="1">
      <alignment horizontal="center" vertical="center"/>
    </xf>
    <xf numFmtId="0" fontId="54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5" fillId="3" borderId="45" xfId="0" applyFont="1" applyFill="1" applyBorder="1" applyAlignment="1">
      <alignment vertical="center" wrapText="1"/>
    </xf>
    <xf numFmtId="0" fontId="11" fillId="0" borderId="4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5" fillId="3" borderId="47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ill="1"/>
    <xf numFmtId="0" fontId="55" fillId="3" borderId="48" xfId="0" applyFont="1" applyFill="1" applyBorder="1" applyAlignment="1">
      <alignment vertical="center" wrapText="1"/>
    </xf>
    <xf numFmtId="0" fontId="0" fillId="3" borderId="49" xfId="0" applyFont="1" applyFill="1" applyBorder="1" applyAlignment="1">
      <alignment horizontal="center" vertical="center"/>
    </xf>
    <xf numFmtId="0" fontId="60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2" fillId="0" borderId="0" xfId="0" applyFont="1" applyAlignment="1">
      <alignment horizontal="center"/>
    </xf>
    <xf numFmtId="0" fontId="28" fillId="0" borderId="0" xfId="0" applyFont="1" applyAlignment="1"/>
    <xf numFmtId="0" fontId="58" fillId="0" borderId="0" xfId="0" applyFont="1" applyBorder="1" applyAlignment="1">
      <alignment horizontal="center" vertical="center"/>
    </xf>
    <xf numFmtId="0" fontId="59" fillId="0" borderId="0" xfId="0" applyFont="1" applyBorder="1" applyAlignment="1">
      <alignment horizontal="center" vertical="center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53" fillId="3" borderId="53" xfId="0" applyFont="1" applyFill="1" applyBorder="1" applyAlignment="1">
      <alignment horizontal="center" vertical="center"/>
    </xf>
    <xf numFmtId="0" fontId="53" fillId="3" borderId="54" xfId="0" applyFont="1" applyFill="1" applyBorder="1" applyAlignment="1">
      <alignment horizontal="center" vertical="center"/>
    </xf>
    <xf numFmtId="0" fontId="53" fillId="3" borderId="55" xfId="0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/>
    </xf>
    <xf numFmtId="0" fontId="0" fillId="3" borderId="56" xfId="0" applyFont="1" applyFill="1" applyBorder="1" applyAlignment="1">
      <alignment horizontal="center" vertical="center"/>
    </xf>
    <xf numFmtId="0" fontId="0" fillId="3" borderId="57" xfId="0" applyFont="1" applyFill="1" applyBorder="1" applyAlignment="1">
      <alignment horizontal="center" vertical="center"/>
    </xf>
    <xf numFmtId="164" fontId="11" fillId="3" borderId="58" xfId="0" applyNumberFormat="1" applyFont="1" applyFill="1" applyBorder="1" applyAlignment="1">
      <alignment horizontal="center" vertical="center"/>
    </xf>
    <xf numFmtId="0" fontId="0" fillId="3" borderId="59" xfId="0" applyFont="1" applyFill="1" applyBorder="1" applyAlignment="1">
      <alignment horizontal="center" vertical="center"/>
    </xf>
    <xf numFmtId="0" fontId="0" fillId="3" borderId="60" xfId="0" applyFont="1" applyFill="1" applyBorder="1" applyAlignment="1">
      <alignment horizontal="center" vertic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" fillId="0" borderId="0" xfId="1"/>
    <xf numFmtId="0" fontId="0" fillId="0" borderId="1" xfId="1" applyFont="1" applyBorder="1"/>
    <xf numFmtId="165" fontId="36" fillId="3" borderId="0" xfId="0" applyNumberFormat="1" applyFont="1" applyFill="1" applyBorder="1" applyAlignment="1">
      <alignment horizontal="center" vertical="center"/>
    </xf>
    <xf numFmtId="164" fontId="53" fillId="3" borderId="45" xfId="0" applyNumberFormat="1" applyFont="1" applyFill="1" applyBorder="1" applyAlignment="1">
      <alignment horizontal="center" vertical="center"/>
    </xf>
    <xf numFmtId="164" fontId="53" fillId="3" borderId="47" xfId="0" applyNumberFormat="1" applyFont="1" applyFill="1" applyBorder="1" applyAlignment="1">
      <alignment horizontal="center" vertical="center"/>
    </xf>
    <xf numFmtId="164" fontId="53" fillId="3" borderId="48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/>
    </xf>
    <xf numFmtId="0" fontId="7" fillId="0" borderId="0" xfId="0" applyFont="1" applyAlignment="1"/>
    <xf numFmtId="0" fontId="67" fillId="0" borderId="18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7" fillId="0" borderId="6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9" fillId="3" borderId="4" xfId="0" applyFont="1" applyFill="1" applyBorder="1" applyAlignment="1">
      <alignment vertical="center" wrapText="1"/>
    </xf>
    <xf numFmtId="164" fontId="17" fillId="3" borderId="22" xfId="0" applyNumberFormat="1" applyFont="1" applyFill="1" applyBorder="1" applyAlignment="1">
      <alignment horizontal="center" vertical="center"/>
    </xf>
    <xf numFmtId="0" fontId="17" fillId="3" borderId="62" xfId="0" applyFont="1" applyFill="1" applyBorder="1" applyAlignment="1">
      <alignment horizontal="center"/>
    </xf>
    <xf numFmtId="1" fontId="17" fillId="3" borderId="6" xfId="0" applyNumberFormat="1" applyFont="1" applyFill="1" applyBorder="1" applyAlignment="1">
      <alignment horizontal="center"/>
    </xf>
    <xf numFmtId="0" fontId="19" fillId="3" borderId="17" xfId="0" applyFont="1" applyFill="1" applyBorder="1" applyAlignment="1">
      <alignment vertical="center" wrapText="1"/>
    </xf>
    <xf numFmtId="164" fontId="17" fillId="3" borderId="20" xfId="0" applyNumberFormat="1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/>
    </xf>
    <xf numFmtId="1" fontId="17" fillId="3" borderId="18" xfId="0" applyNumberFormat="1" applyFont="1" applyFill="1" applyBorder="1" applyAlignment="1">
      <alignment horizontal="center"/>
    </xf>
    <xf numFmtId="0" fontId="17" fillId="3" borderId="17" xfId="0" applyFont="1" applyFill="1" applyBorder="1" applyAlignment="1">
      <alignment vertical="center" wrapText="1"/>
    </xf>
    <xf numFmtId="0" fontId="19" fillId="3" borderId="9" xfId="0" applyFont="1" applyFill="1" applyBorder="1" applyAlignment="1">
      <alignment vertical="center" wrapText="1"/>
    </xf>
    <xf numFmtId="164" fontId="17" fillId="3" borderId="21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/>
    </xf>
    <xf numFmtId="1" fontId="17" fillId="3" borderId="11" xfId="0" applyNumberFormat="1" applyFont="1" applyFill="1" applyBorder="1" applyAlignment="1">
      <alignment horizontal="center"/>
    </xf>
    <xf numFmtId="164" fontId="19" fillId="3" borderId="22" xfId="0" applyNumberFormat="1" applyFont="1" applyFill="1" applyBorder="1" applyAlignment="1">
      <alignment horizontal="center" vertical="center"/>
    </xf>
    <xf numFmtId="164" fontId="19" fillId="3" borderId="20" xfId="0" applyNumberFormat="1" applyFont="1" applyFill="1" applyBorder="1" applyAlignment="1">
      <alignment horizontal="center" vertical="center"/>
    </xf>
    <xf numFmtId="164" fontId="19" fillId="3" borderId="21" xfId="0" applyNumberFormat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56" fillId="3" borderId="67" xfId="0" applyFont="1" applyFill="1" applyBorder="1" applyAlignment="1">
      <alignment horizontal="center" vertical="center"/>
    </xf>
    <xf numFmtId="0" fontId="56" fillId="3" borderId="57" xfId="0" applyFont="1" applyFill="1" applyBorder="1" applyAlignment="1">
      <alignment horizontal="center" vertical="center"/>
    </xf>
    <xf numFmtId="164" fontId="11" fillId="3" borderId="68" xfId="0" applyNumberFormat="1" applyFont="1" applyFill="1" applyBorder="1" applyAlignment="1">
      <alignment horizontal="center" vertical="center"/>
    </xf>
    <xf numFmtId="0" fontId="56" fillId="3" borderId="56" xfId="0" applyFont="1" applyFill="1" applyBorder="1" applyAlignment="1">
      <alignment horizontal="center" vertical="center"/>
    </xf>
    <xf numFmtId="164" fontId="11" fillId="3" borderId="67" xfId="0" applyNumberFormat="1" applyFont="1" applyFill="1" applyBorder="1" applyAlignment="1">
      <alignment horizontal="center" vertical="center"/>
    </xf>
    <xf numFmtId="164" fontId="11" fillId="3" borderId="56" xfId="0" applyNumberFormat="1" applyFont="1" applyFill="1" applyBorder="1" applyAlignment="1">
      <alignment horizontal="center" vertical="center"/>
    </xf>
    <xf numFmtId="164" fontId="11" fillId="3" borderId="69" xfId="0" applyNumberFormat="1" applyFont="1" applyFill="1" applyBorder="1" applyAlignment="1">
      <alignment horizontal="center" vertical="center"/>
    </xf>
    <xf numFmtId="0" fontId="56" fillId="3" borderId="46" xfId="0" applyFont="1" applyFill="1" applyBorder="1" applyAlignment="1">
      <alignment horizontal="center" vertical="center"/>
    </xf>
    <xf numFmtId="0" fontId="56" fillId="3" borderId="1" xfId="0" applyFont="1" applyFill="1" applyBorder="1" applyAlignment="1">
      <alignment horizontal="center" vertical="center"/>
    </xf>
    <xf numFmtId="164" fontId="11" fillId="3" borderId="70" xfId="0" applyNumberFormat="1" applyFont="1" applyFill="1" applyBorder="1" applyAlignment="1">
      <alignment horizontal="center" vertical="center"/>
    </xf>
    <xf numFmtId="0" fontId="56" fillId="3" borderId="59" xfId="0" applyFont="1" applyFill="1" applyBorder="1" applyAlignment="1">
      <alignment horizontal="center" vertical="center"/>
    </xf>
    <xf numFmtId="164" fontId="11" fillId="3" borderId="46" xfId="0" applyNumberFormat="1" applyFont="1" applyFill="1" applyBorder="1" applyAlignment="1">
      <alignment horizontal="center" vertical="center"/>
    </xf>
    <xf numFmtId="164" fontId="11" fillId="3" borderId="59" xfId="0" applyNumberFormat="1" applyFont="1" applyFill="1" applyBorder="1" applyAlignment="1">
      <alignment horizontal="center" vertical="center"/>
    </xf>
    <xf numFmtId="164" fontId="11" fillId="3" borderId="71" xfId="0" applyNumberFormat="1" applyFont="1" applyFill="1" applyBorder="1" applyAlignment="1">
      <alignment horizontal="center" vertical="center"/>
    </xf>
    <xf numFmtId="0" fontId="56" fillId="3" borderId="72" xfId="0" applyFont="1" applyFill="1" applyBorder="1" applyAlignment="1">
      <alignment horizontal="center" vertical="center"/>
    </xf>
    <xf numFmtId="0" fontId="56" fillId="3" borderId="49" xfId="0" applyFont="1" applyFill="1" applyBorder="1" applyAlignment="1">
      <alignment horizontal="center" vertical="center"/>
    </xf>
    <xf numFmtId="164" fontId="11" fillId="3" borderId="73" xfId="0" applyNumberFormat="1" applyFont="1" applyFill="1" applyBorder="1" applyAlignment="1">
      <alignment horizontal="center" vertical="center"/>
    </xf>
    <xf numFmtId="0" fontId="56" fillId="3" borderId="60" xfId="0" applyFont="1" applyFill="1" applyBorder="1" applyAlignment="1">
      <alignment horizontal="center" vertical="center"/>
    </xf>
    <xf numFmtId="164" fontId="11" fillId="3" borderId="72" xfId="0" applyNumberFormat="1" applyFont="1" applyFill="1" applyBorder="1" applyAlignment="1">
      <alignment horizontal="center" vertical="center"/>
    </xf>
    <xf numFmtId="164" fontId="11" fillId="3" borderId="60" xfId="0" applyNumberFormat="1" applyFont="1" applyFill="1" applyBorder="1" applyAlignment="1">
      <alignment horizontal="center" vertical="center"/>
    </xf>
    <xf numFmtId="164" fontId="69" fillId="3" borderId="63" xfId="0" applyNumberFormat="1" applyFont="1" applyFill="1" applyBorder="1" applyAlignment="1">
      <alignment horizontal="center" vertical="center"/>
    </xf>
    <xf numFmtId="164" fontId="69" fillId="3" borderId="61" xfId="0" applyNumberFormat="1" applyFont="1" applyFill="1" applyBorder="1" applyAlignment="1">
      <alignment horizontal="center" vertical="center"/>
    </xf>
    <xf numFmtId="164" fontId="69" fillId="3" borderId="64" xfId="0" applyNumberFormat="1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/>
    </xf>
    <xf numFmtId="164" fontId="66" fillId="3" borderId="22" xfId="0" applyNumberFormat="1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/>
    </xf>
    <xf numFmtId="164" fontId="17" fillId="3" borderId="8" xfId="0" applyNumberFormat="1" applyFont="1" applyFill="1" applyBorder="1" applyAlignment="1">
      <alignment horizontal="center"/>
    </xf>
    <xf numFmtId="164" fontId="69" fillId="3" borderId="7" xfId="0" applyNumberFormat="1" applyFont="1" applyFill="1" applyBorder="1" applyAlignment="1">
      <alignment horizontal="center"/>
    </xf>
    <xf numFmtId="164" fontId="69" fillId="3" borderId="8" xfId="0" applyNumberFormat="1" applyFont="1" applyFill="1" applyBorder="1" applyAlignment="1">
      <alignment horizontal="center"/>
    </xf>
    <xf numFmtId="164" fontId="66" fillId="3" borderId="20" xfId="0" applyNumberFormat="1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/>
    </xf>
    <xf numFmtId="164" fontId="69" fillId="3" borderId="19" xfId="0" applyNumberFormat="1" applyFont="1" applyFill="1" applyBorder="1" applyAlignment="1">
      <alignment horizontal="center"/>
    </xf>
    <xf numFmtId="164" fontId="69" fillId="3" borderId="1" xfId="0" applyNumberFormat="1" applyFont="1" applyFill="1" applyBorder="1" applyAlignment="1">
      <alignment horizontal="center"/>
    </xf>
    <xf numFmtId="164" fontId="66" fillId="3" borderId="21" xfId="0" applyNumberFormat="1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/>
    </xf>
    <xf numFmtId="164" fontId="17" fillId="3" borderId="13" xfId="0" applyNumberFormat="1" applyFont="1" applyFill="1" applyBorder="1" applyAlignment="1">
      <alignment horizontal="center"/>
    </xf>
    <xf numFmtId="164" fontId="69" fillId="3" borderId="12" xfId="0" applyNumberFormat="1" applyFont="1" applyFill="1" applyBorder="1" applyAlignment="1">
      <alignment horizontal="center"/>
    </xf>
    <xf numFmtId="164" fontId="69" fillId="3" borderId="13" xfId="0" applyNumberFormat="1" applyFont="1" applyFill="1" applyBorder="1" applyAlignment="1">
      <alignment horizontal="center"/>
    </xf>
    <xf numFmtId="164" fontId="17" fillId="3" borderId="7" xfId="0" applyNumberFormat="1" applyFont="1" applyFill="1" applyBorder="1" applyAlignment="1">
      <alignment horizontal="center"/>
    </xf>
    <xf numFmtId="164" fontId="17" fillId="3" borderId="19" xfId="0" applyNumberFormat="1" applyFont="1" applyFill="1" applyBorder="1" applyAlignment="1">
      <alignment horizontal="center"/>
    </xf>
    <xf numFmtId="164" fontId="17" fillId="3" borderId="12" xfId="0" applyNumberFormat="1" applyFont="1" applyFill="1" applyBorder="1" applyAlignment="1">
      <alignment horizontal="center"/>
    </xf>
    <xf numFmtId="164" fontId="17" fillId="3" borderId="74" xfId="0" applyNumberFormat="1" applyFont="1" applyFill="1" applyBorder="1" applyAlignment="1">
      <alignment horizontal="center"/>
    </xf>
    <xf numFmtId="0" fontId="70" fillId="0" borderId="65" xfId="0" applyFont="1" applyBorder="1" applyAlignment="1">
      <alignment horizontal="center" vertical="center" wrapText="1"/>
    </xf>
    <xf numFmtId="0" fontId="70" fillId="0" borderId="41" xfId="0" applyFont="1" applyBorder="1" applyAlignment="1">
      <alignment horizontal="center" vertical="center" wrapText="1"/>
    </xf>
    <xf numFmtId="0" fontId="72" fillId="0" borderId="41" xfId="0" applyFont="1" applyBorder="1" applyAlignment="1">
      <alignment horizontal="center" vertical="center" wrapText="1"/>
    </xf>
    <xf numFmtId="0" fontId="70" fillId="0" borderId="66" xfId="0" applyFont="1" applyBorder="1" applyAlignment="1">
      <alignment horizontal="center" vertical="center" wrapText="1"/>
    </xf>
    <xf numFmtId="0" fontId="71" fillId="0" borderId="41" xfId="0" applyFont="1" applyBorder="1" applyAlignment="1">
      <alignment horizontal="center" vertical="center" wrapText="1"/>
    </xf>
    <xf numFmtId="0" fontId="68" fillId="0" borderId="41" xfId="0" applyFont="1" applyBorder="1" applyAlignment="1">
      <alignment horizontal="center" vertical="center" wrapText="1"/>
    </xf>
    <xf numFmtId="0" fontId="70" fillId="0" borderId="45" xfId="0" applyFont="1" applyBorder="1" applyAlignment="1">
      <alignment horizontal="center" vertical="center" wrapText="1"/>
    </xf>
    <xf numFmtId="0" fontId="70" fillId="0" borderId="47" xfId="0" applyFont="1" applyBorder="1" applyAlignment="1">
      <alignment horizontal="center" vertical="center" wrapText="1"/>
    </xf>
    <xf numFmtId="0" fontId="72" fillId="0" borderId="47" xfId="0" applyFont="1" applyBorder="1" applyAlignment="1">
      <alignment horizontal="center" vertical="center" wrapText="1"/>
    </xf>
    <xf numFmtId="0" fontId="71" fillId="0" borderId="47" xfId="0" applyFont="1" applyBorder="1" applyAlignment="1">
      <alignment horizontal="center" vertical="center" wrapText="1"/>
    </xf>
    <xf numFmtId="0" fontId="70" fillId="2" borderId="47" xfId="0" applyFont="1" applyFill="1" applyBorder="1" applyAlignment="1">
      <alignment horizontal="center" vertical="center" wrapText="1"/>
    </xf>
    <xf numFmtId="0" fontId="70" fillId="0" borderId="48" xfId="0" applyFont="1" applyBorder="1" applyAlignment="1">
      <alignment horizontal="center" vertical="center" wrapText="1"/>
    </xf>
    <xf numFmtId="0" fontId="70" fillId="0" borderId="45" xfId="0" applyFont="1" applyBorder="1" applyAlignment="1">
      <alignment vertical="center" wrapText="1"/>
    </xf>
    <xf numFmtId="0" fontId="70" fillId="0" borderId="47" xfId="0" applyFont="1" applyBorder="1" applyAlignment="1">
      <alignment vertical="center" wrapText="1"/>
    </xf>
    <xf numFmtId="0" fontId="67" fillId="0" borderId="47" xfId="0" applyFont="1" applyBorder="1" applyAlignment="1">
      <alignment vertical="center" wrapText="1"/>
    </xf>
    <xf numFmtId="0" fontId="71" fillId="0" borderId="47" xfId="0" applyFont="1" applyBorder="1" applyAlignment="1">
      <alignment vertical="center" wrapText="1"/>
    </xf>
    <xf numFmtId="0" fontId="70" fillId="0" borderId="48" xfId="0" applyFont="1" applyBorder="1" applyAlignment="1">
      <alignment vertical="center" wrapText="1"/>
    </xf>
    <xf numFmtId="0" fontId="70" fillId="0" borderId="6" xfId="0" applyFont="1" applyBorder="1" applyAlignment="1">
      <alignment vertical="center" wrapText="1"/>
    </xf>
    <xf numFmtId="0" fontId="70" fillId="0" borderId="18" xfId="0" applyFont="1" applyBorder="1" applyAlignment="1">
      <alignment vertical="center" wrapText="1"/>
    </xf>
    <xf numFmtId="0" fontId="71" fillId="0" borderId="18" xfId="0" applyFont="1" applyBorder="1" applyAlignment="1">
      <alignment vertical="center" wrapText="1"/>
    </xf>
    <xf numFmtId="0" fontId="70" fillId="0" borderId="11" xfId="0" applyFont="1" applyBorder="1" applyAlignment="1">
      <alignment vertical="center" wrapText="1"/>
    </xf>
    <xf numFmtId="164" fontId="73" fillId="2" borderId="7" xfId="0" applyNumberFormat="1" applyFont="1" applyFill="1" applyBorder="1" applyAlignment="1">
      <alignment horizontal="center"/>
    </xf>
    <xf numFmtId="164" fontId="73" fillId="2" borderId="8" xfId="0" applyNumberFormat="1" applyFont="1" applyFill="1" applyBorder="1" applyAlignment="1">
      <alignment horizontal="center"/>
    </xf>
    <xf numFmtId="164" fontId="73" fillId="2" borderId="19" xfId="0" applyNumberFormat="1" applyFont="1" applyFill="1" applyBorder="1" applyAlignment="1">
      <alignment horizontal="center"/>
    </xf>
    <xf numFmtId="164" fontId="73" fillId="2" borderId="1" xfId="0" applyNumberFormat="1" applyFont="1" applyFill="1" applyBorder="1" applyAlignment="1">
      <alignment horizontal="center"/>
    </xf>
    <xf numFmtId="164" fontId="73" fillId="2" borderId="12" xfId="0" applyNumberFormat="1" applyFont="1" applyFill="1" applyBorder="1" applyAlignment="1">
      <alignment horizontal="center"/>
    </xf>
    <xf numFmtId="164" fontId="73" fillId="2" borderId="13" xfId="0" applyNumberFormat="1" applyFont="1" applyFill="1" applyBorder="1" applyAlignment="1">
      <alignment horizontal="center"/>
    </xf>
    <xf numFmtId="164" fontId="17" fillId="0" borderId="1" xfId="0" applyNumberFormat="1" applyFont="1" applyFill="1" applyBorder="1" applyAlignment="1">
      <alignment horizontal="center"/>
    </xf>
    <xf numFmtId="164" fontId="19" fillId="3" borderId="7" xfId="0" applyNumberFormat="1" applyFont="1" applyFill="1" applyBorder="1" applyAlignment="1">
      <alignment horizontal="center"/>
    </xf>
    <xf numFmtId="164" fontId="19" fillId="3" borderId="8" xfId="0" applyNumberFormat="1" applyFont="1" applyFill="1" applyBorder="1" applyAlignment="1">
      <alignment horizontal="center"/>
    </xf>
    <xf numFmtId="164" fontId="19" fillId="3" borderId="19" xfId="0" applyNumberFormat="1" applyFont="1" applyFill="1" applyBorder="1" applyAlignment="1">
      <alignment horizontal="center"/>
    </xf>
    <xf numFmtId="164" fontId="19" fillId="3" borderId="1" xfId="0" applyNumberFormat="1" applyFont="1" applyFill="1" applyBorder="1" applyAlignment="1">
      <alignment horizontal="center"/>
    </xf>
    <xf numFmtId="164" fontId="19" fillId="3" borderId="12" xfId="0" applyNumberFormat="1" applyFont="1" applyFill="1" applyBorder="1" applyAlignment="1">
      <alignment horizontal="center"/>
    </xf>
    <xf numFmtId="164" fontId="19" fillId="3" borderId="13" xfId="0" applyNumberFormat="1" applyFont="1" applyFill="1" applyBorder="1" applyAlignment="1">
      <alignment horizontal="center"/>
    </xf>
    <xf numFmtId="164" fontId="17" fillId="4" borderId="19" xfId="0" applyNumberFormat="1" applyFont="1" applyFill="1" applyBorder="1" applyAlignment="1">
      <alignment horizontal="center"/>
    </xf>
    <xf numFmtId="164" fontId="19" fillId="3" borderId="63" xfId="0" applyNumberFormat="1" applyFont="1" applyFill="1" applyBorder="1" applyAlignment="1">
      <alignment horizontal="center" vertical="center"/>
    </xf>
    <xf numFmtId="164" fontId="19" fillId="3" borderId="61" xfId="0" applyNumberFormat="1" applyFont="1" applyFill="1" applyBorder="1" applyAlignment="1">
      <alignment horizontal="center" vertical="center"/>
    </xf>
    <xf numFmtId="164" fontId="19" fillId="3" borderId="64" xfId="0" applyNumberFormat="1" applyFont="1" applyFill="1" applyBorder="1" applyAlignment="1">
      <alignment horizontal="center" vertical="center"/>
    </xf>
    <xf numFmtId="164" fontId="17" fillId="5" borderId="19" xfId="0" applyNumberFormat="1" applyFont="1" applyFill="1" applyBorder="1" applyAlignment="1">
      <alignment horizontal="center"/>
    </xf>
    <xf numFmtId="164" fontId="17" fillId="5" borderId="1" xfId="0" applyNumberFormat="1" applyFont="1" applyFill="1" applyBorder="1" applyAlignment="1">
      <alignment horizontal="center"/>
    </xf>
    <xf numFmtId="164" fontId="17" fillId="5" borderId="20" xfId="0" applyNumberFormat="1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6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1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73" fillId="2" borderId="22" xfId="0" applyNumberFormat="1" applyFont="1" applyFill="1" applyBorder="1" applyAlignment="1">
      <alignment horizontal="center" vertical="center"/>
    </xf>
    <xf numFmtId="0" fontId="73" fillId="2" borderId="62" xfId="0" applyFont="1" applyFill="1" applyBorder="1" applyAlignment="1">
      <alignment horizontal="center"/>
    </xf>
    <xf numFmtId="164" fontId="73" fillId="2" borderId="20" xfId="0" applyNumberFormat="1" applyFont="1" applyFill="1" applyBorder="1" applyAlignment="1">
      <alignment horizontal="center" vertical="center"/>
    </xf>
    <xf numFmtId="164" fontId="73" fillId="2" borderId="21" xfId="0" applyNumberFormat="1" applyFont="1" applyFill="1" applyBorder="1" applyAlignment="1">
      <alignment horizontal="center" vertical="center"/>
    </xf>
    <xf numFmtId="0" fontId="0" fillId="0" borderId="32" xfId="1" applyFont="1" applyBorder="1" applyAlignment="1">
      <alignment horizontal="center" vertical="center"/>
    </xf>
    <xf numFmtId="0" fontId="0" fillId="0" borderId="38" xfId="1" applyFont="1" applyBorder="1" applyAlignment="1">
      <alignment horizontal="center" vertical="center"/>
    </xf>
    <xf numFmtId="164" fontId="25" fillId="0" borderId="37" xfId="1" applyNumberFormat="1" applyFont="1" applyBorder="1" applyAlignment="1">
      <alignment horizontal="center" vertical="center"/>
    </xf>
    <xf numFmtId="164" fontId="25" fillId="0" borderId="40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32" fillId="0" borderId="32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58" fillId="0" borderId="46" xfId="0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47" fillId="0" borderId="32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4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50" fillId="3" borderId="32" xfId="0" applyFont="1" applyFill="1" applyBorder="1" applyAlignment="1">
      <alignment horizontal="center" vertical="center"/>
    </xf>
    <xf numFmtId="0" fontId="50" fillId="3" borderId="41" xfId="0" applyFont="1" applyFill="1" applyBorder="1" applyAlignment="1">
      <alignment horizontal="center" vertical="center"/>
    </xf>
    <xf numFmtId="0" fontId="51" fillId="0" borderId="34" xfId="0" applyFont="1" applyBorder="1" applyAlignment="1">
      <alignment horizontal="center" vertical="center"/>
    </xf>
    <xf numFmtId="0" fontId="51" fillId="0" borderId="36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65" fillId="0" borderId="35" xfId="0" applyFont="1" applyBorder="1" applyAlignment="1">
      <alignment horizontal="center" vertical="center"/>
    </xf>
    <xf numFmtId="0" fontId="65" fillId="0" borderId="36" xfId="0" applyFont="1" applyBorder="1" applyAlignment="1">
      <alignment horizontal="center" vertical="center"/>
    </xf>
    <xf numFmtId="0" fontId="49" fillId="3" borderId="34" xfId="0" applyFont="1" applyFill="1" applyBorder="1" applyAlignment="1">
      <alignment horizontal="center" vertical="center"/>
    </xf>
    <xf numFmtId="0" fontId="49" fillId="3" borderId="35" xfId="0" applyFont="1" applyFill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/>
    </xf>
    <xf numFmtId="0" fontId="51" fillId="0" borderId="35" xfId="0" applyFont="1" applyBorder="1" applyAlignment="1">
      <alignment horizontal="center" vertical="center"/>
    </xf>
    <xf numFmtId="0" fontId="50" fillId="3" borderId="33" xfId="0" applyFont="1" applyFill="1" applyBorder="1" applyAlignment="1">
      <alignment horizontal="center" vertical="center"/>
    </xf>
    <xf numFmtId="0" fontId="50" fillId="3" borderId="50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4" fillId="0" borderId="0" xfId="0" applyFont="1" applyAlignment="1">
      <alignment horizontal="left"/>
    </xf>
    <xf numFmtId="0" fontId="31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38" fillId="0" borderId="0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42" fillId="0" borderId="0" xfId="0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165" fontId="36" fillId="3" borderId="3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37" fillId="3" borderId="32" xfId="0" applyFont="1" applyFill="1" applyBorder="1" applyAlignment="1">
      <alignment horizontal="center" vertical="center" textRotation="45"/>
    </xf>
    <xf numFmtId="0" fontId="37" fillId="3" borderId="38" xfId="0" applyFont="1" applyFill="1" applyBorder="1" applyAlignment="1">
      <alignment horizontal="center" vertical="center" textRotation="45"/>
    </xf>
    <xf numFmtId="0" fontId="37" fillId="3" borderId="33" xfId="0" applyFont="1" applyFill="1" applyBorder="1" applyAlignment="1">
      <alignment horizontal="center" vertical="center"/>
    </xf>
    <xf numFmtId="0" fontId="37" fillId="3" borderId="39" xfId="0" applyFont="1" applyFill="1" applyBorder="1" applyAlignment="1">
      <alignment horizontal="center" vertical="center"/>
    </xf>
    <xf numFmtId="0" fontId="37" fillId="3" borderId="32" xfId="0" applyFont="1" applyFill="1" applyBorder="1" applyAlignment="1">
      <alignment horizontal="center" vertical="center"/>
    </xf>
    <xf numFmtId="0" fontId="37" fillId="3" borderId="38" xfId="0" applyFont="1" applyFill="1" applyBorder="1" applyAlignment="1">
      <alignment horizontal="center" vertical="center"/>
    </xf>
    <xf numFmtId="0" fontId="65" fillId="3" borderId="34" xfId="0" applyFont="1" applyFill="1" applyBorder="1" applyAlignment="1">
      <alignment horizontal="center" vertical="center"/>
    </xf>
    <xf numFmtId="0" fontId="65" fillId="3" borderId="35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textRotation="45"/>
    </xf>
    <xf numFmtId="0" fontId="13" fillId="0" borderId="3" xfId="0" applyFont="1" applyBorder="1" applyAlignment="1">
      <alignment horizontal="center" vertical="center" textRotation="45"/>
    </xf>
    <xf numFmtId="0" fontId="27" fillId="0" borderId="27" xfId="0" applyFont="1" applyBorder="1" applyAlignment="1">
      <alignment horizontal="center"/>
    </xf>
    <xf numFmtId="0" fontId="27" fillId="0" borderId="28" xfId="0" applyFont="1" applyBorder="1" applyAlignment="1">
      <alignment horizontal="center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textRotation="45"/>
    </xf>
    <xf numFmtId="0" fontId="13" fillId="0" borderId="10" xfId="0" applyFont="1" applyBorder="1" applyAlignment="1">
      <alignment horizontal="center" vertical="center" textRotation="45"/>
    </xf>
    <xf numFmtId="0" fontId="7" fillId="0" borderId="0" xfId="0" applyFont="1" applyBorder="1" applyAlignment="1">
      <alignment horizontal="center"/>
    </xf>
    <xf numFmtId="0" fontId="16" fillId="0" borderId="4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top"/>
    </xf>
    <xf numFmtId="0" fontId="16" fillId="0" borderId="22" xfId="0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2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7" fillId="0" borderId="24" xfId="0" applyFont="1" applyBorder="1" applyAlignment="1">
      <alignment horizontal="right"/>
    </xf>
    <xf numFmtId="0" fontId="7" fillId="0" borderId="0" xfId="0" applyFont="1" applyAlignment="1">
      <alignment horizontal="right"/>
    </xf>
  </cellXfs>
  <cellStyles count="5">
    <cellStyle name="Normal" xfId="0" builtinId="0"/>
    <cellStyle name="Normal 2" xfId="2"/>
    <cellStyle name="Normal 2 2" xfId="3"/>
    <cellStyle name="Normal 2 2 2" xfId="4"/>
    <cellStyle name="Normal 8" xfId="1"/>
  </cellStyles>
  <dxfs count="397"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color rgb="FF0000FF"/>
      </font>
    </dxf>
    <dxf>
      <font>
        <b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theme="4"/>
      </font>
    </dxf>
    <dxf>
      <font>
        <color rgb="FFFF0000"/>
      </font>
    </dxf>
    <dxf>
      <font>
        <color rgb="FFC00000"/>
      </font>
    </dxf>
    <dxf>
      <font>
        <color rgb="FF0070C0"/>
      </font>
    </dxf>
    <dxf>
      <font>
        <color rgb="FF5C9BD5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5181BD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5C9BD5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theme="4"/>
      </font>
    </dxf>
    <dxf>
      <font>
        <color rgb="FFC00000"/>
      </font>
    </dxf>
    <dxf>
      <font>
        <color rgb="FF0070C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41</xdr:col>
      <xdr:colOff>612321</xdr:colOff>
      <xdr:row>4</xdr:row>
      <xdr:rowOff>27216</xdr:rowOff>
    </xdr:to>
    <xdr:cxnSp macro="">
      <xdr:nvCxnSpPr>
        <xdr:cNvPr id="3" name="Conexão recta 4"/>
        <xdr:cNvCxnSpPr/>
      </xdr:nvCxnSpPr>
      <xdr:spPr>
        <a:xfrm flipV="1">
          <a:off x="164166" y="522515"/>
          <a:ext cx="17574105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68035</xdr:colOff>
      <xdr:row>0</xdr:row>
      <xdr:rowOff>108857</xdr:rowOff>
    </xdr:from>
    <xdr:to>
      <xdr:col>2</xdr:col>
      <xdr:colOff>666750</xdr:colOff>
      <xdr:row>3</xdr:row>
      <xdr:rowOff>108857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678" y="108857"/>
          <a:ext cx="898072" cy="3673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4</xdr:row>
      <xdr:rowOff>27215</xdr:rowOff>
    </xdr:from>
    <xdr:to>
      <xdr:col>41</xdr:col>
      <xdr:colOff>612321</xdr:colOff>
      <xdr:row>4</xdr:row>
      <xdr:rowOff>27216</xdr:rowOff>
    </xdr:to>
    <xdr:cxnSp macro="">
      <xdr:nvCxnSpPr>
        <xdr:cNvPr id="2" name="Conexão recta 4"/>
        <xdr:cNvCxnSpPr/>
      </xdr:nvCxnSpPr>
      <xdr:spPr>
        <a:xfrm flipV="1">
          <a:off x="169881" y="514895"/>
          <a:ext cx="17534100" cy="1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68035</xdr:colOff>
      <xdr:row>0</xdr:row>
      <xdr:rowOff>108857</xdr:rowOff>
    </xdr:from>
    <xdr:to>
      <xdr:col>2</xdr:col>
      <xdr:colOff>666750</xdr:colOff>
      <xdr:row>3</xdr:row>
      <xdr:rowOff>108857</xdr:rowOff>
    </xdr:to>
    <xdr:pic>
      <xdr:nvPicPr>
        <xdr:cNvPr id="3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75" y="108857"/>
          <a:ext cx="903515" cy="3657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297180</xdr:colOff>
          <xdr:row>54</xdr:row>
          <xdr:rowOff>22860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4" name="Conexão recta 7"/>
        <xdr:cNvCxnSpPr/>
      </xdr:nvCxnSpPr>
      <xdr:spPr>
        <a:xfrm>
          <a:off x="40900" y="286310"/>
          <a:ext cx="676499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6" name="Imagem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335280</xdr:colOff>
          <xdr:row>54</xdr:row>
          <xdr:rowOff>22860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99060</xdr:colOff>
          <xdr:row>54</xdr:row>
          <xdr:rowOff>22860</xdr:rowOff>
        </xdr:to>
        <xdr:sp macro="" textlink="">
          <xdr:nvSpPr>
            <xdr:cNvPr id="19457" name="Object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335280</xdr:colOff>
          <xdr:row>54</xdr:row>
          <xdr:rowOff>22860</xdr:rowOff>
        </xdr:to>
        <xdr:sp macro="" textlink="">
          <xdr:nvSpPr>
            <xdr:cNvPr id="15361" name="Object 1" hidden="1">
              <a:extLst>
                <a:ext uri="{63B3BB69-23CF-44E3-9099-C40C66FF867C}">
                  <a14:compatExt spid="_x0000_s15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312420</xdr:colOff>
          <xdr:row>54</xdr:row>
          <xdr:rowOff>22860</xdr:rowOff>
        </xdr:to>
        <xdr:sp macro="" textlink="">
          <xdr:nvSpPr>
            <xdr:cNvPr id="20481" name="Object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60960</xdr:colOff>
          <xdr:row>54</xdr:row>
          <xdr:rowOff>22860</xdr:rowOff>
        </xdr:to>
        <xdr:sp macro="" textlink="">
          <xdr:nvSpPr>
            <xdr:cNvPr id="21505" name="Object 1" hidden="1">
              <a:extLst>
                <a:ext uri="{63B3BB69-23CF-44E3-9099-C40C66FF867C}">
                  <a14:compatExt spid="_x0000_s215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335280</xdr:colOff>
          <xdr:row>54</xdr:row>
          <xdr:rowOff>22860</xdr:rowOff>
        </xdr:to>
        <xdr:sp macro="" textlink="">
          <xdr:nvSpPr>
            <xdr:cNvPr id="23553" name="Object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38100</xdr:colOff>
          <xdr:row>54</xdr:row>
          <xdr:rowOff>22860</xdr:rowOff>
        </xdr:to>
        <xdr:sp macro="" textlink="">
          <xdr:nvSpPr>
            <xdr:cNvPr id="16385" name="Object 1" hidden="1">
              <a:extLst>
                <a:ext uri="{63B3BB69-23CF-44E3-9099-C40C66FF867C}">
                  <a14:compatExt spid="_x0000_s16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13</xdr:col>
          <xdr:colOff>274320</xdr:colOff>
          <xdr:row>54</xdr:row>
          <xdr:rowOff>22860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99060</xdr:colOff>
          <xdr:row>54</xdr:row>
          <xdr:rowOff>22860</xdr:rowOff>
        </xdr:to>
        <xdr:sp macro="" textlink="">
          <xdr:nvSpPr>
            <xdr:cNvPr id="22529" name="Object 1" hidden="1">
              <a:extLst>
                <a:ext uri="{63B3BB69-23CF-44E3-9099-C40C66FF867C}">
                  <a14:compatExt spid="_x0000_s225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22860</xdr:colOff>
          <xdr:row>54</xdr:row>
          <xdr:rowOff>22860</xdr:rowOff>
        </xdr:to>
        <xdr:sp macro="" textlink=""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60960</xdr:colOff>
          <xdr:row>52</xdr:row>
          <xdr:rowOff>160020</xdr:rowOff>
        </xdr:from>
        <xdr:to>
          <xdr:col>14</xdr:col>
          <xdr:colOff>22860</xdr:colOff>
          <xdr:row>54</xdr:row>
          <xdr:rowOff>22860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40900</xdr:colOff>
      <xdr:row>0</xdr:row>
      <xdr:rowOff>286310</xdr:rowOff>
    </xdr:from>
    <xdr:to>
      <xdr:col>25</xdr:col>
      <xdr:colOff>366991</xdr:colOff>
      <xdr:row>0</xdr:row>
      <xdr:rowOff>286310</xdr:rowOff>
    </xdr:to>
    <xdr:cxnSp macro="">
      <xdr:nvCxnSpPr>
        <xdr:cNvPr id="3" name="Conexão recta 7"/>
        <xdr:cNvCxnSpPr/>
      </xdr:nvCxnSpPr>
      <xdr:spPr>
        <a:xfrm>
          <a:off x="40900" y="286310"/>
          <a:ext cx="10289241" cy="0"/>
        </a:xfrm>
        <a:prstGeom prst="line">
          <a:avLst/>
        </a:prstGeom>
        <a:ln w="28575">
          <a:solidFill>
            <a:schemeClr val="accent6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28575</xdr:colOff>
      <xdr:row>0</xdr:row>
      <xdr:rowOff>38100</xdr:rowOff>
    </xdr:from>
    <xdr:to>
      <xdr:col>2</xdr:col>
      <xdr:colOff>425450</xdr:colOff>
      <xdr:row>0</xdr:row>
      <xdr:rowOff>257175</xdr:rowOff>
    </xdr:to>
    <xdr:pic>
      <xdr:nvPicPr>
        <xdr:cNvPr id="4" name="Imagem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644525" cy="2190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Microsoft_Word_97_-_2003_Document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Microsoft_Word_97_-_2003_Document1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2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5.emf"/><Relationship Id="rId4" Type="http://schemas.openxmlformats.org/officeDocument/2006/relationships/oleObject" Target="../embeddings/Microsoft_Word_97_-_2003_Document3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6.emf"/><Relationship Id="rId4" Type="http://schemas.openxmlformats.org/officeDocument/2006/relationships/oleObject" Target="../embeddings/Microsoft_Word_97_-_2003_Document4.doc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7.emf"/><Relationship Id="rId4" Type="http://schemas.openxmlformats.org/officeDocument/2006/relationships/oleObject" Target="../embeddings/Microsoft_Word_97_-_2003_Document5.doc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8.emf"/><Relationship Id="rId4" Type="http://schemas.openxmlformats.org/officeDocument/2006/relationships/oleObject" Target="../embeddings/Microsoft_Word_97_-_2003_Document6.doc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9.emf"/><Relationship Id="rId4" Type="http://schemas.openxmlformats.org/officeDocument/2006/relationships/oleObject" Target="../embeddings/Microsoft_Word_97_-_2003_Document7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10.emf"/><Relationship Id="rId4" Type="http://schemas.openxmlformats.org/officeDocument/2006/relationships/oleObject" Target="../embeddings/Microsoft_Word_97_-_2003_Document8.doc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5" Type="http://schemas.openxmlformats.org/officeDocument/2006/relationships/image" Target="../media/image4.emf"/><Relationship Id="rId4" Type="http://schemas.openxmlformats.org/officeDocument/2006/relationships/oleObject" Target="../embeddings/Microsoft_Word_97_-_2003_Document9.doc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5" Type="http://schemas.openxmlformats.org/officeDocument/2006/relationships/image" Target="../media/image11.emf"/><Relationship Id="rId4" Type="http://schemas.openxmlformats.org/officeDocument/2006/relationships/oleObject" Target="../embeddings/Microsoft_Word_97_-_2003_Document10.doc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5" Type="http://schemas.openxmlformats.org/officeDocument/2006/relationships/image" Target="../media/image12.emf"/><Relationship Id="rId4" Type="http://schemas.openxmlformats.org/officeDocument/2006/relationships/oleObject" Target="../embeddings/Microsoft_Word_97_-_2003_Document1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BB71"/>
  <sheetViews>
    <sheetView showGridLines="0" showWhiteSpace="0" topLeftCell="D1" zoomScale="70" zoomScaleNormal="70" zoomScalePageLayoutView="55" workbookViewId="0">
      <selection activeCell="W50" sqref="W50"/>
    </sheetView>
  </sheetViews>
  <sheetFormatPr defaultRowHeight="14.4" x14ac:dyDescent="0.3"/>
  <cols>
    <col min="1" max="1" width="1.33203125" customWidth="1"/>
    <col min="2" max="2" width="4.44140625" customWidth="1"/>
    <col min="3" max="3" width="17" customWidth="1"/>
    <col min="4" max="4" width="43" customWidth="1"/>
    <col min="5" max="5" width="30.88671875" customWidth="1"/>
    <col min="6" max="7" width="2.6640625" customWidth="1"/>
    <col min="8" max="8" width="6.5546875" customWidth="1"/>
    <col min="9" max="10" width="2.6640625" customWidth="1"/>
    <col min="11" max="11" width="7" customWidth="1"/>
    <col min="12" max="13" width="2.6640625" customWidth="1"/>
    <col min="14" max="14" width="7.44140625" customWidth="1"/>
    <col min="15" max="16" width="2.6640625" customWidth="1"/>
    <col min="17" max="17" width="7.33203125" customWidth="1"/>
    <col min="18" max="19" width="2.6640625" customWidth="1"/>
    <col min="20" max="20" width="6.88671875" customWidth="1"/>
    <col min="21" max="22" width="2.6640625" customWidth="1"/>
    <col min="23" max="23" width="6.6640625" customWidth="1"/>
    <col min="24" max="25" width="3.109375" customWidth="1"/>
    <col min="26" max="26" width="6.6640625" customWidth="1"/>
    <col min="27" max="28" width="2.6640625" customWidth="1"/>
    <col min="29" max="29" width="7.6640625" customWidth="1"/>
    <col min="30" max="31" width="2.6640625" customWidth="1"/>
    <col min="32" max="32" width="6.44140625" customWidth="1"/>
    <col min="33" max="33" width="3" customWidth="1"/>
    <col min="34" max="34" width="3.109375" customWidth="1"/>
    <col min="35" max="35" width="6.6640625" customWidth="1"/>
    <col min="36" max="36" width="4.33203125" customWidth="1"/>
    <col min="37" max="37" width="3" customWidth="1"/>
    <col min="38" max="38" width="7.109375" customWidth="1"/>
    <col min="39" max="39" width="3.44140625" customWidth="1"/>
    <col min="40" max="40" width="3.33203125" customWidth="1"/>
    <col min="41" max="41" width="7" customWidth="1"/>
    <col min="42" max="42" width="17.5546875" customWidth="1"/>
    <col min="43" max="43" width="9.5546875" customWidth="1"/>
    <col min="45" max="45" width="10.6640625" customWidth="1"/>
    <col min="48" max="53" width="9.6640625" bestFit="1" customWidth="1"/>
  </cols>
  <sheetData>
    <row r="1" spans="1:53" ht="9.9" customHeight="1" x14ac:dyDescent="0.5">
      <c r="A1" s="260" t="s">
        <v>64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84"/>
    </row>
    <row r="2" spans="1:53" ht="9.9" customHeight="1" x14ac:dyDescent="0.5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84"/>
    </row>
    <row r="3" spans="1:53" ht="9.9" customHeight="1" x14ac:dyDescent="0.5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84"/>
    </row>
    <row r="4" spans="1:53" ht="9.9" customHeight="1" x14ac:dyDescent="0.5">
      <c r="A4" s="260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84"/>
    </row>
    <row r="5" spans="1:53" ht="9.9" customHeight="1" x14ac:dyDescent="0.4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spans="1:53" ht="9.9" customHeight="1" x14ac:dyDescent="0.4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53" ht="29.25" customHeight="1" x14ac:dyDescent="0.3">
      <c r="B7" s="261" t="s">
        <v>37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85"/>
    </row>
    <row r="8" spans="1:53" ht="32.25" customHeight="1" x14ac:dyDescent="0.3">
      <c r="B8" s="38"/>
      <c r="C8" s="262" t="s">
        <v>38</v>
      </c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86"/>
    </row>
    <row r="9" spans="1:53" ht="16.5" customHeight="1" x14ac:dyDescent="0.35">
      <c r="B9" s="39"/>
      <c r="C9" s="39"/>
      <c r="D9" s="39"/>
      <c r="E9" s="39"/>
      <c r="F9" s="39"/>
      <c r="G9" s="39"/>
      <c r="H9" s="263" t="s">
        <v>39</v>
      </c>
      <c r="I9" s="263"/>
      <c r="J9" s="263"/>
      <c r="K9" s="263"/>
      <c r="L9" s="40"/>
      <c r="M9" s="264" t="s">
        <v>40</v>
      </c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4"/>
      <c r="AB9" s="264"/>
      <c r="AC9" s="264"/>
      <c r="AD9" s="41"/>
      <c r="AE9" s="266" t="s">
        <v>41</v>
      </c>
      <c r="AF9" s="266"/>
      <c r="AG9" s="266"/>
      <c r="AH9" s="266"/>
      <c r="AI9" s="266"/>
      <c r="AJ9" s="266"/>
      <c r="AK9" s="42"/>
      <c r="AL9" s="42"/>
      <c r="AM9" s="42"/>
      <c r="AN9" s="42"/>
      <c r="AO9" s="42"/>
      <c r="AP9" s="42"/>
      <c r="AQ9" s="42"/>
    </row>
    <row r="10" spans="1:53" ht="18" customHeight="1" thickBot="1" x14ac:dyDescent="0.4">
      <c r="B10" s="267" t="s">
        <v>42</v>
      </c>
      <c r="C10" s="267"/>
      <c r="D10" s="267"/>
      <c r="E10" s="43"/>
      <c r="F10" s="39"/>
      <c r="G10" s="39"/>
      <c r="H10" s="263"/>
      <c r="I10" s="263"/>
      <c r="J10" s="263"/>
      <c r="K10" s="263"/>
      <c r="L10" s="42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42"/>
      <c r="AE10" s="266" t="s">
        <v>43</v>
      </c>
      <c r="AF10" s="266"/>
      <c r="AG10" s="266"/>
      <c r="AH10" s="266"/>
      <c r="AI10" s="266"/>
      <c r="AJ10" s="266"/>
      <c r="AK10" s="44"/>
      <c r="AL10" s="38" t="s">
        <v>44</v>
      </c>
      <c r="AM10" s="268">
        <f>SUM(AM12,AM11)</f>
        <v>44</v>
      </c>
      <c r="AN10" s="268"/>
      <c r="AO10" s="42"/>
      <c r="AP10" s="42"/>
      <c r="AQ10" s="42"/>
    </row>
    <row r="11" spans="1:53" ht="20.25" customHeight="1" thickTop="1" thickBot="1" x14ac:dyDescent="0.4">
      <c r="B11" s="269" t="s">
        <v>45</v>
      </c>
      <c r="C11" s="269"/>
      <c r="D11" s="269"/>
      <c r="E11" s="45"/>
      <c r="F11" s="39"/>
      <c r="G11" s="39"/>
      <c r="H11" s="268" t="s">
        <v>46</v>
      </c>
      <c r="I11" s="268"/>
      <c r="J11" s="270" t="s">
        <v>63</v>
      </c>
      <c r="K11" s="270"/>
      <c r="L11" s="46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42"/>
      <c r="AE11" s="266"/>
      <c r="AF11" s="266"/>
      <c r="AG11" s="266"/>
      <c r="AH11" s="266"/>
      <c r="AI11" s="266"/>
      <c r="AJ11" s="266"/>
      <c r="AK11" s="44"/>
      <c r="AL11" s="38" t="s">
        <v>0</v>
      </c>
      <c r="AM11" s="271">
        <f>COUNTIF(AS17:AS60,"M")</f>
        <v>11</v>
      </c>
      <c r="AN11" s="271"/>
      <c r="AO11" s="42"/>
      <c r="AP11" s="272">
        <v>46003</v>
      </c>
      <c r="AQ11" s="89"/>
    </row>
    <row r="12" spans="1:53" ht="19.5" customHeight="1" thickTop="1" thickBot="1" x14ac:dyDescent="0.4">
      <c r="B12" s="271" t="s">
        <v>47</v>
      </c>
      <c r="C12" s="271"/>
      <c r="D12" s="271"/>
      <c r="E12" s="38"/>
      <c r="F12" s="39"/>
      <c r="G12" s="39"/>
      <c r="H12" s="268"/>
      <c r="I12" s="268"/>
      <c r="J12" s="270"/>
      <c r="K12" s="270"/>
      <c r="L12" s="46"/>
      <c r="M12" s="46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2"/>
      <c r="AB12" s="42"/>
      <c r="AC12" s="42"/>
      <c r="AD12" s="273" t="s">
        <v>137</v>
      </c>
      <c r="AE12" s="273"/>
      <c r="AF12" s="273"/>
      <c r="AG12" s="273"/>
      <c r="AH12" s="273"/>
      <c r="AI12" s="273"/>
      <c r="AJ12" s="273"/>
      <c r="AK12" s="44"/>
      <c r="AL12" s="38" t="s">
        <v>1</v>
      </c>
      <c r="AM12" s="259">
        <f>COUNTIF(AS17:AS60,"F")</f>
        <v>33</v>
      </c>
      <c r="AN12" s="259"/>
      <c r="AO12" s="42"/>
      <c r="AP12" s="272"/>
      <c r="AQ12" s="89"/>
    </row>
    <row r="13" spans="1:53" ht="20.25" customHeight="1" thickTop="1" thickBot="1" x14ac:dyDescent="0.35">
      <c r="B13" s="269" t="s">
        <v>90</v>
      </c>
      <c r="C13" s="269"/>
      <c r="D13" s="269"/>
      <c r="E13" s="45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7"/>
      <c r="AB13" s="47"/>
      <c r="AC13" s="47"/>
      <c r="AD13" s="47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7"/>
      <c r="AQ13" s="47"/>
    </row>
    <row r="14" spans="1:53" ht="25.5" customHeight="1" thickBot="1" x14ac:dyDescent="0.35">
      <c r="B14" s="274" t="s">
        <v>48</v>
      </c>
      <c r="C14" s="274" t="s">
        <v>49</v>
      </c>
      <c r="D14" s="276" t="s">
        <v>50</v>
      </c>
      <c r="E14" s="278" t="s">
        <v>51</v>
      </c>
      <c r="F14" s="280" t="s">
        <v>69</v>
      </c>
      <c r="G14" s="281"/>
      <c r="H14" s="282"/>
      <c r="I14" s="250" t="s">
        <v>70</v>
      </c>
      <c r="J14" s="250"/>
      <c r="K14" s="250"/>
      <c r="L14" s="280" t="s">
        <v>71</v>
      </c>
      <c r="M14" s="281"/>
      <c r="N14" s="282"/>
      <c r="O14" s="250" t="s">
        <v>52</v>
      </c>
      <c r="P14" s="250"/>
      <c r="Q14" s="251"/>
      <c r="R14" s="249" t="s">
        <v>72</v>
      </c>
      <c r="S14" s="250"/>
      <c r="T14" s="251"/>
      <c r="U14" s="249" t="s">
        <v>73</v>
      </c>
      <c r="V14" s="250"/>
      <c r="W14" s="251"/>
      <c r="X14" s="249" t="s">
        <v>74</v>
      </c>
      <c r="Y14" s="250"/>
      <c r="Z14" s="251"/>
      <c r="AA14" s="250" t="s">
        <v>75</v>
      </c>
      <c r="AB14" s="250"/>
      <c r="AC14" s="250"/>
      <c r="AD14" s="249" t="s">
        <v>76</v>
      </c>
      <c r="AE14" s="250"/>
      <c r="AF14" s="251"/>
      <c r="AG14" s="249" t="s">
        <v>77</v>
      </c>
      <c r="AH14" s="250"/>
      <c r="AI14" s="251"/>
      <c r="AJ14" s="249" t="s">
        <v>78</v>
      </c>
      <c r="AK14" s="250"/>
      <c r="AL14" s="250"/>
      <c r="AM14" s="249" t="s">
        <v>79</v>
      </c>
      <c r="AN14" s="250"/>
      <c r="AO14" s="251"/>
      <c r="AP14" s="225" t="s">
        <v>8</v>
      </c>
      <c r="AQ14" s="225" t="s">
        <v>68</v>
      </c>
      <c r="AR14" s="233" t="s">
        <v>53</v>
      </c>
      <c r="AS14" s="235" t="s">
        <v>54</v>
      </c>
      <c r="AT14" s="237" t="s">
        <v>55</v>
      </c>
      <c r="AU14" s="237"/>
      <c r="AV14" s="237"/>
      <c r="AW14" s="237"/>
      <c r="AX14" s="237"/>
      <c r="AY14" s="237"/>
      <c r="AZ14" s="237"/>
      <c r="BA14" s="237"/>
    </row>
    <row r="15" spans="1:53" ht="12.9" customHeight="1" thickBot="1" x14ac:dyDescent="0.35">
      <c r="B15" s="275"/>
      <c r="C15" s="275"/>
      <c r="D15" s="277"/>
      <c r="E15" s="279"/>
      <c r="F15" s="252" t="s">
        <v>25</v>
      </c>
      <c r="G15" s="253"/>
      <c r="H15" s="245" t="s">
        <v>56</v>
      </c>
      <c r="I15" s="254" t="s">
        <v>25</v>
      </c>
      <c r="J15" s="254"/>
      <c r="K15" s="245" t="s">
        <v>56</v>
      </c>
      <c r="L15" s="255" t="s">
        <v>25</v>
      </c>
      <c r="M15" s="254"/>
      <c r="N15" s="245" t="s">
        <v>56</v>
      </c>
      <c r="O15" s="254" t="s">
        <v>25</v>
      </c>
      <c r="P15" s="254"/>
      <c r="Q15" s="245" t="s">
        <v>56</v>
      </c>
      <c r="R15" s="247" t="s">
        <v>25</v>
      </c>
      <c r="S15" s="256"/>
      <c r="T15" s="245" t="s">
        <v>56</v>
      </c>
      <c r="U15" s="247" t="s">
        <v>25</v>
      </c>
      <c r="V15" s="248"/>
      <c r="W15" s="245" t="s">
        <v>56</v>
      </c>
      <c r="X15" s="247" t="s">
        <v>25</v>
      </c>
      <c r="Y15" s="256"/>
      <c r="Z15" s="245" t="s">
        <v>56</v>
      </c>
      <c r="AA15" s="256" t="s">
        <v>25</v>
      </c>
      <c r="AB15" s="256"/>
      <c r="AC15" s="257" t="s">
        <v>56</v>
      </c>
      <c r="AD15" s="247" t="s">
        <v>25</v>
      </c>
      <c r="AE15" s="248"/>
      <c r="AF15" s="245" t="s">
        <v>56</v>
      </c>
      <c r="AG15" s="247" t="s">
        <v>25</v>
      </c>
      <c r="AH15" s="256"/>
      <c r="AI15" s="245" t="s">
        <v>56</v>
      </c>
      <c r="AJ15" s="247" t="s">
        <v>25</v>
      </c>
      <c r="AK15" s="248"/>
      <c r="AL15" s="245" t="s">
        <v>56</v>
      </c>
      <c r="AM15" s="247" t="s">
        <v>25</v>
      </c>
      <c r="AN15" s="248"/>
      <c r="AO15" s="245" t="s">
        <v>56</v>
      </c>
      <c r="AP15" s="226"/>
      <c r="AQ15" s="226"/>
      <c r="AR15" s="234"/>
      <c r="AS15" s="236"/>
      <c r="AT15" s="237" t="s">
        <v>57</v>
      </c>
      <c r="AU15" s="237"/>
      <c r="AV15" s="230" t="s">
        <v>2</v>
      </c>
      <c r="AW15" s="230"/>
      <c r="AX15" s="231" t="s">
        <v>3</v>
      </c>
      <c r="AY15" s="231"/>
      <c r="AZ15" s="232" t="s">
        <v>58</v>
      </c>
      <c r="BA15" s="232"/>
    </row>
    <row r="16" spans="1:53" ht="12.9" customHeight="1" thickBot="1" x14ac:dyDescent="0.35">
      <c r="B16" s="275"/>
      <c r="C16" s="275"/>
      <c r="D16" s="277"/>
      <c r="E16" s="279"/>
      <c r="F16" s="49" t="s">
        <v>59</v>
      </c>
      <c r="G16" s="50" t="s">
        <v>60</v>
      </c>
      <c r="H16" s="246"/>
      <c r="I16" s="51" t="s">
        <v>59</v>
      </c>
      <c r="J16" s="52" t="s">
        <v>60</v>
      </c>
      <c r="K16" s="246"/>
      <c r="L16" s="53" t="s">
        <v>59</v>
      </c>
      <c r="M16" s="52" t="s">
        <v>60</v>
      </c>
      <c r="N16" s="246"/>
      <c r="O16" s="51" t="s">
        <v>59</v>
      </c>
      <c r="P16" s="52" t="s">
        <v>60</v>
      </c>
      <c r="Q16" s="246"/>
      <c r="R16" s="53" t="s">
        <v>59</v>
      </c>
      <c r="S16" s="52" t="s">
        <v>60</v>
      </c>
      <c r="T16" s="246"/>
      <c r="U16" s="53" t="s">
        <v>59</v>
      </c>
      <c r="V16" s="52" t="s">
        <v>60</v>
      </c>
      <c r="W16" s="246"/>
      <c r="X16" s="53" t="s">
        <v>59</v>
      </c>
      <c r="Y16" s="52" t="s">
        <v>60</v>
      </c>
      <c r="Z16" s="246"/>
      <c r="AA16" s="51" t="s">
        <v>59</v>
      </c>
      <c r="AB16" s="52" t="s">
        <v>60</v>
      </c>
      <c r="AC16" s="258"/>
      <c r="AD16" s="53" t="s">
        <v>59</v>
      </c>
      <c r="AE16" s="52" t="s">
        <v>60</v>
      </c>
      <c r="AF16" s="246"/>
      <c r="AG16" s="53" t="s">
        <v>59</v>
      </c>
      <c r="AH16" s="52" t="s">
        <v>60</v>
      </c>
      <c r="AI16" s="246"/>
      <c r="AJ16" s="53" t="s">
        <v>59</v>
      </c>
      <c r="AK16" s="52" t="s">
        <v>60</v>
      </c>
      <c r="AL16" s="246"/>
      <c r="AM16" s="53" t="s">
        <v>59</v>
      </c>
      <c r="AN16" s="52" t="s">
        <v>60</v>
      </c>
      <c r="AO16" s="246"/>
      <c r="AP16" s="226"/>
      <c r="AQ16" s="226"/>
      <c r="AR16" s="234"/>
      <c r="AS16" s="236"/>
      <c r="AT16" s="54" t="s">
        <v>0</v>
      </c>
      <c r="AU16" s="54" t="s">
        <v>1</v>
      </c>
      <c r="AV16" s="55" t="s">
        <v>0</v>
      </c>
      <c r="AW16" s="55" t="s">
        <v>1</v>
      </c>
      <c r="AX16" s="55" t="s">
        <v>0</v>
      </c>
      <c r="AY16" s="55" t="s">
        <v>1</v>
      </c>
      <c r="AZ16" s="55" t="s">
        <v>0</v>
      </c>
      <c r="BA16" s="55" t="s">
        <v>1</v>
      </c>
    </row>
    <row r="17" spans="2:54" ht="16.5" customHeight="1" thickTop="1" thickBot="1" x14ac:dyDescent="0.35">
      <c r="B17" s="71">
        <v>1</v>
      </c>
      <c r="C17" s="165">
        <v>4121</v>
      </c>
      <c r="D17" s="171" t="s">
        <v>95</v>
      </c>
      <c r="E17" s="56"/>
      <c r="F17" s="77"/>
      <c r="G17" s="78"/>
      <c r="H17" s="79">
        <f>SUM('11CL-AC-A-L PORT'!J9)</f>
        <v>13.333333333333334</v>
      </c>
      <c r="I17" s="117"/>
      <c r="J17" s="118"/>
      <c r="K17" s="119">
        <f>SUM('11CL-AC-A-MAT'!J9)</f>
        <v>10.333333333333334</v>
      </c>
      <c r="L17" s="120"/>
      <c r="M17" s="118"/>
      <c r="N17" s="79">
        <f>SUM('11CL-AC-A-BIOL'!J9)</f>
        <v>12.666666666666666</v>
      </c>
      <c r="O17" s="121"/>
      <c r="P17" s="118"/>
      <c r="Q17" s="119">
        <f>SUM('11CL-AC-A-INGLES'!J9)</f>
        <v>13.333333333333334</v>
      </c>
      <c r="R17" s="120"/>
      <c r="S17" s="118"/>
      <c r="T17" s="79">
        <f>SUM('11CL-AC-A-QCA ORG.'!J9)</f>
        <v>11.333333333333334</v>
      </c>
      <c r="U17" s="120"/>
      <c r="V17" s="118"/>
      <c r="W17" s="79">
        <f>SUM('11CL-AC-A-MICROBIOL'!J9)</f>
        <v>12.166666666666666</v>
      </c>
      <c r="X17" s="122"/>
      <c r="Y17" s="118"/>
      <c r="Z17" s="79">
        <f>SUM('11CL-AC-A-HEMAT I'!J9)</f>
        <v>11.333333333333334</v>
      </c>
      <c r="AA17" s="121"/>
      <c r="AB17" s="118"/>
      <c r="AC17" s="119">
        <f>SUM('11CL-AC-A-IMUNOL.'!J9)</f>
        <v>16.166666666666668</v>
      </c>
      <c r="AD17" s="120"/>
      <c r="AE17" s="118"/>
      <c r="AF17" s="79">
        <f>SUM('11CL-AC-A-URINOL.'!J9)</f>
        <v>12.166666666666666</v>
      </c>
      <c r="AG17" s="122"/>
      <c r="AH17" s="118"/>
      <c r="AI17" s="79">
        <f>SUM('11CL-AC-A-PRASITOL.'!J9)</f>
        <v>10.666666666666666</v>
      </c>
      <c r="AJ17" s="122"/>
      <c r="AK17" s="118"/>
      <c r="AL17" s="79">
        <f>SUM('11CL-AC-A-ED. FIS'!J9)</f>
        <v>14</v>
      </c>
      <c r="AM17" s="122"/>
      <c r="AN17" s="118"/>
      <c r="AO17" s="79">
        <f>SUM('11CL-AC-A-AFH'!J9)</f>
        <v>13.666666666666666</v>
      </c>
      <c r="AP17" s="73" t="s">
        <v>3</v>
      </c>
      <c r="AQ17" s="90">
        <f t="shared" ref="AQ17:AQ56" si="0">AVERAGE(H17:AO17)</f>
        <v>12.597222222222221</v>
      </c>
      <c r="AR17" s="159">
        <v>17</v>
      </c>
      <c r="AS17" s="159" t="s">
        <v>0</v>
      </c>
      <c r="AT17" s="57">
        <f>COUNTIF(AS17:AS60,"M")</f>
        <v>11</v>
      </c>
      <c r="AU17" s="58">
        <f>COUNTIF(AS17:AS60,"F")</f>
        <v>33</v>
      </c>
      <c r="AV17" s="59">
        <f>COUNTIFS(AP17:AP60,"Transita",AS17:AS60,"M")</f>
        <v>4</v>
      </c>
      <c r="AW17" s="59">
        <f>COUNTIFS(AP17:AP60,"Transita",AS17:AS60,"F")</f>
        <v>5</v>
      </c>
      <c r="AX17" s="59">
        <f>COUNTIFS(AP17:AP60,"N/Transita",AS17:AS60,"M")</f>
        <v>7</v>
      </c>
      <c r="AY17" s="59">
        <f>COUNTIFS(AP17:AP60,"N/Transita",AS17:AS60,"F")</f>
        <v>27</v>
      </c>
      <c r="AZ17" s="59">
        <f>COUNTIFS(AP17:AP60,"DESISTIDO",AS17:AS60,"M")</f>
        <v>0</v>
      </c>
      <c r="BA17" s="59">
        <f>COUNTIFS(AP17:AP60,"DESISTIDA",AS17:AS60,"F")</f>
        <v>1</v>
      </c>
    </row>
    <row r="18" spans="2:54" ht="16.5" customHeight="1" thickBot="1" x14ac:dyDescent="0.35">
      <c r="B18" s="72">
        <v>2</v>
      </c>
      <c r="C18" s="166">
        <v>2862</v>
      </c>
      <c r="D18" s="172" t="s">
        <v>96</v>
      </c>
      <c r="E18" s="60"/>
      <c r="F18" s="80"/>
      <c r="G18" s="61"/>
      <c r="H18" s="123">
        <f>SUM('11CL-AC-A-L PORT'!J10)</f>
        <v>15.166666666666666</v>
      </c>
      <c r="I18" s="124"/>
      <c r="J18" s="125"/>
      <c r="K18" s="126">
        <f>SUM('11CL-AC-A-MAT'!J10)</f>
        <v>19.333333333333332</v>
      </c>
      <c r="L18" s="127"/>
      <c r="M18" s="125"/>
      <c r="N18" s="123">
        <f>SUM('11CL-AC-A-BIOL'!J10)</f>
        <v>16.333333333333332</v>
      </c>
      <c r="O18" s="128"/>
      <c r="P18" s="125"/>
      <c r="Q18" s="126">
        <f>SUM('11CL-AC-A-INGLES'!J10)</f>
        <v>19</v>
      </c>
      <c r="R18" s="127"/>
      <c r="S18" s="125"/>
      <c r="T18" s="123">
        <f>SUM('11CL-AC-A-QCA ORG.'!J10)</f>
        <v>17.333333333333332</v>
      </c>
      <c r="U18" s="127"/>
      <c r="V18" s="125"/>
      <c r="W18" s="123">
        <f>SUM('11CL-AC-A-MICROBIOL'!J10)</f>
        <v>14</v>
      </c>
      <c r="X18" s="129"/>
      <c r="Y18" s="125"/>
      <c r="Z18" s="123">
        <f>SUM('11CL-AC-A-HEMAT I'!J10)</f>
        <v>16.5</v>
      </c>
      <c r="AA18" s="128"/>
      <c r="AB18" s="125"/>
      <c r="AC18" s="126">
        <f>SUM('11CL-AC-A-IMUNOL.'!J10)</f>
        <v>18.333333333333332</v>
      </c>
      <c r="AD18" s="127"/>
      <c r="AE18" s="125"/>
      <c r="AF18" s="123">
        <f>SUM('11CL-AC-A-URINOL.'!J10)</f>
        <v>16.5</v>
      </c>
      <c r="AG18" s="129"/>
      <c r="AH18" s="125"/>
      <c r="AI18" s="123">
        <f>SUM('11CL-AC-A-PRASITOL.'!J10)</f>
        <v>17.333333333333332</v>
      </c>
      <c r="AJ18" s="129"/>
      <c r="AK18" s="125"/>
      <c r="AL18" s="123">
        <f>SUM('11CL-AC-A-ED. FIS'!J10)</f>
        <v>13</v>
      </c>
      <c r="AM18" s="129"/>
      <c r="AN18" s="125"/>
      <c r="AO18" s="123">
        <f>SUM('11CL-AC-A-AFH'!J10)</f>
        <v>15.666666666666666</v>
      </c>
      <c r="AP18" s="74" t="s">
        <v>2</v>
      </c>
      <c r="AQ18" s="91">
        <f t="shared" si="0"/>
        <v>16.541666666666668</v>
      </c>
      <c r="AR18" s="160">
        <v>16</v>
      </c>
      <c r="AS18" s="160" t="s">
        <v>0</v>
      </c>
      <c r="AT18" s="227">
        <f>SUM(AT17:AU17)</f>
        <v>44</v>
      </c>
      <c r="AU18" s="228"/>
      <c r="AV18" s="229">
        <f t="shared" ref="AV18" si="1">SUM(AV16:AW17)</f>
        <v>9</v>
      </c>
      <c r="AW18" s="229"/>
      <c r="AX18" s="228">
        <f t="shared" ref="AX18:AZ18" si="2">SUM(AX16:AY17)</f>
        <v>34</v>
      </c>
      <c r="AY18" s="228"/>
      <c r="AZ18" s="228">
        <f t="shared" si="2"/>
        <v>1</v>
      </c>
      <c r="BA18" s="228"/>
    </row>
    <row r="19" spans="2:54" ht="16.5" customHeight="1" thickBot="1" x14ac:dyDescent="0.35">
      <c r="B19" s="72">
        <v>3</v>
      </c>
      <c r="C19" s="166">
        <v>3183</v>
      </c>
      <c r="D19" s="172" t="s">
        <v>97</v>
      </c>
      <c r="E19" s="60"/>
      <c r="F19" s="80"/>
      <c r="G19" s="61"/>
      <c r="H19" s="123">
        <f>SUM('11CL-AC-A-L PORT'!J11)</f>
        <v>9.6666666666666661</v>
      </c>
      <c r="I19" s="124"/>
      <c r="J19" s="125"/>
      <c r="K19" s="126">
        <f>SUM('11CL-AC-A-MAT'!J11)</f>
        <v>11.666666666666666</v>
      </c>
      <c r="L19" s="127"/>
      <c r="M19" s="125"/>
      <c r="N19" s="123">
        <f>SUM('11CL-AC-A-BIOL'!J11)</f>
        <v>11.333333333333334</v>
      </c>
      <c r="O19" s="128"/>
      <c r="P19" s="125"/>
      <c r="Q19" s="126">
        <f>SUM('11CL-AC-A-INGLES'!J11)</f>
        <v>15.333333333333334</v>
      </c>
      <c r="R19" s="127"/>
      <c r="S19" s="125"/>
      <c r="T19" s="123">
        <f>SUM('11CL-AC-A-QCA ORG.'!J11)</f>
        <v>12.333333333333334</v>
      </c>
      <c r="U19" s="127"/>
      <c r="V19" s="125"/>
      <c r="W19" s="123">
        <f>SUM('11CL-AC-A-MICROBIOL'!J11)</f>
        <v>14.166666666666666</v>
      </c>
      <c r="X19" s="129"/>
      <c r="Y19" s="125"/>
      <c r="Z19" s="123">
        <f>SUM('11CL-AC-A-HEMAT I'!J11)</f>
        <v>14</v>
      </c>
      <c r="AA19" s="128"/>
      <c r="AB19" s="125"/>
      <c r="AC19" s="126">
        <f>SUM('11CL-AC-A-IMUNOL.'!J11)</f>
        <v>14.916666666666666</v>
      </c>
      <c r="AD19" s="127"/>
      <c r="AE19" s="125"/>
      <c r="AF19" s="123">
        <f>SUM('11CL-AC-A-URINOL.'!J11)</f>
        <v>13.5</v>
      </c>
      <c r="AG19" s="129"/>
      <c r="AH19" s="125"/>
      <c r="AI19" s="123">
        <f>SUM('11CL-AC-A-PRASITOL.'!J11)</f>
        <v>13</v>
      </c>
      <c r="AJ19" s="129"/>
      <c r="AK19" s="125"/>
      <c r="AL19" s="123">
        <f>SUM('11CL-AC-A-ED. FIS'!J11)</f>
        <v>12</v>
      </c>
      <c r="AM19" s="129"/>
      <c r="AN19" s="125"/>
      <c r="AO19" s="123">
        <f>SUM('11CL-AC-A-AFH'!J11)</f>
        <v>11.166666666666666</v>
      </c>
      <c r="AP19" s="74" t="s">
        <v>3</v>
      </c>
      <c r="AQ19" s="91">
        <f t="shared" si="0"/>
        <v>12.756944444444445</v>
      </c>
      <c r="AR19" s="160">
        <v>17</v>
      </c>
      <c r="AS19" s="160" t="s">
        <v>1</v>
      </c>
      <c r="AT19" s="69"/>
      <c r="AU19" s="69"/>
      <c r="AV19" s="70"/>
      <c r="AW19" s="70"/>
      <c r="AX19" s="69"/>
      <c r="AY19" s="69"/>
      <c r="AZ19" s="69"/>
      <c r="BA19" s="69"/>
    </row>
    <row r="20" spans="2:54" ht="16.5" customHeight="1" thickBot="1" x14ac:dyDescent="0.35">
      <c r="B20" s="72">
        <v>4</v>
      </c>
      <c r="C20" s="166">
        <v>2921</v>
      </c>
      <c r="D20" s="172" t="s">
        <v>98</v>
      </c>
      <c r="E20" s="60"/>
      <c r="F20" s="80"/>
      <c r="G20" s="61"/>
      <c r="H20" s="123">
        <f>SUM('11CL-AC-A-L PORT'!J12)</f>
        <v>14</v>
      </c>
      <c r="I20" s="124"/>
      <c r="J20" s="125"/>
      <c r="K20" s="126">
        <f>SUM('11CL-AC-A-MAT'!J12)</f>
        <v>15.333333333333334</v>
      </c>
      <c r="L20" s="127"/>
      <c r="M20" s="125"/>
      <c r="N20" s="123">
        <f>SUM('11CL-AC-A-BIOL'!J12)</f>
        <v>15.666666666666666</v>
      </c>
      <c r="O20" s="128"/>
      <c r="P20" s="125"/>
      <c r="Q20" s="126">
        <f>SUM('11CL-AC-A-INGLES'!J12)</f>
        <v>16</v>
      </c>
      <c r="R20" s="127"/>
      <c r="S20" s="125"/>
      <c r="T20" s="123">
        <f>SUM('11CL-AC-A-QCA ORG.'!J12)</f>
        <v>15.166666666666666</v>
      </c>
      <c r="U20" s="127"/>
      <c r="V20" s="125"/>
      <c r="W20" s="123">
        <f>SUM('11CL-AC-A-MICROBIOL'!J12)</f>
        <v>13.833333333333334</v>
      </c>
      <c r="X20" s="129"/>
      <c r="Y20" s="125"/>
      <c r="Z20" s="123">
        <f>SUM('11CL-AC-A-HEMAT I'!J12)</f>
        <v>14.666666666666666</v>
      </c>
      <c r="AA20" s="128"/>
      <c r="AB20" s="125"/>
      <c r="AC20" s="126">
        <f>SUM('11CL-AC-A-IMUNOL.'!J12)</f>
        <v>17.416666666666668</v>
      </c>
      <c r="AD20" s="127"/>
      <c r="AE20" s="125"/>
      <c r="AF20" s="123">
        <f>SUM('11CL-AC-A-URINOL.'!J12)</f>
        <v>16.666666666666668</v>
      </c>
      <c r="AG20" s="129"/>
      <c r="AH20" s="125"/>
      <c r="AI20" s="123">
        <f>SUM('11CL-AC-A-PRASITOL.'!J12)</f>
        <v>14</v>
      </c>
      <c r="AJ20" s="129"/>
      <c r="AK20" s="125"/>
      <c r="AL20" s="123">
        <f>SUM('11CL-AC-A-ED. FIS'!J12)</f>
        <v>15</v>
      </c>
      <c r="AM20" s="129"/>
      <c r="AN20" s="125"/>
      <c r="AO20" s="123">
        <f>SUM('11CL-AC-A-AFH'!J12)</f>
        <v>13.333333333333334</v>
      </c>
      <c r="AP20" s="74" t="s">
        <v>2</v>
      </c>
      <c r="AQ20" s="91">
        <f t="shared" si="0"/>
        <v>15.090277777777779</v>
      </c>
      <c r="AR20" s="160">
        <v>17</v>
      </c>
      <c r="AS20" s="160" t="s">
        <v>0</v>
      </c>
      <c r="AT20" s="69"/>
      <c r="AU20" s="69"/>
      <c r="AV20" s="70"/>
      <c r="AW20" s="70"/>
      <c r="AX20" s="69"/>
      <c r="AY20" s="69"/>
      <c r="AZ20" s="69"/>
      <c r="BA20" s="69"/>
    </row>
    <row r="21" spans="2:54" ht="16.5" customHeight="1" thickBot="1" x14ac:dyDescent="0.35">
      <c r="B21" s="72">
        <v>5</v>
      </c>
      <c r="C21" s="166">
        <v>3551</v>
      </c>
      <c r="D21" s="172" t="s">
        <v>99</v>
      </c>
      <c r="E21" s="60"/>
      <c r="F21" s="80"/>
      <c r="G21" s="61"/>
      <c r="H21" s="123">
        <f>SUM('11CL-AC-A-L PORT'!J13)</f>
        <v>12.333333333333334</v>
      </c>
      <c r="I21" s="124"/>
      <c r="J21" s="125"/>
      <c r="K21" s="126">
        <f>SUM('11CL-AC-A-MAT'!J13)</f>
        <v>10</v>
      </c>
      <c r="L21" s="127"/>
      <c r="M21" s="125"/>
      <c r="N21" s="123">
        <f>SUM('11CL-AC-A-BIOL'!J13)</f>
        <v>10</v>
      </c>
      <c r="O21" s="128"/>
      <c r="P21" s="125"/>
      <c r="Q21" s="126">
        <f>SUM('11CL-AC-A-INGLES'!J13)</f>
        <v>12.333333333333334</v>
      </c>
      <c r="R21" s="127"/>
      <c r="S21" s="125"/>
      <c r="T21" s="123">
        <f>SUM('11CL-AC-A-QCA ORG.'!J13)</f>
        <v>5</v>
      </c>
      <c r="U21" s="127"/>
      <c r="V21" s="125"/>
      <c r="W21" s="123">
        <f>SUM('11CL-AC-A-MICROBIOL'!J13)</f>
        <v>11.833333333333334</v>
      </c>
      <c r="X21" s="129"/>
      <c r="Y21" s="125"/>
      <c r="Z21" s="123">
        <f>SUM('11CL-AC-A-HEMAT I'!J13)</f>
        <v>10.666666666666666</v>
      </c>
      <c r="AA21" s="128"/>
      <c r="AB21" s="125"/>
      <c r="AC21" s="126">
        <f>SUM('11CL-AC-A-IMUNOL.'!J13)</f>
        <v>13</v>
      </c>
      <c r="AD21" s="127"/>
      <c r="AE21" s="125"/>
      <c r="AF21" s="123">
        <f>SUM('11CL-AC-A-URINOL.'!J13)</f>
        <v>13.666666666666666</v>
      </c>
      <c r="AG21" s="129"/>
      <c r="AH21" s="125"/>
      <c r="AI21" s="123">
        <f>SUM('11CL-AC-A-PRASITOL.'!J13)</f>
        <v>11.166666666666666</v>
      </c>
      <c r="AJ21" s="129"/>
      <c r="AK21" s="125"/>
      <c r="AL21" s="123">
        <f>SUM('11CL-AC-A-ED. FIS'!J13)</f>
        <v>10</v>
      </c>
      <c r="AM21" s="129"/>
      <c r="AN21" s="125"/>
      <c r="AO21" s="123">
        <f>SUM('11CL-AC-A-AFH'!J13)</f>
        <v>10</v>
      </c>
      <c r="AP21" s="74" t="s">
        <v>3</v>
      </c>
      <c r="AQ21" s="91">
        <f t="shared" si="0"/>
        <v>10.833333333333334</v>
      </c>
      <c r="AR21" s="160">
        <v>16</v>
      </c>
      <c r="AS21" s="160" t="s">
        <v>1</v>
      </c>
      <c r="AT21" s="69"/>
      <c r="AU21" s="69"/>
      <c r="AV21" s="70"/>
      <c r="AW21" s="70"/>
      <c r="AX21" s="69"/>
      <c r="AY21" s="69"/>
      <c r="AZ21" s="69"/>
      <c r="BA21" s="69"/>
    </row>
    <row r="22" spans="2:54" ht="16.5" customHeight="1" thickBot="1" x14ac:dyDescent="0.35">
      <c r="B22" s="72">
        <v>6</v>
      </c>
      <c r="C22" s="166">
        <v>3070</v>
      </c>
      <c r="D22" s="172" t="s">
        <v>100</v>
      </c>
      <c r="E22" s="60"/>
      <c r="F22" s="80"/>
      <c r="G22" s="61"/>
      <c r="H22" s="123">
        <f>SUM('11CL-AC-A-L PORT'!J14)</f>
        <v>9.8333333333333339</v>
      </c>
      <c r="I22" s="124"/>
      <c r="J22" s="125"/>
      <c r="K22" s="126">
        <f>SUM('11CL-AC-A-MAT'!J14)</f>
        <v>10.666666666666666</v>
      </c>
      <c r="L22" s="127"/>
      <c r="M22" s="125"/>
      <c r="N22" s="123">
        <f>SUM('11CL-AC-A-BIOL'!J14)</f>
        <v>10.333333333333334</v>
      </c>
      <c r="O22" s="128"/>
      <c r="P22" s="125"/>
      <c r="Q22" s="126">
        <f>SUM('11CL-AC-A-INGLES'!J14)</f>
        <v>13</v>
      </c>
      <c r="R22" s="127"/>
      <c r="S22" s="125"/>
      <c r="T22" s="123">
        <f>SUM('11CL-AC-A-QCA ORG.'!J14)</f>
        <v>10.166666666666666</v>
      </c>
      <c r="U22" s="127"/>
      <c r="V22" s="125"/>
      <c r="W22" s="123">
        <f>SUM('11CL-AC-A-MICROBIOL'!J14)</f>
        <v>13.833333333333334</v>
      </c>
      <c r="X22" s="129"/>
      <c r="Y22" s="125"/>
      <c r="Z22" s="123">
        <f>SUM('11CL-AC-A-HEMAT I'!J14)</f>
        <v>12</v>
      </c>
      <c r="AA22" s="128"/>
      <c r="AB22" s="125"/>
      <c r="AC22" s="126">
        <f>SUM('11CL-AC-A-IMUNOL.'!J14)</f>
        <v>15.166666666666666</v>
      </c>
      <c r="AD22" s="127"/>
      <c r="AE22" s="125"/>
      <c r="AF22" s="123">
        <f>SUM('11CL-AC-A-URINOL.'!J14)</f>
        <v>14.25</v>
      </c>
      <c r="AG22" s="129"/>
      <c r="AH22" s="125"/>
      <c r="AI22" s="123">
        <f>SUM('11CL-AC-A-PRASITOL.'!J14)</f>
        <v>10.666666666666666</v>
      </c>
      <c r="AJ22" s="129"/>
      <c r="AK22" s="125"/>
      <c r="AL22" s="123">
        <f>SUM('11CL-AC-A-ED. FIS'!J14)</f>
        <v>13</v>
      </c>
      <c r="AM22" s="129"/>
      <c r="AN22" s="125"/>
      <c r="AO22" s="123">
        <f>SUM('11CL-AC-A-AFH'!J14)</f>
        <v>8.5</v>
      </c>
      <c r="AP22" s="74" t="s">
        <v>3</v>
      </c>
      <c r="AQ22" s="91">
        <f t="shared" si="0"/>
        <v>11.784722222222223</v>
      </c>
      <c r="AR22" s="160">
        <v>17</v>
      </c>
      <c r="AS22" s="160" t="s">
        <v>1</v>
      </c>
      <c r="AT22" s="69"/>
      <c r="AU22" s="69"/>
      <c r="AV22" s="70"/>
      <c r="AW22" s="70"/>
      <c r="AX22" s="69"/>
      <c r="AY22" s="69"/>
      <c r="AZ22" s="69"/>
      <c r="BA22" s="69"/>
    </row>
    <row r="23" spans="2:54" ht="16.5" customHeight="1" thickBot="1" x14ac:dyDescent="0.35">
      <c r="B23" s="72">
        <v>7</v>
      </c>
      <c r="C23" s="166">
        <v>2939</v>
      </c>
      <c r="D23" s="172" t="s">
        <v>101</v>
      </c>
      <c r="E23" s="60"/>
      <c r="F23" s="80"/>
      <c r="G23" s="61"/>
      <c r="H23" s="123">
        <f>SUM('11CL-AC-A-L PORT'!J15)</f>
        <v>10.833333333333334</v>
      </c>
      <c r="I23" s="124"/>
      <c r="J23" s="125"/>
      <c r="K23" s="126">
        <f>SUM('11CL-AC-A-MAT'!J15)</f>
        <v>10</v>
      </c>
      <c r="L23" s="127"/>
      <c r="M23" s="125"/>
      <c r="N23" s="123">
        <f>SUM('11CL-AC-A-BIOL'!J15)</f>
        <v>13.666666666666666</v>
      </c>
      <c r="O23" s="128"/>
      <c r="P23" s="125"/>
      <c r="Q23" s="126">
        <f>SUM('11CL-AC-A-INGLES'!J15)</f>
        <v>13</v>
      </c>
      <c r="R23" s="127"/>
      <c r="S23" s="125"/>
      <c r="T23" s="123">
        <f>SUM('11CL-AC-A-QCA ORG.'!J15)</f>
        <v>15.666666666666666</v>
      </c>
      <c r="U23" s="127"/>
      <c r="V23" s="125"/>
      <c r="W23" s="123">
        <f>SUM('11CL-AC-A-MICROBIOL'!J15)</f>
        <v>15.166666666666666</v>
      </c>
      <c r="X23" s="129"/>
      <c r="Y23" s="125"/>
      <c r="Z23" s="123">
        <f>SUM('11CL-AC-A-HEMAT I'!J15)</f>
        <v>10.833333333333334</v>
      </c>
      <c r="AA23" s="128"/>
      <c r="AB23" s="125"/>
      <c r="AC23" s="126">
        <f>SUM('11CL-AC-A-IMUNOL.'!J15)</f>
        <v>14</v>
      </c>
      <c r="AD23" s="127"/>
      <c r="AE23" s="125"/>
      <c r="AF23" s="123">
        <f>SUM('11CL-AC-A-URINOL.'!J15)</f>
        <v>15.5</v>
      </c>
      <c r="AG23" s="129"/>
      <c r="AH23" s="125"/>
      <c r="AI23" s="123">
        <f>SUM('11CL-AC-A-PRASITOL.'!J15)</f>
        <v>12.666666666666666</v>
      </c>
      <c r="AJ23" s="129"/>
      <c r="AK23" s="125"/>
      <c r="AL23" s="123">
        <f>SUM('11CL-AC-A-ED. FIS'!J15)</f>
        <v>14</v>
      </c>
      <c r="AM23" s="129"/>
      <c r="AN23" s="125"/>
      <c r="AO23" s="123">
        <f>SUM('11CL-AC-A-AFH'!J15)</f>
        <v>12.833333333333334</v>
      </c>
      <c r="AP23" s="74" t="s">
        <v>3</v>
      </c>
      <c r="AQ23" s="91">
        <f t="shared" si="0"/>
        <v>13.180555555555555</v>
      </c>
      <c r="AR23" s="160">
        <v>14</v>
      </c>
      <c r="AS23" s="160" t="s">
        <v>1</v>
      </c>
      <c r="AT23" s="69"/>
      <c r="AU23" s="219" t="s">
        <v>65</v>
      </c>
      <c r="AV23" s="221">
        <f>MAX(AQ17:AQ60)</f>
        <v>17.451388888888889</v>
      </c>
      <c r="AW23" s="87"/>
      <c r="AX23" s="87"/>
      <c r="AY23" s="87"/>
      <c r="AZ23" s="87"/>
      <c r="BA23" s="87"/>
      <c r="BB23" s="87"/>
    </row>
    <row r="24" spans="2:54" ht="16.5" customHeight="1" thickBot="1" x14ac:dyDescent="0.35">
      <c r="B24" s="72">
        <v>8</v>
      </c>
      <c r="C24" s="166">
        <v>2833</v>
      </c>
      <c r="D24" s="172" t="s">
        <v>102</v>
      </c>
      <c r="E24" s="60"/>
      <c r="F24" s="80"/>
      <c r="G24" s="61"/>
      <c r="H24" s="123">
        <f>SUM('11CL-AC-A-L PORT'!J16)</f>
        <v>13.166666666666666</v>
      </c>
      <c r="I24" s="124"/>
      <c r="J24" s="125"/>
      <c r="K24" s="126">
        <f>SUM('11CL-AC-A-MAT'!J16)</f>
        <v>11.666666666666666</v>
      </c>
      <c r="L24" s="127"/>
      <c r="M24" s="125"/>
      <c r="N24" s="123">
        <f>SUM('11CL-AC-A-BIOL'!J16)</f>
        <v>10</v>
      </c>
      <c r="O24" s="128"/>
      <c r="P24" s="125"/>
      <c r="Q24" s="126">
        <f>SUM('11CL-AC-A-INGLES'!J16)</f>
        <v>18</v>
      </c>
      <c r="R24" s="127"/>
      <c r="S24" s="125"/>
      <c r="T24" s="123">
        <f>SUM('11CL-AC-A-QCA ORG.'!J16)</f>
        <v>17.333333333333332</v>
      </c>
      <c r="U24" s="127"/>
      <c r="V24" s="125"/>
      <c r="W24" s="123">
        <f>SUM('11CL-AC-A-MICROBIOL'!J16)</f>
        <v>12.5</v>
      </c>
      <c r="X24" s="129"/>
      <c r="Y24" s="125"/>
      <c r="Z24" s="123">
        <f>SUM('11CL-AC-A-HEMAT I'!J16)</f>
        <v>12.666666666666666</v>
      </c>
      <c r="AA24" s="128"/>
      <c r="AB24" s="125"/>
      <c r="AC24" s="126">
        <f>SUM('11CL-AC-A-IMUNOL.'!J16)</f>
        <v>13.833333333333334</v>
      </c>
      <c r="AD24" s="127"/>
      <c r="AE24" s="125"/>
      <c r="AF24" s="123">
        <f>SUM('11CL-AC-A-URINOL.'!J16)</f>
        <v>13.666666666666666</v>
      </c>
      <c r="AG24" s="129"/>
      <c r="AH24" s="125"/>
      <c r="AI24" s="123">
        <f>SUM('11CL-AC-A-PRASITOL.'!J16)</f>
        <v>9.6666666666666661</v>
      </c>
      <c r="AJ24" s="129"/>
      <c r="AK24" s="125"/>
      <c r="AL24" s="123">
        <f>SUM('11CL-AC-A-ED. FIS'!J16)</f>
        <v>12</v>
      </c>
      <c r="AM24" s="129"/>
      <c r="AN24" s="125"/>
      <c r="AO24" s="123">
        <f>SUM('11CL-AC-A-AFH'!J16)</f>
        <v>10.666666666666666</v>
      </c>
      <c r="AP24" s="74" t="s">
        <v>3</v>
      </c>
      <c r="AQ24" s="91">
        <f t="shared" si="0"/>
        <v>12.930555555555555</v>
      </c>
      <c r="AR24" s="160">
        <v>16</v>
      </c>
      <c r="AS24" s="160" t="s">
        <v>1</v>
      </c>
      <c r="AT24" s="69"/>
      <c r="AU24" s="220"/>
      <c r="AV24" s="222"/>
      <c r="AW24" s="87"/>
      <c r="AX24" s="87"/>
      <c r="AY24" s="87"/>
      <c r="AZ24" s="87"/>
      <c r="BA24" s="87"/>
      <c r="BB24" s="87"/>
    </row>
    <row r="25" spans="2:54" ht="16.5" customHeight="1" thickBot="1" x14ac:dyDescent="0.35">
      <c r="B25" s="72">
        <v>9</v>
      </c>
      <c r="C25" s="166">
        <v>3750</v>
      </c>
      <c r="D25" s="172" t="s">
        <v>103</v>
      </c>
      <c r="E25" s="60"/>
      <c r="F25" s="80"/>
      <c r="G25" s="61"/>
      <c r="H25" s="123">
        <f>SUM('11CL-AC-A-L PORT'!J17)</f>
        <v>10.5</v>
      </c>
      <c r="I25" s="124"/>
      <c r="J25" s="125"/>
      <c r="K25" s="126">
        <f>SUM('11CL-AC-A-MAT'!J17)</f>
        <v>4.333333333333333</v>
      </c>
      <c r="L25" s="127"/>
      <c r="M25" s="125"/>
      <c r="N25" s="123">
        <f>SUM('11CL-AC-A-BIOL'!J17)</f>
        <v>7.666666666666667</v>
      </c>
      <c r="O25" s="128"/>
      <c r="P25" s="125"/>
      <c r="Q25" s="126">
        <f>SUM('11CL-AC-A-INGLES'!J17)</f>
        <v>14.666666666666666</v>
      </c>
      <c r="R25" s="127"/>
      <c r="S25" s="125"/>
      <c r="T25" s="123">
        <f>SUM('11CL-AC-A-QCA ORG.'!J17)</f>
        <v>5.833333333333333</v>
      </c>
      <c r="U25" s="127"/>
      <c r="V25" s="125"/>
      <c r="W25" s="123">
        <f>SUM('11CL-AC-A-MICROBIOL'!J17)</f>
        <v>12.166666666666666</v>
      </c>
      <c r="X25" s="129"/>
      <c r="Y25" s="125"/>
      <c r="Z25" s="123">
        <f>SUM('11CL-AC-A-HEMAT I'!J17)</f>
        <v>9.6666666666666661</v>
      </c>
      <c r="AA25" s="128"/>
      <c r="AB25" s="125"/>
      <c r="AC25" s="126">
        <f>SUM('11CL-AC-A-IMUNOL.'!J17)</f>
        <v>13.666666666666666</v>
      </c>
      <c r="AD25" s="127"/>
      <c r="AE25" s="125"/>
      <c r="AF25" s="123">
        <f>SUM('11CL-AC-A-URINOL.'!J17)</f>
        <v>4</v>
      </c>
      <c r="AG25" s="129"/>
      <c r="AH25" s="125"/>
      <c r="AI25" s="123">
        <f>SUM('11CL-AC-A-PRASITOL.'!J17)</f>
        <v>11.5</v>
      </c>
      <c r="AJ25" s="129"/>
      <c r="AK25" s="125"/>
      <c r="AL25" s="123">
        <f>SUM('11CL-AC-A-ED. FIS'!J17)</f>
        <v>14</v>
      </c>
      <c r="AM25" s="129"/>
      <c r="AN25" s="125"/>
      <c r="AO25" s="123">
        <f>SUM('11CL-AC-A-AFH'!J17)</f>
        <v>10.666666666666666</v>
      </c>
      <c r="AP25" s="74" t="s">
        <v>3</v>
      </c>
      <c r="AQ25" s="91">
        <f t="shared" si="0"/>
        <v>9.8888888888888893</v>
      </c>
      <c r="AR25" s="160">
        <v>17</v>
      </c>
      <c r="AS25" s="160" t="s">
        <v>1</v>
      </c>
      <c r="AT25" s="69"/>
      <c r="AU25" s="223" t="s">
        <v>66</v>
      </c>
      <c r="AV25" s="223"/>
      <c r="AW25" s="223"/>
      <c r="AX25" s="224" t="s">
        <v>89</v>
      </c>
      <c r="AY25" s="224"/>
      <c r="AZ25" s="224"/>
      <c r="BA25" s="224"/>
      <c r="BB25" s="224"/>
    </row>
    <row r="26" spans="2:54" ht="16.5" customHeight="1" thickBot="1" x14ac:dyDescent="0.35">
      <c r="B26" s="72">
        <v>10</v>
      </c>
      <c r="C26" s="166">
        <v>3013</v>
      </c>
      <c r="D26" s="172" t="s">
        <v>104</v>
      </c>
      <c r="E26" s="60"/>
      <c r="F26" s="80"/>
      <c r="G26" s="61"/>
      <c r="H26" s="123">
        <f>SUM('11CL-AC-A-L PORT'!J18)</f>
        <v>12.333333333333334</v>
      </c>
      <c r="I26" s="124"/>
      <c r="J26" s="125"/>
      <c r="K26" s="126">
        <f>SUM('11CL-AC-A-MAT'!J18)</f>
        <v>5.666666666666667</v>
      </c>
      <c r="L26" s="127"/>
      <c r="M26" s="125"/>
      <c r="N26" s="123">
        <f>SUM('11CL-AC-A-BIOL'!J18)</f>
        <v>8.3333333333333339</v>
      </c>
      <c r="O26" s="128"/>
      <c r="P26" s="125"/>
      <c r="Q26" s="126">
        <f>SUM('11CL-AC-A-INGLES'!J18)</f>
        <v>15.333333333333334</v>
      </c>
      <c r="R26" s="127"/>
      <c r="S26" s="125"/>
      <c r="T26" s="123">
        <f>SUM('11CL-AC-A-QCA ORG.'!J18)</f>
        <v>2.6666666666666665</v>
      </c>
      <c r="U26" s="127"/>
      <c r="V26" s="125"/>
      <c r="W26" s="123">
        <f>SUM('11CL-AC-A-MICROBIOL'!J18)</f>
        <v>11.5</v>
      </c>
      <c r="X26" s="129"/>
      <c r="Y26" s="125"/>
      <c r="Z26" s="123">
        <f>SUM('11CL-AC-A-HEMAT I'!J18)</f>
        <v>15.333333333333334</v>
      </c>
      <c r="AA26" s="128"/>
      <c r="AB26" s="125"/>
      <c r="AC26" s="126">
        <f>SUM('11CL-AC-A-IMUNOL.'!J18)</f>
        <v>12.333333333333334</v>
      </c>
      <c r="AD26" s="127"/>
      <c r="AE26" s="125"/>
      <c r="AF26" s="123">
        <f>SUM('11CL-AC-A-URINOL.'!J18)</f>
        <v>12.666666666666666</v>
      </c>
      <c r="AG26" s="129"/>
      <c r="AH26" s="125"/>
      <c r="AI26" s="123">
        <f>SUM('11CL-AC-A-PRASITOL.'!J18)</f>
        <v>10.166666666666666</v>
      </c>
      <c r="AJ26" s="129"/>
      <c r="AK26" s="125"/>
      <c r="AL26" s="123">
        <f>SUM('11CL-AC-A-ED. FIS'!J18)</f>
        <v>12</v>
      </c>
      <c r="AM26" s="129"/>
      <c r="AN26" s="125"/>
      <c r="AO26" s="123">
        <f>SUM('11CL-AC-A-AFH'!J18)</f>
        <v>12.5</v>
      </c>
      <c r="AP26" s="74" t="s">
        <v>3</v>
      </c>
      <c r="AQ26" s="91">
        <f t="shared" si="0"/>
        <v>10.902777777777779</v>
      </c>
      <c r="AR26" s="160">
        <v>16</v>
      </c>
      <c r="AS26" s="160" t="s">
        <v>0</v>
      </c>
      <c r="AT26" s="69"/>
      <c r="AU26" s="88" t="s">
        <v>67</v>
      </c>
      <c r="AV26" s="115">
        <v>16</v>
      </c>
      <c r="AW26" s="87"/>
      <c r="AX26" s="87"/>
      <c r="AY26" s="87"/>
      <c r="AZ26" s="87"/>
      <c r="BA26" s="87"/>
      <c r="BB26" s="87"/>
    </row>
    <row r="27" spans="2:54" ht="16.5" customHeight="1" thickBot="1" x14ac:dyDescent="0.35">
      <c r="B27" s="72">
        <v>11</v>
      </c>
      <c r="C27" s="166">
        <v>3036</v>
      </c>
      <c r="D27" s="172" t="s">
        <v>105</v>
      </c>
      <c r="E27" s="60"/>
      <c r="F27" s="80"/>
      <c r="G27" s="61"/>
      <c r="H27" s="123">
        <f>SUM('11CL-AC-A-L PORT'!J19)</f>
        <v>12.333333333333334</v>
      </c>
      <c r="I27" s="124"/>
      <c r="J27" s="125"/>
      <c r="K27" s="126">
        <f>SUM('11CL-AC-A-MAT'!J19)</f>
        <v>10.333333333333334</v>
      </c>
      <c r="L27" s="127"/>
      <c r="M27" s="125"/>
      <c r="N27" s="123">
        <f>SUM('11CL-AC-A-BIOL'!J19)</f>
        <v>14.666666666666666</v>
      </c>
      <c r="O27" s="128"/>
      <c r="P27" s="125"/>
      <c r="Q27" s="126">
        <f>SUM('11CL-AC-A-INGLES'!J19)</f>
        <v>16.333333333333332</v>
      </c>
      <c r="R27" s="127"/>
      <c r="S27" s="125"/>
      <c r="T27" s="123">
        <f>SUM('11CL-AC-A-QCA ORG.'!J19)</f>
        <v>12</v>
      </c>
      <c r="U27" s="127"/>
      <c r="V27" s="125"/>
      <c r="W27" s="123">
        <f>SUM('11CL-AC-A-MICROBIOL'!J19)</f>
        <v>15</v>
      </c>
      <c r="X27" s="129"/>
      <c r="Y27" s="125"/>
      <c r="Z27" s="123">
        <f>SUM('11CL-AC-A-HEMAT I'!J19)</f>
        <v>13</v>
      </c>
      <c r="AA27" s="128"/>
      <c r="AB27" s="125"/>
      <c r="AC27" s="126">
        <f>SUM('11CL-AC-A-IMUNOL.'!J19)</f>
        <v>15.083333333333334</v>
      </c>
      <c r="AD27" s="127"/>
      <c r="AE27" s="125"/>
      <c r="AF27" s="123">
        <f>SUM('11CL-AC-A-URINOL.'!J19)</f>
        <v>15.666666666666666</v>
      </c>
      <c r="AG27" s="129"/>
      <c r="AH27" s="125"/>
      <c r="AI27" s="123">
        <f>SUM('11CL-AC-A-PRASITOL.'!J19)</f>
        <v>12.333333333333334</v>
      </c>
      <c r="AJ27" s="129"/>
      <c r="AK27" s="125"/>
      <c r="AL27" s="123">
        <f>SUM('11CL-AC-A-ED. FIS'!J19)</f>
        <v>13.333333333333334</v>
      </c>
      <c r="AM27" s="129"/>
      <c r="AN27" s="125"/>
      <c r="AO27" s="123">
        <f>SUM('11CL-AC-A-AFH'!J19)</f>
        <v>9.3333333333333339</v>
      </c>
      <c r="AP27" s="74" t="s">
        <v>3</v>
      </c>
      <c r="AQ27" s="91">
        <f t="shared" si="0"/>
        <v>13.284722222222223</v>
      </c>
      <c r="AR27" s="160">
        <v>17</v>
      </c>
      <c r="AS27" s="160" t="s">
        <v>1</v>
      </c>
      <c r="AT27" s="69"/>
      <c r="AU27" s="69"/>
      <c r="AV27" s="70"/>
      <c r="AW27" s="70"/>
      <c r="AX27" s="69"/>
      <c r="AY27" s="69"/>
      <c r="AZ27" s="69"/>
      <c r="BA27" s="69"/>
    </row>
    <row r="28" spans="2:54" ht="16.5" customHeight="1" thickBot="1" x14ac:dyDescent="0.35">
      <c r="B28" s="72">
        <v>12</v>
      </c>
      <c r="C28" s="166">
        <v>4217</v>
      </c>
      <c r="D28" s="172" t="s">
        <v>106</v>
      </c>
      <c r="E28" s="60"/>
      <c r="F28" s="80"/>
      <c r="G28" s="61"/>
      <c r="H28" s="123">
        <f>SUM('11CL-AC-A-L PORT'!J20)</f>
        <v>13.833333333333334</v>
      </c>
      <c r="I28" s="124"/>
      <c r="J28" s="125"/>
      <c r="K28" s="126">
        <f>SUM('11CL-AC-A-MAT'!J20)</f>
        <v>16.333333333333332</v>
      </c>
      <c r="L28" s="127"/>
      <c r="M28" s="125"/>
      <c r="N28" s="123">
        <f>SUM('11CL-AC-A-BIOL'!J20)</f>
        <v>15.666666666666666</v>
      </c>
      <c r="O28" s="128"/>
      <c r="P28" s="125"/>
      <c r="Q28" s="126">
        <f>SUM('11CL-AC-A-INGLES'!J20)</f>
        <v>16.666666666666668</v>
      </c>
      <c r="R28" s="127"/>
      <c r="S28" s="125"/>
      <c r="T28" s="123">
        <f>SUM('11CL-AC-A-QCA ORG.'!J20)</f>
        <v>14</v>
      </c>
      <c r="U28" s="127"/>
      <c r="V28" s="125"/>
      <c r="W28" s="123">
        <f>SUM('11CL-AC-A-MICROBIOL'!J20)</f>
        <v>15.333333333333334</v>
      </c>
      <c r="X28" s="129"/>
      <c r="Y28" s="125"/>
      <c r="Z28" s="123">
        <f>SUM('11CL-AC-A-HEMAT I'!J20)</f>
        <v>15</v>
      </c>
      <c r="AA28" s="128"/>
      <c r="AB28" s="125"/>
      <c r="AC28" s="126">
        <f>SUM('11CL-AC-A-IMUNOL.'!J20)</f>
        <v>17.416666666666668</v>
      </c>
      <c r="AD28" s="127"/>
      <c r="AE28" s="125"/>
      <c r="AF28" s="123">
        <f>SUM('11CL-AC-A-URINOL.'!J20)</f>
        <v>16.333333333333332</v>
      </c>
      <c r="AG28" s="129"/>
      <c r="AH28" s="125"/>
      <c r="AI28" s="123">
        <f>SUM('11CL-AC-A-PRASITOL.'!J20)</f>
        <v>13.5</v>
      </c>
      <c r="AJ28" s="129"/>
      <c r="AK28" s="125"/>
      <c r="AL28" s="123">
        <f>SUM('11CL-AC-A-ED. FIS'!J20)</f>
        <v>13</v>
      </c>
      <c r="AM28" s="129"/>
      <c r="AN28" s="125"/>
      <c r="AO28" s="123">
        <f>SUM('11CL-AC-A-AFH'!J20)</f>
        <v>13.166666666666666</v>
      </c>
      <c r="AP28" s="74" t="s">
        <v>2</v>
      </c>
      <c r="AQ28" s="91">
        <f t="shared" si="0"/>
        <v>15.020833333333334</v>
      </c>
      <c r="AR28" s="160">
        <v>17</v>
      </c>
      <c r="AS28" s="160" t="s">
        <v>1</v>
      </c>
      <c r="AT28" s="69"/>
      <c r="AU28" s="69"/>
      <c r="AV28" s="70"/>
      <c r="AW28" s="70"/>
      <c r="AX28" s="69"/>
      <c r="AY28" s="69"/>
      <c r="AZ28" s="69"/>
      <c r="BA28" s="69"/>
    </row>
    <row r="29" spans="2:54" ht="16.5" customHeight="1" thickBot="1" x14ac:dyDescent="0.35">
      <c r="B29" s="72">
        <v>13</v>
      </c>
      <c r="C29" s="166">
        <v>3063</v>
      </c>
      <c r="D29" s="172" t="s">
        <v>107</v>
      </c>
      <c r="E29" s="60"/>
      <c r="F29" s="80"/>
      <c r="G29" s="61"/>
      <c r="H29" s="123">
        <f>SUM('11CL-AC-A-L PORT'!J21)</f>
        <v>14.166666666666666</v>
      </c>
      <c r="I29" s="124"/>
      <c r="J29" s="125"/>
      <c r="K29" s="126">
        <f>SUM('11CL-AC-A-MAT'!J21)</f>
        <v>17</v>
      </c>
      <c r="L29" s="127"/>
      <c r="M29" s="125"/>
      <c r="N29" s="123">
        <f>SUM('11CL-AC-A-BIOL'!J21)</f>
        <v>0</v>
      </c>
      <c r="O29" s="128"/>
      <c r="P29" s="125"/>
      <c r="Q29" s="126">
        <f>SUM('11CL-AC-A-INGLES'!J21)</f>
        <v>16.333333333333332</v>
      </c>
      <c r="R29" s="127"/>
      <c r="S29" s="125"/>
      <c r="T29" s="123">
        <f>SUM('11CL-AC-A-QCA ORG.'!J21)</f>
        <v>15</v>
      </c>
      <c r="U29" s="127"/>
      <c r="V29" s="125"/>
      <c r="W29" s="123">
        <f>SUM('11CL-AC-A-MICROBIOL'!J21)</f>
        <v>16.5</v>
      </c>
      <c r="X29" s="129"/>
      <c r="Y29" s="125"/>
      <c r="Z29" s="123">
        <f>SUM('11CL-AC-A-HEMAT I'!J21)</f>
        <v>14.166666666666666</v>
      </c>
      <c r="AA29" s="128"/>
      <c r="AB29" s="125"/>
      <c r="AC29" s="126">
        <f>SUM('11CL-AC-A-IMUNOL.'!J21)</f>
        <v>16</v>
      </c>
      <c r="AD29" s="127"/>
      <c r="AE29" s="125"/>
      <c r="AF29" s="123">
        <f>SUM('11CL-AC-A-URINOL.'!J21)</f>
        <v>14.833333333333334</v>
      </c>
      <c r="AG29" s="129"/>
      <c r="AH29" s="125"/>
      <c r="AI29" s="123">
        <f>SUM('11CL-AC-A-PRASITOL.'!J21)</f>
        <v>15.333333333333334</v>
      </c>
      <c r="AJ29" s="129"/>
      <c r="AK29" s="125"/>
      <c r="AL29" s="123">
        <f>SUM('11CL-AC-A-ED. FIS'!J21)</f>
        <v>16</v>
      </c>
      <c r="AM29" s="129"/>
      <c r="AN29" s="125"/>
      <c r="AO29" s="123">
        <f>SUM('11CL-AC-A-AFH'!J21)</f>
        <v>15.333333333333334</v>
      </c>
      <c r="AP29" s="74" t="s">
        <v>3</v>
      </c>
      <c r="AQ29" s="91">
        <f t="shared" si="0"/>
        <v>14.222222222222223</v>
      </c>
      <c r="AR29" s="160">
        <v>17</v>
      </c>
      <c r="AS29" s="160" t="s">
        <v>0</v>
      </c>
      <c r="AT29" s="69"/>
      <c r="AU29" s="69"/>
      <c r="AV29" s="70"/>
      <c r="AW29" s="70"/>
      <c r="AX29" s="69"/>
      <c r="AY29" s="69"/>
      <c r="AZ29" s="69"/>
      <c r="BA29" s="69"/>
    </row>
    <row r="30" spans="2:54" ht="16.5" customHeight="1" thickBot="1" x14ac:dyDescent="0.35">
      <c r="B30" s="72">
        <v>14</v>
      </c>
      <c r="C30" s="166">
        <v>3606</v>
      </c>
      <c r="D30" s="172" t="s">
        <v>108</v>
      </c>
      <c r="E30" s="60"/>
      <c r="F30" s="80"/>
      <c r="G30" s="61"/>
      <c r="H30" s="123">
        <f>SUM('11CL-AC-A-L PORT'!J22)</f>
        <v>9.8333333333333339</v>
      </c>
      <c r="I30" s="124"/>
      <c r="J30" s="125"/>
      <c r="K30" s="126">
        <f>SUM('11CL-AC-A-MAT'!J22)</f>
        <v>5</v>
      </c>
      <c r="L30" s="127"/>
      <c r="M30" s="125"/>
      <c r="N30" s="123">
        <f>SUM('11CL-AC-A-BIOL'!J22)</f>
        <v>10</v>
      </c>
      <c r="O30" s="128"/>
      <c r="P30" s="125"/>
      <c r="Q30" s="126">
        <f>SUM('11CL-AC-A-INGLES'!J22)</f>
        <v>10</v>
      </c>
      <c r="R30" s="127"/>
      <c r="S30" s="125"/>
      <c r="T30" s="123">
        <f>SUM('11CL-AC-A-QCA ORG.'!J22)</f>
        <v>2.1666666666666665</v>
      </c>
      <c r="U30" s="127"/>
      <c r="V30" s="125"/>
      <c r="W30" s="123">
        <f>SUM('11CL-AC-A-MICROBIOL'!J22)</f>
        <v>12.5</v>
      </c>
      <c r="X30" s="129"/>
      <c r="Y30" s="125"/>
      <c r="Z30" s="123">
        <f>SUM('11CL-AC-A-HEMAT I'!J22)</f>
        <v>11.333333333333334</v>
      </c>
      <c r="AA30" s="128"/>
      <c r="AB30" s="125"/>
      <c r="AC30" s="126">
        <f>SUM('11CL-AC-A-IMUNOL.'!J22)</f>
        <v>11.833333333333334</v>
      </c>
      <c r="AD30" s="127"/>
      <c r="AE30" s="125"/>
      <c r="AF30" s="123">
        <f>SUM('11CL-AC-A-URINOL.'!J22)</f>
        <v>12</v>
      </c>
      <c r="AG30" s="129"/>
      <c r="AH30" s="125"/>
      <c r="AI30" s="123">
        <f>SUM('11CL-AC-A-PRASITOL.'!J22)</f>
        <v>9</v>
      </c>
      <c r="AJ30" s="129"/>
      <c r="AK30" s="125"/>
      <c r="AL30" s="123">
        <f>SUM('11CL-AC-A-ED. FIS'!J22)</f>
        <v>11</v>
      </c>
      <c r="AM30" s="129"/>
      <c r="AN30" s="125"/>
      <c r="AO30" s="123">
        <f>SUM('11CL-AC-A-AFH'!J22)</f>
        <v>9.6666666666666661</v>
      </c>
      <c r="AP30" s="74" t="s">
        <v>3</v>
      </c>
      <c r="AQ30" s="91">
        <f t="shared" si="0"/>
        <v>9.5277777777777786</v>
      </c>
      <c r="AR30" s="160">
        <v>17</v>
      </c>
      <c r="AS30" s="160" t="s">
        <v>1</v>
      </c>
      <c r="AT30" s="69"/>
      <c r="AU30" s="69"/>
      <c r="AV30" s="70"/>
      <c r="AW30" s="70"/>
      <c r="AX30" s="69"/>
      <c r="AY30" s="69"/>
      <c r="AZ30" s="69"/>
      <c r="BA30" s="69"/>
    </row>
    <row r="31" spans="2:54" ht="16.5" customHeight="1" thickBot="1" x14ac:dyDescent="0.35">
      <c r="B31" s="72">
        <v>15</v>
      </c>
      <c r="C31" s="166">
        <v>2798</v>
      </c>
      <c r="D31" s="172" t="s">
        <v>109</v>
      </c>
      <c r="E31" s="60"/>
      <c r="F31" s="80"/>
      <c r="G31" s="61"/>
      <c r="H31" s="123">
        <f>SUM('11CL-AC-A-L PORT'!J23)</f>
        <v>10.166666666666666</v>
      </c>
      <c r="I31" s="124"/>
      <c r="J31" s="125"/>
      <c r="K31" s="126">
        <f>SUM('11CL-AC-A-MAT'!J23)</f>
        <v>4.666666666666667</v>
      </c>
      <c r="L31" s="127"/>
      <c r="M31" s="125"/>
      <c r="N31" s="123">
        <f>SUM('11CL-AC-A-BIOL'!J23)</f>
        <v>6</v>
      </c>
      <c r="O31" s="128"/>
      <c r="P31" s="125"/>
      <c r="Q31" s="126">
        <f>SUM('11CL-AC-A-INGLES'!J23)</f>
        <v>9.6666666666666661</v>
      </c>
      <c r="R31" s="127"/>
      <c r="S31" s="125"/>
      <c r="T31" s="123">
        <f>SUM('11CL-AC-A-QCA ORG.'!J23)</f>
        <v>7.666666666666667</v>
      </c>
      <c r="U31" s="127"/>
      <c r="V31" s="125"/>
      <c r="W31" s="123">
        <f>SUM('11CL-AC-A-MICROBIOL'!J23)</f>
        <v>12.666666666666666</v>
      </c>
      <c r="X31" s="129"/>
      <c r="Y31" s="125"/>
      <c r="Z31" s="123">
        <f>SUM('11CL-AC-A-HEMAT I'!J23)</f>
        <v>9.8333333333333339</v>
      </c>
      <c r="AA31" s="128"/>
      <c r="AB31" s="125"/>
      <c r="AC31" s="126">
        <f>SUM('11CL-AC-A-IMUNOL.'!J23)</f>
        <v>11.5</v>
      </c>
      <c r="AD31" s="127"/>
      <c r="AE31" s="125"/>
      <c r="AF31" s="123">
        <f>SUM('11CL-AC-A-URINOL.'!J23)</f>
        <v>8.5</v>
      </c>
      <c r="AG31" s="129"/>
      <c r="AH31" s="125"/>
      <c r="AI31" s="123">
        <f>SUM('11CL-AC-A-PRASITOL.'!J23)</f>
        <v>4.666666666666667</v>
      </c>
      <c r="AJ31" s="129"/>
      <c r="AK31" s="125"/>
      <c r="AL31" s="123">
        <f>SUM('11CL-AC-A-ED. FIS'!J23)</f>
        <v>13.333333333333334</v>
      </c>
      <c r="AM31" s="129"/>
      <c r="AN31" s="125"/>
      <c r="AO31" s="123">
        <f>SUM('11CL-AC-A-AFH'!J23)</f>
        <v>6</v>
      </c>
      <c r="AP31" s="74" t="s">
        <v>3</v>
      </c>
      <c r="AQ31" s="91">
        <f t="shared" si="0"/>
        <v>8.7222222222222214</v>
      </c>
      <c r="AR31" s="160">
        <v>17</v>
      </c>
      <c r="AS31" s="160" t="s">
        <v>0</v>
      </c>
      <c r="AT31" s="69"/>
      <c r="AU31" s="69"/>
      <c r="AV31" s="70"/>
      <c r="AW31" s="70"/>
      <c r="AX31" s="69"/>
      <c r="AY31" s="69"/>
      <c r="AZ31" s="69"/>
      <c r="BA31" s="69"/>
    </row>
    <row r="32" spans="2:54" ht="16.5" customHeight="1" thickBot="1" x14ac:dyDescent="0.35">
      <c r="B32" s="72">
        <v>16</v>
      </c>
      <c r="C32" s="166">
        <v>4210</v>
      </c>
      <c r="D32" s="172" t="s">
        <v>110</v>
      </c>
      <c r="E32" s="60"/>
      <c r="F32" s="80"/>
      <c r="G32" s="61"/>
      <c r="H32" s="123">
        <f>SUM('11CL-AC-A-L PORT'!J24)</f>
        <v>10.833333333333334</v>
      </c>
      <c r="I32" s="124"/>
      <c r="J32" s="125"/>
      <c r="K32" s="126">
        <f>SUM('11CL-AC-A-MAT'!J24)</f>
        <v>12</v>
      </c>
      <c r="L32" s="127"/>
      <c r="M32" s="125"/>
      <c r="N32" s="123">
        <f>SUM('11CL-AC-A-BIOL'!J24)</f>
        <v>12</v>
      </c>
      <c r="O32" s="128"/>
      <c r="P32" s="125"/>
      <c r="Q32" s="126">
        <f>SUM('11CL-AC-A-INGLES'!J24)</f>
        <v>13.666666666666666</v>
      </c>
      <c r="R32" s="127"/>
      <c r="S32" s="125"/>
      <c r="T32" s="123">
        <f>SUM('11CL-AC-A-QCA ORG.'!J24)</f>
        <v>8.3333333333333339</v>
      </c>
      <c r="U32" s="127"/>
      <c r="V32" s="125"/>
      <c r="W32" s="123">
        <f>SUM('11CL-AC-A-MICROBIOL'!J24)</f>
        <v>12</v>
      </c>
      <c r="X32" s="129"/>
      <c r="Y32" s="125"/>
      <c r="Z32" s="123">
        <f>SUM('11CL-AC-A-HEMAT I'!J24)</f>
        <v>12.166666666666666</v>
      </c>
      <c r="AA32" s="128"/>
      <c r="AB32" s="125"/>
      <c r="AC32" s="126">
        <f>SUM('11CL-AC-A-IMUNOL.'!J24)</f>
        <v>11.833333333333334</v>
      </c>
      <c r="AD32" s="127"/>
      <c r="AE32" s="125"/>
      <c r="AF32" s="123">
        <f>SUM('11CL-AC-A-URINOL.'!J24)</f>
        <v>12.75</v>
      </c>
      <c r="AG32" s="129"/>
      <c r="AH32" s="125"/>
      <c r="AI32" s="123">
        <f>SUM('11CL-AC-A-PRASITOL.'!J24)</f>
        <v>11</v>
      </c>
      <c r="AJ32" s="129"/>
      <c r="AK32" s="125"/>
      <c r="AL32" s="123">
        <f>SUM('11CL-AC-A-ED. FIS'!J24)</f>
        <v>12</v>
      </c>
      <c r="AM32" s="129"/>
      <c r="AN32" s="125"/>
      <c r="AO32" s="123">
        <f>SUM('11CL-AC-A-AFH'!J24)</f>
        <v>8.6666666666666661</v>
      </c>
      <c r="AP32" s="74" t="s">
        <v>3</v>
      </c>
      <c r="AQ32" s="91">
        <f t="shared" si="0"/>
        <v>11.4375</v>
      </c>
      <c r="AR32" s="160">
        <v>14</v>
      </c>
      <c r="AS32" s="160" t="s">
        <v>1</v>
      </c>
      <c r="AT32" s="69"/>
      <c r="AU32" s="69"/>
      <c r="AV32" s="70"/>
      <c r="AW32" s="70"/>
      <c r="AX32" s="69"/>
      <c r="AY32" s="69"/>
      <c r="AZ32" s="69"/>
      <c r="BA32" s="69"/>
    </row>
    <row r="33" spans="2:53" ht="16.5" customHeight="1" thickBot="1" x14ac:dyDescent="0.35">
      <c r="B33" s="72">
        <v>17</v>
      </c>
      <c r="C33" s="166">
        <v>3422</v>
      </c>
      <c r="D33" s="172" t="s">
        <v>111</v>
      </c>
      <c r="E33" s="60"/>
      <c r="F33" s="80"/>
      <c r="G33" s="61"/>
      <c r="H33" s="123">
        <f>SUM('11CL-AC-A-L PORT'!J25)</f>
        <v>12.566666666666668</v>
      </c>
      <c r="I33" s="124"/>
      <c r="J33" s="125"/>
      <c r="K33" s="126">
        <f>SUM('11CL-AC-A-MAT'!J25)</f>
        <v>10.333333333333334</v>
      </c>
      <c r="L33" s="127"/>
      <c r="M33" s="125"/>
      <c r="N33" s="123">
        <f>SUM('11CL-AC-A-BIOL'!J25)</f>
        <v>11.666666666666666</v>
      </c>
      <c r="O33" s="128"/>
      <c r="P33" s="125"/>
      <c r="Q33" s="126">
        <f>SUM('11CL-AC-A-INGLES'!J25)</f>
        <v>16</v>
      </c>
      <c r="R33" s="127"/>
      <c r="S33" s="125"/>
      <c r="T33" s="123">
        <f>SUM('11CL-AC-A-QCA ORG.'!J25)</f>
        <v>15.666666666666666</v>
      </c>
      <c r="U33" s="127"/>
      <c r="V33" s="125"/>
      <c r="W33" s="123">
        <f>SUM('11CL-AC-A-MICROBIOL'!J25)</f>
        <v>14.333333333333334</v>
      </c>
      <c r="X33" s="129"/>
      <c r="Y33" s="125"/>
      <c r="Z33" s="123">
        <f>SUM('11CL-AC-A-HEMAT I'!J25)</f>
        <v>11.666666666666666</v>
      </c>
      <c r="AA33" s="128"/>
      <c r="AB33" s="125"/>
      <c r="AC33" s="126">
        <f>SUM('11CL-AC-A-IMUNOL.'!J25)</f>
        <v>13.166666666666666</v>
      </c>
      <c r="AD33" s="127"/>
      <c r="AE33" s="125"/>
      <c r="AF33" s="123">
        <f>SUM('11CL-AC-A-URINOL.'!J25)</f>
        <v>11.166666666666666</v>
      </c>
      <c r="AG33" s="129"/>
      <c r="AH33" s="125"/>
      <c r="AI33" s="123">
        <f>SUM('11CL-AC-A-PRASITOL.'!J25)</f>
        <v>12.833333333333334</v>
      </c>
      <c r="AJ33" s="129"/>
      <c r="AK33" s="125"/>
      <c r="AL33" s="123">
        <f>SUM('11CL-AC-A-ED. FIS'!J25)</f>
        <v>14</v>
      </c>
      <c r="AM33" s="129"/>
      <c r="AN33" s="125"/>
      <c r="AO33" s="123">
        <f>SUM('11CL-AC-A-AFH'!J25)</f>
        <v>9.3333333333333339</v>
      </c>
      <c r="AP33" s="74" t="s">
        <v>3</v>
      </c>
      <c r="AQ33" s="91">
        <f t="shared" si="0"/>
        <v>12.72777777777778</v>
      </c>
      <c r="AR33" s="160">
        <v>17</v>
      </c>
      <c r="AS33" s="160" t="s">
        <v>1</v>
      </c>
      <c r="AT33" s="69"/>
      <c r="AU33" s="69"/>
      <c r="AV33" s="70"/>
      <c r="AW33" s="70"/>
      <c r="AX33" s="69"/>
      <c r="AY33" s="69"/>
      <c r="AZ33" s="69"/>
      <c r="BA33" s="69"/>
    </row>
    <row r="34" spans="2:53" ht="16.5" customHeight="1" thickBot="1" x14ac:dyDescent="0.35">
      <c r="B34" s="72">
        <v>18</v>
      </c>
      <c r="C34" s="166">
        <v>3300</v>
      </c>
      <c r="D34" s="172" t="s">
        <v>112</v>
      </c>
      <c r="E34" s="60"/>
      <c r="F34" s="80"/>
      <c r="G34" s="61"/>
      <c r="H34" s="123">
        <f>SUM('11CL-AC-A-L PORT'!J26)</f>
        <v>13.5</v>
      </c>
      <c r="I34" s="124"/>
      <c r="J34" s="125"/>
      <c r="K34" s="126">
        <f>SUM('11CL-AC-A-MAT'!J26)</f>
        <v>6.333333333333333</v>
      </c>
      <c r="L34" s="127"/>
      <c r="M34" s="125"/>
      <c r="N34" s="123">
        <f>SUM('11CL-AC-A-BIOL'!J26)</f>
        <v>13.333333333333334</v>
      </c>
      <c r="O34" s="128"/>
      <c r="P34" s="125"/>
      <c r="Q34" s="126">
        <f>SUM('11CL-AC-A-INGLES'!J26)</f>
        <v>18.333333333333332</v>
      </c>
      <c r="R34" s="127"/>
      <c r="S34" s="125"/>
      <c r="T34" s="123">
        <f>SUM('11CL-AC-A-QCA ORG.'!J26)</f>
        <v>12.5</v>
      </c>
      <c r="U34" s="127"/>
      <c r="V34" s="125"/>
      <c r="W34" s="123">
        <f>SUM('11CL-AC-A-MICROBIOL'!J26)</f>
        <v>13.5</v>
      </c>
      <c r="X34" s="129"/>
      <c r="Y34" s="125"/>
      <c r="Z34" s="123">
        <f>SUM('11CL-AC-A-HEMAT I'!J26)</f>
        <v>11.833333333333334</v>
      </c>
      <c r="AA34" s="128"/>
      <c r="AB34" s="125"/>
      <c r="AC34" s="126">
        <f>SUM('11CL-AC-A-IMUNOL.'!J26)</f>
        <v>12</v>
      </c>
      <c r="AD34" s="127"/>
      <c r="AE34" s="125"/>
      <c r="AF34" s="123">
        <f>SUM('11CL-AC-A-URINOL.'!J26)</f>
        <v>15.666666666666666</v>
      </c>
      <c r="AG34" s="129"/>
      <c r="AH34" s="125"/>
      <c r="AI34" s="123">
        <f>SUM('11CL-AC-A-PRASITOL.'!J26)</f>
        <v>12.166666666666666</v>
      </c>
      <c r="AJ34" s="129"/>
      <c r="AK34" s="125"/>
      <c r="AL34" s="123">
        <f>SUM('11CL-AC-A-ED. FIS'!J26)</f>
        <v>14</v>
      </c>
      <c r="AM34" s="129"/>
      <c r="AN34" s="125"/>
      <c r="AO34" s="123">
        <f>SUM('11CL-AC-A-AFH'!J26)</f>
        <v>12.5</v>
      </c>
      <c r="AP34" s="74" t="s">
        <v>3</v>
      </c>
      <c r="AQ34" s="91">
        <f t="shared" si="0"/>
        <v>12.972222222222221</v>
      </c>
      <c r="AR34" s="160">
        <v>17</v>
      </c>
      <c r="AS34" s="160" t="s">
        <v>1</v>
      </c>
      <c r="AT34" s="69"/>
      <c r="AU34" s="69"/>
      <c r="AV34" s="70"/>
      <c r="AW34" s="70"/>
      <c r="AX34" s="69"/>
      <c r="AY34" s="69"/>
      <c r="AZ34" s="69"/>
      <c r="BA34" s="69"/>
    </row>
    <row r="35" spans="2:53" ht="16.5" customHeight="1" thickBot="1" x14ac:dyDescent="0.35">
      <c r="B35" s="72">
        <v>19</v>
      </c>
      <c r="C35" s="166">
        <v>2224</v>
      </c>
      <c r="D35" s="172" t="s">
        <v>88</v>
      </c>
      <c r="E35" s="60"/>
      <c r="F35" s="80"/>
      <c r="G35" s="61"/>
      <c r="H35" s="123">
        <f>SUM('11CL-AC-A-L PORT'!J27)</f>
        <v>0</v>
      </c>
      <c r="I35" s="124"/>
      <c r="J35" s="125"/>
      <c r="K35" s="126">
        <f>SUM('11CL-AC-A-MAT'!J27)</f>
        <v>0</v>
      </c>
      <c r="L35" s="127"/>
      <c r="M35" s="125"/>
      <c r="N35" s="123">
        <f>SUM('11CL-AC-A-BIOL'!J27)</f>
        <v>0</v>
      </c>
      <c r="O35" s="128"/>
      <c r="P35" s="125"/>
      <c r="Q35" s="126">
        <f>SUM('11CL-AC-A-INGLES'!J27)</f>
        <v>0</v>
      </c>
      <c r="R35" s="127"/>
      <c r="S35" s="125"/>
      <c r="T35" s="123">
        <f>SUM('11CL-AC-A-QCA ORG.'!J27)</f>
        <v>0</v>
      </c>
      <c r="U35" s="127"/>
      <c r="V35" s="125"/>
      <c r="W35" s="123">
        <f>SUM('11CL-AC-A-MICROBIOL'!J27)</f>
        <v>0</v>
      </c>
      <c r="X35" s="129"/>
      <c r="Y35" s="125"/>
      <c r="Z35" s="123">
        <f>SUM('11CL-AC-A-HEMAT I'!J27)</f>
        <v>0</v>
      </c>
      <c r="AA35" s="128"/>
      <c r="AB35" s="125"/>
      <c r="AC35" s="126">
        <f>SUM('11CL-AC-A-IMUNOL.'!J27)</f>
        <v>0</v>
      </c>
      <c r="AD35" s="127"/>
      <c r="AE35" s="125"/>
      <c r="AF35" s="123">
        <f>SUM('11CL-AC-A-URINOL.'!J27)</f>
        <v>0</v>
      </c>
      <c r="AG35" s="129"/>
      <c r="AH35" s="125"/>
      <c r="AI35" s="123">
        <f>SUM('11CL-AC-A-PRASITOL.'!J27)</f>
        <v>0</v>
      </c>
      <c r="AJ35" s="129"/>
      <c r="AK35" s="125"/>
      <c r="AL35" s="123">
        <f>SUM('11CL-AC-A-ED. FIS'!J27)</f>
        <v>0</v>
      </c>
      <c r="AM35" s="129"/>
      <c r="AN35" s="125"/>
      <c r="AO35" s="123">
        <f>SUM('11CL-AC-A-AFH'!J27)</f>
        <v>11.333333333333334</v>
      </c>
      <c r="AP35" s="74" t="s">
        <v>140</v>
      </c>
      <c r="AQ35" s="91">
        <f t="shared" si="0"/>
        <v>0.94444444444444453</v>
      </c>
      <c r="AR35" s="160">
        <v>17</v>
      </c>
      <c r="AS35" s="160" t="s">
        <v>1</v>
      </c>
      <c r="AT35" s="69"/>
      <c r="AU35" s="69"/>
      <c r="AV35" s="70"/>
      <c r="AW35" s="70"/>
      <c r="AX35" s="69"/>
      <c r="AY35" s="69"/>
      <c r="AZ35" s="69"/>
      <c r="BA35" s="69"/>
    </row>
    <row r="36" spans="2:53" ht="16.5" customHeight="1" thickBot="1" x14ac:dyDescent="0.35">
      <c r="B36" s="72">
        <v>20</v>
      </c>
      <c r="C36" s="166">
        <v>4097</v>
      </c>
      <c r="D36" s="172" t="s">
        <v>113</v>
      </c>
      <c r="E36" s="60"/>
      <c r="F36" s="80"/>
      <c r="G36" s="61"/>
      <c r="H36" s="123">
        <f>SUM('11CL-AC-A-L PORT'!J28)</f>
        <v>12.166666666666666</v>
      </c>
      <c r="I36" s="124"/>
      <c r="J36" s="125"/>
      <c r="K36" s="126">
        <f>SUM('11CL-AC-A-MAT'!J28)</f>
        <v>9</v>
      </c>
      <c r="L36" s="127"/>
      <c r="M36" s="125"/>
      <c r="N36" s="123">
        <f>SUM('11CL-AC-A-BIOL'!J28)</f>
        <v>12.333333333333334</v>
      </c>
      <c r="O36" s="128"/>
      <c r="P36" s="125"/>
      <c r="Q36" s="126">
        <f>SUM('11CL-AC-A-INGLES'!J28)</f>
        <v>15.666666666666666</v>
      </c>
      <c r="R36" s="127"/>
      <c r="S36" s="125"/>
      <c r="T36" s="123">
        <f>SUM('11CL-AC-A-QCA ORG.'!J28)</f>
        <v>6</v>
      </c>
      <c r="U36" s="127"/>
      <c r="V36" s="125"/>
      <c r="W36" s="123">
        <f>SUM('11CL-AC-A-MICROBIOL'!J28)</f>
        <v>13.833333333333334</v>
      </c>
      <c r="X36" s="129"/>
      <c r="Y36" s="125"/>
      <c r="Z36" s="123">
        <f>SUM('11CL-AC-A-HEMAT I'!J28)</f>
        <v>7.333333333333333</v>
      </c>
      <c r="AA36" s="128"/>
      <c r="AB36" s="125"/>
      <c r="AC36" s="126">
        <f>SUM('11CL-AC-A-IMUNOL.'!J28)</f>
        <v>11.833333333333334</v>
      </c>
      <c r="AD36" s="127"/>
      <c r="AE36" s="125"/>
      <c r="AF36" s="123">
        <f>SUM('11CL-AC-A-URINOL.'!J28)</f>
        <v>7.75</v>
      </c>
      <c r="AG36" s="129"/>
      <c r="AH36" s="125"/>
      <c r="AI36" s="123">
        <f>SUM('11CL-AC-A-PRASITOL.'!J28)</f>
        <v>8.3333333333333339</v>
      </c>
      <c r="AJ36" s="129"/>
      <c r="AK36" s="125"/>
      <c r="AL36" s="123">
        <f>SUM('11CL-AC-A-ED. FIS'!J28)</f>
        <v>11</v>
      </c>
      <c r="AM36" s="129"/>
      <c r="AN36" s="125"/>
      <c r="AO36" s="123">
        <f>SUM('11CL-AC-A-AFH'!J28)</f>
        <v>8.6666666666666661</v>
      </c>
      <c r="AP36" s="74" t="s">
        <v>3</v>
      </c>
      <c r="AQ36" s="91">
        <f t="shared" si="0"/>
        <v>10.326388888888888</v>
      </c>
      <c r="AR36" s="160">
        <v>17</v>
      </c>
      <c r="AS36" s="160" t="s">
        <v>1</v>
      </c>
      <c r="AT36" s="69"/>
      <c r="AU36" s="69"/>
      <c r="AV36" s="70"/>
      <c r="AW36" s="70"/>
      <c r="AX36" s="69"/>
      <c r="AY36" s="69"/>
      <c r="AZ36" s="69"/>
      <c r="BA36" s="69"/>
    </row>
    <row r="37" spans="2:53" ht="16.5" customHeight="1" thickBot="1" x14ac:dyDescent="0.35">
      <c r="B37" s="72">
        <v>21</v>
      </c>
      <c r="C37" s="167">
        <v>2806</v>
      </c>
      <c r="D37" s="173" t="s">
        <v>114</v>
      </c>
      <c r="E37" s="60"/>
      <c r="F37" s="80"/>
      <c r="G37" s="61"/>
      <c r="H37" s="123">
        <f>SUM('11CL-AC-A-L PORT'!J29)</f>
        <v>10.666666666666666</v>
      </c>
      <c r="I37" s="124"/>
      <c r="J37" s="125"/>
      <c r="K37" s="126">
        <f>SUM('11CL-AC-A-MAT'!J29)</f>
        <v>5.666666666666667</v>
      </c>
      <c r="L37" s="127"/>
      <c r="M37" s="125"/>
      <c r="N37" s="123">
        <f>SUM('11CL-AC-A-BIOL'!J29)</f>
        <v>8</v>
      </c>
      <c r="O37" s="128"/>
      <c r="P37" s="125"/>
      <c r="Q37" s="126">
        <f>SUM('11CL-AC-A-INGLES'!J29)</f>
        <v>10</v>
      </c>
      <c r="R37" s="127"/>
      <c r="S37" s="125"/>
      <c r="T37" s="123">
        <f>SUM('11CL-AC-A-QCA ORG.'!J29)</f>
        <v>4.5</v>
      </c>
      <c r="U37" s="127"/>
      <c r="V37" s="125"/>
      <c r="W37" s="123">
        <f>SUM('11CL-AC-A-MICROBIOL'!J29)</f>
        <v>11.833333333333334</v>
      </c>
      <c r="X37" s="129"/>
      <c r="Y37" s="125"/>
      <c r="Z37" s="123">
        <f>SUM('11CL-AC-A-HEMAT I'!J29)</f>
        <v>10</v>
      </c>
      <c r="AA37" s="128"/>
      <c r="AB37" s="125"/>
      <c r="AC37" s="126">
        <f>SUM('11CL-AC-A-IMUNOL.'!J29)</f>
        <v>9.3333333333333339</v>
      </c>
      <c r="AD37" s="127"/>
      <c r="AE37" s="125"/>
      <c r="AF37" s="123">
        <f>SUM('11CL-AC-A-URINOL.'!J29)</f>
        <v>14.5</v>
      </c>
      <c r="AG37" s="129"/>
      <c r="AH37" s="125"/>
      <c r="AI37" s="123">
        <f>SUM('11CL-AC-A-PRASITOL.'!J29)</f>
        <v>10.833333333333334</v>
      </c>
      <c r="AJ37" s="129"/>
      <c r="AK37" s="125"/>
      <c r="AL37" s="123">
        <f>SUM('11CL-AC-A-ED. FIS'!J29)</f>
        <v>0</v>
      </c>
      <c r="AM37" s="129"/>
      <c r="AN37" s="125"/>
      <c r="AO37" s="123">
        <f>SUM('11CL-AC-A-AFH'!J29)</f>
        <v>10</v>
      </c>
      <c r="AP37" s="74" t="s">
        <v>3</v>
      </c>
      <c r="AQ37" s="91">
        <f t="shared" si="0"/>
        <v>8.7777777777777768</v>
      </c>
      <c r="AR37" s="161">
        <v>18</v>
      </c>
      <c r="AS37" s="164" t="s">
        <v>0</v>
      </c>
      <c r="AT37" s="69"/>
      <c r="AU37" s="69"/>
      <c r="AV37" s="70"/>
      <c r="AW37" s="70"/>
      <c r="AX37" s="69"/>
      <c r="AY37" s="69"/>
      <c r="AZ37" s="69"/>
      <c r="BA37" s="69"/>
    </row>
    <row r="38" spans="2:53" ht="16.5" customHeight="1" thickBot="1" x14ac:dyDescent="0.35">
      <c r="B38" s="72">
        <v>22</v>
      </c>
      <c r="C38" s="166">
        <v>2923</v>
      </c>
      <c r="D38" s="172" t="s">
        <v>115</v>
      </c>
      <c r="E38" s="60"/>
      <c r="F38" s="80"/>
      <c r="G38" s="61"/>
      <c r="H38" s="123">
        <f>SUM('11CL-AC-A-L PORT'!J30)</f>
        <v>13</v>
      </c>
      <c r="I38" s="124"/>
      <c r="J38" s="125"/>
      <c r="K38" s="126">
        <f>SUM('11CL-AC-A-MAT'!J30)</f>
        <v>15.666666666666666</v>
      </c>
      <c r="L38" s="127"/>
      <c r="M38" s="125"/>
      <c r="N38" s="123">
        <f>SUM('11CL-AC-A-BIOL'!J30)</f>
        <v>11</v>
      </c>
      <c r="O38" s="128"/>
      <c r="P38" s="125"/>
      <c r="Q38" s="126">
        <f>SUM('11CL-AC-A-INGLES'!J30)</f>
        <v>14</v>
      </c>
      <c r="R38" s="127"/>
      <c r="S38" s="125"/>
      <c r="T38" s="123">
        <f>SUM('11CL-AC-A-QCA ORG.'!J30)</f>
        <v>14.333333333333334</v>
      </c>
      <c r="U38" s="127"/>
      <c r="V38" s="125"/>
      <c r="W38" s="123">
        <f>SUM('11CL-AC-A-MICROBIOL'!J30)</f>
        <v>13.333333333333334</v>
      </c>
      <c r="X38" s="129"/>
      <c r="Y38" s="125"/>
      <c r="Z38" s="123">
        <f>SUM('11CL-AC-A-HEMAT I'!J30)</f>
        <v>13</v>
      </c>
      <c r="AA38" s="128"/>
      <c r="AB38" s="125"/>
      <c r="AC38" s="126">
        <f>SUM('11CL-AC-A-IMUNOL.'!J30)</f>
        <v>16.5</v>
      </c>
      <c r="AD38" s="127"/>
      <c r="AE38" s="125"/>
      <c r="AF38" s="123">
        <f>SUM('11CL-AC-A-URINOL.'!J30)</f>
        <v>15.333333333333334</v>
      </c>
      <c r="AG38" s="129"/>
      <c r="AH38" s="125"/>
      <c r="AI38" s="123">
        <f>SUM('11CL-AC-A-PRASITOL.'!J30)</f>
        <v>11.666666666666666</v>
      </c>
      <c r="AJ38" s="129"/>
      <c r="AK38" s="125"/>
      <c r="AL38" s="123">
        <f>SUM('11CL-AC-A-ED. FIS'!J30)</f>
        <v>11</v>
      </c>
      <c r="AM38" s="129"/>
      <c r="AN38" s="125"/>
      <c r="AO38" s="123">
        <f>SUM('11CL-AC-A-AFH'!J30)</f>
        <v>6.5</v>
      </c>
      <c r="AP38" s="74" t="s">
        <v>3</v>
      </c>
      <c r="AQ38" s="91">
        <f t="shared" si="0"/>
        <v>12.944444444444443</v>
      </c>
      <c r="AR38" s="162">
        <v>16</v>
      </c>
      <c r="AS38" s="162" t="s">
        <v>1</v>
      </c>
      <c r="AT38" s="69"/>
      <c r="AU38" s="69"/>
      <c r="AV38" s="70"/>
      <c r="AW38" s="70"/>
      <c r="AX38" s="69"/>
      <c r="AY38" s="69"/>
      <c r="AZ38" s="69"/>
      <c r="BA38" s="69"/>
    </row>
    <row r="39" spans="2:53" ht="16.5" customHeight="1" thickTop="1" thickBot="1" x14ac:dyDescent="0.35">
      <c r="B39" s="72">
        <v>23</v>
      </c>
      <c r="C39" s="166">
        <v>3159</v>
      </c>
      <c r="D39" s="172" t="s">
        <v>116</v>
      </c>
      <c r="E39" s="60"/>
      <c r="F39" s="80"/>
      <c r="G39" s="61"/>
      <c r="H39" s="123">
        <f>SUM('11CL-AC-A-L PORT'!J31)</f>
        <v>12.833333333333334</v>
      </c>
      <c r="I39" s="124"/>
      <c r="J39" s="125"/>
      <c r="K39" s="126">
        <f>SUM('11CL-AC-A-MAT'!J31)</f>
        <v>10</v>
      </c>
      <c r="L39" s="127"/>
      <c r="M39" s="125"/>
      <c r="N39" s="123">
        <f>SUM('11CL-AC-A-BIOL'!J31)</f>
        <v>14</v>
      </c>
      <c r="O39" s="128"/>
      <c r="P39" s="125"/>
      <c r="Q39" s="126">
        <f>SUM('11CL-AC-A-INGLES'!J31)</f>
        <v>17</v>
      </c>
      <c r="R39" s="127"/>
      <c r="S39" s="125"/>
      <c r="T39" s="123">
        <f>SUM('11CL-AC-A-QCA ORG.'!J31)</f>
        <v>16.333333333333332</v>
      </c>
      <c r="U39" s="127"/>
      <c r="V39" s="125"/>
      <c r="W39" s="123">
        <f>SUM('11CL-AC-A-MICROBIOL'!J31)</f>
        <v>12.166666666666666</v>
      </c>
      <c r="X39" s="129"/>
      <c r="Y39" s="125"/>
      <c r="Z39" s="123">
        <f>SUM('11CL-AC-A-HEMAT I'!J31)</f>
        <v>14</v>
      </c>
      <c r="AA39" s="128"/>
      <c r="AB39" s="125"/>
      <c r="AC39" s="126">
        <f>SUM('11CL-AC-A-IMUNOL.'!J31)</f>
        <v>13.666666666666666</v>
      </c>
      <c r="AD39" s="127"/>
      <c r="AE39" s="125"/>
      <c r="AF39" s="123">
        <f>SUM('11CL-AC-A-URINOL.'!J31)</f>
        <v>11.5</v>
      </c>
      <c r="AG39" s="129"/>
      <c r="AH39" s="125"/>
      <c r="AI39" s="123">
        <f>SUM('11CL-AC-A-PRASITOL.'!J31)</f>
        <v>11.666666666666666</v>
      </c>
      <c r="AJ39" s="129"/>
      <c r="AK39" s="125"/>
      <c r="AL39" s="123">
        <f>SUM('11CL-AC-A-ED. FIS'!J31)</f>
        <v>13</v>
      </c>
      <c r="AM39" s="129"/>
      <c r="AN39" s="125"/>
      <c r="AO39" s="123">
        <f>SUM('11CL-AC-A-AFH'!J31)</f>
        <v>10.333333333333334</v>
      </c>
      <c r="AP39" s="74" t="s">
        <v>2</v>
      </c>
      <c r="AQ39" s="91">
        <f t="shared" si="0"/>
        <v>13.04166666666667</v>
      </c>
      <c r="AR39" s="159">
        <v>15</v>
      </c>
      <c r="AS39" s="159" t="s">
        <v>1</v>
      </c>
      <c r="AT39" s="69"/>
      <c r="AU39" s="69"/>
      <c r="AV39" s="70"/>
      <c r="AW39" s="70"/>
      <c r="AX39" s="69"/>
      <c r="AY39" s="69"/>
      <c r="AZ39" s="69"/>
      <c r="BA39" s="69"/>
    </row>
    <row r="40" spans="2:53" ht="16.5" customHeight="1" thickBot="1" x14ac:dyDescent="0.35">
      <c r="B40" s="72">
        <v>24</v>
      </c>
      <c r="C40" s="166">
        <v>3665</v>
      </c>
      <c r="D40" s="172" t="s">
        <v>117</v>
      </c>
      <c r="E40" s="60"/>
      <c r="F40" s="80"/>
      <c r="G40" s="61"/>
      <c r="H40" s="123">
        <f>SUM('11CL-AC-A-L PORT'!J32)</f>
        <v>6.5</v>
      </c>
      <c r="I40" s="124"/>
      <c r="J40" s="125"/>
      <c r="K40" s="126">
        <f>SUM('11CL-AC-A-MAT'!J32)</f>
        <v>10</v>
      </c>
      <c r="L40" s="127"/>
      <c r="M40" s="125"/>
      <c r="N40" s="123">
        <f>SUM('11CL-AC-A-BIOL'!J32)</f>
        <v>11</v>
      </c>
      <c r="O40" s="128"/>
      <c r="P40" s="125"/>
      <c r="Q40" s="126">
        <f>SUM('11CL-AC-A-INGLES'!J32)</f>
        <v>9</v>
      </c>
      <c r="R40" s="127"/>
      <c r="S40" s="125"/>
      <c r="T40" s="123">
        <f>SUM('11CL-AC-A-QCA ORG.'!J32)</f>
        <v>0</v>
      </c>
      <c r="U40" s="127"/>
      <c r="V40" s="125"/>
      <c r="W40" s="123">
        <f>SUM('11CL-AC-A-MICROBIOL'!J32)</f>
        <v>12</v>
      </c>
      <c r="X40" s="129"/>
      <c r="Y40" s="125"/>
      <c r="Z40" s="123">
        <f>SUM('11CL-AC-A-HEMAT I'!J32)</f>
        <v>6</v>
      </c>
      <c r="AA40" s="128"/>
      <c r="AB40" s="125"/>
      <c r="AC40" s="126">
        <f>SUM('11CL-AC-A-IMUNOL.'!J32)</f>
        <v>10.5</v>
      </c>
      <c r="AD40" s="127"/>
      <c r="AE40" s="125"/>
      <c r="AF40" s="123">
        <f>SUM('11CL-AC-A-URINOL.'!J32)</f>
        <v>6</v>
      </c>
      <c r="AG40" s="129"/>
      <c r="AH40" s="125"/>
      <c r="AI40" s="123">
        <f>SUM('11CL-AC-A-PRASITOL.'!J32)</f>
        <v>9.3333333333333339</v>
      </c>
      <c r="AJ40" s="129"/>
      <c r="AK40" s="125"/>
      <c r="AL40" s="123">
        <f>SUM('11CL-AC-A-ED. FIS'!J32)</f>
        <v>14</v>
      </c>
      <c r="AM40" s="129"/>
      <c r="AN40" s="125"/>
      <c r="AO40" s="123">
        <f>SUM('11CL-AC-A-AFH'!J32)</f>
        <v>6.5</v>
      </c>
      <c r="AP40" s="74" t="s">
        <v>3</v>
      </c>
      <c r="AQ40" s="91">
        <f t="shared" si="0"/>
        <v>8.4027777777777768</v>
      </c>
      <c r="AR40" s="160">
        <v>17</v>
      </c>
      <c r="AS40" s="160" t="s">
        <v>1</v>
      </c>
      <c r="AT40" s="69"/>
      <c r="AU40" s="69"/>
      <c r="AV40" s="70"/>
      <c r="AW40" s="70"/>
      <c r="AX40" s="69"/>
      <c r="AY40" s="69"/>
      <c r="AZ40" s="69"/>
      <c r="BA40" s="69"/>
    </row>
    <row r="41" spans="2:53" ht="16.5" customHeight="1" thickBot="1" x14ac:dyDescent="0.35">
      <c r="B41" s="72">
        <v>25</v>
      </c>
      <c r="C41" s="166">
        <v>3253</v>
      </c>
      <c r="D41" s="172" t="s">
        <v>118</v>
      </c>
      <c r="E41" s="60"/>
      <c r="F41" s="80"/>
      <c r="G41" s="61"/>
      <c r="H41" s="123">
        <f>SUM('11CL-AC-A-L PORT'!J33)</f>
        <v>10.333333333333334</v>
      </c>
      <c r="I41" s="124"/>
      <c r="J41" s="125"/>
      <c r="K41" s="126">
        <f>SUM('11CL-AC-A-MAT'!J33)</f>
        <v>15.333333333333334</v>
      </c>
      <c r="L41" s="127"/>
      <c r="M41" s="125"/>
      <c r="N41" s="123">
        <f>SUM('11CL-AC-A-BIOL'!J33)</f>
        <v>13</v>
      </c>
      <c r="O41" s="128"/>
      <c r="P41" s="125"/>
      <c r="Q41" s="126">
        <f>SUM('11CL-AC-A-INGLES'!J33)</f>
        <v>9.6666666666666661</v>
      </c>
      <c r="R41" s="127"/>
      <c r="S41" s="125"/>
      <c r="T41" s="123">
        <f>SUM('11CL-AC-A-QCA ORG.'!J33)</f>
        <v>15.666666666666666</v>
      </c>
      <c r="U41" s="127"/>
      <c r="V41" s="125"/>
      <c r="W41" s="123">
        <f>SUM('11CL-AC-A-MICROBIOL'!J33)</f>
        <v>13.666666666666666</v>
      </c>
      <c r="X41" s="129"/>
      <c r="Y41" s="125"/>
      <c r="Z41" s="123">
        <f>SUM('11CL-AC-A-HEMAT I'!J33)</f>
        <v>11.833333333333334</v>
      </c>
      <c r="AA41" s="128"/>
      <c r="AB41" s="125"/>
      <c r="AC41" s="126">
        <f>SUM('11CL-AC-A-IMUNOL.'!J33)</f>
        <v>13.166666666666666</v>
      </c>
      <c r="AD41" s="127"/>
      <c r="AE41" s="125"/>
      <c r="AF41" s="123">
        <f>SUM('11CL-AC-A-URINOL.'!J33)</f>
        <v>13.666666666666666</v>
      </c>
      <c r="AG41" s="129"/>
      <c r="AH41" s="125"/>
      <c r="AI41" s="123">
        <f>SUM('11CL-AC-A-PRASITOL.'!J33)</f>
        <v>9</v>
      </c>
      <c r="AJ41" s="129"/>
      <c r="AK41" s="125"/>
      <c r="AL41" s="123">
        <f>SUM('11CL-AC-A-ED. FIS'!J33)</f>
        <v>12</v>
      </c>
      <c r="AM41" s="129"/>
      <c r="AN41" s="125"/>
      <c r="AO41" s="123">
        <f>SUM('11CL-AC-A-AFH'!J33)</f>
        <v>7.833333333333333</v>
      </c>
      <c r="AP41" s="74" t="s">
        <v>3</v>
      </c>
      <c r="AQ41" s="91">
        <f t="shared" si="0"/>
        <v>12.097222222222223</v>
      </c>
      <c r="AR41" s="160">
        <v>16</v>
      </c>
      <c r="AS41" s="160" t="s">
        <v>1</v>
      </c>
      <c r="AT41" s="69"/>
      <c r="AU41" s="69"/>
      <c r="AV41" s="70"/>
      <c r="AW41" s="70"/>
      <c r="AX41" s="69"/>
      <c r="AY41" s="69"/>
      <c r="AZ41" s="69"/>
      <c r="BA41" s="69"/>
    </row>
    <row r="42" spans="2:53" ht="16.5" customHeight="1" thickBot="1" x14ac:dyDescent="0.35">
      <c r="B42" s="72">
        <v>26</v>
      </c>
      <c r="C42" s="166">
        <v>3099</v>
      </c>
      <c r="D42" s="172" t="s">
        <v>119</v>
      </c>
      <c r="E42" s="60"/>
      <c r="F42" s="80"/>
      <c r="G42" s="61"/>
      <c r="H42" s="123">
        <f>SUM('11CL-AC-A-L PORT'!J34)</f>
        <v>13.333333333333334</v>
      </c>
      <c r="I42" s="124"/>
      <c r="J42" s="125"/>
      <c r="K42" s="126">
        <f>SUM('11CL-AC-A-MAT'!J34)</f>
        <v>10</v>
      </c>
      <c r="L42" s="127"/>
      <c r="M42" s="125"/>
      <c r="N42" s="123">
        <f>SUM('11CL-AC-A-BIOL'!J34)</f>
        <v>11.333333333333334</v>
      </c>
      <c r="O42" s="128"/>
      <c r="P42" s="125"/>
      <c r="Q42" s="126">
        <f>SUM('11CL-AC-A-INGLES'!J34)</f>
        <v>15.666666666666666</v>
      </c>
      <c r="R42" s="127"/>
      <c r="S42" s="125"/>
      <c r="T42" s="123">
        <f>SUM('11CL-AC-A-QCA ORG.'!J34)</f>
        <v>8.5</v>
      </c>
      <c r="U42" s="127"/>
      <c r="V42" s="125"/>
      <c r="W42" s="123">
        <f>SUM('11CL-AC-A-MICROBIOL'!J34)</f>
        <v>12.166666666666666</v>
      </c>
      <c r="X42" s="129"/>
      <c r="Y42" s="125"/>
      <c r="Z42" s="123">
        <f>SUM('11CL-AC-A-HEMAT I'!J34)</f>
        <v>13.166666666666666</v>
      </c>
      <c r="AA42" s="128"/>
      <c r="AB42" s="125"/>
      <c r="AC42" s="126">
        <f>SUM('11CL-AC-A-IMUNOL.'!J34)</f>
        <v>16.833333333333332</v>
      </c>
      <c r="AD42" s="127"/>
      <c r="AE42" s="125"/>
      <c r="AF42" s="123">
        <f>SUM('11CL-AC-A-URINOL.'!J34)</f>
        <v>16.666666666666668</v>
      </c>
      <c r="AG42" s="129"/>
      <c r="AH42" s="125"/>
      <c r="AI42" s="123">
        <f>SUM('11CL-AC-A-PRASITOL.'!J34)</f>
        <v>9.3333333333333339</v>
      </c>
      <c r="AJ42" s="129"/>
      <c r="AK42" s="125"/>
      <c r="AL42" s="123">
        <f>SUM('11CL-AC-A-ED. FIS'!J34)</f>
        <v>11</v>
      </c>
      <c r="AM42" s="129"/>
      <c r="AN42" s="125"/>
      <c r="AO42" s="123">
        <f>SUM('11CL-AC-A-AFH'!J34)</f>
        <v>14.5</v>
      </c>
      <c r="AP42" s="74" t="s">
        <v>3</v>
      </c>
      <c r="AQ42" s="91">
        <f t="shared" si="0"/>
        <v>12.708333333333334</v>
      </c>
      <c r="AR42" s="160">
        <v>17</v>
      </c>
      <c r="AS42" s="160" t="s">
        <v>1</v>
      </c>
      <c r="AT42" s="69"/>
      <c r="AU42" s="69"/>
      <c r="AV42" s="70"/>
      <c r="AW42" s="70"/>
      <c r="AX42" s="69"/>
      <c r="AY42" s="69"/>
      <c r="AZ42" s="69"/>
      <c r="BA42" s="69"/>
    </row>
    <row r="43" spans="2:53" ht="16.5" customHeight="1" thickBot="1" x14ac:dyDescent="0.35">
      <c r="B43" s="72">
        <v>27</v>
      </c>
      <c r="C43" s="166">
        <v>4256</v>
      </c>
      <c r="D43" s="172" t="s">
        <v>120</v>
      </c>
      <c r="E43" s="60"/>
      <c r="F43" s="80"/>
      <c r="G43" s="61"/>
      <c r="H43" s="123">
        <f>SUM('11CL-AC-A-L PORT'!J35)</f>
        <v>12.233333333333334</v>
      </c>
      <c r="I43" s="124"/>
      <c r="J43" s="125"/>
      <c r="K43" s="126">
        <f>SUM('11CL-AC-A-MAT'!J35)</f>
        <v>10</v>
      </c>
      <c r="L43" s="127"/>
      <c r="M43" s="125"/>
      <c r="N43" s="123">
        <f>SUM('11CL-AC-A-BIOL'!J35)</f>
        <v>10</v>
      </c>
      <c r="O43" s="128"/>
      <c r="P43" s="125"/>
      <c r="Q43" s="126">
        <f>SUM('11CL-AC-A-INGLES'!J35)</f>
        <v>9.3333333333333339</v>
      </c>
      <c r="R43" s="127"/>
      <c r="S43" s="125"/>
      <c r="T43" s="123">
        <f>SUM('11CL-AC-A-QCA ORG.'!J35)</f>
        <v>4.166666666666667</v>
      </c>
      <c r="U43" s="127"/>
      <c r="V43" s="125"/>
      <c r="W43" s="123">
        <f>SUM('11CL-AC-A-MICROBIOL'!J35)</f>
        <v>12.666666666666666</v>
      </c>
      <c r="X43" s="129"/>
      <c r="Y43" s="125"/>
      <c r="Z43" s="123">
        <f>SUM('11CL-AC-A-HEMAT I'!J35)</f>
        <v>11</v>
      </c>
      <c r="AA43" s="128"/>
      <c r="AB43" s="125"/>
      <c r="AC43" s="126">
        <f>SUM('11CL-AC-A-IMUNOL.'!J35)</f>
        <v>14.833333333333334</v>
      </c>
      <c r="AD43" s="127"/>
      <c r="AE43" s="125"/>
      <c r="AF43" s="123">
        <f>SUM('11CL-AC-A-URINOL.'!J35)</f>
        <v>9.5833333333333339</v>
      </c>
      <c r="AG43" s="129"/>
      <c r="AH43" s="125"/>
      <c r="AI43" s="123">
        <f>SUM('11CL-AC-A-PRASITOL.'!J35)</f>
        <v>7</v>
      </c>
      <c r="AJ43" s="129"/>
      <c r="AK43" s="125"/>
      <c r="AL43" s="123">
        <f>SUM('11CL-AC-A-ED. FIS'!J35)</f>
        <v>10</v>
      </c>
      <c r="AM43" s="129"/>
      <c r="AN43" s="125"/>
      <c r="AO43" s="123">
        <f>SUM('11CL-AC-A-AFH'!J35)</f>
        <v>9.6666666666666661</v>
      </c>
      <c r="AP43" s="74" t="s">
        <v>3</v>
      </c>
      <c r="AQ43" s="91">
        <f t="shared" si="0"/>
        <v>10.040277777777778</v>
      </c>
      <c r="AR43" s="160">
        <v>17</v>
      </c>
      <c r="AS43" s="160" t="s">
        <v>0</v>
      </c>
      <c r="AT43" s="69"/>
      <c r="AU43" s="69"/>
      <c r="AV43" s="70"/>
      <c r="AW43" s="70"/>
      <c r="AX43" s="69"/>
      <c r="AY43" s="69"/>
      <c r="AZ43" s="69"/>
      <c r="BA43" s="69"/>
    </row>
    <row r="44" spans="2:53" ht="16.5" customHeight="1" thickBot="1" x14ac:dyDescent="0.35">
      <c r="B44" s="72">
        <v>28</v>
      </c>
      <c r="C44" s="166">
        <v>3766</v>
      </c>
      <c r="D44" s="172" t="s">
        <v>121</v>
      </c>
      <c r="E44" s="60"/>
      <c r="F44" s="80"/>
      <c r="G44" s="61"/>
      <c r="H44" s="123">
        <f>SUM('11CL-AC-A-L PORT'!J36)</f>
        <v>10.166666666666666</v>
      </c>
      <c r="I44" s="124"/>
      <c r="J44" s="125"/>
      <c r="K44" s="126">
        <f>SUM('11CL-AC-A-MAT'!J36)</f>
        <v>10</v>
      </c>
      <c r="L44" s="127"/>
      <c r="M44" s="125"/>
      <c r="N44" s="123">
        <f>SUM('11CL-AC-A-BIOL'!J36)</f>
        <v>12.333333333333334</v>
      </c>
      <c r="O44" s="128"/>
      <c r="P44" s="125"/>
      <c r="Q44" s="126">
        <f>SUM('11CL-AC-A-INGLES'!J36)</f>
        <v>11</v>
      </c>
      <c r="R44" s="127"/>
      <c r="S44" s="125"/>
      <c r="T44" s="123">
        <f>SUM('11CL-AC-A-QCA ORG.'!J36)</f>
        <v>4.5</v>
      </c>
      <c r="U44" s="127"/>
      <c r="V44" s="125"/>
      <c r="W44" s="123">
        <f>SUM('11CL-AC-A-MICROBIOL'!J36)</f>
        <v>14.5</v>
      </c>
      <c r="X44" s="129"/>
      <c r="Y44" s="125"/>
      <c r="Z44" s="123">
        <f>SUM('11CL-AC-A-HEMAT I'!J36)</f>
        <v>6.5</v>
      </c>
      <c r="AA44" s="128"/>
      <c r="AB44" s="125"/>
      <c r="AC44" s="126">
        <f>SUM('11CL-AC-A-IMUNOL.'!J36)</f>
        <v>15.166666666666666</v>
      </c>
      <c r="AD44" s="127"/>
      <c r="AE44" s="125"/>
      <c r="AF44" s="123">
        <f>SUM('11CL-AC-A-URINOL.'!J36)</f>
        <v>15</v>
      </c>
      <c r="AG44" s="129"/>
      <c r="AH44" s="125"/>
      <c r="AI44" s="123">
        <f>SUM('11CL-AC-A-PRASITOL.'!J36)</f>
        <v>14</v>
      </c>
      <c r="AJ44" s="129"/>
      <c r="AK44" s="125"/>
      <c r="AL44" s="123">
        <f>SUM('11CL-AC-A-ED. FIS'!J36)</f>
        <v>0</v>
      </c>
      <c r="AM44" s="129"/>
      <c r="AN44" s="125"/>
      <c r="AO44" s="123">
        <f>SUM('11CL-AC-A-AFH'!J36)</f>
        <v>12.166666666666666</v>
      </c>
      <c r="AP44" s="74" t="s">
        <v>3</v>
      </c>
      <c r="AQ44" s="91">
        <f t="shared" si="0"/>
        <v>10.444444444444445</v>
      </c>
      <c r="AR44" s="160">
        <v>16</v>
      </c>
      <c r="AS44" s="160" t="s">
        <v>1</v>
      </c>
      <c r="AT44" s="69"/>
      <c r="AU44" s="69"/>
      <c r="AV44" s="70"/>
      <c r="AW44" s="70"/>
      <c r="AX44" s="69"/>
      <c r="AY44" s="69"/>
      <c r="AZ44" s="69"/>
      <c r="BA44" s="69"/>
    </row>
    <row r="45" spans="2:53" ht="16.5" customHeight="1" thickBot="1" x14ac:dyDescent="0.35">
      <c r="B45" s="72">
        <v>29</v>
      </c>
      <c r="C45" s="166">
        <v>3079</v>
      </c>
      <c r="D45" s="172" t="s">
        <v>122</v>
      </c>
      <c r="E45" s="60"/>
      <c r="F45" s="80"/>
      <c r="G45" s="61"/>
      <c r="H45" s="123">
        <f>SUM('11CL-AC-A-L PORT'!J37)</f>
        <v>14.233333333333334</v>
      </c>
      <c r="I45" s="124"/>
      <c r="J45" s="125"/>
      <c r="K45" s="126">
        <f>SUM('11CL-AC-A-MAT'!J37)</f>
        <v>14.333333333333334</v>
      </c>
      <c r="L45" s="127"/>
      <c r="M45" s="125"/>
      <c r="N45" s="123">
        <f>SUM('11CL-AC-A-BIOL'!J37)</f>
        <v>15.333333333333334</v>
      </c>
      <c r="O45" s="128"/>
      <c r="P45" s="125"/>
      <c r="Q45" s="126">
        <f>SUM('11CL-AC-A-INGLES'!J37)</f>
        <v>16.666666666666668</v>
      </c>
      <c r="R45" s="127"/>
      <c r="S45" s="125"/>
      <c r="T45" s="123">
        <f>SUM('11CL-AC-A-QCA ORG.'!J37)</f>
        <v>15.333333333333334</v>
      </c>
      <c r="U45" s="127"/>
      <c r="V45" s="125"/>
      <c r="W45" s="123">
        <f>SUM('11CL-AC-A-MICROBIOL'!J37)</f>
        <v>14</v>
      </c>
      <c r="X45" s="129"/>
      <c r="Y45" s="125"/>
      <c r="Z45" s="123">
        <f>SUM('11CL-AC-A-HEMAT I'!J37)</f>
        <v>16.833333333333332</v>
      </c>
      <c r="AA45" s="128"/>
      <c r="AB45" s="125"/>
      <c r="AC45" s="126">
        <f>SUM('11CL-AC-A-IMUNOL.'!J37)</f>
        <v>19</v>
      </c>
      <c r="AD45" s="127"/>
      <c r="AE45" s="125"/>
      <c r="AF45" s="123">
        <f>SUM('11CL-AC-A-URINOL.'!J37)</f>
        <v>17.833333333333332</v>
      </c>
      <c r="AG45" s="129"/>
      <c r="AH45" s="125"/>
      <c r="AI45" s="123">
        <f>SUM('11CL-AC-A-PRASITOL.'!J37)</f>
        <v>16.166666666666668</v>
      </c>
      <c r="AJ45" s="129"/>
      <c r="AK45" s="125"/>
      <c r="AL45" s="123">
        <f>SUM('11CL-AC-A-ED. FIS'!J37)</f>
        <v>13</v>
      </c>
      <c r="AM45" s="129"/>
      <c r="AN45" s="125"/>
      <c r="AO45" s="123">
        <f>SUM('11CL-AC-A-AFH'!J37)</f>
        <v>17</v>
      </c>
      <c r="AP45" s="74" t="s">
        <v>2</v>
      </c>
      <c r="AQ45" s="91">
        <f t="shared" si="0"/>
        <v>15.81111111111111</v>
      </c>
      <c r="AR45" s="160">
        <v>16</v>
      </c>
      <c r="AS45" s="160" t="s">
        <v>1</v>
      </c>
      <c r="AT45" s="69"/>
      <c r="AU45" s="69"/>
      <c r="AV45" s="70"/>
      <c r="AW45" s="70"/>
      <c r="AX45" s="69"/>
      <c r="AY45" s="69"/>
      <c r="AZ45" s="69"/>
      <c r="BA45" s="69"/>
    </row>
    <row r="46" spans="2:53" ht="16.5" customHeight="1" thickBot="1" x14ac:dyDescent="0.35">
      <c r="B46" s="72">
        <v>30</v>
      </c>
      <c r="C46" s="166">
        <v>3777</v>
      </c>
      <c r="D46" s="172" t="s">
        <v>123</v>
      </c>
      <c r="E46" s="60"/>
      <c r="F46" s="80"/>
      <c r="G46" s="61"/>
      <c r="H46" s="123">
        <f>SUM('11CL-AC-A-L PORT'!J38)</f>
        <v>13.833333333333334</v>
      </c>
      <c r="I46" s="124"/>
      <c r="J46" s="125"/>
      <c r="K46" s="126">
        <f>SUM('11CL-AC-A-MAT'!J38)</f>
        <v>15</v>
      </c>
      <c r="L46" s="127"/>
      <c r="M46" s="125"/>
      <c r="N46" s="123">
        <f>SUM('11CL-AC-A-BIOL'!J38)</f>
        <v>13.333333333333334</v>
      </c>
      <c r="O46" s="128"/>
      <c r="P46" s="125"/>
      <c r="Q46" s="126">
        <f>SUM('11CL-AC-A-INGLES'!J38)</f>
        <v>16.333333333333332</v>
      </c>
      <c r="R46" s="127"/>
      <c r="S46" s="125"/>
      <c r="T46" s="123">
        <f>SUM('11CL-AC-A-QCA ORG.'!J38)</f>
        <v>14.333333333333334</v>
      </c>
      <c r="U46" s="127"/>
      <c r="V46" s="125"/>
      <c r="W46" s="123">
        <f>SUM('11CL-AC-A-MICROBIOL'!J38)</f>
        <v>13.833333333333334</v>
      </c>
      <c r="X46" s="129"/>
      <c r="Y46" s="125"/>
      <c r="Z46" s="123">
        <f>SUM('11CL-AC-A-HEMAT I'!J38)</f>
        <v>13.5</v>
      </c>
      <c r="AA46" s="128"/>
      <c r="AB46" s="125"/>
      <c r="AC46" s="126">
        <f>SUM('11CL-AC-A-IMUNOL.'!J38)</f>
        <v>15</v>
      </c>
      <c r="AD46" s="127"/>
      <c r="AE46" s="125"/>
      <c r="AF46" s="123">
        <f>SUM('11CL-AC-A-URINOL.'!J38)</f>
        <v>10.333333333333334</v>
      </c>
      <c r="AG46" s="129"/>
      <c r="AH46" s="125"/>
      <c r="AI46" s="123">
        <f>SUM('11CL-AC-A-PRASITOL.'!J38)</f>
        <v>14.166666666666666</v>
      </c>
      <c r="AJ46" s="129"/>
      <c r="AK46" s="125"/>
      <c r="AL46" s="123">
        <f>SUM('11CL-AC-A-ED. FIS'!J38)</f>
        <v>14</v>
      </c>
      <c r="AM46" s="129"/>
      <c r="AN46" s="125"/>
      <c r="AO46" s="123">
        <f>SUM('11CL-AC-A-AFH'!J38)</f>
        <v>8.5</v>
      </c>
      <c r="AP46" s="74" t="s">
        <v>3</v>
      </c>
      <c r="AQ46" s="91">
        <f t="shared" si="0"/>
        <v>13.513888888888888</v>
      </c>
      <c r="AR46" s="160">
        <v>17</v>
      </c>
      <c r="AS46" s="160" t="s">
        <v>1</v>
      </c>
      <c r="AT46" s="69"/>
      <c r="AU46" s="69"/>
      <c r="AV46" s="70"/>
      <c r="AW46" s="70"/>
      <c r="AX46" s="69"/>
      <c r="AY46" s="69"/>
      <c r="AZ46" s="69"/>
      <c r="BA46" s="69"/>
    </row>
    <row r="47" spans="2:53" ht="16.5" customHeight="1" thickBot="1" x14ac:dyDescent="0.35">
      <c r="B47" s="72">
        <v>31</v>
      </c>
      <c r="C47" s="166">
        <v>3511</v>
      </c>
      <c r="D47" s="172" t="s">
        <v>124</v>
      </c>
      <c r="E47" s="60"/>
      <c r="F47" s="80"/>
      <c r="G47" s="61"/>
      <c r="H47" s="123">
        <f>SUM('11CL-AC-A-L PORT'!J39)</f>
        <v>11</v>
      </c>
      <c r="I47" s="124"/>
      <c r="J47" s="125"/>
      <c r="K47" s="126">
        <f>SUM('11CL-AC-A-MAT'!J39)</f>
        <v>15</v>
      </c>
      <c r="L47" s="127"/>
      <c r="M47" s="125"/>
      <c r="N47" s="123">
        <f>SUM('11CL-AC-A-BIOL'!J39)</f>
        <v>10</v>
      </c>
      <c r="O47" s="128"/>
      <c r="P47" s="125"/>
      <c r="Q47" s="126">
        <f>SUM('11CL-AC-A-INGLES'!J39)</f>
        <v>15</v>
      </c>
      <c r="R47" s="127"/>
      <c r="S47" s="125"/>
      <c r="T47" s="123">
        <f>SUM('11CL-AC-A-QCA ORG.'!J39)</f>
        <v>11.166666666666666</v>
      </c>
      <c r="U47" s="127"/>
      <c r="V47" s="125"/>
      <c r="W47" s="123">
        <f>SUM('11CL-AC-A-MICROBIOL'!J39)</f>
        <v>14</v>
      </c>
      <c r="X47" s="129"/>
      <c r="Y47" s="125"/>
      <c r="Z47" s="123">
        <f>SUM('11CL-AC-A-HEMAT I'!J39)</f>
        <v>14.666666666666666</v>
      </c>
      <c r="AA47" s="128"/>
      <c r="AB47" s="125"/>
      <c r="AC47" s="126">
        <f>SUM('11CL-AC-A-IMUNOL.'!J39)</f>
        <v>17.416666666666668</v>
      </c>
      <c r="AD47" s="127"/>
      <c r="AE47" s="125"/>
      <c r="AF47" s="123">
        <f>SUM('11CL-AC-A-URINOL.'!J39)</f>
        <v>15.666666666666666</v>
      </c>
      <c r="AG47" s="129"/>
      <c r="AH47" s="125"/>
      <c r="AI47" s="123">
        <f>SUM('11CL-AC-A-PRASITOL.'!J39)</f>
        <v>12.833333333333334</v>
      </c>
      <c r="AJ47" s="129"/>
      <c r="AK47" s="125"/>
      <c r="AL47" s="123">
        <f>SUM('11CL-AC-A-ED. FIS'!J39)</f>
        <v>14</v>
      </c>
      <c r="AM47" s="129"/>
      <c r="AN47" s="125"/>
      <c r="AO47" s="123">
        <f>SUM('11CL-AC-A-AFH'!J39)</f>
        <v>11.833333333333334</v>
      </c>
      <c r="AP47" s="74" t="s">
        <v>2</v>
      </c>
      <c r="AQ47" s="91">
        <f t="shared" si="0"/>
        <v>13.548611111111112</v>
      </c>
      <c r="AR47" s="160">
        <v>17</v>
      </c>
      <c r="AS47" s="160" t="s">
        <v>1</v>
      </c>
      <c r="AT47" s="69"/>
      <c r="AU47" s="69"/>
      <c r="AV47" s="70"/>
      <c r="AW47" s="70"/>
      <c r="AX47" s="69"/>
      <c r="AY47" s="69"/>
      <c r="AZ47" s="69"/>
      <c r="BA47" s="69"/>
    </row>
    <row r="48" spans="2:53" ht="16.5" customHeight="1" thickBot="1" x14ac:dyDescent="0.35">
      <c r="B48" s="72">
        <v>32</v>
      </c>
      <c r="C48" s="166">
        <v>2990</v>
      </c>
      <c r="D48" s="172" t="s">
        <v>125</v>
      </c>
      <c r="E48" s="60"/>
      <c r="F48" s="80"/>
      <c r="G48" s="61"/>
      <c r="H48" s="123">
        <f>SUM('11CL-AC-A-L PORT'!J40)</f>
        <v>15.166666666666666</v>
      </c>
      <c r="I48" s="124"/>
      <c r="J48" s="125"/>
      <c r="K48" s="126">
        <f>SUM('11CL-AC-A-MAT'!J40)</f>
        <v>20</v>
      </c>
      <c r="L48" s="127"/>
      <c r="M48" s="125"/>
      <c r="N48" s="123">
        <f>SUM('11CL-AC-A-BIOL'!J40)</f>
        <v>18</v>
      </c>
      <c r="O48" s="128"/>
      <c r="P48" s="125"/>
      <c r="Q48" s="126">
        <f>SUM('11CL-AC-A-INGLES'!J40)</f>
        <v>17.333333333333332</v>
      </c>
      <c r="R48" s="127"/>
      <c r="S48" s="125"/>
      <c r="T48" s="123">
        <f>SUM('11CL-AC-A-QCA ORG.'!J40)</f>
        <v>19</v>
      </c>
      <c r="U48" s="127"/>
      <c r="V48" s="125"/>
      <c r="W48" s="123">
        <f>SUM('11CL-AC-A-MICROBIOL'!J40)</f>
        <v>15.666666666666666</v>
      </c>
      <c r="X48" s="129"/>
      <c r="Y48" s="125"/>
      <c r="Z48" s="123">
        <f>SUM('11CL-AC-A-HEMAT I'!J40)</f>
        <v>18.166666666666668</v>
      </c>
      <c r="AA48" s="128"/>
      <c r="AB48" s="125"/>
      <c r="AC48" s="126">
        <f>SUM('11CL-AC-A-IMUNOL.'!J40)</f>
        <v>18.916666666666668</v>
      </c>
      <c r="AD48" s="127"/>
      <c r="AE48" s="125"/>
      <c r="AF48" s="123">
        <f>SUM('11CL-AC-A-URINOL.'!J40)</f>
        <v>17.5</v>
      </c>
      <c r="AG48" s="129"/>
      <c r="AH48" s="125"/>
      <c r="AI48" s="123">
        <f>SUM('11CL-AC-A-PRASITOL.'!J40)</f>
        <v>17.333333333333332</v>
      </c>
      <c r="AJ48" s="129"/>
      <c r="AK48" s="125"/>
      <c r="AL48" s="123">
        <f>SUM('11CL-AC-A-ED. FIS'!J40)</f>
        <v>17</v>
      </c>
      <c r="AM48" s="129"/>
      <c r="AN48" s="125"/>
      <c r="AO48" s="123">
        <f>SUM('11CL-AC-A-AFH'!J40)</f>
        <v>15.333333333333334</v>
      </c>
      <c r="AP48" s="74" t="s">
        <v>2</v>
      </c>
      <c r="AQ48" s="91">
        <f t="shared" si="0"/>
        <v>17.451388888888889</v>
      </c>
      <c r="AR48" s="160">
        <v>17</v>
      </c>
      <c r="AS48" s="160" t="s">
        <v>0</v>
      </c>
      <c r="AT48" s="69"/>
      <c r="AU48" s="69"/>
      <c r="AV48" s="70"/>
      <c r="AW48" s="70"/>
      <c r="AX48" s="69"/>
      <c r="AY48" s="69"/>
      <c r="AZ48" s="69"/>
      <c r="BA48" s="69"/>
    </row>
    <row r="49" spans="2:53" ht="16.5" customHeight="1" thickBot="1" x14ac:dyDescent="0.35">
      <c r="B49" s="72">
        <v>33</v>
      </c>
      <c r="C49" s="166">
        <v>3215</v>
      </c>
      <c r="D49" s="172" t="s">
        <v>126</v>
      </c>
      <c r="E49" s="60"/>
      <c r="F49" s="80"/>
      <c r="G49" s="61"/>
      <c r="H49" s="123">
        <f>SUM('11CL-AC-A-L PORT'!J41)</f>
        <v>12</v>
      </c>
      <c r="I49" s="124"/>
      <c r="J49" s="125"/>
      <c r="K49" s="126">
        <f>SUM('11CL-AC-A-MAT'!J41)</f>
        <v>14.333333333333334</v>
      </c>
      <c r="L49" s="127"/>
      <c r="M49" s="125"/>
      <c r="N49" s="123">
        <f>SUM('11CL-AC-A-BIOL'!J41)</f>
        <v>16</v>
      </c>
      <c r="O49" s="128"/>
      <c r="P49" s="125"/>
      <c r="Q49" s="126">
        <f>SUM('11CL-AC-A-INGLES'!J41)</f>
        <v>19</v>
      </c>
      <c r="R49" s="127"/>
      <c r="S49" s="125"/>
      <c r="T49" s="123">
        <f>SUM('11CL-AC-A-QCA ORG.'!J41)</f>
        <v>14.333333333333334</v>
      </c>
      <c r="U49" s="127"/>
      <c r="V49" s="125"/>
      <c r="W49" s="123">
        <f>SUM('11CL-AC-A-MICROBIOL'!J41)</f>
        <v>14.666666666666666</v>
      </c>
      <c r="X49" s="129"/>
      <c r="Y49" s="125"/>
      <c r="Z49" s="123">
        <f>SUM('11CL-AC-A-HEMAT I'!J41)</f>
        <v>17.166666666666668</v>
      </c>
      <c r="AA49" s="128"/>
      <c r="AB49" s="125"/>
      <c r="AC49" s="126">
        <f>SUM('11CL-AC-A-IMUNOL.'!J41)</f>
        <v>16.5</v>
      </c>
      <c r="AD49" s="127"/>
      <c r="AE49" s="125"/>
      <c r="AF49" s="123">
        <f>SUM('11CL-AC-A-URINOL.'!J41)</f>
        <v>16</v>
      </c>
      <c r="AG49" s="129"/>
      <c r="AH49" s="125"/>
      <c r="AI49" s="123">
        <f>SUM('11CL-AC-A-PRASITOL.'!J41)</f>
        <v>17</v>
      </c>
      <c r="AJ49" s="129"/>
      <c r="AK49" s="125"/>
      <c r="AL49" s="123">
        <f>SUM('11CL-AC-A-ED. FIS'!J41)</f>
        <v>15</v>
      </c>
      <c r="AM49" s="129"/>
      <c r="AN49" s="125"/>
      <c r="AO49" s="123">
        <f>SUM('11CL-AC-A-AFH'!J41)</f>
        <v>10</v>
      </c>
      <c r="AP49" s="74" t="s">
        <v>2</v>
      </c>
      <c r="AQ49" s="91">
        <f t="shared" ref="AQ49:AQ54" si="3">AVERAGE(H49:AO49)</f>
        <v>15.166666666666666</v>
      </c>
      <c r="AR49" s="160">
        <v>16</v>
      </c>
      <c r="AS49" s="160" t="s">
        <v>1</v>
      </c>
      <c r="AT49" s="69"/>
      <c r="AU49" s="69"/>
      <c r="AV49" s="70"/>
      <c r="AW49" s="70"/>
      <c r="AX49" s="69"/>
      <c r="AY49" s="69"/>
      <c r="AZ49" s="69"/>
      <c r="BA49" s="69"/>
    </row>
    <row r="50" spans="2:53" ht="16.5" customHeight="1" thickBot="1" x14ac:dyDescent="0.35">
      <c r="B50" s="72">
        <v>34</v>
      </c>
      <c r="C50" s="166">
        <v>3243</v>
      </c>
      <c r="D50" s="172" t="s">
        <v>141</v>
      </c>
      <c r="E50" s="60"/>
      <c r="F50" s="80"/>
      <c r="G50" s="61"/>
      <c r="H50" s="123">
        <f>SUM('11CL-AC-A-L PORT'!J42)</f>
        <v>10.666666666666666</v>
      </c>
      <c r="I50" s="124"/>
      <c r="J50" s="125"/>
      <c r="K50" s="126">
        <f>SUM('11CL-AC-A-MAT'!J42)</f>
        <v>10.333333333333334</v>
      </c>
      <c r="L50" s="127"/>
      <c r="M50" s="125"/>
      <c r="N50" s="123">
        <f>SUM('11CL-AC-A-BIOL'!J42)</f>
        <v>0</v>
      </c>
      <c r="O50" s="128"/>
      <c r="P50" s="125"/>
      <c r="Q50" s="126">
        <f>SUM('11CL-AC-A-INGLES'!J42)</f>
        <v>17</v>
      </c>
      <c r="R50" s="127"/>
      <c r="S50" s="125"/>
      <c r="T50" s="123">
        <f>SUM('11CL-AC-A-QCA ORG.'!J42)</f>
        <v>11.333333333333334</v>
      </c>
      <c r="U50" s="127"/>
      <c r="V50" s="125"/>
      <c r="W50" s="123">
        <f>SUM('11CL-AC-A-MICROBIOL'!J42)</f>
        <v>8.3333333333333339</v>
      </c>
      <c r="X50" s="129"/>
      <c r="Y50" s="125"/>
      <c r="Z50" s="123">
        <f>SUM('11CL-AC-A-HEMAT I'!J42)</f>
        <v>7.5</v>
      </c>
      <c r="AA50" s="128"/>
      <c r="AB50" s="125"/>
      <c r="AC50" s="126">
        <f>SUM('11CL-AC-A-IMUNOL.'!J42)</f>
        <v>11</v>
      </c>
      <c r="AD50" s="127"/>
      <c r="AE50" s="125"/>
      <c r="AF50" s="123">
        <f>SUM('11CL-AC-A-URINOL.'!J42)</f>
        <v>11</v>
      </c>
      <c r="AG50" s="129"/>
      <c r="AH50" s="125"/>
      <c r="AI50" s="123">
        <f>SUM('11CL-AC-A-PRASITOL.'!J42)</f>
        <v>0</v>
      </c>
      <c r="AJ50" s="129"/>
      <c r="AK50" s="125"/>
      <c r="AL50" s="123">
        <f>SUM('11CL-AC-A-ED. FIS'!J42)</f>
        <v>0</v>
      </c>
      <c r="AM50" s="129"/>
      <c r="AN50" s="125"/>
      <c r="AO50" s="123">
        <f>SUM('11CL-AC-A-AFH'!J42)</f>
        <v>10</v>
      </c>
      <c r="AP50" s="74" t="s">
        <v>3</v>
      </c>
      <c r="AQ50" s="91">
        <f t="shared" ref="AQ50" si="4">AVERAGE(H50:AO50)</f>
        <v>8.0972222222222232</v>
      </c>
      <c r="AR50" s="160">
        <v>17</v>
      </c>
      <c r="AS50" s="160" t="s">
        <v>1</v>
      </c>
      <c r="AT50" s="69"/>
      <c r="AU50" s="69"/>
      <c r="AV50" s="70"/>
      <c r="AW50" s="70"/>
      <c r="AX50" s="69"/>
      <c r="AY50" s="69"/>
      <c r="AZ50" s="69"/>
      <c r="BA50" s="69"/>
    </row>
    <row r="51" spans="2:53" ht="16.5" customHeight="1" thickBot="1" x14ac:dyDescent="0.35">
      <c r="B51" s="72">
        <v>35</v>
      </c>
      <c r="C51" s="168">
        <v>3487</v>
      </c>
      <c r="D51" s="174" t="s">
        <v>127</v>
      </c>
      <c r="E51" s="60"/>
      <c r="F51" s="80"/>
      <c r="G51" s="61"/>
      <c r="H51" s="123">
        <f>SUM('11CL-AC-A-L PORT'!J43)</f>
        <v>13.666666666666666</v>
      </c>
      <c r="I51" s="124"/>
      <c r="J51" s="125"/>
      <c r="K51" s="126">
        <f>SUM('11CL-AC-A-MAT'!J43)</f>
        <v>10.666666666666666</v>
      </c>
      <c r="L51" s="127"/>
      <c r="M51" s="125"/>
      <c r="N51" s="123">
        <f>SUM('11CL-AC-A-BIOL'!J43)</f>
        <v>14</v>
      </c>
      <c r="O51" s="128"/>
      <c r="P51" s="125"/>
      <c r="Q51" s="126">
        <f>SUM('11CL-AC-A-INGLES'!J43)</f>
        <v>16.333333333333332</v>
      </c>
      <c r="R51" s="127"/>
      <c r="S51" s="125"/>
      <c r="T51" s="123">
        <f>SUM('11CL-AC-A-QCA ORG.'!J43)</f>
        <v>3.1666666666666665</v>
      </c>
      <c r="U51" s="127"/>
      <c r="V51" s="125"/>
      <c r="W51" s="123">
        <f>SUM('11CL-AC-A-MICROBIOL'!J43)</f>
        <v>11.5</v>
      </c>
      <c r="X51" s="129"/>
      <c r="Y51" s="125"/>
      <c r="Z51" s="123">
        <f>SUM('11CL-AC-A-HEMAT I'!J43)</f>
        <v>12</v>
      </c>
      <c r="AA51" s="128"/>
      <c r="AB51" s="125"/>
      <c r="AC51" s="126">
        <f>SUM('11CL-AC-A-IMUNOL.'!J43)</f>
        <v>14.083333333333334</v>
      </c>
      <c r="AD51" s="127"/>
      <c r="AE51" s="125"/>
      <c r="AF51" s="123">
        <f>SUM('11CL-AC-A-URINOL.'!J43)</f>
        <v>13</v>
      </c>
      <c r="AG51" s="129"/>
      <c r="AH51" s="125"/>
      <c r="AI51" s="123">
        <f>SUM('11CL-AC-A-PRASITOL.'!J43)</f>
        <v>12.666666666666666</v>
      </c>
      <c r="AJ51" s="129"/>
      <c r="AK51" s="125"/>
      <c r="AL51" s="123">
        <f>SUM('11CL-AC-A-ED. FIS'!J43)</f>
        <v>15</v>
      </c>
      <c r="AM51" s="129"/>
      <c r="AN51" s="125"/>
      <c r="AO51" s="123">
        <f>SUM('11CL-AC-A-AFH'!J43)</f>
        <v>11</v>
      </c>
      <c r="AP51" s="74" t="s">
        <v>3</v>
      </c>
      <c r="AQ51" s="91">
        <f t="shared" si="3"/>
        <v>12.256944444444443</v>
      </c>
      <c r="AR51" s="163">
        <v>16</v>
      </c>
      <c r="AS51" s="163" t="s">
        <v>1</v>
      </c>
      <c r="AT51" s="69"/>
      <c r="AU51" s="69"/>
      <c r="AV51" s="70"/>
      <c r="AW51" s="70"/>
      <c r="AX51" s="69"/>
      <c r="AY51" s="69"/>
      <c r="AZ51" s="69"/>
      <c r="BA51" s="69"/>
    </row>
    <row r="52" spans="2:53" ht="16.5" customHeight="1" thickBot="1" x14ac:dyDescent="0.35">
      <c r="B52" s="72">
        <v>36</v>
      </c>
      <c r="C52" s="166">
        <v>3401</v>
      </c>
      <c r="D52" s="172" t="s">
        <v>128</v>
      </c>
      <c r="E52" s="60"/>
      <c r="F52" s="80"/>
      <c r="G52" s="61"/>
      <c r="H52" s="123">
        <f>SUM('11CL-AC-A-L PORT'!J44)</f>
        <v>11.066666666666668</v>
      </c>
      <c r="I52" s="124"/>
      <c r="J52" s="125"/>
      <c r="K52" s="126">
        <f>SUM('11CL-AC-A-MAT'!J44)</f>
        <v>10</v>
      </c>
      <c r="L52" s="127"/>
      <c r="M52" s="125"/>
      <c r="N52" s="123">
        <f>SUM('11CL-AC-A-BIOL'!J44)</f>
        <v>12</v>
      </c>
      <c r="O52" s="128"/>
      <c r="P52" s="125"/>
      <c r="Q52" s="126">
        <f>SUM('11CL-AC-A-INGLES'!J44)</f>
        <v>13.333333333333334</v>
      </c>
      <c r="R52" s="127"/>
      <c r="S52" s="125"/>
      <c r="T52" s="123">
        <f>SUM('11CL-AC-A-QCA ORG.'!J44)</f>
        <v>7</v>
      </c>
      <c r="U52" s="127"/>
      <c r="V52" s="125"/>
      <c r="W52" s="123">
        <f>SUM('11CL-AC-A-MICROBIOL'!J44)</f>
        <v>11.5</v>
      </c>
      <c r="X52" s="129"/>
      <c r="Y52" s="125"/>
      <c r="Z52" s="123">
        <f>SUM('11CL-AC-A-HEMAT I'!J44)</f>
        <v>10</v>
      </c>
      <c r="AA52" s="128"/>
      <c r="AB52" s="125"/>
      <c r="AC52" s="126">
        <f>SUM('11CL-AC-A-IMUNOL.'!J44)</f>
        <v>14.5</v>
      </c>
      <c r="AD52" s="127"/>
      <c r="AE52" s="125"/>
      <c r="AF52" s="123">
        <f>SUM('11CL-AC-A-URINOL.'!J44)</f>
        <v>8.25</v>
      </c>
      <c r="AG52" s="129"/>
      <c r="AH52" s="125"/>
      <c r="AI52" s="123">
        <f>SUM('11CL-AC-A-PRASITOL.'!J44)</f>
        <v>4.666666666666667</v>
      </c>
      <c r="AJ52" s="129"/>
      <c r="AK52" s="125"/>
      <c r="AL52" s="123">
        <f>SUM('11CL-AC-A-ED. FIS'!J44)</f>
        <v>14</v>
      </c>
      <c r="AM52" s="129"/>
      <c r="AN52" s="125"/>
      <c r="AO52" s="123">
        <f>SUM('11CL-AC-A-AFH'!J44)</f>
        <v>8.5</v>
      </c>
      <c r="AP52" s="74" t="s">
        <v>3</v>
      </c>
      <c r="AQ52" s="91">
        <f t="shared" si="3"/>
        <v>10.40138888888889</v>
      </c>
      <c r="AR52" s="160">
        <v>17</v>
      </c>
      <c r="AS52" s="160" t="s">
        <v>1</v>
      </c>
      <c r="AT52" s="69"/>
      <c r="AU52" s="69"/>
      <c r="AV52" s="70"/>
      <c r="AW52" s="70"/>
      <c r="AX52" s="69"/>
      <c r="AY52" s="69"/>
      <c r="AZ52" s="69"/>
      <c r="BA52" s="69"/>
    </row>
    <row r="53" spans="2:53" ht="16.5" customHeight="1" thickBot="1" x14ac:dyDescent="0.35">
      <c r="B53" s="72">
        <v>37</v>
      </c>
      <c r="C53" s="166">
        <v>2849</v>
      </c>
      <c r="D53" s="172" t="s">
        <v>129</v>
      </c>
      <c r="E53" s="60"/>
      <c r="F53" s="80"/>
      <c r="G53" s="61"/>
      <c r="H53" s="123">
        <f>SUM('11CL-AC-A-L PORT'!J45)</f>
        <v>9.8333333333333339</v>
      </c>
      <c r="I53" s="124"/>
      <c r="J53" s="125"/>
      <c r="K53" s="126">
        <f>SUM('11CL-AC-A-MAT'!J45)</f>
        <v>4</v>
      </c>
      <c r="L53" s="127"/>
      <c r="M53" s="125"/>
      <c r="N53" s="123">
        <f>SUM('11CL-AC-A-BIOL'!J45)</f>
        <v>8.6666666666666661</v>
      </c>
      <c r="O53" s="128"/>
      <c r="P53" s="125"/>
      <c r="Q53" s="126">
        <f>SUM('11CL-AC-A-INGLES'!J45)</f>
        <v>13</v>
      </c>
      <c r="R53" s="127"/>
      <c r="S53" s="125"/>
      <c r="T53" s="123">
        <f>SUM('11CL-AC-A-QCA ORG.'!J45)</f>
        <v>4.833333333333333</v>
      </c>
      <c r="U53" s="127"/>
      <c r="V53" s="125"/>
      <c r="W53" s="123">
        <f>SUM('11CL-AC-A-MICROBIOL'!J45)</f>
        <v>11.666666666666666</v>
      </c>
      <c r="X53" s="129"/>
      <c r="Y53" s="125"/>
      <c r="Z53" s="123">
        <f>SUM('11CL-AC-A-HEMAT I'!J45)</f>
        <v>11.333333333333334</v>
      </c>
      <c r="AA53" s="128"/>
      <c r="AB53" s="125"/>
      <c r="AC53" s="126">
        <f>SUM('11CL-AC-A-IMUNOL.'!J45)</f>
        <v>15</v>
      </c>
      <c r="AD53" s="127"/>
      <c r="AE53" s="125"/>
      <c r="AF53" s="123">
        <f>SUM('11CL-AC-A-URINOL.'!J45)</f>
        <v>15</v>
      </c>
      <c r="AG53" s="129"/>
      <c r="AH53" s="125"/>
      <c r="AI53" s="123">
        <f>SUM('11CL-AC-A-PRASITOL.'!J45)</f>
        <v>12.333333333333334</v>
      </c>
      <c r="AJ53" s="129"/>
      <c r="AK53" s="125"/>
      <c r="AL53" s="123">
        <f>SUM('11CL-AC-A-ED. FIS'!J45)</f>
        <v>15</v>
      </c>
      <c r="AM53" s="129"/>
      <c r="AN53" s="125"/>
      <c r="AO53" s="123">
        <f>SUM('11CL-AC-A-AFH'!J45)</f>
        <v>11.166666666666666</v>
      </c>
      <c r="AP53" s="74" t="s">
        <v>3</v>
      </c>
      <c r="AQ53" s="91">
        <f t="shared" si="3"/>
        <v>10.986111111111112</v>
      </c>
      <c r="AR53" s="160">
        <v>17</v>
      </c>
      <c r="AS53" s="160" t="s">
        <v>0</v>
      </c>
      <c r="AT53" s="69"/>
      <c r="AU53" s="69"/>
      <c r="AV53" s="70"/>
      <c r="AW53" s="70"/>
      <c r="AX53" s="69"/>
      <c r="AY53" s="69"/>
      <c r="AZ53" s="69"/>
      <c r="BA53" s="69"/>
    </row>
    <row r="54" spans="2:53" s="62" customFormat="1" ht="16.5" customHeight="1" thickBot="1" x14ac:dyDescent="0.35">
      <c r="B54" s="72">
        <v>38</v>
      </c>
      <c r="C54" s="166">
        <v>3360</v>
      </c>
      <c r="D54" s="172" t="s">
        <v>130</v>
      </c>
      <c r="E54" s="60"/>
      <c r="F54" s="80"/>
      <c r="G54" s="61"/>
      <c r="H54" s="123">
        <f>SUM('11CL-AC-A-L PORT'!J46)</f>
        <v>12</v>
      </c>
      <c r="I54" s="124"/>
      <c r="J54" s="125"/>
      <c r="K54" s="126">
        <f>SUM('11CL-AC-A-MAT'!J46)</f>
        <v>10</v>
      </c>
      <c r="L54" s="127"/>
      <c r="M54" s="125"/>
      <c r="N54" s="123">
        <f>SUM('11CL-AC-A-BIOL'!J46)</f>
        <v>8</v>
      </c>
      <c r="O54" s="128"/>
      <c r="P54" s="125"/>
      <c r="Q54" s="126">
        <f>SUM('11CL-AC-A-INGLES'!J46)</f>
        <v>12.666666666666666</v>
      </c>
      <c r="R54" s="127"/>
      <c r="S54" s="125"/>
      <c r="T54" s="123">
        <f>SUM('11CL-AC-A-QCA ORG.'!J46)</f>
        <v>8.5</v>
      </c>
      <c r="U54" s="127"/>
      <c r="V54" s="125"/>
      <c r="W54" s="123">
        <f>SUM('11CL-AC-A-MICROBIOL'!J46)</f>
        <v>13</v>
      </c>
      <c r="X54" s="129"/>
      <c r="Y54" s="125"/>
      <c r="Z54" s="123">
        <f>SUM('11CL-AC-A-HEMAT I'!J46)</f>
        <v>10.833333333333334</v>
      </c>
      <c r="AA54" s="128"/>
      <c r="AB54" s="125"/>
      <c r="AC54" s="126">
        <f>SUM('11CL-AC-A-IMUNOL.'!J46)</f>
        <v>13</v>
      </c>
      <c r="AD54" s="127"/>
      <c r="AE54" s="125"/>
      <c r="AF54" s="123">
        <f>SUM('11CL-AC-A-URINOL.'!J46)</f>
        <v>10.5</v>
      </c>
      <c r="AG54" s="129"/>
      <c r="AH54" s="125"/>
      <c r="AI54" s="123">
        <f>SUM('11CL-AC-A-PRASITOL.'!J46)</f>
        <v>9.6666666666666661</v>
      </c>
      <c r="AJ54" s="129"/>
      <c r="AK54" s="125"/>
      <c r="AL54" s="123">
        <f>SUM('11CL-AC-A-ED. FIS'!J46)</f>
        <v>15.333333333333334</v>
      </c>
      <c r="AM54" s="129"/>
      <c r="AN54" s="125"/>
      <c r="AO54" s="123">
        <f>SUM('11CL-AC-A-AFH'!J46)</f>
        <v>8.3333333333333339</v>
      </c>
      <c r="AP54" s="74" t="s">
        <v>3</v>
      </c>
      <c r="AQ54" s="91">
        <f t="shared" si="3"/>
        <v>10.986111111111109</v>
      </c>
      <c r="AR54" s="160">
        <v>16</v>
      </c>
      <c r="AS54" s="160" t="s">
        <v>1</v>
      </c>
    </row>
    <row r="55" spans="2:53" ht="16.5" customHeight="1" thickBot="1" x14ac:dyDescent="0.35">
      <c r="B55" s="72">
        <v>39</v>
      </c>
      <c r="C55" s="169">
        <v>3364</v>
      </c>
      <c r="D55" s="172" t="s">
        <v>131</v>
      </c>
      <c r="E55" s="76"/>
      <c r="F55" s="80"/>
      <c r="G55" s="61"/>
      <c r="H55" s="123">
        <f>SUM('11CL-AC-A-L PORT'!J47)</f>
        <v>12.666666666666666</v>
      </c>
      <c r="I55" s="124"/>
      <c r="J55" s="125"/>
      <c r="K55" s="126">
        <f>SUM('11CL-AC-A-MAT'!J47)</f>
        <v>10</v>
      </c>
      <c r="L55" s="127"/>
      <c r="M55" s="125"/>
      <c r="N55" s="123">
        <f>SUM('11CL-AC-A-BIOL'!J47)</f>
        <v>13.666666666666666</v>
      </c>
      <c r="O55" s="128"/>
      <c r="P55" s="125"/>
      <c r="Q55" s="126">
        <f>SUM('11CL-AC-A-INGLES'!J47)</f>
        <v>13.666666666666666</v>
      </c>
      <c r="R55" s="127"/>
      <c r="S55" s="125"/>
      <c r="T55" s="123">
        <f>SUM('11CL-AC-A-QCA ORG.'!J47)</f>
        <v>8.3333333333333339</v>
      </c>
      <c r="U55" s="127"/>
      <c r="V55" s="125"/>
      <c r="W55" s="123">
        <f>SUM('11CL-AC-A-MICROBIOL'!J47)</f>
        <v>13.833333333333334</v>
      </c>
      <c r="X55" s="129"/>
      <c r="Y55" s="125"/>
      <c r="Z55" s="123">
        <f>SUM('11CL-AC-A-HEMAT I'!J47)</f>
        <v>12.5</v>
      </c>
      <c r="AA55" s="128"/>
      <c r="AB55" s="125"/>
      <c r="AC55" s="126">
        <f>SUM('11CL-AC-A-IMUNOL.'!J47)</f>
        <v>13.583333333333334</v>
      </c>
      <c r="AD55" s="127"/>
      <c r="AE55" s="125"/>
      <c r="AF55" s="123">
        <f>SUM('11CL-AC-A-URINOL.'!J47)</f>
        <v>7</v>
      </c>
      <c r="AG55" s="129"/>
      <c r="AH55" s="125"/>
      <c r="AI55" s="123">
        <f>SUM('11CL-AC-A-PRASITOL.'!J47)</f>
        <v>7.5</v>
      </c>
      <c r="AJ55" s="129"/>
      <c r="AK55" s="125"/>
      <c r="AL55" s="123">
        <f>SUM('11CL-AC-A-ED. FIS'!J47)</f>
        <v>14</v>
      </c>
      <c r="AM55" s="129"/>
      <c r="AN55" s="125"/>
      <c r="AO55" s="123">
        <f>SUM('11CL-AC-A-AFH'!J47)</f>
        <v>8.3333333333333339</v>
      </c>
      <c r="AP55" s="74" t="s">
        <v>3</v>
      </c>
      <c r="AQ55" s="91">
        <f t="shared" si="0"/>
        <v>11.256944444444443</v>
      </c>
      <c r="AR55" s="160">
        <v>17</v>
      </c>
      <c r="AS55" s="160" t="s">
        <v>1</v>
      </c>
    </row>
    <row r="56" spans="2:53" ht="16.5" customHeight="1" thickBot="1" x14ac:dyDescent="0.35">
      <c r="B56" s="72">
        <v>40</v>
      </c>
      <c r="C56" s="166">
        <v>2867</v>
      </c>
      <c r="D56" s="172" t="s">
        <v>132</v>
      </c>
      <c r="E56" s="60"/>
      <c r="F56" s="80"/>
      <c r="G56" s="61"/>
      <c r="H56" s="123">
        <f>SUM('11CL-AC-A-L PORT'!J48)</f>
        <v>11.666666666666666</v>
      </c>
      <c r="I56" s="124"/>
      <c r="J56" s="125"/>
      <c r="K56" s="126">
        <f>SUM('11CL-AC-A-MAT'!J48)</f>
        <v>12.666666666666666</v>
      </c>
      <c r="L56" s="127"/>
      <c r="M56" s="125"/>
      <c r="N56" s="123">
        <f>SUM('11CL-AC-A-BIOL'!J48)</f>
        <v>12</v>
      </c>
      <c r="O56" s="128"/>
      <c r="P56" s="125"/>
      <c r="Q56" s="126">
        <f>SUM('11CL-AC-A-INGLES'!J48)</f>
        <v>17.666666666666668</v>
      </c>
      <c r="R56" s="127"/>
      <c r="S56" s="125"/>
      <c r="T56" s="123">
        <f>SUM('11CL-AC-A-QCA ORG.'!J48)</f>
        <v>14</v>
      </c>
      <c r="U56" s="127"/>
      <c r="V56" s="125"/>
      <c r="W56" s="123">
        <f>SUM('11CL-AC-A-MICROBIOL'!J48)</f>
        <v>13.166666666666666</v>
      </c>
      <c r="X56" s="129"/>
      <c r="Y56" s="125"/>
      <c r="Z56" s="123">
        <f>SUM('11CL-AC-A-HEMAT I'!J48)</f>
        <v>14.166666666666666</v>
      </c>
      <c r="AA56" s="128"/>
      <c r="AB56" s="125"/>
      <c r="AC56" s="126">
        <f>SUM('11CL-AC-A-IMUNOL.'!J48)</f>
        <v>15.666666666666666</v>
      </c>
      <c r="AD56" s="127"/>
      <c r="AE56" s="125"/>
      <c r="AF56" s="123">
        <f>SUM('11CL-AC-A-URINOL.'!J48)</f>
        <v>12</v>
      </c>
      <c r="AG56" s="129"/>
      <c r="AH56" s="125"/>
      <c r="AI56" s="123">
        <f>SUM('11CL-AC-A-PRASITOL.'!J48)</f>
        <v>12</v>
      </c>
      <c r="AJ56" s="129"/>
      <c r="AK56" s="125"/>
      <c r="AL56" s="123">
        <f>SUM('11CL-AC-A-ED. FIS'!J48)</f>
        <v>14</v>
      </c>
      <c r="AM56" s="129"/>
      <c r="AN56" s="125"/>
      <c r="AO56" s="123">
        <f>SUM('11CL-AC-A-AFH'!J48)</f>
        <v>11</v>
      </c>
      <c r="AP56" s="74" t="s">
        <v>3</v>
      </c>
      <c r="AQ56" s="91">
        <f t="shared" si="0"/>
        <v>13.333333333333334</v>
      </c>
      <c r="AR56" s="160">
        <v>17</v>
      </c>
      <c r="AS56" s="160" t="s">
        <v>1</v>
      </c>
    </row>
    <row r="57" spans="2:53" ht="16.5" customHeight="1" thickBot="1" x14ac:dyDescent="0.35">
      <c r="B57" s="72">
        <v>41</v>
      </c>
      <c r="C57" s="166">
        <v>3408</v>
      </c>
      <c r="D57" s="172" t="s">
        <v>133</v>
      </c>
      <c r="E57" s="60"/>
      <c r="F57" s="80"/>
      <c r="G57" s="61"/>
      <c r="H57" s="123">
        <f>SUM('11CL-AC-A-L PORT'!J49)</f>
        <v>12.566666666666668</v>
      </c>
      <c r="I57" s="124"/>
      <c r="J57" s="125"/>
      <c r="K57" s="126">
        <f>SUM('11CL-AC-A-MAT'!J49)</f>
        <v>11</v>
      </c>
      <c r="L57" s="127"/>
      <c r="M57" s="125"/>
      <c r="N57" s="123">
        <f>SUM('11CL-AC-A-BIOL'!J49)</f>
        <v>10.666666666666666</v>
      </c>
      <c r="O57" s="128"/>
      <c r="P57" s="125"/>
      <c r="Q57" s="126">
        <f>SUM('11CL-AC-A-INGLES'!J49)</f>
        <v>8</v>
      </c>
      <c r="R57" s="127"/>
      <c r="S57" s="125"/>
      <c r="T57" s="123">
        <f>SUM('11CL-AC-A-QCA ORG.'!J49)</f>
        <v>3.5</v>
      </c>
      <c r="U57" s="127"/>
      <c r="V57" s="125"/>
      <c r="W57" s="123">
        <f>SUM('11CL-AC-A-MICROBIOL'!J49)</f>
        <v>12.166666666666666</v>
      </c>
      <c r="X57" s="129"/>
      <c r="Y57" s="125"/>
      <c r="Z57" s="123">
        <f>SUM('11CL-AC-A-HEMAT I'!J49)</f>
        <v>8.8333333333333339</v>
      </c>
      <c r="AA57" s="128"/>
      <c r="AB57" s="125"/>
      <c r="AC57" s="126">
        <f>SUM('11CL-AC-A-IMUNOL.'!J49)</f>
        <v>15.083333333333334</v>
      </c>
      <c r="AD57" s="127"/>
      <c r="AE57" s="125"/>
      <c r="AF57" s="123">
        <f>SUM('11CL-AC-A-URINOL.'!J49)</f>
        <v>14.75</v>
      </c>
      <c r="AG57" s="129"/>
      <c r="AH57" s="125"/>
      <c r="AI57" s="123">
        <f>SUM('11CL-AC-A-PRASITOL.'!J49)</f>
        <v>11.833333333333334</v>
      </c>
      <c r="AJ57" s="129"/>
      <c r="AK57" s="125"/>
      <c r="AL57" s="123">
        <f>SUM('11CL-AC-A-ED. FIS'!J49)</f>
        <v>14</v>
      </c>
      <c r="AM57" s="129"/>
      <c r="AN57" s="125"/>
      <c r="AO57" s="123">
        <f>SUM('11CL-AC-A-AFH'!J49)</f>
        <v>11.666666666666666</v>
      </c>
      <c r="AP57" s="74" t="s">
        <v>3</v>
      </c>
      <c r="AQ57" s="91">
        <f t="shared" ref="AQ57:AQ59" si="5">AVERAGE(H57:AO57)</f>
        <v>11.172222222222222</v>
      </c>
      <c r="AR57" s="160">
        <v>16</v>
      </c>
      <c r="AS57" s="160" t="s">
        <v>1</v>
      </c>
    </row>
    <row r="58" spans="2:53" ht="16.5" customHeight="1" thickBot="1" x14ac:dyDescent="0.35">
      <c r="B58" s="72">
        <v>42</v>
      </c>
      <c r="C58" s="166">
        <v>2816</v>
      </c>
      <c r="D58" s="172" t="s">
        <v>134</v>
      </c>
      <c r="E58" s="60"/>
      <c r="F58" s="80"/>
      <c r="G58" s="61"/>
      <c r="H58" s="123">
        <f>SUM('11CL-AC-A-L PORT'!J50)</f>
        <v>15</v>
      </c>
      <c r="I58" s="124"/>
      <c r="J58" s="125"/>
      <c r="K58" s="126">
        <f>SUM('11CL-AC-A-MAT'!J50)</f>
        <v>16.333333333333332</v>
      </c>
      <c r="L58" s="127"/>
      <c r="M58" s="125"/>
      <c r="N58" s="123">
        <f>SUM('11CL-AC-A-BIOL'!J50)</f>
        <v>16</v>
      </c>
      <c r="O58" s="128"/>
      <c r="P58" s="125"/>
      <c r="Q58" s="126">
        <f>SUM('11CL-AC-A-INGLES'!J50)</f>
        <v>18.333333333333332</v>
      </c>
      <c r="R58" s="127"/>
      <c r="S58" s="125"/>
      <c r="T58" s="123">
        <f>SUM('11CL-AC-A-QCA ORG.'!J50)</f>
        <v>15.833333333333334</v>
      </c>
      <c r="U58" s="127"/>
      <c r="V58" s="125"/>
      <c r="W58" s="123">
        <f>SUM('11CL-AC-A-MICROBIOL'!J50)</f>
        <v>14.333333333333334</v>
      </c>
      <c r="X58" s="129"/>
      <c r="Y58" s="125"/>
      <c r="Z58" s="123">
        <f>SUM('11CL-AC-A-HEMAT I'!J50)</f>
        <v>16.166666666666668</v>
      </c>
      <c r="AA58" s="128"/>
      <c r="AB58" s="125"/>
      <c r="AC58" s="126">
        <f>SUM('11CL-AC-A-IMUNOL.'!J50)</f>
        <v>16.583333333333332</v>
      </c>
      <c r="AD58" s="127"/>
      <c r="AE58" s="125"/>
      <c r="AF58" s="123">
        <f>SUM('11CL-AC-A-URINOL.'!J50)</f>
        <v>15.5</v>
      </c>
      <c r="AG58" s="129"/>
      <c r="AH58" s="125"/>
      <c r="AI58" s="123">
        <f>SUM('11CL-AC-A-PRASITOL.'!J50)</f>
        <v>13.5</v>
      </c>
      <c r="AJ58" s="129"/>
      <c r="AK58" s="125"/>
      <c r="AL58" s="123">
        <f>SUM('11CL-AC-A-ED. FIS'!J50)</f>
        <v>15</v>
      </c>
      <c r="AM58" s="129"/>
      <c r="AN58" s="125"/>
      <c r="AO58" s="123">
        <f>SUM('11CL-AC-A-AFH'!J50)</f>
        <v>12.833333333333334</v>
      </c>
      <c r="AP58" s="74" t="s">
        <v>2</v>
      </c>
      <c r="AQ58" s="91">
        <f t="shared" si="5"/>
        <v>15.451388888888888</v>
      </c>
      <c r="AR58" s="160">
        <v>16</v>
      </c>
      <c r="AS58" s="160" t="s">
        <v>0</v>
      </c>
    </row>
    <row r="59" spans="2:53" ht="16.5" customHeight="1" thickBot="1" x14ac:dyDescent="0.35">
      <c r="B59" s="72">
        <v>43</v>
      </c>
      <c r="C59" s="169">
        <v>3152</v>
      </c>
      <c r="D59" s="172" t="s">
        <v>135</v>
      </c>
      <c r="E59" s="60"/>
      <c r="F59" s="80"/>
      <c r="G59" s="61"/>
      <c r="H59" s="123">
        <f>SUM('11CL-AC-A-L PORT'!J51)</f>
        <v>9.1666666666666661</v>
      </c>
      <c r="I59" s="124"/>
      <c r="J59" s="125"/>
      <c r="K59" s="126">
        <f>SUM('11CL-AC-A-MAT'!J51)</f>
        <v>6.333333333333333</v>
      </c>
      <c r="L59" s="127"/>
      <c r="M59" s="125"/>
      <c r="N59" s="123">
        <f>SUM('11CL-AC-A-BIOL'!J51)</f>
        <v>7</v>
      </c>
      <c r="O59" s="128"/>
      <c r="P59" s="125"/>
      <c r="Q59" s="126">
        <f>SUM('11CL-AC-A-INGLES'!J51)</f>
        <v>7.666666666666667</v>
      </c>
      <c r="R59" s="127"/>
      <c r="S59" s="125"/>
      <c r="T59" s="123">
        <f>SUM('11CL-AC-A-QCA ORG.'!J51)</f>
        <v>2.3333333333333335</v>
      </c>
      <c r="U59" s="127"/>
      <c r="V59" s="125"/>
      <c r="W59" s="123">
        <f>SUM('11CL-AC-A-MICROBIOL'!J51)</f>
        <v>12.166666666666666</v>
      </c>
      <c r="X59" s="129"/>
      <c r="Y59" s="125"/>
      <c r="Z59" s="123">
        <f>SUM('11CL-AC-A-HEMAT I'!J51)</f>
        <v>8.3333333333333339</v>
      </c>
      <c r="AA59" s="128"/>
      <c r="AB59" s="125"/>
      <c r="AC59" s="126">
        <f>SUM('11CL-AC-A-IMUNOL.'!J51)</f>
        <v>11.833333333333334</v>
      </c>
      <c r="AD59" s="127"/>
      <c r="AE59" s="125"/>
      <c r="AF59" s="123">
        <f>SUM('11CL-AC-A-URINOL.'!J51)</f>
        <v>8.5</v>
      </c>
      <c r="AG59" s="129"/>
      <c r="AH59" s="125"/>
      <c r="AI59" s="123">
        <f>SUM('11CL-AC-A-PRASITOL.'!J51)</f>
        <v>7</v>
      </c>
      <c r="AJ59" s="129"/>
      <c r="AK59" s="125"/>
      <c r="AL59" s="123">
        <f>SUM('11CL-AC-A-ED. FIS'!J51)</f>
        <v>4</v>
      </c>
      <c r="AM59" s="129"/>
      <c r="AN59" s="125"/>
      <c r="AO59" s="123">
        <f>SUM('11CL-AC-A-AFH'!J51)</f>
        <v>9.8333333333333339</v>
      </c>
      <c r="AP59" s="74" t="s">
        <v>3</v>
      </c>
      <c r="AQ59" s="91">
        <f t="shared" si="5"/>
        <v>7.8472222222222214</v>
      </c>
      <c r="AR59" s="160">
        <v>17</v>
      </c>
      <c r="AS59" s="160" t="s">
        <v>1</v>
      </c>
    </row>
    <row r="60" spans="2:53" s="62" customFormat="1" ht="16.5" customHeight="1" thickBot="1" x14ac:dyDescent="0.35">
      <c r="B60" s="72">
        <v>44</v>
      </c>
      <c r="C60" s="170">
        <v>3628</v>
      </c>
      <c r="D60" s="175" t="s">
        <v>136</v>
      </c>
      <c r="E60" s="63"/>
      <c r="F60" s="81"/>
      <c r="G60" s="64"/>
      <c r="H60" s="130">
        <f>SUM('11CL-AC-A-L PORT'!J52)</f>
        <v>11.566666666666668</v>
      </c>
      <c r="I60" s="131"/>
      <c r="J60" s="132"/>
      <c r="K60" s="133">
        <f>SUM('11CL-AC-A-MAT'!J52)</f>
        <v>6.333333333333333</v>
      </c>
      <c r="L60" s="134"/>
      <c r="M60" s="132"/>
      <c r="N60" s="130">
        <f>SUM('11CL-AC-A-BIOL'!J52)</f>
        <v>10</v>
      </c>
      <c r="O60" s="135"/>
      <c r="P60" s="132"/>
      <c r="Q60" s="133">
        <f>SUM('11CL-AC-A-INGLES'!J52)</f>
        <v>13</v>
      </c>
      <c r="R60" s="134"/>
      <c r="S60" s="132"/>
      <c r="T60" s="130">
        <f>SUM('11CL-AC-A-QCA ORG.'!J52)</f>
        <v>14</v>
      </c>
      <c r="U60" s="134"/>
      <c r="V60" s="132"/>
      <c r="W60" s="130">
        <f>SUM('11CL-AC-A-MICROBIOL'!J52)</f>
        <v>12.833333333333334</v>
      </c>
      <c r="X60" s="136"/>
      <c r="Y60" s="132"/>
      <c r="Z60" s="130">
        <f>SUM('11CL-AC-A-HEMAT I'!J52)</f>
        <v>9.8333333333333339</v>
      </c>
      <c r="AA60" s="135"/>
      <c r="AB60" s="132"/>
      <c r="AC60" s="133">
        <f>SUM('11CL-AC-A-IMUNOL.'!J52)</f>
        <v>15.333333333333334</v>
      </c>
      <c r="AD60" s="134"/>
      <c r="AE60" s="132"/>
      <c r="AF60" s="130">
        <f>SUM('11CL-AC-A-URINOL.'!J52)</f>
        <v>10.333333333333334</v>
      </c>
      <c r="AG60" s="136"/>
      <c r="AH60" s="132"/>
      <c r="AI60" s="130">
        <f>SUM('11CL-AC-A-PRASITOL.'!J52)</f>
        <v>8.5</v>
      </c>
      <c r="AJ60" s="136"/>
      <c r="AK60" s="132"/>
      <c r="AL60" s="130">
        <f>SUM('11CL-AC-A-ED. FIS'!J52)</f>
        <v>11</v>
      </c>
      <c r="AM60" s="136"/>
      <c r="AN60" s="132"/>
      <c r="AO60" s="130">
        <f>SUM('11CL-AC-A-AFH'!J52)</f>
        <v>10</v>
      </c>
      <c r="AP60" s="75" t="s">
        <v>3</v>
      </c>
      <c r="AQ60" s="92">
        <f t="shared" ref="AQ60" si="6">AVERAGE(H60:AO60)</f>
        <v>11.06111111111111</v>
      </c>
      <c r="AR60" s="160">
        <v>16</v>
      </c>
      <c r="AS60" s="160" t="s">
        <v>1</v>
      </c>
    </row>
    <row r="61" spans="2:53" ht="30" customHeight="1" thickBot="1" x14ac:dyDescent="0.35">
      <c r="B61" s="242" t="s">
        <v>138</v>
      </c>
      <c r="C61" s="243"/>
      <c r="D61" s="243"/>
      <c r="E61" s="244"/>
      <c r="F61" s="242"/>
      <c r="G61" s="243"/>
      <c r="H61" s="244"/>
      <c r="I61" s="242"/>
      <c r="J61" s="243"/>
      <c r="K61" s="244"/>
      <c r="L61" s="242"/>
      <c r="M61" s="243"/>
      <c r="N61" s="244"/>
      <c r="O61" s="242"/>
      <c r="P61" s="243"/>
      <c r="Q61" s="244"/>
      <c r="R61" s="242"/>
      <c r="S61" s="243"/>
      <c r="T61" s="244"/>
      <c r="U61" s="242"/>
      <c r="V61" s="243"/>
      <c r="W61" s="244"/>
      <c r="X61" s="116"/>
      <c r="Y61" s="116"/>
      <c r="Z61" s="116"/>
      <c r="AA61" s="242"/>
      <c r="AB61" s="243"/>
      <c r="AC61" s="244"/>
      <c r="AD61" s="242"/>
      <c r="AE61" s="243"/>
      <c r="AF61" s="244"/>
      <c r="AG61" s="242"/>
      <c r="AH61" s="243"/>
      <c r="AI61" s="244"/>
      <c r="AJ61" s="242"/>
      <c r="AK61" s="243"/>
      <c r="AL61" s="244"/>
      <c r="AM61" s="242"/>
      <c r="AN61" s="243"/>
      <c r="AO61" s="244"/>
      <c r="AP61" s="65"/>
      <c r="AQ61" s="65"/>
    </row>
    <row r="62" spans="2:53" ht="30" customHeight="1" x14ac:dyDescent="0.3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5"/>
      <c r="AQ62" s="65"/>
    </row>
    <row r="63" spans="2:53" ht="15" customHeight="1" x14ac:dyDescent="0.3"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P63" s="65"/>
      <c r="AQ63" s="65"/>
    </row>
    <row r="64" spans="2:53" ht="19.8" x14ac:dyDescent="0.5">
      <c r="B64" s="238" t="s">
        <v>91</v>
      </c>
      <c r="C64" s="238"/>
      <c r="D64" s="238"/>
      <c r="E64" s="6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AA64" s="238" t="s">
        <v>61</v>
      </c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82"/>
    </row>
    <row r="65" spans="2:43" ht="12.75" customHeight="1" x14ac:dyDescent="0.3">
      <c r="B65" s="239" t="s">
        <v>62</v>
      </c>
      <c r="C65" s="239"/>
      <c r="D65" s="239"/>
      <c r="E65" s="36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P65" s="65"/>
      <c r="AQ65" s="65"/>
    </row>
    <row r="66" spans="2:43" ht="17.25" customHeight="1" x14ac:dyDescent="0.4">
      <c r="B66" s="240" t="s">
        <v>139</v>
      </c>
      <c r="C66" s="240"/>
      <c r="D66" s="240"/>
      <c r="E66" s="35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68"/>
      <c r="V66" s="68"/>
      <c r="AA66" s="241" t="s">
        <v>17</v>
      </c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83"/>
    </row>
    <row r="69" spans="2:43" x14ac:dyDescent="0.3">
      <c r="AA69" s="10"/>
      <c r="AB69" s="10"/>
      <c r="AC69" s="10"/>
      <c r="AD69" s="10"/>
      <c r="AE69" s="10"/>
      <c r="AF69" s="10"/>
    </row>
    <row r="70" spans="2:43" x14ac:dyDescent="0.3">
      <c r="AA70" s="10"/>
      <c r="AB70" s="10"/>
      <c r="AC70" s="10"/>
      <c r="AD70" s="10"/>
      <c r="AE70" s="10"/>
      <c r="AF70" s="10"/>
    </row>
    <row r="71" spans="2:43" x14ac:dyDescent="0.3">
      <c r="AA71" s="10"/>
      <c r="AB71" s="10"/>
      <c r="AC71" s="10"/>
      <c r="AD71" s="10"/>
      <c r="AE71" s="10"/>
      <c r="AF71" s="10"/>
    </row>
  </sheetData>
  <mergeCells count="93">
    <mergeCell ref="AD12:AJ12"/>
    <mergeCell ref="B13:D13"/>
    <mergeCell ref="B14:B16"/>
    <mergeCell ref="C14:C16"/>
    <mergeCell ref="D14:D16"/>
    <mergeCell ref="E14:E16"/>
    <mergeCell ref="F14:H14"/>
    <mergeCell ref="I14:K14"/>
    <mergeCell ref="L14:N14"/>
    <mergeCell ref="O14:Q14"/>
    <mergeCell ref="R14:T14"/>
    <mergeCell ref="N15:N16"/>
    <mergeCell ref="O15:P15"/>
    <mergeCell ref="AA14:AC14"/>
    <mergeCell ref="AD14:AF14"/>
    <mergeCell ref="AG14:AI14"/>
    <mergeCell ref="AM12:AN12"/>
    <mergeCell ref="A1:AP4"/>
    <mergeCell ref="B7:AP7"/>
    <mergeCell ref="C8:AP8"/>
    <mergeCell ref="H9:K10"/>
    <mergeCell ref="M9:AC11"/>
    <mergeCell ref="AE9:AJ9"/>
    <mergeCell ref="B10:D10"/>
    <mergeCell ref="AE10:AJ11"/>
    <mergeCell ref="AM10:AN10"/>
    <mergeCell ref="B11:D11"/>
    <mergeCell ref="H11:I12"/>
    <mergeCell ref="J11:K12"/>
    <mergeCell ref="AM11:AN11"/>
    <mergeCell ref="AP11:AP12"/>
    <mergeCell ref="B12:D12"/>
    <mergeCell ref="X14:Z14"/>
    <mergeCell ref="Q15:Q16"/>
    <mergeCell ref="R15:S15"/>
    <mergeCell ref="T15:T16"/>
    <mergeCell ref="U15:V15"/>
    <mergeCell ref="W15:W16"/>
    <mergeCell ref="X15:Y15"/>
    <mergeCell ref="U14:W14"/>
    <mergeCell ref="AG15:AH15"/>
    <mergeCell ref="AI15:AI16"/>
    <mergeCell ref="Z15:Z16"/>
    <mergeCell ref="AA15:AB15"/>
    <mergeCell ref="AC15:AC16"/>
    <mergeCell ref="AD15:AE15"/>
    <mergeCell ref="AF15:AF16"/>
    <mergeCell ref="F15:G15"/>
    <mergeCell ref="H15:H16"/>
    <mergeCell ref="I15:J15"/>
    <mergeCell ref="K15:K16"/>
    <mergeCell ref="L15:M15"/>
    <mergeCell ref="AO15:AO16"/>
    <mergeCell ref="AT15:AU15"/>
    <mergeCell ref="AP14:AP16"/>
    <mergeCell ref="AJ15:AK15"/>
    <mergeCell ref="AL15:AL16"/>
    <mergeCell ref="AM15:AN15"/>
    <mergeCell ref="AJ14:AL14"/>
    <mergeCell ref="AM14:AO14"/>
    <mergeCell ref="AM61:AO61"/>
    <mergeCell ref="B61:E61"/>
    <mergeCell ref="F61:H61"/>
    <mergeCell ref="I61:K61"/>
    <mergeCell ref="L61:N61"/>
    <mergeCell ref="O61:Q61"/>
    <mergeCell ref="R61:T61"/>
    <mergeCell ref="U61:W61"/>
    <mergeCell ref="AA61:AC61"/>
    <mergeCell ref="AD61:AF61"/>
    <mergeCell ref="AG61:AI61"/>
    <mergeCell ref="AJ61:AL61"/>
    <mergeCell ref="B64:D64"/>
    <mergeCell ref="AA64:AP64"/>
    <mergeCell ref="B65:D65"/>
    <mergeCell ref="AA65:AM65"/>
    <mergeCell ref="B66:D66"/>
    <mergeCell ref="AA66:AP66"/>
    <mergeCell ref="AU23:AU24"/>
    <mergeCell ref="AV23:AV24"/>
    <mergeCell ref="AU25:AW25"/>
    <mergeCell ref="AX25:BB25"/>
    <mergeCell ref="AQ14:AQ16"/>
    <mergeCell ref="AT18:AU18"/>
    <mergeCell ref="AV18:AW18"/>
    <mergeCell ref="AX18:AY18"/>
    <mergeCell ref="AZ18:BA18"/>
    <mergeCell ref="AV15:AW15"/>
    <mergeCell ref="AX15:AY15"/>
    <mergeCell ref="AZ15:BA15"/>
    <mergeCell ref="AR14:AR16"/>
    <mergeCell ref="AS14:AS16"/>
    <mergeCell ref="AT14:BA14"/>
  </mergeCells>
  <conditionalFormatting sqref="H17:H60 K17:K60 N17:O60 Q17:Q60 T17:T60 W17:X60 Z17:AA60 AF17:AG60 AI17:AM60 AC17:AC60 AO17:AO60">
    <cfRule type="cellIs" dxfId="396" priority="7" stopIfTrue="1" operator="lessThan">
      <formula>10</formula>
    </cfRule>
    <cfRule type="cellIs" dxfId="395" priority="8" stopIfTrue="1" operator="greaterThanOrEqual">
      <formula>10</formula>
    </cfRule>
  </conditionalFormatting>
  <conditionalFormatting sqref="AP61:AQ62 AP17:AP60">
    <cfRule type="cellIs" dxfId="394" priority="6" operator="equal">
      <formula>"Transita"</formula>
    </cfRule>
  </conditionalFormatting>
  <conditionalFormatting sqref="AX27:BA53 AX17:BA22">
    <cfRule type="cellIs" dxfId="393" priority="5" stopIfTrue="1" operator="greaterThanOrEqual">
      <formula>0.1</formula>
    </cfRule>
  </conditionalFormatting>
  <conditionalFormatting sqref="AX27:BA53 AX17:BA22">
    <cfRule type="cellIs" dxfId="392" priority="4" stopIfTrue="1" operator="equal">
      <formula>0</formula>
    </cfRule>
  </conditionalFormatting>
  <conditionalFormatting sqref="AV27:AW53 AV17:AW22">
    <cfRule type="cellIs" dxfId="391" priority="3" stopIfTrue="1" operator="greaterThanOrEqual">
      <formula>0</formula>
    </cfRule>
  </conditionalFormatting>
  <conditionalFormatting sqref="AQ17:AQ60">
    <cfRule type="cellIs" dxfId="390" priority="1" stopIfTrue="1" operator="lessThanOrEqual">
      <formula>9.9</formula>
    </cfRule>
    <cfRule type="cellIs" dxfId="389" priority="2" stopIfTrue="1" operator="greaterThanOrEqual">
      <formula>10</formula>
    </cfRule>
  </conditionalFormatting>
  <pageMargins left="0.39370078740157483" right="0.15748031496062992" top="0.19685039370078741" bottom="0.35433070866141736" header="0.31496062992125984" footer="0.31496062992125984"/>
  <pageSetup paperSize="8" scale="95" orientation="landscape" r:id="rId1"/>
  <colBreaks count="1" manualBreakCount="1">
    <brk id="4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B71"/>
  <sheetViews>
    <sheetView showGridLines="0" tabSelected="1" showWhiteSpace="0" topLeftCell="D19" zoomScale="70" zoomScaleNormal="70" zoomScalePageLayoutView="55" workbookViewId="0">
      <selection activeCell="AP61" sqref="AP61"/>
    </sheetView>
  </sheetViews>
  <sheetFormatPr defaultRowHeight="14.4" x14ac:dyDescent="0.3"/>
  <cols>
    <col min="1" max="1" width="1.33203125" customWidth="1"/>
    <col min="2" max="2" width="4.44140625" customWidth="1"/>
    <col min="3" max="3" width="17" customWidth="1"/>
    <col min="4" max="4" width="43" customWidth="1"/>
    <col min="5" max="5" width="30.88671875" customWidth="1"/>
    <col min="6" max="7" width="2.6640625" customWidth="1"/>
    <col min="8" max="8" width="6.5546875" customWidth="1"/>
    <col min="9" max="10" width="2.6640625" customWidth="1"/>
    <col min="11" max="11" width="7" customWidth="1"/>
    <col min="12" max="13" width="2.6640625" customWidth="1"/>
    <col min="14" max="14" width="7.44140625" customWidth="1"/>
    <col min="15" max="16" width="2.6640625" customWidth="1"/>
    <col min="17" max="17" width="7.33203125" customWidth="1"/>
    <col min="18" max="19" width="2.6640625" customWidth="1"/>
    <col min="20" max="20" width="6.88671875" customWidth="1"/>
    <col min="21" max="22" width="2.6640625" customWidth="1"/>
    <col min="23" max="23" width="6.6640625" customWidth="1"/>
    <col min="24" max="25" width="3.109375" customWidth="1"/>
    <col min="26" max="26" width="6.6640625" customWidth="1"/>
    <col min="27" max="28" width="2.6640625" customWidth="1"/>
    <col min="29" max="29" width="7.6640625" customWidth="1"/>
    <col min="30" max="31" width="2.6640625" customWidth="1"/>
    <col min="32" max="32" width="6.44140625" customWidth="1"/>
    <col min="33" max="33" width="3" customWidth="1"/>
    <col min="34" max="34" width="3.109375" customWidth="1"/>
    <col min="35" max="35" width="6.6640625" customWidth="1"/>
    <col min="36" max="36" width="4.33203125" customWidth="1"/>
    <col min="37" max="37" width="3" customWidth="1"/>
    <col min="38" max="38" width="7.109375" customWidth="1"/>
    <col min="39" max="39" width="3.44140625" customWidth="1"/>
    <col min="40" max="40" width="3.33203125" customWidth="1"/>
    <col min="41" max="41" width="7" customWidth="1"/>
    <col min="42" max="42" width="17.5546875" customWidth="1"/>
    <col min="43" max="43" width="9.5546875" customWidth="1"/>
    <col min="45" max="45" width="10.6640625" customWidth="1"/>
    <col min="48" max="53" width="9.6640625" bestFit="1" customWidth="1"/>
  </cols>
  <sheetData>
    <row r="1" spans="1:53" ht="9.9" customHeight="1" x14ac:dyDescent="0.5">
      <c r="A1" s="260" t="s">
        <v>64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03"/>
    </row>
    <row r="2" spans="1:53" ht="9.9" customHeight="1" x14ac:dyDescent="0.5">
      <c r="A2" s="260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0"/>
      <c r="AK2" s="260"/>
      <c r="AL2" s="260"/>
      <c r="AM2" s="260"/>
      <c r="AN2" s="260"/>
      <c r="AO2" s="260"/>
      <c r="AP2" s="260"/>
      <c r="AQ2" s="203"/>
    </row>
    <row r="3" spans="1:53" ht="9.9" customHeight="1" x14ac:dyDescent="0.5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03"/>
    </row>
    <row r="4" spans="1:53" ht="9.9" customHeight="1" x14ac:dyDescent="0.5">
      <c r="A4" s="260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60"/>
      <c r="AM4" s="260"/>
      <c r="AN4" s="260"/>
      <c r="AO4" s="260"/>
      <c r="AP4" s="260"/>
      <c r="AQ4" s="203"/>
    </row>
    <row r="5" spans="1:53" ht="9.9" customHeight="1" x14ac:dyDescent="0.4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</row>
    <row r="6" spans="1:53" ht="9.9" customHeight="1" x14ac:dyDescent="0.4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</row>
    <row r="7" spans="1:53" ht="29.25" customHeight="1" x14ac:dyDescent="0.3">
      <c r="B7" s="261" t="s">
        <v>37</v>
      </c>
      <c r="C7" s="261"/>
      <c r="D7" s="261"/>
      <c r="E7" s="261"/>
      <c r="F7" s="261"/>
      <c r="G7" s="261"/>
      <c r="H7" s="261"/>
      <c r="I7" s="261"/>
      <c r="J7" s="261"/>
      <c r="K7" s="261"/>
      <c r="L7" s="261"/>
      <c r="M7" s="261"/>
      <c r="N7" s="261"/>
      <c r="O7" s="261"/>
      <c r="P7" s="261"/>
      <c r="Q7" s="261"/>
      <c r="R7" s="261"/>
      <c r="S7" s="261"/>
      <c r="T7" s="261"/>
      <c r="U7" s="261"/>
      <c r="V7" s="261"/>
      <c r="W7" s="261"/>
      <c r="X7" s="261"/>
      <c r="Y7" s="261"/>
      <c r="Z7" s="261"/>
      <c r="AA7" s="261"/>
      <c r="AB7" s="261"/>
      <c r="AC7" s="261"/>
      <c r="AD7" s="261"/>
      <c r="AE7" s="261"/>
      <c r="AF7" s="261"/>
      <c r="AG7" s="261"/>
      <c r="AH7" s="261"/>
      <c r="AI7" s="261"/>
      <c r="AJ7" s="261"/>
      <c r="AK7" s="261"/>
      <c r="AL7" s="261"/>
      <c r="AM7" s="261"/>
      <c r="AN7" s="261"/>
      <c r="AO7" s="261"/>
      <c r="AP7" s="261"/>
      <c r="AQ7" s="204"/>
    </row>
    <row r="8" spans="1:53" ht="32.25" customHeight="1" x14ac:dyDescent="0.3">
      <c r="B8" s="207"/>
      <c r="C8" s="262" t="s">
        <v>38</v>
      </c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262"/>
      <c r="AA8" s="262"/>
      <c r="AB8" s="262"/>
      <c r="AC8" s="262"/>
      <c r="AD8" s="262"/>
      <c r="AE8" s="262"/>
      <c r="AF8" s="262"/>
      <c r="AG8" s="262"/>
      <c r="AH8" s="262"/>
      <c r="AI8" s="262"/>
      <c r="AJ8" s="262"/>
      <c r="AK8" s="262"/>
      <c r="AL8" s="262"/>
      <c r="AM8" s="262"/>
      <c r="AN8" s="262"/>
      <c r="AO8" s="262"/>
      <c r="AP8" s="262"/>
      <c r="AQ8" s="205"/>
    </row>
    <row r="9" spans="1:53" ht="16.5" customHeight="1" x14ac:dyDescent="0.35">
      <c r="B9" s="39"/>
      <c r="C9" s="39"/>
      <c r="D9" s="39"/>
      <c r="E9" s="39"/>
      <c r="F9" s="39"/>
      <c r="G9" s="39"/>
      <c r="H9" s="263" t="s">
        <v>39</v>
      </c>
      <c r="I9" s="263"/>
      <c r="J9" s="263"/>
      <c r="K9" s="263"/>
      <c r="L9" s="40"/>
      <c r="M9" s="264" t="s">
        <v>40</v>
      </c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4"/>
      <c r="AB9" s="264"/>
      <c r="AC9" s="264"/>
      <c r="AD9" s="41"/>
      <c r="AE9" s="266" t="s">
        <v>41</v>
      </c>
      <c r="AF9" s="266"/>
      <c r="AG9" s="266"/>
      <c r="AH9" s="266"/>
      <c r="AI9" s="266"/>
      <c r="AJ9" s="266"/>
      <c r="AK9" s="42"/>
      <c r="AL9" s="42"/>
      <c r="AM9" s="42"/>
      <c r="AN9" s="42"/>
      <c r="AO9" s="42"/>
      <c r="AP9" s="42"/>
      <c r="AQ9" s="42"/>
    </row>
    <row r="10" spans="1:53" ht="18" customHeight="1" thickBot="1" x14ac:dyDescent="0.4">
      <c r="B10" s="267" t="s">
        <v>42</v>
      </c>
      <c r="C10" s="267"/>
      <c r="D10" s="267"/>
      <c r="E10" s="206"/>
      <c r="F10" s="39"/>
      <c r="G10" s="39"/>
      <c r="H10" s="263"/>
      <c r="I10" s="263"/>
      <c r="J10" s="263"/>
      <c r="K10" s="263"/>
      <c r="L10" s="42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  <c r="X10" s="264"/>
      <c r="Y10" s="264"/>
      <c r="Z10" s="264"/>
      <c r="AA10" s="264"/>
      <c r="AB10" s="264"/>
      <c r="AC10" s="264"/>
      <c r="AD10" s="42"/>
      <c r="AE10" s="266" t="s">
        <v>142</v>
      </c>
      <c r="AF10" s="266"/>
      <c r="AG10" s="266"/>
      <c r="AH10" s="266"/>
      <c r="AI10" s="266"/>
      <c r="AJ10" s="266"/>
      <c r="AK10" s="202"/>
      <c r="AL10" s="207" t="s">
        <v>44</v>
      </c>
      <c r="AM10" s="268">
        <f>SUM(AM12,AM11)</f>
        <v>44</v>
      </c>
      <c r="AN10" s="268"/>
      <c r="AO10" s="42"/>
      <c r="AP10" s="42"/>
      <c r="AQ10" s="42"/>
    </row>
    <row r="11" spans="1:53" ht="20.25" customHeight="1" thickTop="1" thickBot="1" x14ac:dyDescent="0.4">
      <c r="B11" s="269" t="s">
        <v>45</v>
      </c>
      <c r="C11" s="269"/>
      <c r="D11" s="269"/>
      <c r="E11" s="201"/>
      <c r="F11" s="39"/>
      <c r="G11" s="39"/>
      <c r="H11" s="268" t="s">
        <v>46</v>
      </c>
      <c r="I11" s="268"/>
      <c r="J11" s="270" t="s">
        <v>63</v>
      </c>
      <c r="K11" s="270"/>
      <c r="L11" s="46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  <c r="AA11" s="265"/>
      <c r="AB11" s="265"/>
      <c r="AC11" s="265"/>
      <c r="AD11" s="42"/>
      <c r="AE11" s="266"/>
      <c r="AF11" s="266"/>
      <c r="AG11" s="266"/>
      <c r="AH11" s="266"/>
      <c r="AI11" s="266"/>
      <c r="AJ11" s="266"/>
      <c r="AK11" s="202"/>
      <c r="AL11" s="207" t="s">
        <v>0</v>
      </c>
      <c r="AM11" s="271">
        <f>COUNTIF(AS17:AS60,"M")</f>
        <v>11</v>
      </c>
      <c r="AN11" s="271"/>
      <c r="AO11" s="42"/>
      <c r="AP11" s="272">
        <v>46118</v>
      </c>
      <c r="AQ11" s="89"/>
    </row>
    <row r="12" spans="1:53" ht="19.5" customHeight="1" thickTop="1" thickBot="1" x14ac:dyDescent="0.4">
      <c r="B12" s="271" t="s">
        <v>47</v>
      </c>
      <c r="C12" s="271"/>
      <c r="D12" s="271"/>
      <c r="E12" s="207"/>
      <c r="F12" s="39"/>
      <c r="G12" s="39"/>
      <c r="H12" s="268"/>
      <c r="I12" s="268"/>
      <c r="J12" s="270"/>
      <c r="K12" s="270"/>
      <c r="L12" s="46"/>
      <c r="M12" s="46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2"/>
      <c r="AB12" s="42"/>
      <c r="AC12" s="42"/>
      <c r="AD12" s="273" t="s">
        <v>137</v>
      </c>
      <c r="AE12" s="273"/>
      <c r="AF12" s="273"/>
      <c r="AG12" s="273"/>
      <c r="AH12" s="273"/>
      <c r="AI12" s="273"/>
      <c r="AJ12" s="273"/>
      <c r="AK12" s="202"/>
      <c r="AL12" s="207" t="s">
        <v>1</v>
      </c>
      <c r="AM12" s="259">
        <f>COUNTIF(AS17:AS60,"F")</f>
        <v>33</v>
      </c>
      <c r="AN12" s="259"/>
      <c r="AO12" s="42"/>
      <c r="AP12" s="272"/>
      <c r="AQ12" s="89"/>
    </row>
    <row r="13" spans="1:53" ht="20.25" customHeight="1" thickTop="1" thickBot="1" x14ac:dyDescent="0.35">
      <c r="B13" s="269" t="s">
        <v>145</v>
      </c>
      <c r="C13" s="269"/>
      <c r="D13" s="269"/>
      <c r="E13" s="201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47"/>
      <c r="AB13" s="47"/>
      <c r="AC13" s="47"/>
      <c r="AD13" s="47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7"/>
      <c r="AQ13" s="47"/>
    </row>
    <row r="14" spans="1:53" ht="25.5" customHeight="1" thickBot="1" x14ac:dyDescent="0.35">
      <c r="B14" s="274" t="s">
        <v>48</v>
      </c>
      <c r="C14" s="274" t="s">
        <v>49</v>
      </c>
      <c r="D14" s="276" t="s">
        <v>50</v>
      </c>
      <c r="E14" s="278" t="s">
        <v>51</v>
      </c>
      <c r="F14" s="280" t="s">
        <v>69</v>
      </c>
      <c r="G14" s="281"/>
      <c r="H14" s="282"/>
      <c r="I14" s="250" t="s">
        <v>70</v>
      </c>
      <c r="J14" s="250"/>
      <c r="K14" s="250"/>
      <c r="L14" s="280" t="s">
        <v>71</v>
      </c>
      <c r="M14" s="281"/>
      <c r="N14" s="282"/>
      <c r="O14" s="250" t="s">
        <v>52</v>
      </c>
      <c r="P14" s="250"/>
      <c r="Q14" s="251"/>
      <c r="R14" s="249" t="s">
        <v>72</v>
      </c>
      <c r="S14" s="250"/>
      <c r="T14" s="251"/>
      <c r="U14" s="249" t="s">
        <v>73</v>
      </c>
      <c r="V14" s="250"/>
      <c r="W14" s="251"/>
      <c r="X14" s="249" t="s">
        <v>74</v>
      </c>
      <c r="Y14" s="250"/>
      <c r="Z14" s="251"/>
      <c r="AA14" s="250" t="s">
        <v>75</v>
      </c>
      <c r="AB14" s="250"/>
      <c r="AC14" s="250"/>
      <c r="AD14" s="249" t="s">
        <v>76</v>
      </c>
      <c r="AE14" s="250"/>
      <c r="AF14" s="251"/>
      <c r="AG14" s="249" t="s">
        <v>77</v>
      </c>
      <c r="AH14" s="250"/>
      <c r="AI14" s="251"/>
      <c r="AJ14" s="249" t="s">
        <v>78</v>
      </c>
      <c r="AK14" s="250"/>
      <c r="AL14" s="250"/>
      <c r="AM14" s="249" t="s">
        <v>79</v>
      </c>
      <c r="AN14" s="250"/>
      <c r="AO14" s="251"/>
      <c r="AP14" s="225" t="s">
        <v>8</v>
      </c>
      <c r="AQ14" s="225" t="s">
        <v>68</v>
      </c>
      <c r="AR14" s="233" t="s">
        <v>53</v>
      </c>
      <c r="AS14" s="235" t="s">
        <v>54</v>
      </c>
      <c r="AT14" s="237" t="s">
        <v>55</v>
      </c>
      <c r="AU14" s="237"/>
      <c r="AV14" s="237"/>
      <c r="AW14" s="237"/>
      <c r="AX14" s="237"/>
      <c r="AY14" s="237"/>
      <c r="AZ14" s="237"/>
      <c r="BA14" s="237"/>
    </row>
    <row r="15" spans="1:53" ht="12.9" customHeight="1" thickBot="1" x14ac:dyDescent="0.35">
      <c r="B15" s="275"/>
      <c r="C15" s="275"/>
      <c r="D15" s="277"/>
      <c r="E15" s="279"/>
      <c r="F15" s="252" t="s">
        <v>25</v>
      </c>
      <c r="G15" s="253"/>
      <c r="H15" s="245" t="s">
        <v>143</v>
      </c>
      <c r="I15" s="254" t="s">
        <v>25</v>
      </c>
      <c r="J15" s="254"/>
      <c r="K15" s="245" t="s">
        <v>143</v>
      </c>
      <c r="L15" s="255" t="s">
        <v>25</v>
      </c>
      <c r="M15" s="254"/>
      <c r="N15" s="245" t="s">
        <v>143</v>
      </c>
      <c r="O15" s="254" t="s">
        <v>25</v>
      </c>
      <c r="P15" s="254"/>
      <c r="Q15" s="245" t="s">
        <v>143</v>
      </c>
      <c r="R15" s="247" t="s">
        <v>25</v>
      </c>
      <c r="S15" s="256"/>
      <c r="T15" s="245" t="s">
        <v>143</v>
      </c>
      <c r="U15" s="247" t="s">
        <v>25</v>
      </c>
      <c r="V15" s="248"/>
      <c r="W15" s="245" t="s">
        <v>143</v>
      </c>
      <c r="X15" s="247" t="s">
        <v>25</v>
      </c>
      <c r="Y15" s="256"/>
      <c r="Z15" s="245" t="s">
        <v>143</v>
      </c>
      <c r="AA15" s="256" t="s">
        <v>25</v>
      </c>
      <c r="AB15" s="256"/>
      <c r="AC15" s="245" t="s">
        <v>143</v>
      </c>
      <c r="AD15" s="247" t="s">
        <v>25</v>
      </c>
      <c r="AE15" s="248"/>
      <c r="AF15" s="245" t="s">
        <v>143</v>
      </c>
      <c r="AG15" s="247" t="s">
        <v>25</v>
      </c>
      <c r="AH15" s="256"/>
      <c r="AI15" s="245" t="s">
        <v>143</v>
      </c>
      <c r="AJ15" s="247" t="s">
        <v>25</v>
      </c>
      <c r="AK15" s="248"/>
      <c r="AL15" s="245" t="s">
        <v>143</v>
      </c>
      <c r="AM15" s="247" t="s">
        <v>25</v>
      </c>
      <c r="AN15" s="248"/>
      <c r="AO15" s="245" t="s">
        <v>143</v>
      </c>
      <c r="AP15" s="226"/>
      <c r="AQ15" s="226"/>
      <c r="AR15" s="234"/>
      <c r="AS15" s="236"/>
      <c r="AT15" s="237" t="s">
        <v>57</v>
      </c>
      <c r="AU15" s="237"/>
      <c r="AV15" s="230" t="s">
        <v>2</v>
      </c>
      <c r="AW15" s="230"/>
      <c r="AX15" s="231" t="s">
        <v>3</v>
      </c>
      <c r="AY15" s="231"/>
      <c r="AZ15" s="232" t="s">
        <v>58</v>
      </c>
      <c r="BA15" s="232"/>
    </row>
    <row r="16" spans="1:53" ht="12.9" customHeight="1" thickBot="1" x14ac:dyDescent="0.35">
      <c r="B16" s="275"/>
      <c r="C16" s="275"/>
      <c r="D16" s="277"/>
      <c r="E16" s="279"/>
      <c r="F16" s="49" t="s">
        <v>59</v>
      </c>
      <c r="G16" s="50" t="s">
        <v>60</v>
      </c>
      <c r="H16" s="246"/>
      <c r="I16" s="51" t="s">
        <v>59</v>
      </c>
      <c r="J16" s="52" t="s">
        <v>60</v>
      </c>
      <c r="K16" s="246"/>
      <c r="L16" s="53" t="s">
        <v>59</v>
      </c>
      <c r="M16" s="52" t="s">
        <v>60</v>
      </c>
      <c r="N16" s="246"/>
      <c r="O16" s="51" t="s">
        <v>59</v>
      </c>
      <c r="P16" s="52" t="s">
        <v>60</v>
      </c>
      <c r="Q16" s="246"/>
      <c r="R16" s="53" t="s">
        <v>59</v>
      </c>
      <c r="S16" s="52" t="s">
        <v>60</v>
      </c>
      <c r="T16" s="246"/>
      <c r="U16" s="53" t="s">
        <v>59</v>
      </c>
      <c r="V16" s="52" t="s">
        <v>60</v>
      </c>
      <c r="W16" s="246"/>
      <c r="X16" s="53" t="s">
        <v>59</v>
      </c>
      <c r="Y16" s="52" t="s">
        <v>60</v>
      </c>
      <c r="Z16" s="246"/>
      <c r="AA16" s="51" t="s">
        <v>59</v>
      </c>
      <c r="AB16" s="52" t="s">
        <v>60</v>
      </c>
      <c r="AC16" s="246"/>
      <c r="AD16" s="53" t="s">
        <v>59</v>
      </c>
      <c r="AE16" s="52" t="s">
        <v>60</v>
      </c>
      <c r="AF16" s="246"/>
      <c r="AG16" s="53" t="s">
        <v>59</v>
      </c>
      <c r="AH16" s="52" t="s">
        <v>60</v>
      </c>
      <c r="AI16" s="246"/>
      <c r="AJ16" s="53" t="s">
        <v>59</v>
      </c>
      <c r="AK16" s="52" t="s">
        <v>60</v>
      </c>
      <c r="AL16" s="246"/>
      <c r="AM16" s="53" t="s">
        <v>59</v>
      </c>
      <c r="AN16" s="52" t="s">
        <v>60</v>
      </c>
      <c r="AO16" s="246"/>
      <c r="AP16" s="226"/>
      <c r="AQ16" s="226"/>
      <c r="AR16" s="234"/>
      <c r="AS16" s="236"/>
      <c r="AT16" s="208" t="s">
        <v>0</v>
      </c>
      <c r="AU16" s="208" t="s">
        <v>1</v>
      </c>
      <c r="AV16" s="55" t="s">
        <v>0</v>
      </c>
      <c r="AW16" s="55" t="s">
        <v>1</v>
      </c>
      <c r="AX16" s="55" t="s">
        <v>0</v>
      </c>
      <c r="AY16" s="55" t="s">
        <v>1</v>
      </c>
      <c r="AZ16" s="55" t="s">
        <v>0</v>
      </c>
      <c r="BA16" s="55" t="s">
        <v>1</v>
      </c>
    </row>
    <row r="17" spans="2:54" ht="16.5" customHeight="1" thickTop="1" thickBot="1" x14ac:dyDescent="0.35">
      <c r="B17" s="71">
        <v>1</v>
      </c>
      <c r="C17" s="165">
        <v>4121</v>
      </c>
      <c r="D17" s="171" t="s">
        <v>95</v>
      </c>
      <c r="E17" s="56"/>
      <c r="F17" s="77"/>
      <c r="G17" s="78"/>
      <c r="H17" s="79">
        <f>SUM('11CL-AC-A-L PORT'!Q9)</f>
        <v>11</v>
      </c>
      <c r="I17" s="117"/>
      <c r="J17" s="118"/>
      <c r="K17" s="119">
        <f>SUM('11CL-AC-A-MAT'!Q9)</f>
        <v>16.666666666666668</v>
      </c>
      <c r="L17" s="120"/>
      <c r="M17" s="118"/>
      <c r="N17" s="79">
        <f>SUM('11CL-AC-A-BIOL'!Q9)</f>
        <v>11.333333333333334</v>
      </c>
      <c r="O17" s="121"/>
      <c r="P17" s="118"/>
      <c r="Q17" s="119">
        <f>SUM('11CL-AC-A-INGLES'!Q9)</f>
        <v>13</v>
      </c>
      <c r="R17" s="120"/>
      <c r="S17" s="118"/>
      <c r="T17" s="79">
        <f>SUM('11CL-AC-A-QCA ORG.'!Q9)</f>
        <v>10.666666666666666</v>
      </c>
      <c r="U17" s="120"/>
      <c r="V17" s="118"/>
      <c r="W17" s="79">
        <f>SUM('11CL-AC-A-MICROBIOL'!Q9)</f>
        <v>13.5</v>
      </c>
      <c r="X17" s="122"/>
      <c r="Y17" s="118"/>
      <c r="Z17" s="79">
        <f>SUM('11CL-AC-A-HEMAT I'!Q9)</f>
        <v>13.666666666666666</v>
      </c>
      <c r="AA17" s="121"/>
      <c r="AB17" s="118"/>
      <c r="AC17" s="119">
        <f>SUM('11CL-AC-A-IMUNOL.'!Q9)</f>
        <v>16.666666666666668</v>
      </c>
      <c r="AD17" s="120"/>
      <c r="AE17" s="118"/>
      <c r="AF17" s="79">
        <f>SUM('11CL-AC-A-URINOL.'!Q9)</f>
        <v>12.833333333333334</v>
      </c>
      <c r="AG17" s="122"/>
      <c r="AH17" s="118"/>
      <c r="AI17" s="79">
        <f>SUM('11CL-AC-A-PRASITOL.'!Q9)</f>
        <v>13.333333333333334</v>
      </c>
      <c r="AJ17" s="122"/>
      <c r="AK17" s="118"/>
      <c r="AL17" s="79">
        <f>SUM('11CL-AC-A-ED. FIS'!Q9)</f>
        <v>15.333333333333334</v>
      </c>
      <c r="AM17" s="122"/>
      <c r="AN17" s="118"/>
      <c r="AO17" s="79">
        <f>SUM('11CL-AC-A-AFH'!Q9)</f>
        <v>13.666666666666666</v>
      </c>
      <c r="AP17" s="73" t="s">
        <v>2</v>
      </c>
      <c r="AQ17" s="90">
        <f t="shared" ref="AQ17:AQ60" si="0">AVERAGE(H17:AO17)</f>
        <v>13.472222222222221</v>
      </c>
      <c r="AR17" s="159">
        <v>17</v>
      </c>
      <c r="AS17" s="159" t="s">
        <v>0</v>
      </c>
      <c r="AT17" s="57">
        <f>COUNTIF(AS17:AS60,"M")</f>
        <v>11</v>
      </c>
      <c r="AU17" s="58">
        <f>COUNTIF(AS17:AS60,"F")</f>
        <v>33</v>
      </c>
      <c r="AV17" s="59">
        <f>COUNTIFS(AP17:AP60,"Transita",AS17:AS60,"M")</f>
        <v>5</v>
      </c>
      <c r="AW17" s="59">
        <f>COUNTIFS(AP17:AP60,"Transita",AS17:AS60,"F")</f>
        <v>14</v>
      </c>
      <c r="AX17" s="59">
        <f>COUNTIFS(AP17:AP60,"N/Transita",AS17:AS60,"M")</f>
        <v>6</v>
      </c>
      <c r="AY17" s="59">
        <f>COUNTIFS(AP17:AP60,"N/Transita",AS17:AS60,"F")</f>
        <v>17</v>
      </c>
      <c r="AZ17" s="59">
        <f>COUNTIFS(AP17:AP60,"DESISTIDO",AS17:AS60,"M")</f>
        <v>0</v>
      </c>
      <c r="BA17" s="59">
        <f>COUNTIFS(AP17:AP60,"DESISTIDA",AS17:AS60,"F")</f>
        <v>2</v>
      </c>
    </row>
    <row r="18" spans="2:54" ht="16.5" customHeight="1" thickBot="1" x14ac:dyDescent="0.35">
      <c r="B18" s="72">
        <v>2</v>
      </c>
      <c r="C18" s="166">
        <v>2862</v>
      </c>
      <c r="D18" s="172" t="s">
        <v>96</v>
      </c>
      <c r="E18" s="60"/>
      <c r="F18" s="80"/>
      <c r="G18" s="61"/>
      <c r="H18" s="123">
        <f>SUM('11CL-AC-A-L PORT'!Q10)</f>
        <v>15</v>
      </c>
      <c r="I18" s="124"/>
      <c r="J18" s="125"/>
      <c r="K18" s="126">
        <f>SUM('11CL-AC-A-MAT'!Q10)</f>
        <v>19.666666666666668</v>
      </c>
      <c r="L18" s="127"/>
      <c r="M18" s="125"/>
      <c r="N18" s="123">
        <f>SUM('11CL-AC-A-BIOL'!Q10)</f>
        <v>14.333333333333334</v>
      </c>
      <c r="O18" s="128"/>
      <c r="P18" s="125"/>
      <c r="Q18" s="126">
        <f>SUM('11CL-AC-A-INGLES'!Q10)</f>
        <v>20</v>
      </c>
      <c r="R18" s="127"/>
      <c r="S18" s="125"/>
      <c r="T18" s="123">
        <f>SUM('11CL-AC-A-QCA ORG.'!Q10)</f>
        <v>18</v>
      </c>
      <c r="U18" s="127"/>
      <c r="V18" s="125"/>
      <c r="W18" s="123">
        <f>SUM('11CL-AC-A-MICROBIOL'!Q10)</f>
        <v>14</v>
      </c>
      <c r="X18" s="129"/>
      <c r="Y18" s="125"/>
      <c r="Z18" s="123">
        <f>SUM('11CL-AC-A-HEMAT I'!Q10)</f>
        <v>18.5</v>
      </c>
      <c r="AA18" s="128"/>
      <c r="AB18" s="125"/>
      <c r="AC18" s="126">
        <f>SUM('11CL-AC-A-IMUNOL.'!Q10)</f>
        <v>18.666666666666668</v>
      </c>
      <c r="AD18" s="127"/>
      <c r="AE18" s="125"/>
      <c r="AF18" s="123">
        <f>SUM('11CL-AC-A-URINOL.'!Q10)</f>
        <v>16.166666666666668</v>
      </c>
      <c r="AG18" s="129"/>
      <c r="AH18" s="125"/>
      <c r="AI18" s="123">
        <f>SUM('11CL-AC-A-PRASITOL.'!Q10)</f>
        <v>18.333333333333332</v>
      </c>
      <c r="AJ18" s="129"/>
      <c r="AK18" s="125"/>
      <c r="AL18" s="123">
        <f>SUM('11CL-AC-A-ED. FIS'!Q10)</f>
        <v>14</v>
      </c>
      <c r="AM18" s="129"/>
      <c r="AN18" s="125"/>
      <c r="AO18" s="123">
        <f>SUM('11CL-AC-A-AFH'!Q10)</f>
        <v>12.666666666666666</v>
      </c>
      <c r="AP18" s="74" t="s">
        <v>2</v>
      </c>
      <c r="AQ18" s="91">
        <f t="shared" si="0"/>
        <v>16.611111111111111</v>
      </c>
      <c r="AR18" s="160">
        <v>16</v>
      </c>
      <c r="AS18" s="160" t="s">
        <v>0</v>
      </c>
      <c r="AT18" s="227">
        <f>SUM(AT17:AU17)</f>
        <v>44</v>
      </c>
      <c r="AU18" s="228"/>
      <c r="AV18" s="229">
        <f t="shared" ref="AV18" si="1">SUM(AV16:AW17)</f>
        <v>19</v>
      </c>
      <c r="AW18" s="229"/>
      <c r="AX18" s="228">
        <f t="shared" ref="AX18:AZ18" si="2">SUM(AX16:AY17)</f>
        <v>23</v>
      </c>
      <c r="AY18" s="228"/>
      <c r="AZ18" s="228">
        <f t="shared" si="2"/>
        <v>2</v>
      </c>
      <c r="BA18" s="228"/>
    </row>
    <row r="19" spans="2:54" ht="16.5" customHeight="1" thickBot="1" x14ac:dyDescent="0.35">
      <c r="B19" s="72">
        <v>3</v>
      </c>
      <c r="C19" s="166">
        <v>3183</v>
      </c>
      <c r="D19" s="172" t="s">
        <v>97</v>
      </c>
      <c r="E19" s="60"/>
      <c r="F19" s="80"/>
      <c r="G19" s="61"/>
      <c r="H19" s="123">
        <f>SUM('11CL-AC-A-L PORT'!Q11)</f>
        <v>11.333333333333334</v>
      </c>
      <c r="I19" s="124"/>
      <c r="J19" s="125"/>
      <c r="K19" s="126">
        <f>SUM('11CL-AC-A-MAT'!Q11)</f>
        <v>16.333333333333332</v>
      </c>
      <c r="L19" s="127"/>
      <c r="M19" s="125"/>
      <c r="N19" s="123">
        <f>SUM('11CL-AC-A-BIOL'!Q11)</f>
        <v>13.666666666666666</v>
      </c>
      <c r="O19" s="128"/>
      <c r="P19" s="125"/>
      <c r="Q19" s="126">
        <f>SUM('11CL-AC-A-INGLES'!Q11)</f>
        <v>17.333333333333332</v>
      </c>
      <c r="R19" s="127"/>
      <c r="S19" s="125"/>
      <c r="T19" s="123">
        <f>SUM('11CL-AC-A-QCA ORG.'!Q11)</f>
        <v>9.6666666666666661</v>
      </c>
      <c r="U19" s="127"/>
      <c r="V19" s="125"/>
      <c r="W19" s="123">
        <f>SUM('11CL-AC-A-MICROBIOL'!Q11)</f>
        <v>14.5</v>
      </c>
      <c r="X19" s="129"/>
      <c r="Y19" s="125"/>
      <c r="Z19" s="123">
        <f>SUM('11CL-AC-A-HEMAT I'!Q11)</f>
        <v>12.333333333333334</v>
      </c>
      <c r="AA19" s="128"/>
      <c r="AB19" s="125"/>
      <c r="AC19" s="126">
        <f>SUM('11CL-AC-A-IMUNOL.'!Q11)</f>
        <v>13.833333333333334</v>
      </c>
      <c r="AD19" s="127"/>
      <c r="AE19" s="125"/>
      <c r="AF19" s="123">
        <f>SUM('11CL-AC-A-URINOL.'!Q11)</f>
        <v>11.333333333333334</v>
      </c>
      <c r="AG19" s="129"/>
      <c r="AH19" s="125"/>
      <c r="AI19" s="123">
        <f>SUM('11CL-AC-A-PRASITOL.'!Q11)</f>
        <v>14.833333333333334</v>
      </c>
      <c r="AJ19" s="129"/>
      <c r="AK19" s="125"/>
      <c r="AL19" s="123">
        <f>SUM('11CL-AC-A-ED. FIS'!Q11)</f>
        <v>8.6666666666666661</v>
      </c>
      <c r="AM19" s="129"/>
      <c r="AN19" s="125"/>
      <c r="AO19" s="123">
        <f>SUM('11CL-AC-A-AFH'!Q11)</f>
        <v>11</v>
      </c>
      <c r="AP19" s="74" t="s">
        <v>3</v>
      </c>
      <c r="AQ19" s="91">
        <f t="shared" si="0"/>
        <v>12.902777777777777</v>
      </c>
      <c r="AR19" s="160">
        <v>17</v>
      </c>
      <c r="AS19" s="160" t="s">
        <v>1</v>
      </c>
      <c r="AT19" s="69"/>
      <c r="AU19" s="69"/>
      <c r="AV19" s="70"/>
      <c r="AW19" s="70"/>
      <c r="AX19" s="69"/>
      <c r="AY19" s="69"/>
      <c r="AZ19" s="69"/>
      <c r="BA19" s="69"/>
    </row>
    <row r="20" spans="2:54" ht="16.5" customHeight="1" thickBot="1" x14ac:dyDescent="0.35">
      <c r="B20" s="72">
        <v>4</v>
      </c>
      <c r="C20" s="166">
        <v>2921</v>
      </c>
      <c r="D20" s="172" t="s">
        <v>98</v>
      </c>
      <c r="E20" s="60"/>
      <c r="F20" s="80"/>
      <c r="G20" s="61"/>
      <c r="H20" s="123">
        <f>SUM('11CL-AC-A-L PORT'!Q12)</f>
        <v>15.166666666666666</v>
      </c>
      <c r="I20" s="124"/>
      <c r="J20" s="125"/>
      <c r="K20" s="126">
        <f>SUM('11CL-AC-A-MAT'!Q12)</f>
        <v>19.666666666666668</v>
      </c>
      <c r="L20" s="127"/>
      <c r="M20" s="125"/>
      <c r="N20" s="123">
        <f>SUM('11CL-AC-A-BIOL'!Q12)</f>
        <v>15.333333333333334</v>
      </c>
      <c r="O20" s="128"/>
      <c r="P20" s="125"/>
      <c r="Q20" s="126">
        <f>SUM('11CL-AC-A-INGLES'!Q12)</f>
        <v>17.666666666666668</v>
      </c>
      <c r="R20" s="127"/>
      <c r="S20" s="125"/>
      <c r="T20" s="123">
        <f>SUM('11CL-AC-A-QCA ORG.'!Q12)</f>
        <v>13.666666666666666</v>
      </c>
      <c r="U20" s="127"/>
      <c r="V20" s="125"/>
      <c r="W20" s="123">
        <f>SUM('11CL-AC-A-MICROBIOL'!Q12)</f>
        <v>14.166666666666666</v>
      </c>
      <c r="X20" s="129"/>
      <c r="Y20" s="125"/>
      <c r="Z20" s="123">
        <f>SUM('11CL-AC-A-HEMAT I'!Q12)</f>
        <v>16.333333333333332</v>
      </c>
      <c r="AA20" s="128"/>
      <c r="AB20" s="125"/>
      <c r="AC20" s="126">
        <f>SUM('11CL-AC-A-IMUNOL.'!Q12)</f>
        <v>16</v>
      </c>
      <c r="AD20" s="127"/>
      <c r="AE20" s="125"/>
      <c r="AF20" s="123">
        <f>SUM('11CL-AC-A-URINOL.'!Q12)</f>
        <v>12.666666666666666</v>
      </c>
      <c r="AG20" s="129"/>
      <c r="AH20" s="125"/>
      <c r="AI20" s="123">
        <f>SUM('11CL-AC-A-PRASITOL.'!Q12)</f>
        <v>17.166666666666668</v>
      </c>
      <c r="AJ20" s="129"/>
      <c r="AK20" s="125"/>
      <c r="AL20" s="123">
        <f>SUM('11CL-AC-A-ED. FIS'!Q12)</f>
        <v>15</v>
      </c>
      <c r="AM20" s="129"/>
      <c r="AN20" s="125"/>
      <c r="AO20" s="123">
        <f>SUM('11CL-AC-A-AFH'!Q12)</f>
        <v>16.333333333333332</v>
      </c>
      <c r="AP20" s="74" t="s">
        <v>2</v>
      </c>
      <c r="AQ20" s="91">
        <f t="shared" si="0"/>
        <v>15.763888888888888</v>
      </c>
      <c r="AR20" s="160">
        <v>17</v>
      </c>
      <c r="AS20" s="160" t="s">
        <v>0</v>
      </c>
      <c r="AT20" s="69"/>
      <c r="AU20" s="69"/>
      <c r="AV20" s="70"/>
      <c r="AW20" s="70"/>
      <c r="AX20" s="69"/>
      <c r="AY20" s="69"/>
      <c r="AZ20" s="69"/>
      <c r="BA20" s="69"/>
    </row>
    <row r="21" spans="2:54" ht="16.5" customHeight="1" thickBot="1" x14ac:dyDescent="0.35">
      <c r="B21" s="72">
        <v>5</v>
      </c>
      <c r="C21" s="166">
        <v>3551</v>
      </c>
      <c r="D21" s="172" t="s">
        <v>99</v>
      </c>
      <c r="E21" s="60"/>
      <c r="F21" s="80"/>
      <c r="G21" s="61"/>
      <c r="H21" s="123">
        <f>SUM('11CL-AC-A-L PORT'!Q13)</f>
        <v>12</v>
      </c>
      <c r="I21" s="124"/>
      <c r="J21" s="125"/>
      <c r="K21" s="126">
        <f>SUM('11CL-AC-A-MAT'!Q13)</f>
        <v>8.6666666666666661</v>
      </c>
      <c r="L21" s="127"/>
      <c r="M21" s="125"/>
      <c r="N21" s="123">
        <f>SUM('11CL-AC-A-BIOL'!Q13)</f>
        <v>10.333333333333334</v>
      </c>
      <c r="O21" s="128"/>
      <c r="P21" s="125"/>
      <c r="Q21" s="126">
        <f>SUM('11CL-AC-A-INGLES'!Q13)</f>
        <v>16.333333333333332</v>
      </c>
      <c r="R21" s="127"/>
      <c r="S21" s="125"/>
      <c r="T21" s="123">
        <f>SUM('11CL-AC-A-QCA ORG.'!Q13)</f>
        <v>10.666666666666666</v>
      </c>
      <c r="U21" s="127"/>
      <c r="V21" s="125"/>
      <c r="W21" s="123">
        <f>SUM('11CL-AC-A-MICROBIOL'!Q13)</f>
        <v>12.666666666666666</v>
      </c>
      <c r="X21" s="129"/>
      <c r="Y21" s="125"/>
      <c r="Z21" s="123">
        <f>SUM('11CL-AC-A-HEMAT I'!Q13)</f>
        <v>12.833333333333334</v>
      </c>
      <c r="AA21" s="128"/>
      <c r="AB21" s="125"/>
      <c r="AC21" s="126">
        <f>SUM('11CL-AC-A-IMUNOL.'!Q13)</f>
        <v>13.333333333333334</v>
      </c>
      <c r="AD21" s="127"/>
      <c r="AE21" s="125"/>
      <c r="AF21" s="123">
        <f>SUM('11CL-AC-A-URINOL.'!Q13)</f>
        <v>10</v>
      </c>
      <c r="AG21" s="129"/>
      <c r="AH21" s="125"/>
      <c r="AI21" s="123">
        <f>SUM('11CL-AC-A-PRASITOL.'!Q13)</f>
        <v>16.833333333333332</v>
      </c>
      <c r="AJ21" s="129"/>
      <c r="AK21" s="125"/>
      <c r="AL21" s="123">
        <f>SUM('11CL-AC-A-ED. FIS'!Q13)</f>
        <v>10</v>
      </c>
      <c r="AM21" s="129"/>
      <c r="AN21" s="125"/>
      <c r="AO21" s="123">
        <f>SUM('11CL-AC-A-AFH'!Q13)</f>
        <v>11</v>
      </c>
      <c r="AP21" s="74" t="s">
        <v>3</v>
      </c>
      <c r="AQ21" s="91">
        <f t="shared" si="0"/>
        <v>12.055555555555552</v>
      </c>
      <c r="AR21" s="160">
        <v>16</v>
      </c>
      <c r="AS21" s="160" t="s">
        <v>1</v>
      </c>
      <c r="AT21" s="69"/>
      <c r="AU21" s="69"/>
      <c r="AV21" s="70"/>
      <c r="AW21" s="70"/>
      <c r="AX21" s="69"/>
      <c r="AY21" s="69"/>
      <c r="AZ21" s="69"/>
      <c r="BA21" s="69"/>
    </row>
    <row r="22" spans="2:54" ht="16.5" customHeight="1" thickBot="1" x14ac:dyDescent="0.35">
      <c r="B22" s="72">
        <v>6</v>
      </c>
      <c r="C22" s="166">
        <v>3070</v>
      </c>
      <c r="D22" s="172" t="s">
        <v>100</v>
      </c>
      <c r="E22" s="60"/>
      <c r="F22" s="80"/>
      <c r="G22" s="61"/>
      <c r="H22" s="123">
        <f>SUM('11CL-AC-A-L PORT'!Q14)</f>
        <v>10.333333333333334</v>
      </c>
      <c r="I22" s="124"/>
      <c r="J22" s="125"/>
      <c r="K22" s="126">
        <f>SUM('11CL-AC-A-MAT'!Q14)</f>
        <v>13.666666666666666</v>
      </c>
      <c r="L22" s="127"/>
      <c r="M22" s="125"/>
      <c r="N22" s="123">
        <f>SUM('11CL-AC-A-BIOL'!Q14)</f>
        <v>11</v>
      </c>
      <c r="O22" s="128"/>
      <c r="P22" s="125"/>
      <c r="Q22" s="126">
        <f>SUM('11CL-AC-A-INGLES'!Q14)</f>
        <v>16.666666666666668</v>
      </c>
      <c r="R22" s="127"/>
      <c r="S22" s="125"/>
      <c r="T22" s="123">
        <f>SUM('11CL-AC-A-QCA ORG.'!Q14)</f>
        <v>9.3333333333333339</v>
      </c>
      <c r="U22" s="127"/>
      <c r="V22" s="125"/>
      <c r="W22" s="123">
        <f>SUM('11CL-AC-A-MICROBIOL'!Q14)</f>
        <v>13.666666666666666</v>
      </c>
      <c r="X22" s="129"/>
      <c r="Y22" s="125"/>
      <c r="Z22" s="123">
        <f>SUM('11CL-AC-A-HEMAT I'!Q14)</f>
        <v>11.833333333333334</v>
      </c>
      <c r="AA22" s="128"/>
      <c r="AB22" s="125"/>
      <c r="AC22" s="126">
        <f>SUM('11CL-AC-A-IMUNOL.'!Q14)</f>
        <v>16.333333333333332</v>
      </c>
      <c r="AD22" s="127"/>
      <c r="AE22" s="125"/>
      <c r="AF22" s="123">
        <f>SUM('11CL-AC-A-URINOL.'!Q14)</f>
        <v>12.166666666666666</v>
      </c>
      <c r="AG22" s="129"/>
      <c r="AH22" s="125"/>
      <c r="AI22" s="123">
        <f>SUM('11CL-AC-A-PRASITOL.'!Q14)</f>
        <v>15.833333333333334</v>
      </c>
      <c r="AJ22" s="129"/>
      <c r="AK22" s="125"/>
      <c r="AL22" s="123">
        <f>SUM('11CL-AC-A-ED. FIS'!Q14)</f>
        <v>15</v>
      </c>
      <c r="AM22" s="129"/>
      <c r="AN22" s="125"/>
      <c r="AO22" s="123">
        <f>SUM('11CL-AC-A-AFH'!Q14)</f>
        <v>10.333333333333334</v>
      </c>
      <c r="AP22" s="74" t="s">
        <v>3</v>
      </c>
      <c r="AQ22" s="91">
        <f t="shared" si="0"/>
        <v>13.013888888888891</v>
      </c>
      <c r="AR22" s="160">
        <v>17</v>
      </c>
      <c r="AS22" s="160" t="s">
        <v>1</v>
      </c>
      <c r="AT22" s="69"/>
      <c r="AU22" s="69"/>
      <c r="AV22" s="70"/>
      <c r="AW22" s="70"/>
      <c r="AX22" s="69"/>
      <c r="AY22" s="69"/>
      <c r="AZ22" s="69"/>
      <c r="BA22" s="69"/>
    </row>
    <row r="23" spans="2:54" ht="16.5" customHeight="1" thickBot="1" x14ac:dyDescent="0.35">
      <c r="B23" s="72">
        <v>7</v>
      </c>
      <c r="C23" s="166">
        <v>2939</v>
      </c>
      <c r="D23" s="172" t="s">
        <v>101</v>
      </c>
      <c r="E23" s="60"/>
      <c r="F23" s="80"/>
      <c r="G23" s="61"/>
      <c r="H23" s="123">
        <f>SUM('11CL-AC-A-L PORT'!Q15)</f>
        <v>10.5</v>
      </c>
      <c r="I23" s="124"/>
      <c r="J23" s="125"/>
      <c r="K23" s="126">
        <f>SUM('11CL-AC-A-MAT'!Q15)</f>
        <v>13.666666666666666</v>
      </c>
      <c r="L23" s="127"/>
      <c r="M23" s="125"/>
      <c r="N23" s="123">
        <f>SUM('11CL-AC-A-BIOL'!Q15)</f>
        <v>14.666666666666666</v>
      </c>
      <c r="O23" s="128"/>
      <c r="P23" s="125"/>
      <c r="Q23" s="126">
        <f>SUM('11CL-AC-A-INGLES'!Q15)</f>
        <v>18.666666666666668</v>
      </c>
      <c r="R23" s="127"/>
      <c r="S23" s="125"/>
      <c r="T23" s="123">
        <f>SUM('11CL-AC-A-QCA ORG.'!Q15)</f>
        <v>16.666666666666668</v>
      </c>
      <c r="U23" s="127"/>
      <c r="V23" s="125"/>
      <c r="W23" s="123">
        <f>SUM('11CL-AC-A-MICROBIOL'!Q15)</f>
        <v>14.166666666666666</v>
      </c>
      <c r="X23" s="129"/>
      <c r="Y23" s="125"/>
      <c r="Z23" s="123">
        <f>SUM('11CL-AC-A-HEMAT I'!Q15)</f>
        <v>13.333333333333334</v>
      </c>
      <c r="AA23" s="128"/>
      <c r="AB23" s="125"/>
      <c r="AC23" s="126">
        <f>SUM('11CL-AC-A-IMUNOL.'!Q15)</f>
        <v>12.666666666666666</v>
      </c>
      <c r="AD23" s="127"/>
      <c r="AE23" s="125"/>
      <c r="AF23" s="123">
        <f>SUM('11CL-AC-A-URINOL.'!Q15)</f>
        <v>12.166666666666666</v>
      </c>
      <c r="AG23" s="129"/>
      <c r="AH23" s="125"/>
      <c r="AI23" s="123">
        <f>SUM('11CL-AC-A-PRASITOL.'!Q15)</f>
        <v>17</v>
      </c>
      <c r="AJ23" s="129"/>
      <c r="AK23" s="125"/>
      <c r="AL23" s="123">
        <f>SUM('11CL-AC-A-ED. FIS'!Q15)</f>
        <v>16.333333333333332</v>
      </c>
      <c r="AM23" s="129"/>
      <c r="AN23" s="125"/>
      <c r="AO23" s="123">
        <f>SUM('11CL-AC-A-AFH'!Q15)</f>
        <v>12</v>
      </c>
      <c r="AP23" s="74" t="s">
        <v>2</v>
      </c>
      <c r="AQ23" s="91">
        <f t="shared" si="0"/>
        <v>14.319444444444445</v>
      </c>
      <c r="AR23" s="160">
        <v>14</v>
      </c>
      <c r="AS23" s="160" t="s">
        <v>1</v>
      </c>
      <c r="AT23" s="69"/>
      <c r="AU23" s="219" t="s">
        <v>65</v>
      </c>
      <c r="AV23" s="221">
        <f>MAX(AQ17:AQ60)</f>
        <v>16.958333333333332</v>
      </c>
      <c r="AW23" s="87"/>
      <c r="AX23" s="87"/>
      <c r="AY23" s="87"/>
      <c r="AZ23" s="87"/>
      <c r="BA23" s="87"/>
      <c r="BB23" s="87"/>
    </row>
    <row r="24" spans="2:54" ht="16.5" customHeight="1" thickBot="1" x14ac:dyDescent="0.35">
      <c r="B24" s="72">
        <v>8</v>
      </c>
      <c r="C24" s="166">
        <v>2833</v>
      </c>
      <c r="D24" s="172" t="s">
        <v>102</v>
      </c>
      <c r="E24" s="60"/>
      <c r="F24" s="80"/>
      <c r="G24" s="61"/>
      <c r="H24" s="123">
        <f>SUM('11CL-AC-A-L PORT'!Q16)</f>
        <v>11.833333333333334</v>
      </c>
      <c r="I24" s="124"/>
      <c r="J24" s="125"/>
      <c r="K24" s="126">
        <f>SUM('11CL-AC-A-MAT'!Q16)</f>
        <v>13</v>
      </c>
      <c r="L24" s="127"/>
      <c r="M24" s="125"/>
      <c r="N24" s="123">
        <f>SUM('11CL-AC-A-BIOL'!Q16)</f>
        <v>12</v>
      </c>
      <c r="O24" s="128"/>
      <c r="P24" s="125"/>
      <c r="Q24" s="126">
        <f>SUM('11CL-AC-A-INGLES'!Q16)</f>
        <v>16</v>
      </c>
      <c r="R24" s="127"/>
      <c r="S24" s="125"/>
      <c r="T24" s="123">
        <f>SUM('11CL-AC-A-QCA ORG.'!Q16)</f>
        <v>11.333333333333334</v>
      </c>
      <c r="U24" s="127"/>
      <c r="V24" s="125"/>
      <c r="W24" s="123">
        <f>SUM('11CL-AC-A-MICROBIOL'!Q16)</f>
        <v>11</v>
      </c>
      <c r="X24" s="129"/>
      <c r="Y24" s="125"/>
      <c r="Z24" s="123">
        <f>SUM('11CL-AC-A-HEMAT I'!Q16)</f>
        <v>14.166666666666666</v>
      </c>
      <c r="AA24" s="128"/>
      <c r="AB24" s="125"/>
      <c r="AC24" s="126">
        <f>SUM('11CL-AC-A-IMUNOL.'!Q16)</f>
        <v>15.333333333333334</v>
      </c>
      <c r="AD24" s="127"/>
      <c r="AE24" s="125"/>
      <c r="AF24" s="123">
        <f>SUM('11CL-AC-A-URINOL.'!Q16)</f>
        <v>11.166666666666666</v>
      </c>
      <c r="AG24" s="129"/>
      <c r="AH24" s="125"/>
      <c r="AI24" s="123">
        <f>SUM('11CL-AC-A-PRASITOL.'!Q16)</f>
        <v>16.333333333333332</v>
      </c>
      <c r="AJ24" s="129"/>
      <c r="AK24" s="125"/>
      <c r="AL24" s="123">
        <f>SUM('11CL-AC-A-ED. FIS'!Q16)</f>
        <v>14</v>
      </c>
      <c r="AM24" s="129"/>
      <c r="AN24" s="125"/>
      <c r="AO24" s="123">
        <f>SUM('11CL-AC-A-AFH'!Q16)</f>
        <v>10</v>
      </c>
      <c r="AP24" s="74" t="s">
        <v>2</v>
      </c>
      <c r="AQ24" s="91">
        <f t="shared" si="0"/>
        <v>13.013888888888891</v>
      </c>
      <c r="AR24" s="160">
        <v>16</v>
      </c>
      <c r="AS24" s="160" t="s">
        <v>1</v>
      </c>
      <c r="AT24" s="69"/>
      <c r="AU24" s="220"/>
      <c r="AV24" s="222"/>
      <c r="AW24" s="87"/>
      <c r="AX24" s="87"/>
      <c r="AY24" s="87"/>
      <c r="AZ24" s="87"/>
      <c r="BA24" s="87"/>
      <c r="BB24" s="87"/>
    </row>
    <row r="25" spans="2:54" ht="16.5" customHeight="1" thickBot="1" x14ac:dyDescent="0.35">
      <c r="B25" s="72">
        <v>9</v>
      </c>
      <c r="C25" s="166">
        <v>3750</v>
      </c>
      <c r="D25" s="172" t="s">
        <v>103</v>
      </c>
      <c r="E25" s="60"/>
      <c r="F25" s="80"/>
      <c r="G25" s="61"/>
      <c r="H25" s="123">
        <f>SUM('11CL-AC-A-L PORT'!Q17)</f>
        <v>9</v>
      </c>
      <c r="I25" s="124"/>
      <c r="J25" s="125"/>
      <c r="K25" s="126">
        <f>SUM('11CL-AC-A-MAT'!Q17)</f>
        <v>10.666666666666666</v>
      </c>
      <c r="L25" s="127"/>
      <c r="M25" s="125"/>
      <c r="N25" s="123">
        <f>SUM('11CL-AC-A-BIOL'!Q17)</f>
        <v>9.3333333333333339</v>
      </c>
      <c r="O25" s="128"/>
      <c r="P25" s="125"/>
      <c r="Q25" s="126">
        <f>SUM('11CL-AC-A-INGLES'!Q17)</f>
        <v>13</v>
      </c>
      <c r="R25" s="127"/>
      <c r="S25" s="125"/>
      <c r="T25" s="123">
        <f>SUM('11CL-AC-A-QCA ORG.'!Q17)</f>
        <v>6.666666666666667</v>
      </c>
      <c r="U25" s="127"/>
      <c r="V25" s="125"/>
      <c r="W25" s="123">
        <f>SUM('11CL-AC-A-MICROBIOL'!Q17)</f>
        <v>10.166666666666666</v>
      </c>
      <c r="X25" s="129"/>
      <c r="Y25" s="125"/>
      <c r="Z25" s="123">
        <f>SUM('11CL-AC-A-HEMAT I'!Q17)</f>
        <v>9.8333333333333339</v>
      </c>
      <c r="AA25" s="128"/>
      <c r="AB25" s="125"/>
      <c r="AC25" s="126">
        <f>SUM('11CL-AC-A-IMUNOL.'!Q17)</f>
        <v>10.833333333333334</v>
      </c>
      <c r="AD25" s="127"/>
      <c r="AE25" s="125"/>
      <c r="AF25" s="123">
        <f>SUM('11CL-AC-A-URINOL.'!Q17)</f>
        <v>10.666666666666666</v>
      </c>
      <c r="AG25" s="129"/>
      <c r="AH25" s="125"/>
      <c r="AI25" s="123">
        <f>SUM('11CL-AC-A-PRASITOL.'!Q17)</f>
        <v>16.333333333333332</v>
      </c>
      <c r="AJ25" s="129"/>
      <c r="AK25" s="125"/>
      <c r="AL25" s="123">
        <f>SUM('11CL-AC-A-ED. FIS'!Q17)</f>
        <v>14</v>
      </c>
      <c r="AM25" s="129"/>
      <c r="AN25" s="125"/>
      <c r="AO25" s="123">
        <f>SUM('11CL-AC-A-AFH'!Q17)</f>
        <v>9.3333333333333339</v>
      </c>
      <c r="AP25" s="74" t="s">
        <v>3</v>
      </c>
      <c r="AQ25" s="91">
        <f t="shared" si="0"/>
        <v>10.819444444444443</v>
      </c>
      <c r="AR25" s="160">
        <v>17</v>
      </c>
      <c r="AS25" s="160" t="s">
        <v>1</v>
      </c>
      <c r="AT25" s="69"/>
      <c r="AU25" s="223" t="s">
        <v>66</v>
      </c>
      <c r="AV25" s="223"/>
      <c r="AW25" s="223"/>
      <c r="AX25" s="224" t="s">
        <v>89</v>
      </c>
      <c r="AY25" s="224"/>
      <c r="AZ25" s="224"/>
      <c r="BA25" s="224"/>
      <c r="BB25" s="224"/>
    </row>
    <row r="26" spans="2:54" ht="16.5" customHeight="1" thickBot="1" x14ac:dyDescent="0.35">
      <c r="B26" s="72">
        <v>10</v>
      </c>
      <c r="C26" s="166">
        <v>3013</v>
      </c>
      <c r="D26" s="172" t="s">
        <v>104</v>
      </c>
      <c r="E26" s="60"/>
      <c r="F26" s="80"/>
      <c r="G26" s="61"/>
      <c r="H26" s="123">
        <f>SUM('11CL-AC-A-L PORT'!Q18)</f>
        <v>11.333333333333334</v>
      </c>
      <c r="I26" s="124"/>
      <c r="J26" s="125"/>
      <c r="K26" s="126">
        <f>SUM('11CL-AC-A-MAT'!Q18)</f>
        <v>14.666666666666666</v>
      </c>
      <c r="L26" s="127"/>
      <c r="M26" s="125"/>
      <c r="N26" s="123">
        <f>SUM('11CL-AC-A-BIOL'!Q18)</f>
        <v>13</v>
      </c>
      <c r="O26" s="128"/>
      <c r="P26" s="125"/>
      <c r="Q26" s="126">
        <f>SUM('11CL-AC-A-INGLES'!Q18)</f>
        <v>13.333333333333334</v>
      </c>
      <c r="R26" s="127"/>
      <c r="S26" s="125"/>
      <c r="T26" s="123">
        <f>SUM('11CL-AC-A-QCA ORG.'!Q18)</f>
        <v>10</v>
      </c>
      <c r="U26" s="127"/>
      <c r="V26" s="125"/>
      <c r="W26" s="123">
        <f>SUM('11CL-AC-A-MICROBIOL'!Q18)</f>
        <v>12.333333333333334</v>
      </c>
      <c r="X26" s="129"/>
      <c r="Y26" s="125"/>
      <c r="Z26" s="123">
        <f>SUM('11CL-AC-A-HEMAT I'!Q18)</f>
        <v>10.833333333333334</v>
      </c>
      <c r="AA26" s="128"/>
      <c r="AB26" s="125"/>
      <c r="AC26" s="126">
        <f>SUM('11CL-AC-A-IMUNOL.'!Q18)</f>
        <v>11.333333333333334</v>
      </c>
      <c r="AD26" s="127"/>
      <c r="AE26" s="125"/>
      <c r="AF26" s="123">
        <f>SUM('11CL-AC-A-URINOL.'!Q18)</f>
        <v>11.666666666666666</v>
      </c>
      <c r="AG26" s="129"/>
      <c r="AH26" s="125"/>
      <c r="AI26" s="123">
        <f>SUM('11CL-AC-A-PRASITOL.'!Q18)</f>
        <v>16.5</v>
      </c>
      <c r="AJ26" s="129"/>
      <c r="AK26" s="125"/>
      <c r="AL26" s="123">
        <f>SUM('11CL-AC-A-ED. FIS'!Q18)</f>
        <v>7</v>
      </c>
      <c r="AM26" s="129"/>
      <c r="AN26" s="125"/>
      <c r="AO26" s="123">
        <f>SUM('11CL-AC-A-AFH'!Q18)</f>
        <v>10</v>
      </c>
      <c r="AP26" s="74" t="s">
        <v>3</v>
      </c>
      <c r="AQ26" s="91">
        <f t="shared" si="0"/>
        <v>11.833333333333334</v>
      </c>
      <c r="AR26" s="160">
        <v>16</v>
      </c>
      <c r="AS26" s="160" t="s">
        <v>0</v>
      </c>
      <c r="AT26" s="69"/>
      <c r="AU26" s="88" t="s">
        <v>67</v>
      </c>
      <c r="AV26" s="213">
        <v>16</v>
      </c>
      <c r="AW26" s="87"/>
      <c r="AX26" s="87"/>
      <c r="AY26" s="87"/>
      <c r="AZ26" s="87"/>
      <c r="BA26" s="87"/>
      <c r="BB26" s="87"/>
    </row>
    <row r="27" spans="2:54" ht="16.5" customHeight="1" thickBot="1" x14ac:dyDescent="0.35">
      <c r="B27" s="72">
        <v>11</v>
      </c>
      <c r="C27" s="166">
        <v>3036</v>
      </c>
      <c r="D27" s="172" t="s">
        <v>105</v>
      </c>
      <c r="E27" s="60"/>
      <c r="F27" s="80"/>
      <c r="G27" s="61"/>
      <c r="H27" s="123">
        <f>SUM('11CL-AC-A-L PORT'!Q19)</f>
        <v>12.5</v>
      </c>
      <c r="I27" s="124"/>
      <c r="J27" s="125"/>
      <c r="K27" s="126">
        <f>SUM('11CL-AC-A-MAT'!Q19)</f>
        <v>17.333333333333332</v>
      </c>
      <c r="L27" s="127"/>
      <c r="M27" s="125"/>
      <c r="N27" s="123">
        <f>SUM('11CL-AC-A-BIOL'!Q19)</f>
        <v>16</v>
      </c>
      <c r="O27" s="128"/>
      <c r="P27" s="125"/>
      <c r="Q27" s="126">
        <f>SUM('11CL-AC-A-INGLES'!Q19)</f>
        <v>18.333333333333332</v>
      </c>
      <c r="R27" s="127"/>
      <c r="S27" s="125"/>
      <c r="T27" s="123">
        <f>SUM('11CL-AC-A-QCA ORG.'!Q19)</f>
        <v>13.333333333333334</v>
      </c>
      <c r="U27" s="127"/>
      <c r="V27" s="125"/>
      <c r="W27" s="123">
        <f>SUM('11CL-AC-A-MICROBIOL'!Q19)</f>
        <v>12.666666666666666</v>
      </c>
      <c r="X27" s="129"/>
      <c r="Y27" s="125"/>
      <c r="Z27" s="123">
        <f>SUM('11CL-AC-A-HEMAT I'!Q19)</f>
        <v>14.333333333333334</v>
      </c>
      <c r="AA27" s="128"/>
      <c r="AB27" s="125"/>
      <c r="AC27" s="126">
        <f>SUM('11CL-AC-A-IMUNOL.'!Q19)</f>
        <v>18.333333333333332</v>
      </c>
      <c r="AD27" s="127"/>
      <c r="AE27" s="125"/>
      <c r="AF27" s="123">
        <f>SUM('11CL-AC-A-URINOL.'!Q19)</f>
        <v>10.333333333333334</v>
      </c>
      <c r="AG27" s="129"/>
      <c r="AH27" s="125"/>
      <c r="AI27" s="123">
        <f>SUM('11CL-AC-A-PRASITOL.'!Q19)</f>
        <v>15.833333333333334</v>
      </c>
      <c r="AJ27" s="129"/>
      <c r="AK27" s="125"/>
      <c r="AL27" s="123">
        <f>SUM('11CL-AC-A-ED. FIS'!Q19)</f>
        <v>16</v>
      </c>
      <c r="AM27" s="129"/>
      <c r="AN27" s="125"/>
      <c r="AO27" s="123">
        <f>SUM('11CL-AC-A-AFH'!Q19)</f>
        <v>12</v>
      </c>
      <c r="AP27" s="74" t="s">
        <v>2</v>
      </c>
      <c r="AQ27" s="91">
        <f t="shared" si="0"/>
        <v>14.75</v>
      </c>
      <c r="AR27" s="160">
        <v>17</v>
      </c>
      <c r="AS27" s="160" t="s">
        <v>1</v>
      </c>
      <c r="AT27" s="69"/>
      <c r="AU27" s="69"/>
      <c r="AV27" s="70"/>
      <c r="AW27" s="70"/>
      <c r="AX27" s="69"/>
      <c r="AY27" s="69"/>
      <c r="AZ27" s="69"/>
      <c r="BA27" s="69"/>
    </row>
    <row r="28" spans="2:54" ht="16.5" customHeight="1" thickBot="1" x14ac:dyDescent="0.35">
      <c r="B28" s="72">
        <v>12</v>
      </c>
      <c r="C28" s="166">
        <v>4217</v>
      </c>
      <c r="D28" s="172" t="s">
        <v>106</v>
      </c>
      <c r="E28" s="60"/>
      <c r="F28" s="80"/>
      <c r="G28" s="61"/>
      <c r="H28" s="123">
        <f>SUM('11CL-AC-A-L PORT'!Q20)</f>
        <v>13.166666666666666</v>
      </c>
      <c r="I28" s="124"/>
      <c r="J28" s="125"/>
      <c r="K28" s="126">
        <f>SUM('11CL-AC-A-MAT'!Q20)</f>
        <v>19.333333333333332</v>
      </c>
      <c r="L28" s="127"/>
      <c r="M28" s="125"/>
      <c r="N28" s="123">
        <f>SUM('11CL-AC-A-BIOL'!Q20)</f>
        <v>13</v>
      </c>
      <c r="O28" s="128"/>
      <c r="P28" s="125"/>
      <c r="Q28" s="126">
        <f>SUM('11CL-AC-A-INGLES'!Q20)</f>
        <v>14.666666666666666</v>
      </c>
      <c r="R28" s="127"/>
      <c r="S28" s="125"/>
      <c r="T28" s="123">
        <f>SUM('11CL-AC-A-QCA ORG.'!Q20)</f>
        <v>14.333333333333334</v>
      </c>
      <c r="U28" s="127"/>
      <c r="V28" s="125"/>
      <c r="W28" s="123">
        <f>SUM('11CL-AC-A-MICROBIOL'!Q20)</f>
        <v>14.5</v>
      </c>
      <c r="X28" s="129"/>
      <c r="Y28" s="125"/>
      <c r="Z28" s="123">
        <f>SUM('11CL-AC-A-HEMAT I'!Q20)</f>
        <v>13.5</v>
      </c>
      <c r="AA28" s="128"/>
      <c r="AB28" s="125"/>
      <c r="AC28" s="126">
        <f>SUM('11CL-AC-A-IMUNOL.'!Q20)</f>
        <v>16.833333333333332</v>
      </c>
      <c r="AD28" s="127"/>
      <c r="AE28" s="125"/>
      <c r="AF28" s="123">
        <f>SUM('11CL-AC-A-URINOL.'!Q20)</f>
        <v>12</v>
      </c>
      <c r="AG28" s="129"/>
      <c r="AH28" s="125"/>
      <c r="AI28" s="123">
        <f>SUM('11CL-AC-A-PRASITOL.'!Q20)</f>
        <v>16.5</v>
      </c>
      <c r="AJ28" s="129"/>
      <c r="AK28" s="125"/>
      <c r="AL28" s="123">
        <f>SUM('11CL-AC-A-ED. FIS'!Q20)</f>
        <v>14</v>
      </c>
      <c r="AM28" s="129"/>
      <c r="AN28" s="125"/>
      <c r="AO28" s="123">
        <f>SUM('11CL-AC-A-AFH'!Q20)</f>
        <v>15.666666666666666</v>
      </c>
      <c r="AP28" s="74" t="s">
        <v>2</v>
      </c>
      <c r="AQ28" s="91">
        <f t="shared" si="0"/>
        <v>14.791666666666664</v>
      </c>
      <c r="AR28" s="160">
        <v>17</v>
      </c>
      <c r="AS28" s="160" t="s">
        <v>1</v>
      </c>
      <c r="AT28" s="69"/>
      <c r="AU28" s="69"/>
      <c r="AV28" s="70"/>
      <c r="AW28" s="70"/>
      <c r="AX28" s="69"/>
      <c r="AY28" s="69"/>
      <c r="AZ28" s="69"/>
      <c r="BA28" s="69"/>
    </row>
    <row r="29" spans="2:54" ht="16.5" customHeight="1" thickBot="1" x14ac:dyDescent="0.35">
      <c r="B29" s="72">
        <v>13</v>
      </c>
      <c r="C29" s="166">
        <v>3063</v>
      </c>
      <c r="D29" s="172" t="s">
        <v>107</v>
      </c>
      <c r="E29" s="60"/>
      <c r="F29" s="80"/>
      <c r="G29" s="61"/>
      <c r="H29" s="123">
        <f>SUM('11CL-AC-A-L PORT'!Q21)</f>
        <v>14.5</v>
      </c>
      <c r="I29" s="124"/>
      <c r="J29" s="125"/>
      <c r="K29" s="126">
        <f>SUM('11CL-AC-A-MAT'!Q21)</f>
        <v>19.333333333333332</v>
      </c>
      <c r="L29" s="127"/>
      <c r="M29" s="125"/>
      <c r="N29" s="123">
        <f>SUM('11CL-AC-A-BIOL'!Q21)</f>
        <v>0</v>
      </c>
      <c r="O29" s="128"/>
      <c r="P29" s="125"/>
      <c r="Q29" s="126">
        <f>SUM('11CL-AC-A-INGLES'!Q21)</f>
        <v>18</v>
      </c>
      <c r="R29" s="127"/>
      <c r="S29" s="125"/>
      <c r="T29" s="123">
        <f>SUM('11CL-AC-A-QCA ORG.'!Q21)</f>
        <v>17</v>
      </c>
      <c r="U29" s="127"/>
      <c r="V29" s="125"/>
      <c r="W29" s="123">
        <f>SUM('11CL-AC-A-MICROBIOL'!Q21)</f>
        <v>13.666666666666666</v>
      </c>
      <c r="X29" s="129"/>
      <c r="Y29" s="125"/>
      <c r="Z29" s="123">
        <f>SUM('11CL-AC-A-HEMAT I'!Q21)</f>
        <v>11</v>
      </c>
      <c r="AA29" s="128"/>
      <c r="AB29" s="125"/>
      <c r="AC29" s="126">
        <f>SUM('11CL-AC-A-IMUNOL.'!Q21)</f>
        <v>18.333333333333332</v>
      </c>
      <c r="AD29" s="127"/>
      <c r="AE29" s="125"/>
      <c r="AF29" s="123">
        <f>SUM('11CL-AC-A-URINOL.'!Q21)</f>
        <v>12.166666666666666</v>
      </c>
      <c r="AG29" s="129"/>
      <c r="AH29" s="125"/>
      <c r="AI29" s="123">
        <f>SUM('11CL-AC-A-PRASITOL.'!Q21)</f>
        <v>17.166666666666668</v>
      </c>
      <c r="AJ29" s="129"/>
      <c r="AK29" s="125"/>
      <c r="AL29" s="123">
        <f>SUM('11CL-AC-A-ED. FIS'!Q21)</f>
        <v>16</v>
      </c>
      <c r="AM29" s="129"/>
      <c r="AN29" s="125"/>
      <c r="AO29" s="123">
        <f>SUM('11CL-AC-A-AFH'!Q21)</f>
        <v>12.666666666666666</v>
      </c>
      <c r="AP29" s="74" t="s">
        <v>3</v>
      </c>
      <c r="AQ29" s="91">
        <f t="shared" si="0"/>
        <v>14.152777777777777</v>
      </c>
      <c r="AR29" s="160">
        <v>17</v>
      </c>
      <c r="AS29" s="160" t="s">
        <v>0</v>
      </c>
      <c r="AT29" s="69"/>
      <c r="AU29" s="69"/>
      <c r="AV29" s="70"/>
      <c r="AW29" s="70"/>
      <c r="AX29" s="69"/>
      <c r="AY29" s="69"/>
      <c r="AZ29" s="69"/>
      <c r="BA29" s="69"/>
    </row>
    <row r="30" spans="2:54" ht="16.5" customHeight="1" thickBot="1" x14ac:dyDescent="0.35">
      <c r="B30" s="72">
        <v>14</v>
      </c>
      <c r="C30" s="166">
        <v>3606</v>
      </c>
      <c r="D30" s="172" t="s">
        <v>108</v>
      </c>
      <c r="E30" s="60"/>
      <c r="F30" s="80"/>
      <c r="G30" s="61"/>
      <c r="H30" s="123">
        <f>SUM('11CL-AC-A-L PORT'!Q22)</f>
        <v>8.8333333333333339</v>
      </c>
      <c r="I30" s="124"/>
      <c r="J30" s="125"/>
      <c r="K30" s="126">
        <f>SUM('11CL-AC-A-MAT'!Q22)</f>
        <v>12</v>
      </c>
      <c r="L30" s="127"/>
      <c r="M30" s="125"/>
      <c r="N30" s="123">
        <f>SUM('11CL-AC-A-BIOL'!Q22)</f>
        <v>10</v>
      </c>
      <c r="O30" s="128"/>
      <c r="P30" s="125"/>
      <c r="Q30" s="126">
        <f>SUM('11CL-AC-A-INGLES'!Q22)</f>
        <v>16.666666666666668</v>
      </c>
      <c r="R30" s="127"/>
      <c r="S30" s="125"/>
      <c r="T30" s="123">
        <f>SUM('11CL-AC-A-QCA ORG.'!Q22)</f>
        <v>8</v>
      </c>
      <c r="U30" s="127"/>
      <c r="V30" s="125"/>
      <c r="W30" s="123">
        <f>SUM('11CL-AC-A-MICROBIOL'!Q22)</f>
        <v>12.833333333333334</v>
      </c>
      <c r="X30" s="129"/>
      <c r="Y30" s="125"/>
      <c r="Z30" s="123">
        <f>SUM('11CL-AC-A-HEMAT I'!Q22)</f>
        <v>11.166666666666666</v>
      </c>
      <c r="AA30" s="128"/>
      <c r="AB30" s="125"/>
      <c r="AC30" s="126">
        <f>SUM('11CL-AC-A-IMUNOL.'!Q22)</f>
        <v>8.3333333333333339</v>
      </c>
      <c r="AD30" s="127"/>
      <c r="AE30" s="125"/>
      <c r="AF30" s="123">
        <f>SUM('11CL-AC-A-URINOL.'!Q22)</f>
        <v>10</v>
      </c>
      <c r="AG30" s="129"/>
      <c r="AH30" s="125"/>
      <c r="AI30" s="123">
        <f>SUM('11CL-AC-A-PRASITOL.'!Q22)</f>
        <v>13</v>
      </c>
      <c r="AJ30" s="129"/>
      <c r="AK30" s="125"/>
      <c r="AL30" s="123">
        <f>SUM('11CL-AC-A-ED. FIS'!Q22)</f>
        <v>15</v>
      </c>
      <c r="AM30" s="129"/>
      <c r="AN30" s="125"/>
      <c r="AO30" s="123">
        <f>SUM('11CL-AC-A-AFH'!Q22)</f>
        <v>10</v>
      </c>
      <c r="AP30" s="74" t="s">
        <v>3</v>
      </c>
      <c r="AQ30" s="91">
        <f t="shared" si="0"/>
        <v>11.319444444444443</v>
      </c>
      <c r="AR30" s="160">
        <v>17</v>
      </c>
      <c r="AS30" s="160" t="s">
        <v>1</v>
      </c>
      <c r="AT30" s="69"/>
      <c r="AU30" s="69"/>
      <c r="AV30" s="70"/>
      <c r="AW30" s="70"/>
      <c r="AX30" s="69"/>
      <c r="AY30" s="69"/>
      <c r="AZ30" s="69"/>
      <c r="BA30" s="69"/>
    </row>
    <row r="31" spans="2:54" ht="16.5" customHeight="1" thickBot="1" x14ac:dyDescent="0.35">
      <c r="B31" s="72">
        <v>15</v>
      </c>
      <c r="C31" s="166">
        <v>2798</v>
      </c>
      <c r="D31" s="172" t="s">
        <v>109</v>
      </c>
      <c r="E31" s="60"/>
      <c r="F31" s="80"/>
      <c r="G31" s="61"/>
      <c r="H31" s="123">
        <f>SUM('11CL-AC-A-L PORT'!Q23)</f>
        <v>8.6666666666666661</v>
      </c>
      <c r="I31" s="124"/>
      <c r="J31" s="125"/>
      <c r="K31" s="126">
        <f>SUM('11CL-AC-A-MAT'!Q23)</f>
        <v>14</v>
      </c>
      <c r="L31" s="127"/>
      <c r="M31" s="125"/>
      <c r="N31" s="123">
        <f>SUM('11CL-AC-A-BIOL'!Q23)</f>
        <v>11</v>
      </c>
      <c r="O31" s="128"/>
      <c r="P31" s="125"/>
      <c r="Q31" s="126">
        <f>SUM('11CL-AC-A-INGLES'!Q23)</f>
        <v>15.666666666666666</v>
      </c>
      <c r="R31" s="127"/>
      <c r="S31" s="125"/>
      <c r="T31" s="123">
        <f>SUM('11CL-AC-A-QCA ORG.'!Q23)</f>
        <v>6.666666666666667</v>
      </c>
      <c r="U31" s="127"/>
      <c r="V31" s="125"/>
      <c r="W31" s="123">
        <f>SUM('11CL-AC-A-MICROBIOL'!Q23)</f>
        <v>11.833333333333334</v>
      </c>
      <c r="X31" s="129"/>
      <c r="Y31" s="125"/>
      <c r="Z31" s="123">
        <f>SUM('11CL-AC-A-HEMAT I'!Q23)</f>
        <v>10.5</v>
      </c>
      <c r="AA31" s="128"/>
      <c r="AB31" s="125"/>
      <c r="AC31" s="126">
        <f>SUM('11CL-AC-A-IMUNOL.'!Q23)</f>
        <v>11</v>
      </c>
      <c r="AD31" s="127"/>
      <c r="AE31" s="125"/>
      <c r="AF31" s="123">
        <f>SUM('11CL-AC-A-URINOL.'!Q23)</f>
        <v>8</v>
      </c>
      <c r="AG31" s="129"/>
      <c r="AH31" s="125"/>
      <c r="AI31" s="123">
        <f>SUM('11CL-AC-A-PRASITOL.'!Q23)</f>
        <v>13.833333333333334</v>
      </c>
      <c r="AJ31" s="129"/>
      <c r="AK31" s="125"/>
      <c r="AL31" s="123">
        <f>SUM('11CL-AC-A-ED. FIS'!Q23)</f>
        <v>15</v>
      </c>
      <c r="AM31" s="129"/>
      <c r="AN31" s="125"/>
      <c r="AO31" s="123">
        <f>SUM('11CL-AC-A-AFH'!Q23)</f>
        <v>9.3333333333333339</v>
      </c>
      <c r="AP31" s="74" t="s">
        <v>3</v>
      </c>
      <c r="AQ31" s="91">
        <f t="shared" si="0"/>
        <v>11.291666666666666</v>
      </c>
      <c r="AR31" s="160">
        <v>17</v>
      </c>
      <c r="AS31" s="160" t="s">
        <v>0</v>
      </c>
      <c r="AT31" s="69"/>
      <c r="AU31" s="69"/>
      <c r="AV31" s="70"/>
      <c r="AW31" s="70"/>
      <c r="AX31" s="69"/>
      <c r="AY31" s="69"/>
      <c r="AZ31" s="69"/>
      <c r="BA31" s="69"/>
    </row>
    <row r="32" spans="2:54" ht="16.5" customHeight="1" thickBot="1" x14ac:dyDescent="0.35">
      <c r="B32" s="72">
        <v>16</v>
      </c>
      <c r="C32" s="166">
        <v>4210</v>
      </c>
      <c r="D32" s="172" t="s">
        <v>110</v>
      </c>
      <c r="E32" s="60"/>
      <c r="F32" s="80"/>
      <c r="G32" s="61"/>
      <c r="H32" s="123">
        <f>SUM('11CL-AC-A-L PORT'!Q24)</f>
        <v>8.1666666666666661</v>
      </c>
      <c r="I32" s="124"/>
      <c r="J32" s="125"/>
      <c r="K32" s="126">
        <f>SUM('11CL-AC-A-MAT'!Q24)</f>
        <v>14.666666666666666</v>
      </c>
      <c r="L32" s="127"/>
      <c r="M32" s="125"/>
      <c r="N32" s="123">
        <f>SUM('11CL-AC-A-BIOL'!Q24)</f>
        <v>12.333333333333334</v>
      </c>
      <c r="O32" s="128"/>
      <c r="P32" s="125"/>
      <c r="Q32" s="126">
        <f>SUM('11CL-AC-A-INGLES'!Q24)</f>
        <v>16.333333333333332</v>
      </c>
      <c r="R32" s="127"/>
      <c r="S32" s="125"/>
      <c r="T32" s="123">
        <f>SUM('11CL-AC-A-QCA ORG.'!Q24)</f>
        <v>8.6666666666666661</v>
      </c>
      <c r="U32" s="127"/>
      <c r="V32" s="125"/>
      <c r="W32" s="123">
        <f>SUM('11CL-AC-A-MICROBIOL'!Q24)</f>
        <v>12.666666666666666</v>
      </c>
      <c r="X32" s="129"/>
      <c r="Y32" s="125"/>
      <c r="Z32" s="123">
        <f>SUM('11CL-AC-A-HEMAT I'!Q24)</f>
        <v>11</v>
      </c>
      <c r="AA32" s="128"/>
      <c r="AB32" s="125"/>
      <c r="AC32" s="126">
        <f>SUM('11CL-AC-A-IMUNOL.'!Q24)</f>
        <v>11.5</v>
      </c>
      <c r="AD32" s="127"/>
      <c r="AE32" s="125"/>
      <c r="AF32" s="123">
        <f>SUM('11CL-AC-A-URINOL.'!Q24)</f>
        <v>12.666666666666666</v>
      </c>
      <c r="AG32" s="129"/>
      <c r="AH32" s="125"/>
      <c r="AI32" s="123">
        <f>SUM('11CL-AC-A-PRASITOL.'!Q24)</f>
        <v>15.166666666666666</v>
      </c>
      <c r="AJ32" s="129"/>
      <c r="AK32" s="125"/>
      <c r="AL32" s="123">
        <f>SUM('11CL-AC-A-ED. FIS'!Q24)</f>
        <v>7.666666666666667</v>
      </c>
      <c r="AM32" s="129"/>
      <c r="AN32" s="125"/>
      <c r="AO32" s="123">
        <f>SUM('11CL-AC-A-AFH'!Q24)</f>
        <v>11</v>
      </c>
      <c r="AP32" s="74" t="s">
        <v>3</v>
      </c>
      <c r="AQ32" s="91">
        <f t="shared" si="0"/>
        <v>11.819444444444445</v>
      </c>
      <c r="AR32" s="160">
        <v>14</v>
      </c>
      <c r="AS32" s="160" t="s">
        <v>1</v>
      </c>
      <c r="AT32" s="69"/>
      <c r="AU32" s="69"/>
      <c r="AV32" s="70"/>
      <c r="AW32" s="70"/>
      <c r="AX32" s="69"/>
      <c r="AY32" s="69"/>
      <c r="AZ32" s="69"/>
      <c r="BA32" s="69"/>
    </row>
    <row r="33" spans="2:53" ht="16.5" customHeight="1" thickBot="1" x14ac:dyDescent="0.35">
      <c r="B33" s="72">
        <v>17</v>
      </c>
      <c r="C33" s="166">
        <v>3422</v>
      </c>
      <c r="D33" s="172" t="s">
        <v>111</v>
      </c>
      <c r="E33" s="60"/>
      <c r="F33" s="80"/>
      <c r="G33" s="61"/>
      <c r="H33" s="123">
        <f>SUM('11CL-AC-A-L PORT'!Q25)</f>
        <v>12.666666666666666</v>
      </c>
      <c r="I33" s="124"/>
      <c r="J33" s="125"/>
      <c r="K33" s="126">
        <f>SUM('11CL-AC-A-MAT'!Q25)</f>
        <v>14</v>
      </c>
      <c r="L33" s="127"/>
      <c r="M33" s="125"/>
      <c r="N33" s="123">
        <f>SUM('11CL-AC-A-BIOL'!Q25)</f>
        <v>13</v>
      </c>
      <c r="O33" s="128"/>
      <c r="P33" s="125"/>
      <c r="Q33" s="126">
        <f>SUM('11CL-AC-A-INGLES'!Q25)</f>
        <v>14.333333333333334</v>
      </c>
      <c r="R33" s="127"/>
      <c r="S33" s="125"/>
      <c r="T33" s="123">
        <f>SUM('11CL-AC-A-QCA ORG.'!Q25)</f>
        <v>16.666666666666668</v>
      </c>
      <c r="U33" s="127"/>
      <c r="V33" s="125"/>
      <c r="W33" s="123">
        <f>SUM('11CL-AC-A-MICROBIOL'!Q25)</f>
        <v>11.833333333333334</v>
      </c>
      <c r="X33" s="129"/>
      <c r="Y33" s="125"/>
      <c r="Z33" s="123">
        <f>SUM('11CL-AC-A-HEMAT I'!Q25)</f>
        <v>13.166666666666666</v>
      </c>
      <c r="AA33" s="128"/>
      <c r="AB33" s="125"/>
      <c r="AC33" s="126">
        <f>SUM('11CL-AC-A-IMUNOL.'!Q25)</f>
        <v>10.666666666666666</v>
      </c>
      <c r="AD33" s="127"/>
      <c r="AE33" s="125"/>
      <c r="AF33" s="123">
        <f>SUM('11CL-AC-A-URINOL.'!Q25)</f>
        <v>14.666666666666666</v>
      </c>
      <c r="AG33" s="129"/>
      <c r="AH33" s="125"/>
      <c r="AI33" s="123">
        <f>SUM('11CL-AC-A-PRASITOL.'!Q25)</f>
        <v>16.166666666666668</v>
      </c>
      <c r="AJ33" s="129"/>
      <c r="AK33" s="125"/>
      <c r="AL33" s="123">
        <f>SUM('11CL-AC-A-ED. FIS'!Q25)</f>
        <v>15</v>
      </c>
      <c r="AM33" s="129"/>
      <c r="AN33" s="125"/>
      <c r="AO33" s="123">
        <f>SUM('11CL-AC-A-AFH'!Q25)</f>
        <v>12.333333333333334</v>
      </c>
      <c r="AP33" s="74" t="s">
        <v>2</v>
      </c>
      <c r="AQ33" s="91">
        <f t="shared" si="0"/>
        <v>13.708333333333336</v>
      </c>
      <c r="AR33" s="160">
        <v>17</v>
      </c>
      <c r="AS33" s="160" t="s">
        <v>1</v>
      </c>
      <c r="AT33" s="69"/>
      <c r="AU33" s="69"/>
      <c r="AV33" s="70"/>
      <c r="AW33" s="70"/>
      <c r="AX33" s="69"/>
      <c r="AY33" s="69"/>
      <c r="AZ33" s="69"/>
      <c r="BA33" s="69"/>
    </row>
    <row r="34" spans="2:53" ht="16.5" customHeight="1" thickBot="1" x14ac:dyDescent="0.35">
      <c r="B34" s="72">
        <v>18</v>
      </c>
      <c r="C34" s="166">
        <v>3300</v>
      </c>
      <c r="D34" s="172" t="s">
        <v>112</v>
      </c>
      <c r="E34" s="60"/>
      <c r="F34" s="80"/>
      <c r="G34" s="61"/>
      <c r="H34" s="123">
        <f>SUM('11CL-AC-A-L PORT'!Q26)</f>
        <v>12.666666666666666</v>
      </c>
      <c r="I34" s="124"/>
      <c r="J34" s="125"/>
      <c r="K34" s="126">
        <f>SUM('11CL-AC-A-MAT'!Q26)</f>
        <v>14.333333333333334</v>
      </c>
      <c r="L34" s="127"/>
      <c r="M34" s="125"/>
      <c r="N34" s="123">
        <f>SUM('11CL-AC-A-BIOL'!Q26)</f>
        <v>13.666666666666666</v>
      </c>
      <c r="O34" s="128"/>
      <c r="P34" s="125"/>
      <c r="Q34" s="126">
        <f>SUM('11CL-AC-A-INGLES'!Q26)</f>
        <v>17</v>
      </c>
      <c r="R34" s="127"/>
      <c r="S34" s="125"/>
      <c r="T34" s="123">
        <f>SUM('11CL-AC-A-QCA ORG.'!Q26)</f>
        <v>10</v>
      </c>
      <c r="U34" s="127"/>
      <c r="V34" s="125"/>
      <c r="W34" s="123">
        <f>SUM('11CL-AC-A-MICROBIOL'!Q26)</f>
        <v>13</v>
      </c>
      <c r="X34" s="129"/>
      <c r="Y34" s="125"/>
      <c r="Z34" s="123">
        <f>SUM('11CL-AC-A-HEMAT I'!Q26)</f>
        <v>11</v>
      </c>
      <c r="AA34" s="128"/>
      <c r="AB34" s="125"/>
      <c r="AC34" s="126">
        <f>SUM('11CL-AC-A-IMUNOL.'!Q26)</f>
        <v>15.166666666666666</v>
      </c>
      <c r="AD34" s="127"/>
      <c r="AE34" s="125"/>
      <c r="AF34" s="123">
        <f>SUM('11CL-AC-A-URINOL.'!Q26)</f>
        <v>12.833333333333334</v>
      </c>
      <c r="AG34" s="129"/>
      <c r="AH34" s="125"/>
      <c r="AI34" s="123">
        <f>SUM('11CL-AC-A-PRASITOL.'!Q26)</f>
        <v>16.666666666666668</v>
      </c>
      <c r="AJ34" s="129"/>
      <c r="AK34" s="125"/>
      <c r="AL34" s="123">
        <f>SUM('11CL-AC-A-ED. FIS'!Q26)</f>
        <v>15</v>
      </c>
      <c r="AM34" s="129"/>
      <c r="AN34" s="125"/>
      <c r="AO34" s="123">
        <f>SUM('11CL-AC-A-AFH'!Q26)</f>
        <v>11</v>
      </c>
      <c r="AP34" s="74" t="s">
        <v>2</v>
      </c>
      <c r="AQ34" s="91">
        <f t="shared" si="0"/>
        <v>13.527777777777777</v>
      </c>
      <c r="AR34" s="160">
        <v>17</v>
      </c>
      <c r="AS34" s="160" t="s">
        <v>1</v>
      </c>
      <c r="AT34" s="69"/>
      <c r="AU34" s="69"/>
      <c r="AV34" s="70"/>
      <c r="AW34" s="70"/>
      <c r="AX34" s="69"/>
      <c r="AY34" s="69"/>
      <c r="AZ34" s="69"/>
      <c r="BA34" s="69"/>
    </row>
    <row r="35" spans="2:53" ht="16.5" customHeight="1" thickBot="1" x14ac:dyDescent="0.35">
      <c r="B35" s="72">
        <v>19</v>
      </c>
      <c r="C35" s="166">
        <v>2224</v>
      </c>
      <c r="D35" s="172" t="s">
        <v>88</v>
      </c>
      <c r="E35" s="60"/>
      <c r="F35" s="80"/>
      <c r="G35" s="61"/>
      <c r="H35" s="123">
        <f>SUM('11CL-AC-A-L PORT'!Q27)</f>
        <v>0</v>
      </c>
      <c r="I35" s="124"/>
      <c r="J35" s="125"/>
      <c r="K35" s="126">
        <f>SUM('11CL-AC-A-MAT'!Q27)</f>
        <v>0</v>
      </c>
      <c r="L35" s="127"/>
      <c r="M35" s="125"/>
      <c r="N35" s="123">
        <f>SUM('11CL-AC-A-BIOL'!Q27)</f>
        <v>0</v>
      </c>
      <c r="O35" s="128"/>
      <c r="P35" s="125"/>
      <c r="Q35" s="126">
        <f>SUM('11CL-AC-A-INGLES'!Q27)</f>
        <v>0</v>
      </c>
      <c r="R35" s="127"/>
      <c r="S35" s="125"/>
      <c r="T35" s="123">
        <f>SUM('11CL-AC-A-QCA ORG.'!Q27)</f>
        <v>0</v>
      </c>
      <c r="U35" s="127"/>
      <c r="V35" s="125"/>
      <c r="W35" s="123">
        <f>SUM('11CL-AC-A-MICROBIOL'!Q27)</f>
        <v>0</v>
      </c>
      <c r="X35" s="129"/>
      <c r="Y35" s="125"/>
      <c r="Z35" s="123">
        <f>SUM('11CL-AC-A-HEMAT I'!Q27)</f>
        <v>0</v>
      </c>
      <c r="AA35" s="128"/>
      <c r="AB35" s="125"/>
      <c r="AC35" s="126">
        <f>SUM('11CL-AC-A-IMUNOL.'!Q27)</f>
        <v>0</v>
      </c>
      <c r="AD35" s="127"/>
      <c r="AE35" s="125"/>
      <c r="AF35" s="123">
        <f>SUM('11CL-AC-A-URINOL.'!Q27)</f>
        <v>0</v>
      </c>
      <c r="AG35" s="129"/>
      <c r="AH35" s="125"/>
      <c r="AI35" s="123">
        <f>SUM('11CL-AC-A-PRASITOL.'!Q27)</f>
        <v>0</v>
      </c>
      <c r="AJ35" s="129"/>
      <c r="AK35" s="125"/>
      <c r="AL35" s="123">
        <f>SUM('11CL-AC-A-ED. FIS'!Q27)</f>
        <v>0</v>
      </c>
      <c r="AM35" s="129"/>
      <c r="AN35" s="125"/>
      <c r="AO35" s="123">
        <f>SUM('11CL-AC-A-AFH'!Q27)</f>
        <v>10</v>
      </c>
      <c r="AP35" s="74" t="s">
        <v>140</v>
      </c>
      <c r="AQ35" s="91">
        <f t="shared" si="0"/>
        <v>0.83333333333333337</v>
      </c>
      <c r="AR35" s="160">
        <v>17</v>
      </c>
      <c r="AS35" s="160" t="s">
        <v>1</v>
      </c>
      <c r="AT35" s="69"/>
      <c r="AU35" s="69"/>
      <c r="AV35" s="70"/>
      <c r="AW35" s="70"/>
      <c r="AX35" s="69"/>
      <c r="AY35" s="69"/>
      <c r="AZ35" s="69"/>
      <c r="BA35" s="69"/>
    </row>
    <row r="36" spans="2:53" ht="16.5" customHeight="1" thickBot="1" x14ac:dyDescent="0.35">
      <c r="B36" s="72">
        <v>20</v>
      </c>
      <c r="C36" s="166">
        <v>4097</v>
      </c>
      <c r="D36" s="172" t="s">
        <v>113</v>
      </c>
      <c r="E36" s="60"/>
      <c r="F36" s="80"/>
      <c r="G36" s="61"/>
      <c r="H36" s="123">
        <f>SUM('11CL-AC-A-L PORT'!Q28)</f>
        <v>0</v>
      </c>
      <c r="I36" s="124"/>
      <c r="J36" s="125"/>
      <c r="K36" s="126">
        <f>SUM('11CL-AC-A-MAT'!Q28)</f>
        <v>0</v>
      </c>
      <c r="L36" s="127"/>
      <c r="M36" s="125"/>
      <c r="N36" s="123">
        <f>SUM('11CL-AC-A-BIOL'!Q28)</f>
        <v>0</v>
      </c>
      <c r="O36" s="128"/>
      <c r="P36" s="125"/>
      <c r="Q36" s="126">
        <f>SUM('11CL-AC-A-INGLES'!Q28)</f>
        <v>0</v>
      </c>
      <c r="R36" s="127"/>
      <c r="S36" s="125"/>
      <c r="T36" s="123">
        <f>SUM('11CL-AC-A-QCA ORG.'!Q28)</f>
        <v>0</v>
      </c>
      <c r="U36" s="127"/>
      <c r="V36" s="125"/>
      <c r="W36" s="123">
        <f>SUM('11CL-AC-A-MICROBIOL'!Q28)</f>
        <v>0</v>
      </c>
      <c r="X36" s="129"/>
      <c r="Y36" s="125"/>
      <c r="Z36" s="123">
        <f>SUM('11CL-AC-A-HEMAT I'!Q28)</f>
        <v>0</v>
      </c>
      <c r="AA36" s="128"/>
      <c r="AB36" s="125"/>
      <c r="AC36" s="126">
        <f>SUM('11CL-AC-A-IMUNOL.'!Q28)</f>
        <v>0</v>
      </c>
      <c r="AD36" s="127"/>
      <c r="AE36" s="125"/>
      <c r="AF36" s="123">
        <f>SUM('11CL-AC-A-URINOL.'!Q28)</f>
        <v>0</v>
      </c>
      <c r="AG36" s="129"/>
      <c r="AH36" s="125"/>
      <c r="AI36" s="123">
        <f>SUM('11CL-AC-A-PRASITOL.'!Q28)</f>
        <v>0</v>
      </c>
      <c r="AJ36" s="129"/>
      <c r="AK36" s="125"/>
      <c r="AL36" s="123">
        <f>SUM('11CL-AC-A-ED. FIS'!Q28)</f>
        <v>14</v>
      </c>
      <c r="AM36" s="129"/>
      <c r="AN36" s="125"/>
      <c r="AO36" s="123">
        <f>SUM('11CL-AC-A-AFH'!Q28)</f>
        <v>0</v>
      </c>
      <c r="AP36" s="74" t="s">
        <v>140</v>
      </c>
      <c r="AQ36" s="91">
        <f t="shared" si="0"/>
        <v>1.1666666666666667</v>
      </c>
      <c r="AR36" s="160">
        <v>17</v>
      </c>
      <c r="AS36" s="160" t="s">
        <v>1</v>
      </c>
      <c r="AT36" s="69"/>
      <c r="AU36" s="69"/>
      <c r="AV36" s="70"/>
      <c r="AW36" s="70"/>
      <c r="AX36" s="69"/>
      <c r="AY36" s="69"/>
      <c r="AZ36" s="69"/>
      <c r="BA36" s="69"/>
    </row>
    <row r="37" spans="2:53" ht="16.5" customHeight="1" thickBot="1" x14ac:dyDescent="0.35">
      <c r="B37" s="72">
        <v>21</v>
      </c>
      <c r="C37" s="167">
        <v>2806</v>
      </c>
      <c r="D37" s="173" t="s">
        <v>114</v>
      </c>
      <c r="E37" s="60"/>
      <c r="F37" s="80"/>
      <c r="G37" s="61"/>
      <c r="H37" s="123">
        <f>SUM('11CL-AC-A-L PORT'!Q29)</f>
        <v>9</v>
      </c>
      <c r="I37" s="124"/>
      <c r="J37" s="125"/>
      <c r="K37" s="126">
        <f>SUM('11CL-AC-A-MAT'!Q29)</f>
        <v>16.666666666666668</v>
      </c>
      <c r="L37" s="127"/>
      <c r="M37" s="125"/>
      <c r="N37" s="123">
        <f>SUM('11CL-AC-A-BIOL'!Q29)</f>
        <v>8.3333333333333339</v>
      </c>
      <c r="O37" s="128"/>
      <c r="P37" s="125"/>
      <c r="Q37" s="126">
        <f>SUM('11CL-AC-A-INGLES'!Q29)</f>
        <v>9</v>
      </c>
      <c r="R37" s="127"/>
      <c r="S37" s="125"/>
      <c r="T37" s="123">
        <f>SUM('11CL-AC-A-QCA ORG.'!Q29)</f>
        <v>6.666666666666667</v>
      </c>
      <c r="U37" s="127"/>
      <c r="V37" s="125"/>
      <c r="W37" s="123">
        <f>SUM('11CL-AC-A-MICROBIOL'!Q29)</f>
        <v>11.166666666666666</v>
      </c>
      <c r="X37" s="129"/>
      <c r="Y37" s="125"/>
      <c r="Z37" s="123">
        <f>SUM('11CL-AC-A-HEMAT I'!Q29)</f>
        <v>5.833333333333333</v>
      </c>
      <c r="AA37" s="128"/>
      <c r="AB37" s="125"/>
      <c r="AC37" s="126">
        <f>SUM('11CL-AC-A-IMUNOL.'!Q29)</f>
        <v>12.166666666666666</v>
      </c>
      <c r="AD37" s="127"/>
      <c r="AE37" s="125"/>
      <c r="AF37" s="123">
        <f>SUM('11CL-AC-A-URINOL.'!Q29)</f>
        <v>9.5</v>
      </c>
      <c r="AG37" s="129"/>
      <c r="AH37" s="125"/>
      <c r="AI37" s="123">
        <f>SUM('11CL-AC-A-PRASITOL.'!Q29)</f>
        <v>12.5</v>
      </c>
      <c r="AJ37" s="129"/>
      <c r="AK37" s="125"/>
      <c r="AL37" s="123">
        <f>SUM('11CL-AC-A-ED. FIS'!Q29)</f>
        <v>8.3333333333333339</v>
      </c>
      <c r="AM37" s="129"/>
      <c r="AN37" s="125"/>
      <c r="AO37" s="123">
        <f>SUM('11CL-AC-A-AFH'!Q29)</f>
        <v>4.5</v>
      </c>
      <c r="AP37" s="74" t="s">
        <v>3</v>
      </c>
      <c r="AQ37" s="91">
        <f t="shared" si="0"/>
        <v>9.4722222222222214</v>
      </c>
      <c r="AR37" s="161">
        <v>18</v>
      </c>
      <c r="AS37" s="164" t="s">
        <v>0</v>
      </c>
      <c r="AT37" s="69"/>
      <c r="AU37" s="69"/>
      <c r="AV37" s="70"/>
      <c r="AW37" s="70"/>
      <c r="AX37" s="69"/>
      <c r="AY37" s="69"/>
      <c r="AZ37" s="69"/>
      <c r="BA37" s="69"/>
    </row>
    <row r="38" spans="2:53" ht="16.5" customHeight="1" thickBot="1" x14ac:dyDescent="0.35">
      <c r="B38" s="72">
        <v>22</v>
      </c>
      <c r="C38" s="166">
        <v>2923</v>
      </c>
      <c r="D38" s="172" t="s">
        <v>115</v>
      </c>
      <c r="E38" s="60"/>
      <c r="F38" s="80"/>
      <c r="G38" s="61"/>
      <c r="H38" s="123">
        <f>SUM('11CL-AC-A-L PORT'!Q30)</f>
        <v>10.166666666666666</v>
      </c>
      <c r="I38" s="124"/>
      <c r="J38" s="125"/>
      <c r="K38" s="126">
        <f>SUM('11CL-AC-A-MAT'!Q30)</f>
        <v>18</v>
      </c>
      <c r="L38" s="127"/>
      <c r="M38" s="125"/>
      <c r="N38" s="123">
        <f>SUM('11CL-AC-A-BIOL'!Q30)</f>
        <v>12.333333333333334</v>
      </c>
      <c r="O38" s="128"/>
      <c r="P38" s="125"/>
      <c r="Q38" s="126">
        <f>SUM('11CL-AC-A-INGLES'!Q30)</f>
        <v>16.666666666666668</v>
      </c>
      <c r="R38" s="127"/>
      <c r="S38" s="125"/>
      <c r="T38" s="123">
        <f>SUM('11CL-AC-A-QCA ORG.'!Q30)</f>
        <v>11.333333333333334</v>
      </c>
      <c r="U38" s="127"/>
      <c r="V38" s="125"/>
      <c r="W38" s="123">
        <f>SUM('11CL-AC-A-MICROBIOL'!Q30)</f>
        <v>14.166666666666666</v>
      </c>
      <c r="X38" s="129"/>
      <c r="Y38" s="125"/>
      <c r="Z38" s="123">
        <f>SUM('11CL-AC-A-HEMAT I'!Q30)</f>
        <v>12.666666666666666</v>
      </c>
      <c r="AA38" s="128"/>
      <c r="AB38" s="125"/>
      <c r="AC38" s="126">
        <f>SUM('11CL-AC-A-IMUNOL.'!Q30)</f>
        <v>16.833333333333332</v>
      </c>
      <c r="AD38" s="127"/>
      <c r="AE38" s="125"/>
      <c r="AF38" s="123">
        <f>SUM('11CL-AC-A-URINOL.'!Q30)</f>
        <v>14</v>
      </c>
      <c r="AG38" s="129"/>
      <c r="AH38" s="125"/>
      <c r="AI38" s="123">
        <f>SUM('11CL-AC-A-PRASITOL.'!Q30)</f>
        <v>15.166666666666666</v>
      </c>
      <c r="AJ38" s="129"/>
      <c r="AK38" s="125"/>
      <c r="AL38" s="123">
        <f>SUM('11CL-AC-A-ED. FIS'!Q30)</f>
        <v>15</v>
      </c>
      <c r="AM38" s="129"/>
      <c r="AN38" s="125"/>
      <c r="AO38" s="123">
        <f>SUM('11CL-AC-A-AFH'!Q30)</f>
        <v>10</v>
      </c>
      <c r="AP38" s="74" t="s">
        <v>2</v>
      </c>
      <c r="AQ38" s="91">
        <f t="shared" si="0"/>
        <v>13.861111111111112</v>
      </c>
      <c r="AR38" s="162">
        <v>16</v>
      </c>
      <c r="AS38" s="162" t="s">
        <v>1</v>
      </c>
      <c r="AT38" s="69"/>
      <c r="AU38" s="69"/>
      <c r="AV38" s="70"/>
      <c r="AW38" s="70"/>
      <c r="AX38" s="69"/>
      <c r="AY38" s="69"/>
      <c r="AZ38" s="69"/>
      <c r="BA38" s="69"/>
    </row>
    <row r="39" spans="2:53" ht="16.5" customHeight="1" thickTop="1" thickBot="1" x14ac:dyDescent="0.35">
      <c r="B39" s="72">
        <v>23</v>
      </c>
      <c r="C39" s="166">
        <v>3159</v>
      </c>
      <c r="D39" s="172" t="s">
        <v>116</v>
      </c>
      <c r="E39" s="60"/>
      <c r="F39" s="80"/>
      <c r="G39" s="61"/>
      <c r="H39" s="123">
        <f>SUM('11CL-AC-A-L PORT'!Q31)</f>
        <v>12.833333333333334</v>
      </c>
      <c r="I39" s="124"/>
      <c r="J39" s="125"/>
      <c r="K39" s="126">
        <f>SUM('11CL-AC-A-MAT'!Q31)</f>
        <v>14</v>
      </c>
      <c r="L39" s="127"/>
      <c r="M39" s="125"/>
      <c r="N39" s="123">
        <f>SUM('11CL-AC-A-BIOL'!Q31)</f>
        <v>12</v>
      </c>
      <c r="O39" s="128"/>
      <c r="P39" s="125"/>
      <c r="Q39" s="126">
        <f>SUM('11CL-AC-A-INGLES'!Q31)</f>
        <v>12.666666666666666</v>
      </c>
      <c r="R39" s="127"/>
      <c r="S39" s="125"/>
      <c r="T39" s="123">
        <f>SUM('11CL-AC-A-QCA ORG.'!Q31)</f>
        <v>10.833333333333334</v>
      </c>
      <c r="U39" s="127"/>
      <c r="V39" s="125"/>
      <c r="W39" s="123">
        <f>SUM('11CL-AC-A-MICROBIOL'!Q31)</f>
        <v>13.666666666666666</v>
      </c>
      <c r="X39" s="129"/>
      <c r="Y39" s="125"/>
      <c r="Z39" s="123">
        <f>SUM('11CL-AC-A-HEMAT I'!Q31)</f>
        <v>15.5</v>
      </c>
      <c r="AA39" s="128"/>
      <c r="AB39" s="125"/>
      <c r="AC39" s="126">
        <f>SUM('11CL-AC-A-IMUNOL.'!Q31)</f>
        <v>15.666666666666666</v>
      </c>
      <c r="AD39" s="127"/>
      <c r="AE39" s="125"/>
      <c r="AF39" s="123">
        <f>SUM('11CL-AC-A-URINOL.'!Q31)</f>
        <v>10</v>
      </c>
      <c r="AG39" s="129"/>
      <c r="AH39" s="125"/>
      <c r="AI39" s="123">
        <f>SUM('11CL-AC-A-PRASITOL.'!Q31)</f>
        <v>16.333333333333332</v>
      </c>
      <c r="AJ39" s="129"/>
      <c r="AK39" s="125"/>
      <c r="AL39" s="123">
        <f>SUM('11CL-AC-A-ED. FIS'!Q31)</f>
        <v>14</v>
      </c>
      <c r="AM39" s="129"/>
      <c r="AN39" s="125"/>
      <c r="AO39" s="123">
        <f>SUM('11CL-AC-A-AFH'!Q31)</f>
        <v>12.666666666666666</v>
      </c>
      <c r="AP39" s="74" t="s">
        <v>2</v>
      </c>
      <c r="AQ39" s="91">
        <f t="shared" si="0"/>
        <v>13.347222222222221</v>
      </c>
      <c r="AR39" s="159">
        <v>15</v>
      </c>
      <c r="AS39" s="159" t="s">
        <v>1</v>
      </c>
      <c r="AT39" s="69"/>
      <c r="AU39" s="69"/>
      <c r="AV39" s="70"/>
      <c r="AW39" s="70"/>
      <c r="AX39" s="69"/>
      <c r="AY39" s="69"/>
      <c r="AZ39" s="69"/>
      <c r="BA39" s="69"/>
    </row>
    <row r="40" spans="2:53" ht="16.5" customHeight="1" thickBot="1" x14ac:dyDescent="0.35">
      <c r="B40" s="72">
        <v>24</v>
      </c>
      <c r="C40" s="166">
        <v>3665</v>
      </c>
      <c r="D40" s="172" t="s">
        <v>117</v>
      </c>
      <c r="E40" s="60"/>
      <c r="F40" s="80"/>
      <c r="G40" s="61"/>
      <c r="H40" s="123">
        <f>SUM('11CL-AC-A-L PORT'!Q32)</f>
        <v>8.6666666666666661</v>
      </c>
      <c r="I40" s="124"/>
      <c r="J40" s="125"/>
      <c r="K40" s="126">
        <f>SUM('11CL-AC-A-MAT'!Q32)</f>
        <v>11</v>
      </c>
      <c r="L40" s="127"/>
      <c r="M40" s="125"/>
      <c r="N40" s="123">
        <f>SUM('11CL-AC-A-BIOL'!Q32)</f>
        <v>11.333333333333334</v>
      </c>
      <c r="O40" s="128"/>
      <c r="P40" s="125"/>
      <c r="Q40" s="126">
        <f>SUM('11CL-AC-A-INGLES'!Q32)</f>
        <v>16.666666666666668</v>
      </c>
      <c r="R40" s="127"/>
      <c r="S40" s="125"/>
      <c r="T40" s="123">
        <f>SUM('11CL-AC-A-QCA ORG.'!Q32)</f>
        <v>9.3333333333333339</v>
      </c>
      <c r="U40" s="127"/>
      <c r="V40" s="125"/>
      <c r="W40" s="123">
        <f>SUM('11CL-AC-A-MICROBIOL'!Q32)</f>
        <v>13.166666666666666</v>
      </c>
      <c r="X40" s="129"/>
      <c r="Y40" s="125"/>
      <c r="Z40" s="123">
        <f>SUM('11CL-AC-A-HEMAT I'!Q32)</f>
        <v>9</v>
      </c>
      <c r="AA40" s="128"/>
      <c r="AB40" s="125"/>
      <c r="AC40" s="126">
        <f>SUM('11CL-AC-A-IMUNOL.'!Q32)</f>
        <v>12.833333333333334</v>
      </c>
      <c r="AD40" s="127"/>
      <c r="AE40" s="125"/>
      <c r="AF40" s="123">
        <f>SUM('11CL-AC-A-URINOL.'!Q32)</f>
        <v>6.666666666666667</v>
      </c>
      <c r="AG40" s="129"/>
      <c r="AH40" s="125"/>
      <c r="AI40" s="123">
        <f>SUM('11CL-AC-A-PRASITOL.'!Q32)</f>
        <v>11.5</v>
      </c>
      <c r="AJ40" s="129"/>
      <c r="AK40" s="125"/>
      <c r="AL40" s="123">
        <f>SUM('11CL-AC-A-ED. FIS'!Q32)</f>
        <v>14</v>
      </c>
      <c r="AM40" s="129"/>
      <c r="AN40" s="125"/>
      <c r="AO40" s="123">
        <f>SUM('11CL-AC-A-AFH'!Q32)</f>
        <v>10</v>
      </c>
      <c r="AP40" s="74" t="s">
        <v>3</v>
      </c>
      <c r="AQ40" s="91">
        <f t="shared" si="0"/>
        <v>11.180555555555557</v>
      </c>
      <c r="AR40" s="160">
        <v>17</v>
      </c>
      <c r="AS40" s="160" t="s">
        <v>1</v>
      </c>
      <c r="AT40" s="69"/>
      <c r="AU40" s="69"/>
      <c r="AV40" s="70"/>
      <c r="AW40" s="70"/>
      <c r="AX40" s="69"/>
      <c r="AY40" s="69"/>
      <c r="AZ40" s="69"/>
      <c r="BA40" s="69"/>
    </row>
    <row r="41" spans="2:53" ht="16.5" customHeight="1" thickBot="1" x14ac:dyDescent="0.35">
      <c r="B41" s="72">
        <v>25</v>
      </c>
      <c r="C41" s="166">
        <v>3253</v>
      </c>
      <c r="D41" s="172" t="s">
        <v>118</v>
      </c>
      <c r="E41" s="60"/>
      <c r="F41" s="80"/>
      <c r="G41" s="61"/>
      <c r="H41" s="123">
        <f>SUM('11CL-AC-A-L PORT'!Q33)</f>
        <v>9.1666666666666661</v>
      </c>
      <c r="I41" s="124"/>
      <c r="J41" s="125"/>
      <c r="K41" s="126">
        <f>SUM('11CL-AC-A-MAT'!Q33)</f>
        <v>17.333333333333332</v>
      </c>
      <c r="L41" s="127"/>
      <c r="M41" s="125"/>
      <c r="N41" s="123">
        <f>SUM('11CL-AC-A-BIOL'!Q33)</f>
        <v>10</v>
      </c>
      <c r="O41" s="128"/>
      <c r="P41" s="125"/>
      <c r="Q41" s="126">
        <f>SUM('11CL-AC-A-INGLES'!Q33)</f>
        <v>14.666666666666666</v>
      </c>
      <c r="R41" s="127"/>
      <c r="S41" s="125"/>
      <c r="T41" s="123">
        <f>SUM('11CL-AC-A-QCA ORG.'!Q33)</f>
        <v>10.333333333333334</v>
      </c>
      <c r="U41" s="127"/>
      <c r="V41" s="125"/>
      <c r="W41" s="123">
        <f>SUM('11CL-AC-A-MICROBIOL'!Q33)</f>
        <v>13.166666666666666</v>
      </c>
      <c r="X41" s="129"/>
      <c r="Y41" s="125"/>
      <c r="Z41" s="123">
        <f>SUM('11CL-AC-A-HEMAT I'!Q33)</f>
        <v>13</v>
      </c>
      <c r="AA41" s="128"/>
      <c r="AB41" s="125"/>
      <c r="AC41" s="126">
        <f>SUM('11CL-AC-A-IMUNOL.'!Q33)</f>
        <v>11.166666666666666</v>
      </c>
      <c r="AD41" s="127"/>
      <c r="AE41" s="125"/>
      <c r="AF41" s="123">
        <f>SUM('11CL-AC-A-URINOL.'!Q33)</f>
        <v>10</v>
      </c>
      <c r="AG41" s="129"/>
      <c r="AH41" s="125"/>
      <c r="AI41" s="123">
        <f>SUM('11CL-AC-A-PRASITOL.'!Q33)</f>
        <v>14.166666666666666</v>
      </c>
      <c r="AJ41" s="129"/>
      <c r="AK41" s="125"/>
      <c r="AL41" s="123">
        <f>SUM('11CL-AC-A-ED. FIS'!Q33)</f>
        <v>12</v>
      </c>
      <c r="AM41" s="129"/>
      <c r="AN41" s="125"/>
      <c r="AO41" s="123">
        <f>SUM('11CL-AC-A-AFH'!Q33)</f>
        <v>10.333333333333334</v>
      </c>
      <c r="AP41" s="74" t="s">
        <v>3</v>
      </c>
      <c r="AQ41" s="91">
        <f t="shared" si="0"/>
        <v>12.111111111111112</v>
      </c>
      <c r="AR41" s="160">
        <v>16</v>
      </c>
      <c r="AS41" s="160" t="s">
        <v>1</v>
      </c>
      <c r="AT41" s="69"/>
      <c r="AU41" s="69"/>
      <c r="AV41" s="70"/>
      <c r="AW41" s="70"/>
      <c r="AX41" s="69"/>
      <c r="AY41" s="69"/>
      <c r="AZ41" s="69"/>
      <c r="BA41" s="69"/>
    </row>
    <row r="42" spans="2:53" ht="16.5" customHeight="1" thickBot="1" x14ac:dyDescent="0.35">
      <c r="B42" s="72">
        <v>26</v>
      </c>
      <c r="C42" s="166">
        <v>3099</v>
      </c>
      <c r="D42" s="172" t="s">
        <v>119</v>
      </c>
      <c r="E42" s="60"/>
      <c r="F42" s="80"/>
      <c r="G42" s="61"/>
      <c r="H42" s="123">
        <f>SUM('11CL-AC-A-L PORT'!Q34)</f>
        <v>13.333333333333334</v>
      </c>
      <c r="I42" s="124"/>
      <c r="J42" s="125"/>
      <c r="K42" s="126">
        <f>SUM('11CL-AC-A-MAT'!Q34)</f>
        <v>12.666666666666666</v>
      </c>
      <c r="L42" s="127"/>
      <c r="M42" s="125"/>
      <c r="N42" s="123">
        <f>SUM('11CL-AC-A-BIOL'!Q34)</f>
        <v>13.666666666666666</v>
      </c>
      <c r="O42" s="128"/>
      <c r="P42" s="125"/>
      <c r="Q42" s="126">
        <f>SUM('11CL-AC-A-INGLES'!Q34)</f>
        <v>15.333333333333334</v>
      </c>
      <c r="R42" s="127"/>
      <c r="S42" s="125"/>
      <c r="T42" s="123">
        <f>SUM('11CL-AC-A-QCA ORG.'!Q34)</f>
        <v>12.666666666666666</v>
      </c>
      <c r="U42" s="127"/>
      <c r="V42" s="125"/>
      <c r="W42" s="123">
        <f>SUM('11CL-AC-A-MICROBIOL'!Q34)</f>
        <v>13.333333333333334</v>
      </c>
      <c r="X42" s="129"/>
      <c r="Y42" s="125"/>
      <c r="Z42" s="123">
        <f>SUM('11CL-AC-A-HEMAT I'!Q34)</f>
        <v>13.833333333333334</v>
      </c>
      <c r="AA42" s="128"/>
      <c r="AB42" s="125"/>
      <c r="AC42" s="126">
        <f>SUM('11CL-AC-A-IMUNOL.'!Q34)</f>
        <v>18.166666666666668</v>
      </c>
      <c r="AD42" s="127"/>
      <c r="AE42" s="125"/>
      <c r="AF42" s="123">
        <f>SUM('11CL-AC-A-URINOL.'!Q34)</f>
        <v>16.166666666666668</v>
      </c>
      <c r="AG42" s="129"/>
      <c r="AH42" s="125"/>
      <c r="AI42" s="123">
        <f>SUM('11CL-AC-A-PRASITOL.'!Q34)</f>
        <v>16.333333333333332</v>
      </c>
      <c r="AJ42" s="129"/>
      <c r="AK42" s="125"/>
      <c r="AL42" s="123">
        <f>SUM('11CL-AC-A-ED. FIS'!Q34)</f>
        <v>14</v>
      </c>
      <c r="AM42" s="129"/>
      <c r="AN42" s="125"/>
      <c r="AO42" s="123">
        <f>SUM('11CL-AC-A-AFH'!Q34)</f>
        <v>10</v>
      </c>
      <c r="AP42" s="74" t="s">
        <v>2</v>
      </c>
      <c r="AQ42" s="91">
        <f t="shared" si="0"/>
        <v>14.125</v>
      </c>
      <c r="AR42" s="160">
        <v>17</v>
      </c>
      <c r="AS42" s="160" t="s">
        <v>1</v>
      </c>
      <c r="AT42" s="69"/>
      <c r="AU42" s="69"/>
      <c r="AV42" s="70"/>
      <c r="AW42" s="70"/>
      <c r="AX42" s="69"/>
      <c r="AY42" s="69"/>
      <c r="AZ42" s="69"/>
      <c r="BA42" s="69"/>
    </row>
    <row r="43" spans="2:53" ht="16.5" customHeight="1" thickBot="1" x14ac:dyDescent="0.35">
      <c r="B43" s="72">
        <v>27</v>
      </c>
      <c r="C43" s="166">
        <v>4256</v>
      </c>
      <c r="D43" s="172" t="s">
        <v>120</v>
      </c>
      <c r="E43" s="60"/>
      <c r="F43" s="80"/>
      <c r="G43" s="61"/>
      <c r="H43" s="123">
        <f>SUM('11CL-AC-A-L PORT'!Q35)</f>
        <v>9</v>
      </c>
      <c r="I43" s="124"/>
      <c r="J43" s="125"/>
      <c r="K43" s="126">
        <f>SUM('11CL-AC-A-MAT'!Q35)</f>
        <v>13</v>
      </c>
      <c r="L43" s="127"/>
      <c r="M43" s="125"/>
      <c r="N43" s="123">
        <f>SUM('11CL-AC-A-BIOL'!Q35)</f>
        <v>8</v>
      </c>
      <c r="O43" s="128"/>
      <c r="P43" s="125"/>
      <c r="Q43" s="126">
        <f>SUM('11CL-AC-A-INGLES'!Q35)</f>
        <v>12.333333333333334</v>
      </c>
      <c r="R43" s="127"/>
      <c r="S43" s="125"/>
      <c r="T43" s="123">
        <f>SUM('11CL-AC-A-QCA ORG.'!Q35)</f>
        <v>5.666666666666667</v>
      </c>
      <c r="U43" s="127"/>
      <c r="V43" s="125"/>
      <c r="W43" s="123">
        <f>SUM('11CL-AC-A-MICROBIOL'!Q35)</f>
        <v>12.166666666666666</v>
      </c>
      <c r="X43" s="129"/>
      <c r="Y43" s="125"/>
      <c r="Z43" s="123">
        <f>SUM('11CL-AC-A-HEMAT I'!Q35)</f>
        <v>10.333333333333334</v>
      </c>
      <c r="AA43" s="128"/>
      <c r="AB43" s="125"/>
      <c r="AC43" s="126">
        <f>SUM('11CL-AC-A-IMUNOL.'!Q35)</f>
        <v>11.833333333333334</v>
      </c>
      <c r="AD43" s="127"/>
      <c r="AE43" s="125"/>
      <c r="AF43" s="123">
        <f>SUM('11CL-AC-A-URINOL.'!Q35)</f>
        <v>11.333333333333334</v>
      </c>
      <c r="AG43" s="129"/>
      <c r="AH43" s="125"/>
      <c r="AI43" s="123">
        <f>SUM('11CL-AC-A-PRASITOL.'!Q35)</f>
        <v>15.166666666666666</v>
      </c>
      <c r="AJ43" s="129"/>
      <c r="AK43" s="125"/>
      <c r="AL43" s="123">
        <f>SUM('11CL-AC-A-ED. FIS'!Q35)</f>
        <v>4</v>
      </c>
      <c r="AM43" s="129"/>
      <c r="AN43" s="125"/>
      <c r="AO43" s="123">
        <f>SUM('11CL-AC-A-AFH'!Q35)</f>
        <v>10</v>
      </c>
      <c r="AP43" s="74" t="s">
        <v>3</v>
      </c>
      <c r="AQ43" s="91">
        <f t="shared" si="0"/>
        <v>10.236111111111111</v>
      </c>
      <c r="AR43" s="160">
        <v>17</v>
      </c>
      <c r="AS43" s="160" t="s">
        <v>0</v>
      </c>
      <c r="AT43" s="69"/>
      <c r="AU43" s="69"/>
      <c r="AV43" s="70"/>
      <c r="AW43" s="70"/>
      <c r="AX43" s="69"/>
      <c r="AY43" s="69"/>
      <c r="AZ43" s="69"/>
      <c r="BA43" s="69"/>
    </row>
    <row r="44" spans="2:53" ht="16.5" customHeight="1" thickBot="1" x14ac:dyDescent="0.35">
      <c r="B44" s="72">
        <v>28</v>
      </c>
      <c r="C44" s="166">
        <v>3766</v>
      </c>
      <c r="D44" s="172" t="s">
        <v>121</v>
      </c>
      <c r="E44" s="60"/>
      <c r="F44" s="80"/>
      <c r="G44" s="61"/>
      <c r="H44" s="123">
        <f>SUM('11CL-AC-A-L PORT'!Q36)</f>
        <v>10.166666666666666</v>
      </c>
      <c r="I44" s="124"/>
      <c r="J44" s="125"/>
      <c r="K44" s="126">
        <f>SUM('11CL-AC-A-MAT'!Q36)</f>
        <v>10</v>
      </c>
      <c r="L44" s="127"/>
      <c r="M44" s="125"/>
      <c r="N44" s="123">
        <f>SUM('11CL-AC-A-BIOL'!Q36)</f>
        <v>11.666666666666666</v>
      </c>
      <c r="O44" s="128"/>
      <c r="P44" s="125"/>
      <c r="Q44" s="126">
        <f>SUM('11CL-AC-A-INGLES'!Q36)</f>
        <v>12.333333333333334</v>
      </c>
      <c r="R44" s="127"/>
      <c r="S44" s="125"/>
      <c r="T44" s="123">
        <f>SUM('11CL-AC-A-QCA ORG.'!Q36)</f>
        <v>11</v>
      </c>
      <c r="U44" s="127"/>
      <c r="V44" s="125"/>
      <c r="W44" s="123">
        <f>SUM('11CL-AC-A-MICROBIOL'!Q36)</f>
        <v>11.333333333333334</v>
      </c>
      <c r="X44" s="129"/>
      <c r="Y44" s="125"/>
      <c r="Z44" s="123">
        <f>SUM('11CL-AC-A-HEMAT I'!Q36)</f>
        <v>10.333333333333334</v>
      </c>
      <c r="AA44" s="128"/>
      <c r="AB44" s="125"/>
      <c r="AC44" s="126">
        <f>SUM('11CL-AC-A-IMUNOL.'!Q36)</f>
        <v>17</v>
      </c>
      <c r="AD44" s="127"/>
      <c r="AE44" s="125"/>
      <c r="AF44" s="123">
        <f>SUM('11CL-AC-A-URINOL.'!Q36)</f>
        <v>6.833333333333333</v>
      </c>
      <c r="AG44" s="129"/>
      <c r="AH44" s="125"/>
      <c r="AI44" s="123">
        <f>SUM('11CL-AC-A-PRASITOL.'!Q36)</f>
        <v>15.833333333333334</v>
      </c>
      <c r="AJ44" s="129"/>
      <c r="AK44" s="125"/>
      <c r="AL44" s="123">
        <f>SUM('11CL-AC-A-ED. FIS'!Q36)</f>
        <v>0</v>
      </c>
      <c r="AM44" s="129"/>
      <c r="AN44" s="125"/>
      <c r="AO44" s="123">
        <f>SUM('11CL-AC-A-AFH'!Q36)</f>
        <v>10</v>
      </c>
      <c r="AP44" s="74" t="s">
        <v>3</v>
      </c>
      <c r="AQ44" s="91">
        <f t="shared" si="0"/>
        <v>10.541666666666666</v>
      </c>
      <c r="AR44" s="160">
        <v>16</v>
      </c>
      <c r="AS44" s="160" t="s">
        <v>1</v>
      </c>
      <c r="AT44" s="69"/>
      <c r="AU44" s="69"/>
      <c r="AV44" s="70"/>
      <c r="AW44" s="70"/>
      <c r="AX44" s="69"/>
      <c r="AY44" s="69"/>
      <c r="AZ44" s="69"/>
      <c r="BA44" s="69"/>
    </row>
    <row r="45" spans="2:53" ht="16.5" customHeight="1" thickBot="1" x14ac:dyDescent="0.35">
      <c r="B45" s="72">
        <v>29</v>
      </c>
      <c r="C45" s="166">
        <v>3079</v>
      </c>
      <c r="D45" s="172" t="s">
        <v>122</v>
      </c>
      <c r="E45" s="60"/>
      <c r="F45" s="80"/>
      <c r="G45" s="61"/>
      <c r="H45" s="123">
        <f>SUM('11CL-AC-A-L PORT'!Q37)</f>
        <v>14.333333333333334</v>
      </c>
      <c r="I45" s="124"/>
      <c r="J45" s="125"/>
      <c r="K45" s="126">
        <f>SUM('11CL-AC-A-MAT'!Q37)</f>
        <v>16</v>
      </c>
      <c r="L45" s="127"/>
      <c r="M45" s="125"/>
      <c r="N45" s="123">
        <f>SUM('11CL-AC-A-BIOL'!Q37)</f>
        <v>13.666666666666666</v>
      </c>
      <c r="O45" s="128"/>
      <c r="P45" s="125"/>
      <c r="Q45" s="126">
        <f>SUM('11CL-AC-A-INGLES'!Q37)</f>
        <v>19</v>
      </c>
      <c r="R45" s="127"/>
      <c r="S45" s="125"/>
      <c r="T45" s="123">
        <f>SUM('11CL-AC-A-QCA ORG.'!Q37)</f>
        <v>19.333333333333332</v>
      </c>
      <c r="U45" s="127"/>
      <c r="V45" s="125"/>
      <c r="W45" s="123">
        <f>SUM('11CL-AC-A-MICROBIOL'!Q37)</f>
        <v>15.666666666666666</v>
      </c>
      <c r="X45" s="129"/>
      <c r="Y45" s="125"/>
      <c r="Z45" s="123">
        <f>SUM('11CL-AC-A-HEMAT I'!Q37)</f>
        <v>17.166666666666668</v>
      </c>
      <c r="AA45" s="128"/>
      <c r="AB45" s="125"/>
      <c r="AC45" s="126">
        <f>SUM('11CL-AC-A-IMUNOL.'!Q37)</f>
        <v>18.666666666666668</v>
      </c>
      <c r="AD45" s="127"/>
      <c r="AE45" s="125"/>
      <c r="AF45" s="123">
        <f>SUM('11CL-AC-A-URINOL.'!Q37)</f>
        <v>15.5</v>
      </c>
      <c r="AG45" s="129"/>
      <c r="AH45" s="125"/>
      <c r="AI45" s="123">
        <f>SUM('11CL-AC-A-PRASITOL.'!Q37)</f>
        <v>17.5</v>
      </c>
      <c r="AJ45" s="129"/>
      <c r="AK45" s="125"/>
      <c r="AL45" s="123">
        <f>SUM('11CL-AC-A-ED. FIS'!Q37)</f>
        <v>15</v>
      </c>
      <c r="AM45" s="129"/>
      <c r="AN45" s="125"/>
      <c r="AO45" s="123">
        <f>SUM('11CL-AC-A-AFH'!Q37)</f>
        <v>15.333333333333334</v>
      </c>
      <c r="AP45" s="74" t="s">
        <v>2</v>
      </c>
      <c r="AQ45" s="91">
        <f t="shared" si="0"/>
        <v>16.430555555555557</v>
      </c>
      <c r="AR45" s="160">
        <v>16</v>
      </c>
      <c r="AS45" s="160" t="s">
        <v>1</v>
      </c>
      <c r="AT45" s="69"/>
      <c r="AU45" s="69"/>
      <c r="AV45" s="70"/>
      <c r="AW45" s="70"/>
      <c r="AX45" s="69"/>
      <c r="AY45" s="69"/>
      <c r="AZ45" s="69"/>
      <c r="BA45" s="69"/>
    </row>
    <row r="46" spans="2:53" ht="16.5" customHeight="1" thickBot="1" x14ac:dyDescent="0.35">
      <c r="B46" s="72">
        <v>30</v>
      </c>
      <c r="C46" s="166">
        <v>3777</v>
      </c>
      <c r="D46" s="172" t="s">
        <v>123</v>
      </c>
      <c r="E46" s="60"/>
      <c r="F46" s="80"/>
      <c r="G46" s="61"/>
      <c r="H46" s="123">
        <f>SUM('11CL-AC-A-L PORT'!Q38)</f>
        <v>13.333333333333334</v>
      </c>
      <c r="I46" s="124"/>
      <c r="J46" s="125"/>
      <c r="K46" s="126">
        <f>SUM('11CL-AC-A-MAT'!Q38)</f>
        <v>16</v>
      </c>
      <c r="L46" s="127"/>
      <c r="M46" s="125"/>
      <c r="N46" s="123">
        <f>SUM('11CL-AC-A-BIOL'!Q38)</f>
        <v>16.666666666666668</v>
      </c>
      <c r="O46" s="128"/>
      <c r="P46" s="125"/>
      <c r="Q46" s="126">
        <f>SUM('11CL-AC-A-INGLES'!Q38)</f>
        <v>17.666666666666668</v>
      </c>
      <c r="R46" s="127"/>
      <c r="S46" s="125"/>
      <c r="T46" s="123">
        <f>SUM('11CL-AC-A-QCA ORG.'!Q38)</f>
        <v>13.5</v>
      </c>
      <c r="U46" s="127"/>
      <c r="V46" s="125"/>
      <c r="W46" s="123">
        <f>SUM('11CL-AC-A-MICROBIOL'!Q38)</f>
        <v>14.333333333333334</v>
      </c>
      <c r="X46" s="129"/>
      <c r="Y46" s="125"/>
      <c r="Z46" s="123">
        <f>SUM('11CL-AC-A-HEMAT I'!Q38)</f>
        <v>15</v>
      </c>
      <c r="AA46" s="128"/>
      <c r="AB46" s="125"/>
      <c r="AC46" s="126">
        <f>SUM('11CL-AC-A-IMUNOL.'!Q38)</f>
        <v>15.666666666666666</v>
      </c>
      <c r="AD46" s="127"/>
      <c r="AE46" s="125"/>
      <c r="AF46" s="123">
        <f>SUM('11CL-AC-A-URINOL.'!Q38)</f>
        <v>10</v>
      </c>
      <c r="AG46" s="129"/>
      <c r="AH46" s="125"/>
      <c r="AI46" s="123">
        <f>SUM('11CL-AC-A-PRASITOL.'!Q38)</f>
        <v>16</v>
      </c>
      <c r="AJ46" s="129"/>
      <c r="AK46" s="125"/>
      <c r="AL46" s="123">
        <f>SUM('11CL-AC-A-ED. FIS'!Q38)</f>
        <v>15</v>
      </c>
      <c r="AM46" s="129"/>
      <c r="AN46" s="125"/>
      <c r="AO46" s="123">
        <f>SUM('11CL-AC-A-AFH'!Q38)</f>
        <v>13.666666666666666</v>
      </c>
      <c r="AP46" s="74" t="s">
        <v>2</v>
      </c>
      <c r="AQ46" s="91">
        <f t="shared" si="0"/>
        <v>14.736111111111112</v>
      </c>
      <c r="AR46" s="160">
        <v>17</v>
      </c>
      <c r="AS46" s="160" t="s">
        <v>1</v>
      </c>
      <c r="AT46" s="69"/>
      <c r="AU46" s="69"/>
      <c r="AV46" s="70"/>
      <c r="AW46" s="70"/>
      <c r="AX46" s="69"/>
      <c r="AY46" s="69"/>
      <c r="AZ46" s="69"/>
      <c r="BA46" s="69"/>
    </row>
    <row r="47" spans="2:53" ht="16.5" customHeight="1" thickBot="1" x14ac:dyDescent="0.35">
      <c r="B47" s="72">
        <v>31</v>
      </c>
      <c r="C47" s="166">
        <v>3511</v>
      </c>
      <c r="D47" s="172" t="s">
        <v>124</v>
      </c>
      <c r="E47" s="60"/>
      <c r="F47" s="80"/>
      <c r="G47" s="61"/>
      <c r="H47" s="123">
        <f>SUM('11CL-AC-A-L PORT'!Q39)</f>
        <v>11.5</v>
      </c>
      <c r="I47" s="124"/>
      <c r="J47" s="125"/>
      <c r="K47" s="126">
        <f>SUM('11CL-AC-A-MAT'!Q39)</f>
        <v>19.333333333333332</v>
      </c>
      <c r="L47" s="127"/>
      <c r="M47" s="125"/>
      <c r="N47" s="123">
        <f>SUM('11CL-AC-A-BIOL'!Q39)</f>
        <v>11.333333333333334</v>
      </c>
      <c r="O47" s="128"/>
      <c r="P47" s="125"/>
      <c r="Q47" s="126">
        <f>SUM('11CL-AC-A-INGLES'!Q39)</f>
        <v>17.333333333333332</v>
      </c>
      <c r="R47" s="127"/>
      <c r="S47" s="125"/>
      <c r="T47" s="123">
        <f>SUM('11CL-AC-A-QCA ORG.'!Q39)</f>
        <v>11.666666666666666</v>
      </c>
      <c r="U47" s="127"/>
      <c r="V47" s="125"/>
      <c r="W47" s="123">
        <f>SUM('11CL-AC-A-MICROBIOL'!Q39)</f>
        <v>13.166666666666666</v>
      </c>
      <c r="X47" s="129"/>
      <c r="Y47" s="125"/>
      <c r="Z47" s="123">
        <f>SUM('11CL-AC-A-HEMAT I'!Q39)</f>
        <v>12.5</v>
      </c>
      <c r="AA47" s="128"/>
      <c r="AB47" s="125"/>
      <c r="AC47" s="126">
        <f>SUM('11CL-AC-A-IMUNOL.'!Q39)</f>
        <v>16</v>
      </c>
      <c r="AD47" s="127"/>
      <c r="AE47" s="125"/>
      <c r="AF47" s="123">
        <f>SUM('11CL-AC-A-URINOL.'!Q39)</f>
        <v>11.166666666666666</v>
      </c>
      <c r="AG47" s="129"/>
      <c r="AH47" s="125"/>
      <c r="AI47" s="123">
        <f>SUM('11CL-AC-A-PRASITOL.'!Q39)</f>
        <v>16.333333333333332</v>
      </c>
      <c r="AJ47" s="129"/>
      <c r="AK47" s="125"/>
      <c r="AL47" s="123">
        <f>SUM('11CL-AC-A-ED. FIS'!Q39)</f>
        <v>16</v>
      </c>
      <c r="AM47" s="129"/>
      <c r="AN47" s="125"/>
      <c r="AO47" s="123">
        <f>SUM('11CL-AC-A-AFH'!Q39)</f>
        <v>10</v>
      </c>
      <c r="AP47" s="74" t="s">
        <v>2</v>
      </c>
      <c r="AQ47" s="91">
        <f t="shared" si="0"/>
        <v>13.861111111111112</v>
      </c>
      <c r="AR47" s="160">
        <v>17</v>
      </c>
      <c r="AS47" s="160" t="s">
        <v>1</v>
      </c>
      <c r="AT47" s="69"/>
      <c r="AU47" s="69"/>
      <c r="AV47" s="70"/>
      <c r="AW47" s="70"/>
      <c r="AX47" s="69"/>
      <c r="AY47" s="69"/>
      <c r="AZ47" s="69"/>
      <c r="BA47" s="69"/>
    </row>
    <row r="48" spans="2:53" ht="16.5" customHeight="1" thickBot="1" x14ac:dyDescent="0.35">
      <c r="B48" s="72">
        <v>32</v>
      </c>
      <c r="C48" s="166">
        <v>2990</v>
      </c>
      <c r="D48" s="172" t="s">
        <v>125</v>
      </c>
      <c r="E48" s="60"/>
      <c r="F48" s="80"/>
      <c r="G48" s="61"/>
      <c r="H48" s="123">
        <f>SUM('11CL-AC-A-L PORT'!Q40)</f>
        <v>14.5</v>
      </c>
      <c r="I48" s="124"/>
      <c r="J48" s="125"/>
      <c r="K48" s="126">
        <f>SUM('11CL-AC-A-MAT'!Q40)</f>
        <v>20</v>
      </c>
      <c r="L48" s="127"/>
      <c r="M48" s="125"/>
      <c r="N48" s="123">
        <f>SUM('11CL-AC-A-BIOL'!Q40)</f>
        <v>17.666666666666668</v>
      </c>
      <c r="O48" s="128"/>
      <c r="P48" s="125"/>
      <c r="Q48" s="126">
        <f>SUM('11CL-AC-A-INGLES'!Q40)</f>
        <v>17</v>
      </c>
      <c r="R48" s="127"/>
      <c r="S48" s="125"/>
      <c r="T48" s="123">
        <f>SUM('11CL-AC-A-QCA ORG.'!Q40)</f>
        <v>17.666666666666668</v>
      </c>
      <c r="U48" s="127"/>
      <c r="V48" s="125"/>
      <c r="W48" s="123">
        <f>SUM('11CL-AC-A-MICROBIOL'!Q40)</f>
        <v>15.833333333333334</v>
      </c>
      <c r="X48" s="129"/>
      <c r="Y48" s="125"/>
      <c r="Z48" s="123">
        <f>SUM('11CL-AC-A-HEMAT I'!Q40)</f>
        <v>15.833333333333334</v>
      </c>
      <c r="AA48" s="128"/>
      <c r="AB48" s="125"/>
      <c r="AC48" s="126">
        <f>SUM('11CL-AC-A-IMUNOL.'!Q40)</f>
        <v>18.666666666666668</v>
      </c>
      <c r="AD48" s="127"/>
      <c r="AE48" s="125"/>
      <c r="AF48" s="123">
        <f>SUM('11CL-AC-A-URINOL.'!Q40)</f>
        <v>14.5</v>
      </c>
      <c r="AG48" s="129"/>
      <c r="AH48" s="125"/>
      <c r="AI48" s="123">
        <f>SUM('11CL-AC-A-PRASITOL.'!Q40)</f>
        <v>18.5</v>
      </c>
      <c r="AJ48" s="129"/>
      <c r="AK48" s="125"/>
      <c r="AL48" s="123">
        <f>SUM('11CL-AC-A-ED. FIS'!Q40)</f>
        <v>18</v>
      </c>
      <c r="AM48" s="129"/>
      <c r="AN48" s="125"/>
      <c r="AO48" s="123">
        <f>SUM('11CL-AC-A-AFH'!Q40)</f>
        <v>15.333333333333334</v>
      </c>
      <c r="AP48" s="74" t="s">
        <v>2</v>
      </c>
      <c r="AQ48" s="91">
        <f t="shared" si="0"/>
        <v>16.958333333333332</v>
      </c>
      <c r="AR48" s="160">
        <v>17</v>
      </c>
      <c r="AS48" s="160" t="s">
        <v>0</v>
      </c>
      <c r="AT48" s="69"/>
      <c r="AU48" s="69"/>
      <c r="AV48" s="70"/>
      <c r="AW48" s="70"/>
      <c r="AX48" s="69"/>
      <c r="AY48" s="69"/>
      <c r="AZ48" s="69"/>
      <c r="BA48" s="69"/>
    </row>
    <row r="49" spans="2:53" ht="16.5" customHeight="1" thickBot="1" x14ac:dyDescent="0.35">
      <c r="B49" s="72">
        <v>33</v>
      </c>
      <c r="C49" s="166">
        <v>3215</v>
      </c>
      <c r="D49" s="172" t="s">
        <v>126</v>
      </c>
      <c r="E49" s="60"/>
      <c r="F49" s="80"/>
      <c r="G49" s="61"/>
      <c r="H49" s="123">
        <f>SUM('11CL-AC-A-L PORT'!Q41)</f>
        <v>12.833333333333334</v>
      </c>
      <c r="I49" s="124"/>
      <c r="J49" s="125"/>
      <c r="K49" s="126">
        <f>SUM('11CL-AC-A-MAT'!Q41)</f>
        <v>18.666666666666668</v>
      </c>
      <c r="L49" s="127"/>
      <c r="M49" s="125"/>
      <c r="N49" s="123">
        <f>SUM('11CL-AC-A-BIOL'!Q41)</f>
        <v>17</v>
      </c>
      <c r="O49" s="128"/>
      <c r="P49" s="125"/>
      <c r="Q49" s="126">
        <f>SUM('11CL-AC-A-INGLES'!Q41)</f>
        <v>19</v>
      </c>
      <c r="R49" s="127"/>
      <c r="S49" s="125"/>
      <c r="T49" s="123">
        <f>SUM('11CL-AC-A-QCA ORG.'!Q41)</f>
        <v>16</v>
      </c>
      <c r="U49" s="127"/>
      <c r="V49" s="125"/>
      <c r="W49" s="123">
        <f>SUM('11CL-AC-A-MICROBIOL'!Q41)</f>
        <v>13.166666666666666</v>
      </c>
      <c r="X49" s="129"/>
      <c r="Y49" s="125"/>
      <c r="Z49" s="123">
        <f>SUM('11CL-AC-A-HEMAT I'!Q41)</f>
        <v>13</v>
      </c>
      <c r="AA49" s="128"/>
      <c r="AB49" s="125"/>
      <c r="AC49" s="126">
        <f>SUM('11CL-AC-A-IMUNOL.'!Q41)</f>
        <v>18.166666666666668</v>
      </c>
      <c r="AD49" s="127"/>
      <c r="AE49" s="125"/>
      <c r="AF49" s="123">
        <f>SUM('11CL-AC-A-URINOL.'!Q41)</f>
        <v>13</v>
      </c>
      <c r="AG49" s="129"/>
      <c r="AH49" s="125"/>
      <c r="AI49" s="123">
        <f>SUM('11CL-AC-A-PRASITOL.'!Q41)</f>
        <v>16.666666666666668</v>
      </c>
      <c r="AJ49" s="129"/>
      <c r="AK49" s="125"/>
      <c r="AL49" s="123">
        <f>SUM('11CL-AC-A-ED. FIS'!Q41)</f>
        <v>14</v>
      </c>
      <c r="AM49" s="129"/>
      <c r="AN49" s="125"/>
      <c r="AO49" s="123">
        <f>SUM('11CL-AC-A-AFH'!Q41)</f>
        <v>9.6666666666666661</v>
      </c>
      <c r="AP49" s="74" t="s">
        <v>3</v>
      </c>
      <c r="AQ49" s="91">
        <f t="shared" si="0"/>
        <v>15.097222222222221</v>
      </c>
      <c r="AR49" s="160">
        <v>16</v>
      </c>
      <c r="AS49" s="160" t="s">
        <v>1</v>
      </c>
      <c r="AT49" s="69"/>
      <c r="AU49" s="69"/>
      <c r="AV49" s="70"/>
      <c r="AW49" s="70"/>
      <c r="AX49" s="69"/>
      <c r="AY49" s="69"/>
      <c r="AZ49" s="69"/>
      <c r="BA49" s="69"/>
    </row>
    <row r="50" spans="2:53" ht="16.5" customHeight="1" thickBot="1" x14ac:dyDescent="0.35">
      <c r="B50" s="72">
        <v>34</v>
      </c>
      <c r="C50" s="166">
        <v>3243</v>
      </c>
      <c r="D50" s="172" t="s">
        <v>141</v>
      </c>
      <c r="E50" s="60"/>
      <c r="F50" s="80"/>
      <c r="G50" s="61"/>
      <c r="H50" s="123">
        <f>SUM('11CL-AC-A-L PORT'!Q42)</f>
        <v>12.166666666666666</v>
      </c>
      <c r="I50" s="124"/>
      <c r="J50" s="125"/>
      <c r="K50" s="126">
        <f>SUM('11CL-AC-A-MAT'!Q42)</f>
        <v>15.666666666666666</v>
      </c>
      <c r="L50" s="127"/>
      <c r="M50" s="125"/>
      <c r="N50" s="123">
        <f>SUM('11CL-AC-A-BIOL'!Q42)</f>
        <v>9</v>
      </c>
      <c r="O50" s="128"/>
      <c r="P50" s="125"/>
      <c r="Q50" s="126">
        <f>SUM('11CL-AC-A-INGLES'!Q42)</f>
        <v>15.333333333333334</v>
      </c>
      <c r="R50" s="127"/>
      <c r="S50" s="125"/>
      <c r="T50" s="123">
        <f>SUM('11CL-AC-A-QCA ORG.'!Q42)</f>
        <v>10.666666666666666</v>
      </c>
      <c r="U50" s="127"/>
      <c r="V50" s="125"/>
      <c r="W50" s="123">
        <f>SUM('11CL-AC-A-MICROBIOL'!Q42)</f>
        <v>10.666666666666666</v>
      </c>
      <c r="X50" s="129"/>
      <c r="Y50" s="125"/>
      <c r="Z50" s="123">
        <f>SUM('11CL-AC-A-HEMAT I'!Q42)</f>
        <v>6.166666666666667</v>
      </c>
      <c r="AA50" s="128"/>
      <c r="AB50" s="125"/>
      <c r="AC50" s="126">
        <f>SUM('11CL-AC-A-IMUNOL.'!Q42)</f>
        <v>10.333333333333334</v>
      </c>
      <c r="AD50" s="127"/>
      <c r="AE50" s="125"/>
      <c r="AF50" s="123">
        <f>SUM('11CL-AC-A-URINOL.'!Q42)</f>
        <v>5.333333333333333</v>
      </c>
      <c r="AG50" s="129"/>
      <c r="AH50" s="125"/>
      <c r="AI50" s="123">
        <f>SUM('11CL-AC-A-PRASITOL.'!Q42)</f>
        <v>14.833333333333334</v>
      </c>
      <c r="AJ50" s="129"/>
      <c r="AK50" s="125"/>
      <c r="AL50" s="123">
        <f>SUM('11CL-AC-A-ED. FIS'!Q42)</f>
        <v>0</v>
      </c>
      <c r="AM50" s="129"/>
      <c r="AN50" s="125"/>
      <c r="AO50" s="123">
        <f>SUM('11CL-AC-A-AFH'!Q42)</f>
        <v>9.6666666666666661</v>
      </c>
      <c r="AP50" s="74" t="s">
        <v>3</v>
      </c>
      <c r="AQ50" s="91">
        <f t="shared" si="0"/>
        <v>9.9861111111111107</v>
      </c>
      <c r="AR50" s="160">
        <v>17</v>
      </c>
      <c r="AS50" s="160" t="s">
        <v>1</v>
      </c>
      <c r="AT50" s="69"/>
      <c r="AU50" s="69"/>
      <c r="AV50" s="70"/>
      <c r="AW50" s="70"/>
      <c r="AX50" s="69"/>
      <c r="AY50" s="69"/>
      <c r="AZ50" s="69"/>
      <c r="BA50" s="69"/>
    </row>
    <row r="51" spans="2:53" ht="16.5" customHeight="1" thickBot="1" x14ac:dyDescent="0.35">
      <c r="B51" s="72">
        <v>35</v>
      </c>
      <c r="C51" s="168">
        <v>3487</v>
      </c>
      <c r="D51" s="174" t="s">
        <v>127</v>
      </c>
      <c r="E51" s="60"/>
      <c r="F51" s="80"/>
      <c r="G51" s="61"/>
      <c r="H51" s="123">
        <f>SUM('11CL-AC-A-L PORT'!Q43)</f>
        <v>10.833333333333334</v>
      </c>
      <c r="I51" s="124"/>
      <c r="J51" s="125"/>
      <c r="K51" s="126">
        <f>SUM('11CL-AC-A-MAT'!Q43)</f>
        <v>11.333333333333334</v>
      </c>
      <c r="L51" s="127"/>
      <c r="M51" s="125"/>
      <c r="N51" s="123">
        <f>SUM('11CL-AC-A-BIOL'!Q43)</f>
        <v>11.666666666666666</v>
      </c>
      <c r="O51" s="128"/>
      <c r="P51" s="125"/>
      <c r="Q51" s="126">
        <f>SUM('11CL-AC-A-INGLES'!Q43)</f>
        <v>18</v>
      </c>
      <c r="R51" s="127"/>
      <c r="S51" s="125"/>
      <c r="T51" s="123">
        <f>SUM('11CL-AC-A-QCA ORG.'!Q43)</f>
        <v>10.166666666666666</v>
      </c>
      <c r="U51" s="127"/>
      <c r="V51" s="125"/>
      <c r="W51" s="123">
        <f>SUM('11CL-AC-A-MICROBIOL'!Q43)</f>
        <v>12.333333333333334</v>
      </c>
      <c r="X51" s="129"/>
      <c r="Y51" s="125"/>
      <c r="Z51" s="123">
        <f>SUM('11CL-AC-A-HEMAT I'!Q43)</f>
        <v>10.833333333333334</v>
      </c>
      <c r="AA51" s="128"/>
      <c r="AB51" s="125"/>
      <c r="AC51" s="126">
        <f>SUM('11CL-AC-A-IMUNOL.'!Q43)</f>
        <v>13</v>
      </c>
      <c r="AD51" s="127"/>
      <c r="AE51" s="125"/>
      <c r="AF51" s="123">
        <f>SUM('11CL-AC-A-URINOL.'!Q43)</f>
        <v>13.166666666666666</v>
      </c>
      <c r="AG51" s="129"/>
      <c r="AH51" s="125"/>
      <c r="AI51" s="123">
        <f>SUM('11CL-AC-A-PRASITOL.'!Q43)</f>
        <v>16.166666666666668</v>
      </c>
      <c r="AJ51" s="129"/>
      <c r="AK51" s="125"/>
      <c r="AL51" s="123">
        <f>SUM('11CL-AC-A-ED. FIS'!Q43)</f>
        <v>16</v>
      </c>
      <c r="AM51" s="129"/>
      <c r="AN51" s="125"/>
      <c r="AO51" s="123">
        <f>SUM('11CL-AC-A-AFH'!Q43)</f>
        <v>10</v>
      </c>
      <c r="AP51" s="74" t="s">
        <v>2</v>
      </c>
      <c r="AQ51" s="91">
        <f t="shared" si="0"/>
        <v>12.791666666666666</v>
      </c>
      <c r="AR51" s="163">
        <v>16</v>
      </c>
      <c r="AS51" s="163" t="s">
        <v>1</v>
      </c>
      <c r="AT51" s="69"/>
      <c r="AU51" s="69"/>
      <c r="AV51" s="70"/>
      <c r="AW51" s="70"/>
      <c r="AX51" s="69"/>
      <c r="AY51" s="69"/>
      <c r="AZ51" s="69"/>
      <c r="BA51" s="69"/>
    </row>
    <row r="52" spans="2:53" ht="16.5" customHeight="1" thickBot="1" x14ac:dyDescent="0.35">
      <c r="B52" s="72">
        <v>36</v>
      </c>
      <c r="C52" s="166">
        <v>3401</v>
      </c>
      <c r="D52" s="172" t="s">
        <v>128</v>
      </c>
      <c r="E52" s="60"/>
      <c r="F52" s="80"/>
      <c r="G52" s="61"/>
      <c r="H52" s="123">
        <f>SUM('11CL-AC-A-L PORT'!Q44)</f>
        <v>10.166666666666666</v>
      </c>
      <c r="I52" s="124"/>
      <c r="J52" s="125"/>
      <c r="K52" s="126">
        <f>SUM('11CL-AC-A-MAT'!Q44)</f>
        <v>14.666666666666666</v>
      </c>
      <c r="L52" s="127"/>
      <c r="M52" s="125"/>
      <c r="N52" s="123">
        <f>SUM('11CL-AC-A-BIOL'!Q44)</f>
        <v>9.3333333333333339</v>
      </c>
      <c r="O52" s="128"/>
      <c r="P52" s="125"/>
      <c r="Q52" s="126">
        <f>SUM('11CL-AC-A-INGLES'!Q44)</f>
        <v>11</v>
      </c>
      <c r="R52" s="127"/>
      <c r="S52" s="125"/>
      <c r="T52" s="123">
        <f>SUM('11CL-AC-A-QCA ORG.'!Q44)</f>
        <v>3</v>
      </c>
      <c r="U52" s="127"/>
      <c r="V52" s="125"/>
      <c r="W52" s="123">
        <f>SUM('11CL-AC-A-MICROBIOL'!Q44)</f>
        <v>11.833333333333334</v>
      </c>
      <c r="X52" s="129"/>
      <c r="Y52" s="125"/>
      <c r="Z52" s="123">
        <f>SUM('11CL-AC-A-HEMAT I'!Q44)</f>
        <v>6.833333333333333</v>
      </c>
      <c r="AA52" s="128"/>
      <c r="AB52" s="125"/>
      <c r="AC52" s="126">
        <f>SUM('11CL-AC-A-IMUNOL.'!Q44)</f>
        <v>11</v>
      </c>
      <c r="AD52" s="127"/>
      <c r="AE52" s="125"/>
      <c r="AF52" s="123">
        <f>SUM('11CL-AC-A-URINOL.'!Q44)</f>
        <v>10.166666666666666</v>
      </c>
      <c r="AG52" s="129"/>
      <c r="AH52" s="125"/>
      <c r="AI52" s="123">
        <f>SUM('11CL-AC-A-PRASITOL.'!Q44)</f>
        <v>15.166666666666666</v>
      </c>
      <c r="AJ52" s="129"/>
      <c r="AK52" s="125"/>
      <c r="AL52" s="123">
        <f>SUM('11CL-AC-A-ED. FIS'!Q44)</f>
        <v>5</v>
      </c>
      <c r="AM52" s="129"/>
      <c r="AN52" s="125"/>
      <c r="AO52" s="123">
        <f>SUM('11CL-AC-A-AFH'!Q44)</f>
        <v>12.333333333333334</v>
      </c>
      <c r="AP52" s="74" t="s">
        <v>3</v>
      </c>
      <c r="AQ52" s="91">
        <f t="shared" si="0"/>
        <v>10.041666666666666</v>
      </c>
      <c r="AR52" s="160">
        <v>17</v>
      </c>
      <c r="AS52" s="160" t="s">
        <v>1</v>
      </c>
      <c r="AT52" s="69"/>
      <c r="AU52" s="69"/>
      <c r="AV52" s="70"/>
      <c r="AW52" s="70"/>
      <c r="AX52" s="69"/>
      <c r="AY52" s="69"/>
      <c r="AZ52" s="69"/>
      <c r="BA52" s="69"/>
    </row>
    <row r="53" spans="2:53" ht="16.5" customHeight="1" thickBot="1" x14ac:dyDescent="0.35">
      <c r="B53" s="72">
        <v>37</v>
      </c>
      <c r="C53" s="166">
        <v>2849</v>
      </c>
      <c r="D53" s="172" t="s">
        <v>129</v>
      </c>
      <c r="E53" s="60"/>
      <c r="F53" s="80"/>
      <c r="G53" s="61"/>
      <c r="H53" s="123">
        <f>SUM('11CL-AC-A-L PORT'!Q45)</f>
        <v>11</v>
      </c>
      <c r="I53" s="124"/>
      <c r="J53" s="125"/>
      <c r="K53" s="126">
        <f>SUM('11CL-AC-A-MAT'!Q45)</f>
        <v>14.333333333333334</v>
      </c>
      <c r="L53" s="127"/>
      <c r="M53" s="125"/>
      <c r="N53" s="123">
        <f>SUM('11CL-AC-A-BIOL'!Q45)</f>
        <v>10</v>
      </c>
      <c r="O53" s="128"/>
      <c r="P53" s="125"/>
      <c r="Q53" s="126">
        <f>SUM('11CL-AC-A-INGLES'!Q45)</f>
        <v>10.333333333333334</v>
      </c>
      <c r="R53" s="127"/>
      <c r="S53" s="125"/>
      <c r="T53" s="123">
        <f>SUM('11CL-AC-A-QCA ORG.'!Q45)</f>
        <v>5.666666666666667</v>
      </c>
      <c r="U53" s="127"/>
      <c r="V53" s="125"/>
      <c r="W53" s="123">
        <f>SUM('11CL-AC-A-MICROBIOL'!Q45)</f>
        <v>13</v>
      </c>
      <c r="X53" s="129"/>
      <c r="Y53" s="125"/>
      <c r="Z53" s="123">
        <f>SUM('11CL-AC-A-HEMAT I'!Q45)</f>
        <v>11.5</v>
      </c>
      <c r="AA53" s="128"/>
      <c r="AB53" s="125"/>
      <c r="AC53" s="126">
        <f>SUM('11CL-AC-A-IMUNOL.'!Q45)</f>
        <v>16.666666666666668</v>
      </c>
      <c r="AD53" s="127"/>
      <c r="AE53" s="125"/>
      <c r="AF53" s="123">
        <f>SUM('11CL-AC-A-URINOL.'!Q45)</f>
        <v>11.666666666666666</v>
      </c>
      <c r="AG53" s="129"/>
      <c r="AH53" s="125"/>
      <c r="AI53" s="123">
        <f>SUM('11CL-AC-A-PRASITOL.'!Q45)</f>
        <v>12.5</v>
      </c>
      <c r="AJ53" s="129"/>
      <c r="AK53" s="125"/>
      <c r="AL53" s="123">
        <f>SUM('11CL-AC-A-ED. FIS'!Q45)</f>
        <v>6.333333333333333</v>
      </c>
      <c r="AM53" s="129"/>
      <c r="AN53" s="125"/>
      <c r="AO53" s="123">
        <f>SUM('11CL-AC-A-AFH'!Q45)</f>
        <v>9</v>
      </c>
      <c r="AP53" s="74" t="s">
        <v>3</v>
      </c>
      <c r="AQ53" s="91">
        <f t="shared" si="0"/>
        <v>11</v>
      </c>
      <c r="AR53" s="160">
        <v>17</v>
      </c>
      <c r="AS53" s="160" t="s">
        <v>0</v>
      </c>
      <c r="AT53" s="69"/>
      <c r="AU53" s="69"/>
      <c r="AV53" s="70"/>
      <c r="AW53" s="70"/>
      <c r="AX53" s="69"/>
      <c r="AY53" s="69"/>
      <c r="AZ53" s="69"/>
      <c r="BA53" s="69"/>
    </row>
    <row r="54" spans="2:53" s="62" customFormat="1" ht="16.5" customHeight="1" thickBot="1" x14ac:dyDescent="0.35">
      <c r="B54" s="72">
        <v>38</v>
      </c>
      <c r="C54" s="166">
        <v>3360</v>
      </c>
      <c r="D54" s="172" t="s">
        <v>130</v>
      </c>
      <c r="E54" s="60"/>
      <c r="F54" s="80"/>
      <c r="G54" s="61"/>
      <c r="H54" s="123">
        <f>SUM('11CL-AC-A-L PORT'!Q46)</f>
        <v>9.6666666666666661</v>
      </c>
      <c r="I54" s="124"/>
      <c r="J54" s="125"/>
      <c r="K54" s="126">
        <f>SUM('11CL-AC-A-MAT'!Q46)</f>
        <v>15</v>
      </c>
      <c r="L54" s="127"/>
      <c r="M54" s="125"/>
      <c r="N54" s="123">
        <f>SUM('11CL-AC-A-BIOL'!Q46)</f>
        <v>9.3333333333333339</v>
      </c>
      <c r="O54" s="128"/>
      <c r="P54" s="125"/>
      <c r="Q54" s="126">
        <f>SUM('11CL-AC-A-INGLES'!Q46)</f>
        <v>16.333333333333332</v>
      </c>
      <c r="R54" s="127"/>
      <c r="S54" s="125"/>
      <c r="T54" s="123">
        <f>SUM('11CL-AC-A-QCA ORG.'!Q46)</f>
        <v>9.5</v>
      </c>
      <c r="U54" s="127"/>
      <c r="V54" s="125"/>
      <c r="W54" s="123">
        <f>SUM('11CL-AC-A-MICROBIOL'!Q46)</f>
        <v>12.5</v>
      </c>
      <c r="X54" s="129"/>
      <c r="Y54" s="125"/>
      <c r="Z54" s="123">
        <f>SUM('11CL-AC-A-HEMAT I'!Q46)</f>
        <v>11.5</v>
      </c>
      <c r="AA54" s="128"/>
      <c r="AB54" s="125"/>
      <c r="AC54" s="126">
        <f>SUM('11CL-AC-A-IMUNOL.'!Q46)</f>
        <v>10.666666666666666</v>
      </c>
      <c r="AD54" s="127"/>
      <c r="AE54" s="125"/>
      <c r="AF54" s="123">
        <f>SUM('11CL-AC-A-URINOL.'!Q46)</f>
        <v>9.1666666666666661</v>
      </c>
      <c r="AG54" s="129"/>
      <c r="AH54" s="125"/>
      <c r="AI54" s="123">
        <f>SUM('11CL-AC-A-PRASITOL.'!Q46)</f>
        <v>12.166666666666666</v>
      </c>
      <c r="AJ54" s="129"/>
      <c r="AK54" s="125"/>
      <c r="AL54" s="123">
        <f>SUM('11CL-AC-A-ED. FIS'!Q46)</f>
        <v>12</v>
      </c>
      <c r="AM54" s="129"/>
      <c r="AN54" s="125"/>
      <c r="AO54" s="123">
        <f>SUM('11CL-AC-A-AFH'!Q46)</f>
        <v>8.6666666666666661</v>
      </c>
      <c r="AP54" s="74" t="s">
        <v>3</v>
      </c>
      <c r="AQ54" s="91">
        <f t="shared" si="0"/>
        <v>11.375</v>
      </c>
      <c r="AR54" s="160">
        <v>16</v>
      </c>
      <c r="AS54" s="160" t="s">
        <v>1</v>
      </c>
    </row>
    <row r="55" spans="2:53" ht="16.5" customHeight="1" thickBot="1" x14ac:dyDescent="0.35">
      <c r="B55" s="72">
        <v>39</v>
      </c>
      <c r="C55" s="169">
        <v>3364</v>
      </c>
      <c r="D55" s="172" t="s">
        <v>131</v>
      </c>
      <c r="E55" s="76"/>
      <c r="F55" s="80"/>
      <c r="G55" s="61"/>
      <c r="H55" s="123">
        <f>SUM('11CL-AC-A-L PORT'!Q47)</f>
        <v>12</v>
      </c>
      <c r="I55" s="124"/>
      <c r="J55" s="125"/>
      <c r="K55" s="126">
        <f>SUM('11CL-AC-A-MAT'!Q47)</f>
        <v>14</v>
      </c>
      <c r="L55" s="127"/>
      <c r="M55" s="125"/>
      <c r="N55" s="123">
        <f>SUM('11CL-AC-A-BIOL'!Q47)</f>
        <v>10.333333333333334</v>
      </c>
      <c r="O55" s="128"/>
      <c r="P55" s="125"/>
      <c r="Q55" s="126">
        <f>SUM('11CL-AC-A-INGLES'!Q47)</f>
        <v>13.666666666666666</v>
      </c>
      <c r="R55" s="127"/>
      <c r="S55" s="125"/>
      <c r="T55" s="123">
        <f>SUM('11CL-AC-A-QCA ORG.'!Q47)</f>
        <v>9.6666666666666661</v>
      </c>
      <c r="U55" s="127"/>
      <c r="V55" s="125"/>
      <c r="W55" s="123">
        <f>SUM('11CL-AC-A-MICROBIOL'!Q47)</f>
        <v>14</v>
      </c>
      <c r="X55" s="129"/>
      <c r="Y55" s="125"/>
      <c r="Z55" s="123">
        <f>SUM('11CL-AC-A-HEMAT I'!Q47)</f>
        <v>10.5</v>
      </c>
      <c r="AA55" s="128"/>
      <c r="AB55" s="125"/>
      <c r="AC55" s="126">
        <f>SUM('11CL-AC-A-IMUNOL.'!Q47)</f>
        <v>12.333333333333334</v>
      </c>
      <c r="AD55" s="127"/>
      <c r="AE55" s="125"/>
      <c r="AF55" s="123">
        <f>SUM('11CL-AC-A-URINOL.'!Q47)</f>
        <v>10.333333333333334</v>
      </c>
      <c r="AG55" s="129"/>
      <c r="AH55" s="125"/>
      <c r="AI55" s="123">
        <f>SUM('11CL-AC-A-PRASITOL.'!Q47)</f>
        <v>16.333333333333332</v>
      </c>
      <c r="AJ55" s="129"/>
      <c r="AK55" s="125"/>
      <c r="AL55" s="123">
        <f>SUM('11CL-AC-A-ED. FIS'!Q47)</f>
        <v>12</v>
      </c>
      <c r="AM55" s="129"/>
      <c r="AN55" s="125"/>
      <c r="AO55" s="123">
        <f>SUM('11CL-AC-A-AFH'!Q47)</f>
        <v>12.666666666666666</v>
      </c>
      <c r="AP55" s="74" t="s">
        <v>3</v>
      </c>
      <c r="AQ55" s="91">
        <f t="shared" si="0"/>
        <v>12.319444444444441</v>
      </c>
      <c r="AR55" s="160">
        <v>17</v>
      </c>
      <c r="AS55" s="160" t="s">
        <v>1</v>
      </c>
    </row>
    <row r="56" spans="2:53" ht="16.5" customHeight="1" thickBot="1" x14ac:dyDescent="0.35">
      <c r="B56" s="72">
        <v>40</v>
      </c>
      <c r="C56" s="166">
        <v>2867</v>
      </c>
      <c r="D56" s="172" t="s">
        <v>132</v>
      </c>
      <c r="E56" s="60"/>
      <c r="F56" s="80"/>
      <c r="G56" s="61"/>
      <c r="H56" s="123">
        <f>SUM('11CL-AC-A-L PORT'!Q48)</f>
        <v>10.5</v>
      </c>
      <c r="I56" s="124"/>
      <c r="J56" s="125"/>
      <c r="K56" s="126">
        <f>SUM('11CL-AC-A-MAT'!Q48)</f>
        <v>15.666666666666666</v>
      </c>
      <c r="L56" s="127"/>
      <c r="M56" s="125"/>
      <c r="N56" s="123">
        <f>SUM('11CL-AC-A-BIOL'!Q48)</f>
        <v>11.666666666666666</v>
      </c>
      <c r="O56" s="128"/>
      <c r="P56" s="125"/>
      <c r="Q56" s="126">
        <f>SUM('11CL-AC-A-INGLES'!Q48)</f>
        <v>19</v>
      </c>
      <c r="R56" s="127"/>
      <c r="S56" s="125"/>
      <c r="T56" s="123">
        <f>SUM('11CL-AC-A-QCA ORG.'!Q48)</f>
        <v>12.666666666666666</v>
      </c>
      <c r="U56" s="127"/>
      <c r="V56" s="125"/>
      <c r="W56" s="123">
        <f>SUM('11CL-AC-A-MICROBIOL'!Q48)</f>
        <v>12.833333333333334</v>
      </c>
      <c r="X56" s="129"/>
      <c r="Y56" s="125"/>
      <c r="Z56" s="123">
        <f>SUM('11CL-AC-A-HEMAT I'!Q48)</f>
        <v>14</v>
      </c>
      <c r="AA56" s="128"/>
      <c r="AB56" s="125"/>
      <c r="AC56" s="126">
        <f>SUM('11CL-AC-A-IMUNOL.'!Q48)</f>
        <v>16.666666666666668</v>
      </c>
      <c r="AD56" s="127"/>
      <c r="AE56" s="125"/>
      <c r="AF56" s="123">
        <f>SUM('11CL-AC-A-URINOL.'!Q48)</f>
        <v>10.166666666666666</v>
      </c>
      <c r="AG56" s="129"/>
      <c r="AH56" s="125"/>
      <c r="AI56" s="123">
        <f>SUM('11CL-AC-A-PRASITOL.'!Q48)</f>
        <v>16</v>
      </c>
      <c r="AJ56" s="129"/>
      <c r="AK56" s="125"/>
      <c r="AL56" s="123">
        <f>SUM('11CL-AC-A-ED. FIS'!Q48)</f>
        <v>15</v>
      </c>
      <c r="AM56" s="129"/>
      <c r="AN56" s="125"/>
      <c r="AO56" s="123">
        <f>SUM('11CL-AC-A-AFH'!Q48)</f>
        <v>10</v>
      </c>
      <c r="AP56" s="74" t="s">
        <v>2</v>
      </c>
      <c r="AQ56" s="91">
        <f t="shared" si="0"/>
        <v>13.680555555555557</v>
      </c>
      <c r="AR56" s="160">
        <v>17</v>
      </c>
      <c r="AS56" s="160" t="s">
        <v>1</v>
      </c>
    </row>
    <row r="57" spans="2:53" ht="16.5" customHeight="1" thickBot="1" x14ac:dyDescent="0.35">
      <c r="B57" s="72">
        <v>41</v>
      </c>
      <c r="C57" s="166">
        <v>3408</v>
      </c>
      <c r="D57" s="172" t="s">
        <v>133</v>
      </c>
      <c r="E57" s="60"/>
      <c r="F57" s="80"/>
      <c r="G57" s="61"/>
      <c r="H57" s="123">
        <f>SUM('11CL-AC-A-L PORT'!Q49)</f>
        <v>11</v>
      </c>
      <c r="I57" s="124"/>
      <c r="J57" s="125"/>
      <c r="K57" s="126">
        <f>SUM('11CL-AC-A-MAT'!Q49)</f>
        <v>12.333333333333334</v>
      </c>
      <c r="L57" s="127"/>
      <c r="M57" s="125"/>
      <c r="N57" s="123">
        <f>SUM('11CL-AC-A-BIOL'!Q49)</f>
        <v>9.6666666666666661</v>
      </c>
      <c r="O57" s="128"/>
      <c r="P57" s="125"/>
      <c r="Q57" s="126">
        <f>SUM('11CL-AC-A-INGLES'!Q49)</f>
        <v>11.333333333333334</v>
      </c>
      <c r="R57" s="127"/>
      <c r="S57" s="125"/>
      <c r="T57" s="123">
        <f>SUM('11CL-AC-A-QCA ORG.'!Q49)</f>
        <v>4.666666666666667</v>
      </c>
      <c r="U57" s="127"/>
      <c r="V57" s="125"/>
      <c r="W57" s="123">
        <f>SUM('11CL-AC-A-MICROBIOL'!Q49)</f>
        <v>11.166666666666666</v>
      </c>
      <c r="X57" s="129"/>
      <c r="Y57" s="125"/>
      <c r="Z57" s="123">
        <f>SUM('11CL-AC-A-HEMAT I'!Q49)</f>
        <v>15.333333333333334</v>
      </c>
      <c r="AA57" s="128"/>
      <c r="AB57" s="125"/>
      <c r="AC57" s="126">
        <f>SUM('11CL-AC-A-IMUNOL.'!Q49)</f>
        <v>15</v>
      </c>
      <c r="AD57" s="127"/>
      <c r="AE57" s="125"/>
      <c r="AF57" s="123">
        <f>SUM('11CL-AC-A-URINOL.'!Q49)</f>
        <v>11.666666666666666</v>
      </c>
      <c r="AG57" s="129"/>
      <c r="AH57" s="125"/>
      <c r="AI57" s="123">
        <f>SUM('11CL-AC-A-PRASITOL.'!Q49)</f>
        <v>16.166666666666668</v>
      </c>
      <c r="AJ57" s="129"/>
      <c r="AK57" s="125"/>
      <c r="AL57" s="123">
        <f>SUM('11CL-AC-A-ED. FIS'!Q49)</f>
        <v>14</v>
      </c>
      <c r="AM57" s="129"/>
      <c r="AN57" s="125"/>
      <c r="AO57" s="123">
        <f>SUM('11CL-AC-A-AFH'!Q49)</f>
        <v>12</v>
      </c>
      <c r="AP57" s="74" t="s">
        <v>3</v>
      </c>
      <c r="AQ57" s="91">
        <f t="shared" si="0"/>
        <v>12.027777777777779</v>
      </c>
      <c r="AR57" s="160">
        <v>16</v>
      </c>
      <c r="AS57" s="160" t="s">
        <v>1</v>
      </c>
    </row>
    <row r="58" spans="2:53" ht="16.5" customHeight="1" thickBot="1" x14ac:dyDescent="0.35">
      <c r="B58" s="72">
        <v>42</v>
      </c>
      <c r="C58" s="166">
        <v>2816</v>
      </c>
      <c r="D58" s="172" t="s">
        <v>134</v>
      </c>
      <c r="E58" s="60"/>
      <c r="F58" s="80"/>
      <c r="G58" s="61"/>
      <c r="H58" s="123">
        <f>SUM('11CL-AC-A-L PORT'!Q50)</f>
        <v>14</v>
      </c>
      <c r="I58" s="124"/>
      <c r="J58" s="125"/>
      <c r="K58" s="126">
        <f>SUM('11CL-AC-A-MAT'!Q50)</f>
        <v>17.333333333333332</v>
      </c>
      <c r="L58" s="127"/>
      <c r="M58" s="125"/>
      <c r="N58" s="123">
        <f>SUM('11CL-AC-A-BIOL'!Q50)</f>
        <v>15.666666666666666</v>
      </c>
      <c r="O58" s="128"/>
      <c r="P58" s="125"/>
      <c r="Q58" s="126">
        <f>SUM('11CL-AC-A-INGLES'!Q50)</f>
        <v>19</v>
      </c>
      <c r="R58" s="127"/>
      <c r="S58" s="125"/>
      <c r="T58" s="123">
        <f>SUM('11CL-AC-A-QCA ORG.'!Q50)</f>
        <v>19.333333333333332</v>
      </c>
      <c r="U58" s="127"/>
      <c r="V58" s="125"/>
      <c r="W58" s="123">
        <f>SUM('11CL-AC-A-MICROBIOL'!Q50)</f>
        <v>15</v>
      </c>
      <c r="X58" s="129"/>
      <c r="Y58" s="125"/>
      <c r="Z58" s="123">
        <f>SUM('11CL-AC-A-HEMAT I'!Q50)</f>
        <v>17.5</v>
      </c>
      <c r="AA58" s="128"/>
      <c r="AB58" s="125"/>
      <c r="AC58" s="126">
        <f>SUM('11CL-AC-A-IMUNOL.'!Q50)</f>
        <v>18.666666666666668</v>
      </c>
      <c r="AD58" s="127"/>
      <c r="AE58" s="125"/>
      <c r="AF58" s="123">
        <f>SUM('11CL-AC-A-URINOL.'!Q50)</f>
        <v>15.666666666666666</v>
      </c>
      <c r="AG58" s="129"/>
      <c r="AH58" s="125"/>
      <c r="AI58" s="123">
        <f>SUM('11CL-AC-A-PRASITOL.'!Q50)</f>
        <v>16</v>
      </c>
      <c r="AJ58" s="129"/>
      <c r="AK58" s="125"/>
      <c r="AL58" s="123">
        <f>SUM('11CL-AC-A-ED. FIS'!Q50)</f>
        <v>15</v>
      </c>
      <c r="AM58" s="129"/>
      <c r="AN58" s="125"/>
      <c r="AO58" s="123">
        <f>SUM('11CL-AC-A-AFH'!Q50)</f>
        <v>12.666666666666666</v>
      </c>
      <c r="AP58" s="74" t="s">
        <v>2</v>
      </c>
      <c r="AQ58" s="91">
        <f t="shared" si="0"/>
        <v>16.319444444444443</v>
      </c>
      <c r="AR58" s="160">
        <v>16</v>
      </c>
      <c r="AS58" s="160" t="s">
        <v>0</v>
      </c>
    </row>
    <row r="59" spans="2:53" ht="16.5" customHeight="1" thickBot="1" x14ac:dyDescent="0.35">
      <c r="B59" s="72">
        <v>43</v>
      </c>
      <c r="C59" s="169">
        <v>3152</v>
      </c>
      <c r="D59" s="172" t="s">
        <v>135</v>
      </c>
      <c r="E59" s="60"/>
      <c r="F59" s="80"/>
      <c r="G59" s="61"/>
      <c r="H59" s="123">
        <f>SUM('11CL-AC-A-L PORT'!Q51)</f>
        <v>9</v>
      </c>
      <c r="I59" s="124"/>
      <c r="J59" s="125"/>
      <c r="K59" s="126">
        <f>SUM('11CL-AC-A-MAT'!Q51)</f>
        <v>11.666666666666666</v>
      </c>
      <c r="L59" s="127"/>
      <c r="M59" s="125"/>
      <c r="N59" s="123">
        <f>SUM('11CL-AC-A-BIOL'!Q51)</f>
        <v>8.6666666666666661</v>
      </c>
      <c r="O59" s="128"/>
      <c r="P59" s="125"/>
      <c r="Q59" s="126">
        <f>SUM('11CL-AC-A-INGLES'!Q51)</f>
        <v>13</v>
      </c>
      <c r="R59" s="127"/>
      <c r="S59" s="125"/>
      <c r="T59" s="123">
        <f>SUM('11CL-AC-A-QCA ORG.'!Q51)</f>
        <v>6</v>
      </c>
      <c r="U59" s="127"/>
      <c r="V59" s="125"/>
      <c r="W59" s="123">
        <f>SUM('11CL-AC-A-MICROBIOL'!Q51)</f>
        <v>12</v>
      </c>
      <c r="X59" s="129"/>
      <c r="Y59" s="125"/>
      <c r="Z59" s="123">
        <f>SUM('11CL-AC-A-HEMAT I'!Q51)</f>
        <v>10.5</v>
      </c>
      <c r="AA59" s="128"/>
      <c r="AB59" s="125"/>
      <c r="AC59" s="126">
        <f>SUM('11CL-AC-A-IMUNOL.'!Q51)</f>
        <v>7.833333333333333</v>
      </c>
      <c r="AD59" s="127"/>
      <c r="AE59" s="125"/>
      <c r="AF59" s="123">
        <f>SUM('11CL-AC-A-URINOL.'!Q51)</f>
        <v>8.1666666666666661</v>
      </c>
      <c r="AG59" s="129"/>
      <c r="AH59" s="125"/>
      <c r="AI59" s="123">
        <f>SUM('11CL-AC-A-PRASITOL.'!Q51)</f>
        <v>16.333333333333332</v>
      </c>
      <c r="AJ59" s="129"/>
      <c r="AK59" s="125"/>
      <c r="AL59" s="123">
        <f>SUM('11CL-AC-A-ED. FIS'!Q51)</f>
        <v>14</v>
      </c>
      <c r="AM59" s="129"/>
      <c r="AN59" s="125"/>
      <c r="AO59" s="123">
        <f>SUM('11CL-AC-A-AFH'!Q51)</f>
        <v>10</v>
      </c>
      <c r="AP59" s="74" t="s">
        <v>3</v>
      </c>
      <c r="AQ59" s="91">
        <f t="shared" si="0"/>
        <v>10.597222222222221</v>
      </c>
      <c r="AR59" s="160">
        <v>17</v>
      </c>
      <c r="AS59" s="160" t="s">
        <v>1</v>
      </c>
    </row>
    <row r="60" spans="2:53" s="62" customFormat="1" ht="16.5" customHeight="1" thickBot="1" x14ac:dyDescent="0.35">
      <c r="B60" s="72">
        <v>44</v>
      </c>
      <c r="C60" s="170">
        <v>3628</v>
      </c>
      <c r="D60" s="175" t="s">
        <v>136</v>
      </c>
      <c r="E60" s="63"/>
      <c r="F60" s="81"/>
      <c r="G60" s="64"/>
      <c r="H60" s="130">
        <f>SUM('11CL-AC-A-L PORT'!Q52)</f>
        <v>11</v>
      </c>
      <c r="I60" s="131"/>
      <c r="J60" s="132"/>
      <c r="K60" s="133">
        <f>SUM('11CL-AC-A-MAT'!Q52)</f>
        <v>13.333333333333334</v>
      </c>
      <c r="L60" s="134"/>
      <c r="M60" s="132"/>
      <c r="N60" s="130">
        <f>SUM('11CL-AC-A-BIOL'!Q52)</f>
        <v>11</v>
      </c>
      <c r="O60" s="135"/>
      <c r="P60" s="132"/>
      <c r="Q60" s="133">
        <f>SUM('11CL-AC-A-INGLES'!Q52)</f>
        <v>15.333333333333334</v>
      </c>
      <c r="R60" s="134"/>
      <c r="S60" s="132"/>
      <c r="T60" s="130">
        <f>SUM('11CL-AC-A-QCA ORG.'!Q52)</f>
        <v>15.333333333333334</v>
      </c>
      <c r="U60" s="134"/>
      <c r="V60" s="132"/>
      <c r="W60" s="130">
        <f>SUM('11CL-AC-A-MICROBIOL'!Q52)</f>
        <v>12</v>
      </c>
      <c r="X60" s="136"/>
      <c r="Y60" s="132"/>
      <c r="Z60" s="130">
        <f>SUM('11CL-AC-A-HEMAT I'!Q52)</f>
        <v>12.833333333333334</v>
      </c>
      <c r="AA60" s="135"/>
      <c r="AB60" s="132"/>
      <c r="AC60" s="133">
        <f>SUM('11CL-AC-A-IMUNOL.'!Q52)</f>
        <v>9.6666666666666661</v>
      </c>
      <c r="AD60" s="134"/>
      <c r="AE60" s="132"/>
      <c r="AF60" s="130">
        <f>SUM('11CL-AC-A-URINOL.'!Q52)</f>
        <v>14.5</v>
      </c>
      <c r="AG60" s="136"/>
      <c r="AH60" s="132"/>
      <c r="AI60" s="130">
        <f>SUM('11CL-AC-A-PRASITOL.'!Q52)</f>
        <v>16.333333333333332</v>
      </c>
      <c r="AJ60" s="136"/>
      <c r="AK60" s="132"/>
      <c r="AL60" s="130">
        <f>SUM('11CL-AC-A-ED. FIS'!Q52)</f>
        <v>14</v>
      </c>
      <c r="AM60" s="136"/>
      <c r="AN60" s="132"/>
      <c r="AO60" s="130">
        <f>SUM('11CL-AC-A-AFH'!Q52)</f>
        <v>10.333333333333334</v>
      </c>
      <c r="AP60" s="75" t="s">
        <v>3</v>
      </c>
      <c r="AQ60" s="92">
        <f t="shared" si="0"/>
        <v>12.972222222222223</v>
      </c>
      <c r="AR60" s="160">
        <v>16</v>
      </c>
      <c r="AS60" s="160" t="s">
        <v>1</v>
      </c>
    </row>
    <row r="61" spans="2:53" ht="30" customHeight="1" thickBot="1" x14ac:dyDescent="0.35">
      <c r="B61" s="242" t="s">
        <v>144</v>
      </c>
      <c r="C61" s="243"/>
      <c r="D61" s="243"/>
      <c r="E61" s="244"/>
      <c r="F61" s="242"/>
      <c r="G61" s="243"/>
      <c r="H61" s="244"/>
      <c r="I61" s="242"/>
      <c r="J61" s="243"/>
      <c r="K61" s="244"/>
      <c r="L61" s="242"/>
      <c r="M61" s="243"/>
      <c r="N61" s="244"/>
      <c r="O61" s="242"/>
      <c r="P61" s="243"/>
      <c r="Q61" s="244"/>
      <c r="R61" s="242"/>
      <c r="S61" s="243"/>
      <c r="T61" s="244"/>
      <c r="U61" s="242"/>
      <c r="V61" s="243"/>
      <c r="W61" s="244"/>
      <c r="X61" s="209"/>
      <c r="Y61" s="209"/>
      <c r="Z61" s="209"/>
      <c r="AA61" s="242"/>
      <c r="AB61" s="243"/>
      <c r="AC61" s="244"/>
      <c r="AD61" s="242"/>
      <c r="AE61" s="243"/>
      <c r="AF61" s="244"/>
      <c r="AG61" s="242"/>
      <c r="AH61" s="243"/>
      <c r="AI61" s="244"/>
      <c r="AJ61" s="242"/>
      <c r="AK61" s="243"/>
      <c r="AL61" s="244"/>
      <c r="AM61" s="242"/>
      <c r="AN61" s="243"/>
      <c r="AO61" s="244"/>
      <c r="AP61" s="65"/>
      <c r="AQ61" s="65"/>
    </row>
    <row r="62" spans="2:53" ht="30" customHeight="1" x14ac:dyDescent="0.3"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5"/>
      <c r="AQ62" s="65"/>
    </row>
    <row r="63" spans="2:53" ht="15" customHeight="1" x14ac:dyDescent="0.3"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P63" s="65"/>
      <c r="AQ63" s="65"/>
    </row>
    <row r="64" spans="2:53" ht="19.8" x14ac:dyDescent="0.5">
      <c r="B64" s="238" t="s">
        <v>91</v>
      </c>
      <c r="C64" s="238"/>
      <c r="D64" s="238"/>
      <c r="E64" s="67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AA64" s="238" t="s">
        <v>61</v>
      </c>
      <c r="AB64" s="238"/>
      <c r="AC64" s="238"/>
      <c r="AD64" s="238"/>
      <c r="AE64" s="238"/>
      <c r="AF64" s="238"/>
      <c r="AG64" s="238"/>
      <c r="AH64" s="238"/>
      <c r="AI64" s="238"/>
      <c r="AJ64" s="238"/>
      <c r="AK64" s="238"/>
      <c r="AL64" s="238"/>
      <c r="AM64" s="238"/>
      <c r="AN64" s="238"/>
      <c r="AO64" s="238"/>
      <c r="AP64" s="238"/>
      <c r="AQ64" s="210"/>
    </row>
    <row r="65" spans="2:43" ht="12.75" customHeight="1" x14ac:dyDescent="0.3">
      <c r="B65" s="239" t="s">
        <v>62</v>
      </c>
      <c r="C65" s="239"/>
      <c r="D65" s="239"/>
      <c r="E65" s="211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AA65" s="239"/>
      <c r="AB65" s="239"/>
      <c r="AC65" s="239"/>
      <c r="AD65" s="239"/>
      <c r="AE65" s="239"/>
      <c r="AF65" s="239"/>
      <c r="AG65" s="239"/>
      <c r="AH65" s="239"/>
      <c r="AI65" s="239"/>
      <c r="AJ65" s="239"/>
      <c r="AK65" s="239"/>
      <c r="AL65" s="239"/>
      <c r="AM65" s="239"/>
      <c r="AP65" s="65"/>
      <c r="AQ65" s="65"/>
    </row>
    <row r="66" spans="2:43" ht="17.25" customHeight="1" x14ac:dyDescent="0.4">
      <c r="B66" s="240" t="s">
        <v>139</v>
      </c>
      <c r="C66" s="240"/>
      <c r="D66" s="240"/>
      <c r="E66" s="21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68"/>
      <c r="V66" s="68"/>
      <c r="AA66" s="241" t="s">
        <v>17</v>
      </c>
      <c r="AB66" s="241"/>
      <c r="AC66" s="241"/>
      <c r="AD66" s="241"/>
      <c r="AE66" s="241"/>
      <c r="AF66" s="241"/>
      <c r="AG66" s="241"/>
      <c r="AH66" s="241"/>
      <c r="AI66" s="241"/>
      <c r="AJ66" s="241"/>
      <c r="AK66" s="241"/>
      <c r="AL66" s="241"/>
      <c r="AM66" s="241"/>
      <c r="AN66" s="241"/>
      <c r="AO66" s="241"/>
      <c r="AP66" s="241"/>
      <c r="AQ66" s="212"/>
    </row>
    <row r="69" spans="2:43" x14ac:dyDescent="0.3">
      <c r="AA69" s="10"/>
      <c r="AB69" s="10"/>
      <c r="AC69" s="10"/>
      <c r="AD69" s="10"/>
      <c r="AE69" s="10"/>
      <c r="AF69" s="10"/>
    </row>
    <row r="70" spans="2:43" x14ac:dyDescent="0.3">
      <c r="AA70" s="10"/>
      <c r="AB70" s="10"/>
      <c r="AC70" s="10"/>
      <c r="AD70" s="10"/>
      <c r="AE70" s="10"/>
      <c r="AF70" s="10"/>
    </row>
    <row r="71" spans="2:43" x14ac:dyDescent="0.3">
      <c r="AA71" s="10"/>
      <c r="AB71" s="10"/>
      <c r="AC71" s="10"/>
      <c r="AD71" s="10"/>
      <c r="AE71" s="10"/>
      <c r="AF71" s="10"/>
    </row>
  </sheetData>
  <mergeCells count="93">
    <mergeCell ref="B65:D65"/>
    <mergeCell ref="AA65:AM65"/>
    <mergeCell ref="B66:D66"/>
    <mergeCell ref="AA66:AP66"/>
    <mergeCell ref="AD61:AF61"/>
    <mergeCell ref="AG61:AI61"/>
    <mergeCell ref="AJ61:AL61"/>
    <mergeCell ref="AM61:AO61"/>
    <mergeCell ref="B64:D64"/>
    <mergeCell ref="AA64:AP64"/>
    <mergeCell ref="AU25:AW25"/>
    <mergeCell ref="AX25:BB25"/>
    <mergeCell ref="B61:E61"/>
    <mergeCell ref="F61:H61"/>
    <mergeCell ref="I61:K61"/>
    <mergeCell ref="L61:N61"/>
    <mergeCell ref="O61:Q61"/>
    <mergeCell ref="R61:T61"/>
    <mergeCell ref="U61:W61"/>
    <mergeCell ref="AA61:AC61"/>
    <mergeCell ref="AT18:AU18"/>
    <mergeCell ref="AV18:AW18"/>
    <mergeCell ref="AX18:AY18"/>
    <mergeCell ref="AZ18:BA18"/>
    <mergeCell ref="AU23:AU24"/>
    <mergeCell ref="AV23:AV24"/>
    <mergeCell ref="AM15:AN15"/>
    <mergeCell ref="AO15:AO16"/>
    <mergeCell ref="AT15:AU15"/>
    <mergeCell ref="AV15:AW15"/>
    <mergeCell ref="AX15:AY15"/>
    <mergeCell ref="AZ15:BA15"/>
    <mergeCell ref="X15:Y15"/>
    <mergeCell ref="Z15:Z16"/>
    <mergeCell ref="AA15:AB15"/>
    <mergeCell ref="AC15:AC16"/>
    <mergeCell ref="AD15:AE15"/>
    <mergeCell ref="AF15:AF16"/>
    <mergeCell ref="O15:P15"/>
    <mergeCell ref="Q15:Q16"/>
    <mergeCell ref="R15:S15"/>
    <mergeCell ref="T15:T16"/>
    <mergeCell ref="U15:V15"/>
    <mergeCell ref="W15:W16"/>
    <mergeCell ref="AQ14:AQ16"/>
    <mergeCell ref="AR14:AR16"/>
    <mergeCell ref="AS14:AS16"/>
    <mergeCell ref="AT14:BA14"/>
    <mergeCell ref="F15:G15"/>
    <mergeCell ref="H15:H16"/>
    <mergeCell ref="I15:J15"/>
    <mergeCell ref="K15:K16"/>
    <mergeCell ref="L15:M15"/>
    <mergeCell ref="N15:N16"/>
    <mergeCell ref="AA14:AC14"/>
    <mergeCell ref="AD14:AF14"/>
    <mergeCell ref="AG14:AI14"/>
    <mergeCell ref="AJ14:AL14"/>
    <mergeCell ref="AM14:AO14"/>
    <mergeCell ref="AP14:AP16"/>
    <mergeCell ref="AG15:AH15"/>
    <mergeCell ref="AI15:AI16"/>
    <mergeCell ref="AJ15:AK15"/>
    <mergeCell ref="AL15:AL16"/>
    <mergeCell ref="I14:K14"/>
    <mergeCell ref="L14:N14"/>
    <mergeCell ref="O14:Q14"/>
    <mergeCell ref="R14:T14"/>
    <mergeCell ref="U14:W14"/>
    <mergeCell ref="X14:Z14"/>
    <mergeCell ref="B13:D13"/>
    <mergeCell ref="B14:B16"/>
    <mergeCell ref="C14:C16"/>
    <mergeCell ref="D14:D16"/>
    <mergeCell ref="E14:E16"/>
    <mergeCell ref="F14:H14"/>
    <mergeCell ref="H11:I12"/>
    <mergeCell ref="J11:K12"/>
    <mergeCell ref="AM11:AN11"/>
    <mergeCell ref="AP11:AP12"/>
    <mergeCell ref="B12:D12"/>
    <mergeCell ref="AD12:AJ12"/>
    <mergeCell ref="AM12:AN12"/>
    <mergeCell ref="A1:AP4"/>
    <mergeCell ref="B7:AP7"/>
    <mergeCell ref="C8:AP8"/>
    <mergeCell ref="H9:K10"/>
    <mergeCell ref="M9:AC11"/>
    <mergeCell ref="AE9:AJ9"/>
    <mergeCell ref="B10:D10"/>
    <mergeCell ref="AE10:AJ11"/>
    <mergeCell ref="AM10:AN10"/>
    <mergeCell ref="B11:D11"/>
  </mergeCells>
  <conditionalFormatting sqref="H17:H60 K17:K60 N17:O60 Q17:Q60 T17:T60 W17:X60 Z17:AA60 AF17:AG60 AI17:AM60 AC17:AC60 AO17:AO60">
    <cfRule type="cellIs" dxfId="7" priority="7" stopIfTrue="1" operator="lessThan">
      <formula>10</formula>
    </cfRule>
    <cfRule type="cellIs" dxfId="6" priority="8" stopIfTrue="1" operator="greaterThanOrEqual">
      <formula>10</formula>
    </cfRule>
  </conditionalFormatting>
  <conditionalFormatting sqref="AP61:AQ62 AP17:AP60">
    <cfRule type="cellIs" dxfId="5" priority="6" operator="equal">
      <formula>"Transita"</formula>
    </cfRule>
  </conditionalFormatting>
  <conditionalFormatting sqref="AX27:BA53 AX17:BA22">
    <cfRule type="cellIs" dxfId="4" priority="5" stopIfTrue="1" operator="greaterThanOrEqual">
      <formula>0.1</formula>
    </cfRule>
  </conditionalFormatting>
  <conditionalFormatting sqref="AX27:BA53 AX17:BA22">
    <cfRule type="cellIs" dxfId="3" priority="4" stopIfTrue="1" operator="equal">
      <formula>0</formula>
    </cfRule>
  </conditionalFormatting>
  <conditionalFormatting sqref="AV27:AW53 AV17:AW22">
    <cfRule type="cellIs" dxfId="2" priority="3" stopIfTrue="1" operator="greaterThanOrEqual">
      <formula>0</formula>
    </cfRule>
  </conditionalFormatting>
  <conditionalFormatting sqref="AQ17:AQ60">
    <cfRule type="cellIs" dxfId="1" priority="1" stopIfTrue="1" operator="lessThanOrEqual">
      <formula>9.9</formula>
    </cfRule>
    <cfRule type="cellIs" dxfId="0" priority="2" stopIfTrue="1" operator="greaterThanOrEqual">
      <formula>10</formula>
    </cfRule>
  </conditionalFormatting>
  <pageMargins left="0.39370078740157483" right="0.15748031496062992" top="0.19685039370078741" bottom="0.35433070866141736" header="0.31496062992125984" footer="0.31496062992125984"/>
  <pageSetup paperSize="8" scale="95" orientation="landscape" r:id="rId1"/>
  <colBreaks count="1" manualBreakCount="1">
    <brk id="43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G15" sqref="G15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4.5546875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4" t="s">
        <v>92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13"/>
      <c r="F4" s="94"/>
      <c r="G4" s="94"/>
      <c r="H4" s="94"/>
      <c r="I4" s="94" t="s">
        <v>5</v>
      </c>
      <c r="J4" s="94"/>
      <c r="K4" s="94"/>
      <c r="L4" s="94"/>
      <c r="M4" s="94"/>
      <c r="N4" s="94"/>
      <c r="O4" s="94"/>
      <c r="P4" s="94"/>
      <c r="Q4" s="94"/>
      <c r="R4" s="13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13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1</v>
      </c>
      <c r="AD8" s="287">
        <f>COUNTIF(Z9:Z58,"N/TRANSITA")</f>
        <v>43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6"/>
      <c r="E9" s="187">
        <v>12</v>
      </c>
      <c r="F9" s="188">
        <v>13</v>
      </c>
      <c r="G9" s="188"/>
      <c r="H9" s="188">
        <v>15</v>
      </c>
      <c r="I9" s="188"/>
      <c r="J9" s="112">
        <f>AVERAGE(E9,MAX(F9:G9),MAX(H9:I9))</f>
        <v>13.333333333333334</v>
      </c>
      <c r="K9" s="142" t="str">
        <f>IF(J9&gt;=10,"TRANSITA","N/TRANSITA")</f>
        <v>TRANSITA</v>
      </c>
      <c r="L9" s="187">
        <v>13</v>
      </c>
      <c r="M9" s="188">
        <v>12</v>
      </c>
      <c r="N9" s="188"/>
      <c r="O9" s="188">
        <v>8</v>
      </c>
      <c r="P9" s="143"/>
      <c r="Q9" s="141">
        <f>AVERAGE(L9,MAX(M9:N9),MAX(O9:P9))</f>
        <v>11</v>
      </c>
      <c r="R9" s="101" t="str">
        <f>IF(Q9&gt;=10,"TRANSITA","N/TRANSITA")</f>
        <v>TRANSITA</v>
      </c>
      <c r="S9" s="144"/>
      <c r="T9" s="145"/>
      <c r="U9" s="145"/>
      <c r="V9" s="145"/>
      <c r="W9" s="143"/>
      <c r="X9" s="100">
        <f>AVERAGE(S9,MAX(T9:U9),MAX(V9:W9))</f>
        <v>0</v>
      </c>
      <c r="Y9" s="102">
        <f t="shared" ref="Y9:Y31" si="0">SUM(J9,Q9,X9)/3</f>
        <v>8.1111111111111125</v>
      </c>
      <c r="Z9" s="97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21"/>
      <c r="E10" s="189">
        <v>14</v>
      </c>
      <c r="F10" s="190">
        <v>17</v>
      </c>
      <c r="G10" s="190"/>
      <c r="H10" s="190">
        <v>14.5</v>
      </c>
      <c r="I10" s="190"/>
      <c r="J10" s="113">
        <f>AVERAGE(E10,MAX(F10:G10),MAX(H10:I10))</f>
        <v>15.166666666666666</v>
      </c>
      <c r="K10" s="147" t="str">
        <f t="shared" ref="K10:K52" si="1">IF(J10&gt;=10,"TRANSITA","N/TRANSITA")</f>
        <v>TRANSITA</v>
      </c>
      <c r="L10" s="189">
        <v>14</v>
      </c>
      <c r="M10" s="190">
        <v>18</v>
      </c>
      <c r="N10" s="190"/>
      <c r="O10" s="190">
        <v>13</v>
      </c>
      <c r="P10" s="140"/>
      <c r="Q10" s="146">
        <f>AVERAGE(L10,MAX(M10:N10),MAX(O10:P10))</f>
        <v>15</v>
      </c>
      <c r="R10" s="105" t="str">
        <f t="shared" ref="R10:R52" si="2">IF(Q10&gt;=10,"TRANSITA","N/TRANSITA")</f>
        <v>TRANSITA</v>
      </c>
      <c r="S10" s="148"/>
      <c r="T10" s="149"/>
      <c r="U10" s="149"/>
      <c r="V10" s="149"/>
      <c r="W10" s="140"/>
      <c r="X10" s="104">
        <f>AVERAGE(S10,MAX(T10:U10),MAX(V10:W10))</f>
        <v>0</v>
      </c>
      <c r="Y10" s="106">
        <f t="shared" si="0"/>
        <v>10.055555555555555</v>
      </c>
      <c r="Z10" s="93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21"/>
      <c r="E11" s="189">
        <v>10</v>
      </c>
      <c r="F11" s="190">
        <v>13</v>
      </c>
      <c r="G11" s="190"/>
      <c r="H11" s="190">
        <v>6</v>
      </c>
      <c r="I11" s="190"/>
      <c r="J11" s="113">
        <f t="shared" ref="J11:J52" si="4">AVERAGE(E11,MAX(F11:G11),MAX(H11:I11))</f>
        <v>9.6666666666666661</v>
      </c>
      <c r="K11" s="147" t="str">
        <f t="shared" si="1"/>
        <v>N/TRANSITA</v>
      </c>
      <c r="L11" s="189">
        <v>13</v>
      </c>
      <c r="M11" s="190">
        <v>12.5</v>
      </c>
      <c r="N11" s="190"/>
      <c r="O11" s="190">
        <v>8.5</v>
      </c>
      <c r="P11" s="140"/>
      <c r="Q11" s="146">
        <f t="shared" ref="Q11:Q52" si="5">AVERAGE(L11,MAX(M11:N11),MAX(O11:P11))</f>
        <v>11.333333333333334</v>
      </c>
      <c r="R11" s="105" t="str">
        <f t="shared" si="2"/>
        <v>TRANSITA</v>
      </c>
      <c r="S11" s="148"/>
      <c r="T11" s="149"/>
      <c r="U11" s="149"/>
      <c r="V11" s="149"/>
      <c r="W11" s="140"/>
      <c r="X11" s="104">
        <f t="shared" ref="X11:X52" si="6">AVERAGE(S11,MAX(T11:U11),MAX(V11:W11))</f>
        <v>0</v>
      </c>
      <c r="Y11" s="106">
        <f t="shared" si="0"/>
        <v>7</v>
      </c>
      <c r="Z11" s="93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21"/>
      <c r="E12" s="189">
        <v>15</v>
      </c>
      <c r="F12" s="190">
        <v>14</v>
      </c>
      <c r="G12" s="190"/>
      <c r="H12" s="190">
        <v>13</v>
      </c>
      <c r="I12" s="190"/>
      <c r="J12" s="113">
        <f t="shared" si="4"/>
        <v>14</v>
      </c>
      <c r="K12" s="147" t="str">
        <f t="shared" si="1"/>
        <v>TRANSITA</v>
      </c>
      <c r="L12" s="189">
        <v>15</v>
      </c>
      <c r="M12" s="190">
        <v>17.5</v>
      </c>
      <c r="N12" s="190"/>
      <c r="O12" s="190">
        <v>13</v>
      </c>
      <c r="P12" s="140"/>
      <c r="Q12" s="146">
        <f t="shared" si="5"/>
        <v>15.166666666666666</v>
      </c>
      <c r="R12" s="105" t="str">
        <f t="shared" si="2"/>
        <v>TRANSITA</v>
      </c>
      <c r="S12" s="148"/>
      <c r="T12" s="149"/>
      <c r="U12" s="149"/>
      <c r="V12" s="149"/>
      <c r="W12" s="140"/>
      <c r="X12" s="104">
        <f t="shared" si="6"/>
        <v>0</v>
      </c>
      <c r="Y12" s="106">
        <f t="shared" si="0"/>
        <v>9.7222222222222214</v>
      </c>
      <c r="Z12" s="93" t="str">
        <f t="shared" si="3"/>
        <v>N/TRANSITA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21"/>
      <c r="E13" s="189">
        <v>12</v>
      </c>
      <c r="F13" s="190">
        <v>13</v>
      </c>
      <c r="G13" s="190"/>
      <c r="H13" s="190">
        <v>12</v>
      </c>
      <c r="I13" s="190"/>
      <c r="J13" s="113">
        <f t="shared" si="4"/>
        <v>12.333333333333334</v>
      </c>
      <c r="K13" s="147" t="str">
        <f t="shared" si="1"/>
        <v>TRANSITA</v>
      </c>
      <c r="L13" s="189">
        <v>12</v>
      </c>
      <c r="M13" s="190">
        <v>14.5</v>
      </c>
      <c r="N13" s="190"/>
      <c r="O13" s="190">
        <v>9.5</v>
      </c>
      <c r="P13" s="140"/>
      <c r="Q13" s="146">
        <f t="shared" si="5"/>
        <v>12</v>
      </c>
      <c r="R13" s="105" t="str">
        <f t="shared" si="2"/>
        <v>TRANSITA</v>
      </c>
      <c r="S13" s="148"/>
      <c r="T13" s="149"/>
      <c r="U13" s="149"/>
      <c r="V13" s="149"/>
      <c r="W13" s="140"/>
      <c r="X13" s="104">
        <f t="shared" si="6"/>
        <v>0</v>
      </c>
      <c r="Y13" s="106">
        <f t="shared" si="0"/>
        <v>8.1111111111111125</v>
      </c>
      <c r="Z13" s="93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21"/>
      <c r="E14" s="189">
        <v>10</v>
      </c>
      <c r="F14" s="190">
        <v>6</v>
      </c>
      <c r="G14" s="190"/>
      <c r="H14" s="190">
        <v>13.5</v>
      </c>
      <c r="I14" s="190"/>
      <c r="J14" s="113">
        <f t="shared" si="4"/>
        <v>9.8333333333333339</v>
      </c>
      <c r="K14" s="147" t="str">
        <f t="shared" si="1"/>
        <v>N/TRANSITA</v>
      </c>
      <c r="L14" s="189">
        <v>11</v>
      </c>
      <c r="M14" s="190">
        <v>10</v>
      </c>
      <c r="N14" s="190"/>
      <c r="O14" s="190">
        <v>10</v>
      </c>
      <c r="P14" s="140"/>
      <c r="Q14" s="146">
        <f t="shared" si="5"/>
        <v>10.333333333333334</v>
      </c>
      <c r="R14" s="105" t="str">
        <f t="shared" si="2"/>
        <v>TRANSITA</v>
      </c>
      <c r="S14" s="148"/>
      <c r="T14" s="149"/>
      <c r="U14" s="149"/>
      <c r="V14" s="149"/>
      <c r="W14" s="140"/>
      <c r="X14" s="104">
        <f t="shared" si="6"/>
        <v>0</v>
      </c>
      <c r="Y14" s="106">
        <f t="shared" si="0"/>
        <v>6.7222222222222223</v>
      </c>
      <c r="Z14" s="93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21"/>
      <c r="E15" s="189">
        <v>10</v>
      </c>
      <c r="F15" s="190">
        <v>10</v>
      </c>
      <c r="G15" s="190"/>
      <c r="H15" s="190">
        <v>12.5</v>
      </c>
      <c r="I15" s="190"/>
      <c r="J15" s="113">
        <f t="shared" si="4"/>
        <v>10.833333333333334</v>
      </c>
      <c r="K15" s="147" t="str">
        <f t="shared" si="1"/>
        <v>TRANSITA</v>
      </c>
      <c r="L15" s="189">
        <v>11</v>
      </c>
      <c r="M15" s="190">
        <v>11</v>
      </c>
      <c r="N15" s="190"/>
      <c r="O15" s="190">
        <v>9.5</v>
      </c>
      <c r="P15" s="140"/>
      <c r="Q15" s="146">
        <f t="shared" si="5"/>
        <v>10.5</v>
      </c>
      <c r="R15" s="105" t="str">
        <f t="shared" si="2"/>
        <v>TRANSITA</v>
      </c>
      <c r="S15" s="148"/>
      <c r="T15" s="149"/>
      <c r="U15" s="149"/>
      <c r="V15" s="149"/>
      <c r="W15" s="140"/>
      <c r="X15" s="104">
        <f t="shared" si="6"/>
        <v>0</v>
      </c>
      <c r="Y15" s="106">
        <f t="shared" si="0"/>
        <v>7.1111111111111116</v>
      </c>
      <c r="Z15" s="93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21"/>
      <c r="E16" s="189">
        <v>12</v>
      </c>
      <c r="F16" s="190">
        <v>14</v>
      </c>
      <c r="G16" s="190"/>
      <c r="H16" s="190">
        <v>13.5</v>
      </c>
      <c r="I16" s="190"/>
      <c r="J16" s="113">
        <f t="shared" si="4"/>
        <v>13.166666666666666</v>
      </c>
      <c r="K16" s="147" t="str">
        <f t="shared" si="1"/>
        <v>TRANSITA</v>
      </c>
      <c r="L16" s="189">
        <v>13</v>
      </c>
      <c r="M16" s="190">
        <v>11.5</v>
      </c>
      <c r="N16" s="190"/>
      <c r="O16" s="190">
        <v>11</v>
      </c>
      <c r="P16" s="140"/>
      <c r="Q16" s="146">
        <f t="shared" si="5"/>
        <v>11.833333333333334</v>
      </c>
      <c r="R16" s="105" t="str">
        <f t="shared" si="2"/>
        <v>TRANSITA</v>
      </c>
      <c r="S16" s="148"/>
      <c r="T16" s="149"/>
      <c r="U16" s="149"/>
      <c r="V16" s="149"/>
      <c r="W16" s="140"/>
      <c r="X16" s="104">
        <f t="shared" si="6"/>
        <v>0</v>
      </c>
      <c r="Y16" s="106">
        <f t="shared" si="0"/>
        <v>8.3333333333333339</v>
      </c>
      <c r="Z16" s="93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21"/>
      <c r="E17" s="189">
        <v>10</v>
      </c>
      <c r="F17" s="190">
        <v>11</v>
      </c>
      <c r="G17" s="190"/>
      <c r="H17" s="190">
        <v>10.5</v>
      </c>
      <c r="I17" s="190"/>
      <c r="J17" s="113">
        <f t="shared" si="4"/>
        <v>10.5</v>
      </c>
      <c r="K17" s="147" t="str">
        <f t="shared" si="1"/>
        <v>TRANSITA</v>
      </c>
      <c r="L17" s="189">
        <v>10</v>
      </c>
      <c r="M17" s="190">
        <v>9.5</v>
      </c>
      <c r="N17" s="190"/>
      <c r="O17" s="190">
        <v>7.5</v>
      </c>
      <c r="P17" s="140"/>
      <c r="Q17" s="146">
        <f t="shared" si="5"/>
        <v>9</v>
      </c>
      <c r="R17" s="105" t="str">
        <f t="shared" si="2"/>
        <v>N/TRANSITA</v>
      </c>
      <c r="S17" s="148"/>
      <c r="T17" s="149"/>
      <c r="U17" s="149"/>
      <c r="V17" s="149"/>
      <c r="W17" s="140"/>
      <c r="X17" s="104">
        <f t="shared" si="6"/>
        <v>0</v>
      </c>
      <c r="Y17" s="106">
        <f t="shared" si="0"/>
        <v>6.5</v>
      </c>
      <c r="Z17" s="93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21"/>
      <c r="E18" s="189">
        <v>11</v>
      </c>
      <c r="F18" s="190">
        <v>13</v>
      </c>
      <c r="G18" s="190"/>
      <c r="H18" s="190">
        <v>13</v>
      </c>
      <c r="I18" s="190"/>
      <c r="J18" s="113">
        <f t="shared" si="4"/>
        <v>12.333333333333334</v>
      </c>
      <c r="K18" s="147" t="str">
        <f t="shared" si="1"/>
        <v>TRANSITA</v>
      </c>
      <c r="L18" s="189">
        <v>12</v>
      </c>
      <c r="M18" s="190">
        <v>13</v>
      </c>
      <c r="N18" s="190"/>
      <c r="O18" s="190">
        <v>9</v>
      </c>
      <c r="P18" s="140"/>
      <c r="Q18" s="146">
        <f t="shared" si="5"/>
        <v>11.333333333333334</v>
      </c>
      <c r="R18" s="105" t="str">
        <f t="shared" si="2"/>
        <v>TRANSITA</v>
      </c>
      <c r="S18" s="148"/>
      <c r="T18" s="149"/>
      <c r="U18" s="149"/>
      <c r="V18" s="149"/>
      <c r="W18" s="140"/>
      <c r="X18" s="104">
        <f t="shared" si="6"/>
        <v>0</v>
      </c>
      <c r="Y18" s="106">
        <f t="shared" si="0"/>
        <v>7.8888888888888893</v>
      </c>
      <c r="Z18" s="93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21"/>
      <c r="E19" s="189">
        <v>11</v>
      </c>
      <c r="F19" s="190">
        <v>12</v>
      </c>
      <c r="G19" s="190"/>
      <c r="H19" s="190">
        <v>14</v>
      </c>
      <c r="I19" s="190"/>
      <c r="J19" s="113">
        <f t="shared" si="4"/>
        <v>12.333333333333334</v>
      </c>
      <c r="K19" s="147" t="str">
        <f t="shared" si="1"/>
        <v>TRANSITA</v>
      </c>
      <c r="L19" s="189">
        <v>13</v>
      </c>
      <c r="M19" s="190">
        <v>15</v>
      </c>
      <c r="N19" s="190"/>
      <c r="O19" s="190">
        <v>9.5</v>
      </c>
      <c r="P19" s="140"/>
      <c r="Q19" s="146">
        <f t="shared" si="5"/>
        <v>12.5</v>
      </c>
      <c r="R19" s="105" t="str">
        <f t="shared" si="2"/>
        <v>TRANSITA</v>
      </c>
      <c r="S19" s="148"/>
      <c r="T19" s="149"/>
      <c r="U19" s="149"/>
      <c r="V19" s="149"/>
      <c r="W19" s="140"/>
      <c r="X19" s="104">
        <f t="shared" si="6"/>
        <v>0</v>
      </c>
      <c r="Y19" s="106">
        <f t="shared" si="0"/>
        <v>8.2777777777777786</v>
      </c>
      <c r="Z19" s="93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21"/>
      <c r="E20" s="189">
        <v>13</v>
      </c>
      <c r="F20" s="190">
        <v>14</v>
      </c>
      <c r="G20" s="190"/>
      <c r="H20" s="190">
        <v>14.5</v>
      </c>
      <c r="I20" s="190"/>
      <c r="J20" s="113">
        <f t="shared" si="4"/>
        <v>13.833333333333334</v>
      </c>
      <c r="K20" s="147" t="str">
        <f t="shared" si="1"/>
        <v>TRANSITA</v>
      </c>
      <c r="L20" s="189">
        <v>13</v>
      </c>
      <c r="M20" s="190">
        <v>17</v>
      </c>
      <c r="N20" s="190"/>
      <c r="O20" s="190">
        <v>9.5</v>
      </c>
      <c r="P20" s="140"/>
      <c r="Q20" s="146">
        <f t="shared" si="5"/>
        <v>13.166666666666666</v>
      </c>
      <c r="R20" s="105" t="str">
        <f t="shared" si="2"/>
        <v>TRANSITA</v>
      </c>
      <c r="S20" s="148"/>
      <c r="T20" s="149"/>
      <c r="U20" s="149"/>
      <c r="V20" s="149"/>
      <c r="W20" s="140"/>
      <c r="X20" s="104">
        <f t="shared" si="6"/>
        <v>0</v>
      </c>
      <c r="Y20" s="106">
        <f t="shared" si="0"/>
        <v>9</v>
      </c>
      <c r="Z20" s="93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21"/>
      <c r="E21" s="189">
        <v>14</v>
      </c>
      <c r="F21" s="190">
        <v>14</v>
      </c>
      <c r="G21" s="190"/>
      <c r="H21" s="190">
        <v>14.5</v>
      </c>
      <c r="I21" s="190"/>
      <c r="J21" s="113">
        <f t="shared" si="4"/>
        <v>14.166666666666666</v>
      </c>
      <c r="K21" s="147" t="str">
        <f t="shared" si="1"/>
        <v>TRANSITA</v>
      </c>
      <c r="L21" s="189">
        <v>14</v>
      </c>
      <c r="M21" s="190">
        <v>17.5</v>
      </c>
      <c r="N21" s="190"/>
      <c r="O21" s="190">
        <v>12</v>
      </c>
      <c r="P21" s="140"/>
      <c r="Q21" s="146">
        <f t="shared" si="5"/>
        <v>14.5</v>
      </c>
      <c r="R21" s="105" t="str">
        <f t="shared" si="2"/>
        <v>TRANSITA</v>
      </c>
      <c r="S21" s="148"/>
      <c r="T21" s="149"/>
      <c r="U21" s="149"/>
      <c r="V21" s="149"/>
      <c r="W21" s="140"/>
      <c r="X21" s="104">
        <f t="shared" si="6"/>
        <v>0</v>
      </c>
      <c r="Y21" s="106">
        <f t="shared" si="0"/>
        <v>9.5555555555555554</v>
      </c>
      <c r="Z21" s="93" t="str">
        <f t="shared" si="3"/>
        <v>N/TRANSITA</v>
      </c>
    </row>
    <row r="22" spans="2:26" ht="14.25" customHeight="1" x14ac:dyDescent="0.3">
      <c r="B22" s="31">
        <v>14</v>
      </c>
      <c r="C22" s="177" t="s">
        <v>108</v>
      </c>
      <c r="D22" s="21"/>
      <c r="E22" s="189">
        <v>11</v>
      </c>
      <c r="F22" s="190">
        <v>8</v>
      </c>
      <c r="G22" s="190"/>
      <c r="H22" s="190">
        <v>10.5</v>
      </c>
      <c r="I22" s="190"/>
      <c r="J22" s="113">
        <f t="shared" si="4"/>
        <v>9.8333333333333339</v>
      </c>
      <c r="K22" s="147" t="str">
        <f t="shared" si="1"/>
        <v>N/TRANSITA</v>
      </c>
      <c r="L22" s="189">
        <v>11</v>
      </c>
      <c r="M22" s="190">
        <v>8.5</v>
      </c>
      <c r="N22" s="190"/>
      <c r="O22" s="190">
        <v>7</v>
      </c>
      <c r="P22" s="140"/>
      <c r="Q22" s="146">
        <f t="shared" si="5"/>
        <v>8.8333333333333339</v>
      </c>
      <c r="R22" s="105" t="str">
        <f t="shared" si="2"/>
        <v>N/TRANSITA</v>
      </c>
      <c r="S22" s="148"/>
      <c r="T22" s="149"/>
      <c r="U22" s="149"/>
      <c r="V22" s="149"/>
      <c r="W22" s="140"/>
      <c r="X22" s="104">
        <f t="shared" si="6"/>
        <v>0</v>
      </c>
      <c r="Y22" s="106">
        <f t="shared" si="0"/>
        <v>6.2222222222222223</v>
      </c>
      <c r="Z22" s="93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21"/>
      <c r="E23" s="189">
        <v>12</v>
      </c>
      <c r="F23" s="190">
        <v>10</v>
      </c>
      <c r="G23" s="190"/>
      <c r="H23" s="190">
        <v>8.5</v>
      </c>
      <c r="I23" s="190"/>
      <c r="J23" s="113">
        <f t="shared" si="4"/>
        <v>10.166666666666666</v>
      </c>
      <c r="K23" s="147" t="str">
        <f t="shared" si="1"/>
        <v>TRANSITA</v>
      </c>
      <c r="L23" s="189">
        <v>11</v>
      </c>
      <c r="M23" s="190">
        <v>7</v>
      </c>
      <c r="N23" s="190"/>
      <c r="O23" s="190">
        <v>8</v>
      </c>
      <c r="P23" s="140"/>
      <c r="Q23" s="146">
        <f t="shared" si="5"/>
        <v>8.6666666666666661</v>
      </c>
      <c r="R23" s="105" t="str">
        <f t="shared" si="2"/>
        <v>N/TRANSITA</v>
      </c>
      <c r="S23" s="148"/>
      <c r="T23" s="149"/>
      <c r="U23" s="149"/>
      <c r="V23" s="149"/>
      <c r="W23" s="140"/>
      <c r="X23" s="104">
        <f t="shared" si="6"/>
        <v>0</v>
      </c>
      <c r="Y23" s="106">
        <f t="shared" si="0"/>
        <v>6.2777777777777777</v>
      </c>
      <c r="Z23" s="93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21"/>
      <c r="E24" s="189">
        <v>12</v>
      </c>
      <c r="F24" s="190">
        <v>10</v>
      </c>
      <c r="G24" s="190"/>
      <c r="H24" s="190">
        <v>10.5</v>
      </c>
      <c r="I24" s="190"/>
      <c r="J24" s="113">
        <f t="shared" si="4"/>
        <v>10.833333333333334</v>
      </c>
      <c r="K24" s="147" t="str">
        <f t="shared" si="1"/>
        <v>TRANSITA</v>
      </c>
      <c r="L24" s="189">
        <v>11</v>
      </c>
      <c r="M24" s="190">
        <v>6.5</v>
      </c>
      <c r="N24" s="190"/>
      <c r="O24" s="190">
        <v>7</v>
      </c>
      <c r="P24" s="140"/>
      <c r="Q24" s="146">
        <f t="shared" si="5"/>
        <v>8.1666666666666661</v>
      </c>
      <c r="R24" s="105" t="str">
        <f t="shared" si="2"/>
        <v>N/TRANSITA</v>
      </c>
      <c r="S24" s="148"/>
      <c r="T24" s="149"/>
      <c r="U24" s="149"/>
      <c r="V24" s="149"/>
      <c r="W24" s="140"/>
      <c r="X24" s="104">
        <f t="shared" si="6"/>
        <v>0</v>
      </c>
      <c r="Y24" s="106">
        <f t="shared" si="0"/>
        <v>6.333333333333333</v>
      </c>
      <c r="Z24" s="93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21"/>
      <c r="E25" s="189">
        <v>13</v>
      </c>
      <c r="F25" s="190">
        <v>13</v>
      </c>
      <c r="G25" s="190"/>
      <c r="H25" s="190">
        <v>11.7</v>
      </c>
      <c r="I25" s="190"/>
      <c r="J25" s="113">
        <f t="shared" si="4"/>
        <v>12.566666666666668</v>
      </c>
      <c r="K25" s="147" t="str">
        <f t="shared" si="1"/>
        <v>TRANSITA</v>
      </c>
      <c r="L25" s="189">
        <v>13</v>
      </c>
      <c r="M25" s="190">
        <v>16</v>
      </c>
      <c r="N25" s="190"/>
      <c r="O25" s="190">
        <v>9</v>
      </c>
      <c r="P25" s="140"/>
      <c r="Q25" s="146">
        <f t="shared" si="5"/>
        <v>12.666666666666666</v>
      </c>
      <c r="R25" s="105" t="str">
        <f t="shared" si="2"/>
        <v>TRANSITA</v>
      </c>
      <c r="S25" s="148"/>
      <c r="T25" s="149"/>
      <c r="U25" s="149"/>
      <c r="V25" s="149"/>
      <c r="W25" s="140"/>
      <c r="X25" s="104">
        <f t="shared" si="6"/>
        <v>0</v>
      </c>
      <c r="Y25" s="106">
        <f t="shared" si="0"/>
        <v>8.4111111111111114</v>
      </c>
      <c r="Z25" s="93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21"/>
      <c r="E26" s="189">
        <v>12</v>
      </c>
      <c r="F26" s="190">
        <v>16</v>
      </c>
      <c r="G26" s="190"/>
      <c r="H26" s="190">
        <v>12.5</v>
      </c>
      <c r="I26" s="190"/>
      <c r="J26" s="113">
        <f t="shared" si="4"/>
        <v>13.5</v>
      </c>
      <c r="K26" s="147" t="str">
        <f t="shared" si="1"/>
        <v>TRANSITA</v>
      </c>
      <c r="L26" s="189">
        <v>13</v>
      </c>
      <c r="M26" s="190">
        <v>16</v>
      </c>
      <c r="N26" s="190"/>
      <c r="O26" s="190">
        <v>9</v>
      </c>
      <c r="P26" s="140"/>
      <c r="Q26" s="146">
        <f t="shared" si="5"/>
        <v>12.666666666666666</v>
      </c>
      <c r="R26" s="105" t="str">
        <f t="shared" si="2"/>
        <v>TRANSITA</v>
      </c>
      <c r="S26" s="148"/>
      <c r="T26" s="149"/>
      <c r="U26" s="149"/>
      <c r="V26" s="149"/>
      <c r="W26" s="140"/>
      <c r="X26" s="104">
        <f t="shared" si="6"/>
        <v>0</v>
      </c>
      <c r="Y26" s="106">
        <f t="shared" si="0"/>
        <v>8.7222222222222214</v>
      </c>
      <c r="Z26" s="93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21"/>
      <c r="E27" s="189"/>
      <c r="F27" s="190"/>
      <c r="G27" s="190"/>
      <c r="H27" s="190"/>
      <c r="I27" s="190"/>
      <c r="J27" s="113">
        <f t="shared" si="4"/>
        <v>0</v>
      </c>
      <c r="K27" s="147" t="str">
        <f t="shared" si="1"/>
        <v>N/TRANSITA</v>
      </c>
      <c r="L27" s="189"/>
      <c r="M27" s="190"/>
      <c r="N27" s="190"/>
      <c r="O27" s="190"/>
      <c r="P27" s="140"/>
      <c r="Q27" s="146">
        <f t="shared" si="5"/>
        <v>0</v>
      </c>
      <c r="R27" s="105" t="str">
        <f t="shared" si="2"/>
        <v>N/TRANSITA</v>
      </c>
      <c r="S27" s="148"/>
      <c r="T27" s="149"/>
      <c r="U27" s="149"/>
      <c r="V27" s="149"/>
      <c r="W27" s="140"/>
      <c r="X27" s="104">
        <f t="shared" si="6"/>
        <v>0</v>
      </c>
      <c r="Y27" s="106">
        <f t="shared" si="0"/>
        <v>0</v>
      </c>
      <c r="Z27" s="93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21"/>
      <c r="E28" s="189">
        <v>12</v>
      </c>
      <c r="F28" s="190">
        <v>12</v>
      </c>
      <c r="G28" s="190"/>
      <c r="H28" s="190">
        <v>12.5</v>
      </c>
      <c r="I28" s="190"/>
      <c r="J28" s="113">
        <f t="shared" si="4"/>
        <v>12.166666666666666</v>
      </c>
      <c r="K28" s="147" t="str">
        <f t="shared" si="1"/>
        <v>TRANSITA</v>
      </c>
      <c r="L28" s="189"/>
      <c r="M28" s="190"/>
      <c r="N28" s="190"/>
      <c r="O28" s="190"/>
      <c r="P28" s="140"/>
      <c r="Q28" s="146">
        <f t="shared" si="5"/>
        <v>0</v>
      </c>
      <c r="R28" s="105" t="str">
        <f t="shared" si="2"/>
        <v>N/TRANSITA</v>
      </c>
      <c r="S28" s="148"/>
      <c r="T28" s="149"/>
      <c r="U28" s="149"/>
      <c r="V28" s="149"/>
      <c r="W28" s="140"/>
      <c r="X28" s="104">
        <f t="shared" si="6"/>
        <v>0</v>
      </c>
      <c r="Y28" s="106">
        <f t="shared" si="0"/>
        <v>4.0555555555555554</v>
      </c>
      <c r="Z28" s="93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21"/>
      <c r="E29" s="189">
        <v>11</v>
      </c>
      <c r="F29" s="190">
        <v>10</v>
      </c>
      <c r="G29" s="190"/>
      <c r="H29" s="190">
        <v>11</v>
      </c>
      <c r="I29" s="190"/>
      <c r="J29" s="113">
        <f t="shared" si="4"/>
        <v>10.666666666666666</v>
      </c>
      <c r="K29" s="147" t="str">
        <f t="shared" si="1"/>
        <v>TRANSITA</v>
      </c>
      <c r="L29" s="189">
        <v>11</v>
      </c>
      <c r="M29" s="190">
        <v>12</v>
      </c>
      <c r="N29" s="190"/>
      <c r="O29" s="190">
        <v>4</v>
      </c>
      <c r="P29" s="140"/>
      <c r="Q29" s="146">
        <f t="shared" si="5"/>
        <v>9</v>
      </c>
      <c r="R29" s="105" t="str">
        <f t="shared" si="2"/>
        <v>N/TRANSITA</v>
      </c>
      <c r="S29" s="148"/>
      <c r="T29" s="149"/>
      <c r="U29" s="149"/>
      <c r="V29" s="149"/>
      <c r="W29" s="140"/>
      <c r="X29" s="104">
        <f t="shared" si="6"/>
        <v>0</v>
      </c>
      <c r="Y29" s="106">
        <f t="shared" si="0"/>
        <v>6.5555555555555545</v>
      </c>
      <c r="Z29" s="93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21"/>
      <c r="E30" s="189">
        <v>12</v>
      </c>
      <c r="F30" s="190">
        <v>14</v>
      </c>
      <c r="G30" s="190"/>
      <c r="H30" s="190">
        <v>13</v>
      </c>
      <c r="I30" s="190"/>
      <c r="J30" s="113">
        <f t="shared" si="4"/>
        <v>13</v>
      </c>
      <c r="K30" s="147" t="str">
        <f t="shared" si="1"/>
        <v>TRANSITA</v>
      </c>
      <c r="L30" s="189">
        <v>11</v>
      </c>
      <c r="M30" s="190">
        <v>9</v>
      </c>
      <c r="N30" s="190"/>
      <c r="O30" s="190">
        <v>10.5</v>
      </c>
      <c r="P30" s="140"/>
      <c r="Q30" s="146">
        <f t="shared" si="5"/>
        <v>10.166666666666666</v>
      </c>
      <c r="R30" s="105" t="str">
        <f t="shared" si="2"/>
        <v>TRANSITA</v>
      </c>
      <c r="S30" s="148"/>
      <c r="T30" s="149"/>
      <c r="U30" s="149"/>
      <c r="V30" s="149"/>
      <c r="W30" s="140"/>
      <c r="X30" s="104">
        <f t="shared" si="6"/>
        <v>0</v>
      </c>
      <c r="Y30" s="106">
        <f t="shared" si="0"/>
        <v>7.7222222222222214</v>
      </c>
      <c r="Z30" s="93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21"/>
      <c r="E31" s="189">
        <v>11</v>
      </c>
      <c r="F31" s="190">
        <v>14</v>
      </c>
      <c r="G31" s="190"/>
      <c r="H31" s="190">
        <v>13.5</v>
      </c>
      <c r="I31" s="190"/>
      <c r="J31" s="113">
        <f t="shared" si="4"/>
        <v>12.833333333333334</v>
      </c>
      <c r="K31" s="147" t="str">
        <f t="shared" si="1"/>
        <v>TRANSITA</v>
      </c>
      <c r="L31" s="189">
        <v>12</v>
      </c>
      <c r="M31" s="190">
        <v>15.5</v>
      </c>
      <c r="N31" s="190"/>
      <c r="O31" s="190">
        <v>11</v>
      </c>
      <c r="P31" s="140"/>
      <c r="Q31" s="146">
        <f t="shared" si="5"/>
        <v>12.833333333333334</v>
      </c>
      <c r="R31" s="105" t="str">
        <f t="shared" si="2"/>
        <v>TRANSITA</v>
      </c>
      <c r="S31" s="148"/>
      <c r="T31" s="149"/>
      <c r="U31" s="149"/>
      <c r="V31" s="149"/>
      <c r="W31" s="140"/>
      <c r="X31" s="104">
        <f t="shared" si="6"/>
        <v>0</v>
      </c>
      <c r="Y31" s="106">
        <f t="shared" si="0"/>
        <v>8.5555555555555554</v>
      </c>
      <c r="Z31" s="93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21"/>
      <c r="E32" s="189">
        <v>8</v>
      </c>
      <c r="F32" s="190">
        <v>0</v>
      </c>
      <c r="G32" s="190"/>
      <c r="H32" s="190">
        <v>11.5</v>
      </c>
      <c r="I32" s="190"/>
      <c r="J32" s="113">
        <f t="shared" si="4"/>
        <v>6.5</v>
      </c>
      <c r="K32" s="147" t="str">
        <f t="shared" si="1"/>
        <v>N/TRANSITA</v>
      </c>
      <c r="L32" s="189">
        <v>9</v>
      </c>
      <c r="M32" s="190">
        <v>10</v>
      </c>
      <c r="N32" s="190"/>
      <c r="O32" s="190">
        <v>7</v>
      </c>
      <c r="P32" s="140"/>
      <c r="Q32" s="146">
        <f t="shared" si="5"/>
        <v>8.6666666666666661</v>
      </c>
      <c r="R32" s="105" t="str">
        <f t="shared" si="2"/>
        <v>N/TRANSITA</v>
      </c>
      <c r="S32" s="148"/>
      <c r="T32" s="149"/>
      <c r="U32" s="149"/>
      <c r="V32" s="149"/>
      <c r="W32" s="140"/>
      <c r="X32" s="104">
        <f t="shared" si="6"/>
        <v>0</v>
      </c>
      <c r="Y32" s="106">
        <f>SUM(J32,Q32,X32)/3</f>
        <v>5.0555555555555554</v>
      </c>
      <c r="Z32" s="93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21"/>
      <c r="E33" s="189">
        <v>10</v>
      </c>
      <c r="F33" s="190">
        <v>11</v>
      </c>
      <c r="G33" s="190"/>
      <c r="H33" s="190">
        <v>10</v>
      </c>
      <c r="I33" s="190"/>
      <c r="J33" s="113">
        <f t="shared" si="4"/>
        <v>10.333333333333334</v>
      </c>
      <c r="K33" s="147" t="str">
        <f t="shared" si="1"/>
        <v>TRANSITA</v>
      </c>
      <c r="L33" s="189">
        <v>10</v>
      </c>
      <c r="M33" s="190">
        <v>9.5</v>
      </c>
      <c r="N33" s="190"/>
      <c r="O33" s="190">
        <v>8</v>
      </c>
      <c r="P33" s="140"/>
      <c r="Q33" s="146">
        <f t="shared" si="5"/>
        <v>9.1666666666666661</v>
      </c>
      <c r="R33" s="105" t="str">
        <f t="shared" si="2"/>
        <v>N/TRANSITA</v>
      </c>
      <c r="S33" s="148"/>
      <c r="T33" s="149"/>
      <c r="U33" s="149"/>
      <c r="V33" s="149"/>
      <c r="W33" s="140"/>
      <c r="X33" s="104">
        <f t="shared" si="6"/>
        <v>0</v>
      </c>
      <c r="Y33" s="106">
        <f>SUM(J33,Q33,X33)/3</f>
        <v>6.5</v>
      </c>
      <c r="Z33" s="93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21"/>
      <c r="E34" s="189">
        <v>13</v>
      </c>
      <c r="F34" s="190">
        <v>12</v>
      </c>
      <c r="G34" s="190"/>
      <c r="H34" s="190">
        <v>15</v>
      </c>
      <c r="I34" s="190"/>
      <c r="J34" s="113">
        <f t="shared" si="4"/>
        <v>13.333333333333334</v>
      </c>
      <c r="K34" s="147" t="str">
        <f t="shared" si="1"/>
        <v>TRANSITA</v>
      </c>
      <c r="L34" s="189">
        <v>13</v>
      </c>
      <c r="M34" s="190">
        <v>17</v>
      </c>
      <c r="N34" s="190"/>
      <c r="O34" s="190">
        <v>10</v>
      </c>
      <c r="P34" s="140"/>
      <c r="Q34" s="146">
        <f t="shared" si="5"/>
        <v>13.333333333333334</v>
      </c>
      <c r="R34" s="105" t="str">
        <f t="shared" si="2"/>
        <v>TRANSITA</v>
      </c>
      <c r="S34" s="148"/>
      <c r="T34" s="149"/>
      <c r="U34" s="149"/>
      <c r="V34" s="149"/>
      <c r="W34" s="140"/>
      <c r="X34" s="104">
        <f t="shared" si="6"/>
        <v>0</v>
      </c>
      <c r="Y34" s="106">
        <f t="shared" ref="Y34:Y48" si="7">SUM(J34,Q34,X34)/3</f>
        <v>8.8888888888888893</v>
      </c>
      <c r="Z34" s="93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21"/>
      <c r="E35" s="189">
        <v>11</v>
      </c>
      <c r="F35" s="190">
        <v>14</v>
      </c>
      <c r="G35" s="190"/>
      <c r="H35" s="190">
        <v>11.7</v>
      </c>
      <c r="I35" s="190"/>
      <c r="J35" s="113">
        <f t="shared" si="4"/>
        <v>12.233333333333334</v>
      </c>
      <c r="K35" s="147" t="str">
        <f t="shared" si="1"/>
        <v>TRANSITA</v>
      </c>
      <c r="L35" s="189">
        <v>10</v>
      </c>
      <c r="M35" s="190">
        <v>9</v>
      </c>
      <c r="N35" s="190"/>
      <c r="O35" s="190">
        <v>8</v>
      </c>
      <c r="P35" s="140"/>
      <c r="Q35" s="146">
        <f t="shared" si="5"/>
        <v>9</v>
      </c>
      <c r="R35" s="105" t="str">
        <f t="shared" si="2"/>
        <v>N/TRANSITA</v>
      </c>
      <c r="S35" s="148"/>
      <c r="T35" s="149"/>
      <c r="U35" s="149"/>
      <c r="V35" s="149"/>
      <c r="W35" s="140"/>
      <c r="X35" s="104">
        <f t="shared" si="6"/>
        <v>0</v>
      </c>
      <c r="Y35" s="106">
        <f t="shared" si="7"/>
        <v>7.0777777777777784</v>
      </c>
      <c r="Z35" s="93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21"/>
      <c r="E36" s="189">
        <v>10</v>
      </c>
      <c r="F36" s="190">
        <v>12</v>
      </c>
      <c r="G36" s="190"/>
      <c r="H36" s="190">
        <v>8.5</v>
      </c>
      <c r="I36" s="190"/>
      <c r="J36" s="113">
        <f t="shared" si="4"/>
        <v>10.166666666666666</v>
      </c>
      <c r="K36" s="147" t="str">
        <f t="shared" si="1"/>
        <v>TRANSITA</v>
      </c>
      <c r="L36" s="189">
        <v>11</v>
      </c>
      <c r="M36" s="190">
        <v>8</v>
      </c>
      <c r="N36" s="190"/>
      <c r="O36" s="190">
        <v>11.5</v>
      </c>
      <c r="P36" s="140"/>
      <c r="Q36" s="146">
        <f t="shared" si="5"/>
        <v>10.166666666666666</v>
      </c>
      <c r="R36" s="105" t="str">
        <f t="shared" si="2"/>
        <v>TRANSITA</v>
      </c>
      <c r="S36" s="148"/>
      <c r="T36" s="149"/>
      <c r="U36" s="149"/>
      <c r="V36" s="149"/>
      <c r="W36" s="140"/>
      <c r="X36" s="104">
        <f t="shared" si="6"/>
        <v>0</v>
      </c>
      <c r="Y36" s="106">
        <f t="shared" ref="Y36" si="8">SUM(J36,Q36,X36)/3</f>
        <v>6.7777777777777777</v>
      </c>
      <c r="Z36" s="93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21"/>
      <c r="E37" s="189">
        <v>13</v>
      </c>
      <c r="F37" s="190">
        <v>16</v>
      </c>
      <c r="G37" s="190"/>
      <c r="H37" s="190">
        <v>13.7</v>
      </c>
      <c r="I37" s="190"/>
      <c r="J37" s="113">
        <f t="shared" si="4"/>
        <v>14.233333333333334</v>
      </c>
      <c r="K37" s="147" t="str">
        <f t="shared" si="1"/>
        <v>TRANSITA</v>
      </c>
      <c r="L37" s="189">
        <v>14</v>
      </c>
      <c r="M37" s="190">
        <v>17</v>
      </c>
      <c r="N37" s="190"/>
      <c r="O37" s="190">
        <v>12</v>
      </c>
      <c r="P37" s="140"/>
      <c r="Q37" s="146">
        <f t="shared" si="5"/>
        <v>14.333333333333334</v>
      </c>
      <c r="R37" s="105" t="str">
        <f t="shared" si="2"/>
        <v>TRANSITA</v>
      </c>
      <c r="S37" s="148"/>
      <c r="T37" s="149"/>
      <c r="U37" s="149"/>
      <c r="V37" s="149"/>
      <c r="W37" s="140"/>
      <c r="X37" s="104">
        <f t="shared" si="6"/>
        <v>0</v>
      </c>
      <c r="Y37" s="106">
        <f t="shared" si="7"/>
        <v>9.5222222222222239</v>
      </c>
      <c r="Z37" s="93" t="str">
        <f t="shared" si="3"/>
        <v>N/TRANSITA</v>
      </c>
    </row>
    <row r="38" spans="2:26" ht="14.25" customHeight="1" x14ac:dyDescent="0.3">
      <c r="B38" s="31">
        <v>30</v>
      </c>
      <c r="C38" s="177" t="s">
        <v>123</v>
      </c>
      <c r="D38" s="21"/>
      <c r="E38" s="189">
        <v>12</v>
      </c>
      <c r="F38" s="190">
        <v>15</v>
      </c>
      <c r="G38" s="190"/>
      <c r="H38" s="190">
        <v>14.5</v>
      </c>
      <c r="I38" s="190"/>
      <c r="J38" s="113">
        <f t="shared" si="4"/>
        <v>13.833333333333334</v>
      </c>
      <c r="K38" s="147" t="str">
        <f t="shared" si="1"/>
        <v>TRANSITA</v>
      </c>
      <c r="L38" s="189">
        <v>13</v>
      </c>
      <c r="M38" s="190">
        <v>16.5</v>
      </c>
      <c r="N38" s="190"/>
      <c r="O38" s="190">
        <v>10.5</v>
      </c>
      <c r="P38" s="140"/>
      <c r="Q38" s="146">
        <f t="shared" si="5"/>
        <v>13.333333333333334</v>
      </c>
      <c r="R38" s="105" t="str">
        <f t="shared" si="2"/>
        <v>TRANSITA</v>
      </c>
      <c r="S38" s="148"/>
      <c r="T38" s="149"/>
      <c r="U38" s="149"/>
      <c r="V38" s="149"/>
      <c r="W38" s="140"/>
      <c r="X38" s="104">
        <f t="shared" si="6"/>
        <v>0</v>
      </c>
      <c r="Y38" s="106">
        <f t="shared" si="7"/>
        <v>9.0555555555555554</v>
      </c>
      <c r="Z38" s="93" t="str">
        <f t="shared" si="3"/>
        <v>N/TRANSITA</v>
      </c>
    </row>
    <row r="39" spans="2:26" ht="14.25" customHeight="1" x14ac:dyDescent="0.3">
      <c r="B39" s="31">
        <v>31</v>
      </c>
      <c r="C39" s="177" t="s">
        <v>124</v>
      </c>
      <c r="D39" s="21"/>
      <c r="E39" s="189">
        <v>11</v>
      </c>
      <c r="F39" s="190">
        <v>11</v>
      </c>
      <c r="G39" s="190"/>
      <c r="H39" s="190">
        <v>11</v>
      </c>
      <c r="I39" s="190"/>
      <c r="J39" s="113">
        <f t="shared" si="4"/>
        <v>11</v>
      </c>
      <c r="K39" s="147" t="str">
        <f t="shared" si="1"/>
        <v>TRANSITA</v>
      </c>
      <c r="L39" s="189">
        <v>12</v>
      </c>
      <c r="M39" s="190">
        <v>14</v>
      </c>
      <c r="N39" s="190"/>
      <c r="O39" s="190">
        <v>8.5</v>
      </c>
      <c r="P39" s="140"/>
      <c r="Q39" s="146">
        <f t="shared" si="5"/>
        <v>11.5</v>
      </c>
      <c r="R39" s="105" t="str">
        <f t="shared" si="2"/>
        <v>TRANSITA</v>
      </c>
      <c r="S39" s="148"/>
      <c r="T39" s="149"/>
      <c r="U39" s="149"/>
      <c r="V39" s="149"/>
      <c r="W39" s="140"/>
      <c r="X39" s="104">
        <f t="shared" si="6"/>
        <v>0</v>
      </c>
      <c r="Y39" s="106">
        <f t="shared" si="7"/>
        <v>7.5</v>
      </c>
      <c r="Z39" s="93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21"/>
      <c r="E40" s="189">
        <v>14</v>
      </c>
      <c r="F40" s="190">
        <v>15</v>
      </c>
      <c r="G40" s="190"/>
      <c r="H40" s="190">
        <v>16.5</v>
      </c>
      <c r="I40" s="190"/>
      <c r="J40" s="113">
        <f t="shared" si="4"/>
        <v>15.166666666666666</v>
      </c>
      <c r="K40" s="147" t="str">
        <f t="shared" si="1"/>
        <v>TRANSITA</v>
      </c>
      <c r="L40" s="189">
        <v>14</v>
      </c>
      <c r="M40" s="190">
        <v>17.5</v>
      </c>
      <c r="N40" s="190"/>
      <c r="O40" s="190">
        <v>12</v>
      </c>
      <c r="P40" s="140"/>
      <c r="Q40" s="146">
        <f t="shared" si="5"/>
        <v>14.5</v>
      </c>
      <c r="R40" s="105" t="str">
        <f t="shared" si="2"/>
        <v>TRANSITA</v>
      </c>
      <c r="S40" s="148"/>
      <c r="T40" s="149"/>
      <c r="U40" s="149"/>
      <c r="V40" s="149"/>
      <c r="W40" s="140"/>
      <c r="X40" s="104">
        <f t="shared" si="6"/>
        <v>0</v>
      </c>
      <c r="Y40" s="106">
        <f t="shared" si="7"/>
        <v>9.8888888888888875</v>
      </c>
      <c r="Z40" s="93" t="str">
        <f t="shared" si="3"/>
        <v>N/TRANSITA</v>
      </c>
    </row>
    <row r="41" spans="2:26" ht="14.25" customHeight="1" x14ac:dyDescent="0.3">
      <c r="B41" s="31">
        <v>33</v>
      </c>
      <c r="C41" s="177" t="s">
        <v>126</v>
      </c>
      <c r="D41" s="21"/>
      <c r="E41" s="189">
        <v>12</v>
      </c>
      <c r="F41" s="190">
        <v>14</v>
      </c>
      <c r="G41" s="190"/>
      <c r="H41" s="190">
        <v>10</v>
      </c>
      <c r="I41" s="190"/>
      <c r="J41" s="113">
        <f t="shared" si="4"/>
        <v>12</v>
      </c>
      <c r="K41" s="147" t="str">
        <f t="shared" si="1"/>
        <v>TRANSITA</v>
      </c>
      <c r="L41" s="189">
        <v>12</v>
      </c>
      <c r="M41" s="190">
        <v>15.5</v>
      </c>
      <c r="N41" s="190"/>
      <c r="O41" s="190">
        <v>11</v>
      </c>
      <c r="P41" s="140"/>
      <c r="Q41" s="146">
        <f t="shared" ref="Q41:Q43" si="9">AVERAGE(L41,MAX(M41:N41),MAX(O41:P41))</f>
        <v>12.833333333333334</v>
      </c>
      <c r="R41" s="105" t="str">
        <f t="shared" ref="R41:R43" si="10">IF(Q41&gt;=10,"TRANSITA","N/TRANSITA")</f>
        <v>TRANSITA</v>
      </c>
      <c r="S41" s="148"/>
      <c r="T41" s="149"/>
      <c r="U41" s="149"/>
      <c r="V41" s="149"/>
      <c r="W41" s="140"/>
      <c r="X41" s="104">
        <f t="shared" ref="X41:X43" si="11">AVERAGE(S41,MAX(T41:U41),MAX(V41:W41))</f>
        <v>0</v>
      </c>
      <c r="Y41" s="106">
        <f t="shared" ref="Y41:Y43" si="12">SUM(J41,Q41,X41)/3</f>
        <v>8.2777777777777786</v>
      </c>
      <c r="Z41" s="93" t="str">
        <f t="shared" ref="Z41:Z43" si="13">IF(Y41&gt;=10,"TRANSITA","N/TRANSITA")</f>
        <v>N/TRANSITA</v>
      </c>
    </row>
    <row r="42" spans="2:26" ht="14.25" customHeight="1" x14ac:dyDescent="0.3">
      <c r="B42" s="31">
        <v>34</v>
      </c>
      <c r="C42" s="177" t="s">
        <v>141</v>
      </c>
      <c r="D42" s="21"/>
      <c r="E42" s="189">
        <v>8</v>
      </c>
      <c r="F42" s="190">
        <v>13</v>
      </c>
      <c r="G42" s="190"/>
      <c r="H42" s="190">
        <v>11</v>
      </c>
      <c r="I42" s="190"/>
      <c r="J42" s="113">
        <f t="shared" si="4"/>
        <v>10.666666666666666</v>
      </c>
      <c r="K42" s="147" t="str">
        <f t="shared" si="1"/>
        <v>TRANSITA</v>
      </c>
      <c r="L42" s="189">
        <v>11</v>
      </c>
      <c r="M42" s="190">
        <v>16.5</v>
      </c>
      <c r="N42" s="190"/>
      <c r="O42" s="190">
        <v>9</v>
      </c>
      <c r="P42" s="140"/>
      <c r="Q42" s="146">
        <f t="shared" ref="Q42" si="14">AVERAGE(L42,MAX(M42:N42),MAX(O42:P42))</f>
        <v>12.166666666666666</v>
      </c>
      <c r="R42" s="105" t="str">
        <f t="shared" ref="R42" si="15">IF(Q42&gt;=10,"TRANSITA","N/TRANSITA")</f>
        <v>TRANSITA</v>
      </c>
      <c r="S42" s="148"/>
      <c r="T42" s="149"/>
      <c r="U42" s="149"/>
      <c r="V42" s="149"/>
      <c r="W42" s="140"/>
      <c r="X42" s="104">
        <f t="shared" ref="X42" si="16">AVERAGE(S42,MAX(T42:U42),MAX(V42:W42))</f>
        <v>0</v>
      </c>
      <c r="Y42" s="106">
        <f t="shared" ref="Y42" si="17">SUM(J42,Q42,X42)/3</f>
        <v>7.6111111111111107</v>
      </c>
      <c r="Z42" s="93" t="str">
        <f t="shared" ref="Z42" si="18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21"/>
      <c r="E43" s="189">
        <v>13</v>
      </c>
      <c r="F43" s="190">
        <v>13</v>
      </c>
      <c r="G43" s="190"/>
      <c r="H43" s="190">
        <v>15</v>
      </c>
      <c r="I43" s="190"/>
      <c r="J43" s="113">
        <f t="shared" si="4"/>
        <v>13.666666666666666</v>
      </c>
      <c r="K43" s="147" t="str">
        <f t="shared" si="1"/>
        <v>TRANSITA</v>
      </c>
      <c r="L43" s="189">
        <v>12</v>
      </c>
      <c r="M43" s="190">
        <v>11</v>
      </c>
      <c r="N43" s="190"/>
      <c r="O43" s="190">
        <v>9.5</v>
      </c>
      <c r="P43" s="140"/>
      <c r="Q43" s="146">
        <f t="shared" si="9"/>
        <v>10.833333333333334</v>
      </c>
      <c r="R43" s="105" t="str">
        <f t="shared" si="10"/>
        <v>TRANSITA</v>
      </c>
      <c r="S43" s="148"/>
      <c r="T43" s="149"/>
      <c r="U43" s="149"/>
      <c r="V43" s="149"/>
      <c r="W43" s="140"/>
      <c r="X43" s="104">
        <f t="shared" si="11"/>
        <v>0</v>
      </c>
      <c r="Y43" s="106">
        <f t="shared" si="12"/>
        <v>8.1666666666666661</v>
      </c>
      <c r="Z43" s="93" t="str">
        <f t="shared" si="13"/>
        <v>N/TRANSITA</v>
      </c>
    </row>
    <row r="44" spans="2:26" ht="14.25" customHeight="1" x14ac:dyDescent="0.3">
      <c r="B44" s="31">
        <v>36</v>
      </c>
      <c r="C44" s="177" t="s">
        <v>128</v>
      </c>
      <c r="D44" s="21"/>
      <c r="E44" s="189">
        <v>11</v>
      </c>
      <c r="F44" s="190">
        <v>12</v>
      </c>
      <c r="G44" s="190"/>
      <c r="H44" s="190">
        <v>10.199999999999999</v>
      </c>
      <c r="I44" s="190"/>
      <c r="J44" s="113">
        <f t="shared" si="4"/>
        <v>11.066666666666668</v>
      </c>
      <c r="K44" s="147" t="str">
        <f t="shared" si="1"/>
        <v>TRANSITA</v>
      </c>
      <c r="L44" s="189">
        <v>11</v>
      </c>
      <c r="M44" s="190">
        <v>11.5</v>
      </c>
      <c r="N44" s="190"/>
      <c r="O44" s="190">
        <v>8</v>
      </c>
      <c r="P44" s="140"/>
      <c r="Q44" s="146">
        <f t="shared" ref="Q44:Q46" si="19">AVERAGE(L44,MAX(M44:N44),MAX(O44:P44))</f>
        <v>10.166666666666666</v>
      </c>
      <c r="R44" s="105" t="str">
        <f t="shared" ref="R44:R46" si="20">IF(Q44&gt;=10,"TRANSITA","N/TRANSITA")</f>
        <v>TRANSITA</v>
      </c>
      <c r="S44" s="148"/>
      <c r="T44" s="149"/>
      <c r="U44" s="149"/>
      <c r="V44" s="149"/>
      <c r="W44" s="140"/>
      <c r="X44" s="104">
        <f t="shared" ref="X44:X46" si="21">AVERAGE(S44,MAX(T44:U44),MAX(V44:W44))</f>
        <v>0</v>
      </c>
      <c r="Y44" s="106">
        <f t="shared" ref="Y44:Y46" si="22">SUM(J44,Q44,X44)/3</f>
        <v>7.0777777777777784</v>
      </c>
      <c r="Z44" s="93" t="str">
        <f t="shared" ref="Z44:Z46" si="23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21"/>
      <c r="E45" s="189">
        <v>10</v>
      </c>
      <c r="F45" s="190">
        <v>6</v>
      </c>
      <c r="G45" s="190"/>
      <c r="H45" s="190">
        <v>13.5</v>
      </c>
      <c r="I45" s="190"/>
      <c r="J45" s="113">
        <f t="shared" si="4"/>
        <v>9.8333333333333339</v>
      </c>
      <c r="K45" s="147" t="str">
        <f t="shared" si="1"/>
        <v>N/TRANSITA</v>
      </c>
      <c r="L45" s="189">
        <v>11</v>
      </c>
      <c r="M45" s="190">
        <v>12.5</v>
      </c>
      <c r="N45" s="190"/>
      <c r="O45" s="190">
        <v>9.5</v>
      </c>
      <c r="P45" s="140"/>
      <c r="Q45" s="146">
        <f t="shared" si="19"/>
        <v>11</v>
      </c>
      <c r="R45" s="105" t="str">
        <f t="shared" si="20"/>
        <v>TRANSITA</v>
      </c>
      <c r="S45" s="148"/>
      <c r="T45" s="149"/>
      <c r="U45" s="149"/>
      <c r="V45" s="149"/>
      <c r="W45" s="140"/>
      <c r="X45" s="104">
        <f t="shared" si="21"/>
        <v>0</v>
      </c>
      <c r="Y45" s="106">
        <f t="shared" si="22"/>
        <v>6.9444444444444455</v>
      </c>
      <c r="Z45" s="93" t="str">
        <f t="shared" si="23"/>
        <v>N/TRANSITA</v>
      </c>
    </row>
    <row r="46" spans="2:26" ht="14.25" customHeight="1" x14ac:dyDescent="0.3">
      <c r="B46" s="31">
        <v>38</v>
      </c>
      <c r="C46" s="177" t="s">
        <v>130</v>
      </c>
      <c r="D46" s="21"/>
      <c r="E46" s="189">
        <v>12</v>
      </c>
      <c r="F46" s="190">
        <v>13</v>
      </c>
      <c r="G46" s="190"/>
      <c r="H46" s="190">
        <v>11</v>
      </c>
      <c r="I46" s="190"/>
      <c r="J46" s="113">
        <f t="shared" si="4"/>
        <v>12</v>
      </c>
      <c r="K46" s="147" t="str">
        <f t="shared" si="1"/>
        <v>TRANSITA</v>
      </c>
      <c r="L46" s="189">
        <v>11</v>
      </c>
      <c r="M46" s="190">
        <v>10.5</v>
      </c>
      <c r="N46" s="190"/>
      <c r="O46" s="190">
        <v>7.5</v>
      </c>
      <c r="P46" s="140"/>
      <c r="Q46" s="146">
        <f t="shared" si="19"/>
        <v>9.6666666666666661</v>
      </c>
      <c r="R46" s="105" t="str">
        <f t="shared" si="20"/>
        <v>N/TRANSITA</v>
      </c>
      <c r="S46" s="148"/>
      <c r="T46" s="149"/>
      <c r="U46" s="149"/>
      <c r="V46" s="149"/>
      <c r="W46" s="140"/>
      <c r="X46" s="104">
        <f t="shared" si="21"/>
        <v>0</v>
      </c>
      <c r="Y46" s="106">
        <f t="shared" si="22"/>
        <v>7.2222222222222214</v>
      </c>
      <c r="Z46" s="93" t="str">
        <f t="shared" si="23"/>
        <v>N/TRANSITA</v>
      </c>
    </row>
    <row r="47" spans="2:26" ht="14.25" customHeight="1" x14ac:dyDescent="0.3">
      <c r="B47" s="31">
        <v>39</v>
      </c>
      <c r="C47" s="177" t="s">
        <v>131</v>
      </c>
      <c r="D47" s="22"/>
      <c r="E47" s="189">
        <v>12</v>
      </c>
      <c r="F47" s="190">
        <v>14</v>
      </c>
      <c r="G47" s="190"/>
      <c r="H47" s="190">
        <v>12</v>
      </c>
      <c r="I47" s="190"/>
      <c r="J47" s="113">
        <f t="shared" si="4"/>
        <v>12.666666666666666</v>
      </c>
      <c r="K47" s="147" t="str">
        <f t="shared" si="1"/>
        <v>TRANSITA</v>
      </c>
      <c r="L47" s="189">
        <v>12</v>
      </c>
      <c r="M47" s="190">
        <v>14.5</v>
      </c>
      <c r="N47" s="190"/>
      <c r="O47" s="190">
        <v>9.5</v>
      </c>
      <c r="P47" s="140"/>
      <c r="Q47" s="146">
        <f t="shared" si="5"/>
        <v>12</v>
      </c>
      <c r="R47" s="105" t="str">
        <f t="shared" si="2"/>
        <v>TRANSITA</v>
      </c>
      <c r="S47" s="148"/>
      <c r="T47" s="149"/>
      <c r="U47" s="149"/>
      <c r="V47" s="149"/>
      <c r="W47" s="140"/>
      <c r="X47" s="104">
        <f t="shared" si="6"/>
        <v>0</v>
      </c>
      <c r="Y47" s="106">
        <f t="shared" si="7"/>
        <v>8.2222222222222214</v>
      </c>
      <c r="Z47" s="93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22"/>
      <c r="E48" s="189">
        <v>12</v>
      </c>
      <c r="F48" s="190">
        <v>11</v>
      </c>
      <c r="G48" s="190"/>
      <c r="H48" s="190">
        <v>12</v>
      </c>
      <c r="I48" s="190"/>
      <c r="J48" s="113">
        <f t="shared" si="4"/>
        <v>11.666666666666666</v>
      </c>
      <c r="K48" s="147" t="str">
        <f t="shared" si="1"/>
        <v>TRANSITA</v>
      </c>
      <c r="L48" s="189">
        <v>12</v>
      </c>
      <c r="M48" s="190">
        <v>10</v>
      </c>
      <c r="N48" s="190"/>
      <c r="O48" s="190">
        <v>9.5</v>
      </c>
      <c r="P48" s="140"/>
      <c r="Q48" s="146">
        <f t="shared" si="5"/>
        <v>10.5</v>
      </c>
      <c r="R48" s="105" t="str">
        <f t="shared" si="2"/>
        <v>TRANSITA</v>
      </c>
      <c r="S48" s="148"/>
      <c r="T48" s="149"/>
      <c r="U48" s="149"/>
      <c r="V48" s="149"/>
      <c r="W48" s="140"/>
      <c r="X48" s="104">
        <f t="shared" si="6"/>
        <v>0</v>
      </c>
      <c r="Y48" s="106">
        <f t="shared" si="7"/>
        <v>7.3888888888888884</v>
      </c>
      <c r="Z48" s="93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22"/>
      <c r="E49" s="189">
        <v>11</v>
      </c>
      <c r="F49" s="190">
        <v>15</v>
      </c>
      <c r="G49" s="190"/>
      <c r="H49" s="190">
        <v>11.7</v>
      </c>
      <c r="I49" s="190"/>
      <c r="J49" s="113">
        <f t="shared" si="4"/>
        <v>12.566666666666668</v>
      </c>
      <c r="K49" s="147" t="str">
        <f t="shared" si="1"/>
        <v>TRANSITA</v>
      </c>
      <c r="L49" s="189">
        <v>12</v>
      </c>
      <c r="M49" s="190">
        <v>12.5</v>
      </c>
      <c r="N49" s="190"/>
      <c r="O49" s="190">
        <v>8.5</v>
      </c>
      <c r="P49" s="140"/>
      <c r="Q49" s="146">
        <f t="shared" ref="Q49:Q51" si="24">AVERAGE(L49,MAX(M49:N49),MAX(O49:P49))</f>
        <v>11</v>
      </c>
      <c r="R49" s="105" t="str">
        <f t="shared" ref="R49:R51" si="25">IF(Q49&gt;=10,"TRANSITA","N/TRANSITA")</f>
        <v>TRANSITA</v>
      </c>
      <c r="S49" s="148"/>
      <c r="T49" s="149"/>
      <c r="U49" s="149"/>
      <c r="V49" s="149"/>
      <c r="W49" s="140"/>
      <c r="X49" s="104">
        <f t="shared" ref="X49:X51" si="26">AVERAGE(S49,MAX(T49:U49),MAX(V49:W49))</f>
        <v>0</v>
      </c>
      <c r="Y49" s="106">
        <f t="shared" ref="Y49:Y51" si="27">SUM(J49,Q49,X49)/3</f>
        <v>7.855555555555557</v>
      </c>
      <c r="Z49" s="93" t="str">
        <f t="shared" ref="Z49:Z51" si="28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21"/>
      <c r="E50" s="189">
        <v>14</v>
      </c>
      <c r="F50" s="190">
        <v>16</v>
      </c>
      <c r="G50" s="190"/>
      <c r="H50" s="190">
        <v>15</v>
      </c>
      <c r="I50" s="190"/>
      <c r="J50" s="113">
        <f t="shared" si="4"/>
        <v>15</v>
      </c>
      <c r="K50" s="147" t="str">
        <f t="shared" si="1"/>
        <v>TRANSITA</v>
      </c>
      <c r="L50" s="189">
        <v>13</v>
      </c>
      <c r="M50" s="190">
        <v>17</v>
      </c>
      <c r="N50" s="190"/>
      <c r="O50" s="190">
        <v>12</v>
      </c>
      <c r="P50" s="140"/>
      <c r="Q50" s="146">
        <f t="shared" si="24"/>
        <v>14</v>
      </c>
      <c r="R50" s="105" t="str">
        <f t="shared" si="25"/>
        <v>TRANSITA</v>
      </c>
      <c r="S50" s="148"/>
      <c r="T50" s="149"/>
      <c r="U50" s="149"/>
      <c r="V50" s="149"/>
      <c r="W50" s="140"/>
      <c r="X50" s="104">
        <f t="shared" si="26"/>
        <v>0</v>
      </c>
      <c r="Y50" s="106">
        <f t="shared" si="27"/>
        <v>9.6666666666666661</v>
      </c>
      <c r="Z50" s="93" t="str">
        <f t="shared" si="28"/>
        <v>N/TRANSITA</v>
      </c>
    </row>
    <row r="51" spans="1:26" ht="14.25" customHeight="1" x14ac:dyDescent="0.3">
      <c r="B51" s="31">
        <v>43</v>
      </c>
      <c r="C51" s="177" t="s">
        <v>135</v>
      </c>
      <c r="D51" s="21"/>
      <c r="E51" s="189">
        <v>11</v>
      </c>
      <c r="F51" s="190">
        <v>8</v>
      </c>
      <c r="G51" s="190"/>
      <c r="H51" s="190">
        <v>8.5</v>
      </c>
      <c r="I51" s="190"/>
      <c r="J51" s="113">
        <f t="shared" si="4"/>
        <v>9.1666666666666661</v>
      </c>
      <c r="K51" s="147" t="str">
        <f t="shared" si="1"/>
        <v>N/TRANSITA</v>
      </c>
      <c r="L51" s="189">
        <v>10</v>
      </c>
      <c r="M51" s="190">
        <v>9</v>
      </c>
      <c r="N51" s="190"/>
      <c r="O51" s="190">
        <v>8</v>
      </c>
      <c r="P51" s="140"/>
      <c r="Q51" s="146">
        <f t="shared" si="24"/>
        <v>9</v>
      </c>
      <c r="R51" s="105" t="str">
        <f t="shared" si="25"/>
        <v>N/TRANSITA</v>
      </c>
      <c r="S51" s="148"/>
      <c r="T51" s="149"/>
      <c r="U51" s="149"/>
      <c r="V51" s="149"/>
      <c r="W51" s="140"/>
      <c r="X51" s="104">
        <f t="shared" si="26"/>
        <v>0</v>
      </c>
      <c r="Y51" s="106">
        <f t="shared" si="27"/>
        <v>6.0555555555555545</v>
      </c>
      <c r="Z51" s="93" t="str">
        <f t="shared" si="28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23"/>
      <c r="E52" s="191">
        <v>10</v>
      </c>
      <c r="F52" s="192">
        <v>12</v>
      </c>
      <c r="G52" s="192"/>
      <c r="H52" s="192">
        <v>12.7</v>
      </c>
      <c r="I52" s="192"/>
      <c r="J52" s="114">
        <f t="shared" si="4"/>
        <v>11.566666666666668</v>
      </c>
      <c r="K52" s="151" t="str">
        <f t="shared" si="1"/>
        <v>TRANSITA</v>
      </c>
      <c r="L52" s="191">
        <v>12</v>
      </c>
      <c r="M52" s="192">
        <v>12</v>
      </c>
      <c r="N52" s="192"/>
      <c r="O52" s="192">
        <v>9</v>
      </c>
      <c r="P52" s="152"/>
      <c r="Q52" s="150">
        <f t="shared" si="5"/>
        <v>11</v>
      </c>
      <c r="R52" s="110" t="str">
        <f t="shared" si="2"/>
        <v>TRANSITA</v>
      </c>
      <c r="S52" s="153"/>
      <c r="T52" s="154"/>
      <c r="U52" s="154"/>
      <c r="V52" s="154"/>
      <c r="W52" s="152"/>
      <c r="X52" s="109">
        <f t="shared" si="6"/>
        <v>0</v>
      </c>
      <c r="Y52" s="111">
        <f>SUM(J52,Q52,X52)/3</f>
        <v>7.522222222222223</v>
      </c>
      <c r="Z52" s="98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6"/>
      <c r="G55" s="11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9"/>
      <c r="G56" s="12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9"/>
      <c r="G57" s="12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4:C4"/>
    <mergeCell ref="B5:C5"/>
    <mergeCell ref="E5:Q5"/>
    <mergeCell ref="B3:C3"/>
    <mergeCell ref="I3:M3"/>
    <mergeCell ref="V3:Z3"/>
    <mergeCell ref="V5:Z5"/>
    <mergeCell ref="V4:Z4"/>
    <mergeCell ref="S55:Z55"/>
    <mergeCell ref="B7:B8"/>
    <mergeCell ref="C7:C8"/>
    <mergeCell ref="E7:J7"/>
    <mergeCell ref="L7:Q7"/>
    <mergeCell ref="S7:X7"/>
    <mergeCell ref="B6:Z6"/>
    <mergeCell ref="AC8:AC9"/>
    <mergeCell ref="AD8:AD9"/>
    <mergeCell ref="AE8:AE9"/>
    <mergeCell ref="A57:E57"/>
    <mergeCell ref="S57:Z57"/>
    <mergeCell ref="A56:E56"/>
    <mergeCell ref="S56:Z56"/>
    <mergeCell ref="K7:K8"/>
    <mergeCell ref="R7:R8"/>
    <mergeCell ref="AA10:AB11"/>
    <mergeCell ref="AA8:AA9"/>
    <mergeCell ref="AB8:AB9"/>
    <mergeCell ref="Y7:Y8"/>
    <mergeCell ref="Z7:Z8"/>
    <mergeCell ref="A55:E55"/>
  </mergeCells>
  <conditionalFormatting sqref="Y9:Y52">
    <cfRule type="cellIs" dxfId="388" priority="215" stopIfTrue="1" operator="greaterThan">
      <formula>9.5</formula>
    </cfRule>
    <cfRule type="cellIs" dxfId="387" priority="216" stopIfTrue="1" operator="lessThanOrEqual">
      <formula>9.5</formula>
    </cfRule>
  </conditionalFormatting>
  <conditionalFormatting sqref="X9:X52 Q9:Q52">
    <cfRule type="cellIs" dxfId="386" priority="181" stopIfTrue="1" operator="lessThan">
      <formula>10</formula>
    </cfRule>
    <cfRule type="cellIs" dxfId="385" priority="182" stopIfTrue="1" operator="greaterThanOrEqual">
      <formula>10</formula>
    </cfRule>
  </conditionalFormatting>
  <conditionalFormatting sqref="P9:P52 W9:W52">
    <cfRule type="cellIs" dxfId="384" priority="77" stopIfTrue="1" operator="lessThan">
      <formula>10</formula>
    </cfRule>
    <cfRule type="cellIs" dxfId="383" priority="78" stopIfTrue="1" operator="greaterThan">
      <formula>9</formula>
    </cfRule>
  </conditionalFormatting>
  <conditionalFormatting sqref="P9:P52 W9:W52">
    <cfRule type="cellIs" dxfId="382" priority="75" stopIfTrue="1" operator="lessThan">
      <formula>10</formula>
    </cfRule>
    <cfRule type="cellIs" dxfId="381" priority="76" stopIfTrue="1" operator="greaterThan">
      <formula>9</formula>
    </cfRule>
  </conditionalFormatting>
  <conditionalFormatting sqref="S9:V52">
    <cfRule type="cellIs" dxfId="380" priority="43" stopIfTrue="1" operator="lessThan">
      <formula>10</formula>
    </cfRule>
    <cfRule type="cellIs" dxfId="379" priority="44" stopIfTrue="1" operator="greaterThan">
      <formula>9</formula>
    </cfRule>
    <cfRule type="cellIs" dxfId="378" priority="45" stopIfTrue="1" operator="lessThan">
      <formula>10</formula>
    </cfRule>
    <cfRule type="cellIs" dxfId="377" priority="46" stopIfTrue="1" operator="greaterThan">
      <formula>9</formula>
    </cfRule>
  </conditionalFormatting>
  <conditionalFormatting sqref="J9:J52">
    <cfRule type="cellIs" dxfId="376" priority="23" stopIfTrue="1" operator="lessThan">
      <formula>10</formula>
    </cfRule>
    <cfRule type="cellIs" dxfId="375" priority="24" stopIfTrue="1" operator="greaterThanOrEqual">
      <formula>10</formula>
    </cfRule>
  </conditionalFormatting>
  <conditionalFormatting sqref="I50:I52 L9:O52">
    <cfRule type="cellIs" dxfId="374" priority="13" stopIfTrue="1" operator="lessThan">
      <formula>10</formula>
    </cfRule>
    <cfRule type="cellIs" dxfId="373" priority="14" stopIfTrue="1" operator="greaterThan">
      <formula>9</formula>
    </cfRule>
    <cfRule type="cellIs" dxfId="372" priority="15" stopIfTrue="1" operator="lessThan">
      <formula>10</formula>
    </cfRule>
    <cfRule type="cellIs" dxfId="371" priority="16" stopIfTrue="1" operator="greaterThan">
      <formula>9</formula>
    </cfRule>
  </conditionalFormatting>
  <conditionalFormatting sqref="I9:I49">
    <cfRule type="cellIs" dxfId="370" priority="17" stopIfTrue="1" operator="lessThan">
      <formula>10</formula>
    </cfRule>
    <cfRule type="cellIs" dxfId="369" priority="18" stopIfTrue="1" operator="greaterThan">
      <formula>9</formula>
    </cfRule>
    <cfRule type="cellIs" dxfId="368" priority="19" stopIfTrue="1" operator="lessThan">
      <formula>10</formula>
    </cfRule>
    <cfRule type="cellIs" dxfId="367" priority="20" stopIfTrue="1" operator="greaterThan">
      <formula>9</formula>
    </cfRule>
  </conditionalFormatting>
  <conditionalFormatting sqref="E50:H52">
    <cfRule type="cellIs" dxfId="366" priority="1" stopIfTrue="1" operator="lessThan">
      <formula>10</formula>
    </cfRule>
    <cfRule type="cellIs" dxfId="365" priority="2" stopIfTrue="1" operator="greaterThan">
      <formula>9</formula>
    </cfRule>
    <cfRule type="cellIs" dxfId="364" priority="3" stopIfTrue="1" operator="lessThan">
      <formula>10</formula>
    </cfRule>
    <cfRule type="cellIs" dxfId="363" priority="4" stopIfTrue="1" operator="greaterThan">
      <formula>9</formula>
    </cfRule>
  </conditionalFormatting>
  <conditionalFormatting sqref="E49:H49">
    <cfRule type="cellIs" dxfId="362" priority="9" stopIfTrue="1" operator="lessThan">
      <formula>10</formula>
    </cfRule>
    <cfRule type="cellIs" dxfId="361" priority="10" stopIfTrue="1" operator="greaterThan">
      <formula>9</formula>
    </cfRule>
    <cfRule type="cellIs" dxfId="360" priority="11" stopIfTrue="1" operator="lessThan">
      <formula>10</formula>
    </cfRule>
    <cfRule type="cellIs" dxfId="359" priority="12" stopIfTrue="1" operator="greaterThan">
      <formula>9</formula>
    </cfRule>
  </conditionalFormatting>
  <conditionalFormatting sqref="E9:H48">
    <cfRule type="cellIs" dxfId="358" priority="5" stopIfTrue="1" operator="lessThan">
      <formula>10</formula>
    </cfRule>
    <cfRule type="cellIs" dxfId="357" priority="6" stopIfTrue="1" operator="greaterThan">
      <formula>9</formula>
    </cfRule>
    <cfRule type="cellIs" dxfId="356" priority="7" stopIfTrue="1" operator="lessThan">
      <formula>10</formula>
    </cfRule>
    <cfRule type="cellIs" dxfId="355" priority="8" stopIfTrue="1" operator="greaterThan">
      <formula>9</formula>
    </cfRule>
  </conditionalFormatting>
  <dataValidations count="2">
    <dataValidation type="decimal" allowBlank="1" showInputMessage="1" showErrorMessage="1" errorTitle="ATENÇÃO!" error="O valor introduzido não é válido._x000a_A Subdirecção Pedagógica. Grato!" sqref="P9:P52 W9:W52">
      <formula1>0</formula1>
      <formula2>20</formula2>
    </dataValidation>
    <dataValidation type="decimal" allowBlank="1" showInputMessage="1" showErrorMessage="1" errorTitle="ATENÇÃO!" error="O valor introduzido não é válido. A Subdirecção Pedagógica. Grato!" sqref="S9:V52 E9:I52 L9:O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297180</xdr:colOff>
                <xdr:row>54</xdr:row>
                <xdr:rowOff>22860</xdr:rowOff>
              </to>
            </anchor>
          </objectPr>
        </oleObject>
      </mc:Choice>
      <mc:Fallback>
        <oleObject progId="Word.Document.8" shapeId="204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1" stopIfTrue="1" operator="containsText" id="{5159C286-8185-4147-826E-977A9FB68C17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2" stopIfTrue="1" operator="containsText" id="{D6D6605B-FE19-4B5A-B0AF-B0558A7086AB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21" stopIfTrue="1" operator="containsText" id="{A8CFBB71-032A-4234-B48A-43D77755E5CC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889C743C-6F8E-4D01-936E-33D73A87A42B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F18" sqref="F18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18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12</v>
      </c>
      <c r="AD8" s="287">
        <f>COUNTIF(Z9:Z58,"N/TRANSITA")</f>
        <v>32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11</v>
      </c>
      <c r="F9" s="143">
        <v>16</v>
      </c>
      <c r="G9" s="143"/>
      <c r="H9" s="143">
        <v>4</v>
      </c>
      <c r="I9" s="143"/>
      <c r="J9" s="100">
        <f>AVERAGE(E9,MAX(F9:G9),MAX(H9:I9))</f>
        <v>10.333333333333334</v>
      </c>
      <c r="K9" s="101" t="str">
        <f>IF(J9&gt;=10,"TRANSITA","N/TRANSITA")</f>
        <v>TRANSITA</v>
      </c>
      <c r="L9" s="155">
        <v>20</v>
      </c>
      <c r="M9" s="143">
        <v>20</v>
      </c>
      <c r="N9" s="143"/>
      <c r="O9" s="143">
        <v>10</v>
      </c>
      <c r="P9" s="143"/>
      <c r="Q9" s="100">
        <f>AVERAGE(L9,MAX(M9:N9),MAX(O9:P9))</f>
        <v>16.666666666666668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9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18</v>
      </c>
      <c r="F10" s="140">
        <v>20</v>
      </c>
      <c r="G10" s="140"/>
      <c r="H10" s="140">
        <v>20</v>
      </c>
      <c r="I10" s="140"/>
      <c r="J10" s="104">
        <f>AVERAGE(E10,MAX(F10:G10),MAX(H10:I10))</f>
        <v>19.333333333333332</v>
      </c>
      <c r="K10" s="105" t="str">
        <f t="shared" ref="K10:K52" si="1">IF(J10&gt;=10,"TRANSITA","N/TRANSITA")</f>
        <v>TRANSITA</v>
      </c>
      <c r="L10" s="156">
        <v>20</v>
      </c>
      <c r="M10" s="140">
        <v>20</v>
      </c>
      <c r="N10" s="140"/>
      <c r="O10" s="140">
        <v>19</v>
      </c>
      <c r="P10" s="140"/>
      <c r="Q10" s="104">
        <f>AVERAGE(L10,MAX(M10:N10),MAX(O10:P10))</f>
        <v>19.666666666666668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13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11</v>
      </c>
      <c r="F11" s="140">
        <v>19</v>
      </c>
      <c r="G11" s="140"/>
      <c r="H11" s="140">
        <v>5</v>
      </c>
      <c r="I11" s="140"/>
      <c r="J11" s="104">
        <f t="shared" ref="J11:J52" si="4">AVERAGE(E11,MAX(F11:G11),MAX(H11:I11))</f>
        <v>11.666666666666666</v>
      </c>
      <c r="K11" s="105" t="str">
        <f t="shared" si="1"/>
        <v>TRANSITA</v>
      </c>
      <c r="L11" s="156">
        <v>20</v>
      </c>
      <c r="M11" s="140">
        <v>20</v>
      </c>
      <c r="N11" s="140"/>
      <c r="O11" s="140">
        <v>9</v>
      </c>
      <c r="P11" s="140"/>
      <c r="Q11" s="104">
        <f t="shared" ref="Q11:Q52" si="5">AVERAGE(L11,MAX(M11:N11),MAX(O11:P11))</f>
        <v>16.333333333333332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9.3333333333333339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14</v>
      </c>
      <c r="F12" s="140">
        <v>20</v>
      </c>
      <c r="G12" s="140"/>
      <c r="H12" s="140">
        <v>12</v>
      </c>
      <c r="I12" s="140"/>
      <c r="J12" s="104">
        <f t="shared" si="4"/>
        <v>15.333333333333334</v>
      </c>
      <c r="K12" s="105" t="str">
        <f t="shared" si="1"/>
        <v>TRANSITA</v>
      </c>
      <c r="L12" s="156">
        <v>20</v>
      </c>
      <c r="M12" s="140">
        <v>20</v>
      </c>
      <c r="N12" s="140"/>
      <c r="O12" s="140">
        <v>19</v>
      </c>
      <c r="P12" s="140"/>
      <c r="Q12" s="104">
        <f t="shared" si="5"/>
        <v>19.666666666666668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11.666666666666666</v>
      </c>
      <c r="Z12" s="105" t="str">
        <f t="shared" si="3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10</v>
      </c>
      <c r="F13" s="140">
        <v>11</v>
      </c>
      <c r="G13" s="140"/>
      <c r="H13" s="140">
        <v>9</v>
      </c>
      <c r="I13" s="140"/>
      <c r="J13" s="104">
        <f t="shared" si="4"/>
        <v>10</v>
      </c>
      <c r="K13" s="105" t="str">
        <f t="shared" si="1"/>
        <v>TRANSITA</v>
      </c>
      <c r="L13" s="156">
        <v>20</v>
      </c>
      <c r="M13" s="140">
        <v>2</v>
      </c>
      <c r="N13" s="140"/>
      <c r="O13" s="140">
        <v>4</v>
      </c>
      <c r="P13" s="140"/>
      <c r="Q13" s="104">
        <f t="shared" si="5"/>
        <v>8.6666666666666661</v>
      </c>
      <c r="R13" s="105" t="str">
        <f t="shared" si="2"/>
        <v>N/TRANSITA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6.2222222222222214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6</v>
      </c>
      <c r="F14" s="140">
        <v>16</v>
      </c>
      <c r="G14" s="140"/>
      <c r="H14" s="140">
        <v>10</v>
      </c>
      <c r="I14" s="140"/>
      <c r="J14" s="104">
        <f t="shared" si="4"/>
        <v>10.666666666666666</v>
      </c>
      <c r="K14" s="105" t="str">
        <f t="shared" si="1"/>
        <v>TRANSITA</v>
      </c>
      <c r="L14" s="156">
        <v>10</v>
      </c>
      <c r="M14" s="140">
        <v>20</v>
      </c>
      <c r="N14" s="140"/>
      <c r="O14" s="140">
        <v>11</v>
      </c>
      <c r="P14" s="140"/>
      <c r="Q14" s="104">
        <f t="shared" si="5"/>
        <v>13.666666666666666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8.1111111111111107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11</v>
      </c>
      <c r="F15" s="140">
        <v>12</v>
      </c>
      <c r="G15" s="140"/>
      <c r="H15" s="140">
        <v>7</v>
      </c>
      <c r="I15" s="140"/>
      <c r="J15" s="104">
        <f t="shared" si="4"/>
        <v>10</v>
      </c>
      <c r="K15" s="105" t="str">
        <f t="shared" si="1"/>
        <v>TRANSITA</v>
      </c>
      <c r="L15" s="156">
        <v>11</v>
      </c>
      <c r="M15" s="140">
        <v>17</v>
      </c>
      <c r="N15" s="140"/>
      <c r="O15" s="140">
        <v>13</v>
      </c>
      <c r="P15" s="140"/>
      <c r="Q15" s="104">
        <f t="shared" si="5"/>
        <v>13.666666666666666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7.8888888888888884</v>
      </c>
      <c r="Z15" s="105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12</v>
      </c>
      <c r="F16" s="140">
        <v>18</v>
      </c>
      <c r="G16" s="140"/>
      <c r="H16" s="140">
        <v>5</v>
      </c>
      <c r="I16" s="140"/>
      <c r="J16" s="104">
        <f t="shared" si="4"/>
        <v>11.666666666666666</v>
      </c>
      <c r="K16" s="105" t="str">
        <f t="shared" si="1"/>
        <v>TRANSITA</v>
      </c>
      <c r="L16" s="156">
        <v>10</v>
      </c>
      <c r="M16" s="140">
        <v>20</v>
      </c>
      <c r="N16" s="140"/>
      <c r="O16" s="140">
        <v>9</v>
      </c>
      <c r="P16" s="140"/>
      <c r="Q16" s="104">
        <f t="shared" si="5"/>
        <v>13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8.2222222222222214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5</v>
      </c>
      <c r="F17" s="140">
        <v>8</v>
      </c>
      <c r="G17" s="140"/>
      <c r="H17" s="140">
        <v>0</v>
      </c>
      <c r="I17" s="140"/>
      <c r="J17" s="104">
        <f t="shared" si="4"/>
        <v>4.333333333333333</v>
      </c>
      <c r="K17" s="105" t="str">
        <f t="shared" si="1"/>
        <v>N/TRANSITA</v>
      </c>
      <c r="L17" s="156">
        <v>10</v>
      </c>
      <c r="M17" s="140">
        <v>20</v>
      </c>
      <c r="N17" s="140"/>
      <c r="O17" s="140">
        <v>2</v>
      </c>
      <c r="P17" s="140"/>
      <c r="Q17" s="104">
        <f t="shared" si="5"/>
        <v>10.666666666666666</v>
      </c>
      <c r="R17" s="105" t="str">
        <f t="shared" si="2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5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7</v>
      </c>
      <c r="F18" s="140">
        <v>6</v>
      </c>
      <c r="G18" s="140"/>
      <c r="H18" s="140">
        <v>4</v>
      </c>
      <c r="I18" s="140"/>
      <c r="J18" s="104">
        <f t="shared" si="4"/>
        <v>5.666666666666667</v>
      </c>
      <c r="K18" s="105" t="str">
        <f t="shared" si="1"/>
        <v>N/TRANSITA</v>
      </c>
      <c r="L18" s="156">
        <v>20</v>
      </c>
      <c r="M18" s="140">
        <v>20</v>
      </c>
      <c r="N18" s="140"/>
      <c r="O18" s="140">
        <v>4</v>
      </c>
      <c r="P18" s="140"/>
      <c r="Q18" s="104">
        <f t="shared" si="5"/>
        <v>14.666666666666666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6.7777777777777777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11</v>
      </c>
      <c r="F19" s="140">
        <v>13</v>
      </c>
      <c r="G19" s="140"/>
      <c r="H19" s="140">
        <v>7</v>
      </c>
      <c r="I19" s="140"/>
      <c r="J19" s="104">
        <f t="shared" si="4"/>
        <v>10.333333333333334</v>
      </c>
      <c r="K19" s="105" t="str">
        <f t="shared" si="1"/>
        <v>TRANSITA</v>
      </c>
      <c r="L19" s="156">
        <v>20</v>
      </c>
      <c r="M19" s="140">
        <v>20</v>
      </c>
      <c r="N19" s="140"/>
      <c r="O19" s="140">
        <v>12</v>
      </c>
      <c r="P19" s="140"/>
      <c r="Q19" s="104">
        <f t="shared" si="5"/>
        <v>17.333333333333332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9.2222222222222214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14</v>
      </c>
      <c r="F20" s="140">
        <v>20</v>
      </c>
      <c r="G20" s="140"/>
      <c r="H20" s="140">
        <v>15</v>
      </c>
      <c r="I20" s="140"/>
      <c r="J20" s="104">
        <f t="shared" si="4"/>
        <v>16.333333333333332</v>
      </c>
      <c r="K20" s="105" t="str">
        <f t="shared" si="1"/>
        <v>TRANSITA</v>
      </c>
      <c r="L20" s="156">
        <v>20</v>
      </c>
      <c r="M20" s="140">
        <v>20</v>
      </c>
      <c r="N20" s="140"/>
      <c r="O20" s="140">
        <v>18</v>
      </c>
      <c r="P20" s="140"/>
      <c r="Q20" s="104">
        <f t="shared" si="5"/>
        <v>19.333333333333332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11.888888888888888</v>
      </c>
      <c r="Z20" s="105" t="str">
        <f t="shared" si="3"/>
        <v>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14</v>
      </c>
      <c r="F21" s="140">
        <v>19</v>
      </c>
      <c r="G21" s="140"/>
      <c r="H21" s="140">
        <v>18</v>
      </c>
      <c r="I21" s="140"/>
      <c r="J21" s="104">
        <f t="shared" si="4"/>
        <v>17</v>
      </c>
      <c r="K21" s="105" t="str">
        <f t="shared" si="1"/>
        <v>TRANSITA</v>
      </c>
      <c r="L21" s="156">
        <v>20</v>
      </c>
      <c r="M21" s="140">
        <v>20</v>
      </c>
      <c r="N21" s="140"/>
      <c r="O21" s="140">
        <v>18</v>
      </c>
      <c r="P21" s="140"/>
      <c r="Q21" s="104">
        <f t="shared" si="5"/>
        <v>19.333333333333332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12.111111111111109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6</v>
      </c>
      <c r="F22" s="140">
        <v>4</v>
      </c>
      <c r="G22" s="140"/>
      <c r="H22" s="140">
        <v>5</v>
      </c>
      <c r="I22" s="140"/>
      <c r="J22" s="104">
        <f t="shared" si="4"/>
        <v>5</v>
      </c>
      <c r="K22" s="105" t="str">
        <f t="shared" si="1"/>
        <v>N/TRANSITA</v>
      </c>
      <c r="L22" s="156">
        <v>10</v>
      </c>
      <c r="M22" s="140">
        <v>20</v>
      </c>
      <c r="N22" s="140"/>
      <c r="O22" s="140">
        <v>6</v>
      </c>
      <c r="P22" s="140"/>
      <c r="Q22" s="104">
        <f t="shared" si="5"/>
        <v>12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5.666666666666667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6</v>
      </c>
      <c r="F23" s="140">
        <v>4</v>
      </c>
      <c r="G23" s="140"/>
      <c r="H23" s="140">
        <v>4</v>
      </c>
      <c r="I23" s="140"/>
      <c r="J23" s="104">
        <f t="shared" si="4"/>
        <v>4.666666666666667</v>
      </c>
      <c r="K23" s="105" t="str">
        <f t="shared" si="1"/>
        <v>N/TRANSITA</v>
      </c>
      <c r="L23" s="156">
        <v>11</v>
      </c>
      <c r="M23" s="140">
        <v>20</v>
      </c>
      <c r="N23" s="140"/>
      <c r="O23" s="140">
        <v>11</v>
      </c>
      <c r="P23" s="140"/>
      <c r="Q23" s="104">
        <f t="shared" si="5"/>
        <v>14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6.2222222222222223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11</v>
      </c>
      <c r="F24" s="140">
        <v>18</v>
      </c>
      <c r="G24" s="140"/>
      <c r="H24" s="140">
        <v>7</v>
      </c>
      <c r="I24" s="140"/>
      <c r="J24" s="104">
        <f t="shared" si="4"/>
        <v>12</v>
      </c>
      <c r="K24" s="105" t="str">
        <f t="shared" si="1"/>
        <v>TRANSITA</v>
      </c>
      <c r="L24" s="156">
        <v>10</v>
      </c>
      <c r="M24" s="140">
        <v>20</v>
      </c>
      <c r="N24" s="140"/>
      <c r="O24" s="140">
        <v>14</v>
      </c>
      <c r="P24" s="140"/>
      <c r="Q24" s="104">
        <f t="shared" si="5"/>
        <v>14.666666666666666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8.8888888888888875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11</v>
      </c>
      <c r="F25" s="140">
        <v>11</v>
      </c>
      <c r="G25" s="140"/>
      <c r="H25" s="140">
        <v>9</v>
      </c>
      <c r="I25" s="140"/>
      <c r="J25" s="104">
        <f t="shared" si="4"/>
        <v>10.333333333333334</v>
      </c>
      <c r="K25" s="105" t="str">
        <f t="shared" si="1"/>
        <v>TRANSITA</v>
      </c>
      <c r="L25" s="156">
        <v>14</v>
      </c>
      <c r="M25" s="140">
        <v>20</v>
      </c>
      <c r="N25" s="140"/>
      <c r="O25" s="140">
        <v>8</v>
      </c>
      <c r="P25" s="140"/>
      <c r="Q25" s="104">
        <f t="shared" si="5"/>
        <v>14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8.1111111111111125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8</v>
      </c>
      <c r="F26" s="140">
        <v>6</v>
      </c>
      <c r="G26" s="140"/>
      <c r="H26" s="140">
        <v>5</v>
      </c>
      <c r="I26" s="140"/>
      <c r="J26" s="104">
        <f t="shared" si="4"/>
        <v>6.333333333333333</v>
      </c>
      <c r="K26" s="105" t="str">
        <f t="shared" si="1"/>
        <v>N/TRANSITA</v>
      </c>
      <c r="L26" s="156">
        <v>20</v>
      </c>
      <c r="M26" s="140">
        <v>20</v>
      </c>
      <c r="N26" s="140"/>
      <c r="O26" s="140">
        <v>3</v>
      </c>
      <c r="P26" s="140"/>
      <c r="Q26" s="104">
        <f t="shared" si="5"/>
        <v>14.333333333333334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6.8888888888888893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97"/>
      <c r="F27" s="198"/>
      <c r="G27" s="198"/>
      <c r="H27" s="198"/>
      <c r="I27" s="198"/>
      <c r="J27" s="199">
        <f t="shared" si="4"/>
        <v>0</v>
      </c>
      <c r="K27" s="200" t="str">
        <f t="shared" si="1"/>
        <v>N/TRANSITA</v>
      </c>
      <c r="L27" s="197"/>
      <c r="M27" s="198"/>
      <c r="N27" s="198"/>
      <c r="O27" s="198"/>
      <c r="P27" s="140"/>
      <c r="Q27" s="104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97">
        <v>8</v>
      </c>
      <c r="F28" s="198">
        <v>19</v>
      </c>
      <c r="G28" s="198"/>
      <c r="H28" s="198"/>
      <c r="I28" s="198"/>
      <c r="J28" s="199">
        <f t="shared" si="4"/>
        <v>9</v>
      </c>
      <c r="K28" s="200" t="str">
        <f t="shared" si="1"/>
        <v>N/TRANSITA</v>
      </c>
      <c r="L28" s="197"/>
      <c r="M28" s="198"/>
      <c r="N28" s="198"/>
      <c r="O28" s="198"/>
      <c r="P28" s="140"/>
      <c r="Q28" s="104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3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6</v>
      </c>
      <c r="F29" s="140">
        <v>8</v>
      </c>
      <c r="G29" s="140"/>
      <c r="H29" s="140">
        <v>3</v>
      </c>
      <c r="I29" s="140"/>
      <c r="J29" s="104">
        <f t="shared" si="4"/>
        <v>5.666666666666667</v>
      </c>
      <c r="K29" s="105" t="str">
        <f t="shared" si="1"/>
        <v>N/TRANSITA</v>
      </c>
      <c r="L29" s="156">
        <v>20</v>
      </c>
      <c r="M29" s="140">
        <v>20</v>
      </c>
      <c r="N29" s="140"/>
      <c r="O29" s="140">
        <v>10</v>
      </c>
      <c r="P29" s="140"/>
      <c r="Q29" s="104">
        <f t="shared" si="5"/>
        <v>16.666666666666668</v>
      </c>
      <c r="R29" s="105" t="str">
        <f t="shared" si="2"/>
        <v>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7.4444444444444455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10</v>
      </c>
      <c r="F30" s="140">
        <v>19</v>
      </c>
      <c r="G30" s="140"/>
      <c r="H30" s="140">
        <v>18</v>
      </c>
      <c r="I30" s="140"/>
      <c r="J30" s="104">
        <f t="shared" si="4"/>
        <v>15.666666666666666</v>
      </c>
      <c r="K30" s="105" t="str">
        <f t="shared" si="1"/>
        <v>TRANSITA</v>
      </c>
      <c r="L30" s="156">
        <v>20</v>
      </c>
      <c r="M30" s="140">
        <v>20</v>
      </c>
      <c r="N30" s="140"/>
      <c r="O30" s="140">
        <v>14</v>
      </c>
      <c r="P30" s="140"/>
      <c r="Q30" s="104">
        <f t="shared" si="5"/>
        <v>18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11.222222222222221</v>
      </c>
      <c r="Z30" s="105" t="str">
        <f t="shared" si="3"/>
        <v>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12</v>
      </c>
      <c r="F31" s="140">
        <v>13</v>
      </c>
      <c r="G31" s="140"/>
      <c r="H31" s="140">
        <v>5</v>
      </c>
      <c r="I31" s="140"/>
      <c r="J31" s="104">
        <f t="shared" si="4"/>
        <v>10</v>
      </c>
      <c r="K31" s="105" t="str">
        <f t="shared" si="1"/>
        <v>TRANSITA</v>
      </c>
      <c r="L31" s="156">
        <v>11</v>
      </c>
      <c r="M31" s="140">
        <v>20</v>
      </c>
      <c r="N31" s="140"/>
      <c r="O31" s="140">
        <v>11</v>
      </c>
      <c r="P31" s="140"/>
      <c r="Q31" s="104">
        <f t="shared" si="5"/>
        <v>14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8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6</v>
      </c>
      <c r="F32" s="186">
        <v>12</v>
      </c>
      <c r="G32" s="140"/>
      <c r="H32" s="186">
        <v>12</v>
      </c>
      <c r="I32" s="140"/>
      <c r="J32" s="104">
        <f t="shared" si="4"/>
        <v>10</v>
      </c>
      <c r="K32" s="105" t="str">
        <f t="shared" si="1"/>
        <v>TRANSITA</v>
      </c>
      <c r="L32" s="156">
        <v>12</v>
      </c>
      <c r="M32" s="140">
        <v>20</v>
      </c>
      <c r="N32" s="140"/>
      <c r="O32" s="140">
        <v>1</v>
      </c>
      <c r="P32" s="140"/>
      <c r="Q32" s="104">
        <f t="shared" si="5"/>
        <v>11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7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16</v>
      </c>
      <c r="F33" s="140">
        <v>15</v>
      </c>
      <c r="G33" s="140"/>
      <c r="H33" s="140">
        <v>15</v>
      </c>
      <c r="I33" s="140"/>
      <c r="J33" s="104">
        <f t="shared" si="4"/>
        <v>15.333333333333334</v>
      </c>
      <c r="K33" s="105" t="str">
        <f t="shared" si="1"/>
        <v>TRANSITA</v>
      </c>
      <c r="L33" s="156">
        <v>20</v>
      </c>
      <c r="M33" s="140">
        <v>20</v>
      </c>
      <c r="N33" s="140"/>
      <c r="O33" s="140">
        <v>12</v>
      </c>
      <c r="P33" s="140"/>
      <c r="Q33" s="104">
        <f t="shared" si="5"/>
        <v>17.333333333333332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10.888888888888888</v>
      </c>
      <c r="Z33" s="105" t="str">
        <f t="shared" si="3"/>
        <v>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10</v>
      </c>
      <c r="F34" s="140">
        <v>11</v>
      </c>
      <c r="G34" s="140"/>
      <c r="H34" s="140">
        <v>9</v>
      </c>
      <c r="I34" s="140"/>
      <c r="J34" s="104">
        <f t="shared" si="4"/>
        <v>10</v>
      </c>
      <c r="K34" s="105" t="str">
        <f t="shared" si="1"/>
        <v>TRANSITA</v>
      </c>
      <c r="L34" s="156">
        <v>20</v>
      </c>
      <c r="M34" s="140">
        <v>17</v>
      </c>
      <c r="N34" s="140"/>
      <c r="O34" s="140">
        <v>1</v>
      </c>
      <c r="P34" s="140"/>
      <c r="Q34" s="104">
        <f t="shared" si="5"/>
        <v>12.666666666666666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7.5555555555555545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12</v>
      </c>
      <c r="F35" s="140">
        <v>10</v>
      </c>
      <c r="G35" s="140"/>
      <c r="H35" s="140">
        <v>8</v>
      </c>
      <c r="I35" s="140"/>
      <c r="J35" s="104">
        <f t="shared" si="4"/>
        <v>10</v>
      </c>
      <c r="K35" s="105" t="str">
        <f t="shared" si="1"/>
        <v>TRANSITA</v>
      </c>
      <c r="L35" s="156">
        <v>11</v>
      </c>
      <c r="M35" s="140">
        <v>20</v>
      </c>
      <c r="N35" s="140"/>
      <c r="O35" s="140">
        <v>8</v>
      </c>
      <c r="P35" s="140"/>
      <c r="Q35" s="104">
        <f t="shared" si="5"/>
        <v>13</v>
      </c>
      <c r="R35" s="105" t="str">
        <f t="shared" si="2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7.666666666666667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12</v>
      </c>
      <c r="F36" s="140">
        <v>10</v>
      </c>
      <c r="G36" s="140"/>
      <c r="H36" s="140">
        <v>8</v>
      </c>
      <c r="I36" s="140"/>
      <c r="J36" s="104">
        <f t="shared" si="4"/>
        <v>10</v>
      </c>
      <c r="K36" s="105" t="str">
        <f t="shared" si="1"/>
        <v>TRANSITA</v>
      </c>
      <c r="L36" s="156">
        <v>20</v>
      </c>
      <c r="M36" s="140">
        <v>4</v>
      </c>
      <c r="N36" s="140"/>
      <c r="O36" s="140">
        <v>6</v>
      </c>
      <c r="P36" s="140"/>
      <c r="Q36" s="104">
        <f t="shared" si="5"/>
        <v>10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6.666666666666667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20</v>
      </c>
      <c r="F37" s="140">
        <v>11</v>
      </c>
      <c r="G37" s="140"/>
      <c r="H37" s="186">
        <v>12</v>
      </c>
      <c r="I37" s="140"/>
      <c r="J37" s="104">
        <f t="shared" si="4"/>
        <v>14.333333333333334</v>
      </c>
      <c r="K37" s="105" t="str">
        <f t="shared" si="1"/>
        <v>TRANSITA</v>
      </c>
      <c r="L37" s="156">
        <v>20</v>
      </c>
      <c r="M37" s="140">
        <v>20</v>
      </c>
      <c r="N37" s="140"/>
      <c r="O37" s="140">
        <v>8</v>
      </c>
      <c r="P37" s="140"/>
      <c r="Q37" s="104">
        <f t="shared" si="5"/>
        <v>16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10.111111111111112</v>
      </c>
      <c r="Z37" s="105" t="str">
        <f t="shared" si="3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15</v>
      </c>
      <c r="F38" s="140">
        <v>18</v>
      </c>
      <c r="G38" s="140"/>
      <c r="H38" s="140">
        <v>12</v>
      </c>
      <c r="I38" s="140"/>
      <c r="J38" s="104">
        <f t="shared" si="4"/>
        <v>15</v>
      </c>
      <c r="K38" s="105" t="str">
        <f t="shared" si="1"/>
        <v>TRANSITA</v>
      </c>
      <c r="L38" s="156">
        <v>10</v>
      </c>
      <c r="M38" s="140">
        <v>20</v>
      </c>
      <c r="N38" s="140"/>
      <c r="O38" s="140">
        <v>18</v>
      </c>
      <c r="P38" s="140"/>
      <c r="Q38" s="104">
        <f t="shared" si="5"/>
        <v>16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10.333333333333334</v>
      </c>
      <c r="Z38" s="105" t="str">
        <f t="shared" si="3"/>
        <v>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8</v>
      </c>
      <c r="F39" s="140">
        <v>19</v>
      </c>
      <c r="G39" s="140"/>
      <c r="H39" s="140">
        <v>18</v>
      </c>
      <c r="I39" s="140"/>
      <c r="J39" s="104">
        <f t="shared" si="4"/>
        <v>15</v>
      </c>
      <c r="K39" s="105" t="str">
        <f t="shared" si="1"/>
        <v>TRANSITA</v>
      </c>
      <c r="L39" s="156">
        <v>20</v>
      </c>
      <c r="M39" s="140">
        <v>20</v>
      </c>
      <c r="N39" s="140"/>
      <c r="O39" s="140">
        <v>18</v>
      </c>
      <c r="P39" s="140"/>
      <c r="Q39" s="104">
        <f t="shared" si="5"/>
        <v>19.333333333333332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11.444444444444443</v>
      </c>
      <c r="Z39" s="105" t="str">
        <f t="shared" si="3"/>
        <v>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20</v>
      </c>
      <c r="F40" s="140">
        <v>20</v>
      </c>
      <c r="G40" s="140"/>
      <c r="H40" s="186">
        <v>20</v>
      </c>
      <c r="I40" s="140"/>
      <c r="J40" s="104">
        <f t="shared" si="4"/>
        <v>20</v>
      </c>
      <c r="K40" s="105" t="str">
        <f t="shared" si="1"/>
        <v>TRANSITA</v>
      </c>
      <c r="L40" s="156">
        <v>20</v>
      </c>
      <c r="M40" s="140">
        <v>20</v>
      </c>
      <c r="N40" s="140"/>
      <c r="O40" s="140">
        <v>20</v>
      </c>
      <c r="P40" s="140"/>
      <c r="Q40" s="104">
        <f t="shared" si="5"/>
        <v>20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13.333333333333334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15</v>
      </c>
      <c r="F41" s="140">
        <v>18</v>
      </c>
      <c r="G41" s="140"/>
      <c r="H41" s="140">
        <v>10</v>
      </c>
      <c r="I41" s="140"/>
      <c r="J41" s="104">
        <f t="shared" si="4"/>
        <v>14.333333333333334</v>
      </c>
      <c r="K41" s="105" t="str">
        <f t="shared" si="1"/>
        <v>TRANSITA</v>
      </c>
      <c r="L41" s="156">
        <v>20</v>
      </c>
      <c r="M41" s="140">
        <v>20</v>
      </c>
      <c r="N41" s="140"/>
      <c r="O41" s="140">
        <v>16</v>
      </c>
      <c r="P41" s="140"/>
      <c r="Q41" s="104">
        <f t="shared" si="5"/>
        <v>18.666666666666668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11</v>
      </c>
      <c r="Z41" s="105" t="str">
        <f t="shared" ref="Z41:Z43" si="10">IF(Y41&gt;=10,"TRANSITA","N/TRANSITA")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>
        <v>12</v>
      </c>
      <c r="F42" s="140">
        <v>13</v>
      </c>
      <c r="G42" s="140"/>
      <c r="H42" s="140">
        <v>6</v>
      </c>
      <c r="I42" s="140"/>
      <c r="J42" s="104">
        <f t="shared" si="4"/>
        <v>10.333333333333334</v>
      </c>
      <c r="K42" s="105" t="str">
        <f t="shared" si="1"/>
        <v>TRANSITA</v>
      </c>
      <c r="L42" s="156">
        <v>20</v>
      </c>
      <c r="M42" s="140">
        <v>20</v>
      </c>
      <c r="N42" s="140"/>
      <c r="O42" s="140">
        <v>7</v>
      </c>
      <c r="P42" s="140"/>
      <c r="Q42" s="104">
        <f t="shared" ref="Q42" si="11">AVERAGE(L42,MAX(M42:N42),MAX(O42:P42))</f>
        <v>15.666666666666666</v>
      </c>
      <c r="R42" s="105" t="str">
        <f t="shared" ref="R42" si="12">IF(Q42&gt;=10,"TRANSITA","N/TRANSITA")</f>
        <v>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8.6666666666666661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14</v>
      </c>
      <c r="F43" s="140">
        <v>13</v>
      </c>
      <c r="G43" s="140"/>
      <c r="H43" s="140">
        <v>5</v>
      </c>
      <c r="I43" s="140"/>
      <c r="J43" s="104">
        <f t="shared" si="4"/>
        <v>10.666666666666666</v>
      </c>
      <c r="K43" s="105" t="str">
        <f t="shared" si="1"/>
        <v>TRANSITA</v>
      </c>
      <c r="L43" s="156">
        <v>12</v>
      </c>
      <c r="M43" s="140">
        <v>20</v>
      </c>
      <c r="N43" s="140"/>
      <c r="O43" s="140">
        <v>2</v>
      </c>
      <c r="P43" s="140"/>
      <c r="Q43" s="104">
        <f t="shared" si="5"/>
        <v>11.333333333333334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7.333333333333333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11</v>
      </c>
      <c r="F44" s="140">
        <v>10</v>
      </c>
      <c r="G44" s="140"/>
      <c r="H44" s="140">
        <v>9</v>
      </c>
      <c r="I44" s="140"/>
      <c r="J44" s="104">
        <f t="shared" si="4"/>
        <v>10</v>
      </c>
      <c r="K44" s="105" t="str">
        <f t="shared" si="1"/>
        <v>TRANSITA</v>
      </c>
      <c r="L44" s="156">
        <v>20</v>
      </c>
      <c r="M44" s="140">
        <v>20</v>
      </c>
      <c r="N44" s="140"/>
      <c r="O44" s="140">
        <v>4</v>
      </c>
      <c r="P44" s="140"/>
      <c r="Q44" s="104">
        <f t="shared" si="5"/>
        <v>14.666666666666666</v>
      </c>
      <c r="R44" s="105" t="str">
        <f t="shared" si="2"/>
        <v>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8.2222222222222214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7</v>
      </c>
      <c r="F45" s="140">
        <v>5</v>
      </c>
      <c r="G45" s="140"/>
      <c r="H45" s="140">
        <v>0</v>
      </c>
      <c r="I45" s="140"/>
      <c r="J45" s="104">
        <f t="shared" si="4"/>
        <v>4</v>
      </c>
      <c r="K45" s="105" t="str">
        <f t="shared" si="1"/>
        <v>N/TRANSITA</v>
      </c>
      <c r="L45" s="156">
        <v>20</v>
      </c>
      <c r="M45" s="140">
        <v>20</v>
      </c>
      <c r="N45" s="140"/>
      <c r="O45" s="140">
        <v>3</v>
      </c>
      <c r="P45" s="140"/>
      <c r="Q45" s="104">
        <f t="shared" si="5"/>
        <v>14.333333333333334</v>
      </c>
      <c r="R45" s="105" t="str">
        <f t="shared" si="2"/>
        <v>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6.1111111111111116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13</v>
      </c>
      <c r="F46" s="140">
        <v>12</v>
      </c>
      <c r="G46" s="140"/>
      <c r="H46" s="140">
        <v>5</v>
      </c>
      <c r="I46" s="140"/>
      <c r="J46" s="104">
        <f t="shared" si="4"/>
        <v>10</v>
      </c>
      <c r="K46" s="105" t="str">
        <f t="shared" si="1"/>
        <v>TRANSITA</v>
      </c>
      <c r="L46" s="156">
        <v>20</v>
      </c>
      <c r="M46" s="140">
        <v>20</v>
      </c>
      <c r="N46" s="140"/>
      <c r="O46" s="140">
        <v>5</v>
      </c>
      <c r="P46" s="140"/>
      <c r="Q46" s="104">
        <f t="shared" si="5"/>
        <v>15</v>
      </c>
      <c r="R46" s="105" t="str">
        <f t="shared" si="2"/>
        <v>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8.3333333333333339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9</v>
      </c>
      <c r="F47" s="140">
        <v>16</v>
      </c>
      <c r="G47" s="140"/>
      <c r="H47" s="140">
        <v>5</v>
      </c>
      <c r="I47" s="140"/>
      <c r="J47" s="104">
        <f t="shared" si="4"/>
        <v>10</v>
      </c>
      <c r="K47" s="105" t="str">
        <f t="shared" si="1"/>
        <v>TRANSITA</v>
      </c>
      <c r="L47" s="156">
        <v>20</v>
      </c>
      <c r="M47" s="140">
        <v>20</v>
      </c>
      <c r="N47" s="140"/>
      <c r="O47" s="140">
        <v>2</v>
      </c>
      <c r="P47" s="140"/>
      <c r="Q47" s="104">
        <f t="shared" si="5"/>
        <v>14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8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15</v>
      </c>
      <c r="F48" s="140">
        <v>18</v>
      </c>
      <c r="G48" s="140"/>
      <c r="H48" s="140">
        <v>5</v>
      </c>
      <c r="I48" s="140"/>
      <c r="J48" s="104">
        <f t="shared" si="4"/>
        <v>12.666666666666666</v>
      </c>
      <c r="K48" s="105" t="str">
        <f t="shared" si="1"/>
        <v>TRANSITA</v>
      </c>
      <c r="L48" s="156">
        <v>11</v>
      </c>
      <c r="M48" s="140">
        <v>20</v>
      </c>
      <c r="N48" s="140"/>
      <c r="O48" s="140">
        <v>16</v>
      </c>
      <c r="P48" s="140"/>
      <c r="Q48" s="104">
        <f t="shared" si="5"/>
        <v>15.666666666666666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9.4444444444444446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6</v>
      </c>
      <c r="F49" s="140">
        <v>16</v>
      </c>
      <c r="G49" s="140"/>
      <c r="H49" s="140">
        <v>11</v>
      </c>
      <c r="I49" s="140"/>
      <c r="J49" s="104">
        <f t="shared" si="4"/>
        <v>11</v>
      </c>
      <c r="K49" s="105" t="str">
        <f t="shared" si="1"/>
        <v>TRANSITA</v>
      </c>
      <c r="L49" s="156">
        <v>10</v>
      </c>
      <c r="M49" s="140">
        <v>20</v>
      </c>
      <c r="N49" s="140"/>
      <c r="O49" s="140">
        <v>7</v>
      </c>
      <c r="P49" s="140"/>
      <c r="Q49" s="104">
        <f t="shared" si="5"/>
        <v>12.333333333333334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7.7777777777777786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20</v>
      </c>
      <c r="F50" s="140">
        <v>20</v>
      </c>
      <c r="G50" s="140"/>
      <c r="H50" s="140">
        <v>9</v>
      </c>
      <c r="I50" s="140"/>
      <c r="J50" s="104">
        <f t="shared" si="4"/>
        <v>16.333333333333332</v>
      </c>
      <c r="K50" s="105" t="str">
        <f t="shared" si="1"/>
        <v>TRANSITA</v>
      </c>
      <c r="L50" s="156">
        <v>20</v>
      </c>
      <c r="M50" s="140">
        <v>20</v>
      </c>
      <c r="N50" s="140"/>
      <c r="O50" s="140">
        <v>12</v>
      </c>
      <c r="P50" s="140"/>
      <c r="Q50" s="104">
        <f t="shared" si="5"/>
        <v>17.333333333333332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11.222222222222221</v>
      </c>
      <c r="Z50" s="105" t="str">
        <f t="shared" si="21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4</v>
      </c>
      <c r="F51" s="140">
        <v>10</v>
      </c>
      <c r="G51" s="140"/>
      <c r="H51" s="140">
        <v>5</v>
      </c>
      <c r="I51" s="140"/>
      <c r="J51" s="104">
        <f t="shared" si="4"/>
        <v>6.333333333333333</v>
      </c>
      <c r="K51" s="105" t="str">
        <f t="shared" si="1"/>
        <v>N/TRANSITA</v>
      </c>
      <c r="L51" s="156">
        <v>10</v>
      </c>
      <c r="M51" s="140">
        <v>20</v>
      </c>
      <c r="N51" s="140"/>
      <c r="O51" s="140">
        <v>5</v>
      </c>
      <c r="P51" s="140"/>
      <c r="Q51" s="104">
        <f t="shared" si="5"/>
        <v>11.666666666666666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6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6</v>
      </c>
      <c r="F52" s="152">
        <v>8</v>
      </c>
      <c r="G52" s="152"/>
      <c r="H52" s="152">
        <v>5</v>
      </c>
      <c r="I52" s="152"/>
      <c r="J52" s="109">
        <f t="shared" si="4"/>
        <v>6.333333333333333</v>
      </c>
      <c r="K52" s="110" t="str">
        <f t="shared" si="1"/>
        <v>N/TRANSITA</v>
      </c>
      <c r="L52" s="157">
        <v>11</v>
      </c>
      <c r="M52" s="152">
        <v>20</v>
      </c>
      <c r="N52" s="152"/>
      <c r="O52" s="152">
        <v>9</v>
      </c>
      <c r="P52" s="152"/>
      <c r="Q52" s="109">
        <f t="shared" si="5"/>
        <v>13.333333333333334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6.5555555555555562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350" priority="204" stopIfTrue="1" operator="greaterThan">
      <formula>9.5</formula>
    </cfRule>
    <cfRule type="cellIs" dxfId="349" priority="205" stopIfTrue="1" operator="lessThanOrEqual">
      <formula>9.5</formula>
    </cfRule>
  </conditionalFormatting>
  <conditionalFormatting sqref="X9:X52 Q9:Q52">
    <cfRule type="cellIs" dxfId="348" priority="182" stopIfTrue="1" operator="lessThan">
      <formula>10</formula>
    </cfRule>
    <cfRule type="cellIs" dxfId="347" priority="183" stopIfTrue="1" operator="greaterThanOrEqual">
      <formula>10</formula>
    </cfRule>
  </conditionalFormatting>
  <conditionalFormatting sqref="S9:W52 P9:P52">
    <cfRule type="cellIs" dxfId="346" priority="80" stopIfTrue="1" operator="lessThan">
      <formula>10</formula>
    </cfRule>
    <cfRule type="cellIs" dxfId="345" priority="81" stopIfTrue="1" operator="greaterThan">
      <formula>9</formula>
    </cfRule>
  </conditionalFormatting>
  <conditionalFormatting sqref="S9:W52 P9:P52">
    <cfRule type="cellIs" dxfId="344" priority="78" stopIfTrue="1" operator="lessThan">
      <formula>10</formula>
    </cfRule>
    <cfRule type="cellIs" dxfId="343" priority="79" stopIfTrue="1" operator="greaterThan">
      <formula>9</formula>
    </cfRule>
  </conditionalFormatting>
  <conditionalFormatting sqref="E9:I52">
    <cfRule type="cellIs" dxfId="342" priority="2" stopIfTrue="1" operator="greaterThan">
      <formula>9</formula>
    </cfRule>
    <cfRule type="cellIs" dxfId="341" priority="3" stopIfTrue="1" operator="lessThan">
      <formula>10</formula>
    </cfRule>
    <cfRule type="cellIs" dxfId="340" priority="4" stopIfTrue="1" operator="greaterThan">
      <formula>9</formula>
    </cfRule>
  </conditionalFormatting>
  <conditionalFormatting sqref="E9:J52">
    <cfRule type="cellIs" dxfId="339" priority="1" stopIfTrue="1" operator="lessThan">
      <formula>10</formula>
    </cfRule>
  </conditionalFormatting>
  <conditionalFormatting sqref="L9:O52">
    <cfRule type="cellIs" dxfId="338" priority="6" stopIfTrue="1" operator="greaterThan">
      <formula>9</formula>
    </cfRule>
    <cfRule type="cellIs" dxfId="337" priority="7" stopIfTrue="1" operator="lessThan">
      <formula>10</formula>
    </cfRule>
    <cfRule type="cellIs" dxfId="336" priority="8" stopIfTrue="1" operator="greaterThan">
      <formula>9</formula>
    </cfRule>
  </conditionalFormatting>
  <conditionalFormatting sqref="L9:O52">
    <cfRule type="cellIs" dxfId="335" priority="5" stopIfTrue="1" operator="lessThan">
      <formula>10</formula>
    </cfRule>
  </conditionalFormatting>
  <conditionalFormatting sqref="J9:J52">
    <cfRule type="cellIs" dxfId="334" priority="11" stopIfTrue="1" operator="greaterThanOrEqual">
      <formula>10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8433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335280</xdr:colOff>
                <xdr:row>54</xdr:row>
                <xdr:rowOff>22860</xdr:rowOff>
              </to>
            </anchor>
          </objectPr>
        </oleObject>
      </mc:Choice>
      <mc:Fallback>
        <oleObject progId="Word.Document.8" shapeId="1843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48" stopIfTrue="1" operator="containsText" id="{6568504D-2C49-4738-AED8-2F1AFF7D66C2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49" stopIfTrue="1" operator="containsText" id="{ADAEDC30-7CC4-451E-ACFB-0C884887F353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9" stopIfTrue="1" operator="containsText" id="{537391F5-EFAA-4283-B387-57CA9CB73653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7E02A8CF-4C48-41A2-9B0E-E77DCA02237D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E9" sqref="E9:O52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84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7</v>
      </c>
      <c r="AD8" s="287">
        <f>COUNTIF(Z9:Z58,"N/TRANSITA")</f>
        <v>37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13</v>
      </c>
      <c r="F9" s="143">
        <v>5</v>
      </c>
      <c r="G9" s="143">
        <v>13</v>
      </c>
      <c r="H9" s="143">
        <v>12</v>
      </c>
      <c r="I9" s="143"/>
      <c r="J9" s="100">
        <f>AVERAGE(E9,MAX(F9:G9),MAX(H9:I9))</f>
        <v>12.666666666666666</v>
      </c>
      <c r="K9" s="101" t="str">
        <f>IF(J9&gt;=10,"TRANSITA","N/TRANSITA")</f>
        <v>TRANSITA</v>
      </c>
      <c r="L9" s="155">
        <v>13</v>
      </c>
      <c r="M9" s="143">
        <v>14</v>
      </c>
      <c r="N9" s="143"/>
      <c r="O9" s="143">
        <v>7</v>
      </c>
      <c r="P9" s="143"/>
      <c r="Q9" s="100">
        <f>AVERAGE(L9,MAX(M9:N9),MAX(O9:P9))</f>
        <v>11.333333333333334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8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16</v>
      </c>
      <c r="F10" s="140">
        <v>16</v>
      </c>
      <c r="G10" s="140">
        <v>18</v>
      </c>
      <c r="H10" s="140">
        <v>15</v>
      </c>
      <c r="I10" s="140"/>
      <c r="J10" s="104">
        <f>AVERAGE(E10,MAX(F10:G10),MAX(H10:I10))</f>
        <v>16.333333333333332</v>
      </c>
      <c r="K10" s="105" t="str">
        <f t="shared" ref="K10:K52" si="1">IF(J10&gt;=10,"TRANSITA","N/TRANSITA")</f>
        <v>TRANSITA</v>
      </c>
      <c r="L10" s="156">
        <v>15</v>
      </c>
      <c r="M10" s="140">
        <v>17</v>
      </c>
      <c r="N10" s="140"/>
      <c r="O10" s="140">
        <v>11</v>
      </c>
      <c r="P10" s="140"/>
      <c r="Q10" s="104">
        <f>AVERAGE(L10,MAX(M10:N10),MAX(O10:P10))</f>
        <v>14.333333333333334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10.222222222222221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15</v>
      </c>
      <c r="F11" s="140">
        <v>7</v>
      </c>
      <c r="G11" s="140"/>
      <c r="H11" s="140">
        <v>12</v>
      </c>
      <c r="I11" s="140"/>
      <c r="J11" s="104">
        <f t="shared" ref="J11:J52" si="4">AVERAGE(E11,MAX(F11:G11),MAX(H11:I11))</f>
        <v>11.333333333333334</v>
      </c>
      <c r="K11" s="105" t="str">
        <f t="shared" si="1"/>
        <v>TRANSITA</v>
      </c>
      <c r="L11" s="156">
        <v>13</v>
      </c>
      <c r="M11" s="140">
        <v>14</v>
      </c>
      <c r="N11" s="140"/>
      <c r="O11" s="140">
        <v>14</v>
      </c>
      <c r="P11" s="140"/>
      <c r="Q11" s="104">
        <f t="shared" ref="Q11:Q52" si="5">AVERAGE(L11,MAX(M11:N11),MAX(O11:P11))</f>
        <v>13.666666666666666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8.3333333333333339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17</v>
      </c>
      <c r="F12" s="140">
        <v>14</v>
      </c>
      <c r="G12" s="140">
        <v>17</v>
      </c>
      <c r="H12" s="140">
        <v>13</v>
      </c>
      <c r="I12" s="140"/>
      <c r="J12" s="104">
        <f t="shared" si="4"/>
        <v>15.666666666666666</v>
      </c>
      <c r="K12" s="105" t="str">
        <f t="shared" si="1"/>
        <v>TRANSITA</v>
      </c>
      <c r="L12" s="156">
        <v>15</v>
      </c>
      <c r="M12" s="140">
        <v>15</v>
      </c>
      <c r="N12" s="140"/>
      <c r="O12" s="140">
        <v>16</v>
      </c>
      <c r="P12" s="140"/>
      <c r="Q12" s="104">
        <f t="shared" si="5"/>
        <v>15.333333333333334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10.333333333333334</v>
      </c>
      <c r="Z12" s="105" t="str">
        <f t="shared" si="3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10</v>
      </c>
      <c r="F13" s="140">
        <v>6</v>
      </c>
      <c r="G13" s="140"/>
      <c r="H13" s="140">
        <v>14</v>
      </c>
      <c r="I13" s="140"/>
      <c r="J13" s="104">
        <f t="shared" si="4"/>
        <v>10</v>
      </c>
      <c r="K13" s="105" t="str">
        <f t="shared" si="1"/>
        <v>TRANSITA</v>
      </c>
      <c r="L13" s="156">
        <v>14</v>
      </c>
      <c r="M13" s="140">
        <v>11</v>
      </c>
      <c r="N13" s="140"/>
      <c r="O13" s="140">
        <v>6</v>
      </c>
      <c r="P13" s="140"/>
      <c r="Q13" s="104">
        <f t="shared" si="5"/>
        <v>10.333333333333334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6.7777777777777786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10</v>
      </c>
      <c r="F14" s="140">
        <v>10</v>
      </c>
      <c r="G14" s="140"/>
      <c r="H14" s="140">
        <v>11</v>
      </c>
      <c r="I14" s="140"/>
      <c r="J14" s="104">
        <f t="shared" si="4"/>
        <v>10.333333333333334</v>
      </c>
      <c r="K14" s="105" t="str">
        <f t="shared" si="1"/>
        <v>TRANSITA</v>
      </c>
      <c r="L14" s="156">
        <v>13</v>
      </c>
      <c r="M14" s="140">
        <v>14</v>
      </c>
      <c r="N14" s="140"/>
      <c r="O14" s="140">
        <v>6</v>
      </c>
      <c r="P14" s="140"/>
      <c r="Q14" s="104">
        <f t="shared" si="5"/>
        <v>11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7.1111111111111116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15</v>
      </c>
      <c r="F15" s="140">
        <v>7</v>
      </c>
      <c r="G15" s="140">
        <v>12</v>
      </c>
      <c r="H15" s="140">
        <v>14</v>
      </c>
      <c r="I15" s="140"/>
      <c r="J15" s="104">
        <f t="shared" si="4"/>
        <v>13.666666666666666</v>
      </c>
      <c r="K15" s="105" t="str">
        <f t="shared" si="1"/>
        <v>TRANSITA</v>
      </c>
      <c r="L15" s="156">
        <v>16</v>
      </c>
      <c r="M15" s="140">
        <v>14</v>
      </c>
      <c r="N15" s="140"/>
      <c r="O15" s="140">
        <v>14</v>
      </c>
      <c r="P15" s="140"/>
      <c r="Q15" s="104">
        <f t="shared" si="5"/>
        <v>14.666666666666666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9.4444444444444446</v>
      </c>
      <c r="Z15" s="105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12</v>
      </c>
      <c r="F16" s="140">
        <v>10</v>
      </c>
      <c r="G16" s="140">
        <v>3</v>
      </c>
      <c r="H16" s="140">
        <v>8</v>
      </c>
      <c r="I16" s="140"/>
      <c r="J16" s="104">
        <f t="shared" si="4"/>
        <v>10</v>
      </c>
      <c r="K16" s="105" t="str">
        <f t="shared" si="1"/>
        <v>TRANSITA</v>
      </c>
      <c r="L16" s="156">
        <v>13</v>
      </c>
      <c r="M16" s="140">
        <v>14</v>
      </c>
      <c r="N16" s="140"/>
      <c r="O16" s="140">
        <v>9</v>
      </c>
      <c r="P16" s="140"/>
      <c r="Q16" s="104">
        <f t="shared" si="5"/>
        <v>12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7.333333333333333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10</v>
      </c>
      <c r="F17" s="140">
        <v>2</v>
      </c>
      <c r="G17" s="140">
        <v>7</v>
      </c>
      <c r="H17" s="140">
        <v>6</v>
      </c>
      <c r="I17" s="140"/>
      <c r="J17" s="104">
        <f t="shared" si="4"/>
        <v>7.666666666666667</v>
      </c>
      <c r="K17" s="105" t="str">
        <f t="shared" si="1"/>
        <v>N/TRANSITA</v>
      </c>
      <c r="L17" s="156">
        <v>12</v>
      </c>
      <c r="M17" s="140">
        <v>10</v>
      </c>
      <c r="N17" s="140"/>
      <c r="O17" s="140">
        <v>6</v>
      </c>
      <c r="P17" s="140"/>
      <c r="Q17" s="104">
        <f t="shared" si="5"/>
        <v>9.3333333333333339</v>
      </c>
      <c r="R17" s="105" t="str">
        <f t="shared" si="2"/>
        <v>N/TRANSITA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5.666666666666667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11</v>
      </c>
      <c r="F18" s="140">
        <v>5</v>
      </c>
      <c r="G18" s="140"/>
      <c r="H18" s="140">
        <v>9</v>
      </c>
      <c r="I18" s="140"/>
      <c r="J18" s="104">
        <f t="shared" si="4"/>
        <v>8.3333333333333339</v>
      </c>
      <c r="K18" s="105" t="str">
        <f t="shared" si="1"/>
        <v>N/TRANSITA</v>
      </c>
      <c r="L18" s="156">
        <v>15</v>
      </c>
      <c r="M18" s="140">
        <v>10</v>
      </c>
      <c r="N18" s="140"/>
      <c r="O18" s="140">
        <v>14</v>
      </c>
      <c r="P18" s="140"/>
      <c r="Q18" s="104">
        <f t="shared" si="5"/>
        <v>13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7.1111111111111116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16</v>
      </c>
      <c r="F19" s="140">
        <v>5</v>
      </c>
      <c r="G19" s="140">
        <v>13</v>
      </c>
      <c r="H19" s="140">
        <v>15</v>
      </c>
      <c r="I19" s="140"/>
      <c r="J19" s="104">
        <f t="shared" si="4"/>
        <v>14.666666666666666</v>
      </c>
      <c r="K19" s="105" t="str">
        <f t="shared" si="1"/>
        <v>TRANSITA</v>
      </c>
      <c r="L19" s="156">
        <v>18</v>
      </c>
      <c r="M19" s="140">
        <v>15</v>
      </c>
      <c r="N19" s="140"/>
      <c r="O19" s="140">
        <v>15</v>
      </c>
      <c r="P19" s="140"/>
      <c r="Q19" s="104">
        <f t="shared" si="5"/>
        <v>16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10.222222222222221</v>
      </c>
      <c r="Z19" s="105" t="str">
        <f t="shared" si="3"/>
        <v>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16</v>
      </c>
      <c r="F20" s="140">
        <v>5</v>
      </c>
      <c r="G20" s="140">
        <v>17</v>
      </c>
      <c r="H20" s="140">
        <v>14</v>
      </c>
      <c r="I20" s="140"/>
      <c r="J20" s="104">
        <f t="shared" si="4"/>
        <v>15.666666666666666</v>
      </c>
      <c r="K20" s="105" t="str">
        <f t="shared" si="1"/>
        <v>TRANSITA</v>
      </c>
      <c r="L20" s="156">
        <v>15</v>
      </c>
      <c r="M20" s="140">
        <v>14</v>
      </c>
      <c r="N20" s="140"/>
      <c r="O20" s="140">
        <v>10</v>
      </c>
      <c r="P20" s="140"/>
      <c r="Q20" s="104">
        <f t="shared" si="5"/>
        <v>13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9.5555555555555554</v>
      </c>
      <c r="Z20" s="105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15</v>
      </c>
      <c r="F21" s="140">
        <v>8</v>
      </c>
      <c r="G21" s="140">
        <v>13</v>
      </c>
      <c r="H21" s="140">
        <v>16</v>
      </c>
      <c r="I21" s="140"/>
      <c r="J21" s="104"/>
      <c r="K21" s="105" t="str">
        <f t="shared" si="1"/>
        <v>N/TRANSITA</v>
      </c>
      <c r="L21" s="156">
        <v>10</v>
      </c>
      <c r="M21" s="140">
        <v>15</v>
      </c>
      <c r="N21" s="140"/>
      <c r="O21" s="140">
        <v>13</v>
      </c>
      <c r="P21" s="140"/>
      <c r="Q21" s="104"/>
      <c r="R21" s="105" t="str">
        <f t="shared" si="2"/>
        <v>N/TRANSITA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0</v>
      </c>
      <c r="Z21" s="105" t="str">
        <f t="shared" si="3"/>
        <v>N/TRANSITA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14</v>
      </c>
      <c r="F22" s="140">
        <v>5</v>
      </c>
      <c r="G22" s="140"/>
      <c r="H22" s="140">
        <v>11</v>
      </c>
      <c r="I22" s="140"/>
      <c r="J22" s="104">
        <f t="shared" si="4"/>
        <v>10</v>
      </c>
      <c r="K22" s="105" t="str">
        <f t="shared" si="1"/>
        <v>TRANSITA</v>
      </c>
      <c r="L22" s="156">
        <v>16</v>
      </c>
      <c r="M22" s="140">
        <v>9</v>
      </c>
      <c r="N22" s="140"/>
      <c r="O22" s="140">
        <v>5</v>
      </c>
      <c r="P22" s="140"/>
      <c r="Q22" s="104">
        <f t="shared" si="5"/>
        <v>10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6.666666666666667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10</v>
      </c>
      <c r="F23" s="140">
        <v>1</v>
      </c>
      <c r="G23" s="140"/>
      <c r="H23" s="140">
        <v>7</v>
      </c>
      <c r="I23" s="140"/>
      <c r="J23" s="104">
        <f t="shared" si="4"/>
        <v>6</v>
      </c>
      <c r="K23" s="105" t="str">
        <f t="shared" si="1"/>
        <v>N/TRANSITA</v>
      </c>
      <c r="L23" s="156">
        <v>14</v>
      </c>
      <c r="M23" s="140">
        <v>7</v>
      </c>
      <c r="N23" s="140"/>
      <c r="O23" s="140">
        <v>12</v>
      </c>
      <c r="P23" s="140"/>
      <c r="Q23" s="104">
        <f t="shared" si="5"/>
        <v>11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5.666666666666667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15</v>
      </c>
      <c r="F24" s="140">
        <v>9</v>
      </c>
      <c r="G24" s="140"/>
      <c r="H24" s="140">
        <v>12</v>
      </c>
      <c r="I24" s="140"/>
      <c r="J24" s="104">
        <f t="shared" si="4"/>
        <v>12</v>
      </c>
      <c r="K24" s="105" t="str">
        <f t="shared" si="1"/>
        <v>TRANSITA</v>
      </c>
      <c r="L24" s="156">
        <v>13</v>
      </c>
      <c r="M24" s="140">
        <v>14</v>
      </c>
      <c r="N24" s="140"/>
      <c r="O24" s="140">
        <v>10</v>
      </c>
      <c r="P24" s="140"/>
      <c r="Q24" s="104">
        <f t="shared" si="5"/>
        <v>12.333333333333334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8.1111111111111125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16</v>
      </c>
      <c r="F25" s="140">
        <v>5</v>
      </c>
      <c r="G25" s="140">
        <v>11</v>
      </c>
      <c r="H25" s="140">
        <v>8</v>
      </c>
      <c r="I25" s="140"/>
      <c r="J25" s="104">
        <f t="shared" si="4"/>
        <v>11.666666666666666</v>
      </c>
      <c r="K25" s="105" t="str">
        <f t="shared" si="1"/>
        <v>TRANSITA</v>
      </c>
      <c r="L25" s="156">
        <v>15</v>
      </c>
      <c r="M25" s="140">
        <v>14</v>
      </c>
      <c r="N25" s="140"/>
      <c r="O25" s="140">
        <v>10</v>
      </c>
      <c r="P25" s="140"/>
      <c r="Q25" s="104">
        <f t="shared" si="5"/>
        <v>13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8.2222222222222214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14</v>
      </c>
      <c r="F26" s="140">
        <v>0</v>
      </c>
      <c r="G26" s="140">
        <v>15</v>
      </c>
      <c r="H26" s="140">
        <v>11</v>
      </c>
      <c r="I26" s="140"/>
      <c r="J26" s="104">
        <f t="shared" si="4"/>
        <v>13.333333333333334</v>
      </c>
      <c r="K26" s="105" t="str">
        <f t="shared" si="1"/>
        <v>TRANSITA</v>
      </c>
      <c r="L26" s="156">
        <v>15</v>
      </c>
      <c r="M26" s="140">
        <v>11</v>
      </c>
      <c r="N26" s="140"/>
      <c r="O26" s="140">
        <v>15</v>
      </c>
      <c r="P26" s="140"/>
      <c r="Q26" s="104">
        <f t="shared" si="5"/>
        <v>13.666666666666666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9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/>
      <c r="F27" s="140"/>
      <c r="G27" s="140"/>
      <c r="H27" s="140"/>
      <c r="I27" s="140"/>
      <c r="J27" s="104"/>
      <c r="K27" s="105" t="str">
        <f t="shared" si="1"/>
        <v>N/TRANSITA</v>
      </c>
      <c r="L27" s="156"/>
      <c r="M27" s="140"/>
      <c r="N27" s="140"/>
      <c r="O27" s="140"/>
      <c r="P27" s="140"/>
      <c r="Q27" s="104"/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15</v>
      </c>
      <c r="F28" s="140">
        <v>11</v>
      </c>
      <c r="G28" s="140">
        <v>10</v>
      </c>
      <c r="H28" s="140">
        <v>11</v>
      </c>
      <c r="I28" s="140"/>
      <c r="J28" s="104">
        <f t="shared" si="4"/>
        <v>12.333333333333334</v>
      </c>
      <c r="K28" s="105" t="str">
        <f t="shared" si="1"/>
        <v>TRANSITA</v>
      </c>
      <c r="L28" s="156"/>
      <c r="M28" s="140"/>
      <c r="N28" s="140"/>
      <c r="O28" s="140"/>
      <c r="P28" s="140"/>
      <c r="Q28" s="104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4.1111111111111116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10</v>
      </c>
      <c r="F29" s="140">
        <v>1</v>
      </c>
      <c r="G29" s="140"/>
      <c r="H29" s="140">
        <v>13</v>
      </c>
      <c r="I29" s="140"/>
      <c r="J29" s="104">
        <f t="shared" si="4"/>
        <v>8</v>
      </c>
      <c r="K29" s="105" t="str">
        <f t="shared" si="1"/>
        <v>N/TRANSITA</v>
      </c>
      <c r="L29" s="156">
        <v>10</v>
      </c>
      <c r="M29" s="140">
        <v>8</v>
      </c>
      <c r="N29" s="140"/>
      <c r="O29" s="140">
        <v>7</v>
      </c>
      <c r="P29" s="140"/>
      <c r="Q29" s="104">
        <f t="shared" si="5"/>
        <v>8.3333333333333339</v>
      </c>
      <c r="R29" s="105" t="str">
        <f t="shared" si="2"/>
        <v>N/TRANSITA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5.4444444444444455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10</v>
      </c>
      <c r="F30" s="140">
        <v>8</v>
      </c>
      <c r="G30" s="140"/>
      <c r="H30" s="140">
        <v>15</v>
      </c>
      <c r="I30" s="140"/>
      <c r="J30" s="104">
        <f t="shared" si="4"/>
        <v>11</v>
      </c>
      <c r="K30" s="105" t="str">
        <f t="shared" si="1"/>
        <v>TRANSITA</v>
      </c>
      <c r="L30" s="156">
        <v>10</v>
      </c>
      <c r="M30" s="140">
        <v>14</v>
      </c>
      <c r="N30" s="140"/>
      <c r="O30" s="140">
        <v>13</v>
      </c>
      <c r="P30" s="140"/>
      <c r="Q30" s="104">
        <f t="shared" si="5"/>
        <v>12.333333333333334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7.7777777777777786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13</v>
      </c>
      <c r="F31" s="140">
        <v>3</v>
      </c>
      <c r="G31" s="140">
        <v>16</v>
      </c>
      <c r="H31" s="140">
        <v>13</v>
      </c>
      <c r="I31" s="140"/>
      <c r="J31" s="104">
        <f t="shared" si="4"/>
        <v>14</v>
      </c>
      <c r="K31" s="105" t="str">
        <f t="shared" si="1"/>
        <v>TRANSITA</v>
      </c>
      <c r="L31" s="156">
        <v>13</v>
      </c>
      <c r="M31" s="140">
        <v>17</v>
      </c>
      <c r="N31" s="140"/>
      <c r="O31" s="140">
        <v>6</v>
      </c>
      <c r="P31" s="140"/>
      <c r="Q31" s="104">
        <f t="shared" si="5"/>
        <v>12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8.6666666666666661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15</v>
      </c>
      <c r="F32" s="140">
        <v>6</v>
      </c>
      <c r="G32" s="140">
        <v>9</v>
      </c>
      <c r="H32" s="140">
        <v>9</v>
      </c>
      <c r="I32" s="140"/>
      <c r="J32" s="104">
        <f t="shared" si="4"/>
        <v>11</v>
      </c>
      <c r="K32" s="105" t="str">
        <f t="shared" si="1"/>
        <v>TRANSITA</v>
      </c>
      <c r="L32" s="156">
        <v>15</v>
      </c>
      <c r="M32" s="140">
        <v>9</v>
      </c>
      <c r="N32" s="140"/>
      <c r="O32" s="140">
        <v>10</v>
      </c>
      <c r="P32" s="140"/>
      <c r="Q32" s="104">
        <f t="shared" si="5"/>
        <v>11.333333333333334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7.4444444444444455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14</v>
      </c>
      <c r="F33" s="140">
        <v>6</v>
      </c>
      <c r="G33" s="140">
        <v>14</v>
      </c>
      <c r="H33" s="140">
        <v>11</v>
      </c>
      <c r="I33" s="140"/>
      <c r="J33" s="104">
        <f t="shared" si="4"/>
        <v>13</v>
      </c>
      <c r="K33" s="105" t="str">
        <f t="shared" si="1"/>
        <v>TRANSITA</v>
      </c>
      <c r="L33" s="156">
        <v>14</v>
      </c>
      <c r="M33" s="140">
        <v>11</v>
      </c>
      <c r="N33" s="140"/>
      <c r="O33" s="140">
        <v>5</v>
      </c>
      <c r="P33" s="140"/>
      <c r="Q33" s="104">
        <f t="shared" si="5"/>
        <v>10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7.666666666666667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13</v>
      </c>
      <c r="F34" s="140">
        <v>9</v>
      </c>
      <c r="G34" s="140"/>
      <c r="H34" s="140">
        <v>12</v>
      </c>
      <c r="I34" s="140"/>
      <c r="J34" s="104">
        <f t="shared" si="4"/>
        <v>11.333333333333334</v>
      </c>
      <c r="K34" s="105" t="str">
        <f t="shared" si="1"/>
        <v>TRANSITA</v>
      </c>
      <c r="L34" s="156">
        <v>15</v>
      </c>
      <c r="M34" s="140">
        <v>14</v>
      </c>
      <c r="N34" s="140"/>
      <c r="O34" s="140">
        <v>12</v>
      </c>
      <c r="P34" s="140"/>
      <c r="Q34" s="104">
        <f t="shared" si="5"/>
        <v>13.666666666666666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8.3333333333333339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12</v>
      </c>
      <c r="F35" s="140">
        <v>6</v>
      </c>
      <c r="G35" s="140">
        <v>8</v>
      </c>
      <c r="H35" s="140">
        <v>10</v>
      </c>
      <c r="I35" s="140"/>
      <c r="J35" s="104">
        <f t="shared" si="4"/>
        <v>10</v>
      </c>
      <c r="K35" s="105" t="str">
        <f t="shared" si="1"/>
        <v>TRANSITA</v>
      </c>
      <c r="L35" s="156">
        <v>10</v>
      </c>
      <c r="M35" s="140">
        <v>9</v>
      </c>
      <c r="N35" s="140"/>
      <c r="O35" s="140">
        <v>5</v>
      </c>
      <c r="P35" s="140"/>
      <c r="Q35" s="104">
        <f t="shared" si="5"/>
        <v>8</v>
      </c>
      <c r="R35" s="105" t="str">
        <f t="shared" si="2"/>
        <v>N/TRANSITA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6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12</v>
      </c>
      <c r="F36" s="140">
        <v>15</v>
      </c>
      <c r="G36" s="140"/>
      <c r="H36" s="140">
        <v>10</v>
      </c>
      <c r="I36" s="140"/>
      <c r="J36" s="104">
        <f t="shared" si="4"/>
        <v>12.333333333333334</v>
      </c>
      <c r="K36" s="105" t="str">
        <f t="shared" si="1"/>
        <v>TRANSITA</v>
      </c>
      <c r="L36" s="156">
        <v>13</v>
      </c>
      <c r="M36" s="140">
        <v>12</v>
      </c>
      <c r="N36" s="140"/>
      <c r="O36" s="140">
        <v>10</v>
      </c>
      <c r="P36" s="140"/>
      <c r="Q36" s="104">
        <f t="shared" si="5"/>
        <v>11.666666666666666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8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16</v>
      </c>
      <c r="F37" s="140">
        <v>16</v>
      </c>
      <c r="G37" s="140"/>
      <c r="H37" s="140">
        <v>14</v>
      </c>
      <c r="I37" s="140"/>
      <c r="J37" s="104">
        <f t="shared" si="4"/>
        <v>15.333333333333334</v>
      </c>
      <c r="K37" s="105" t="str">
        <f t="shared" si="1"/>
        <v>TRANSITA</v>
      </c>
      <c r="L37" s="156">
        <v>15</v>
      </c>
      <c r="M37" s="140">
        <v>16</v>
      </c>
      <c r="N37" s="140"/>
      <c r="O37" s="140">
        <v>10</v>
      </c>
      <c r="P37" s="140"/>
      <c r="Q37" s="104">
        <f t="shared" si="5"/>
        <v>13.666666666666666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9.6666666666666661</v>
      </c>
      <c r="Z37" s="105" t="str">
        <f t="shared" si="3"/>
        <v>N/TRANSITA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13</v>
      </c>
      <c r="F38" s="140">
        <v>12</v>
      </c>
      <c r="G38" s="140"/>
      <c r="H38" s="140">
        <v>15</v>
      </c>
      <c r="I38" s="140"/>
      <c r="J38" s="104">
        <f t="shared" si="4"/>
        <v>13.333333333333334</v>
      </c>
      <c r="K38" s="105" t="str">
        <f t="shared" si="1"/>
        <v>TRANSITA</v>
      </c>
      <c r="L38" s="156">
        <v>18</v>
      </c>
      <c r="M38" s="140">
        <v>16</v>
      </c>
      <c r="N38" s="140"/>
      <c r="O38" s="140">
        <v>16</v>
      </c>
      <c r="P38" s="140"/>
      <c r="Q38" s="104">
        <f t="shared" si="5"/>
        <v>16.666666666666668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10</v>
      </c>
      <c r="Z38" s="105" t="str">
        <f t="shared" si="3"/>
        <v>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16</v>
      </c>
      <c r="F39" s="140">
        <v>5</v>
      </c>
      <c r="G39" s="140"/>
      <c r="H39" s="140">
        <v>9</v>
      </c>
      <c r="I39" s="140"/>
      <c r="J39" s="104">
        <f t="shared" si="4"/>
        <v>10</v>
      </c>
      <c r="K39" s="105" t="str">
        <f t="shared" si="1"/>
        <v>TRANSITA</v>
      </c>
      <c r="L39" s="156">
        <v>14</v>
      </c>
      <c r="M39" s="140">
        <v>14</v>
      </c>
      <c r="N39" s="140"/>
      <c r="O39" s="140">
        <v>6</v>
      </c>
      <c r="P39" s="140"/>
      <c r="Q39" s="104">
        <f t="shared" si="5"/>
        <v>11.333333333333334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7.1111111111111116</v>
      </c>
      <c r="Z39" s="105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18</v>
      </c>
      <c r="F40" s="140">
        <v>19</v>
      </c>
      <c r="G40" s="140"/>
      <c r="H40" s="140">
        <v>17</v>
      </c>
      <c r="I40" s="140"/>
      <c r="J40" s="104">
        <f t="shared" si="4"/>
        <v>18</v>
      </c>
      <c r="K40" s="105" t="str">
        <f t="shared" si="1"/>
        <v>TRANSITA</v>
      </c>
      <c r="L40" s="156">
        <v>15</v>
      </c>
      <c r="M40" s="140">
        <v>19</v>
      </c>
      <c r="N40" s="140"/>
      <c r="O40" s="140">
        <v>19</v>
      </c>
      <c r="P40" s="140"/>
      <c r="Q40" s="104">
        <f t="shared" si="5"/>
        <v>17.666666666666668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11.888888888888891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16</v>
      </c>
      <c r="F41" s="140">
        <v>9</v>
      </c>
      <c r="G41" s="140">
        <v>17</v>
      </c>
      <c r="H41" s="140">
        <v>15</v>
      </c>
      <c r="I41" s="140"/>
      <c r="J41" s="104">
        <f t="shared" si="4"/>
        <v>16</v>
      </c>
      <c r="K41" s="105" t="str">
        <f t="shared" si="1"/>
        <v>TRANSITA</v>
      </c>
      <c r="L41" s="156">
        <v>16</v>
      </c>
      <c r="M41" s="140">
        <v>17</v>
      </c>
      <c r="N41" s="140"/>
      <c r="O41" s="140">
        <v>18</v>
      </c>
      <c r="P41" s="140"/>
      <c r="Q41" s="104">
        <f t="shared" si="5"/>
        <v>17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11</v>
      </c>
      <c r="Z41" s="105" t="str">
        <f t="shared" ref="Z41:Z43" si="10">IF(Y41&gt;=10,"TRANSITA","N/TRANSITA")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/>
      <c r="F42" s="140"/>
      <c r="G42" s="140"/>
      <c r="H42" s="140"/>
      <c r="I42" s="140"/>
      <c r="J42" s="104">
        <f t="shared" si="4"/>
        <v>0</v>
      </c>
      <c r="K42" s="105" t="str">
        <f t="shared" si="1"/>
        <v>N/TRANSITA</v>
      </c>
      <c r="L42" s="156">
        <v>6</v>
      </c>
      <c r="M42" s="140">
        <v>14</v>
      </c>
      <c r="N42" s="140"/>
      <c r="O42" s="140">
        <v>7</v>
      </c>
      <c r="P42" s="140"/>
      <c r="Q42" s="104">
        <f t="shared" ref="Q42" si="11">AVERAGE(L42,MAX(M42:N42),MAX(O42:P42))</f>
        <v>9</v>
      </c>
      <c r="R42" s="105" t="str">
        <f t="shared" ref="R42" si="12">IF(Q42&gt;=10,"TRANSITA","N/TRANSITA")</f>
        <v>N/TRANSITA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3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15</v>
      </c>
      <c r="F43" s="140">
        <v>3</v>
      </c>
      <c r="G43" s="140">
        <v>15</v>
      </c>
      <c r="H43" s="140">
        <v>12</v>
      </c>
      <c r="I43" s="140"/>
      <c r="J43" s="104">
        <f t="shared" si="4"/>
        <v>14</v>
      </c>
      <c r="K43" s="105" t="str">
        <f t="shared" si="1"/>
        <v>TRANSITA</v>
      </c>
      <c r="L43" s="156">
        <v>12</v>
      </c>
      <c r="M43" s="140">
        <v>13</v>
      </c>
      <c r="N43" s="140"/>
      <c r="O43" s="140">
        <v>10</v>
      </c>
      <c r="P43" s="140"/>
      <c r="Q43" s="104">
        <f t="shared" si="5"/>
        <v>11.666666666666666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8.5555555555555554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12</v>
      </c>
      <c r="F44" s="140">
        <v>3</v>
      </c>
      <c r="G44" s="140">
        <v>11</v>
      </c>
      <c r="H44" s="140">
        <v>13</v>
      </c>
      <c r="I44" s="140"/>
      <c r="J44" s="104">
        <f t="shared" si="4"/>
        <v>12</v>
      </c>
      <c r="K44" s="105" t="str">
        <f t="shared" si="1"/>
        <v>TRANSITA</v>
      </c>
      <c r="L44" s="156">
        <v>10</v>
      </c>
      <c r="M44" s="140">
        <v>14</v>
      </c>
      <c r="N44" s="140"/>
      <c r="O44" s="140">
        <v>4</v>
      </c>
      <c r="P44" s="140"/>
      <c r="Q44" s="104">
        <f t="shared" si="5"/>
        <v>9.3333333333333339</v>
      </c>
      <c r="R44" s="105" t="str">
        <f t="shared" si="2"/>
        <v>N/TRANSITA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7.1111111111111116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11</v>
      </c>
      <c r="F45" s="140">
        <v>5</v>
      </c>
      <c r="G45" s="140"/>
      <c r="H45" s="140">
        <v>10</v>
      </c>
      <c r="I45" s="140"/>
      <c r="J45" s="104">
        <f t="shared" si="4"/>
        <v>8.6666666666666661</v>
      </c>
      <c r="K45" s="105" t="str">
        <f t="shared" si="1"/>
        <v>N/TRANSITA</v>
      </c>
      <c r="L45" s="156">
        <v>13</v>
      </c>
      <c r="M45" s="140">
        <v>11</v>
      </c>
      <c r="N45" s="140"/>
      <c r="O45" s="140">
        <v>6</v>
      </c>
      <c r="P45" s="140"/>
      <c r="Q45" s="104">
        <f t="shared" si="5"/>
        <v>10</v>
      </c>
      <c r="R45" s="105" t="str">
        <f t="shared" si="2"/>
        <v>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6.2222222222222214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15</v>
      </c>
      <c r="F46" s="140">
        <v>2</v>
      </c>
      <c r="G46" s="140"/>
      <c r="H46" s="140">
        <v>7</v>
      </c>
      <c r="I46" s="140"/>
      <c r="J46" s="104">
        <f t="shared" si="4"/>
        <v>8</v>
      </c>
      <c r="K46" s="105" t="str">
        <f t="shared" si="1"/>
        <v>N/TRANSITA</v>
      </c>
      <c r="L46" s="156">
        <v>14</v>
      </c>
      <c r="M46" s="140">
        <v>10</v>
      </c>
      <c r="N46" s="140"/>
      <c r="O46" s="140">
        <v>4</v>
      </c>
      <c r="P46" s="140"/>
      <c r="Q46" s="104">
        <f t="shared" si="5"/>
        <v>9.3333333333333339</v>
      </c>
      <c r="R46" s="105" t="str">
        <f t="shared" si="2"/>
        <v>N/TRANSITA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5.7777777777777786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15</v>
      </c>
      <c r="F47" s="140">
        <v>3</v>
      </c>
      <c r="G47" s="140">
        <v>11</v>
      </c>
      <c r="H47" s="140">
        <v>15</v>
      </c>
      <c r="I47" s="140"/>
      <c r="J47" s="104">
        <f t="shared" si="4"/>
        <v>13.666666666666666</v>
      </c>
      <c r="K47" s="105" t="str">
        <f t="shared" si="1"/>
        <v>TRANSITA</v>
      </c>
      <c r="L47" s="156">
        <v>11</v>
      </c>
      <c r="M47" s="140">
        <v>12</v>
      </c>
      <c r="N47" s="140"/>
      <c r="O47" s="140">
        <v>8</v>
      </c>
      <c r="P47" s="140"/>
      <c r="Q47" s="104">
        <f t="shared" si="5"/>
        <v>10.333333333333334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8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14</v>
      </c>
      <c r="F48" s="140">
        <v>9</v>
      </c>
      <c r="G48" s="140"/>
      <c r="H48" s="140">
        <v>13</v>
      </c>
      <c r="I48" s="140"/>
      <c r="J48" s="104">
        <f t="shared" si="4"/>
        <v>12</v>
      </c>
      <c r="K48" s="105" t="str">
        <f t="shared" si="1"/>
        <v>TRANSITA</v>
      </c>
      <c r="L48" s="156">
        <v>13</v>
      </c>
      <c r="M48" s="140">
        <v>14</v>
      </c>
      <c r="N48" s="140"/>
      <c r="O48" s="140">
        <v>8</v>
      </c>
      <c r="P48" s="140"/>
      <c r="Q48" s="104">
        <f t="shared" si="5"/>
        <v>11.666666666666666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7.8888888888888884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10</v>
      </c>
      <c r="F49" s="140">
        <v>2</v>
      </c>
      <c r="G49" s="140">
        <v>9</v>
      </c>
      <c r="H49" s="140">
        <v>13</v>
      </c>
      <c r="I49" s="140"/>
      <c r="J49" s="104">
        <f t="shared" si="4"/>
        <v>10.666666666666666</v>
      </c>
      <c r="K49" s="105" t="str">
        <f t="shared" si="1"/>
        <v>TRANSITA</v>
      </c>
      <c r="L49" s="156">
        <v>12</v>
      </c>
      <c r="M49" s="140">
        <v>14</v>
      </c>
      <c r="N49" s="140"/>
      <c r="O49" s="140">
        <v>3</v>
      </c>
      <c r="P49" s="140"/>
      <c r="Q49" s="104">
        <f t="shared" si="5"/>
        <v>9.6666666666666661</v>
      </c>
      <c r="R49" s="105" t="str">
        <f t="shared" si="2"/>
        <v>N/TRANSITA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6.7777777777777777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16</v>
      </c>
      <c r="F50" s="140">
        <v>16</v>
      </c>
      <c r="G50" s="140"/>
      <c r="H50" s="140">
        <v>16</v>
      </c>
      <c r="I50" s="140"/>
      <c r="J50" s="104">
        <f t="shared" si="4"/>
        <v>16</v>
      </c>
      <c r="K50" s="105" t="str">
        <f t="shared" si="1"/>
        <v>TRANSITA</v>
      </c>
      <c r="L50" s="156">
        <v>18</v>
      </c>
      <c r="M50" s="140">
        <v>15</v>
      </c>
      <c r="N50" s="140"/>
      <c r="O50" s="140">
        <v>14</v>
      </c>
      <c r="P50" s="140"/>
      <c r="Q50" s="104">
        <f t="shared" si="5"/>
        <v>15.666666666666666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10.555555555555555</v>
      </c>
      <c r="Z50" s="105" t="str">
        <f t="shared" si="21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10</v>
      </c>
      <c r="F51" s="140">
        <v>0</v>
      </c>
      <c r="G51" s="140"/>
      <c r="H51" s="140">
        <v>11</v>
      </c>
      <c r="I51" s="140"/>
      <c r="J51" s="104">
        <f t="shared" si="4"/>
        <v>7</v>
      </c>
      <c r="K51" s="105" t="str">
        <f t="shared" si="1"/>
        <v>N/TRANSITA</v>
      </c>
      <c r="L51" s="156">
        <v>13</v>
      </c>
      <c r="M51" s="140">
        <v>11</v>
      </c>
      <c r="N51" s="140"/>
      <c r="O51" s="140">
        <v>2</v>
      </c>
      <c r="P51" s="140"/>
      <c r="Q51" s="104">
        <f t="shared" si="5"/>
        <v>8.6666666666666661</v>
      </c>
      <c r="R51" s="105" t="str">
        <f t="shared" si="2"/>
        <v>N/TRANSITA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5.2222222222222223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12</v>
      </c>
      <c r="F52" s="152">
        <v>8</v>
      </c>
      <c r="G52" s="152">
        <v>7</v>
      </c>
      <c r="H52" s="152">
        <v>10</v>
      </c>
      <c r="I52" s="152"/>
      <c r="J52" s="109">
        <f t="shared" si="4"/>
        <v>10</v>
      </c>
      <c r="K52" s="110" t="str">
        <f t="shared" si="1"/>
        <v>TRANSITA</v>
      </c>
      <c r="L52" s="157">
        <v>10</v>
      </c>
      <c r="M52" s="152">
        <v>14</v>
      </c>
      <c r="N52" s="152"/>
      <c r="O52" s="152">
        <v>9</v>
      </c>
      <c r="P52" s="152"/>
      <c r="Q52" s="109">
        <f t="shared" si="5"/>
        <v>11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7</v>
      </c>
      <c r="Z52" s="110" t="str">
        <f t="shared" si="3"/>
        <v>N/TRANSITA</v>
      </c>
    </row>
    <row r="53" spans="1:26" ht="93.75" customHeight="1" thickTop="1" thickBot="1" x14ac:dyDescent="0.35">
      <c r="B53" s="3"/>
      <c r="C53" s="3"/>
      <c r="D53" s="3"/>
      <c r="E53" s="3"/>
      <c r="F53" s="3"/>
      <c r="G53" s="3"/>
      <c r="H53" s="3"/>
      <c r="I53" s="3"/>
      <c r="J53" s="3"/>
      <c r="K53" s="3"/>
      <c r="L53" s="18">
        <v>14.5</v>
      </c>
      <c r="M53" s="14">
        <v>10</v>
      </c>
      <c r="N53" s="14"/>
      <c r="O53" s="14">
        <v>15</v>
      </c>
      <c r="S53" s="3"/>
      <c r="T53" s="3"/>
      <c r="U53" s="3"/>
      <c r="V53" s="3"/>
      <c r="W53" s="3"/>
      <c r="X53" s="3"/>
      <c r="Y53" s="3"/>
      <c r="Z53" s="3"/>
    </row>
    <row r="54" spans="1:26" ht="20.25" customHeight="1" thickTop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329" priority="241" stopIfTrue="1" operator="greaterThan">
      <formula>9.5</formula>
    </cfRule>
    <cfRule type="cellIs" dxfId="328" priority="242" stopIfTrue="1" operator="lessThanOrEqual">
      <formula>9.5</formula>
    </cfRule>
  </conditionalFormatting>
  <conditionalFormatting sqref="X9:X52 Q9:Q52">
    <cfRule type="cellIs" dxfId="327" priority="219" stopIfTrue="1" operator="lessThan">
      <formula>10</formula>
    </cfRule>
    <cfRule type="cellIs" dxfId="326" priority="220" stopIfTrue="1" operator="greaterThanOrEqual">
      <formula>10</formula>
    </cfRule>
  </conditionalFormatting>
  <conditionalFormatting sqref="L53:O53">
    <cfRule type="cellIs" dxfId="325" priority="207" stopIfTrue="1" operator="lessThan">
      <formula>10</formula>
    </cfRule>
    <cfRule type="cellIs" dxfId="324" priority="208" stopIfTrue="1" operator="greaterThan">
      <formula>9</formula>
    </cfRule>
    <cfRule type="cellIs" dxfId="323" priority="209" stopIfTrue="1" operator="lessThan">
      <formula>10</formula>
    </cfRule>
    <cfRule type="cellIs" dxfId="322" priority="210" stopIfTrue="1" operator="greaterThan">
      <formula>9</formula>
    </cfRule>
  </conditionalFormatting>
  <conditionalFormatting sqref="S9:W52 P9:P52">
    <cfRule type="cellIs" dxfId="321" priority="93" stopIfTrue="1" operator="lessThan">
      <formula>10</formula>
    </cfRule>
    <cfRule type="cellIs" dxfId="320" priority="94" stopIfTrue="1" operator="greaterThan">
      <formula>9</formula>
    </cfRule>
  </conditionalFormatting>
  <conditionalFormatting sqref="S9:W52 P9:P52">
    <cfRule type="cellIs" dxfId="319" priority="91" stopIfTrue="1" operator="lessThan">
      <formula>10</formula>
    </cfRule>
    <cfRule type="cellIs" dxfId="318" priority="92" stopIfTrue="1" operator="greaterThan">
      <formula>9</formula>
    </cfRule>
  </conditionalFormatting>
  <conditionalFormatting sqref="J9:J52">
    <cfRule type="cellIs" dxfId="317" priority="23" stopIfTrue="1" operator="lessThan">
      <formula>10</formula>
    </cfRule>
    <cfRule type="cellIs" dxfId="316" priority="24" stopIfTrue="1" operator="greaterThanOrEqual">
      <formula>10</formula>
    </cfRule>
  </conditionalFormatting>
  <conditionalFormatting sqref="I50:I52 L9:O52">
    <cfRule type="cellIs" dxfId="315" priority="19" stopIfTrue="1" operator="lessThan">
      <formula>10</formula>
    </cfRule>
    <cfRule type="cellIs" dxfId="314" priority="20" stopIfTrue="1" operator="greaterThan">
      <formula>9</formula>
    </cfRule>
  </conditionalFormatting>
  <conditionalFormatting sqref="I50:I52 L9:O52">
    <cfRule type="cellIs" dxfId="313" priority="17" stopIfTrue="1" operator="lessThan">
      <formula>10</formula>
    </cfRule>
    <cfRule type="cellIs" dxfId="312" priority="18" stopIfTrue="1" operator="greaterThan">
      <formula>9</formula>
    </cfRule>
  </conditionalFormatting>
  <conditionalFormatting sqref="I9:I49">
    <cfRule type="cellIs" dxfId="311" priority="15" stopIfTrue="1" operator="lessThan">
      <formula>10</formula>
    </cfRule>
    <cfRule type="cellIs" dxfId="310" priority="16" stopIfTrue="1" operator="greaterThan">
      <formula>9</formula>
    </cfRule>
  </conditionalFormatting>
  <conditionalFormatting sqref="I9:I49">
    <cfRule type="cellIs" dxfId="309" priority="13" stopIfTrue="1" operator="lessThan">
      <formula>10</formula>
    </cfRule>
    <cfRule type="cellIs" dxfId="308" priority="14" stopIfTrue="1" operator="greaterThan">
      <formula>9</formula>
    </cfRule>
  </conditionalFormatting>
  <conditionalFormatting sqref="E50:H52">
    <cfRule type="cellIs" dxfId="307" priority="11" stopIfTrue="1" operator="lessThan">
      <formula>10</formula>
    </cfRule>
    <cfRule type="cellIs" dxfId="306" priority="12" stopIfTrue="1" operator="greaterThan">
      <formula>9</formula>
    </cfRule>
  </conditionalFormatting>
  <conditionalFormatting sqref="E50:H52">
    <cfRule type="cellIs" dxfId="305" priority="9" stopIfTrue="1" operator="lessThan">
      <formula>10</formula>
    </cfRule>
    <cfRule type="cellIs" dxfId="304" priority="10" stopIfTrue="1" operator="greaterThan">
      <formula>9</formula>
    </cfRule>
  </conditionalFormatting>
  <conditionalFormatting sqref="E49:H49">
    <cfRule type="cellIs" dxfId="303" priority="7" stopIfTrue="1" operator="lessThan">
      <formula>10</formula>
    </cfRule>
    <cfRule type="cellIs" dxfId="302" priority="8" stopIfTrue="1" operator="greaterThan">
      <formula>9</formula>
    </cfRule>
  </conditionalFormatting>
  <conditionalFormatting sqref="E49:H49">
    <cfRule type="cellIs" dxfId="301" priority="5" stopIfTrue="1" operator="lessThan">
      <formula>10</formula>
    </cfRule>
    <cfRule type="cellIs" dxfId="300" priority="6" stopIfTrue="1" operator="greaterThan">
      <formula>9</formula>
    </cfRule>
  </conditionalFormatting>
  <conditionalFormatting sqref="E9:H48">
    <cfRule type="cellIs" dxfId="299" priority="3" stopIfTrue="1" operator="lessThan">
      <formula>10</formula>
    </cfRule>
    <cfRule type="cellIs" dxfId="298" priority="4" stopIfTrue="1" operator="greaterThan">
      <formula>9</formula>
    </cfRule>
  </conditionalFormatting>
  <conditionalFormatting sqref="E9:H48">
    <cfRule type="cellIs" dxfId="297" priority="1" stopIfTrue="1" operator="lessThan">
      <formula>10</formula>
    </cfRule>
    <cfRule type="cellIs" dxfId="296" priority="2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9457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99060</xdr:colOff>
                <xdr:row>54</xdr:row>
                <xdr:rowOff>22860</xdr:rowOff>
              </to>
            </anchor>
          </objectPr>
        </oleObject>
      </mc:Choice>
      <mc:Fallback>
        <oleObject progId="Word.Document.8" shapeId="1945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77" stopIfTrue="1" operator="containsText" id="{20F49E82-DF1A-4CDD-A9BD-43985A990F56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78" stopIfTrue="1" operator="containsText" id="{52397CAC-9F04-4CB8-996D-80DF4FF8E25B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21" stopIfTrue="1" operator="containsText" id="{856A38CF-E435-46CF-A08C-2FF02E7DB40B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5D49F849-D928-4F27-B8D6-9F418D293819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E9" sqref="E9:O52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94"/>
      <c r="G4" s="94"/>
      <c r="H4" s="94"/>
      <c r="I4" s="94" t="s">
        <v>30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22</v>
      </c>
      <c r="AD8" s="287">
        <f>COUNTIF(Z9:Z58,"N/TRANSITA")</f>
        <v>22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12</v>
      </c>
      <c r="F9" s="143">
        <v>14</v>
      </c>
      <c r="G9" s="143"/>
      <c r="H9" s="143">
        <v>14</v>
      </c>
      <c r="I9" s="143"/>
      <c r="J9" s="112">
        <f>AVERAGE(E9,MAX(F9:G9),MAX(H9:I9))</f>
        <v>13.333333333333334</v>
      </c>
      <c r="K9" s="101" t="str">
        <f>IF(J9&gt;=10,"TRANSITA","N/TRANSITA")</f>
        <v>TRANSITA</v>
      </c>
      <c r="L9" s="155">
        <v>16</v>
      </c>
      <c r="M9" s="143">
        <v>8</v>
      </c>
      <c r="N9" s="143"/>
      <c r="O9" s="143">
        <v>15</v>
      </c>
      <c r="P9" s="143"/>
      <c r="Q9" s="112">
        <f>AVERAGE(L9,MAX(M9:N9),MAX(O9:P9))</f>
        <v>13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8.7777777777777786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18</v>
      </c>
      <c r="F10" s="140">
        <v>20</v>
      </c>
      <c r="G10" s="140"/>
      <c r="H10" s="140">
        <v>19</v>
      </c>
      <c r="I10" s="140"/>
      <c r="J10" s="113">
        <f>AVERAGE(E10,MAX(F10:G10),MAX(H10:I10))</f>
        <v>19</v>
      </c>
      <c r="K10" s="105" t="str">
        <f t="shared" ref="K10:K52" si="1">IF(J10&gt;=10,"TRANSITA","N/TRANSITA")</f>
        <v>TRANSITA</v>
      </c>
      <c r="L10" s="156">
        <v>20</v>
      </c>
      <c r="M10" s="140">
        <v>20</v>
      </c>
      <c r="N10" s="140"/>
      <c r="O10" s="140">
        <v>20</v>
      </c>
      <c r="P10" s="140"/>
      <c r="Q10" s="113">
        <f>AVERAGE(L10,MAX(M10:N10),MAX(O10:P10))</f>
        <v>20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13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17</v>
      </c>
      <c r="F11" s="140">
        <v>16</v>
      </c>
      <c r="G11" s="140"/>
      <c r="H11" s="140">
        <v>13</v>
      </c>
      <c r="I11" s="140"/>
      <c r="J11" s="113">
        <f t="shared" ref="J11:J52" si="4">AVERAGE(E11,MAX(F11:G11),MAX(H11:I11))</f>
        <v>15.333333333333334</v>
      </c>
      <c r="K11" s="105" t="str">
        <f t="shared" si="1"/>
        <v>TRANSITA</v>
      </c>
      <c r="L11" s="156">
        <v>16</v>
      </c>
      <c r="M11" s="140">
        <v>20</v>
      </c>
      <c r="N11" s="140"/>
      <c r="O11" s="140">
        <v>16</v>
      </c>
      <c r="P11" s="140"/>
      <c r="Q11" s="113">
        <f t="shared" ref="Q11:Q52" si="5">AVERAGE(L11,MAX(M11:N11),MAX(O11:P11))</f>
        <v>17.333333333333332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10.888888888888888</v>
      </c>
      <c r="Z11" s="105" t="str">
        <f t="shared" si="3"/>
        <v>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18</v>
      </c>
      <c r="F12" s="140">
        <v>15</v>
      </c>
      <c r="G12" s="140"/>
      <c r="H12" s="140">
        <v>15</v>
      </c>
      <c r="I12" s="140"/>
      <c r="J12" s="113">
        <f t="shared" si="4"/>
        <v>16</v>
      </c>
      <c r="K12" s="105" t="str">
        <f t="shared" si="1"/>
        <v>TRANSITA</v>
      </c>
      <c r="L12" s="156">
        <v>20</v>
      </c>
      <c r="M12" s="140">
        <v>13</v>
      </c>
      <c r="N12" s="140"/>
      <c r="O12" s="140">
        <v>20</v>
      </c>
      <c r="P12" s="140"/>
      <c r="Q12" s="113">
        <f t="shared" si="5"/>
        <v>17.666666666666668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11.222222222222223</v>
      </c>
      <c r="Z12" s="105" t="str">
        <f t="shared" si="3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12</v>
      </c>
      <c r="F13" s="140">
        <v>15</v>
      </c>
      <c r="G13" s="140"/>
      <c r="H13" s="140">
        <v>10</v>
      </c>
      <c r="I13" s="140"/>
      <c r="J13" s="113">
        <f t="shared" si="4"/>
        <v>12.333333333333334</v>
      </c>
      <c r="K13" s="105" t="str">
        <f t="shared" si="1"/>
        <v>TRANSITA</v>
      </c>
      <c r="L13" s="156">
        <v>15</v>
      </c>
      <c r="M13" s="140">
        <v>16</v>
      </c>
      <c r="N13" s="140"/>
      <c r="O13" s="140">
        <v>18</v>
      </c>
      <c r="P13" s="140"/>
      <c r="Q13" s="113">
        <f t="shared" si="5"/>
        <v>16.333333333333332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9.5555555555555554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8</v>
      </c>
      <c r="F14" s="140">
        <v>17</v>
      </c>
      <c r="G14" s="140"/>
      <c r="H14" s="140">
        <v>14</v>
      </c>
      <c r="I14" s="140"/>
      <c r="J14" s="113">
        <f t="shared" si="4"/>
        <v>13</v>
      </c>
      <c r="K14" s="105" t="str">
        <f t="shared" si="1"/>
        <v>TRANSITA</v>
      </c>
      <c r="L14" s="156">
        <v>14</v>
      </c>
      <c r="M14" s="140">
        <v>20</v>
      </c>
      <c r="N14" s="140"/>
      <c r="O14" s="140">
        <v>16</v>
      </c>
      <c r="P14" s="140"/>
      <c r="Q14" s="113">
        <f t="shared" si="5"/>
        <v>16.666666666666668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9.8888888888888893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10</v>
      </c>
      <c r="F15" s="140">
        <v>14</v>
      </c>
      <c r="G15" s="140"/>
      <c r="H15" s="140">
        <v>15</v>
      </c>
      <c r="I15" s="140"/>
      <c r="J15" s="113">
        <f t="shared" si="4"/>
        <v>13</v>
      </c>
      <c r="K15" s="105" t="str">
        <f t="shared" si="1"/>
        <v>TRANSITA</v>
      </c>
      <c r="L15" s="156">
        <v>18</v>
      </c>
      <c r="M15" s="140">
        <v>20</v>
      </c>
      <c r="N15" s="140"/>
      <c r="O15" s="140">
        <v>18</v>
      </c>
      <c r="P15" s="140"/>
      <c r="Q15" s="113">
        <f t="shared" si="5"/>
        <v>18.666666666666668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10.555555555555555</v>
      </c>
      <c r="Z15" s="105" t="str">
        <f t="shared" si="3"/>
        <v>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18</v>
      </c>
      <c r="F16" s="140">
        <v>19</v>
      </c>
      <c r="G16" s="140"/>
      <c r="H16" s="140">
        <v>17</v>
      </c>
      <c r="I16" s="140"/>
      <c r="J16" s="113">
        <f t="shared" si="4"/>
        <v>18</v>
      </c>
      <c r="K16" s="105" t="str">
        <f t="shared" si="1"/>
        <v>TRANSITA</v>
      </c>
      <c r="L16" s="156">
        <v>12</v>
      </c>
      <c r="M16" s="140">
        <v>18</v>
      </c>
      <c r="N16" s="140"/>
      <c r="O16" s="140">
        <v>18</v>
      </c>
      <c r="P16" s="140"/>
      <c r="Q16" s="113">
        <f t="shared" si="5"/>
        <v>16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11.333333333333334</v>
      </c>
      <c r="Z16" s="105" t="str">
        <f t="shared" si="3"/>
        <v>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13</v>
      </c>
      <c r="F17" s="140">
        <v>15</v>
      </c>
      <c r="G17" s="140"/>
      <c r="H17" s="140">
        <v>16</v>
      </c>
      <c r="I17" s="140"/>
      <c r="J17" s="113">
        <f t="shared" si="4"/>
        <v>14.666666666666666</v>
      </c>
      <c r="K17" s="105" t="str">
        <f t="shared" si="1"/>
        <v>TRANSITA</v>
      </c>
      <c r="L17" s="156">
        <v>11</v>
      </c>
      <c r="M17" s="140">
        <v>18</v>
      </c>
      <c r="N17" s="140"/>
      <c r="O17" s="140">
        <v>10</v>
      </c>
      <c r="P17" s="140"/>
      <c r="Q17" s="113">
        <f t="shared" si="5"/>
        <v>13</v>
      </c>
      <c r="R17" s="105" t="str">
        <f t="shared" si="2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9.2222222222222214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15</v>
      </c>
      <c r="F18" s="140">
        <v>14</v>
      </c>
      <c r="G18" s="140"/>
      <c r="H18" s="140">
        <v>17</v>
      </c>
      <c r="I18" s="140"/>
      <c r="J18" s="113">
        <f t="shared" si="4"/>
        <v>15.333333333333334</v>
      </c>
      <c r="K18" s="105" t="str">
        <f t="shared" si="1"/>
        <v>TRANSITA</v>
      </c>
      <c r="L18" s="156">
        <v>14</v>
      </c>
      <c r="M18" s="140">
        <v>10</v>
      </c>
      <c r="N18" s="140"/>
      <c r="O18" s="140">
        <v>16</v>
      </c>
      <c r="P18" s="140"/>
      <c r="Q18" s="113">
        <f t="shared" si="5"/>
        <v>13.333333333333334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9.5555555555555554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16</v>
      </c>
      <c r="F19" s="140">
        <v>15</v>
      </c>
      <c r="G19" s="140"/>
      <c r="H19" s="140">
        <v>18</v>
      </c>
      <c r="I19" s="140"/>
      <c r="J19" s="113">
        <f t="shared" si="4"/>
        <v>16.333333333333332</v>
      </c>
      <c r="K19" s="105" t="str">
        <f t="shared" si="1"/>
        <v>TRANSITA</v>
      </c>
      <c r="L19" s="156">
        <v>17</v>
      </c>
      <c r="M19" s="140">
        <v>20</v>
      </c>
      <c r="N19" s="140"/>
      <c r="O19" s="140">
        <v>18</v>
      </c>
      <c r="P19" s="140"/>
      <c r="Q19" s="113">
        <f t="shared" si="5"/>
        <v>18.333333333333332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11.555555555555555</v>
      </c>
      <c r="Z19" s="105" t="str">
        <f t="shared" si="3"/>
        <v>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16</v>
      </c>
      <c r="F20" s="140">
        <v>19</v>
      </c>
      <c r="G20" s="140"/>
      <c r="H20" s="140">
        <v>15</v>
      </c>
      <c r="I20" s="140"/>
      <c r="J20" s="113">
        <f t="shared" si="4"/>
        <v>16.666666666666668</v>
      </c>
      <c r="K20" s="105" t="str">
        <f t="shared" si="1"/>
        <v>TRANSITA</v>
      </c>
      <c r="L20" s="156">
        <v>17</v>
      </c>
      <c r="M20" s="140">
        <v>17</v>
      </c>
      <c r="N20" s="140"/>
      <c r="O20" s="140">
        <v>10</v>
      </c>
      <c r="P20" s="140"/>
      <c r="Q20" s="113">
        <f t="shared" si="5"/>
        <v>14.666666666666666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10.444444444444445</v>
      </c>
      <c r="Z20" s="105" t="str">
        <f t="shared" si="3"/>
        <v>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17</v>
      </c>
      <c r="F21" s="140">
        <v>15</v>
      </c>
      <c r="G21" s="140"/>
      <c r="H21" s="140">
        <v>17</v>
      </c>
      <c r="I21" s="140"/>
      <c r="J21" s="113">
        <f t="shared" si="4"/>
        <v>16.333333333333332</v>
      </c>
      <c r="K21" s="105" t="str">
        <f t="shared" si="1"/>
        <v>TRANSITA</v>
      </c>
      <c r="L21" s="156">
        <v>19</v>
      </c>
      <c r="M21" s="140">
        <v>15</v>
      </c>
      <c r="N21" s="140"/>
      <c r="O21" s="140">
        <v>20</v>
      </c>
      <c r="P21" s="140"/>
      <c r="Q21" s="113">
        <f t="shared" si="5"/>
        <v>18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11.444444444444443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10</v>
      </c>
      <c r="F22" s="140">
        <v>8</v>
      </c>
      <c r="G22" s="140"/>
      <c r="H22" s="140">
        <v>12</v>
      </c>
      <c r="I22" s="140"/>
      <c r="J22" s="113">
        <f t="shared" si="4"/>
        <v>10</v>
      </c>
      <c r="K22" s="105" t="str">
        <f t="shared" si="1"/>
        <v>TRANSITA</v>
      </c>
      <c r="L22" s="156">
        <v>14</v>
      </c>
      <c r="M22" s="140">
        <v>20</v>
      </c>
      <c r="N22" s="140"/>
      <c r="O22" s="140">
        <v>16</v>
      </c>
      <c r="P22" s="140"/>
      <c r="Q22" s="113">
        <f t="shared" si="5"/>
        <v>16.666666666666668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8.8888888888888893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8</v>
      </c>
      <c r="F23" s="140">
        <v>12</v>
      </c>
      <c r="G23" s="140"/>
      <c r="H23" s="140">
        <v>9</v>
      </c>
      <c r="I23" s="140"/>
      <c r="J23" s="113">
        <f t="shared" si="4"/>
        <v>9.6666666666666661</v>
      </c>
      <c r="K23" s="105" t="str">
        <f t="shared" si="1"/>
        <v>N/TRANSITA</v>
      </c>
      <c r="L23" s="156">
        <v>11</v>
      </c>
      <c r="M23" s="140">
        <v>19</v>
      </c>
      <c r="N23" s="140"/>
      <c r="O23" s="140">
        <v>17</v>
      </c>
      <c r="P23" s="140"/>
      <c r="Q23" s="113">
        <f t="shared" si="5"/>
        <v>15.666666666666666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8.4444444444444446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13</v>
      </c>
      <c r="F24" s="140">
        <v>15</v>
      </c>
      <c r="G24" s="140"/>
      <c r="H24" s="140">
        <v>13</v>
      </c>
      <c r="I24" s="140"/>
      <c r="J24" s="113">
        <f t="shared" si="4"/>
        <v>13.666666666666666</v>
      </c>
      <c r="K24" s="105" t="str">
        <f t="shared" si="1"/>
        <v>TRANSITA</v>
      </c>
      <c r="L24" s="156">
        <v>13</v>
      </c>
      <c r="M24" s="140">
        <v>19</v>
      </c>
      <c r="N24" s="140"/>
      <c r="O24" s="140">
        <v>17</v>
      </c>
      <c r="P24" s="140"/>
      <c r="Q24" s="113">
        <f t="shared" si="5"/>
        <v>16.333333333333332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10</v>
      </c>
      <c r="Z24" s="105" t="str">
        <f t="shared" si="3"/>
        <v>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15</v>
      </c>
      <c r="F25" s="140">
        <v>15</v>
      </c>
      <c r="G25" s="140"/>
      <c r="H25" s="140">
        <v>18</v>
      </c>
      <c r="I25" s="140"/>
      <c r="J25" s="113">
        <f t="shared" si="4"/>
        <v>16</v>
      </c>
      <c r="K25" s="105" t="str">
        <f t="shared" si="1"/>
        <v>TRANSITA</v>
      </c>
      <c r="L25" s="156">
        <v>14</v>
      </c>
      <c r="M25" s="140">
        <v>19</v>
      </c>
      <c r="N25" s="140"/>
      <c r="O25" s="140">
        <v>10</v>
      </c>
      <c r="P25" s="140"/>
      <c r="Q25" s="113">
        <f t="shared" si="5"/>
        <v>14.333333333333334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10.111111111111112</v>
      </c>
      <c r="Z25" s="105" t="str">
        <f t="shared" si="3"/>
        <v>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15</v>
      </c>
      <c r="F26" s="140">
        <v>20</v>
      </c>
      <c r="G26" s="140"/>
      <c r="H26" s="140">
        <v>20</v>
      </c>
      <c r="I26" s="140"/>
      <c r="J26" s="113">
        <f t="shared" si="4"/>
        <v>18.333333333333332</v>
      </c>
      <c r="K26" s="105" t="str">
        <f t="shared" si="1"/>
        <v>TRANSITA</v>
      </c>
      <c r="L26" s="156">
        <v>16</v>
      </c>
      <c r="M26" s="140">
        <v>15</v>
      </c>
      <c r="N26" s="140"/>
      <c r="O26" s="140">
        <v>20</v>
      </c>
      <c r="P26" s="140"/>
      <c r="Q26" s="113">
        <f t="shared" si="5"/>
        <v>17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11.777777777777777</v>
      </c>
      <c r="Z26" s="105" t="str">
        <f t="shared" si="3"/>
        <v>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/>
      <c r="F27" s="140"/>
      <c r="G27" s="140"/>
      <c r="H27" s="140"/>
      <c r="I27" s="140"/>
      <c r="J27" s="113">
        <f t="shared" si="4"/>
        <v>0</v>
      </c>
      <c r="K27" s="105" t="str">
        <f t="shared" si="1"/>
        <v>N/TRANSITA</v>
      </c>
      <c r="L27" s="156"/>
      <c r="M27" s="140"/>
      <c r="N27" s="140"/>
      <c r="O27" s="140"/>
      <c r="P27" s="140"/>
      <c r="Q27" s="113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14</v>
      </c>
      <c r="F28" s="140">
        <v>16</v>
      </c>
      <c r="G28" s="140"/>
      <c r="H28" s="140">
        <v>17</v>
      </c>
      <c r="I28" s="140"/>
      <c r="J28" s="113">
        <f t="shared" si="4"/>
        <v>15.666666666666666</v>
      </c>
      <c r="K28" s="105" t="str">
        <f t="shared" si="1"/>
        <v>TRANSITA</v>
      </c>
      <c r="L28" s="156"/>
      <c r="M28" s="140"/>
      <c r="N28" s="140"/>
      <c r="O28" s="140"/>
      <c r="P28" s="140"/>
      <c r="Q28" s="113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5.2222222222222223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10</v>
      </c>
      <c r="F29" s="140">
        <v>14</v>
      </c>
      <c r="G29" s="140"/>
      <c r="H29" s="140">
        <v>6</v>
      </c>
      <c r="I29" s="140"/>
      <c r="J29" s="113">
        <f t="shared" si="4"/>
        <v>10</v>
      </c>
      <c r="K29" s="105" t="str">
        <f t="shared" si="1"/>
        <v>TRANSITA</v>
      </c>
      <c r="L29" s="156">
        <v>4</v>
      </c>
      <c r="M29" s="140">
        <v>11</v>
      </c>
      <c r="N29" s="140"/>
      <c r="O29" s="140">
        <v>12</v>
      </c>
      <c r="P29" s="140"/>
      <c r="Q29" s="113">
        <f t="shared" si="5"/>
        <v>9</v>
      </c>
      <c r="R29" s="105" t="str">
        <f t="shared" si="2"/>
        <v>N/TRANSITA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6.333333333333333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16</v>
      </c>
      <c r="F30" s="140">
        <v>14</v>
      </c>
      <c r="G30" s="140"/>
      <c r="H30" s="140">
        <v>12</v>
      </c>
      <c r="I30" s="140"/>
      <c r="J30" s="113">
        <f t="shared" si="4"/>
        <v>14</v>
      </c>
      <c r="K30" s="105" t="str">
        <f t="shared" si="1"/>
        <v>TRANSITA</v>
      </c>
      <c r="L30" s="156">
        <v>15</v>
      </c>
      <c r="M30" s="140">
        <v>18</v>
      </c>
      <c r="N30" s="140"/>
      <c r="O30" s="140">
        <v>17</v>
      </c>
      <c r="P30" s="140"/>
      <c r="Q30" s="113">
        <f t="shared" si="5"/>
        <v>16.666666666666668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10.222222222222223</v>
      </c>
      <c r="Z30" s="105" t="str">
        <f t="shared" si="3"/>
        <v>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12</v>
      </c>
      <c r="F31" s="140">
        <v>20</v>
      </c>
      <c r="G31" s="140"/>
      <c r="H31" s="140">
        <v>19</v>
      </c>
      <c r="I31" s="140"/>
      <c r="J31" s="113">
        <f t="shared" si="4"/>
        <v>17</v>
      </c>
      <c r="K31" s="105" t="str">
        <f t="shared" si="1"/>
        <v>TRANSITA</v>
      </c>
      <c r="L31" s="156">
        <v>5</v>
      </c>
      <c r="M31" s="140">
        <v>14</v>
      </c>
      <c r="N31" s="140"/>
      <c r="O31" s="140">
        <v>19</v>
      </c>
      <c r="P31" s="140"/>
      <c r="Q31" s="113">
        <f t="shared" si="5"/>
        <v>12.666666666666666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9.8888888888888875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12</v>
      </c>
      <c r="F32" s="140">
        <v>7</v>
      </c>
      <c r="G32" s="140"/>
      <c r="H32" s="140">
        <v>8</v>
      </c>
      <c r="I32" s="140"/>
      <c r="J32" s="113">
        <f t="shared" si="4"/>
        <v>9</v>
      </c>
      <c r="K32" s="105" t="str">
        <f t="shared" si="1"/>
        <v>N/TRANSITA</v>
      </c>
      <c r="L32" s="156">
        <v>15</v>
      </c>
      <c r="M32" s="140">
        <v>20</v>
      </c>
      <c r="N32" s="140"/>
      <c r="O32" s="140">
        <v>15</v>
      </c>
      <c r="P32" s="140"/>
      <c r="Q32" s="113">
        <f t="shared" si="5"/>
        <v>16.666666666666668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8.5555555555555554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8</v>
      </c>
      <c r="F33" s="140">
        <v>13</v>
      </c>
      <c r="G33" s="140"/>
      <c r="H33" s="140">
        <v>8</v>
      </c>
      <c r="I33" s="140"/>
      <c r="J33" s="113">
        <f t="shared" si="4"/>
        <v>9.6666666666666661</v>
      </c>
      <c r="K33" s="105" t="str">
        <f t="shared" si="1"/>
        <v>N/TRANSITA</v>
      </c>
      <c r="L33" s="156">
        <v>14</v>
      </c>
      <c r="M33" s="140">
        <v>15</v>
      </c>
      <c r="N33" s="140"/>
      <c r="O33" s="140">
        <v>15</v>
      </c>
      <c r="P33" s="140"/>
      <c r="Q33" s="113">
        <f t="shared" si="5"/>
        <v>14.666666666666666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8.1111111111111107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15</v>
      </c>
      <c r="F34" s="140">
        <v>16</v>
      </c>
      <c r="G34" s="140"/>
      <c r="H34" s="140">
        <v>16</v>
      </c>
      <c r="I34" s="140"/>
      <c r="J34" s="113">
        <f t="shared" si="4"/>
        <v>15.666666666666666</v>
      </c>
      <c r="K34" s="105" t="str">
        <f t="shared" si="1"/>
        <v>TRANSITA</v>
      </c>
      <c r="L34" s="156">
        <v>17</v>
      </c>
      <c r="M34" s="140">
        <v>13</v>
      </c>
      <c r="N34" s="140"/>
      <c r="O34" s="140">
        <v>16</v>
      </c>
      <c r="P34" s="140"/>
      <c r="Q34" s="113">
        <f t="shared" si="5"/>
        <v>15.333333333333334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10.333333333333334</v>
      </c>
      <c r="Z34" s="105" t="str">
        <f t="shared" si="3"/>
        <v>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12</v>
      </c>
      <c r="F35" s="140">
        <v>10</v>
      </c>
      <c r="G35" s="140"/>
      <c r="H35" s="140">
        <v>6</v>
      </c>
      <c r="I35" s="140"/>
      <c r="J35" s="113">
        <f t="shared" si="4"/>
        <v>9.3333333333333339</v>
      </c>
      <c r="K35" s="105" t="str">
        <f t="shared" si="1"/>
        <v>N/TRANSITA</v>
      </c>
      <c r="L35" s="156">
        <v>11</v>
      </c>
      <c r="M35" s="140">
        <v>16</v>
      </c>
      <c r="N35" s="140"/>
      <c r="O35" s="140">
        <v>10</v>
      </c>
      <c r="P35" s="140"/>
      <c r="Q35" s="113">
        <f t="shared" si="5"/>
        <v>12.333333333333334</v>
      </c>
      <c r="R35" s="105" t="str">
        <f t="shared" si="2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7.2222222222222223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8</v>
      </c>
      <c r="F36" s="140">
        <v>15</v>
      </c>
      <c r="G36" s="140"/>
      <c r="H36" s="140">
        <v>10</v>
      </c>
      <c r="I36" s="140"/>
      <c r="J36" s="113">
        <f t="shared" si="4"/>
        <v>11</v>
      </c>
      <c r="K36" s="105" t="str">
        <f t="shared" si="1"/>
        <v>TRANSITA</v>
      </c>
      <c r="L36" s="156">
        <v>10</v>
      </c>
      <c r="M36" s="140">
        <v>17</v>
      </c>
      <c r="N36" s="140"/>
      <c r="O36" s="140">
        <v>10</v>
      </c>
      <c r="P36" s="140"/>
      <c r="Q36" s="113">
        <f t="shared" si="5"/>
        <v>12.333333333333334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7.7777777777777786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17</v>
      </c>
      <c r="F37" s="140">
        <v>13</v>
      </c>
      <c r="G37" s="140"/>
      <c r="H37" s="140">
        <v>20</v>
      </c>
      <c r="I37" s="140"/>
      <c r="J37" s="113">
        <f t="shared" si="4"/>
        <v>16.666666666666668</v>
      </c>
      <c r="K37" s="105" t="str">
        <f t="shared" si="1"/>
        <v>TRANSITA</v>
      </c>
      <c r="L37" s="156">
        <v>19</v>
      </c>
      <c r="M37" s="140">
        <v>18</v>
      </c>
      <c r="N37" s="140"/>
      <c r="O37" s="140">
        <v>20</v>
      </c>
      <c r="P37" s="140"/>
      <c r="Q37" s="113">
        <f t="shared" si="5"/>
        <v>19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11.888888888888891</v>
      </c>
      <c r="Z37" s="105" t="str">
        <f t="shared" si="3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17</v>
      </c>
      <c r="F38" s="140">
        <v>16</v>
      </c>
      <c r="G38" s="140"/>
      <c r="H38" s="140">
        <v>16</v>
      </c>
      <c r="I38" s="140"/>
      <c r="J38" s="113">
        <f t="shared" si="4"/>
        <v>16.333333333333332</v>
      </c>
      <c r="K38" s="105" t="str">
        <f t="shared" si="1"/>
        <v>TRANSITA</v>
      </c>
      <c r="L38" s="156">
        <v>17</v>
      </c>
      <c r="M38" s="140">
        <v>20</v>
      </c>
      <c r="N38" s="140"/>
      <c r="O38" s="140">
        <v>16</v>
      </c>
      <c r="P38" s="140"/>
      <c r="Q38" s="113">
        <f t="shared" si="5"/>
        <v>17.666666666666668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11.333333333333334</v>
      </c>
      <c r="Z38" s="105" t="str">
        <f t="shared" si="3"/>
        <v>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17</v>
      </c>
      <c r="F39" s="140">
        <v>14</v>
      </c>
      <c r="G39" s="140"/>
      <c r="H39" s="140">
        <v>14</v>
      </c>
      <c r="I39" s="140"/>
      <c r="J39" s="113">
        <f t="shared" si="4"/>
        <v>15</v>
      </c>
      <c r="K39" s="105" t="str">
        <f t="shared" si="1"/>
        <v>TRANSITA</v>
      </c>
      <c r="L39" s="156">
        <v>14</v>
      </c>
      <c r="M39" s="140">
        <v>18</v>
      </c>
      <c r="N39" s="140"/>
      <c r="O39" s="140">
        <v>20</v>
      </c>
      <c r="P39" s="140"/>
      <c r="Q39" s="113">
        <f t="shared" si="5"/>
        <v>17.333333333333332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10.777777777777777</v>
      </c>
      <c r="Z39" s="105" t="str">
        <f t="shared" si="3"/>
        <v>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18</v>
      </c>
      <c r="F40" s="140">
        <v>14</v>
      </c>
      <c r="G40" s="140"/>
      <c r="H40" s="140">
        <v>20</v>
      </c>
      <c r="I40" s="140"/>
      <c r="J40" s="113">
        <f t="shared" si="4"/>
        <v>17.333333333333332</v>
      </c>
      <c r="K40" s="105" t="str">
        <f t="shared" si="1"/>
        <v>TRANSITA</v>
      </c>
      <c r="L40" s="156">
        <v>20</v>
      </c>
      <c r="M40" s="140">
        <v>11</v>
      </c>
      <c r="N40" s="140"/>
      <c r="O40" s="140">
        <v>20</v>
      </c>
      <c r="P40" s="140"/>
      <c r="Q40" s="113">
        <f t="shared" si="5"/>
        <v>17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11.444444444444443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19</v>
      </c>
      <c r="F41" s="140">
        <v>19</v>
      </c>
      <c r="G41" s="140"/>
      <c r="H41" s="140">
        <v>19</v>
      </c>
      <c r="I41" s="140"/>
      <c r="J41" s="113">
        <f t="shared" si="4"/>
        <v>19</v>
      </c>
      <c r="K41" s="105" t="str">
        <f t="shared" si="1"/>
        <v>TRANSITA</v>
      </c>
      <c r="L41" s="156">
        <v>17</v>
      </c>
      <c r="M41" s="140">
        <v>20</v>
      </c>
      <c r="N41" s="140"/>
      <c r="O41" s="140">
        <v>20</v>
      </c>
      <c r="P41" s="140"/>
      <c r="Q41" s="113">
        <f t="shared" si="5"/>
        <v>19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12.666666666666666</v>
      </c>
      <c r="Z41" s="105" t="str">
        <f t="shared" ref="Z41:Z43" si="10">IF(Y41&gt;=10,"TRANSITA","N/TRANSITA")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>
        <v>18</v>
      </c>
      <c r="F42" s="140">
        <v>17</v>
      </c>
      <c r="G42" s="140"/>
      <c r="H42" s="140">
        <v>16</v>
      </c>
      <c r="I42" s="140"/>
      <c r="J42" s="113">
        <f t="shared" si="4"/>
        <v>17</v>
      </c>
      <c r="K42" s="105" t="str">
        <f t="shared" si="1"/>
        <v>TRANSITA</v>
      </c>
      <c r="L42" s="156">
        <v>16</v>
      </c>
      <c r="M42" s="140">
        <v>20</v>
      </c>
      <c r="N42" s="140"/>
      <c r="O42" s="140">
        <v>10</v>
      </c>
      <c r="P42" s="140"/>
      <c r="Q42" s="113">
        <f t="shared" ref="Q42" si="11">AVERAGE(L42,MAX(M42:N42),MAX(O42:P42))</f>
        <v>15.333333333333334</v>
      </c>
      <c r="R42" s="105" t="str">
        <f t="shared" ref="R42" si="12">IF(Q42&gt;=10,"TRANSITA","N/TRANSITA")</f>
        <v>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10.777777777777779</v>
      </c>
      <c r="Z42" s="105" t="str">
        <f t="shared" ref="Z42" si="15">IF(Y42&gt;=10,"TRANSITA","N/TRANSITA")</f>
        <v>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18</v>
      </c>
      <c r="F43" s="140">
        <v>15</v>
      </c>
      <c r="G43" s="140"/>
      <c r="H43" s="140">
        <v>16</v>
      </c>
      <c r="I43" s="140"/>
      <c r="J43" s="113">
        <f t="shared" si="4"/>
        <v>16.333333333333332</v>
      </c>
      <c r="K43" s="105" t="str">
        <f t="shared" si="1"/>
        <v>TRANSITA</v>
      </c>
      <c r="L43" s="156">
        <v>14</v>
      </c>
      <c r="M43" s="140">
        <v>20</v>
      </c>
      <c r="N43" s="140"/>
      <c r="O43" s="140">
        <v>20</v>
      </c>
      <c r="P43" s="140"/>
      <c r="Q43" s="113">
        <f t="shared" si="5"/>
        <v>18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11.444444444444443</v>
      </c>
      <c r="Z43" s="105" t="str">
        <f t="shared" si="10"/>
        <v>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14</v>
      </c>
      <c r="F44" s="140">
        <v>11</v>
      </c>
      <c r="G44" s="140"/>
      <c r="H44" s="140">
        <v>15</v>
      </c>
      <c r="I44" s="140"/>
      <c r="J44" s="113">
        <f t="shared" si="4"/>
        <v>13.333333333333334</v>
      </c>
      <c r="K44" s="105" t="str">
        <f t="shared" si="1"/>
        <v>TRANSITA</v>
      </c>
      <c r="L44" s="156">
        <v>4</v>
      </c>
      <c r="M44" s="140">
        <v>19</v>
      </c>
      <c r="N44" s="140"/>
      <c r="O44" s="140">
        <v>10</v>
      </c>
      <c r="P44" s="140"/>
      <c r="Q44" s="113">
        <f t="shared" si="5"/>
        <v>11</v>
      </c>
      <c r="R44" s="105" t="str">
        <f t="shared" si="2"/>
        <v>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8.1111111111111125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14</v>
      </c>
      <c r="F45" s="140">
        <v>16</v>
      </c>
      <c r="G45" s="140"/>
      <c r="H45" s="140">
        <v>9</v>
      </c>
      <c r="I45" s="140"/>
      <c r="J45" s="113">
        <f t="shared" si="4"/>
        <v>13</v>
      </c>
      <c r="K45" s="105" t="str">
        <f t="shared" si="1"/>
        <v>TRANSITA</v>
      </c>
      <c r="L45" s="156">
        <v>8</v>
      </c>
      <c r="M45" s="140">
        <v>11</v>
      </c>
      <c r="N45" s="140"/>
      <c r="O45" s="140">
        <v>12</v>
      </c>
      <c r="P45" s="140"/>
      <c r="Q45" s="113">
        <f t="shared" si="5"/>
        <v>10.333333333333334</v>
      </c>
      <c r="R45" s="105" t="str">
        <f t="shared" si="2"/>
        <v>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7.7777777777777786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14</v>
      </c>
      <c r="F46" s="140">
        <v>14</v>
      </c>
      <c r="G46" s="140"/>
      <c r="H46" s="140">
        <v>10</v>
      </c>
      <c r="I46" s="140"/>
      <c r="J46" s="113">
        <f t="shared" si="4"/>
        <v>12.666666666666666</v>
      </c>
      <c r="K46" s="105" t="str">
        <f t="shared" si="1"/>
        <v>TRANSITA</v>
      </c>
      <c r="L46" s="156">
        <v>15</v>
      </c>
      <c r="M46" s="140">
        <v>16</v>
      </c>
      <c r="N46" s="140"/>
      <c r="O46" s="140">
        <v>18</v>
      </c>
      <c r="P46" s="140"/>
      <c r="Q46" s="113">
        <f t="shared" si="5"/>
        <v>16.333333333333332</v>
      </c>
      <c r="R46" s="105" t="str">
        <f t="shared" si="2"/>
        <v>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9.6666666666666661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18</v>
      </c>
      <c r="F47" s="140">
        <v>15</v>
      </c>
      <c r="G47" s="140"/>
      <c r="H47" s="140">
        <v>8</v>
      </c>
      <c r="I47" s="140"/>
      <c r="J47" s="113">
        <f t="shared" si="4"/>
        <v>13.666666666666666</v>
      </c>
      <c r="K47" s="105" t="str">
        <f t="shared" si="1"/>
        <v>TRANSITA</v>
      </c>
      <c r="L47" s="156">
        <v>14</v>
      </c>
      <c r="M47" s="140">
        <v>9</v>
      </c>
      <c r="N47" s="140"/>
      <c r="O47" s="140">
        <v>18</v>
      </c>
      <c r="P47" s="140"/>
      <c r="Q47" s="113">
        <f t="shared" si="5"/>
        <v>13.666666666666666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9.1111111111111107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19</v>
      </c>
      <c r="F48" s="140">
        <v>18</v>
      </c>
      <c r="G48" s="140"/>
      <c r="H48" s="140">
        <v>16</v>
      </c>
      <c r="I48" s="140"/>
      <c r="J48" s="113">
        <f t="shared" si="4"/>
        <v>17.666666666666668</v>
      </c>
      <c r="K48" s="105" t="str">
        <f t="shared" si="1"/>
        <v>TRANSITA</v>
      </c>
      <c r="L48" s="156">
        <v>19</v>
      </c>
      <c r="M48" s="140">
        <v>20</v>
      </c>
      <c r="N48" s="140"/>
      <c r="O48" s="140">
        <v>18</v>
      </c>
      <c r="P48" s="140"/>
      <c r="Q48" s="113">
        <f t="shared" si="5"/>
        <v>19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12.222222222222223</v>
      </c>
      <c r="Z48" s="105" t="str">
        <f t="shared" si="3"/>
        <v>TRANSITA</v>
      </c>
    </row>
    <row r="49" spans="1:26" ht="14.25" customHeight="1" x14ac:dyDescent="0.3">
      <c r="B49" s="31">
        <v>41</v>
      </c>
      <c r="C49" s="177" t="s">
        <v>133</v>
      </c>
      <c r="D49" s="107"/>
      <c r="E49" s="193">
        <v>0</v>
      </c>
      <c r="F49" s="140">
        <v>11</v>
      </c>
      <c r="G49" s="140"/>
      <c r="H49" s="140">
        <v>13</v>
      </c>
      <c r="I49" s="140"/>
      <c r="J49" s="113">
        <f t="shared" si="4"/>
        <v>8</v>
      </c>
      <c r="K49" s="105" t="str">
        <f t="shared" si="1"/>
        <v>N/TRANSITA</v>
      </c>
      <c r="L49" s="156">
        <v>4</v>
      </c>
      <c r="M49" s="140">
        <v>20</v>
      </c>
      <c r="N49" s="140"/>
      <c r="O49" s="140">
        <v>10</v>
      </c>
      <c r="P49" s="140"/>
      <c r="Q49" s="113">
        <f t="shared" si="5"/>
        <v>11.333333333333334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6.4444444444444455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18</v>
      </c>
      <c r="F50" s="140">
        <v>17</v>
      </c>
      <c r="G50" s="140"/>
      <c r="H50" s="140">
        <v>20</v>
      </c>
      <c r="I50" s="140"/>
      <c r="J50" s="113">
        <f t="shared" si="4"/>
        <v>18.333333333333332</v>
      </c>
      <c r="K50" s="105" t="str">
        <f t="shared" si="1"/>
        <v>TRANSITA</v>
      </c>
      <c r="L50" s="156">
        <v>20</v>
      </c>
      <c r="M50" s="140">
        <v>17</v>
      </c>
      <c r="N50" s="140"/>
      <c r="O50" s="140">
        <v>20</v>
      </c>
      <c r="P50" s="140"/>
      <c r="Q50" s="113">
        <f t="shared" si="5"/>
        <v>19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12.444444444444443</v>
      </c>
      <c r="Z50" s="105" t="str">
        <f t="shared" si="21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93">
        <v>0</v>
      </c>
      <c r="F51" s="140">
        <v>12</v>
      </c>
      <c r="G51" s="140"/>
      <c r="H51" s="140">
        <v>11</v>
      </c>
      <c r="I51" s="140"/>
      <c r="J51" s="113">
        <f t="shared" si="4"/>
        <v>7.666666666666667</v>
      </c>
      <c r="K51" s="105" t="str">
        <f t="shared" si="1"/>
        <v>N/TRANSITA</v>
      </c>
      <c r="L51" s="156">
        <v>13</v>
      </c>
      <c r="M51" s="140">
        <v>8</v>
      </c>
      <c r="N51" s="140"/>
      <c r="O51" s="140">
        <v>18</v>
      </c>
      <c r="P51" s="140"/>
      <c r="Q51" s="113">
        <f t="shared" si="5"/>
        <v>13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6.8888888888888893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10</v>
      </c>
      <c r="F52" s="152">
        <v>13</v>
      </c>
      <c r="G52" s="152"/>
      <c r="H52" s="152">
        <v>16</v>
      </c>
      <c r="I52" s="152"/>
      <c r="J52" s="114">
        <f t="shared" si="4"/>
        <v>13</v>
      </c>
      <c r="K52" s="110" t="str">
        <f t="shared" si="1"/>
        <v>TRANSITA</v>
      </c>
      <c r="L52" s="157">
        <v>16</v>
      </c>
      <c r="M52" s="152">
        <v>20</v>
      </c>
      <c r="N52" s="152"/>
      <c r="O52" s="152">
        <v>10</v>
      </c>
      <c r="P52" s="152"/>
      <c r="Q52" s="114">
        <f t="shared" si="5"/>
        <v>15.333333333333334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9.4444444444444446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E5:Q5"/>
    <mergeCell ref="B6:Z6"/>
    <mergeCell ref="B7:B8"/>
    <mergeCell ref="C7:C8"/>
    <mergeCell ref="E7:J7"/>
    <mergeCell ref="L7:Q7"/>
    <mergeCell ref="S7:X7"/>
    <mergeCell ref="Y7:Y8"/>
    <mergeCell ref="V5:Z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291" priority="182" stopIfTrue="1" operator="greaterThan">
      <formula>9.5</formula>
    </cfRule>
    <cfRule type="cellIs" dxfId="290" priority="183" stopIfTrue="1" operator="lessThanOrEqual">
      <formula>9.5</formula>
    </cfRule>
  </conditionalFormatting>
  <conditionalFormatting sqref="X9:X52">
    <cfRule type="cellIs" dxfId="289" priority="160" stopIfTrue="1" operator="lessThan">
      <formula>10</formula>
    </cfRule>
    <cfRule type="cellIs" dxfId="288" priority="161" stopIfTrue="1" operator="greaterThanOrEqual">
      <formula>10</formula>
    </cfRule>
  </conditionalFormatting>
  <conditionalFormatting sqref="W9:W52">
    <cfRule type="cellIs" dxfId="287" priority="54" stopIfTrue="1" operator="lessThan">
      <formula>10</formula>
    </cfRule>
    <cfRule type="cellIs" dxfId="286" priority="55" stopIfTrue="1" operator="greaterThan">
      <formula>9</formula>
    </cfRule>
  </conditionalFormatting>
  <conditionalFormatting sqref="W9:W52">
    <cfRule type="cellIs" dxfId="285" priority="52" stopIfTrue="1" operator="lessThan">
      <formula>10</formula>
    </cfRule>
    <cfRule type="cellIs" dxfId="284" priority="53" stopIfTrue="1" operator="greaterThan">
      <formula>9</formula>
    </cfRule>
  </conditionalFormatting>
  <conditionalFormatting sqref="P9:P52 S9:V52">
    <cfRule type="cellIs" dxfId="283" priority="17" stopIfTrue="1" operator="greaterThan">
      <formula>9</formula>
    </cfRule>
    <cfRule type="cellIs" dxfId="282" priority="18" stopIfTrue="1" operator="lessThan">
      <formula>10</formula>
    </cfRule>
    <cfRule type="cellIs" dxfId="281" priority="19" stopIfTrue="1" operator="greaterThan">
      <formula>9</formula>
    </cfRule>
  </conditionalFormatting>
  <conditionalFormatting sqref="P9:Q52 S9:V52">
    <cfRule type="cellIs" dxfId="280" priority="16" stopIfTrue="1" operator="lessThan">
      <formula>10</formula>
    </cfRule>
  </conditionalFormatting>
  <conditionalFormatting sqref="Q9:Q52">
    <cfRule type="cellIs" dxfId="279" priority="32" stopIfTrue="1" operator="greaterThanOrEqual">
      <formula>10</formula>
    </cfRule>
  </conditionalFormatting>
  <conditionalFormatting sqref="I9:I52 L9:O52">
    <cfRule type="cellIs" dxfId="278" priority="6" stopIfTrue="1" operator="greaterThan">
      <formula>9</formula>
    </cfRule>
    <cfRule type="cellIs" dxfId="277" priority="7" stopIfTrue="1" operator="lessThan">
      <formula>10</formula>
    </cfRule>
    <cfRule type="cellIs" dxfId="276" priority="8" stopIfTrue="1" operator="greaterThan">
      <formula>9</formula>
    </cfRule>
  </conditionalFormatting>
  <conditionalFormatting sqref="I9:J52 L9:O52">
    <cfRule type="cellIs" dxfId="275" priority="5" stopIfTrue="1" operator="lessThan">
      <formula>10</formula>
    </cfRule>
  </conditionalFormatting>
  <conditionalFormatting sqref="J9:J52">
    <cfRule type="cellIs" dxfId="274" priority="9" stopIfTrue="1" operator="greaterThanOrEqual">
      <formula>10</formula>
    </cfRule>
  </conditionalFormatting>
  <conditionalFormatting sqref="E9:H52">
    <cfRule type="cellIs" dxfId="273" priority="2" stopIfTrue="1" operator="greaterThan">
      <formula>9</formula>
    </cfRule>
    <cfRule type="cellIs" dxfId="272" priority="3" stopIfTrue="1" operator="lessThan">
      <formula>10</formula>
    </cfRule>
    <cfRule type="cellIs" dxfId="271" priority="4" stopIfTrue="1" operator="greaterThan">
      <formula>9</formula>
    </cfRule>
  </conditionalFormatting>
  <conditionalFormatting sqref="E9:H52">
    <cfRule type="cellIs" dxfId="270" priority="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5361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335280</xdr:colOff>
                <xdr:row>54</xdr:row>
                <xdr:rowOff>22860</xdr:rowOff>
              </to>
            </anchor>
          </objectPr>
        </oleObject>
      </mc:Choice>
      <mc:Fallback>
        <oleObject progId="Word.Document.8" shapeId="1536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22" stopIfTrue="1" operator="containsText" id="{4B4A31E7-4D84-49EC-9EAF-04CCDD5882E0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23" stopIfTrue="1" operator="containsText" id="{9264DF1A-44D7-4015-8501-2E086CA7B80B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10" stopIfTrue="1" operator="containsText" id="{586FF2AB-6ABF-44B2-A92F-E3BCAECDB598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" stopIfTrue="1" operator="containsText" id="{D9CD5B31-6AAF-4066-8D1E-FE41EDA86B4C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C71" sqref="C71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85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8</v>
      </c>
      <c r="AD8" s="287">
        <f>COUNTIF(Z9:Z58,"N/TRANSITA")</f>
        <v>36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12</v>
      </c>
      <c r="F9" s="143">
        <v>12</v>
      </c>
      <c r="G9" s="143"/>
      <c r="H9" s="143">
        <v>5</v>
      </c>
      <c r="I9" s="143">
        <v>10</v>
      </c>
      <c r="J9" s="112">
        <f>AVERAGE(E9,MAX(F9:G9),MAX(H9:I9))</f>
        <v>11.333333333333334</v>
      </c>
      <c r="K9" s="101" t="str">
        <f>IF(J9&gt;=10,"TRANSITA","N/TRANSITA")</f>
        <v>TRANSITA</v>
      </c>
      <c r="L9" s="155">
        <v>12</v>
      </c>
      <c r="M9" s="143">
        <v>5</v>
      </c>
      <c r="N9" s="143"/>
      <c r="O9" s="143">
        <v>15</v>
      </c>
      <c r="P9" s="143"/>
      <c r="Q9" s="112">
        <f>AVERAGE(L9,MAX(M9:N9),MAX(O9:P9))</f>
        <v>10.666666666666666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7.333333333333333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17</v>
      </c>
      <c r="F10" s="140">
        <v>20</v>
      </c>
      <c r="G10" s="140"/>
      <c r="H10" s="140">
        <v>9</v>
      </c>
      <c r="I10" s="140">
        <v>15</v>
      </c>
      <c r="J10" s="113">
        <f>AVERAGE(E10,MAX(F10:G10),MAX(H10:I10))</f>
        <v>17.333333333333332</v>
      </c>
      <c r="K10" s="105" t="str">
        <f t="shared" ref="K10:K52" si="1">IF(J10&gt;=10,"TRANSITA","N/TRANSITA")</f>
        <v>TRANSITA</v>
      </c>
      <c r="L10" s="156">
        <v>18</v>
      </c>
      <c r="M10" s="140">
        <v>16</v>
      </c>
      <c r="N10" s="140"/>
      <c r="O10" s="140">
        <v>20</v>
      </c>
      <c r="P10" s="140"/>
      <c r="Q10" s="113">
        <f>AVERAGE(L10,MAX(M10:N10),MAX(O10:P10))</f>
        <v>18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11.777777777777777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15</v>
      </c>
      <c r="F11" s="140">
        <v>12</v>
      </c>
      <c r="G11" s="140"/>
      <c r="H11" s="140">
        <v>10</v>
      </c>
      <c r="I11" s="140"/>
      <c r="J11" s="113">
        <f t="shared" ref="J11:J52" si="4">AVERAGE(E11,MAX(F11:G11),MAX(H11:I11))</f>
        <v>12.333333333333334</v>
      </c>
      <c r="K11" s="105" t="str">
        <f t="shared" si="1"/>
        <v>TRANSITA</v>
      </c>
      <c r="L11" s="156">
        <v>7</v>
      </c>
      <c r="M11" s="140">
        <v>9</v>
      </c>
      <c r="N11" s="140"/>
      <c r="O11" s="140">
        <v>13</v>
      </c>
      <c r="P11" s="140"/>
      <c r="Q11" s="113">
        <f t="shared" ref="Q11:Q52" si="5">AVERAGE(L11,MAX(M11:N11),MAX(O11:P11))</f>
        <v>9.6666666666666661</v>
      </c>
      <c r="R11" s="105" t="str">
        <f t="shared" si="2"/>
        <v>N/TRANSITA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7.333333333333333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17</v>
      </c>
      <c r="F12" s="140">
        <v>20</v>
      </c>
      <c r="G12" s="140"/>
      <c r="H12" s="140">
        <v>8.5</v>
      </c>
      <c r="I12" s="140"/>
      <c r="J12" s="113">
        <f t="shared" si="4"/>
        <v>15.166666666666666</v>
      </c>
      <c r="K12" s="105" t="str">
        <f t="shared" si="1"/>
        <v>TRANSITA</v>
      </c>
      <c r="L12" s="156">
        <v>16</v>
      </c>
      <c r="M12" s="140">
        <v>20</v>
      </c>
      <c r="N12" s="140"/>
      <c r="O12" s="140">
        <v>5</v>
      </c>
      <c r="P12" s="140"/>
      <c r="Q12" s="113">
        <f t="shared" si="5"/>
        <v>13.666666666666666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9.6111111111111107</v>
      </c>
      <c r="Z12" s="105" t="str">
        <f t="shared" si="3"/>
        <v>N/TRANSITA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5</v>
      </c>
      <c r="F13" s="140">
        <v>6</v>
      </c>
      <c r="G13" s="140"/>
      <c r="H13" s="140">
        <v>4</v>
      </c>
      <c r="I13" s="140"/>
      <c r="J13" s="113">
        <f t="shared" si="4"/>
        <v>5</v>
      </c>
      <c r="K13" s="105" t="str">
        <f t="shared" si="1"/>
        <v>N/TRANSITA</v>
      </c>
      <c r="L13" s="156">
        <v>12</v>
      </c>
      <c r="M13" s="140">
        <v>10</v>
      </c>
      <c r="N13" s="140"/>
      <c r="O13" s="140">
        <v>10</v>
      </c>
      <c r="P13" s="140"/>
      <c r="Q13" s="113">
        <f t="shared" si="5"/>
        <v>10.666666666666666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5.2222222222222223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7</v>
      </c>
      <c r="F14" s="140">
        <v>13.5</v>
      </c>
      <c r="G14" s="140"/>
      <c r="H14" s="140">
        <v>9</v>
      </c>
      <c r="I14" s="140">
        <v>10</v>
      </c>
      <c r="J14" s="113">
        <f t="shared" si="4"/>
        <v>10.166666666666666</v>
      </c>
      <c r="K14" s="105" t="str">
        <f t="shared" si="1"/>
        <v>TRANSITA</v>
      </c>
      <c r="L14" s="156">
        <v>10</v>
      </c>
      <c r="M14" s="140">
        <v>5</v>
      </c>
      <c r="N14" s="140"/>
      <c r="O14" s="140">
        <v>13</v>
      </c>
      <c r="P14" s="140"/>
      <c r="Q14" s="113">
        <f t="shared" si="5"/>
        <v>9.3333333333333339</v>
      </c>
      <c r="R14" s="105" t="str">
        <f t="shared" si="2"/>
        <v>N/TRANSITA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6.5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17</v>
      </c>
      <c r="F15" s="140">
        <v>20</v>
      </c>
      <c r="G15" s="140"/>
      <c r="H15" s="140">
        <v>10</v>
      </c>
      <c r="I15" s="140"/>
      <c r="J15" s="113">
        <f t="shared" si="4"/>
        <v>15.666666666666666</v>
      </c>
      <c r="K15" s="105" t="str">
        <f t="shared" si="1"/>
        <v>TRANSITA</v>
      </c>
      <c r="L15" s="156">
        <v>18</v>
      </c>
      <c r="M15" s="140">
        <v>10</v>
      </c>
      <c r="N15" s="140">
        <v>20</v>
      </c>
      <c r="O15" s="140">
        <v>12</v>
      </c>
      <c r="P15" s="140"/>
      <c r="Q15" s="113">
        <f t="shared" si="5"/>
        <v>16.666666666666668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10.777777777777779</v>
      </c>
      <c r="Z15" s="105" t="str">
        <f t="shared" si="3"/>
        <v>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17</v>
      </c>
      <c r="F16" s="140">
        <v>20</v>
      </c>
      <c r="G16" s="140"/>
      <c r="H16" s="140">
        <v>10</v>
      </c>
      <c r="I16" s="140">
        <v>15</v>
      </c>
      <c r="J16" s="113">
        <f t="shared" si="4"/>
        <v>17.333333333333332</v>
      </c>
      <c r="K16" s="105" t="str">
        <f t="shared" si="1"/>
        <v>TRANSITA</v>
      </c>
      <c r="L16" s="156">
        <v>12</v>
      </c>
      <c r="M16" s="140">
        <v>10</v>
      </c>
      <c r="N16" s="140"/>
      <c r="O16" s="140">
        <v>12</v>
      </c>
      <c r="P16" s="140"/>
      <c r="Q16" s="113">
        <f t="shared" si="5"/>
        <v>11.333333333333334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9.5555555555555554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5</v>
      </c>
      <c r="F17" s="140">
        <v>3.5</v>
      </c>
      <c r="G17" s="140"/>
      <c r="H17" s="140">
        <v>9</v>
      </c>
      <c r="I17" s="140"/>
      <c r="J17" s="113">
        <f t="shared" si="4"/>
        <v>5.833333333333333</v>
      </c>
      <c r="K17" s="105" t="str">
        <f t="shared" si="1"/>
        <v>N/TRANSITA</v>
      </c>
      <c r="L17" s="156">
        <v>10</v>
      </c>
      <c r="M17" s="140">
        <v>5</v>
      </c>
      <c r="N17" s="140"/>
      <c r="O17" s="140">
        <v>5</v>
      </c>
      <c r="P17" s="140"/>
      <c r="Q17" s="113">
        <f t="shared" si="5"/>
        <v>6.666666666666667</v>
      </c>
      <c r="R17" s="105" t="str">
        <f t="shared" si="2"/>
        <v>N/TRANSITA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4.166666666666667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5</v>
      </c>
      <c r="F18" s="140">
        <v>3</v>
      </c>
      <c r="G18" s="140"/>
      <c r="H18" s="140">
        <v>0</v>
      </c>
      <c r="I18" s="140"/>
      <c r="J18" s="113">
        <f t="shared" si="4"/>
        <v>2.6666666666666665</v>
      </c>
      <c r="K18" s="105" t="str">
        <f t="shared" si="1"/>
        <v>N/TRANSITA</v>
      </c>
      <c r="L18" s="156">
        <v>14</v>
      </c>
      <c r="M18" s="140">
        <v>10</v>
      </c>
      <c r="N18" s="140"/>
      <c r="O18" s="140">
        <v>6</v>
      </c>
      <c r="P18" s="140"/>
      <c r="Q18" s="113">
        <f t="shared" si="5"/>
        <v>10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4.2222222222222223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14</v>
      </c>
      <c r="F19" s="140">
        <v>11</v>
      </c>
      <c r="G19" s="140"/>
      <c r="H19" s="140">
        <v>11</v>
      </c>
      <c r="I19" s="140"/>
      <c r="J19" s="113">
        <f t="shared" si="4"/>
        <v>12</v>
      </c>
      <c r="K19" s="105" t="str">
        <f t="shared" si="1"/>
        <v>TRANSITA</v>
      </c>
      <c r="L19" s="156">
        <v>15</v>
      </c>
      <c r="M19" s="140">
        <v>10</v>
      </c>
      <c r="N19" s="140"/>
      <c r="O19" s="140">
        <v>15</v>
      </c>
      <c r="P19" s="140"/>
      <c r="Q19" s="113">
        <f t="shared" si="5"/>
        <v>13.333333333333334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8.4444444444444446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14</v>
      </c>
      <c r="F20" s="140">
        <v>13</v>
      </c>
      <c r="G20" s="140"/>
      <c r="H20" s="140">
        <v>9</v>
      </c>
      <c r="I20" s="140">
        <v>15</v>
      </c>
      <c r="J20" s="113">
        <f t="shared" si="4"/>
        <v>14</v>
      </c>
      <c r="K20" s="105" t="str">
        <f t="shared" si="1"/>
        <v>TRANSITA</v>
      </c>
      <c r="L20" s="156">
        <v>18</v>
      </c>
      <c r="M20" s="140">
        <v>10</v>
      </c>
      <c r="N20" s="140"/>
      <c r="O20" s="140">
        <v>15</v>
      </c>
      <c r="P20" s="140"/>
      <c r="Q20" s="113">
        <f t="shared" si="5"/>
        <v>14.333333333333334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9.4444444444444446</v>
      </c>
      <c r="Z20" s="105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17</v>
      </c>
      <c r="F21" s="140">
        <v>13</v>
      </c>
      <c r="G21" s="140"/>
      <c r="H21" s="140">
        <v>12</v>
      </c>
      <c r="I21" s="140">
        <v>15</v>
      </c>
      <c r="J21" s="113">
        <f t="shared" si="4"/>
        <v>15</v>
      </c>
      <c r="K21" s="105" t="str">
        <f t="shared" si="1"/>
        <v>TRANSITA</v>
      </c>
      <c r="L21" s="156">
        <v>16</v>
      </c>
      <c r="M21" s="140">
        <v>20</v>
      </c>
      <c r="N21" s="140"/>
      <c r="O21" s="140">
        <v>15</v>
      </c>
      <c r="P21" s="140"/>
      <c r="Q21" s="113">
        <f t="shared" si="5"/>
        <v>17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10.666666666666666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5</v>
      </c>
      <c r="F22" s="140">
        <v>1.5</v>
      </c>
      <c r="G22" s="140"/>
      <c r="H22" s="140">
        <v>0</v>
      </c>
      <c r="I22" s="140"/>
      <c r="J22" s="113">
        <f t="shared" si="4"/>
        <v>2.1666666666666665</v>
      </c>
      <c r="K22" s="105" t="str">
        <f t="shared" si="1"/>
        <v>N/TRANSITA</v>
      </c>
      <c r="L22" s="156">
        <v>14</v>
      </c>
      <c r="M22" s="140">
        <v>5</v>
      </c>
      <c r="N22" s="140"/>
      <c r="O22" s="140">
        <v>5</v>
      </c>
      <c r="P22" s="140"/>
      <c r="Q22" s="113">
        <f t="shared" si="5"/>
        <v>8</v>
      </c>
      <c r="R22" s="105" t="str">
        <f t="shared" si="2"/>
        <v>N/TRANSITA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3.3888888888888888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6</v>
      </c>
      <c r="F23" s="140">
        <v>3.5</v>
      </c>
      <c r="G23" s="140">
        <v>8</v>
      </c>
      <c r="H23" s="140">
        <v>9</v>
      </c>
      <c r="I23" s="140"/>
      <c r="J23" s="113">
        <f t="shared" si="4"/>
        <v>7.666666666666667</v>
      </c>
      <c r="K23" s="105" t="str">
        <f t="shared" si="1"/>
        <v>N/TRANSITA</v>
      </c>
      <c r="L23" s="156">
        <v>10</v>
      </c>
      <c r="M23" s="140">
        <v>5</v>
      </c>
      <c r="N23" s="140"/>
      <c r="O23" s="140">
        <v>5</v>
      </c>
      <c r="P23" s="140"/>
      <c r="Q23" s="113">
        <f t="shared" si="5"/>
        <v>6.666666666666667</v>
      </c>
      <c r="R23" s="105" t="str">
        <f t="shared" si="2"/>
        <v>N/TRANSITA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4.7777777777777777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8</v>
      </c>
      <c r="F24" s="140">
        <v>9</v>
      </c>
      <c r="G24" s="140"/>
      <c r="H24" s="140">
        <v>8</v>
      </c>
      <c r="I24" s="140"/>
      <c r="J24" s="113">
        <f t="shared" si="4"/>
        <v>8.3333333333333339</v>
      </c>
      <c r="K24" s="105" t="str">
        <f t="shared" si="1"/>
        <v>N/TRANSITA</v>
      </c>
      <c r="L24" s="156">
        <v>10</v>
      </c>
      <c r="M24" s="140">
        <v>5</v>
      </c>
      <c r="N24" s="140"/>
      <c r="O24" s="140">
        <v>11</v>
      </c>
      <c r="P24" s="140"/>
      <c r="Q24" s="113">
        <f t="shared" si="5"/>
        <v>8.6666666666666661</v>
      </c>
      <c r="R24" s="105" t="str">
        <f t="shared" si="2"/>
        <v>N/TRANSITA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5.666666666666667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17</v>
      </c>
      <c r="F25" s="140">
        <v>20</v>
      </c>
      <c r="G25" s="140"/>
      <c r="H25" s="140">
        <v>10</v>
      </c>
      <c r="I25" s="140"/>
      <c r="J25" s="113">
        <f t="shared" si="4"/>
        <v>15.666666666666666</v>
      </c>
      <c r="K25" s="105" t="str">
        <f t="shared" si="1"/>
        <v>TRANSITA</v>
      </c>
      <c r="L25" s="156">
        <v>16</v>
      </c>
      <c r="M25" s="140">
        <v>10</v>
      </c>
      <c r="N25" s="140">
        <v>20</v>
      </c>
      <c r="O25" s="140">
        <v>14</v>
      </c>
      <c r="P25" s="140"/>
      <c r="Q25" s="113">
        <f t="shared" si="5"/>
        <v>16.666666666666668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10.777777777777779</v>
      </c>
      <c r="Z25" s="105" t="str">
        <f t="shared" si="3"/>
        <v>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14</v>
      </c>
      <c r="F26" s="140">
        <v>8.5</v>
      </c>
      <c r="G26" s="140"/>
      <c r="H26" s="140">
        <v>9</v>
      </c>
      <c r="I26" s="140">
        <v>15</v>
      </c>
      <c r="J26" s="113">
        <f t="shared" si="4"/>
        <v>12.5</v>
      </c>
      <c r="K26" s="105" t="str">
        <f t="shared" si="1"/>
        <v>TRANSITA</v>
      </c>
      <c r="L26" s="156">
        <v>14</v>
      </c>
      <c r="M26" s="140">
        <v>9</v>
      </c>
      <c r="N26" s="140"/>
      <c r="O26" s="140">
        <v>7</v>
      </c>
      <c r="P26" s="140"/>
      <c r="Q26" s="113">
        <f t="shared" si="5"/>
        <v>10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7.5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>
        <v>0</v>
      </c>
      <c r="F27" s="140">
        <v>0</v>
      </c>
      <c r="G27" s="140"/>
      <c r="H27" s="140">
        <v>0</v>
      </c>
      <c r="I27" s="140"/>
      <c r="J27" s="113">
        <f t="shared" si="4"/>
        <v>0</v>
      </c>
      <c r="K27" s="105" t="str">
        <f t="shared" si="1"/>
        <v>N/TRANSITA</v>
      </c>
      <c r="L27" s="156">
        <v>0</v>
      </c>
      <c r="M27" s="140">
        <v>0</v>
      </c>
      <c r="N27" s="140"/>
      <c r="O27" s="140">
        <v>0</v>
      </c>
      <c r="P27" s="140"/>
      <c r="Q27" s="113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5</v>
      </c>
      <c r="F28" s="140">
        <v>4</v>
      </c>
      <c r="G28" s="140"/>
      <c r="H28" s="140">
        <v>9</v>
      </c>
      <c r="I28" s="140"/>
      <c r="J28" s="113">
        <f t="shared" si="4"/>
        <v>6</v>
      </c>
      <c r="K28" s="105" t="str">
        <f t="shared" si="1"/>
        <v>N/TRANSITA</v>
      </c>
      <c r="L28" s="156">
        <v>0</v>
      </c>
      <c r="M28" s="140">
        <v>0</v>
      </c>
      <c r="N28" s="140"/>
      <c r="O28" s="140">
        <v>0</v>
      </c>
      <c r="P28" s="140"/>
      <c r="Q28" s="113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2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9</v>
      </c>
      <c r="F29" s="140">
        <v>1.5</v>
      </c>
      <c r="G29" s="140"/>
      <c r="H29" s="140">
        <v>3</v>
      </c>
      <c r="I29" s="140"/>
      <c r="J29" s="113">
        <f t="shared" si="4"/>
        <v>4.5</v>
      </c>
      <c r="K29" s="105" t="str">
        <f t="shared" si="1"/>
        <v>N/TRANSITA</v>
      </c>
      <c r="L29" s="156">
        <v>5</v>
      </c>
      <c r="M29" s="140">
        <v>5</v>
      </c>
      <c r="N29" s="140"/>
      <c r="O29" s="140">
        <v>10</v>
      </c>
      <c r="P29" s="140"/>
      <c r="Q29" s="113">
        <f t="shared" si="5"/>
        <v>6.666666666666667</v>
      </c>
      <c r="R29" s="105" t="str">
        <f t="shared" si="2"/>
        <v>N/TRANSITA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3.7222222222222228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13</v>
      </c>
      <c r="F30" s="140">
        <v>20</v>
      </c>
      <c r="G30" s="140"/>
      <c r="H30" s="140">
        <v>10</v>
      </c>
      <c r="I30" s="140"/>
      <c r="J30" s="113">
        <f t="shared" si="4"/>
        <v>14.333333333333334</v>
      </c>
      <c r="K30" s="105" t="str">
        <f t="shared" si="1"/>
        <v>TRANSITA</v>
      </c>
      <c r="L30" s="156">
        <v>14</v>
      </c>
      <c r="M30" s="140">
        <v>5</v>
      </c>
      <c r="N30" s="140">
        <v>15</v>
      </c>
      <c r="O30" s="140">
        <v>5</v>
      </c>
      <c r="P30" s="140"/>
      <c r="Q30" s="113">
        <f t="shared" si="5"/>
        <v>11.333333333333334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8.5555555555555554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17</v>
      </c>
      <c r="F31" s="140">
        <v>20</v>
      </c>
      <c r="G31" s="140"/>
      <c r="H31" s="140">
        <v>12</v>
      </c>
      <c r="I31" s="140"/>
      <c r="J31" s="113">
        <f t="shared" si="4"/>
        <v>16.333333333333332</v>
      </c>
      <c r="K31" s="105" t="str">
        <f t="shared" si="1"/>
        <v>TRANSITA</v>
      </c>
      <c r="L31" s="156">
        <v>12</v>
      </c>
      <c r="M31" s="140">
        <v>10</v>
      </c>
      <c r="N31" s="140"/>
      <c r="O31" s="140">
        <v>10.5</v>
      </c>
      <c r="P31" s="140"/>
      <c r="Q31" s="113">
        <f t="shared" si="5"/>
        <v>10.833333333333334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9.0555555555555554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0</v>
      </c>
      <c r="F32" s="140">
        <v>0</v>
      </c>
      <c r="G32" s="140"/>
      <c r="H32" s="140">
        <v>0</v>
      </c>
      <c r="I32" s="140"/>
      <c r="J32" s="113">
        <f t="shared" si="4"/>
        <v>0</v>
      </c>
      <c r="K32" s="105" t="str">
        <f t="shared" si="1"/>
        <v>N/TRANSITA</v>
      </c>
      <c r="L32" s="156">
        <v>18</v>
      </c>
      <c r="M32" s="140">
        <v>5</v>
      </c>
      <c r="N32" s="140"/>
      <c r="O32" s="140">
        <v>5</v>
      </c>
      <c r="P32" s="140"/>
      <c r="Q32" s="113">
        <f t="shared" si="5"/>
        <v>9.3333333333333339</v>
      </c>
      <c r="R32" s="105" t="str">
        <f t="shared" si="2"/>
        <v>N/TRANSITA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3.1111111111111112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17</v>
      </c>
      <c r="F33" s="140">
        <v>20</v>
      </c>
      <c r="G33" s="140"/>
      <c r="H33" s="140">
        <v>10</v>
      </c>
      <c r="I33" s="140"/>
      <c r="J33" s="113">
        <f t="shared" si="4"/>
        <v>15.666666666666666</v>
      </c>
      <c r="K33" s="105" t="str">
        <f t="shared" si="1"/>
        <v>TRANSITA</v>
      </c>
      <c r="L33" s="156">
        <v>16</v>
      </c>
      <c r="M33" s="140">
        <v>5</v>
      </c>
      <c r="N33" s="140"/>
      <c r="O33" s="140">
        <v>10</v>
      </c>
      <c r="P33" s="140"/>
      <c r="Q33" s="113">
        <f t="shared" si="5"/>
        <v>10.333333333333334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8.6666666666666661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14</v>
      </c>
      <c r="F34" s="140">
        <v>8.5</v>
      </c>
      <c r="G34" s="140"/>
      <c r="H34" s="140">
        <v>3</v>
      </c>
      <c r="I34" s="140"/>
      <c r="J34" s="113">
        <f t="shared" si="4"/>
        <v>8.5</v>
      </c>
      <c r="K34" s="105" t="str">
        <f t="shared" si="1"/>
        <v>N/TRANSITA</v>
      </c>
      <c r="L34" s="156">
        <v>12</v>
      </c>
      <c r="M34" s="140">
        <v>10</v>
      </c>
      <c r="N34" s="140"/>
      <c r="O34" s="140">
        <v>16</v>
      </c>
      <c r="P34" s="140"/>
      <c r="Q34" s="113">
        <f t="shared" si="5"/>
        <v>12.666666666666666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7.0555555555555545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5</v>
      </c>
      <c r="F35" s="140">
        <v>3.5</v>
      </c>
      <c r="G35" s="140"/>
      <c r="H35" s="140">
        <v>4</v>
      </c>
      <c r="I35" s="140"/>
      <c r="J35" s="113">
        <f t="shared" si="4"/>
        <v>4.166666666666667</v>
      </c>
      <c r="K35" s="105" t="str">
        <f t="shared" si="1"/>
        <v>N/TRANSITA</v>
      </c>
      <c r="L35" s="156">
        <v>7</v>
      </c>
      <c r="M35" s="140">
        <v>5</v>
      </c>
      <c r="N35" s="140"/>
      <c r="O35" s="140">
        <v>5</v>
      </c>
      <c r="P35" s="140"/>
      <c r="Q35" s="113">
        <f t="shared" si="5"/>
        <v>5.666666666666667</v>
      </c>
      <c r="R35" s="105" t="str">
        <f t="shared" si="2"/>
        <v>N/TRANSITA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3.2777777777777781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5</v>
      </c>
      <c r="F36" s="140">
        <v>8.5</v>
      </c>
      <c r="G36" s="140"/>
      <c r="H36" s="140">
        <v>0</v>
      </c>
      <c r="I36" s="140"/>
      <c r="J36" s="113">
        <f t="shared" si="4"/>
        <v>4.5</v>
      </c>
      <c r="K36" s="105" t="str">
        <f t="shared" si="1"/>
        <v>N/TRANSITA</v>
      </c>
      <c r="L36" s="156">
        <v>5</v>
      </c>
      <c r="M36" s="140">
        <v>16</v>
      </c>
      <c r="N36" s="140"/>
      <c r="O36" s="140">
        <v>12</v>
      </c>
      <c r="P36" s="140"/>
      <c r="Q36" s="113">
        <f t="shared" si="5"/>
        <v>11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5.166666666666667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16</v>
      </c>
      <c r="F37" s="140">
        <v>15</v>
      </c>
      <c r="G37" s="140"/>
      <c r="H37" s="140">
        <v>8.5</v>
      </c>
      <c r="I37" s="140">
        <v>15</v>
      </c>
      <c r="J37" s="113">
        <f t="shared" si="4"/>
        <v>15.333333333333334</v>
      </c>
      <c r="K37" s="105" t="str">
        <f t="shared" si="1"/>
        <v>TRANSITA</v>
      </c>
      <c r="L37" s="156">
        <v>18</v>
      </c>
      <c r="M37" s="140">
        <v>20</v>
      </c>
      <c r="N37" s="140"/>
      <c r="O37" s="140">
        <v>20</v>
      </c>
      <c r="P37" s="140"/>
      <c r="Q37" s="113">
        <f t="shared" si="5"/>
        <v>19.333333333333332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11.555555555555555</v>
      </c>
      <c r="Z37" s="105" t="str">
        <f t="shared" si="3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17</v>
      </c>
      <c r="F38" s="140">
        <v>15</v>
      </c>
      <c r="G38" s="140"/>
      <c r="H38" s="140">
        <v>11</v>
      </c>
      <c r="I38" s="140"/>
      <c r="J38" s="113">
        <f t="shared" si="4"/>
        <v>14.333333333333334</v>
      </c>
      <c r="K38" s="105" t="str">
        <f t="shared" si="1"/>
        <v>TRANSITA</v>
      </c>
      <c r="L38" s="156">
        <v>10</v>
      </c>
      <c r="M38" s="140">
        <v>19.5</v>
      </c>
      <c r="N38" s="140"/>
      <c r="O38" s="140">
        <v>11</v>
      </c>
      <c r="P38" s="140"/>
      <c r="Q38" s="113">
        <f t="shared" si="5"/>
        <v>13.5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9.2777777777777786</v>
      </c>
      <c r="Z38" s="105" t="str">
        <f t="shared" si="3"/>
        <v>N/TRANSITA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17</v>
      </c>
      <c r="F39" s="140">
        <v>8.5</v>
      </c>
      <c r="G39" s="140"/>
      <c r="H39" s="140">
        <v>8</v>
      </c>
      <c r="I39" s="140"/>
      <c r="J39" s="113">
        <f t="shared" si="4"/>
        <v>11.166666666666666</v>
      </c>
      <c r="K39" s="105" t="str">
        <f t="shared" si="1"/>
        <v>TRANSITA</v>
      </c>
      <c r="L39" s="156">
        <v>15</v>
      </c>
      <c r="M39" s="140">
        <v>5</v>
      </c>
      <c r="N39" s="140"/>
      <c r="O39" s="140">
        <v>15</v>
      </c>
      <c r="P39" s="140"/>
      <c r="Q39" s="113">
        <f t="shared" si="5"/>
        <v>11.666666666666666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7.6111111111111107</v>
      </c>
      <c r="Z39" s="105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17</v>
      </c>
      <c r="F40" s="140">
        <v>20</v>
      </c>
      <c r="G40" s="140"/>
      <c r="H40" s="140">
        <v>10</v>
      </c>
      <c r="I40" s="140">
        <v>20</v>
      </c>
      <c r="J40" s="113">
        <f t="shared" si="4"/>
        <v>19</v>
      </c>
      <c r="K40" s="105" t="str">
        <f t="shared" si="1"/>
        <v>TRANSITA</v>
      </c>
      <c r="L40" s="156">
        <v>18</v>
      </c>
      <c r="M40" s="140">
        <v>20</v>
      </c>
      <c r="N40" s="140"/>
      <c r="O40" s="140">
        <v>15</v>
      </c>
      <c r="P40" s="140"/>
      <c r="Q40" s="113">
        <f t="shared" si="5"/>
        <v>17.666666666666668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12.222222222222223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17</v>
      </c>
      <c r="F41" s="140">
        <v>14</v>
      </c>
      <c r="G41" s="140"/>
      <c r="H41" s="140">
        <v>12</v>
      </c>
      <c r="I41" s="140"/>
      <c r="J41" s="113">
        <f t="shared" si="4"/>
        <v>14.333333333333334</v>
      </c>
      <c r="K41" s="105" t="str">
        <f t="shared" si="1"/>
        <v>TRANSITA</v>
      </c>
      <c r="L41" s="156">
        <v>18</v>
      </c>
      <c r="M41" s="140">
        <v>15</v>
      </c>
      <c r="N41" s="140"/>
      <c r="O41" s="140">
        <v>15</v>
      </c>
      <c r="P41" s="140"/>
      <c r="Q41" s="113">
        <f t="shared" si="5"/>
        <v>16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10.111111111111112</v>
      </c>
      <c r="Z41" s="105" t="str">
        <f>IF(Y41&gt;=9.5,"TRANSITA","N/TRANSITA")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>
        <v>10</v>
      </c>
      <c r="F42" s="140">
        <v>12</v>
      </c>
      <c r="G42" s="140"/>
      <c r="H42" s="140">
        <v>12</v>
      </c>
      <c r="I42" s="140"/>
      <c r="J42" s="113">
        <f t="shared" si="4"/>
        <v>11.333333333333334</v>
      </c>
      <c r="K42" s="105" t="str">
        <f t="shared" si="1"/>
        <v>TRANSITA</v>
      </c>
      <c r="L42" s="156">
        <v>10</v>
      </c>
      <c r="M42" s="140">
        <v>10</v>
      </c>
      <c r="N42" s="140"/>
      <c r="O42" s="140">
        <v>12</v>
      </c>
      <c r="P42" s="140"/>
      <c r="Q42" s="113">
        <f t="shared" ref="Q42" si="10">AVERAGE(L42,MAX(M42:N42),MAX(O42:P42))</f>
        <v>10.666666666666666</v>
      </c>
      <c r="R42" s="105" t="str">
        <f t="shared" ref="R42" si="11">IF(Q42&gt;=10,"TRANSITA","N/TRANSITA")</f>
        <v>TRANSITA</v>
      </c>
      <c r="S42" s="156"/>
      <c r="T42" s="140"/>
      <c r="U42" s="140"/>
      <c r="V42" s="140"/>
      <c r="W42" s="140"/>
      <c r="X42" s="104">
        <f t="shared" ref="X42" si="12">AVERAGE(S42,MAX(T42:U42),MAX(V42:W42))</f>
        <v>0</v>
      </c>
      <c r="Y42" s="106">
        <f t="shared" ref="Y42" si="13">SUM(J42,Q42,X42)/3</f>
        <v>7.333333333333333</v>
      </c>
      <c r="Z42" s="105" t="str">
        <f>IF(Y42&gt;=9.5,"TRANSITA","N/TRANSITA")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5</v>
      </c>
      <c r="F43" s="140">
        <v>4.5</v>
      </c>
      <c r="G43" s="140"/>
      <c r="H43" s="140">
        <v>0</v>
      </c>
      <c r="I43" s="140"/>
      <c r="J43" s="113">
        <f t="shared" si="4"/>
        <v>3.1666666666666665</v>
      </c>
      <c r="K43" s="105" t="str">
        <f t="shared" si="1"/>
        <v>N/TRANSITA</v>
      </c>
      <c r="L43" s="156">
        <v>10</v>
      </c>
      <c r="M43" s="140">
        <v>10</v>
      </c>
      <c r="N43" s="140"/>
      <c r="O43" s="140">
        <v>10.5</v>
      </c>
      <c r="P43" s="140"/>
      <c r="Q43" s="113">
        <f t="shared" si="5"/>
        <v>10.166666666666666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4.4444444444444438</v>
      </c>
      <c r="Z43" s="105" t="str">
        <f t="shared" ref="Z43" si="14">IF(Y43&gt;=10,"TRANSITA","N/TRANSITA")</f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5</v>
      </c>
      <c r="F44" s="140">
        <v>6</v>
      </c>
      <c r="G44" s="140"/>
      <c r="H44" s="140">
        <v>10</v>
      </c>
      <c r="I44" s="140"/>
      <c r="J44" s="113">
        <f t="shared" si="4"/>
        <v>7</v>
      </c>
      <c r="K44" s="105" t="str">
        <f t="shared" si="1"/>
        <v>N/TRANSITA</v>
      </c>
      <c r="L44" s="156">
        <v>4</v>
      </c>
      <c r="M44" s="140">
        <v>0</v>
      </c>
      <c r="N44" s="140"/>
      <c r="O44" s="140">
        <v>5</v>
      </c>
      <c r="P44" s="140"/>
      <c r="Q44" s="113">
        <f t="shared" si="5"/>
        <v>3</v>
      </c>
      <c r="R44" s="105" t="str">
        <f t="shared" si="2"/>
        <v>N/TRANSITA</v>
      </c>
      <c r="S44" s="156"/>
      <c r="T44" s="140"/>
      <c r="U44" s="140"/>
      <c r="V44" s="140"/>
      <c r="W44" s="140"/>
      <c r="X44" s="104">
        <f t="shared" ref="X44:X46" si="15">AVERAGE(S44,MAX(T44:U44),MAX(V44:W44))</f>
        <v>0</v>
      </c>
      <c r="Y44" s="106">
        <f t="shared" ref="Y44:Y47" si="16">SUM(J44,Q44,X44)/3</f>
        <v>3.3333333333333335</v>
      </c>
      <c r="Z44" s="105" t="str">
        <f t="shared" ref="Z44:Z46" si="17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5</v>
      </c>
      <c r="F45" s="140">
        <v>5</v>
      </c>
      <c r="G45" s="140">
        <v>9.5</v>
      </c>
      <c r="H45" s="140">
        <v>0</v>
      </c>
      <c r="I45" s="140"/>
      <c r="J45" s="113">
        <f t="shared" si="4"/>
        <v>4.833333333333333</v>
      </c>
      <c r="K45" s="105" t="str">
        <f t="shared" si="1"/>
        <v>N/TRANSITA</v>
      </c>
      <c r="L45" s="156">
        <v>7</v>
      </c>
      <c r="M45" s="140">
        <v>5</v>
      </c>
      <c r="N45" s="140"/>
      <c r="O45" s="140">
        <v>5</v>
      </c>
      <c r="P45" s="140"/>
      <c r="Q45" s="113">
        <f t="shared" si="5"/>
        <v>5.666666666666667</v>
      </c>
      <c r="R45" s="105" t="str">
        <f t="shared" si="2"/>
        <v>N/TRANSITA</v>
      </c>
      <c r="S45" s="156"/>
      <c r="T45" s="140"/>
      <c r="U45" s="140"/>
      <c r="V45" s="140"/>
      <c r="W45" s="140"/>
      <c r="X45" s="104">
        <f t="shared" si="15"/>
        <v>0</v>
      </c>
      <c r="Y45" s="106">
        <f t="shared" si="16"/>
        <v>3.5</v>
      </c>
      <c r="Z45" s="105" t="str">
        <f t="shared" si="17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8</v>
      </c>
      <c r="F46" s="140">
        <v>8</v>
      </c>
      <c r="G46" s="140"/>
      <c r="H46" s="140">
        <v>9.5</v>
      </c>
      <c r="I46" s="140"/>
      <c r="J46" s="113">
        <f t="shared" si="4"/>
        <v>8.5</v>
      </c>
      <c r="K46" s="105" t="str">
        <f t="shared" si="1"/>
        <v>N/TRANSITA</v>
      </c>
      <c r="L46" s="156">
        <v>14</v>
      </c>
      <c r="M46" s="140">
        <v>5</v>
      </c>
      <c r="N46" s="140">
        <v>9.5</v>
      </c>
      <c r="O46" s="140">
        <v>5</v>
      </c>
      <c r="P46" s="140"/>
      <c r="Q46" s="113">
        <f t="shared" si="5"/>
        <v>9.5</v>
      </c>
      <c r="R46" s="105" t="str">
        <f t="shared" si="2"/>
        <v>N/TRANSITA</v>
      </c>
      <c r="S46" s="156"/>
      <c r="T46" s="140"/>
      <c r="U46" s="140"/>
      <c r="V46" s="140"/>
      <c r="W46" s="140"/>
      <c r="X46" s="104">
        <f t="shared" si="15"/>
        <v>0</v>
      </c>
      <c r="Y46" s="106">
        <f t="shared" si="16"/>
        <v>6</v>
      </c>
      <c r="Z46" s="105" t="str">
        <f t="shared" si="17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8</v>
      </c>
      <c r="F47" s="140">
        <v>8</v>
      </c>
      <c r="G47" s="140"/>
      <c r="H47" s="140">
        <v>9</v>
      </c>
      <c r="I47" s="140"/>
      <c r="J47" s="113">
        <f t="shared" si="4"/>
        <v>8.3333333333333339</v>
      </c>
      <c r="K47" s="105" t="str">
        <f t="shared" si="1"/>
        <v>N/TRANSITA</v>
      </c>
      <c r="L47" s="156">
        <v>14</v>
      </c>
      <c r="M47" s="140">
        <v>10</v>
      </c>
      <c r="N47" s="140"/>
      <c r="O47" s="140">
        <v>5</v>
      </c>
      <c r="P47" s="140"/>
      <c r="Q47" s="113">
        <f t="shared" si="5"/>
        <v>9.6666666666666661</v>
      </c>
      <c r="R47" s="105" t="str">
        <f t="shared" si="2"/>
        <v>N/TRANSITA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16"/>
        <v>6</v>
      </c>
      <c r="Z47" s="105" t="str">
        <f>IF(Y47&gt;=9.5,"TRANSITA","N/TRANSITA")</f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15</v>
      </c>
      <c r="F48" s="140">
        <v>15</v>
      </c>
      <c r="G48" s="140"/>
      <c r="H48" s="140">
        <v>12</v>
      </c>
      <c r="I48" s="140"/>
      <c r="J48" s="113">
        <f t="shared" si="4"/>
        <v>14</v>
      </c>
      <c r="K48" s="105" t="str">
        <f t="shared" si="1"/>
        <v>TRANSITA</v>
      </c>
      <c r="L48" s="156">
        <v>7</v>
      </c>
      <c r="M48" s="140">
        <v>20</v>
      </c>
      <c r="N48" s="140"/>
      <c r="O48" s="140">
        <v>11</v>
      </c>
      <c r="P48" s="140"/>
      <c r="Q48" s="113">
        <f t="shared" si="5"/>
        <v>12.666666666666666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8.8888888888888875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5</v>
      </c>
      <c r="F49" s="140">
        <v>5.5</v>
      </c>
      <c r="G49" s="140"/>
      <c r="H49" s="140">
        <v>0</v>
      </c>
      <c r="I49" s="140"/>
      <c r="J49" s="113">
        <f t="shared" si="4"/>
        <v>3.5</v>
      </c>
      <c r="K49" s="105" t="str">
        <f t="shared" si="1"/>
        <v>N/TRANSITA</v>
      </c>
      <c r="L49" s="156">
        <v>4</v>
      </c>
      <c r="M49" s="140">
        <v>5</v>
      </c>
      <c r="N49" s="140"/>
      <c r="O49" s="140">
        <v>5</v>
      </c>
      <c r="P49" s="140"/>
      <c r="Q49" s="113">
        <f t="shared" si="5"/>
        <v>4.666666666666667</v>
      </c>
      <c r="R49" s="105" t="str">
        <f t="shared" si="2"/>
        <v>N/TRANSITA</v>
      </c>
      <c r="S49" s="156"/>
      <c r="T49" s="140"/>
      <c r="U49" s="140"/>
      <c r="V49" s="140"/>
      <c r="W49" s="140"/>
      <c r="X49" s="104">
        <f t="shared" ref="X49:X51" si="18">AVERAGE(S49,MAX(T49:U49),MAX(V49:W49))</f>
        <v>0</v>
      </c>
      <c r="Y49" s="106">
        <f t="shared" ref="Y49:Y51" si="19">SUM(J49,Q49,X49)/3</f>
        <v>2.7222222222222228</v>
      </c>
      <c r="Z49" s="105" t="str">
        <f t="shared" ref="Z49:Z51" si="20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17</v>
      </c>
      <c r="F50" s="140">
        <v>12.5</v>
      </c>
      <c r="G50" s="140"/>
      <c r="H50" s="140">
        <v>18</v>
      </c>
      <c r="I50" s="140"/>
      <c r="J50" s="113">
        <f t="shared" si="4"/>
        <v>15.833333333333334</v>
      </c>
      <c r="K50" s="105" t="str">
        <f t="shared" si="1"/>
        <v>TRANSITA</v>
      </c>
      <c r="L50" s="156">
        <v>18</v>
      </c>
      <c r="M50" s="140">
        <v>20</v>
      </c>
      <c r="N50" s="140"/>
      <c r="O50" s="140">
        <v>20</v>
      </c>
      <c r="P50" s="140"/>
      <c r="Q50" s="113">
        <f t="shared" si="5"/>
        <v>19.333333333333332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8"/>
        <v>0</v>
      </c>
      <c r="Y50" s="106">
        <f t="shared" si="19"/>
        <v>11.722222222222221</v>
      </c>
      <c r="Z50" s="105" t="str">
        <f t="shared" si="20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5</v>
      </c>
      <c r="F51" s="140">
        <v>2</v>
      </c>
      <c r="G51" s="140"/>
      <c r="H51" s="140">
        <v>0</v>
      </c>
      <c r="I51" s="140"/>
      <c r="J51" s="113">
        <f t="shared" si="4"/>
        <v>2.3333333333333335</v>
      </c>
      <c r="K51" s="105" t="str">
        <f t="shared" si="1"/>
        <v>N/TRANSITA</v>
      </c>
      <c r="L51" s="156">
        <v>8</v>
      </c>
      <c r="M51" s="140">
        <v>5</v>
      </c>
      <c r="N51" s="140"/>
      <c r="O51" s="140">
        <v>5</v>
      </c>
      <c r="P51" s="140"/>
      <c r="Q51" s="113">
        <f t="shared" si="5"/>
        <v>6</v>
      </c>
      <c r="R51" s="105" t="str">
        <f t="shared" si="2"/>
        <v>N/TRANSITA</v>
      </c>
      <c r="S51" s="156"/>
      <c r="T51" s="140"/>
      <c r="U51" s="140"/>
      <c r="V51" s="140"/>
      <c r="W51" s="140"/>
      <c r="X51" s="104">
        <f t="shared" si="18"/>
        <v>0</v>
      </c>
      <c r="Y51" s="106">
        <f t="shared" si="19"/>
        <v>2.7777777777777781</v>
      </c>
      <c r="Z51" s="105" t="str">
        <f t="shared" si="20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14</v>
      </c>
      <c r="F52" s="152">
        <v>20</v>
      </c>
      <c r="G52" s="152"/>
      <c r="H52" s="152">
        <v>8</v>
      </c>
      <c r="I52" s="152"/>
      <c r="J52" s="114">
        <f t="shared" si="4"/>
        <v>14</v>
      </c>
      <c r="K52" s="110" t="str">
        <f t="shared" si="1"/>
        <v>TRANSITA</v>
      </c>
      <c r="L52" s="157">
        <v>14</v>
      </c>
      <c r="M52" s="152">
        <v>5</v>
      </c>
      <c r="N52" s="152">
        <v>20</v>
      </c>
      <c r="O52" s="152">
        <v>12</v>
      </c>
      <c r="P52" s="152"/>
      <c r="Q52" s="114">
        <f t="shared" si="5"/>
        <v>15.333333333333334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9.7777777777777786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265" priority="251" stopIfTrue="1" operator="greaterThan">
      <formula>9.5</formula>
    </cfRule>
    <cfRule type="cellIs" dxfId="264" priority="252" stopIfTrue="1" operator="lessThanOrEqual">
      <formula>9.5</formula>
    </cfRule>
  </conditionalFormatting>
  <conditionalFormatting sqref="X9:X52 Q9:Q52">
    <cfRule type="cellIs" dxfId="263" priority="229" stopIfTrue="1" operator="lessThan">
      <formula>10</formula>
    </cfRule>
    <cfRule type="cellIs" dxfId="262" priority="230" stopIfTrue="1" operator="greaterThanOrEqual">
      <formula>10</formula>
    </cfRule>
  </conditionalFormatting>
  <conditionalFormatting sqref="S9:W52 P9:P52">
    <cfRule type="cellIs" dxfId="261" priority="103" stopIfTrue="1" operator="lessThan">
      <formula>10</formula>
    </cfRule>
    <cfRule type="cellIs" dxfId="260" priority="104" stopIfTrue="1" operator="greaterThan">
      <formula>9</formula>
    </cfRule>
  </conditionalFormatting>
  <conditionalFormatting sqref="S9:W52 P9:P52">
    <cfRule type="cellIs" dxfId="259" priority="101" stopIfTrue="1" operator="lessThan">
      <formula>10</formula>
    </cfRule>
    <cfRule type="cellIs" dxfId="258" priority="102" stopIfTrue="1" operator="greaterThan">
      <formula>9</formula>
    </cfRule>
  </conditionalFormatting>
  <conditionalFormatting sqref="J9:J52">
    <cfRule type="cellIs" dxfId="257" priority="25" stopIfTrue="1" operator="lessThan">
      <formula>10</formula>
    </cfRule>
    <cfRule type="cellIs" dxfId="256" priority="26" stopIfTrue="1" operator="greaterThanOrEqual">
      <formula>10</formula>
    </cfRule>
  </conditionalFormatting>
  <conditionalFormatting sqref="I50:I52 L9:O52">
    <cfRule type="cellIs" dxfId="255" priority="21" stopIfTrue="1" operator="lessThan">
      <formula>10</formula>
    </cfRule>
    <cfRule type="cellIs" dxfId="254" priority="22" stopIfTrue="1" operator="greaterThan">
      <formula>9</formula>
    </cfRule>
  </conditionalFormatting>
  <conditionalFormatting sqref="I50:I52 L9:O52">
    <cfRule type="cellIs" dxfId="253" priority="19" stopIfTrue="1" operator="lessThan">
      <formula>10</formula>
    </cfRule>
    <cfRule type="cellIs" dxfId="252" priority="20" stopIfTrue="1" operator="greaterThan">
      <formula>9</formula>
    </cfRule>
  </conditionalFormatting>
  <conditionalFormatting sqref="J9">
    <cfRule type="cellIs" dxfId="251" priority="17" stopIfTrue="1" operator="lessThan">
      <formula>10</formula>
    </cfRule>
    <cfRule type="cellIs" dxfId="250" priority="18" stopIfTrue="1" operator="greaterThanOrEqual">
      <formula>10</formula>
    </cfRule>
  </conditionalFormatting>
  <conditionalFormatting sqref="I9:I49">
    <cfRule type="cellIs" dxfId="249" priority="15" stopIfTrue="1" operator="lessThan">
      <formula>10</formula>
    </cfRule>
    <cfRule type="cellIs" dxfId="248" priority="16" stopIfTrue="1" operator="greaterThan">
      <formula>9</formula>
    </cfRule>
  </conditionalFormatting>
  <conditionalFormatting sqref="I9:I49">
    <cfRule type="cellIs" dxfId="247" priority="13" stopIfTrue="1" operator="lessThan">
      <formula>10</formula>
    </cfRule>
    <cfRule type="cellIs" dxfId="246" priority="14" stopIfTrue="1" operator="greaterThan">
      <formula>9</formula>
    </cfRule>
  </conditionalFormatting>
  <conditionalFormatting sqref="E50:H52">
    <cfRule type="cellIs" dxfId="245" priority="11" stopIfTrue="1" operator="lessThan">
      <formula>10</formula>
    </cfRule>
    <cfRule type="cellIs" dxfId="244" priority="12" stopIfTrue="1" operator="greaterThan">
      <formula>9</formula>
    </cfRule>
  </conditionalFormatting>
  <conditionalFormatting sqref="E50:H52">
    <cfRule type="cellIs" dxfId="243" priority="9" stopIfTrue="1" operator="lessThan">
      <formula>10</formula>
    </cfRule>
    <cfRule type="cellIs" dxfId="242" priority="10" stopIfTrue="1" operator="greaterThan">
      <formula>9</formula>
    </cfRule>
  </conditionalFormatting>
  <conditionalFormatting sqref="E49:H49">
    <cfRule type="cellIs" dxfId="241" priority="7" stopIfTrue="1" operator="lessThan">
      <formula>10</formula>
    </cfRule>
    <cfRule type="cellIs" dxfId="240" priority="8" stopIfTrue="1" operator="greaterThan">
      <formula>9</formula>
    </cfRule>
  </conditionalFormatting>
  <conditionalFormatting sqref="E49:H49">
    <cfRule type="cellIs" dxfId="239" priority="5" stopIfTrue="1" operator="lessThan">
      <formula>10</formula>
    </cfRule>
    <cfRule type="cellIs" dxfId="238" priority="6" stopIfTrue="1" operator="greaterThan">
      <formula>9</formula>
    </cfRule>
  </conditionalFormatting>
  <conditionalFormatting sqref="E9:H48">
    <cfRule type="cellIs" dxfId="237" priority="3" stopIfTrue="1" operator="lessThan">
      <formula>10</formula>
    </cfRule>
    <cfRule type="cellIs" dxfId="236" priority="4" stopIfTrue="1" operator="greaterThan">
      <formula>9</formula>
    </cfRule>
  </conditionalFormatting>
  <conditionalFormatting sqref="E9:H48">
    <cfRule type="cellIs" dxfId="235" priority="1" stopIfTrue="1" operator="lessThan">
      <formula>10</formula>
    </cfRule>
    <cfRule type="cellIs" dxfId="234" priority="2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81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312420</xdr:colOff>
                <xdr:row>54</xdr:row>
                <xdr:rowOff>22860</xdr:rowOff>
              </to>
            </anchor>
          </objectPr>
        </oleObject>
      </mc:Choice>
      <mc:Fallback>
        <oleObject progId="Word.Document.8" shapeId="20481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95" stopIfTrue="1" operator="containsText" id="{4F02E138-4DF0-44DF-B371-7BBF5031C866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96" stopIfTrue="1" operator="containsText" id="{FBCF27BC-B4C8-4794-9F83-41B2B2381E55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23" stopIfTrue="1" operator="containsText" id="{E81BA447-A53D-4B83-B6A9-E83D6FBF63EA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4" stopIfTrue="1" operator="containsText" id="{2B4C1F4C-FC9D-47A4-B911-3546887D495E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G16" sqref="G16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86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2</v>
      </c>
      <c r="AD8" s="287">
        <f>COUNTIF(Z9:Z58,"N/TRANSITA")</f>
        <v>42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80">
        <v>11</v>
      </c>
      <c r="F9" s="181">
        <v>11</v>
      </c>
      <c r="G9" s="181"/>
      <c r="H9" s="181">
        <v>14.5</v>
      </c>
      <c r="I9" s="143"/>
      <c r="J9" s="100">
        <f>AVERAGE(E9,MAX(F9:G9),MAX(H9:I9))</f>
        <v>12.166666666666666</v>
      </c>
      <c r="K9" s="101" t="str">
        <f>IF(J9&gt;=10,"TRANSITA","N/TRANSITA")</f>
        <v>TRANSITA</v>
      </c>
      <c r="L9" s="155">
        <v>13</v>
      </c>
      <c r="M9" s="143">
        <v>10.5</v>
      </c>
      <c r="N9" s="143"/>
      <c r="O9" s="143">
        <v>17</v>
      </c>
      <c r="P9" s="143"/>
      <c r="Q9" s="100">
        <f>AVERAGE(L9,MAX(M9:N9),MAX(O9:P9))</f>
        <v>13.5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8.5555555555555554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82">
        <v>12</v>
      </c>
      <c r="F10" s="183">
        <v>15</v>
      </c>
      <c r="G10" s="183"/>
      <c r="H10" s="183">
        <v>15</v>
      </c>
      <c r="I10" s="140"/>
      <c r="J10" s="104">
        <f>AVERAGE(E10,MAX(F10:G10),MAX(H10:I10))</f>
        <v>14</v>
      </c>
      <c r="K10" s="105" t="str">
        <f t="shared" ref="K10:K52" si="1">IF(J10&gt;=10,"TRANSITA","N/TRANSITA")</f>
        <v>TRANSITA</v>
      </c>
      <c r="L10" s="156">
        <v>13</v>
      </c>
      <c r="M10" s="140">
        <v>13</v>
      </c>
      <c r="N10" s="140"/>
      <c r="O10" s="140">
        <v>16</v>
      </c>
      <c r="P10" s="140"/>
      <c r="Q10" s="104">
        <f>AVERAGE(L10,MAX(M10:N10),MAX(O10:P10))</f>
        <v>14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9.3333333333333339</v>
      </c>
      <c r="Z10" s="105" t="str">
        <f t="shared" ref="Z10:Z52" si="3">IF(Y10&gt;=10,"TRANSITA","N/TRANSITA")</f>
        <v>N/TRANSITA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82">
        <v>10</v>
      </c>
      <c r="F11" s="183">
        <v>17.5</v>
      </c>
      <c r="G11" s="183"/>
      <c r="H11" s="183">
        <v>15</v>
      </c>
      <c r="I11" s="140"/>
      <c r="J11" s="104">
        <f t="shared" ref="J11:J52" si="4">AVERAGE(E11,MAX(F11:G11),MAX(H11:I11))</f>
        <v>14.166666666666666</v>
      </c>
      <c r="K11" s="105" t="str">
        <f t="shared" si="1"/>
        <v>TRANSITA</v>
      </c>
      <c r="L11" s="156">
        <v>12</v>
      </c>
      <c r="M11" s="140">
        <v>17</v>
      </c>
      <c r="N11" s="140"/>
      <c r="O11" s="140">
        <v>14.5</v>
      </c>
      <c r="P11" s="140"/>
      <c r="Q11" s="104">
        <f t="shared" ref="Q11:Q52" si="5">AVERAGE(L11,MAX(M11:N11),MAX(O11:P11))</f>
        <v>14.5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9.5555555555555554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82">
        <v>13</v>
      </c>
      <c r="F12" s="183">
        <v>12</v>
      </c>
      <c r="G12" s="183"/>
      <c r="H12" s="183">
        <v>16.5</v>
      </c>
      <c r="I12" s="140"/>
      <c r="J12" s="104">
        <f t="shared" si="4"/>
        <v>13.833333333333334</v>
      </c>
      <c r="K12" s="105" t="str">
        <f t="shared" si="1"/>
        <v>TRANSITA</v>
      </c>
      <c r="L12" s="156">
        <v>13</v>
      </c>
      <c r="M12" s="140">
        <v>16</v>
      </c>
      <c r="N12" s="140"/>
      <c r="O12" s="140">
        <v>13.5</v>
      </c>
      <c r="P12" s="140"/>
      <c r="Q12" s="104">
        <f t="shared" si="5"/>
        <v>14.166666666666666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9.3333333333333339</v>
      </c>
      <c r="Z12" s="105" t="str">
        <f t="shared" si="3"/>
        <v>N/TRANSITA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82">
        <v>11</v>
      </c>
      <c r="F13" s="183">
        <v>11</v>
      </c>
      <c r="G13" s="183"/>
      <c r="H13" s="183">
        <v>13.5</v>
      </c>
      <c r="I13" s="140"/>
      <c r="J13" s="104">
        <f t="shared" si="4"/>
        <v>11.833333333333334</v>
      </c>
      <c r="K13" s="105" t="str">
        <f t="shared" si="1"/>
        <v>TRANSITA</v>
      </c>
      <c r="L13" s="156">
        <v>13</v>
      </c>
      <c r="M13" s="140">
        <v>10</v>
      </c>
      <c r="N13" s="140"/>
      <c r="O13" s="140">
        <v>15</v>
      </c>
      <c r="P13" s="140"/>
      <c r="Q13" s="104">
        <f t="shared" si="5"/>
        <v>12.666666666666666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8.1666666666666661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82">
        <v>10</v>
      </c>
      <c r="F14" s="183">
        <v>15</v>
      </c>
      <c r="G14" s="183"/>
      <c r="H14" s="183">
        <v>16.5</v>
      </c>
      <c r="I14" s="140"/>
      <c r="J14" s="104">
        <f t="shared" si="4"/>
        <v>13.833333333333334</v>
      </c>
      <c r="K14" s="105" t="str">
        <f t="shared" si="1"/>
        <v>TRANSITA</v>
      </c>
      <c r="L14" s="156">
        <v>11</v>
      </c>
      <c r="M14" s="140">
        <v>15</v>
      </c>
      <c r="N14" s="140"/>
      <c r="O14" s="140">
        <v>15</v>
      </c>
      <c r="P14" s="140"/>
      <c r="Q14" s="104">
        <f t="shared" si="5"/>
        <v>13.666666666666666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9.1666666666666661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82">
        <v>11</v>
      </c>
      <c r="F15" s="183">
        <v>20</v>
      </c>
      <c r="G15" s="183"/>
      <c r="H15" s="183">
        <v>14.5</v>
      </c>
      <c r="I15" s="140"/>
      <c r="J15" s="104">
        <f t="shared" si="4"/>
        <v>15.166666666666666</v>
      </c>
      <c r="K15" s="105" t="str">
        <f t="shared" si="1"/>
        <v>TRANSITA</v>
      </c>
      <c r="L15" s="156">
        <v>11</v>
      </c>
      <c r="M15" s="140">
        <v>15</v>
      </c>
      <c r="N15" s="140"/>
      <c r="O15" s="140">
        <v>16.5</v>
      </c>
      <c r="P15" s="140"/>
      <c r="Q15" s="104">
        <f t="shared" si="5"/>
        <v>14.166666666666666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9.7777777777777768</v>
      </c>
      <c r="Z15" s="105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82">
        <v>10</v>
      </c>
      <c r="F16" s="183">
        <v>13</v>
      </c>
      <c r="G16" s="183"/>
      <c r="H16" s="183">
        <v>14.5</v>
      </c>
      <c r="I16" s="140"/>
      <c r="J16" s="104">
        <f t="shared" si="4"/>
        <v>12.5</v>
      </c>
      <c r="K16" s="105" t="str">
        <f t="shared" si="1"/>
        <v>TRANSITA</v>
      </c>
      <c r="L16" s="156">
        <v>12</v>
      </c>
      <c r="M16" s="140">
        <v>9</v>
      </c>
      <c r="N16" s="140"/>
      <c r="O16" s="140">
        <v>12</v>
      </c>
      <c r="P16" s="140"/>
      <c r="Q16" s="104">
        <f t="shared" si="5"/>
        <v>11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7.833333333333333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82">
        <v>10</v>
      </c>
      <c r="F17" s="183">
        <v>13</v>
      </c>
      <c r="G17" s="183"/>
      <c r="H17" s="183">
        <v>13.5</v>
      </c>
      <c r="I17" s="140"/>
      <c r="J17" s="104">
        <f t="shared" si="4"/>
        <v>12.166666666666666</v>
      </c>
      <c r="K17" s="105" t="str">
        <f t="shared" si="1"/>
        <v>TRANSITA</v>
      </c>
      <c r="L17" s="156">
        <v>11</v>
      </c>
      <c r="M17" s="140">
        <v>5</v>
      </c>
      <c r="N17" s="140"/>
      <c r="O17" s="140">
        <v>14.5</v>
      </c>
      <c r="P17" s="140"/>
      <c r="Q17" s="104">
        <f t="shared" si="5"/>
        <v>10.166666666666666</v>
      </c>
      <c r="R17" s="105" t="str">
        <f t="shared" si="2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7.4444444444444438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82">
        <v>10</v>
      </c>
      <c r="F18" s="183">
        <v>11</v>
      </c>
      <c r="G18" s="183"/>
      <c r="H18" s="183">
        <v>13.5</v>
      </c>
      <c r="I18" s="140"/>
      <c r="J18" s="104">
        <f t="shared" si="4"/>
        <v>11.5</v>
      </c>
      <c r="K18" s="105" t="str">
        <f t="shared" si="1"/>
        <v>TRANSITA</v>
      </c>
      <c r="L18" s="156">
        <v>12</v>
      </c>
      <c r="M18" s="140">
        <v>12</v>
      </c>
      <c r="N18" s="140"/>
      <c r="O18" s="140">
        <v>13</v>
      </c>
      <c r="P18" s="140"/>
      <c r="Q18" s="104">
        <f t="shared" si="5"/>
        <v>12.333333333333334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7.9444444444444455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82">
        <v>12</v>
      </c>
      <c r="F19" s="183">
        <v>18</v>
      </c>
      <c r="G19" s="183"/>
      <c r="H19" s="183">
        <v>15</v>
      </c>
      <c r="I19" s="140"/>
      <c r="J19" s="104">
        <f t="shared" si="4"/>
        <v>15</v>
      </c>
      <c r="K19" s="105" t="str">
        <f t="shared" si="1"/>
        <v>TRANSITA</v>
      </c>
      <c r="L19" s="156">
        <v>13</v>
      </c>
      <c r="M19" s="140">
        <v>12</v>
      </c>
      <c r="N19" s="140"/>
      <c r="O19" s="140">
        <v>13</v>
      </c>
      <c r="P19" s="140"/>
      <c r="Q19" s="104">
        <f t="shared" si="5"/>
        <v>12.666666666666666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9.2222222222222214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82">
        <v>12</v>
      </c>
      <c r="F20" s="183">
        <v>17</v>
      </c>
      <c r="G20" s="183"/>
      <c r="H20" s="183">
        <v>17</v>
      </c>
      <c r="I20" s="140"/>
      <c r="J20" s="104">
        <f t="shared" si="4"/>
        <v>15.333333333333334</v>
      </c>
      <c r="K20" s="105" t="str">
        <f t="shared" si="1"/>
        <v>TRANSITA</v>
      </c>
      <c r="L20" s="156">
        <v>13</v>
      </c>
      <c r="M20" s="140">
        <v>16</v>
      </c>
      <c r="N20" s="140"/>
      <c r="O20" s="140">
        <v>14.5</v>
      </c>
      <c r="P20" s="140"/>
      <c r="Q20" s="104">
        <f t="shared" si="5"/>
        <v>14.5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9.9444444444444446</v>
      </c>
      <c r="Z20" s="105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103"/>
      <c r="E21" s="182">
        <v>14</v>
      </c>
      <c r="F21" s="183">
        <v>19</v>
      </c>
      <c r="G21" s="183"/>
      <c r="H21" s="183">
        <v>16.5</v>
      </c>
      <c r="I21" s="140"/>
      <c r="J21" s="104">
        <f t="shared" si="4"/>
        <v>16.5</v>
      </c>
      <c r="K21" s="105" t="str">
        <f t="shared" si="1"/>
        <v>TRANSITA</v>
      </c>
      <c r="L21" s="156">
        <v>13</v>
      </c>
      <c r="M21" s="140">
        <v>14</v>
      </c>
      <c r="N21" s="140"/>
      <c r="O21" s="140">
        <v>14</v>
      </c>
      <c r="P21" s="140"/>
      <c r="Q21" s="104">
        <f t="shared" si="5"/>
        <v>13.666666666666666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10.055555555555555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82">
        <v>10</v>
      </c>
      <c r="F22" s="183">
        <v>13</v>
      </c>
      <c r="G22" s="183"/>
      <c r="H22" s="183">
        <v>14.5</v>
      </c>
      <c r="I22" s="140"/>
      <c r="J22" s="104">
        <f t="shared" si="4"/>
        <v>12.5</v>
      </c>
      <c r="K22" s="105" t="str">
        <f t="shared" si="1"/>
        <v>TRANSITA</v>
      </c>
      <c r="L22" s="156">
        <v>11</v>
      </c>
      <c r="M22" s="140">
        <v>16</v>
      </c>
      <c r="N22" s="140"/>
      <c r="O22" s="140">
        <v>11.5</v>
      </c>
      <c r="P22" s="140"/>
      <c r="Q22" s="104">
        <f t="shared" si="5"/>
        <v>12.833333333333334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8.4444444444444446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82">
        <v>10</v>
      </c>
      <c r="F23" s="183">
        <v>14</v>
      </c>
      <c r="G23" s="183"/>
      <c r="H23" s="183">
        <v>14</v>
      </c>
      <c r="I23" s="140"/>
      <c r="J23" s="104">
        <f t="shared" si="4"/>
        <v>12.666666666666666</v>
      </c>
      <c r="K23" s="105" t="str">
        <f t="shared" si="1"/>
        <v>TRANSITA</v>
      </c>
      <c r="L23" s="156">
        <v>11</v>
      </c>
      <c r="M23" s="140">
        <v>11.5</v>
      </c>
      <c r="N23" s="140"/>
      <c r="O23" s="140">
        <v>13</v>
      </c>
      <c r="P23" s="140"/>
      <c r="Q23" s="104">
        <f t="shared" si="5"/>
        <v>11.833333333333334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8.1666666666666661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82">
        <v>10</v>
      </c>
      <c r="F24" s="183">
        <v>10.5</v>
      </c>
      <c r="G24" s="183"/>
      <c r="H24" s="183">
        <v>15.5</v>
      </c>
      <c r="I24" s="140"/>
      <c r="J24" s="104">
        <f t="shared" si="4"/>
        <v>12</v>
      </c>
      <c r="K24" s="105" t="str">
        <f t="shared" si="1"/>
        <v>TRANSITA</v>
      </c>
      <c r="L24" s="156">
        <v>11</v>
      </c>
      <c r="M24" s="140">
        <v>13.5</v>
      </c>
      <c r="N24" s="140"/>
      <c r="O24" s="140">
        <v>13.5</v>
      </c>
      <c r="P24" s="140"/>
      <c r="Q24" s="104">
        <f t="shared" si="5"/>
        <v>12.666666666666666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8.2222222222222214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82">
        <v>10</v>
      </c>
      <c r="F25" s="183">
        <v>19.5</v>
      </c>
      <c r="G25" s="183"/>
      <c r="H25" s="183">
        <v>13.5</v>
      </c>
      <c r="I25" s="140"/>
      <c r="J25" s="104">
        <f t="shared" si="4"/>
        <v>14.333333333333334</v>
      </c>
      <c r="K25" s="105" t="str">
        <f t="shared" si="1"/>
        <v>TRANSITA</v>
      </c>
      <c r="L25" s="156">
        <v>10</v>
      </c>
      <c r="M25" s="140">
        <v>11</v>
      </c>
      <c r="N25" s="140"/>
      <c r="O25" s="140">
        <v>14.5</v>
      </c>
      <c r="P25" s="140"/>
      <c r="Q25" s="104">
        <f t="shared" si="5"/>
        <v>11.833333333333334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8.7222222222222232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82">
        <v>10</v>
      </c>
      <c r="F26" s="183">
        <v>16</v>
      </c>
      <c r="G26" s="183"/>
      <c r="H26" s="183">
        <v>14.5</v>
      </c>
      <c r="I26" s="140"/>
      <c r="J26" s="104">
        <f t="shared" si="4"/>
        <v>13.5</v>
      </c>
      <c r="K26" s="105" t="str">
        <f t="shared" si="1"/>
        <v>TRANSITA</v>
      </c>
      <c r="L26" s="156">
        <v>11</v>
      </c>
      <c r="M26" s="140">
        <v>14</v>
      </c>
      <c r="N26" s="140"/>
      <c r="O26" s="140">
        <v>14</v>
      </c>
      <c r="P26" s="140"/>
      <c r="Q26" s="104">
        <f t="shared" si="5"/>
        <v>13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8.8333333333333339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82"/>
      <c r="F27" s="183"/>
      <c r="G27" s="183"/>
      <c r="H27" s="183"/>
      <c r="I27" s="140"/>
      <c r="J27" s="104">
        <f t="shared" si="4"/>
        <v>0</v>
      </c>
      <c r="K27" s="105" t="str">
        <f t="shared" si="1"/>
        <v>N/TRANSITA</v>
      </c>
      <c r="L27" s="156"/>
      <c r="M27" s="140"/>
      <c r="N27" s="140"/>
      <c r="O27" s="140"/>
      <c r="P27" s="140"/>
      <c r="Q27" s="104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82">
        <v>10</v>
      </c>
      <c r="F28" s="183">
        <v>18</v>
      </c>
      <c r="G28" s="183"/>
      <c r="H28" s="183">
        <v>13.5</v>
      </c>
      <c r="I28" s="140"/>
      <c r="J28" s="104">
        <f t="shared" si="4"/>
        <v>13.833333333333334</v>
      </c>
      <c r="K28" s="105" t="str">
        <f t="shared" si="1"/>
        <v>TRANSITA</v>
      </c>
      <c r="L28" s="156"/>
      <c r="M28" s="140"/>
      <c r="N28" s="140"/>
      <c r="O28" s="140"/>
      <c r="P28" s="140"/>
      <c r="Q28" s="104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4.6111111111111116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82">
        <v>10</v>
      </c>
      <c r="F29" s="183">
        <v>12</v>
      </c>
      <c r="G29" s="183"/>
      <c r="H29" s="183">
        <v>13.5</v>
      </c>
      <c r="I29" s="140"/>
      <c r="J29" s="104">
        <f t="shared" si="4"/>
        <v>11.833333333333334</v>
      </c>
      <c r="K29" s="105" t="str">
        <f t="shared" si="1"/>
        <v>TRANSITA</v>
      </c>
      <c r="L29" s="156">
        <v>10</v>
      </c>
      <c r="M29" s="140">
        <v>12</v>
      </c>
      <c r="N29" s="140"/>
      <c r="O29" s="140">
        <v>11.5</v>
      </c>
      <c r="P29" s="140"/>
      <c r="Q29" s="104">
        <f t="shared" si="5"/>
        <v>11.166666666666666</v>
      </c>
      <c r="R29" s="105" t="str">
        <f t="shared" si="2"/>
        <v>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7.666666666666667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82">
        <v>10</v>
      </c>
      <c r="F30" s="183">
        <v>13</v>
      </c>
      <c r="G30" s="183"/>
      <c r="H30" s="183">
        <v>17</v>
      </c>
      <c r="I30" s="140"/>
      <c r="J30" s="104">
        <f t="shared" si="4"/>
        <v>13.333333333333334</v>
      </c>
      <c r="K30" s="105" t="str">
        <f t="shared" si="1"/>
        <v>TRANSITA</v>
      </c>
      <c r="L30" s="156">
        <v>12</v>
      </c>
      <c r="M30" s="140">
        <v>16</v>
      </c>
      <c r="N30" s="140"/>
      <c r="O30" s="140">
        <v>14.5</v>
      </c>
      <c r="P30" s="140"/>
      <c r="Q30" s="104">
        <f t="shared" si="5"/>
        <v>14.166666666666666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9.1666666666666661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82">
        <v>10</v>
      </c>
      <c r="F31" s="183">
        <v>13</v>
      </c>
      <c r="G31" s="183"/>
      <c r="H31" s="183">
        <v>13.5</v>
      </c>
      <c r="I31" s="140"/>
      <c r="J31" s="104">
        <f t="shared" si="4"/>
        <v>12.166666666666666</v>
      </c>
      <c r="K31" s="105" t="str">
        <f t="shared" si="1"/>
        <v>TRANSITA</v>
      </c>
      <c r="L31" s="156">
        <v>13</v>
      </c>
      <c r="M31" s="140">
        <v>15</v>
      </c>
      <c r="N31" s="140"/>
      <c r="O31" s="140">
        <v>13</v>
      </c>
      <c r="P31" s="140"/>
      <c r="Q31" s="104">
        <f t="shared" si="5"/>
        <v>13.666666666666666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8.6111111111111107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82">
        <v>10</v>
      </c>
      <c r="F32" s="183">
        <v>15</v>
      </c>
      <c r="G32" s="183"/>
      <c r="H32" s="183">
        <v>11</v>
      </c>
      <c r="I32" s="140"/>
      <c r="J32" s="104">
        <f t="shared" si="4"/>
        <v>12</v>
      </c>
      <c r="K32" s="105" t="str">
        <f t="shared" si="1"/>
        <v>TRANSITA</v>
      </c>
      <c r="L32" s="156">
        <v>11</v>
      </c>
      <c r="M32" s="140">
        <v>13.5</v>
      </c>
      <c r="N32" s="140"/>
      <c r="O32" s="140">
        <v>15</v>
      </c>
      <c r="P32" s="140"/>
      <c r="Q32" s="104">
        <f t="shared" si="5"/>
        <v>13.166666666666666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8.3888888888888875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82">
        <v>10</v>
      </c>
      <c r="F33" s="183">
        <v>13</v>
      </c>
      <c r="G33" s="183"/>
      <c r="H33" s="183">
        <v>18</v>
      </c>
      <c r="I33" s="140"/>
      <c r="J33" s="104">
        <f t="shared" si="4"/>
        <v>13.666666666666666</v>
      </c>
      <c r="K33" s="105" t="str">
        <f t="shared" si="1"/>
        <v>TRANSITA</v>
      </c>
      <c r="L33" s="156">
        <v>12</v>
      </c>
      <c r="M33" s="140">
        <v>14</v>
      </c>
      <c r="N33" s="140"/>
      <c r="O33" s="140">
        <v>13.5</v>
      </c>
      <c r="P33" s="140"/>
      <c r="Q33" s="104">
        <f t="shared" si="5"/>
        <v>13.166666666666666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8.9444444444444446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82">
        <v>10</v>
      </c>
      <c r="F34" s="183">
        <v>13.5</v>
      </c>
      <c r="G34" s="183"/>
      <c r="H34" s="183">
        <v>13</v>
      </c>
      <c r="I34" s="140"/>
      <c r="J34" s="104">
        <f t="shared" si="4"/>
        <v>12.166666666666666</v>
      </c>
      <c r="K34" s="105" t="str">
        <f t="shared" si="1"/>
        <v>TRANSITA</v>
      </c>
      <c r="L34" s="156">
        <v>11</v>
      </c>
      <c r="M34" s="140">
        <v>13</v>
      </c>
      <c r="N34" s="140"/>
      <c r="O34" s="140">
        <v>16</v>
      </c>
      <c r="P34" s="140"/>
      <c r="Q34" s="104">
        <f t="shared" si="5"/>
        <v>13.333333333333334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8.5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82">
        <v>10</v>
      </c>
      <c r="F35" s="183">
        <v>15</v>
      </c>
      <c r="G35" s="183"/>
      <c r="H35" s="183">
        <v>13</v>
      </c>
      <c r="I35" s="140"/>
      <c r="J35" s="104">
        <f t="shared" si="4"/>
        <v>12.666666666666666</v>
      </c>
      <c r="K35" s="105" t="str">
        <f t="shared" si="1"/>
        <v>TRANSITA</v>
      </c>
      <c r="L35" s="156">
        <v>11</v>
      </c>
      <c r="M35" s="140">
        <v>16</v>
      </c>
      <c r="N35" s="140"/>
      <c r="O35" s="140">
        <v>9.5</v>
      </c>
      <c r="P35" s="140"/>
      <c r="Q35" s="104">
        <f t="shared" si="5"/>
        <v>12.166666666666666</v>
      </c>
      <c r="R35" s="105" t="str">
        <f t="shared" si="2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8.2777777777777768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82">
        <v>10</v>
      </c>
      <c r="F36" s="183">
        <v>19</v>
      </c>
      <c r="G36" s="183"/>
      <c r="H36" s="183">
        <v>14.5</v>
      </c>
      <c r="I36" s="140"/>
      <c r="J36" s="104">
        <f t="shared" si="4"/>
        <v>14.5</v>
      </c>
      <c r="K36" s="105" t="str">
        <f t="shared" si="1"/>
        <v>TRANSITA</v>
      </c>
      <c r="L36" s="156">
        <v>10</v>
      </c>
      <c r="M36" s="140">
        <v>10</v>
      </c>
      <c r="N36" s="140"/>
      <c r="O36" s="140">
        <v>14</v>
      </c>
      <c r="P36" s="140"/>
      <c r="Q36" s="104">
        <f t="shared" si="5"/>
        <v>11.333333333333334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8.6111111111111125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82">
        <v>10</v>
      </c>
      <c r="F37" s="183">
        <v>18</v>
      </c>
      <c r="G37" s="183"/>
      <c r="H37" s="183">
        <v>14</v>
      </c>
      <c r="I37" s="140"/>
      <c r="J37" s="104">
        <f t="shared" si="4"/>
        <v>14</v>
      </c>
      <c r="K37" s="105" t="str">
        <f t="shared" si="1"/>
        <v>TRANSITA</v>
      </c>
      <c r="L37" s="156">
        <v>12</v>
      </c>
      <c r="M37" s="140">
        <v>19</v>
      </c>
      <c r="N37" s="140"/>
      <c r="O37" s="140">
        <v>16</v>
      </c>
      <c r="P37" s="140"/>
      <c r="Q37" s="104">
        <f t="shared" si="5"/>
        <v>15.666666666666666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9.8888888888888875</v>
      </c>
      <c r="Z37" s="105" t="str">
        <f t="shared" si="3"/>
        <v>N/TRANSITA</v>
      </c>
    </row>
    <row r="38" spans="2:26" ht="14.25" customHeight="1" x14ac:dyDescent="0.3">
      <c r="B38" s="31">
        <v>30</v>
      </c>
      <c r="C38" s="177" t="s">
        <v>123</v>
      </c>
      <c r="D38" s="103"/>
      <c r="E38" s="182">
        <v>10</v>
      </c>
      <c r="F38" s="183">
        <v>15</v>
      </c>
      <c r="G38" s="183"/>
      <c r="H38" s="183">
        <v>16.5</v>
      </c>
      <c r="I38" s="140"/>
      <c r="J38" s="104">
        <f t="shared" si="4"/>
        <v>13.833333333333334</v>
      </c>
      <c r="K38" s="105" t="str">
        <f t="shared" si="1"/>
        <v>TRANSITA</v>
      </c>
      <c r="L38" s="156">
        <v>12</v>
      </c>
      <c r="M38" s="140">
        <v>16</v>
      </c>
      <c r="N38" s="140"/>
      <c r="O38" s="140">
        <v>15</v>
      </c>
      <c r="P38" s="140"/>
      <c r="Q38" s="104">
        <f t="shared" si="5"/>
        <v>14.333333333333334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9.3888888888888893</v>
      </c>
      <c r="Z38" s="105" t="str">
        <f t="shared" si="3"/>
        <v>N/TRANSITA</v>
      </c>
    </row>
    <row r="39" spans="2:26" ht="14.25" customHeight="1" x14ac:dyDescent="0.3">
      <c r="B39" s="31">
        <v>31</v>
      </c>
      <c r="C39" s="177" t="s">
        <v>124</v>
      </c>
      <c r="D39" s="103"/>
      <c r="E39" s="182">
        <v>10</v>
      </c>
      <c r="F39" s="183">
        <v>16.5</v>
      </c>
      <c r="G39" s="183"/>
      <c r="H39" s="183">
        <v>15.5</v>
      </c>
      <c r="I39" s="140"/>
      <c r="J39" s="104">
        <f t="shared" si="4"/>
        <v>14</v>
      </c>
      <c r="K39" s="105" t="str">
        <f t="shared" si="1"/>
        <v>TRANSITA</v>
      </c>
      <c r="L39" s="156">
        <v>11</v>
      </c>
      <c r="M39" s="140">
        <v>14</v>
      </c>
      <c r="N39" s="140"/>
      <c r="O39" s="140">
        <v>14.5</v>
      </c>
      <c r="P39" s="140"/>
      <c r="Q39" s="104">
        <f t="shared" si="5"/>
        <v>13.166666666666666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9.0555555555555554</v>
      </c>
      <c r="Z39" s="105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103"/>
      <c r="E40" s="182">
        <v>14</v>
      </c>
      <c r="F40" s="183">
        <v>18</v>
      </c>
      <c r="G40" s="183"/>
      <c r="H40" s="183">
        <v>15</v>
      </c>
      <c r="I40" s="140"/>
      <c r="J40" s="104">
        <f t="shared" si="4"/>
        <v>15.666666666666666</v>
      </c>
      <c r="K40" s="105" t="str">
        <f t="shared" si="1"/>
        <v>TRANSITA</v>
      </c>
      <c r="L40" s="156">
        <v>13</v>
      </c>
      <c r="M40" s="140">
        <v>18.5</v>
      </c>
      <c r="N40" s="140"/>
      <c r="O40" s="140">
        <v>16</v>
      </c>
      <c r="P40" s="140"/>
      <c r="Q40" s="104">
        <f t="shared" si="5"/>
        <v>15.833333333333334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10.5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82">
        <v>10</v>
      </c>
      <c r="F41" s="183">
        <v>19</v>
      </c>
      <c r="G41" s="183"/>
      <c r="H41" s="183">
        <v>15</v>
      </c>
      <c r="I41" s="140"/>
      <c r="J41" s="104">
        <f t="shared" si="4"/>
        <v>14.666666666666666</v>
      </c>
      <c r="K41" s="105" t="str">
        <f t="shared" si="1"/>
        <v>TRANSITA</v>
      </c>
      <c r="L41" s="156">
        <v>11</v>
      </c>
      <c r="M41" s="140">
        <v>15</v>
      </c>
      <c r="N41" s="140"/>
      <c r="O41" s="140">
        <v>13.5</v>
      </c>
      <c r="P41" s="140"/>
      <c r="Q41" s="104">
        <f t="shared" si="5"/>
        <v>13.166666666666666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9.2777777777777768</v>
      </c>
      <c r="Z41" s="105" t="str">
        <f t="shared" ref="Z41:Z43" si="10">IF(Y41&gt;=10,"TRANSITA","N/TRANSITA")</f>
        <v>N/TRANSITA</v>
      </c>
    </row>
    <row r="42" spans="2:26" ht="14.25" customHeight="1" x14ac:dyDescent="0.3">
      <c r="B42" s="31">
        <v>34</v>
      </c>
      <c r="C42" s="177" t="s">
        <v>141</v>
      </c>
      <c r="D42" s="103"/>
      <c r="E42" s="182">
        <v>15</v>
      </c>
      <c r="F42" s="183">
        <v>1</v>
      </c>
      <c r="G42" s="183"/>
      <c r="H42" s="183">
        <v>9</v>
      </c>
      <c r="I42" s="140"/>
      <c r="J42" s="104">
        <f t="shared" si="4"/>
        <v>8.3333333333333339</v>
      </c>
      <c r="K42" s="105" t="str">
        <f t="shared" si="1"/>
        <v>N/TRANSITA</v>
      </c>
      <c r="L42" s="156">
        <v>10</v>
      </c>
      <c r="M42" s="140">
        <v>11</v>
      </c>
      <c r="N42" s="140"/>
      <c r="O42" s="140">
        <v>11</v>
      </c>
      <c r="P42" s="140"/>
      <c r="Q42" s="104">
        <f t="shared" ref="Q42" si="11">AVERAGE(L42,MAX(M42:N42),MAX(O42:P42))</f>
        <v>10.666666666666666</v>
      </c>
      <c r="R42" s="105" t="str">
        <f t="shared" ref="R42" si="12">IF(Q42&gt;=10,"TRANSITA","N/TRANSITA")</f>
        <v>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6.333333333333333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82">
        <v>10</v>
      </c>
      <c r="F43" s="183">
        <v>11</v>
      </c>
      <c r="G43" s="183"/>
      <c r="H43" s="183">
        <v>13.5</v>
      </c>
      <c r="I43" s="140"/>
      <c r="J43" s="104">
        <f t="shared" si="4"/>
        <v>11.5</v>
      </c>
      <c r="K43" s="105" t="str">
        <f t="shared" si="1"/>
        <v>TRANSITA</v>
      </c>
      <c r="L43" s="156">
        <v>11</v>
      </c>
      <c r="M43" s="140">
        <v>13</v>
      </c>
      <c r="N43" s="140"/>
      <c r="O43" s="140">
        <v>13</v>
      </c>
      <c r="P43" s="140"/>
      <c r="Q43" s="104">
        <f t="shared" si="5"/>
        <v>12.333333333333334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7.9444444444444455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82">
        <v>10</v>
      </c>
      <c r="F44" s="183">
        <v>11</v>
      </c>
      <c r="G44" s="183"/>
      <c r="H44" s="183">
        <v>13.5</v>
      </c>
      <c r="I44" s="140"/>
      <c r="J44" s="104">
        <f t="shared" si="4"/>
        <v>11.5</v>
      </c>
      <c r="K44" s="105" t="str">
        <f t="shared" si="1"/>
        <v>TRANSITA</v>
      </c>
      <c r="L44" s="156">
        <v>10</v>
      </c>
      <c r="M44" s="140">
        <v>14</v>
      </c>
      <c r="N44" s="140"/>
      <c r="O44" s="140">
        <v>11.5</v>
      </c>
      <c r="P44" s="140"/>
      <c r="Q44" s="104">
        <f t="shared" si="5"/>
        <v>11.833333333333334</v>
      </c>
      <c r="R44" s="105" t="str">
        <f t="shared" si="2"/>
        <v>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7.7777777777777786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82">
        <v>10</v>
      </c>
      <c r="F45" s="183">
        <v>10.5</v>
      </c>
      <c r="G45" s="183"/>
      <c r="H45" s="183">
        <v>14.5</v>
      </c>
      <c r="I45" s="140"/>
      <c r="J45" s="104">
        <f t="shared" si="4"/>
        <v>11.666666666666666</v>
      </c>
      <c r="K45" s="105" t="str">
        <f t="shared" si="1"/>
        <v>TRANSITA</v>
      </c>
      <c r="L45" s="156">
        <v>10</v>
      </c>
      <c r="M45" s="140">
        <v>16.5</v>
      </c>
      <c r="N45" s="140"/>
      <c r="O45" s="140">
        <v>12.5</v>
      </c>
      <c r="P45" s="140"/>
      <c r="Q45" s="104">
        <f t="shared" si="5"/>
        <v>13</v>
      </c>
      <c r="R45" s="105" t="str">
        <f t="shared" si="2"/>
        <v>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8.2222222222222214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82">
        <v>10</v>
      </c>
      <c r="F46" s="183">
        <v>14</v>
      </c>
      <c r="G46" s="183"/>
      <c r="H46" s="183">
        <v>15</v>
      </c>
      <c r="I46" s="140"/>
      <c r="J46" s="104">
        <f t="shared" si="4"/>
        <v>13</v>
      </c>
      <c r="K46" s="105" t="str">
        <f t="shared" si="1"/>
        <v>TRANSITA</v>
      </c>
      <c r="L46" s="156">
        <v>10</v>
      </c>
      <c r="M46" s="140">
        <v>14</v>
      </c>
      <c r="N46" s="140"/>
      <c r="O46" s="140">
        <v>13.5</v>
      </c>
      <c r="P46" s="140"/>
      <c r="Q46" s="104">
        <f t="shared" si="5"/>
        <v>12.5</v>
      </c>
      <c r="R46" s="105" t="str">
        <f t="shared" si="2"/>
        <v>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8.5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82">
        <v>10</v>
      </c>
      <c r="F47" s="183">
        <v>18</v>
      </c>
      <c r="G47" s="183"/>
      <c r="H47" s="183">
        <v>13.5</v>
      </c>
      <c r="I47" s="140"/>
      <c r="J47" s="104">
        <f t="shared" si="4"/>
        <v>13.833333333333334</v>
      </c>
      <c r="K47" s="105" t="str">
        <f t="shared" si="1"/>
        <v>TRANSITA</v>
      </c>
      <c r="L47" s="156">
        <v>13</v>
      </c>
      <c r="M47" s="140">
        <v>16</v>
      </c>
      <c r="N47" s="140"/>
      <c r="O47" s="140">
        <v>13</v>
      </c>
      <c r="P47" s="140"/>
      <c r="Q47" s="104">
        <f t="shared" si="5"/>
        <v>14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9.2777777777777786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82">
        <v>10</v>
      </c>
      <c r="F48" s="183">
        <v>13</v>
      </c>
      <c r="G48" s="183"/>
      <c r="H48" s="183">
        <v>16.5</v>
      </c>
      <c r="I48" s="140"/>
      <c r="J48" s="104">
        <f t="shared" si="4"/>
        <v>13.166666666666666</v>
      </c>
      <c r="K48" s="105" t="str">
        <f t="shared" si="1"/>
        <v>TRANSITA</v>
      </c>
      <c r="L48" s="156">
        <v>11</v>
      </c>
      <c r="M48" s="140">
        <v>14.5</v>
      </c>
      <c r="N48" s="140"/>
      <c r="O48" s="140">
        <v>13</v>
      </c>
      <c r="P48" s="140"/>
      <c r="Q48" s="104">
        <f t="shared" si="5"/>
        <v>12.833333333333334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8.6666666666666661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82">
        <v>10</v>
      </c>
      <c r="F49" s="183">
        <v>13</v>
      </c>
      <c r="G49" s="183"/>
      <c r="H49" s="183">
        <v>13.5</v>
      </c>
      <c r="I49" s="140"/>
      <c r="J49" s="104">
        <f t="shared" si="4"/>
        <v>12.166666666666666</v>
      </c>
      <c r="K49" s="105" t="str">
        <f t="shared" si="1"/>
        <v>TRANSITA</v>
      </c>
      <c r="L49" s="156">
        <v>10</v>
      </c>
      <c r="M49" s="140">
        <v>12</v>
      </c>
      <c r="N49" s="140"/>
      <c r="O49" s="140">
        <v>11.5</v>
      </c>
      <c r="P49" s="140"/>
      <c r="Q49" s="104">
        <f t="shared" si="5"/>
        <v>11.166666666666666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7.7777777777777777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82">
        <v>10</v>
      </c>
      <c r="F50" s="183">
        <v>18</v>
      </c>
      <c r="G50" s="183"/>
      <c r="H50" s="183">
        <v>15</v>
      </c>
      <c r="I50" s="140"/>
      <c r="J50" s="104">
        <f t="shared" si="4"/>
        <v>14.333333333333334</v>
      </c>
      <c r="K50" s="105" t="str">
        <f t="shared" si="1"/>
        <v>TRANSITA</v>
      </c>
      <c r="L50" s="156">
        <v>11</v>
      </c>
      <c r="M50" s="140">
        <v>18</v>
      </c>
      <c r="N50" s="140"/>
      <c r="O50" s="140">
        <v>16</v>
      </c>
      <c r="P50" s="140"/>
      <c r="Q50" s="104">
        <f t="shared" si="5"/>
        <v>15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9.7777777777777786</v>
      </c>
      <c r="Z50" s="105" t="str">
        <f t="shared" si="21"/>
        <v>N/TRANSITA</v>
      </c>
    </row>
    <row r="51" spans="1:26" ht="14.25" customHeight="1" x14ac:dyDescent="0.3">
      <c r="B51" s="31">
        <v>43</v>
      </c>
      <c r="C51" s="177" t="s">
        <v>135</v>
      </c>
      <c r="D51" s="103"/>
      <c r="E51" s="182">
        <v>10</v>
      </c>
      <c r="F51" s="183">
        <v>13</v>
      </c>
      <c r="G51" s="183"/>
      <c r="H51" s="183">
        <v>13.5</v>
      </c>
      <c r="I51" s="140"/>
      <c r="J51" s="104">
        <f t="shared" si="4"/>
        <v>12.166666666666666</v>
      </c>
      <c r="K51" s="105" t="str">
        <f t="shared" si="1"/>
        <v>TRANSITA</v>
      </c>
      <c r="L51" s="156">
        <v>10</v>
      </c>
      <c r="M51" s="140">
        <v>13</v>
      </c>
      <c r="N51" s="140"/>
      <c r="O51" s="140">
        <v>13</v>
      </c>
      <c r="P51" s="140"/>
      <c r="Q51" s="104">
        <f t="shared" si="5"/>
        <v>12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8.0555555555555554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84">
        <v>10</v>
      </c>
      <c r="F52" s="185">
        <v>15</v>
      </c>
      <c r="G52" s="185"/>
      <c r="H52" s="185">
        <v>13.5</v>
      </c>
      <c r="I52" s="152"/>
      <c r="J52" s="109">
        <f t="shared" si="4"/>
        <v>12.833333333333334</v>
      </c>
      <c r="K52" s="110" t="str">
        <f t="shared" si="1"/>
        <v>TRANSITA</v>
      </c>
      <c r="L52" s="157">
        <v>7</v>
      </c>
      <c r="M52" s="152">
        <v>16</v>
      </c>
      <c r="N52" s="152"/>
      <c r="O52" s="152">
        <v>13</v>
      </c>
      <c r="P52" s="152"/>
      <c r="Q52" s="109">
        <f t="shared" si="5"/>
        <v>12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8.2777777777777786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229" priority="187" stopIfTrue="1" operator="greaterThan">
      <formula>9.5</formula>
    </cfRule>
    <cfRule type="cellIs" dxfId="228" priority="188" stopIfTrue="1" operator="lessThanOrEqual">
      <formula>9.5</formula>
    </cfRule>
  </conditionalFormatting>
  <conditionalFormatting sqref="X9:X52 Q9:Q52">
    <cfRule type="cellIs" dxfId="227" priority="165" stopIfTrue="1" operator="lessThan">
      <formula>10</formula>
    </cfRule>
    <cfRule type="cellIs" dxfId="226" priority="166" stopIfTrue="1" operator="greaterThanOrEqual">
      <formula>10</formula>
    </cfRule>
  </conditionalFormatting>
  <conditionalFormatting sqref="S9:W52 P9:P52">
    <cfRule type="cellIs" dxfId="225" priority="81" stopIfTrue="1" operator="lessThan">
      <formula>10</formula>
    </cfRule>
    <cfRule type="cellIs" dxfId="224" priority="82" stopIfTrue="1" operator="greaterThan">
      <formula>9</formula>
    </cfRule>
  </conditionalFormatting>
  <conditionalFormatting sqref="S9:W52 P9:P52">
    <cfRule type="cellIs" dxfId="223" priority="79" stopIfTrue="1" operator="lessThan">
      <formula>10</formula>
    </cfRule>
    <cfRule type="cellIs" dxfId="222" priority="80" stopIfTrue="1" operator="greaterThan">
      <formula>9</formula>
    </cfRule>
  </conditionalFormatting>
  <conditionalFormatting sqref="E9:H52">
    <cfRule type="cellIs" dxfId="221" priority="4" stopIfTrue="1" operator="greaterThan">
      <formula>9</formula>
    </cfRule>
  </conditionalFormatting>
  <conditionalFormatting sqref="E9:I52">
    <cfRule type="cellIs" dxfId="220" priority="2" stopIfTrue="1" operator="greaterThan">
      <formula>9</formula>
    </cfRule>
    <cfRule type="cellIs" dxfId="219" priority="3" stopIfTrue="1" operator="lessThan">
      <formula>10</formula>
    </cfRule>
  </conditionalFormatting>
  <conditionalFormatting sqref="E9:J52">
    <cfRule type="cellIs" dxfId="218" priority="1" stopIfTrue="1" operator="lessThan">
      <formula>10</formula>
    </cfRule>
  </conditionalFormatting>
  <conditionalFormatting sqref="I9:I52">
    <cfRule type="cellIs" dxfId="217" priority="5" stopIfTrue="1" operator="greaterThan">
      <formula>9</formula>
    </cfRule>
  </conditionalFormatting>
  <conditionalFormatting sqref="L9:O52">
    <cfRule type="cellIs" dxfId="216" priority="7" stopIfTrue="1" operator="greaterThan">
      <formula>9</formula>
    </cfRule>
    <cfRule type="cellIs" dxfId="215" priority="8" stopIfTrue="1" operator="lessThan">
      <formula>10</formula>
    </cfRule>
    <cfRule type="cellIs" dxfId="214" priority="9" stopIfTrue="1" operator="greaterThan">
      <formula>9</formula>
    </cfRule>
  </conditionalFormatting>
  <conditionalFormatting sqref="L9:O52">
    <cfRule type="cellIs" dxfId="213" priority="6" stopIfTrue="1" operator="lessThan">
      <formula>10</formula>
    </cfRule>
  </conditionalFormatting>
  <conditionalFormatting sqref="J9:J52">
    <cfRule type="cellIs" dxfId="212" priority="12" stopIfTrue="1" operator="greaterThanOrEqual">
      <formula>10</formula>
    </cfRule>
  </conditionalFormatting>
  <dataValidations count="2">
    <dataValidation type="decimal" allowBlank="1" showInputMessage="1" showErrorMessage="1" errorTitle="ATENÇÃO!" error="O valor introduzido não é válido._x000a_A Subdirecção Pedagógica. Grato!" sqref="L9:P52 S9:W52 I9:I52">
      <formula1>0</formula1>
      <formula2>20</formula2>
    </dataValidation>
    <dataValidation type="decimal" allowBlank="1" showInputMessage="1" showErrorMessage="1" errorTitle="ATENÇÃO!" error="O valor introduzido não é válido. A Subdirecção Pedagógica. Grato!" sqref="E9:H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1505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60960</xdr:colOff>
                <xdr:row>54</xdr:row>
                <xdr:rowOff>22860</xdr:rowOff>
              </to>
            </anchor>
          </objectPr>
        </oleObject>
      </mc:Choice>
      <mc:Fallback>
        <oleObject progId="Word.Document.8" shapeId="2150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1" stopIfTrue="1" operator="containsText" id="{BCAD727A-D744-4A15-9092-9CB693B325DF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32" stopIfTrue="1" operator="containsText" id="{11124310-EB5C-43BC-8385-46A74BDADE2E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10" stopIfTrue="1" operator="containsText" id="{BF0AC6DA-7035-4CC8-914A-145C31F9AA58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" stopIfTrue="1" operator="containsText" id="{AECDD82B-8C5F-4BE5-AAA3-7059E6E89999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H19" sqref="H19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35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6</v>
      </c>
      <c r="AD8" s="287">
        <f>COUNTIF(Z9:Z58,"N/TRANSITA")</f>
        <v>38</v>
      </c>
      <c r="AE8" s="287">
        <f>COUNTIF(Z9:Z58,"E.E.F")</f>
        <v>0</v>
      </c>
    </row>
    <row r="9" spans="1:31" ht="14.25" customHeight="1" thickTop="1" thickBot="1" x14ac:dyDescent="0.35">
      <c r="B9" s="30">
        <v>1</v>
      </c>
      <c r="C9" s="176" t="s">
        <v>95</v>
      </c>
      <c r="D9" s="99"/>
      <c r="E9" s="180">
        <v>14</v>
      </c>
      <c r="F9" s="181">
        <v>8</v>
      </c>
      <c r="G9" s="181"/>
      <c r="H9" s="181">
        <v>12</v>
      </c>
      <c r="I9" s="181"/>
      <c r="J9" s="215">
        <f>AVERAGE(E9,MAX(F9:G9),MAX(H9:I9))</f>
        <v>11.333333333333334</v>
      </c>
      <c r="K9" s="216" t="str">
        <f>IF(J9&gt;=10,"TRANSITA","N/TRANSITA")</f>
        <v>TRANSITA</v>
      </c>
      <c r="L9" s="180">
        <v>16</v>
      </c>
      <c r="M9" s="181">
        <v>11</v>
      </c>
      <c r="N9" s="181"/>
      <c r="O9" s="181">
        <v>14</v>
      </c>
      <c r="P9" s="143"/>
      <c r="Q9" s="112">
        <f>AVERAGE(L9,MAX(M9:N9),MAX(O9:P9))</f>
        <v>13.666666666666666</v>
      </c>
      <c r="R9" s="101" t="str">
        <f>IF(Q9&gt;=10,"TRANSITA","N/TRANSITA")</f>
        <v>TRANSITA</v>
      </c>
      <c r="S9" s="144"/>
      <c r="T9" s="145"/>
      <c r="U9" s="145"/>
      <c r="V9" s="145"/>
      <c r="W9" s="143"/>
      <c r="X9" s="100">
        <f>AVERAGE(S9,MAX(T9:U9),MAX(V9:W9))</f>
        <v>0</v>
      </c>
      <c r="Y9" s="102">
        <f t="shared" ref="Y9:Y31" si="0">SUM(J9,Q9,X9)/3</f>
        <v>8.3333333333333339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thickTop="1" thickBot="1" x14ac:dyDescent="0.35">
      <c r="B10" s="31">
        <v>2</v>
      </c>
      <c r="C10" s="177" t="s">
        <v>96</v>
      </c>
      <c r="D10" s="103"/>
      <c r="E10" s="182">
        <v>17</v>
      </c>
      <c r="F10" s="183">
        <v>15.5</v>
      </c>
      <c r="G10" s="183"/>
      <c r="H10" s="183">
        <v>17</v>
      </c>
      <c r="I10" s="183"/>
      <c r="J10" s="217">
        <f>AVERAGE(E10,MAX(F10:G10),MAX(H10:I10))</f>
        <v>16.5</v>
      </c>
      <c r="K10" s="216" t="str">
        <f t="shared" ref="K10:K52" si="1">IF(J10&gt;=10,"TRANSITA","N/TRANSITA")</f>
        <v>TRANSITA</v>
      </c>
      <c r="L10" s="182">
        <v>20</v>
      </c>
      <c r="M10" s="183">
        <v>19.5</v>
      </c>
      <c r="N10" s="183"/>
      <c r="O10" s="183">
        <v>16</v>
      </c>
      <c r="P10" s="140"/>
      <c r="Q10" s="113">
        <f>AVERAGE(L10,MAX(M10:N10),MAX(O10:P10))</f>
        <v>18.5</v>
      </c>
      <c r="R10" s="105" t="str">
        <f t="shared" ref="R10:R52" si="2">IF(Q10&gt;=10,"TRANSITA","N/TRANSITA")</f>
        <v>TRANSITA</v>
      </c>
      <c r="S10" s="148"/>
      <c r="T10" s="149"/>
      <c r="U10" s="149"/>
      <c r="V10" s="149"/>
      <c r="W10" s="140"/>
      <c r="X10" s="104">
        <f>AVERAGE(S10,MAX(T10:U10),MAX(V10:W10))</f>
        <v>0</v>
      </c>
      <c r="Y10" s="106">
        <f t="shared" si="0"/>
        <v>11.666666666666666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thickTop="1" thickBot="1" x14ac:dyDescent="0.35">
      <c r="B11" s="31">
        <v>3</v>
      </c>
      <c r="C11" s="177" t="s">
        <v>97</v>
      </c>
      <c r="D11" s="103"/>
      <c r="E11" s="182">
        <v>18</v>
      </c>
      <c r="F11" s="183">
        <v>12</v>
      </c>
      <c r="G11" s="183"/>
      <c r="H11" s="183">
        <v>12</v>
      </c>
      <c r="I11" s="183"/>
      <c r="J11" s="217">
        <f t="shared" ref="J11:J52" si="4">AVERAGE(E11,MAX(F11:G11),MAX(H11:I11))</f>
        <v>14</v>
      </c>
      <c r="K11" s="216" t="str">
        <f t="shared" si="1"/>
        <v>TRANSITA</v>
      </c>
      <c r="L11" s="182">
        <v>14</v>
      </c>
      <c r="M11" s="183">
        <v>9.5</v>
      </c>
      <c r="N11" s="183"/>
      <c r="O11" s="183">
        <v>13.5</v>
      </c>
      <c r="P11" s="140"/>
      <c r="Q11" s="113">
        <f t="shared" ref="Q11:Q52" si="5">AVERAGE(L11,MAX(M11:N11),MAX(O11:P11))</f>
        <v>12.333333333333334</v>
      </c>
      <c r="R11" s="105" t="str">
        <f t="shared" si="2"/>
        <v>TRANSITA</v>
      </c>
      <c r="S11" s="148"/>
      <c r="T11" s="149"/>
      <c r="U11" s="149"/>
      <c r="V11" s="149"/>
      <c r="W11" s="140"/>
      <c r="X11" s="104">
        <f t="shared" ref="X11:X52" si="6">AVERAGE(S11,MAX(T11:U11),MAX(V11:W11))</f>
        <v>0</v>
      </c>
      <c r="Y11" s="106">
        <f t="shared" si="0"/>
        <v>8.7777777777777786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thickTop="1" thickBot="1" x14ac:dyDescent="0.35">
      <c r="B12" s="31">
        <v>4</v>
      </c>
      <c r="C12" s="177" t="s">
        <v>98</v>
      </c>
      <c r="D12" s="103"/>
      <c r="E12" s="182">
        <v>17</v>
      </c>
      <c r="F12" s="183">
        <v>14</v>
      </c>
      <c r="G12" s="183"/>
      <c r="H12" s="183">
        <v>13</v>
      </c>
      <c r="I12" s="183"/>
      <c r="J12" s="217">
        <f t="shared" si="4"/>
        <v>14.666666666666666</v>
      </c>
      <c r="K12" s="216" t="str">
        <f t="shared" si="1"/>
        <v>TRANSITA</v>
      </c>
      <c r="L12" s="182">
        <v>19.5</v>
      </c>
      <c r="M12" s="183">
        <v>14</v>
      </c>
      <c r="N12" s="183"/>
      <c r="O12" s="183">
        <v>15.5</v>
      </c>
      <c r="P12" s="140"/>
      <c r="Q12" s="113">
        <f t="shared" si="5"/>
        <v>16.333333333333332</v>
      </c>
      <c r="R12" s="105" t="str">
        <f t="shared" si="2"/>
        <v>TRANSITA</v>
      </c>
      <c r="S12" s="148"/>
      <c r="T12" s="149"/>
      <c r="U12" s="149"/>
      <c r="V12" s="149"/>
      <c r="W12" s="140"/>
      <c r="X12" s="104">
        <f t="shared" si="6"/>
        <v>0</v>
      </c>
      <c r="Y12" s="106">
        <f t="shared" si="0"/>
        <v>10.333333333333334</v>
      </c>
      <c r="Z12" s="105" t="str">
        <f t="shared" si="3"/>
        <v>TRANSITA</v>
      </c>
      <c r="AA12" s="2"/>
      <c r="AB12" s="2"/>
      <c r="AC12" s="2"/>
    </row>
    <row r="13" spans="1:31" ht="14.25" customHeight="1" thickTop="1" thickBot="1" x14ac:dyDescent="0.35">
      <c r="B13" s="31">
        <v>5</v>
      </c>
      <c r="C13" s="177" t="s">
        <v>99</v>
      </c>
      <c r="D13" s="103"/>
      <c r="E13" s="182">
        <v>12</v>
      </c>
      <c r="F13" s="183">
        <v>7</v>
      </c>
      <c r="G13" s="183"/>
      <c r="H13" s="183">
        <v>13</v>
      </c>
      <c r="I13" s="183"/>
      <c r="J13" s="217">
        <f t="shared" si="4"/>
        <v>10.666666666666666</v>
      </c>
      <c r="K13" s="216" t="str">
        <f t="shared" si="1"/>
        <v>TRANSITA</v>
      </c>
      <c r="L13" s="182">
        <v>15</v>
      </c>
      <c r="M13" s="183">
        <v>10.5</v>
      </c>
      <c r="N13" s="183"/>
      <c r="O13" s="183">
        <v>13</v>
      </c>
      <c r="P13" s="140"/>
      <c r="Q13" s="113">
        <f t="shared" si="5"/>
        <v>12.833333333333334</v>
      </c>
      <c r="R13" s="105" t="str">
        <f t="shared" si="2"/>
        <v>TRANSITA</v>
      </c>
      <c r="S13" s="148"/>
      <c r="T13" s="149"/>
      <c r="U13" s="149"/>
      <c r="V13" s="149"/>
      <c r="W13" s="140"/>
      <c r="X13" s="104">
        <f t="shared" si="6"/>
        <v>0</v>
      </c>
      <c r="Y13" s="106">
        <f t="shared" si="0"/>
        <v>7.833333333333333</v>
      </c>
      <c r="Z13" s="105" t="str">
        <f t="shared" si="3"/>
        <v>N/TRANSITA</v>
      </c>
    </row>
    <row r="14" spans="1:31" ht="14.25" customHeight="1" thickTop="1" thickBot="1" x14ac:dyDescent="0.35">
      <c r="B14" s="31">
        <v>6</v>
      </c>
      <c r="C14" s="177" t="s">
        <v>100</v>
      </c>
      <c r="D14" s="103"/>
      <c r="E14" s="182">
        <v>14</v>
      </c>
      <c r="F14" s="183">
        <v>11</v>
      </c>
      <c r="G14" s="183"/>
      <c r="H14" s="183">
        <v>11</v>
      </c>
      <c r="I14" s="183"/>
      <c r="J14" s="217">
        <f t="shared" si="4"/>
        <v>12</v>
      </c>
      <c r="K14" s="216" t="str">
        <f t="shared" si="1"/>
        <v>TRANSITA</v>
      </c>
      <c r="L14" s="182">
        <v>11</v>
      </c>
      <c r="M14" s="183">
        <v>8.5</v>
      </c>
      <c r="N14" s="183"/>
      <c r="O14" s="183">
        <v>16</v>
      </c>
      <c r="P14" s="140"/>
      <c r="Q14" s="113">
        <f t="shared" si="5"/>
        <v>11.833333333333334</v>
      </c>
      <c r="R14" s="105" t="str">
        <f t="shared" si="2"/>
        <v>TRANSITA</v>
      </c>
      <c r="S14" s="148"/>
      <c r="T14" s="149"/>
      <c r="U14" s="149"/>
      <c r="V14" s="149"/>
      <c r="W14" s="140"/>
      <c r="X14" s="104">
        <f t="shared" si="6"/>
        <v>0</v>
      </c>
      <c r="Y14" s="106">
        <f t="shared" si="0"/>
        <v>7.9444444444444455</v>
      </c>
      <c r="Z14" s="105" t="str">
        <f t="shared" si="3"/>
        <v>N/TRANSITA</v>
      </c>
    </row>
    <row r="15" spans="1:31" ht="14.25" customHeight="1" thickTop="1" thickBot="1" x14ac:dyDescent="0.35">
      <c r="B15" s="31">
        <v>7</v>
      </c>
      <c r="C15" s="177" t="s">
        <v>101</v>
      </c>
      <c r="D15" s="103"/>
      <c r="E15" s="182">
        <v>15</v>
      </c>
      <c r="F15" s="183">
        <v>5</v>
      </c>
      <c r="G15" s="183"/>
      <c r="H15" s="183">
        <v>12.5</v>
      </c>
      <c r="I15" s="183"/>
      <c r="J15" s="217">
        <f t="shared" si="4"/>
        <v>10.833333333333334</v>
      </c>
      <c r="K15" s="216" t="str">
        <f t="shared" si="1"/>
        <v>TRANSITA</v>
      </c>
      <c r="L15" s="182">
        <v>20</v>
      </c>
      <c r="M15" s="183">
        <v>4.5</v>
      </c>
      <c r="N15" s="183"/>
      <c r="O15" s="183">
        <v>15.5</v>
      </c>
      <c r="P15" s="140"/>
      <c r="Q15" s="113">
        <f t="shared" si="5"/>
        <v>13.333333333333334</v>
      </c>
      <c r="R15" s="105" t="str">
        <f t="shared" si="2"/>
        <v>TRANSITA</v>
      </c>
      <c r="S15" s="148"/>
      <c r="T15" s="149"/>
      <c r="U15" s="149"/>
      <c r="V15" s="149"/>
      <c r="W15" s="140"/>
      <c r="X15" s="104">
        <f t="shared" si="6"/>
        <v>0</v>
      </c>
      <c r="Y15" s="106">
        <f t="shared" si="0"/>
        <v>8.0555555555555554</v>
      </c>
      <c r="Z15" s="105" t="str">
        <f t="shared" si="3"/>
        <v>N/TRANSITA</v>
      </c>
    </row>
    <row r="16" spans="1:31" ht="14.25" customHeight="1" thickTop="1" thickBot="1" x14ac:dyDescent="0.35">
      <c r="B16" s="31">
        <v>8</v>
      </c>
      <c r="C16" s="177" t="s">
        <v>102</v>
      </c>
      <c r="D16" s="103"/>
      <c r="E16" s="182">
        <v>16</v>
      </c>
      <c r="F16" s="183">
        <v>6</v>
      </c>
      <c r="G16" s="183"/>
      <c r="H16" s="183">
        <v>16</v>
      </c>
      <c r="I16" s="183"/>
      <c r="J16" s="217">
        <f t="shared" si="4"/>
        <v>12.666666666666666</v>
      </c>
      <c r="K16" s="216" t="str">
        <f t="shared" si="1"/>
        <v>TRANSITA</v>
      </c>
      <c r="L16" s="182">
        <v>19.5</v>
      </c>
      <c r="M16" s="183">
        <v>6.5</v>
      </c>
      <c r="N16" s="183"/>
      <c r="O16" s="183">
        <v>16.5</v>
      </c>
      <c r="P16" s="140"/>
      <c r="Q16" s="113">
        <f t="shared" si="5"/>
        <v>14.166666666666666</v>
      </c>
      <c r="R16" s="105" t="str">
        <f t="shared" si="2"/>
        <v>TRANSITA</v>
      </c>
      <c r="S16" s="148"/>
      <c r="T16" s="149"/>
      <c r="U16" s="149"/>
      <c r="V16" s="149"/>
      <c r="W16" s="140"/>
      <c r="X16" s="104">
        <f t="shared" si="6"/>
        <v>0</v>
      </c>
      <c r="Y16" s="106">
        <f t="shared" si="0"/>
        <v>8.9444444444444446</v>
      </c>
      <c r="Z16" s="105" t="str">
        <f t="shared" si="3"/>
        <v>N/TRANSITA</v>
      </c>
    </row>
    <row r="17" spans="2:26" ht="14.25" customHeight="1" thickTop="1" thickBot="1" x14ac:dyDescent="0.35">
      <c r="B17" s="31">
        <v>9</v>
      </c>
      <c r="C17" s="177" t="s">
        <v>103</v>
      </c>
      <c r="D17" s="103"/>
      <c r="E17" s="182">
        <v>11</v>
      </c>
      <c r="F17" s="183">
        <v>7</v>
      </c>
      <c r="G17" s="183"/>
      <c r="H17" s="183">
        <v>11</v>
      </c>
      <c r="I17" s="183"/>
      <c r="J17" s="217">
        <f t="shared" si="4"/>
        <v>9.6666666666666661</v>
      </c>
      <c r="K17" s="216" t="str">
        <f t="shared" si="1"/>
        <v>N/TRANSITA</v>
      </c>
      <c r="L17" s="182">
        <v>13</v>
      </c>
      <c r="M17" s="183">
        <v>5.5</v>
      </c>
      <c r="N17" s="183"/>
      <c r="O17" s="183">
        <v>11</v>
      </c>
      <c r="P17" s="140"/>
      <c r="Q17" s="113">
        <f t="shared" si="5"/>
        <v>9.8333333333333339</v>
      </c>
      <c r="R17" s="105" t="str">
        <f t="shared" si="2"/>
        <v>N/TRANSITA</v>
      </c>
      <c r="S17" s="148"/>
      <c r="T17" s="149"/>
      <c r="U17" s="149"/>
      <c r="V17" s="149"/>
      <c r="W17" s="140"/>
      <c r="X17" s="104">
        <f t="shared" si="6"/>
        <v>0</v>
      </c>
      <c r="Y17" s="106">
        <f t="shared" si="0"/>
        <v>6.5</v>
      </c>
      <c r="Z17" s="105" t="str">
        <f t="shared" si="3"/>
        <v>N/TRANSITA</v>
      </c>
    </row>
    <row r="18" spans="2:26" ht="14.25" customHeight="1" thickTop="1" thickBot="1" x14ac:dyDescent="0.35">
      <c r="B18" s="31">
        <v>10</v>
      </c>
      <c r="C18" s="177" t="s">
        <v>104</v>
      </c>
      <c r="D18" s="103"/>
      <c r="E18" s="182">
        <v>13</v>
      </c>
      <c r="F18" s="183">
        <v>16.5</v>
      </c>
      <c r="G18" s="183"/>
      <c r="H18" s="183">
        <v>16.5</v>
      </c>
      <c r="I18" s="183"/>
      <c r="J18" s="217">
        <f t="shared" si="4"/>
        <v>15.333333333333334</v>
      </c>
      <c r="K18" s="216" t="str">
        <f t="shared" si="1"/>
        <v>TRANSITA</v>
      </c>
      <c r="L18" s="182">
        <v>14</v>
      </c>
      <c r="M18" s="183">
        <v>4</v>
      </c>
      <c r="N18" s="183"/>
      <c r="O18" s="183">
        <v>14.5</v>
      </c>
      <c r="P18" s="140"/>
      <c r="Q18" s="113">
        <f t="shared" si="5"/>
        <v>10.833333333333334</v>
      </c>
      <c r="R18" s="105" t="str">
        <f t="shared" si="2"/>
        <v>TRANSITA</v>
      </c>
      <c r="S18" s="148"/>
      <c r="T18" s="149"/>
      <c r="U18" s="149"/>
      <c r="V18" s="149"/>
      <c r="W18" s="140"/>
      <c r="X18" s="104">
        <f t="shared" si="6"/>
        <v>0</v>
      </c>
      <c r="Y18" s="106">
        <f t="shared" si="0"/>
        <v>8.7222222222222232</v>
      </c>
      <c r="Z18" s="105" t="str">
        <f t="shared" si="3"/>
        <v>N/TRANSITA</v>
      </c>
    </row>
    <row r="19" spans="2:26" ht="14.25" customHeight="1" thickTop="1" thickBot="1" x14ac:dyDescent="0.35">
      <c r="B19" s="31">
        <v>11</v>
      </c>
      <c r="C19" s="177" t="s">
        <v>105</v>
      </c>
      <c r="D19" s="103"/>
      <c r="E19" s="182">
        <v>17</v>
      </c>
      <c r="F19" s="183">
        <v>6.5</v>
      </c>
      <c r="G19" s="183"/>
      <c r="H19" s="183">
        <v>15.5</v>
      </c>
      <c r="I19" s="183"/>
      <c r="J19" s="217">
        <f t="shared" si="4"/>
        <v>13</v>
      </c>
      <c r="K19" s="216" t="str">
        <f t="shared" si="1"/>
        <v>TRANSITA</v>
      </c>
      <c r="L19" s="182">
        <v>18.5</v>
      </c>
      <c r="M19" s="183">
        <v>10.5</v>
      </c>
      <c r="N19" s="183"/>
      <c r="O19" s="183">
        <v>14</v>
      </c>
      <c r="P19" s="140"/>
      <c r="Q19" s="113">
        <f t="shared" si="5"/>
        <v>14.333333333333334</v>
      </c>
      <c r="R19" s="105" t="str">
        <f t="shared" si="2"/>
        <v>TRANSITA</v>
      </c>
      <c r="S19" s="148"/>
      <c r="T19" s="149"/>
      <c r="U19" s="149"/>
      <c r="V19" s="149"/>
      <c r="W19" s="140"/>
      <c r="X19" s="104">
        <f t="shared" si="6"/>
        <v>0</v>
      </c>
      <c r="Y19" s="106">
        <f t="shared" si="0"/>
        <v>9.1111111111111125</v>
      </c>
      <c r="Z19" s="105" t="str">
        <f t="shared" si="3"/>
        <v>N/TRANSITA</v>
      </c>
    </row>
    <row r="20" spans="2:26" ht="14.25" customHeight="1" thickTop="1" thickBot="1" x14ac:dyDescent="0.35">
      <c r="B20" s="31">
        <v>12</v>
      </c>
      <c r="C20" s="177" t="s">
        <v>106</v>
      </c>
      <c r="D20" s="103"/>
      <c r="E20" s="182">
        <v>18</v>
      </c>
      <c r="F20" s="183">
        <v>11.5</v>
      </c>
      <c r="G20" s="183"/>
      <c r="H20" s="183">
        <v>15.5</v>
      </c>
      <c r="I20" s="183"/>
      <c r="J20" s="217">
        <f t="shared" si="4"/>
        <v>15</v>
      </c>
      <c r="K20" s="216" t="str">
        <f t="shared" si="1"/>
        <v>TRANSITA</v>
      </c>
      <c r="L20" s="182">
        <v>18.5</v>
      </c>
      <c r="M20" s="183">
        <v>8.5</v>
      </c>
      <c r="N20" s="183"/>
      <c r="O20" s="183">
        <v>13.5</v>
      </c>
      <c r="P20" s="140"/>
      <c r="Q20" s="113">
        <f t="shared" si="5"/>
        <v>13.5</v>
      </c>
      <c r="R20" s="105" t="str">
        <f t="shared" si="2"/>
        <v>TRANSITA</v>
      </c>
      <c r="S20" s="148"/>
      <c r="T20" s="149"/>
      <c r="U20" s="149"/>
      <c r="V20" s="149"/>
      <c r="W20" s="140"/>
      <c r="X20" s="104">
        <f t="shared" si="6"/>
        <v>0</v>
      </c>
      <c r="Y20" s="106">
        <f t="shared" si="0"/>
        <v>9.5</v>
      </c>
      <c r="Z20" s="105" t="str">
        <f t="shared" si="3"/>
        <v>N/TRANSITA</v>
      </c>
    </row>
    <row r="21" spans="2:26" ht="14.25" customHeight="1" thickTop="1" thickBot="1" x14ac:dyDescent="0.35">
      <c r="B21" s="31">
        <v>13</v>
      </c>
      <c r="C21" s="177" t="s">
        <v>107</v>
      </c>
      <c r="D21" s="103"/>
      <c r="E21" s="182">
        <v>15</v>
      </c>
      <c r="F21" s="183">
        <v>14</v>
      </c>
      <c r="G21" s="183"/>
      <c r="H21" s="183">
        <v>13.5</v>
      </c>
      <c r="I21" s="183"/>
      <c r="J21" s="217">
        <f t="shared" si="4"/>
        <v>14.166666666666666</v>
      </c>
      <c r="K21" s="216" t="str">
        <f t="shared" si="1"/>
        <v>TRANSITA</v>
      </c>
      <c r="L21" s="182">
        <v>18</v>
      </c>
      <c r="M21" s="183">
        <v>3</v>
      </c>
      <c r="N21" s="183"/>
      <c r="O21" s="183">
        <v>12</v>
      </c>
      <c r="P21" s="140"/>
      <c r="Q21" s="113">
        <f t="shared" si="5"/>
        <v>11</v>
      </c>
      <c r="R21" s="105" t="str">
        <f t="shared" si="2"/>
        <v>TRANSITA</v>
      </c>
      <c r="S21" s="148"/>
      <c r="T21" s="149"/>
      <c r="U21" s="149"/>
      <c r="V21" s="149"/>
      <c r="W21" s="140"/>
      <c r="X21" s="104">
        <f t="shared" si="6"/>
        <v>0</v>
      </c>
      <c r="Y21" s="106">
        <f t="shared" si="0"/>
        <v>8.3888888888888875</v>
      </c>
      <c r="Z21" s="105" t="str">
        <f t="shared" si="3"/>
        <v>N/TRANSITA</v>
      </c>
    </row>
    <row r="22" spans="2:26" ht="14.25" customHeight="1" thickTop="1" thickBot="1" x14ac:dyDescent="0.35">
      <c r="B22" s="31">
        <v>14</v>
      </c>
      <c r="C22" s="177" t="s">
        <v>108</v>
      </c>
      <c r="D22" s="103"/>
      <c r="E22" s="182">
        <v>10</v>
      </c>
      <c r="F22" s="183">
        <v>9.5</v>
      </c>
      <c r="G22" s="183"/>
      <c r="H22" s="183">
        <v>14.5</v>
      </c>
      <c r="I22" s="183"/>
      <c r="J22" s="217">
        <f t="shared" si="4"/>
        <v>11.333333333333334</v>
      </c>
      <c r="K22" s="216" t="str">
        <f t="shared" si="1"/>
        <v>TRANSITA</v>
      </c>
      <c r="L22" s="182">
        <v>15</v>
      </c>
      <c r="M22" s="183">
        <v>4</v>
      </c>
      <c r="N22" s="183"/>
      <c r="O22" s="183">
        <v>14.5</v>
      </c>
      <c r="P22" s="140"/>
      <c r="Q22" s="113">
        <f t="shared" si="5"/>
        <v>11.166666666666666</v>
      </c>
      <c r="R22" s="105" t="str">
        <f t="shared" si="2"/>
        <v>TRANSITA</v>
      </c>
      <c r="S22" s="148"/>
      <c r="T22" s="149"/>
      <c r="U22" s="149"/>
      <c r="V22" s="149"/>
      <c r="W22" s="140"/>
      <c r="X22" s="104">
        <f t="shared" si="6"/>
        <v>0</v>
      </c>
      <c r="Y22" s="106">
        <f t="shared" si="0"/>
        <v>7.5</v>
      </c>
      <c r="Z22" s="105" t="str">
        <f t="shared" si="3"/>
        <v>N/TRANSITA</v>
      </c>
    </row>
    <row r="23" spans="2:26" ht="14.25" customHeight="1" thickTop="1" thickBot="1" x14ac:dyDescent="0.35">
      <c r="B23" s="31">
        <v>15</v>
      </c>
      <c r="C23" s="177" t="s">
        <v>109</v>
      </c>
      <c r="D23" s="103"/>
      <c r="E23" s="182">
        <v>13</v>
      </c>
      <c r="F23" s="183">
        <v>9.5</v>
      </c>
      <c r="G23" s="183"/>
      <c r="H23" s="183">
        <v>7</v>
      </c>
      <c r="I23" s="183"/>
      <c r="J23" s="217">
        <f t="shared" si="4"/>
        <v>9.8333333333333339</v>
      </c>
      <c r="K23" s="216" t="str">
        <f t="shared" si="1"/>
        <v>N/TRANSITA</v>
      </c>
      <c r="L23" s="182">
        <v>14</v>
      </c>
      <c r="M23" s="183">
        <v>2.5</v>
      </c>
      <c r="N23" s="183"/>
      <c r="O23" s="183">
        <v>15</v>
      </c>
      <c r="P23" s="140"/>
      <c r="Q23" s="113">
        <f t="shared" si="5"/>
        <v>10.5</v>
      </c>
      <c r="R23" s="105" t="str">
        <f t="shared" si="2"/>
        <v>TRANSITA</v>
      </c>
      <c r="S23" s="148"/>
      <c r="T23" s="149"/>
      <c r="U23" s="149"/>
      <c r="V23" s="149"/>
      <c r="W23" s="140"/>
      <c r="X23" s="104">
        <f t="shared" si="6"/>
        <v>0</v>
      </c>
      <c r="Y23" s="106">
        <f t="shared" si="0"/>
        <v>6.7777777777777786</v>
      </c>
      <c r="Z23" s="105" t="str">
        <f t="shared" si="3"/>
        <v>N/TRANSITA</v>
      </c>
    </row>
    <row r="24" spans="2:26" ht="14.25" customHeight="1" thickTop="1" thickBot="1" x14ac:dyDescent="0.35">
      <c r="B24" s="31">
        <v>16</v>
      </c>
      <c r="C24" s="177" t="s">
        <v>110</v>
      </c>
      <c r="D24" s="103"/>
      <c r="E24" s="182">
        <v>14.5</v>
      </c>
      <c r="F24" s="183">
        <v>11</v>
      </c>
      <c r="G24" s="183"/>
      <c r="H24" s="183">
        <v>11</v>
      </c>
      <c r="I24" s="183"/>
      <c r="J24" s="217">
        <f t="shared" si="4"/>
        <v>12.166666666666666</v>
      </c>
      <c r="K24" s="216" t="str">
        <f t="shared" si="1"/>
        <v>TRANSITA</v>
      </c>
      <c r="L24" s="182">
        <v>15</v>
      </c>
      <c r="M24" s="183">
        <v>2.5</v>
      </c>
      <c r="N24" s="183"/>
      <c r="O24" s="183">
        <v>15.5</v>
      </c>
      <c r="P24" s="140"/>
      <c r="Q24" s="113">
        <f t="shared" si="5"/>
        <v>11</v>
      </c>
      <c r="R24" s="105" t="str">
        <f t="shared" si="2"/>
        <v>TRANSITA</v>
      </c>
      <c r="S24" s="148"/>
      <c r="T24" s="149"/>
      <c r="U24" s="149"/>
      <c r="V24" s="149"/>
      <c r="W24" s="140"/>
      <c r="X24" s="104">
        <f t="shared" si="6"/>
        <v>0</v>
      </c>
      <c r="Y24" s="106">
        <f t="shared" si="0"/>
        <v>7.7222222222222214</v>
      </c>
      <c r="Z24" s="105" t="str">
        <f t="shared" si="3"/>
        <v>N/TRANSITA</v>
      </c>
    </row>
    <row r="25" spans="2:26" ht="14.25" customHeight="1" thickTop="1" thickBot="1" x14ac:dyDescent="0.35">
      <c r="B25" s="31">
        <v>17</v>
      </c>
      <c r="C25" s="177" t="s">
        <v>111</v>
      </c>
      <c r="D25" s="103"/>
      <c r="E25" s="182">
        <v>14</v>
      </c>
      <c r="F25" s="183">
        <v>9</v>
      </c>
      <c r="G25" s="183"/>
      <c r="H25" s="183">
        <v>12</v>
      </c>
      <c r="I25" s="183"/>
      <c r="J25" s="217">
        <f t="shared" si="4"/>
        <v>11.666666666666666</v>
      </c>
      <c r="K25" s="216" t="str">
        <f t="shared" si="1"/>
        <v>TRANSITA</v>
      </c>
      <c r="L25" s="182">
        <v>15.5</v>
      </c>
      <c r="M25" s="183">
        <v>9.5</v>
      </c>
      <c r="N25" s="183"/>
      <c r="O25" s="183">
        <v>14.5</v>
      </c>
      <c r="P25" s="140"/>
      <c r="Q25" s="113">
        <f t="shared" si="5"/>
        <v>13.166666666666666</v>
      </c>
      <c r="R25" s="105" t="str">
        <f t="shared" si="2"/>
        <v>TRANSITA</v>
      </c>
      <c r="S25" s="148"/>
      <c r="T25" s="149"/>
      <c r="U25" s="149"/>
      <c r="V25" s="149"/>
      <c r="W25" s="140"/>
      <c r="X25" s="104">
        <f t="shared" si="6"/>
        <v>0</v>
      </c>
      <c r="Y25" s="106">
        <f t="shared" si="0"/>
        <v>8.2777777777777768</v>
      </c>
      <c r="Z25" s="105" t="str">
        <f t="shared" si="3"/>
        <v>N/TRANSITA</v>
      </c>
    </row>
    <row r="26" spans="2:26" ht="14.25" customHeight="1" thickTop="1" thickBot="1" x14ac:dyDescent="0.35">
      <c r="B26" s="31">
        <v>18</v>
      </c>
      <c r="C26" s="177" t="s">
        <v>112</v>
      </c>
      <c r="D26" s="103"/>
      <c r="E26" s="182">
        <v>15</v>
      </c>
      <c r="F26" s="183">
        <v>6.5</v>
      </c>
      <c r="G26" s="183"/>
      <c r="H26" s="183">
        <v>14</v>
      </c>
      <c r="I26" s="183"/>
      <c r="J26" s="217">
        <f t="shared" si="4"/>
        <v>11.833333333333334</v>
      </c>
      <c r="K26" s="216" t="str">
        <f t="shared" si="1"/>
        <v>TRANSITA</v>
      </c>
      <c r="L26" s="182">
        <v>16</v>
      </c>
      <c r="M26" s="183">
        <v>7.5</v>
      </c>
      <c r="N26" s="183"/>
      <c r="O26" s="183">
        <v>9.5</v>
      </c>
      <c r="P26" s="140"/>
      <c r="Q26" s="113">
        <f t="shared" si="5"/>
        <v>11</v>
      </c>
      <c r="R26" s="105" t="str">
        <f t="shared" si="2"/>
        <v>TRANSITA</v>
      </c>
      <c r="S26" s="148"/>
      <c r="T26" s="149"/>
      <c r="U26" s="149"/>
      <c r="V26" s="149"/>
      <c r="W26" s="140"/>
      <c r="X26" s="104">
        <f t="shared" si="6"/>
        <v>0</v>
      </c>
      <c r="Y26" s="106">
        <f t="shared" si="0"/>
        <v>7.6111111111111116</v>
      </c>
      <c r="Z26" s="105" t="str">
        <f t="shared" si="3"/>
        <v>N/TRANSITA</v>
      </c>
    </row>
    <row r="27" spans="2:26" ht="14.25" customHeight="1" thickTop="1" thickBot="1" x14ac:dyDescent="0.35">
      <c r="B27" s="31">
        <v>19</v>
      </c>
      <c r="C27" s="177" t="s">
        <v>88</v>
      </c>
      <c r="D27" s="103"/>
      <c r="E27" s="182"/>
      <c r="F27" s="183"/>
      <c r="G27" s="183"/>
      <c r="H27" s="183"/>
      <c r="I27" s="183"/>
      <c r="J27" s="217">
        <f t="shared" si="4"/>
        <v>0</v>
      </c>
      <c r="K27" s="216" t="str">
        <f t="shared" si="1"/>
        <v>N/TRANSITA</v>
      </c>
      <c r="L27" s="182"/>
      <c r="M27" s="183"/>
      <c r="N27" s="183"/>
      <c r="O27" s="183"/>
      <c r="P27" s="140"/>
      <c r="Q27" s="113">
        <f t="shared" si="5"/>
        <v>0</v>
      </c>
      <c r="R27" s="105" t="str">
        <f t="shared" si="2"/>
        <v>N/TRANSITA</v>
      </c>
      <c r="S27" s="148"/>
      <c r="T27" s="149"/>
      <c r="U27" s="149"/>
      <c r="V27" s="149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thickTop="1" thickBot="1" x14ac:dyDescent="0.35">
      <c r="B28" s="31">
        <v>20</v>
      </c>
      <c r="C28" s="177" t="s">
        <v>113</v>
      </c>
      <c r="D28" s="103"/>
      <c r="E28" s="182">
        <v>15</v>
      </c>
      <c r="F28" s="183">
        <v>7</v>
      </c>
      <c r="G28" s="183"/>
      <c r="H28" s="183"/>
      <c r="I28" s="183"/>
      <c r="J28" s="217">
        <f t="shared" si="4"/>
        <v>7.333333333333333</v>
      </c>
      <c r="K28" s="216" t="str">
        <f t="shared" si="1"/>
        <v>N/TRANSITA</v>
      </c>
      <c r="L28" s="182"/>
      <c r="M28" s="183"/>
      <c r="N28" s="183"/>
      <c r="O28" s="183"/>
      <c r="P28" s="140"/>
      <c r="Q28" s="113">
        <f t="shared" si="5"/>
        <v>0</v>
      </c>
      <c r="R28" s="105" t="str">
        <f t="shared" si="2"/>
        <v>N/TRANSITA</v>
      </c>
      <c r="S28" s="148"/>
      <c r="T28" s="149"/>
      <c r="U28" s="149"/>
      <c r="V28" s="149"/>
      <c r="W28" s="140"/>
      <c r="X28" s="104">
        <f t="shared" si="6"/>
        <v>0</v>
      </c>
      <c r="Y28" s="106">
        <f t="shared" si="0"/>
        <v>2.4444444444444442</v>
      </c>
      <c r="Z28" s="105" t="str">
        <f t="shared" si="3"/>
        <v>N/TRANSITA</v>
      </c>
    </row>
    <row r="29" spans="2:26" ht="14.25" customHeight="1" thickTop="1" thickBot="1" x14ac:dyDescent="0.35">
      <c r="B29" s="31">
        <v>21</v>
      </c>
      <c r="C29" s="95" t="s">
        <v>114</v>
      </c>
      <c r="D29" s="103"/>
      <c r="E29" s="182">
        <v>8</v>
      </c>
      <c r="F29" s="183">
        <v>9</v>
      </c>
      <c r="G29" s="183"/>
      <c r="H29" s="183">
        <v>13</v>
      </c>
      <c r="I29" s="183"/>
      <c r="J29" s="217">
        <f t="shared" si="4"/>
        <v>10</v>
      </c>
      <c r="K29" s="216" t="str">
        <f t="shared" si="1"/>
        <v>TRANSITA</v>
      </c>
      <c r="L29" s="182">
        <v>12</v>
      </c>
      <c r="M29" s="183">
        <v>5.5</v>
      </c>
      <c r="N29" s="183"/>
      <c r="O29" s="183"/>
      <c r="P29" s="140"/>
      <c r="Q29" s="113">
        <f t="shared" si="5"/>
        <v>5.833333333333333</v>
      </c>
      <c r="R29" s="105" t="str">
        <f t="shared" si="2"/>
        <v>N/TRANSITA</v>
      </c>
      <c r="S29" s="148"/>
      <c r="T29" s="149"/>
      <c r="U29" s="149"/>
      <c r="V29" s="149"/>
      <c r="W29" s="140"/>
      <c r="X29" s="104">
        <f t="shared" si="6"/>
        <v>0</v>
      </c>
      <c r="Y29" s="106">
        <f t="shared" si="0"/>
        <v>5.2777777777777777</v>
      </c>
      <c r="Z29" s="105" t="str">
        <f t="shared" si="3"/>
        <v>N/TRANSITA</v>
      </c>
    </row>
    <row r="30" spans="2:26" ht="14.25" customHeight="1" thickTop="1" thickBot="1" x14ac:dyDescent="0.35">
      <c r="B30" s="31">
        <v>22</v>
      </c>
      <c r="C30" s="177" t="s">
        <v>115</v>
      </c>
      <c r="D30" s="103"/>
      <c r="E30" s="182">
        <v>14.5</v>
      </c>
      <c r="F30" s="183">
        <v>12.5</v>
      </c>
      <c r="G30" s="183"/>
      <c r="H30" s="183">
        <v>12</v>
      </c>
      <c r="I30" s="183"/>
      <c r="J30" s="217">
        <f t="shared" si="4"/>
        <v>13</v>
      </c>
      <c r="K30" s="216" t="str">
        <f t="shared" si="1"/>
        <v>TRANSITA</v>
      </c>
      <c r="L30" s="182">
        <v>15.5</v>
      </c>
      <c r="M30" s="183">
        <v>7</v>
      </c>
      <c r="N30" s="183"/>
      <c r="O30" s="183">
        <v>15.5</v>
      </c>
      <c r="P30" s="140"/>
      <c r="Q30" s="113">
        <f t="shared" si="5"/>
        <v>12.666666666666666</v>
      </c>
      <c r="R30" s="105" t="str">
        <f t="shared" si="2"/>
        <v>TRANSITA</v>
      </c>
      <c r="S30" s="148"/>
      <c r="T30" s="149"/>
      <c r="U30" s="149"/>
      <c r="V30" s="149"/>
      <c r="W30" s="140"/>
      <c r="X30" s="104">
        <f t="shared" si="6"/>
        <v>0</v>
      </c>
      <c r="Y30" s="106">
        <f t="shared" si="0"/>
        <v>8.5555555555555554</v>
      </c>
      <c r="Z30" s="105" t="str">
        <f t="shared" si="3"/>
        <v>N/TRANSITA</v>
      </c>
    </row>
    <row r="31" spans="2:26" ht="14.25" customHeight="1" thickTop="1" thickBot="1" x14ac:dyDescent="0.35">
      <c r="B31" s="31">
        <v>23</v>
      </c>
      <c r="C31" s="177" t="s">
        <v>116</v>
      </c>
      <c r="D31" s="103"/>
      <c r="E31" s="182">
        <v>19</v>
      </c>
      <c r="F31" s="183">
        <v>7.5</v>
      </c>
      <c r="G31" s="183"/>
      <c r="H31" s="183">
        <v>15.5</v>
      </c>
      <c r="I31" s="183"/>
      <c r="J31" s="217">
        <f t="shared" si="4"/>
        <v>14</v>
      </c>
      <c r="K31" s="216" t="str">
        <f t="shared" si="1"/>
        <v>TRANSITA</v>
      </c>
      <c r="L31" s="182">
        <v>19</v>
      </c>
      <c r="M31" s="183">
        <v>11</v>
      </c>
      <c r="N31" s="183"/>
      <c r="O31" s="183">
        <v>16.5</v>
      </c>
      <c r="P31" s="140"/>
      <c r="Q31" s="113">
        <f t="shared" si="5"/>
        <v>15.5</v>
      </c>
      <c r="R31" s="105" t="str">
        <f t="shared" si="2"/>
        <v>TRANSITA</v>
      </c>
      <c r="S31" s="148"/>
      <c r="T31" s="149"/>
      <c r="U31" s="149"/>
      <c r="V31" s="149"/>
      <c r="W31" s="140"/>
      <c r="X31" s="104">
        <f t="shared" si="6"/>
        <v>0</v>
      </c>
      <c r="Y31" s="106">
        <f t="shared" si="0"/>
        <v>9.8333333333333339</v>
      </c>
      <c r="Z31" s="105" t="str">
        <f t="shared" si="3"/>
        <v>N/TRANSITA</v>
      </c>
    </row>
    <row r="32" spans="2:26" ht="14.25" customHeight="1" thickTop="1" thickBot="1" x14ac:dyDescent="0.35">
      <c r="B32" s="31">
        <v>24</v>
      </c>
      <c r="C32" s="177" t="s">
        <v>117</v>
      </c>
      <c r="D32" s="103"/>
      <c r="E32" s="182">
        <v>8</v>
      </c>
      <c r="F32" s="183">
        <v>5</v>
      </c>
      <c r="G32" s="183"/>
      <c r="H32" s="183">
        <v>5</v>
      </c>
      <c r="I32" s="183"/>
      <c r="J32" s="217">
        <f t="shared" si="4"/>
        <v>6</v>
      </c>
      <c r="K32" s="216" t="str">
        <f t="shared" si="1"/>
        <v>N/TRANSITA</v>
      </c>
      <c r="L32" s="182">
        <v>13</v>
      </c>
      <c r="M32" s="183">
        <v>2</v>
      </c>
      <c r="N32" s="183"/>
      <c r="O32" s="183">
        <v>12</v>
      </c>
      <c r="P32" s="140"/>
      <c r="Q32" s="113">
        <f t="shared" si="5"/>
        <v>9</v>
      </c>
      <c r="R32" s="105" t="str">
        <f t="shared" si="2"/>
        <v>N/TRANSITA</v>
      </c>
      <c r="S32" s="148"/>
      <c r="T32" s="149"/>
      <c r="U32" s="149"/>
      <c r="V32" s="149"/>
      <c r="W32" s="140"/>
      <c r="X32" s="104">
        <f t="shared" si="6"/>
        <v>0</v>
      </c>
      <c r="Y32" s="106">
        <f>SUM(J32,Q32,X32)/3</f>
        <v>5</v>
      </c>
      <c r="Z32" s="105" t="str">
        <f t="shared" si="3"/>
        <v>N/TRANSITA</v>
      </c>
    </row>
    <row r="33" spans="2:26" ht="14.25" customHeight="1" thickTop="1" thickBot="1" x14ac:dyDescent="0.35">
      <c r="B33" s="31">
        <v>25</v>
      </c>
      <c r="C33" s="177" t="s">
        <v>118</v>
      </c>
      <c r="D33" s="103"/>
      <c r="E33" s="182">
        <v>13</v>
      </c>
      <c r="F33" s="183">
        <v>8.5</v>
      </c>
      <c r="G33" s="183"/>
      <c r="H33" s="183">
        <v>14</v>
      </c>
      <c r="I33" s="183"/>
      <c r="J33" s="217">
        <f t="shared" si="4"/>
        <v>11.833333333333334</v>
      </c>
      <c r="K33" s="216" t="str">
        <f t="shared" si="1"/>
        <v>TRANSITA</v>
      </c>
      <c r="L33" s="182">
        <v>15</v>
      </c>
      <c r="M33" s="183">
        <v>10</v>
      </c>
      <c r="N33" s="183"/>
      <c r="O33" s="183">
        <v>14</v>
      </c>
      <c r="P33" s="140"/>
      <c r="Q33" s="113">
        <f t="shared" si="5"/>
        <v>13</v>
      </c>
      <c r="R33" s="105" t="str">
        <f t="shared" si="2"/>
        <v>TRANSITA</v>
      </c>
      <c r="S33" s="148"/>
      <c r="T33" s="149"/>
      <c r="U33" s="149"/>
      <c r="V33" s="149"/>
      <c r="W33" s="140"/>
      <c r="X33" s="104">
        <f t="shared" si="6"/>
        <v>0</v>
      </c>
      <c r="Y33" s="106">
        <f>SUM(J33,Q33,X33)/3</f>
        <v>8.2777777777777786</v>
      </c>
      <c r="Z33" s="105" t="str">
        <f t="shared" si="3"/>
        <v>N/TRANSITA</v>
      </c>
    </row>
    <row r="34" spans="2:26" ht="14.25" customHeight="1" thickTop="1" thickBot="1" x14ac:dyDescent="0.35">
      <c r="B34" s="31">
        <v>26</v>
      </c>
      <c r="C34" s="177" t="s">
        <v>119</v>
      </c>
      <c r="D34" s="103"/>
      <c r="E34" s="182">
        <v>16</v>
      </c>
      <c r="F34" s="183">
        <v>9.5</v>
      </c>
      <c r="G34" s="183"/>
      <c r="H34" s="183">
        <v>14</v>
      </c>
      <c r="I34" s="183"/>
      <c r="J34" s="217">
        <f t="shared" si="4"/>
        <v>13.166666666666666</v>
      </c>
      <c r="K34" s="216" t="str">
        <f t="shared" si="1"/>
        <v>TRANSITA</v>
      </c>
      <c r="L34" s="182">
        <v>16</v>
      </c>
      <c r="M34" s="183">
        <v>12</v>
      </c>
      <c r="N34" s="183"/>
      <c r="O34" s="183">
        <v>13.5</v>
      </c>
      <c r="P34" s="140"/>
      <c r="Q34" s="113">
        <f t="shared" si="5"/>
        <v>13.833333333333334</v>
      </c>
      <c r="R34" s="105" t="str">
        <f t="shared" si="2"/>
        <v>TRANSITA</v>
      </c>
      <c r="S34" s="148"/>
      <c r="T34" s="149"/>
      <c r="U34" s="149"/>
      <c r="V34" s="149"/>
      <c r="W34" s="140"/>
      <c r="X34" s="104">
        <f t="shared" si="6"/>
        <v>0</v>
      </c>
      <c r="Y34" s="106">
        <f t="shared" ref="Y34:Y48" si="7">SUM(J34,Q34,X34)/3</f>
        <v>9</v>
      </c>
      <c r="Z34" s="105" t="str">
        <f t="shared" si="3"/>
        <v>N/TRANSITA</v>
      </c>
    </row>
    <row r="35" spans="2:26" ht="14.25" customHeight="1" thickTop="1" thickBot="1" x14ac:dyDescent="0.35">
      <c r="B35" s="31">
        <v>27</v>
      </c>
      <c r="C35" s="177" t="s">
        <v>120</v>
      </c>
      <c r="D35" s="103"/>
      <c r="E35" s="182">
        <v>11</v>
      </c>
      <c r="F35" s="183">
        <v>11</v>
      </c>
      <c r="G35" s="183"/>
      <c r="H35" s="183">
        <v>11</v>
      </c>
      <c r="I35" s="183"/>
      <c r="J35" s="217">
        <f t="shared" si="4"/>
        <v>11</v>
      </c>
      <c r="K35" s="216" t="str">
        <f t="shared" si="1"/>
        <v>TRANSITA</v>
      </c>
      <c r="L35" s="182">
        <v>14</v>
      </c>
      <c r="M35" s="183">
        <v>7</v>
      </c>
      <c r="N35" s="183"/>
      <c r="O35" s="183">
        <v>10</v>
      </c>
      <c r="P35" s="140"/>
      <c r="Q35" s="113">
        <f t="shared" si="5"/>
        <v>10.333333333333334</v>
      </c>
      <c r="R35" s="105" t="str">
        <f t="shared" si="2"/>
        <v>TRANSITA</v>
      </c>
      <c r="S35" s="148"/>
      <c r="T35" s="149"/>
      <c r="U35" s="149"/>
      <c r="V35" s="149"/>
      <c r="W35" s="140"/>
      <c r="X35" s="104">
        <f t="shared" si="6"/>
        <v>0</v>
      </c>
      <c r="Y35" s="106">
        <f t="shared" si="7"/>
        <v>7.1111111111111116</v>
      </c>
      <c r="Z35" s="105" t="str">
        <f t="shared" si="3"/>
        <v>N/TRANSITA</v>
      </c>
    </row>
    <row r="36" spans="2:26" ht="14.25" customHeight="1" thickTop="1" thickBot="1" x14ac:dyDescent="0.35">
      <c r="B36" s="31">
        <v>28</v>
      </c>
      <c r="C36" s="177" t="s">
        <v>121</v>
      </c>
      <c r="D36" s="103"/>
      <c r="E36" s="182">
        <v>4</v>
      </c>
      <c r="F36" s="183">
        <v>5.5</v>
      </c>
      <c r="G36" s="183"/>
      <c r="H36" s="183">
        <v>10</v>
      </c>
      <c r="I36" s="183"/>
      <c r="J36" s="217">
        <f t="shared" si="4"/>
        <v>6.5</v>
      </c>
      <c r="K36" s="216" t="str">
        <f t="shared" si="1"/>
        <v>N/TRANSITA</v>
      </c>
      <c r="L36" s="182">
        <v>8</v>
      </c>
      <c r="M36" s="183">
        <v>9</v>
      </c>
      <c r="N36" s="183"/>
      <c r="O36" s="183">
        <v>14</v>
      </c>
      <c r="P36" s="140"/>
      <c r="Q36" s="113">
        <f t="shared" si="5"/>
        <v>10.333333333333334</v>
      </c>
      <c r="R36" s="105" t="str">
        <f t="shared" si="2"/>
        <v>TRANSITA</v>
      </c>
      <c r="S36" s="148"/>
      <c r="T36" s="149"/>
      <c r="U36" s="149"/>
      <c r="V36" s="149"/>
      <c r="W36" s="140"/>
      <c r="X36" s="104">
        <f t="shared" si="6"/>
        <v>0</v>
      </c>
      <c r="Y36" s="106">
        <f t="shared" si="7"/>
        <v>5.6111111111111116</v>
      </c>
      <c r="Z36" s="105" t="str">
        <f t="shared" si="3"/>
        <v>N/TRANSITA</v>
      </c>
    </row>
    <row r="37" spans="2:26" ht="14.25" customHeight="1" thickTop="1" thickBot="1" x14ac:dyDescent="0.35">
      <c r="B37" s="31">
        <v>29</v>
      </c>
      <c r="C37" s="177" t="s">
        <v>122</v>
      </c>
      <c r="D37" s="103"/>
      <c r="E37" s="182">
        <v>19</v>
      </c>
      <c r="F37" s="183">
        <v>14</v>
      </c>
      <c r="G37" s="183"/>
      <c r="H37" s="183">
        <v>17.5</v>
      </c>
      <c r="I37" s="183"/>
      <c r="J37" s="217">
        <f t="shared" si="4"/>
        <v>16.833333333333332</v>
      </c>
      <c r="K37" s="216" t="str">
        <f t="shared" si="1"/>
        <v>TRANSITA</v>
      </c>
      <c r="L37" s="182">
        <v>20</v>
      </c>
      <c r="M37" s="183">
        <v>16.5</v>
      </c>
      <c r="N37" s="183"/>
      <c r="O37" s="183">
        <v>15</v>
      </c>
      <c r="P37" s="140"/>
      <c r="Q37" s="113">
        <f t="shared" si="5"/>
        <v>17.166666666666668</v>
      </c>
      <c r="R37" s="105" t="str">
        <f t="shared" si="2"/>
        <v>TRANSITA</v>
      </c>
      <c r="S37" s="148"/>
      <c r="T37" s="149"/>
      <c r="U37" s="149"/>
      <c r="V37" s="149"/>
      <c r="W37" s="140"/>
      <c r="X37" s="104">
        <f t="shared" si="6"/>
        <v>0</v>
      </c>
      <c r="Y37" s="106">
        <f t="shared" si="7"/>
        <v>11.333333333333334</v>
      </c>
      <c r="Z37" s="105" t="str">
        <f t="shared" si="3"/>
        <v>TRANSITA</v>
      </c>
    </row>
    <row r="38" spans="2:26" ht="14.25" customHeight="1" thickTop="1" thickBot="1" x14ac:dyDescent="0.35">
      <c r="B38" s="31">
        <v>30</v>
      </c>
      <c r="C38" s="177" t="s">
        <v>123</v>
      </c>
      <c r="D38" s="103"/>
      <c r="E38" s="182">
        <v>18</v>
      </c>
      <c r="F38" s="183">
        <v>11</v>
      </c>
      <c r="G38" s="183"/>
      <c r="H38" s="183">
        <v>11.5</v>
      </c>
      <c r="I38" s="183"/>
      <c r="J38" s="217">
        <f t="shared" si="4"/>
        <v>13.5</v>
      </c>
      <c r="K38" s="216" t="str">
        <f t="shared" si="1"/>
        <v>TRANSITA</v>
      </c>
      <c r="L38" s="182">
        <v>17.5</v>
      </c>
      <c r="M38" s="183">
        <v>12</v>
      </c>
      <c r="N38" s="183"/>
      <c r="O38" s="183">
        <v>15.5</v>
      </c>
      <c r="P38" s="140"/>
      <c r="Q38" s="113">
        <f t="shared" si="5"/>
        <v>15</v>
      </c>
      <c r="R38" s="105" t="str">
        <f t="shared" si="2"/>
        <v>TRANSITA</v>
      </c>
      <c r="S38" s="148"/>
      <c r="T38" s="149"/>
      <c r="U38" s="149"/>
      <c r="V38" s="149"/>
      <c r="W38" s="140"/>
      <c r="X38" s="104">
        <f t="shared" si="6"/>
        <v>0</v>
      </c>
      <c r="Y38" s="106">
        <f t="shared" si="7"/>
        <v>9.5</v>
      </c>
      <c r="Z38" s="105" t="str">
        <f t="shared" si="3"/>
        <v>N/TRANSITA</v>
      </c>
    </row>
    <row r="39" spans="2:26" ht="14.25" customHeight="1" thickTop="1" thickBot="1" x14ac:dyDescent="0.35">
      <c r="B39" s="31">
        <v>31</v>
      </c>
      <c r="C39" s="177" t="s">
        <v>124</v>
      </c>
      <c r="D39" s="103"/>
      <c r="E39" s="182">
        <v>16</v>
      </c>
      <c r="F39" s="183">
        <v>12.5</v>
      </c>
      <c r="G39" s="183"/>
      <c r="H39" s="183">
        <v>15.5</v>
      </c>
      <c r="I39" s="183"/>
      <c r="J39" s="217">
        <f t="shared" si="4"/>
        <v>14.666666666666666</v>
      </c>
      <c r="K39" s="216" t="str">
        <f t="shared" si="1"/>
        <v>TRANSITA</v>
      </c>
      <c r="L39" s="182">
        <v>15</v>
      </c>
      <c r="M39" s="183">
        <v>8.5</v>
      </c>
      <c r="N39" s="183"/>
      <c r="O39" s="183">
        <v>14</v>
      </c>
      <c r="P39" s="140"/>
      <c r="Q39" s="113">
        <f t="shared" si="5"/>
        <v>12.5</v>
      </c>
      <c r="R39" s="105" t="str">
        <f t="shared" si="2"/>
        <v>TRANSITA</v>
      </c>
      <c r="S39" s="148"/>
      <c r="T39" s="149"/>
      <c r="U39" s="149"/>
      <c r="V39" s="149"/>
      <c r="W39" s="140"/>
      <c r="X39" s="104">
        <f t="shared" si="6"/>
        <v>0</v>
      </c>
      <c r="Y39" s="106">
        <f t="shared" si="7"/>
        <v>9.0555555555555554</v>
      </c>
      <c r="Z39" s="105" t="str">
        <f t="shared" si="3"/>
        <v>N/TRANSITA</v>
      </c>
    </row>
    <row r="40" spans="2:26" ht="14.25" customHeight="1" thickTop="1" thickBot="1" x14ac:dyDescent="0.35">
      <c r="B40" s="31">
        <v>32</v>
      </c>
      <c r="C40" s="177" t="s">
        <v>125</v>
      </c>
      <c r="D40" s="103"/>
      <c r="E40" s="182">
        <v>19.5</v>
      </c>
      <c r="F40" s="183">
        <v>19</v>
      </c>
      <c r="G40" s="183"/>
      <c r="H40" s="183">
        <v>16</v>
      </c>
      <c r="I40" s="183"/>
      <c r="J40" s="217">
        <f t="shared" si="4"/>
        <v>18.166666666666668</v>
      </c>
      <c r="K40" s="216" t="str">
        <f t="shared" si="1"/>
        <v>TRANSITA</v>
      </c>
      <c r="L40" s="182">
        <v>19</v>
      </c>
      <c r="M40" s="183">
        <v>12</v>
      </c>
      <c r="N40" s="183"/>
      <c r="O40" s="183">
        <v>16.5</v>
      </c>
      <c r="P40" s="140"/>
      <c r="Q40" s="113">
        <f t="shared" si="5"/>
        <v>15.833333333333334</v>
      </c>
      <c r="R40" s="105" t="str">
        <f t="shared" si="2"/>
        <v>TRANSITA</v>
      </c>
      <c r="S40" s="148"/>
      <c r="T40" s="149"/>
      <c r="U40" s="149"/>
      <c r="V40" s="149"/>
      <c r="W40" s="140"/>
      <c r="X40" s="104">
        <f t="shared" si="6"/>
        <v>0</v>
      </c>
      <c r="Y40" s="106">
        <f t="shared" si="7"/>
        <v>11.333333333333334</v>
      </c>
      <c r="Z40" s="105" t="str">
        <f t="shared" si="3"/>
        <v>TRANSITA</v>
      </c>
    </row>
    <row r="41" spans="2:26" ht="14.25" customHeight="1" thickTop="1" thickBot="1" x14ac:dyDescent="0.35">
      <c r="B41" s="31">
        <v>33</v>
      </c>
      <c r="C41" s="177" t="s">
        <v>126</v>
      </c>
      <c r="D41" s="103"/>
      <c r="E41" s="182">
        <v>18.5</v>
      </c>
      <c r="F41" s="183">
        <v>16</v>
      </c>
      <c r="G41" s="183"/>
      <c r="H41" s="183">
        <v>17</v>
      </c>
      <c r="I41" s="183"/>
      <c r="J41" s="217">
        <f t="shared" si="4"/>
        <v>17.166666666666668</v>
      </c>
      <c r="K41" s="216" t="str">
        <f t="shared" si="1"/>
        <v>TRANSITA</v>
      </c>
      <c r="L41" s="182">
        <v>19</v>
      </c>
      <c r="M41" s="183">
        <v>10</v>
      </c>
      <c r="N41" s="183"/>
      <c r="O41" s="183">
        <v>10</v>
      </c>
      <c r="P41" s="140"/>
      <c r="Q41" s="113">
        <f t="shared" ref="Q41:Q43" si="8">AVERAGE(L41,MAX(M41:N41),MAX(O41:P41))</f>
        <v>13</v>
      </c>
      <c r="R41" s="105" t="str">
        <f t="shared" ref="R41:R43" si="9">IF(Q41&gt;=10,"TRANSITA","N/TRANSITA")</f>
        <v>TRANSITA</v>
      </c>
      <c r="S41" s="148"/>
      <c r="T41" s="149"/>
      <c r="U41" s="149"/>
      <c r="V41" s="149"/>
      <c r="W41" s="140"/>
      <c r="X41" s="104">
        <f t="shared" ref="X41:X43" si="10">AVERAGE(S41,MAX(T41:U41),MAX(V41:W41))</f>
        <v>0</v>
      </c>
      <c r="Y41" s="106">
        <f t="shared" ref="Y41:Y43" si="11">SUM(J41,Q41,X41)/3</f>
        <v>10.055555555555555</v>
      </c>
      <c r="Z41" s="105" t="str">
        <f t="shared" ref="Z41:Z43" si="12">IF(Y41&gt;=10,"TRANSITA","N/TRANSITA")</f>
        <v>TRANSITA</v>
      </c>
    </row>
    <row r="42" spans="2:26" ht="14.25" customHeight="1" thickTop="1" thickBot="1" x14ac:dyDescent="0.35">
      <c r="B42" s="31">
        <v>34</v>
      </c>
      <c r="C42" s="177" t="s">
        <v>141</v>
      </c>
      <c r="D42" s="103"/>
      <c r="E42" s="182">
        <v>10</v>
      </c>
      <c r="F42" s="183">
        <v>6.5</v>
      </c>
      <c r="G42" s="183"/>
      <c r="H42" s="183">
        <v>6</v>
      </c>
      <c r="I42" s="183"/>
      <c r="J42" s="217">
        <f t="shared" si="4"/>
        <v>7.5</v>
      </c>
      <c r="K42" s="216" t="str">
        <f t="shared" si="1"/>
        <v>N/TRANSITA</v>
      </c>
      <c r="L42" s="182">
        <v>4</v>
      </c>
      <c r="M42" s="183">
        <v>3</v>
      </c>
      <c r="N42" s="183"/>
      <c r="O42" s="183">
        <v>11.5</v>
      </c>
      <c r="P42" s="140"/>
      <c r="Q42" s="113">
        <f t="shared" ref="Q42" si="13">AVERAGE(L42,MAX(M42:N42),MAX(O42:P42))</f>
        <v>6.166666666666667</v>
      </c>
      <c r="R42" s="105" t="str">
        <f t="shared" ref="R42" si="14">IF(Q42&gt;=10,"TRANSITA","N/TRANSITA")</f>
        <v>N/TRANSITA</v>
      </c>
      <c r="S42" s="148"/>
      <c r="T42" s="149"/>
      <c r="U42" s="149"/>
      <c r="V42" s="149"/>
      <c r="W42" s="140"/>
      <c r="X42" s="104">
        <f t="shared" ref="X42" si="15">AVERAGE(S42,MAX(T42:U42),MAX(V42:W42))</f>
        <v>0</v>
      </c>
      <c r="Y42" s="106">
        <f t="shared" ref="Y42" si="16">SUM(J42,Q42,X42)/3</f>
        <v>4.5555555555555562</v>
      </c>
      <c r="Z42" s="105" t="str">
        <f t="shared" ref="Z42" si="17">IF(Y42&gt;=10,"TRANSITA","N/TRANSITA")</f>
        <v>N/TRANSITA</v>
      </c>
    </row>
    <row r="43" spans="2:26" ht="14.25" customHeight="1" thickTop="1" thickBot="1" x14ac:dyDescent="0.35">
      <c r="B43" s="31">
        <v>35</v>
      </c>
      <c r="C43" s="178" t="s">
        <v>127</v>
      </c>
      <c r="D43" s="103"/>
      <c r="E43" s="182">
        <v>14.5</v>
      </c>
      <c r="F43" s="183">
        <v>8</v>
      </c>
      <c r="G43" s="183"/>
      <c r="H43" s="183">
        <v>13.5</v>
      </c>
      <c r="I43" s="183"/>
      <c r="J43" s="217">
        <f t="shared" si="4"/>
        <v>12</v>
      </c>
      <c r="K43" s="216" t="str">
        <f t="shared" si="1"/>
        <v>TRANSITA</v>
      </c>
      <c r="L43" s="182">
        <v>10</v>
      </c>
      <c r="M43" s="183">
        <v>9.5</v>
      </c>
      <c r="N43" s="183"/>
      <c r="O43" s="183">
        <v>13</v>
      </c>
      <c r="P43" s="140"/>
      <c r="Q43" s="113">
        <f t="shared" si="8"/>
        <v>10.833333333333334</v>
      </c>
      <c r="R43" s="105" t="str">
        <f t="shared" si="9"/>
        <v>TRANSITA</v>
      </c>
      <c r="S43" s="148"/>
      <c r="T43" s="149"/>
      <c r="U43" s="149"/>
      <c r="V43" s="149"/>
      <c r="W43" s="140"/>
      <c r="X43" s="104">
        <f t="shared" si="10"/>
        <v>0</v>
      </c>
      <c r="Y43" s="106">
        <f t="shared" si="11"/>
        <v>7.6111111111111116</v>
      </c>
      <c r="Z43" s="105" t="str">
        <f t="shared" si="12"/>
        <v>N/TRANSITA</v>
      </c>
    </row>
    <row r="44" spans="2:26" ht="14.25" customHeight="1" thickTop="1" thickBot="1" x14ac:dyDescent="0.35">
      <c r="B44" s="31">
        <v>36</v>
      </c>
      <c r="C44" s="177" t="s">
        <v>128</v>
      </c>
      <c r="D44" s="103"/>
      <c r="E44" s="182">
        <v>14</v>
      </c>
      <c r="F44" s="183">
        <v>6</v>
      </c>
      <c r="G44" s="183"/>
      <c r="H44" s="183">
        <v>10</v>
      </c>
      <c r="I44" s="183"/>
      <c r="J44" s="217">
        <f t="shared" si="4"/>
        <v>10</v>
      </c>
      <c r="K44" s="216" t="str">
        <f t="shared" si="1"/>
        <v>TRANSITA</v>
      </c>
      <c r="L44" s="182">
        <v>4</v>
      </c>
      <c r="M44" s="183">
        <v>6.5</v>
      </c>
      <c r="N44" s="183"/>
      <c r="O44" s="183">
        <v>10</v>
      </c>
      <c r="P44" s="140"/>
      <c r="Q44" s="113">
        <f t="shared" ref="Q44:Q46" si="18">AVERAGE(L44,MAX(M44:N44),MAX(O44:P44))</f>
        <v>6.833333333333333</v>
      </c>
      <c r="R44" s="105" t="str">
        <f t="shared" ref="R44:R46" si="19">IF(Q44&gt;=10,"TRANSITA","N/TRANSITA")</f>
        <v>N/TRANSITA</v>
      </c>
      <c r="S44" s="148"/>
      <c r="T44" s="149"/>
      <c r="U44" s="149"/>
      <c r="V44" s="149"/>
      <c r="W44" s="140"/>
      <c r="X44" s="104">
        <f t="shared" ref="X44:X46" si="20">AVERAGE(S44,MAX(T44:U44),MAX(V44:W44))</f>
        <v>0</v>
      </c>
      <c r="Y44" s="106">
        <f t="shared" ref="Y44:Y46" si="21">SUM(J44,Q44,X44)/3</f>
        <v>5.6111111111111107</v>
      </c>
      <c r="Z44" s="105" t="str">
        <f t="shared" ref="Z44:Z46" si="22">IF(Y44&gt;=10,"TRANSITA","N/TRANSITA")</f>
        <v>N/TRANSITA</v>
      </c>
    </row>
    <row r="45" spans="2:26" ht="14.25" customHeight="1" thickTop="1" thickBot="1" x14ac:dyDescent="0.35">
      <c r="B45" s="31">
        <v>37</v>
      </c>
      <c r="C45" s="177" t="s">
        <v>129</v>
      </c>
      <c r="D45" s="103"/>
      <c r="E45" s="182">
        <v>8</v>
      </c>
      <c r="F45" s="183">
        <v>9.5</v>
      </c>
      <c r="G45" s="183"/>
      <c r="H45" s="183">
        <v>16.5</v>
      </c>
      <c r="I45" s="183"/>
      <c r="J45" s="217">
        <f t="shared" si="4"/>
        <v>11.333333333333334</v>
      </c>
      <c r="K45" s="216" t="str">
        <f t="shared" si="1"/>
        <v>TRANSITA</v>
      </c>
      <c r="L45" s="182">
        <v>12</v>
      </c>
      <c r="M45" s="183">
        <v>7.5</v>
      </c>
      <c r="N45" s="183"/>
      <c r="O45" s="183">
        <v>15</v>
      </c>
      <c r="P45" s="140"/>
      <c r="Q45" s="113">
        <f t="shared" si="18"/>
        <v>11.5</v>
      </c>
      <c r="R45" s="105" t="str">
        <f t="shared" si="19"/>
        <v>TRANSITA</v>
      </c>
      <c r="S45" s="148"/>
      <c r="T45" s="149"/>
      <c r="U45" s="149"/>
      <c r="V45" s="149"/>
      <c r="W45" s="140"/>
      <c r="X45" s="104">
        <f t="shared" si="20"/>
        <v>0</v>
      </c>
      <c r="Y45" s="106">
        <f t="shared" si="21"/>
        <v>7.6111111111111116</v>
      </c>
      <c r="Z45" s="105" t="str">
        <f t="shared" si="22"/>
        <v>N/TRANSITA</v>
      </c>
    </row>
    <row r="46" spans="2:26" ht="14.25" customHeight="1" thickTop="1" thickBot="1" x14ac:dyDescent="0.35">
      <c r="B46" s="31">
        <v>38</v>
      </c>
      <c r="C46" s="177" t="s">
        <v>130</v>
      </c>
      <c r="D46" s="103"/>
      <c r="E46" s="182">
        <v>13</v>
      </c>
      <c r="F46" s="183">
        <v>9.5</v>
      </c>
      <c r="G46" s="183"/>
      <c r="H46" s="183">
        <v>10</v>
      </c>
      <c r="I46" s="183"/>
      <c r="J46" s="217">
        <f t="shared" si="4"/>
        <v>10.833333333333334</v>
      </c>
      <c r="K46" s="216" t="str">
        <f t="shared" si="1"/>
        <v>TRANSITA</v>
      </c>
      <c r="L46" s="182">
        <v>18</v>
      </c>
      <c r="M46" s="183">
        <v>4.5</v>
      </c>
      <c r="N46" s="183"/>
      <c r="O46" s="183">
        <v>12</v>
      </c>
      <c r="P46" s="140"/>
      <c r="Q46" s="113">
        <f t="shared" si="18"/>
        <v>11.5</v>
      </c>
      <c r="R46" s="105" t="str">
        <f t="shared" si="19"/>
        <v>TRANSITA</v>
      </c>
      <c r="S46" s="148"/>
      <c r="T46" s="149"/>
      <c r="U46" s="149"/>
      <c r="V46" s="149"/>
      <c r="W46" s="140"/>
      <c r="X46" s="104">
        <f t="shared" si="20"/>
        <v>0</v>
      </c>
      <c r="Y46" s="106">
        <f t="shared" si="21"/>
        <v>7.4444444444444455</v>
      </c>
      <c r="Z46" s="105" t="str">
        <f t="shared" si="22"/>
        <v>N/TRANSITA</v>
      </c>
    </row>
    <row r="47" spans="2:26" ht="14.25" customHeight="1" thickTop="1" thickBot="1" x14ac:dyDescent="0.35">
      <c r="B47" s="31">
        <v>39</v>
      </c>
      <c r="C47" s="177" t="s">
        <v>131</v>
      </c>
      <c r="D47" s="107"/>
      <c r="E47" s="182">
        <v>15</v>
      </c>
      <c r="F47" s="183">
        <v>10</v>
      </c>
      <c r="G47" s="183"/>
      <c r="H47" s="183">
        <v>12.5</v>
      </c>
      <c r="I47" s="183"/>
      <c r="J47" s="217">
        <f t="shared" si="4"/>
        <v>12.5</v>
      </c>
      <c r="K47" s="216" t="str">
        <f t="shared" si="1"/>
        <v>TRANSITA</v>
      </c>
      <c r="L47" s="182">
        <v>17</v>
      </c>
      <c r="M47" s="183">
        <v>2</v>
      </c>
      <c r="N47" s="183"/>
      <c r="O47" s="183">
        <v>12.5</v>
      </c>
      <c r="P47" s="140"/>
      <c r="Q47" s="113">
        <f t="shared" si="5"/>
        <v>10.5</v>
      </c>
      <c r="R47" s="105" t="str">
        <f t="shared" si="2"/>
        <v>TRANSITA</v>
      </c>
      <c r="S47" s="148"/>
      <c r="T47" s="149"/>
      <c r="U47" s="149"/>
      <c r="V47" s="149"/>
      <c r="W47" s="140"/>
      <c r="X47" s="104">
        <f t="shared" si="6"/>
        <v>0</v>
      </c>
      <c r="Y47" s="106">
        <f t="shared" si="7"/>
        <v>7.666666666666667</v>
      </c>
      <c r="Z47" s="105" t="str">
        <f t="shared" si="3"/>
        <v>N/TRANSITA</v>
      </c>
    </row>
    <row r="48" spans="2:26" ht="14.25" customHeight="1" thickTop="1" thickBot="1" x14ac:dyDescent="0.35">
      <c r="B48" s="31">
        <v>40</v>
      </c>
      <c r="C48" s="177" t="s">
        <v>132</v>
      </c>
      <c r="D48" s="107"/>
      <c r="E48" s="182">
        <v>16</v>
      </c>
      <c r="F48" s="183">
        <v>11</v>
      </c>
      <c r="G48" s="183"/>
      <c r="H48" s="183">
        <v>15.5</v>
      </c>
      <c r="I48" s="183"/>
      <c r="J48" s="217">
        <f t="shared" si="4"/>
        <v>14.166666666666666</v>
      </c>
      <c r="K48" s="216" t="str">
        <f t="shared" si="1"/>
        <v>TRANSITA</v>
      </c>
      <c r="L48" s="182">
        <v>18</v>
      </c>
      <c r="M48" s="183">
        <v>8.5</v>
      </c>
      <c r="N48" s="183"/>
      <c r="O48" s="183">
        <v>15.5</v>
      </c>
      <c r="P48" s="140"/>
      <c r="Q48" s="113">
        <f t="shared" si="5"/>
        <v>14</v>
      </c>
      <c r="R48" s="105" t="str">
        <f t="shared" si="2"/>
        <v>TRANSITA</v>
      </c>
      <c r="S48" s="148"/>
      <c r="T48" s="149"/>
      <c r="U48" s="149"/>
      <c r="V48" s="149"/>
      <c r="W48" s="140"/>
      <c r="X48" s="104">
        <f t="shared" si="6"/>
        <v>0</v>
      </c>
      <c r="Y48" s="106">
        <f t="shared" si="7"/>
        <v>9.3888888888888875</v>
      </c>
      <c r="Z48" s="105" t="str">
        <f t="shared" si="3"/>
        <v>N/TRANSITA</v>
      </c>
    </row>
    <row r="49" spans="1:26" ht="14.25" customHeight="1" thickTop="1" thickBot="1" x14ac:dyDescent="0.35">
      <c r="B49" s="31">
        <v>41</v>
      </c>
      <c r="C49" s="177" t="s">
        <v>133</v>
      </c>
      <c r="D49" s="107"/>
      <c r="E49" s="182">
        <v>10</v>
      </c>
      <c r="F49" s="183">
        <v>6</v>
      </c>
      <c r="G49" s="183"/>
      <c r="H49" s="183">
        <v>10.5</v>
      </c>
      <c r="I49" s="183"/>
      <c r="J49" s="217">
        <f t="shared" si="4"/>
        <v>8.8333333333333339</v>
      </c>
      <c r="K49" s="216" t="str">
        <f t="shared" si="1"/>
        <v>N/TRANSITA</v>
      </c>
      <c r="L49" s="182">
        <v>16</v>
      </c>
      <c r="M49" s="183">
        <v>15</v>
      </c>
      <c r="N49" s="183"/>
      <c r="O49" s="183">
        <v>15</v>
      </c>
      <c r="P49" s="140"/>
      <c r="Q49" s="113">
        <f t="shared" ref="Q49:Q51" si="23">AVERAGE(L49,MAX(M49:N49),MAX(O49:P49))</f>
        <v>15.333333333333334</v>
      </c>
      <c r="R49" s="105" t="str">
        <f t="shared" ref="R49:R51" si="24">IF(Q49&gt;=10,"TRANSITA","N/TRANSITA")</f>
        <v>TRANSITA</v>
      </c>
      <c r="S49" s="148"/>
      <c r="T49" s="149"/>
      <c r="U49" s="149"/>
      <c r="V49" s="149"/>
      <c r="W49" s="140"/>
      <c r="X49" s="104">
        <f t="shared" ref="X49:X51" si="25">AVERAGE(S49,MAX(T49:U49),MAX(V49:W49))</f>
        <v>0</v>
      </c>
      <c r="Y49" s="106">
        <f t="shared" ref="Y49:Y51" si="26">SUM(J49,Q49,X49)/3</f>
        <v>8.0555555555555554</v>
      </c>
      <c r="Z49" s="105" t="str">
        <f t="shared" ref="Z49:Z51" si="27">IF(Y49&gt;=10,"TRANSITA","N/TRANSITA")</f>
        <v>N/TRANSITA</v>
      </c>
    </row>
    <row r="50" spans="1:26" ht="14.25" customHeight="1" thickTop="1" thickBot="1" x14ac:dyDescent="0.35">
      <c r="B50" s="31">
        <v>42</v>
      </c>
      <c r="C50" s="177" t="s">
        <v>134</v>
      </c>
      <c r="D50" s="103"/>
      <c r="E50" s="182">
        <v>19</v>
      </c>
      <c r="F50" s="183">
        <v>14</v>
      </c>
      <c r="G50" s="183"/>
      <c r="H50" s="183">
        <v>15.5</v>
      </c>
      <c r="I50" s="183"/>
      <c r="J50" s="217">
        <f t="shared" si="4"/>
        <v>16.166666666666668</v>
      </c>
      <c r="K50" s="216" t="str">
        <f t="shared" si="1"/>
        <v>TRANSITA</v>
      </c>
      <c r="L50" s="182">
        <v>19</v>
      </c>
      <c r="M50" s="183">
        <v>18.5</v>
      </c>
      <c r="N50" s="183"/>
      <c r="O50" s="183">
        <v>15</v>
      </c>
      <c r="P50" s="140"/>
      <c r="Q50" s="113">
        <f t="shared" si="23"/>
        <v>17.5</v>
      </c>
      <c r="R50" s="105" t="str">
        <f t="shared" si="24"/>
        <v>TRANSITA</v>
      </c>
      <c r="S50" s="148"/>
      <c r="T50" s="149"/>
      <c r="U50" s="149"/>
      <c r="V50" s="149"/>
      <c r="W50" s="140"/>
      <c r="X50" s="104">
        <f t="shared" si="25"/>
        <v>0</v>
      </c>
      <c r="Y50" s="106">
        <f t="shared" si="26"/>
        <v>11.222222222222223</v>
      </c>
      <c r="Z50" s="105" t="str">
        <f t="shared" si="27"/>
        <v>TRANSITA</v>
      </c>
    </row>
    <row r="51" spans="1:26" ht="14.25" customHeight="1" thickTop="1" thickBot="1" x14ac:dyDescent="0.35">
      <c r="B51" s="31">
        <v>43</v>
      </c>
      <c r="C51" s="177" t="s">
        <v>135</v>
      </c>
      <c r="D51" s="103"/>
      <c r="E51" s="182">
        <v>12</v>
      </c>
      <c r="F51" s="183">
        <v>3.5</v>
      </c>
      <c r="G51" s="183"/>
      <c r="H51" s="183">
        <v>9.5</v>
      </c>
      <c r="I51" s="183"/>
      <c r="J51" s="217">
        <f t="shared" si="4"/>
        <v>8.3333333333333339</v>
      </c>
      <c r="K51" s="216" t="str">
        <f t="shared" si="1"/>
        <v>N/TRANSITA</v>
      </c>
      <c r="L51" s="182">
        <v>14</v>
      </c>
      <c r="M51" s="183">
        <v>7</v>
      </c>
      <c r="N51" s="183"/>
      <c r="O51" s="183">
        <v>10.5</v>
      </c>
      <c r="P51" s="140"/>
      <c r="Q51" s="113">
        <f t="shared" si="23"/>
        <v>10.5</v>
      </c>
      <c r="R51" s="105" t="str">
        <f t="shared" si="24"/>
        <v>TRANSITA</v>
      </c>
      <c r="S51" s="148"/>
      <c r="T51" s="149"/>
      <c r="U51" s="149"/>
      <c r="V51" s="149"/>
      <c r="W51" s="140"/>
      <c r="X51" s="104">
        <f t="shared" si="25"/>
        <v>0</v>
      </c>
      <c r="Y51" s="106">
        <f t="shared" si="26"/>
        <v>6.2777777777777786</v>
      </c>
      <c r="Z51" s="105" t="str">
        <f t="shared" si="27"/>
        <v>N/TRANSITA</v>
      </c>
    </row>
    <row r="52" spans="1:26" ht="14.25" customHeight="1" thickTop="1" thickBot="1" x14ac:dyDescent="0.35">
      <c r="B52" s="31">
        <v>44</v>
      </c>
      <c r="C52" s="179" t="s">
        <v>136</v>
      </c>
      <c r="D52" s="108"/>
      <c r="E52" s="184">
        <v>14</v>
      </c>
      <c r="F52" s="185">
        <v>5.5</v>
      </c>
      <c r="G52" s="185"/>
      <c r="H52" s="185">
        <v>10</v>
      </c>
      <c r="I52" s="185"/>
      <c r="J52" s="218">
        <f t="shared" si="4"/>
        <v>9.8333333333333339</v>
      </c>
      <c r="K52" s="216" t="str">
        <f t="shared" si="1"/>
        <v>N/TRANSITA</v>
      </c>
      <c r="L52" s="184">
        <v>14</v>
      </c>
      <c r="M52" s="185">
        <v>10</v>
      </c>
      <c r="N52" s="185"/>
      <c r="O52" s="185">
        <v>14.5</v>
      </c>
      <c r="P52" s="152"/>
      <c r="Q52" s="114">
        <f t="shared" si="5"/>
        <v>12.833333333333334</v>
      </c>
      <c r="R52" s="110" t="str">
        <f t="shared" si="2"/>
        <v>TRANSITA</v>
      </c>
      <c r="S52" s="153"/>
      <c r="T52" s="154"/>
      <c r="U52" s="154"/>
      <c r="V52" s="154"/>
      <c r="W52" s="152"/>
      <c r="X52" s="109">
        <f t="shared" si="6"/>
        <v>0</v>
      </c>
      <c r="Y52" s="111">
        <f>SUM(J52,Q52,X52)/3</f>
        <v>7.5555555555555562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207" priority="205" stopIfTrue="1" operator="greaterThan">
      <formula>9.5</formula>
    </cfRule>
    <cfRule type="cellIs" dxfId="206" priority="206" stopIfTrue="1" operator="lessThanOrEqual">
      <formula>9.5</formula>
    </cfRule>
  </conditionalFormatting>
  <conditionalFormatting sqref="X9:X52 Q9:Q52">
    <cfRule type="cellIs" dxfId="205" priority="183" stopIfTrue="1" operator="lessThan">
      <formula>10</formula>
    </cfRule>
    <cfRule type="cellIs" dxfId="204" priority="184" stopIfTrue="1" operator="greaterThanOrEqual">
      <formula>10</formula>
    </cfRule>
  </conditionalFormatting>
  <conditionalFormatting sqref="P9:P52 W9:W52">
    <cfRule type="cellIs" dxfId="203" priority="65" stopIfTrue="1" operator="lessThan">
      <formula>10</formula>
    </cfRule>
    <cfRule type="cellIs" dxfId="202" priority="66" stopIfTrue="1" operator="greaterThan">
      <formula>9</formula>
    </cfRule>
  </conditionalFormatting>
  <conditionalFormatting sqref="P9:P52 W9:W52">
    <cfRule type="cellIs" dxfId="201" priority="63" stopIfTrue="1" operator="lessThan">
      <formula>10</formula>
    </cfRule>
    <cfRule type="cellIs" dxfId="200" priority="64" stopIfTrue="1" operator="greaterThan">
      <formula>9</formula>
    </cfRule>
  </conditionalFormatting>
  <conditionalFormatting sqref="S9:V52">
    <cfRule type="cellIs" dxfId="199" priority="43" stopIfTrue="1" operator="lessThan">
      <formula>10</formula>
    </cfRule>
    <cfRule type="cellIs" dxfId="198" priority="44" stopIfTrue="1" operator="greaterThan">
      <formula>9</formula>
    </cfRule>
    <cfRule type="cellIs" dxfId="197" priority="45" stopIfTrue="1" operator="lessThan">
      <formula>10</formula>
    </cfRule>
    <cfRule type="cellIs" dxfId="196" priority="46" stopIfTrue="1" operator="greaterThan">
      <formula>9</formula>
    </cfRule>
  </conditionalFormatting>
  <conditionalFormatting sqref="I9:I52 L9:O52">
    <cfRule type="cellIs" dxfId="195" priority="9" stopIfTrue="1" operator="lessThan">
      <formula>10</formula>
    </cfRule>
    <cfRule type="cellIs" dxfId="194" priority="10" stopIfTrue="1" operator="greaterThan">
      <formula>9</formula>
    </cfRule>
    <cfRule type="cellIs" dxfId="193" priority="11" stopIfTrue="1" operator="lessThan">
      <formula>10</formula>
    </cfRule>
    <cfRule type="cellIs" dxfId="192" priority="12" stopIfTrue="1" operator="greaterThan">
      <formula>9</formula>
    </cfRule>
  </conditionalFormatting>
  <conditionalFormatting sqref="E9:H48">
    <cfRule type="cellIs" dxfId="191" priority="1" stopIfTrue="1" operator="lessThan">
      <formula>10</formula>
    </cfRule>
    <cfRule type="cellIs" dxfId="190" priority="2" stopIfTrue="1" operator="greaterThan">
      <formula>9</formula>
    </cfRule>
    <cfRule type="cellIs" dxfId="189" priority="3" stopIfTrue="1" operator="lessThan">
      <formula>10</formula>
    </cfRule>
    <cfRule type="cellIs" dxfId="188" priority="4" stopIfTrue="1" operator="greaterThan">
      <formula>9</formula>
    </cfRule>
  </conditionalFormatting>
  <conditionalFormatting sqref="J9:J52">
    <cfRule type="cellIs" dxfId="187" priority="15" stopIfTrue="1" operator="lessThan">
      <formula>10</formula>
    </cfRule>
    <cfRule type="cellIs" dxfId="186" priority="16" stopIfTrue="1" operator="greaterThanOrEqual">
      <formula>10</formula>
    </cfRule>
  </conditionalFormatting>
  <conditionalFormatting sqref="E49:H52">
    <cfRule type="cellIs" dxfId="185" priority="5" stopIfTrue="1" operator="lessThan">
      <formula>10</formula>
    </cfRule>
    <cfRule type="cellIs" dxfId="184" priority="6" stopIfTrue="1" operator="greaterThan">
      <formula>9</formula>
    </cfRule>
    <cfRule type="cellIs" dxfId="183" priority="7" stopIfTrue="1" operator="lessThan">
      <formula>10</formula>
    </cfRule>
    <cfRule type="cellIs" dxfId="182" priority="8" stopIfTrue="1" operator="greaterThan">
      <formula>9</formula>
    </cfRule>
  </conditionalFormatting>
  <dataValidations count="2">
    <dataValidation type="decimal" allowBlank="1" showInputMessage="1" showErrorMessage="1" errorTitle="ATENÇÃO!" error="O valor introduzido não é válido._x000a_A Subdirecção Pedagógica. Grato!" sqref="P9:P52 W9:W52">
      <formula1>0</formula1>
      <formula2>20</formula2>
    </dataValidation>
    <dataValidation type="decimal" allowBlank="1" showInputMessage="1" showErrorMessage="1" errorTitle="ATENÇÃO!" error="O valor introduzido não é válido. A Subdirecção Pedagógica. Grato!" sqref="S9:V52 L9:O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3553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335280</xdr:colOff>
                <xdr:row>54</xdr:row>
                <xdr:rowOff>22860</xdr:rowOff>
              </to>
            </anchor>
          </objectPr>
        </oleObject>
      </mc:Choice>
      <mc:Fallback>
        <oleObject progId="Word.Document.8" shapeId="23553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3" stopIfTrue="1" operator="containsText" id="{BC5937C6-32CE-4C6D-B540-F5B55B5101E8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64" stopIfTrue="1" operator="containsText" id="{24272619-76C5-4BF3-9197-AFAE738CD9EA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13" stopIfTrue="1" operator="containsText" id="{D01BACC8-DEF4-4E4C-ADA9-E3B0FEF85649}">
            <xm:f>NOT(ISERROR(SEARCH("TRANSITA",K9)))</xm:f>
            <xm:f>"TRANSITA"</xm:f>
            <x14:dxf>
              <font>
                <b/>
                <color rgb="FFFF0000"/>
              </font>
            </x14:dxf>
          </x14:cfRule>
          <x14:cfRule type="containsText" priority="14" stopIfTrue="1" operator="containsText" id="{C0D29F0D-CFCF-4538-B7DD-AB2ED5B5BE75}">
            <xm:f>NOT(ISERROR(SEARCH("TRANSITA",K9)))</xm:f>
            <xm:f>"TRANSITA"</xm:f>
            <x14:dxf>
              <font>
                <b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G56" sqref="G56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94"/>
      <c r="G4" s="94"/>
      <c r="H4" s="94"/>
      <c r="I4" s="94" t="s">
        <v>87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19</v>
      </c>
      <c r="AD8" s="287">
        <f>COUNTIF(Z9:Z58,"N/TRANSITA")</f>
        <v>25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15.5</v>
      </c>
      <c r="F9" s="143">
        <v>15</v>
      </c>
      <c r="G9" s="143"/>
      <c r="H9" s="143">
        <v>18</v>
      </c>
      <c r="I9" s="143"/>
      <c r="J9" s="194">
        <f>AVERAGE(E9,MAX(F9:G9),MAX(H9:I9))</f>
        <v>16.166666666666668</v>
      </c>
      <c r="K9" s="101" t="str">
        <f>IF(J9&gt;=10,"TRANSITA","N/TRANSITA")</f>
        <v>TRANSITA</v>
      </c>
      <c r="L9" s="155">
        <v>14</v>
      </c>
      <c r="M9" s="143">
        <v>20</v>
      </c>
      <c r="N9" s="143"/>
      <c r="O9" s="143">
        <v>16</v>
      </c>
      <c r="P9" s="143"/>
      <c r="Q9" s="137">
        <f>AVERAGE(L9,MAX(M9:N9),MAX(O9:P9))</f>
        <v>16.666666666666668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10.944444444444445</v>
      </c>
      <c r="Z9" s="101" t="str">
        <f>IF(Y9&gt;=10,"TRANSITA","N/TRANSITA")</f>
        <v>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17.5</v>
      </c>
      <c r="F10" s="140">
        <v>18</v>
      </c>
      <c r="G10" s="140"/>
      <c r="H10" s="140">
        <v>19.5</v>
      </c>
      <c r="I10" s="140"/>
      <c r="J10" s="195">
        <f>AVERAGE(E10,MAX(F10:G10),MAX(H10:I10))</f>
        <v>18.333333333333332</v>
      </c>
      <c r="K10" s="105" t="str">
        <f t="shared" ref="K10:K52" si="1">IF(J10&gt;=10,"TRANSITA","N/TRANSITA")</f>
        <v>TRANSITA</v>
      </c>
      <c r="L10" s="156">
        <v>16</v>
      </c>
      <c r="M10" s="140">
        <v>20</v>
      </c>
      <c r="N10" s="140"/>
      <c r="O10" s="140">
        <v>20</v>
      </c>
      <c r="P10" s="140"/>
      <c r="Q10" s="138">
        <f t="shared" ref="Q10:Q52" si="2">AVERAGE(L10,MAX(M10:N10),MAX(O10:P10))</f>
        <v>18.666666666666668</v>
      </c>
      <c r="R10" s="105" t="str">
        <f t="shared" ref="R10:R52" si="3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12.333333333333334</v>
      </c>
      <c r="Z10" s="105" t="str">
        <f t="shared" ref="Z10:Z52" si="4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12.75</v>
      </c>
      <c r="F11" s="140">
        <v>12</v>
      </c>
      <c r="G11" s="140"/>
      <c r="H11" s="140">
        <v>20</v>
      </c>
      <c r="I11" s="140"/>
      <c r="J11" s="195">
        <f t="shared" ref="J11:J52" si="5">AVERAGE(E11,MAX(F11:G11),MAX(H11:I11))</f>
        <v>14.916666666666666</v>
      </c>
      <c r="K11" s="105" t="str">
        <f t="shared" si="1"/>
        <v>TRANSITA</v>
      </c>
      <c r="L11" s="156">
        <v>12</v>
      </c>
      <c r="M11" s="140">
        <v>14.5</v>
      </c>
      <c r="N11" s="140"/>
      <c r="O11" s="140">
        <v>15</v>
      </c>
      <c r="P11" s="140"/>
      <c r="Q11" s="138">
        <f t="shared" si="2"/>
        <v>13.833333333333334</v>
      </c>
      <c r="R11" s="105" t="str">
        <f t="shared" si="3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9.5833333333333339</v>
      </c>
      <c r="Z11" s="105" t="str">
        <f t="shared" si="4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16.25</v>
      </c>
      <c r="F12" s="140">
        <v>19</v>
      </c>
      <c r="G12" s="140"/>
      <c r="H12" s="140">
        <v>17</v>
      </c>
      <c r="I12" s="140"/>
      <c r="J12" s="195">
        <f t="shared" si="5"/>
        <v>17.416666666666668</v>
      </c>
      <c r="K12" s="105" t="str">
        <f t="shared" si="1"/>
        <v>TRANSITA</v>
      </c>
      <c r="L12" s="156">
        <v>16</v>
      </c>
      <c r="M12" s="140">
        <v>20</v>
      </c>
      <c r="N12" s="140"/>
      <c r="O12" s="140">
        <v>12</v>
      </c>
      <c r="P12" s="140"/>
      <c r="Q12" s="138">
        <f t="shared" si="2"/>
        <v>16</v>
      </c>
      <c r="R12" s="105" t="str">
        <f t="shared" si="3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11.138888888888891</v>
      </c>
      <c r="Z12" s="105" t="str">
        <f t="shared" si="4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12</v>
      </c>
      <c r="F13" s="140">
        <v>10</v>
      </c>
      <c r="G13" s="140"/>
      <c r="H13" s="140">
        <v>17</v>
      </c>
      <c r="I13" s="140"/>
      <c r="J13" s="195">
        <f t="shared" si="5"/>
        <v>13</v>
      </c>
      <c r="K13" s="105" t="str">
        <f t="shared" si="1"/>
        <v>TRANSITA</v>
      </c>
      <c r="L13" s="156">
        <v>10</v>
      </c>
      <c r="M13" s="140">
        <v>13</v>
      </c>
      <c r="N13" s="140"/>
      <c r="O13" s="140">
        <v>17</v>
      </c>
      <c r="P13" s="140"/>
      <c r="Q13" s="138">
        <f t="shared" si="2"/>
        <v>13.333333333333334</v>
      </c>
      <c r="R13" s="105" t="str">
        <f t="shared" si="3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8.7777777777777786</v>
      </c>
      <c r="Z13" s="105" t="str">
        <f t="shared" si="4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13</v>
      </c>
      <c r="F14" s="140">
        <v>19.5</v>
      </c>
      <c r="G14" s="140"/>
      <c r="H14" s="140">
        <v>13</v>
      </c>
      <c r="I14" s="140"/>
      <c r="J14" s="195">
        <f t="shared" si="5"/>
        <v>15.166666666666666</v>
      </c>
      <c r="K14" s="105" t="str">
        <f t="shared" si="1"/>
        <v>TRANSITA</v>
      </c>
      <c r="L14" s="156">
        <v>14</v>
      </c>
      <c r="M14" s="140">
        <v>20</v>
      </c>
      <c r="N14" s="140"/>
      <c r="O14" s="140">
        <v>15</v>
      </c>
      <c r="P14" s="140"/>
      <c r="Q14" s="138">
        <f t="shared" si="2"/>
        <v>16.333333333333332</v>
      </c>
      <c r="R14" s="105" t="str">
        <f t="shared" si="3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10.5</v>
      </c>
      <c r="Z14" s="105" t="str">
        <f t="shared" si="4"/>
        <v>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14</v>
      </c>
      <c r="F15" s="140">
        <v>8</v>
      </c>
      <c r="G15" s="140"/>
      <c r="H15" s="140">
        <v>20</v>
      </c>
      <c r="I15" s="140"/>
      <c r="J15" s="195">
        <f t="shared" si="5"/>
        <v>14</v>
      </c>
      <c r="K15" s="105" t="str">
        <f t="shared" si="1"/>
        <v>TRANSITA</v>
      </c>
      <c r="L15" s="156">
        <v>10</v>
      </c>
      <c r="M15" s="140">
        <v>12</v>
      </c>
      <c r="N15" s="140"/>
      <c r="O15" s="140">
        <v>16</v>
      </c>
      <c r="P15" s="140"/>
      <c r="Q15" s="138">
        <f t="shared" si="2"/>
        <v>12.666666666666666</v>
      </c>
      <c r="R15" s="105" t="str">
        <f t="shared" si="3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8.8888888888888875</v>
      </c>
      <c r="Z15" s="105" t="str">
        <f t="shared" si="4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13</v>
      </c>
      <c r="F16" s="140">
        <v>17.5</v>
      </c>
      <c r="G16" s="140"/>
      <c r="H16" s="140">
        <v>11</v>
      </c>
      <c r="I16" s="140"/>
      <c r="J16" s="195">
        <f t="shared" si="5"/>
        <v>13.833333333333334</v>
      </c>
      <c r="K16" s="105" t="str">
        <f t="shared" si="1"/>
        <v>TRANSITA</v>
      </c>
      <c r="L16" s="156">
        <v>14</v>
      </c>
      <c r="M16" s="140">
        <v>20</v>
      </c>
      <c r="N16" s="140"/>
      <c r="O16" s="140">
        <v>12</v>
      </c>
      <c r="P16" s="140"/>
      <c r="Q16" s="138">
        <f t="shared" si="2"/>
        <v>15.333333333333334</v>
      </c>
      <c r="R16" s="105" t="str">
        <f t="shared" si="3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9.7222222222222232</v>
      </c>
      <c r="Z16" s="105" t="str">
        <f t="shared" si="4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11</v>
      </c>
      <c r="F17" s="140">
        <v>19</v>
      </c>
      <c r="G17" s="140"/>
      <c r="H17" s="140">
        <v>11</v>
      </c>
      <c r="I17" s="140"/>
      <c r="J17" s="195">
        <f t="shared" si="5"/>
        <v>13.666666666666666</v>
      </c>
      <c r="K17" s="105" t="str">
        <f t="shared" si="1"/>
        <v>TRANSITA</v>
      </c>
      <c r="L17" s="156">
        <v>10</v>
      </c>
      <c r="M17" s="140">
        <v>5.5</v>
      </c>
      <c r="N17" s="140"/>
      <c r="O17" s="140">
        <v>17</v>
      </c>
      <c r="P17" s="140"/>
      <c r="Q17" s="138">
        <f t="shared" si="2"/>
        <v>10.833333333333334</v>
      </c>
      <c r="R17" s="105" t="str">
        <f t="shared" si="3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8.1666666666666661</v>
      </c>
      <c r="Z17" s="105" t="str">
        <f t="shared" si="4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13</v>
      </c>
      <c r="F18" s="140">
        <v>8</v>
      </c>
      <c r="G18" s="140"/>
      <c r="H18" s="140">
        <v>16</v>
      </c>
      <c r="I18" s="140"/>
      <c r="J18" s="195">
        <f t="shared" si="5"/>
        <v>12.333333333333334</v>
      </c>
      <c r="K18" s="105" t="str">
        <f t="shared" si="1"/>
        <v>TRANSITA</v>
      </c>
      <c r="L18" s="156">
        <v>10</v>
      </c>
      <c r="M18" s="140">
        <v>8</v>
      </c>
      <c r="N18" s="140"/>
      <c r="O18" s="140">
        <v>16</v>
      </c>
      <c r="P18" s="140"/>
      <c r="Q18" s="138">
        <f t="shared" si="2"/>
        <v>11.333333333333334</v>
      </c>
      <c r="R18" s="105" t="str">
        <f t="shared" si="3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7.8888888888888893</v>
      </c>
      <c r="Z18" s="105" t="str">
        <f t="shared" si="4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12.25</v>
      </c>
      <c r="F19" s="140">
        <v>17</v>
      </c>
      <c r="G19" s="140"/>
      <c r="H19" s="140">
        <v>16</v>
      </c>
      <c r="I19" s="140"/>
      <c r="J19" s="195">
        <f t="shared" si="5"/>
        <v>15.083333333333334</v>
      </c>
      <c r="K19" s="105" t="str">
        <f t="shared" si="1"/>
        <v>TRANSITA</v>
      </c>
      <c r="L19" s="156">
        <v>16</v>
      </c>
      <c r="M19" s="140">
        <v>20</v>
      </c>
      <c r="N19" s="140"/>
      <c r="O19" s="140">
        <v>19</v>
      </c>
      <c r="P19" s="140"/>
      <c r="Q19" s="138">
        <f t="shared" si="2"/>
        <v>18.333333333333332</v>
      </c>
      <c r="R19" s="105" t="str">
        <f t="shared" si="3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11.138888888888888</v>
      </c>
      <c r="Z19" s="105" t="str">
        <f t="shared" si="4"/>
        <v>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16.25</v>
      </c>
      <c r="F20" s="140">
        <v>19.5</v>
      </c>
      <c r="G20" s="140"/>
      <c r="H20" s="140">
        <v>16.5</v>
      </c>
      <c r="I20" s="140"/>
      <c r="J20" s="195">
        <f t="shared" si="5"/>
        <v>17.416666666666668</v>
      </c>
      <c r="K20" s="105" t="str">
        <f t="shared" si="1"/>
        <v>TRANSITA</v>
      </c>
      <c r="L20" s="156">
        <v>15</v>
      </c>
      <c r="M20" s="140">
        <v>20</v>
      </c>
      <c r="N20" s="140"/>
      <c r="O20" s="140">
        <v>15.5</v>
      </c>
      <c r="P20" s="140"/>
      <c r="Q20" s="138">
        <f t="shared" si="2"/>
        <v>16.833333333333332</v>
      </c>
      <c r="R20" s="105" t="str">
        <f t="shared" si="3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11.416666666666666</v>
      </c>
      <c r="Z20" s="105" t="str">
        <f t="shared" si="4"/>
        <v>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13.5</v>
      </c>
      <c r="F21" s="140">
        <v>20</v>
      </c>
      <c r="G21" s="140"/>
      <c r="H21" s="140">
        <v>14.5</v>
      </c>
      <c r="I21" s="140"/>
      <c r="J21" s="195">
        <f t="shared" si="5"/>
        <v>16</v>
      </c>
      <c r="K21" s="105" t="str">
        <f t="shared" si="1"/>
        <v>TRANSITA</v>
      </c>
      <c r="L21" s="156">
        <v>15</v>
      </c>
      <c r="M21" s="140">
        <v>20</v>
      </c>
      <c r="N21" s="140"/>
      <c r="O21" s="140">
        <v>20</v>
      </c>
      <c r="P21" s="140"/>
      <c r="Q21" s="138">
        <f t="shared" si="2"/>
        <v>18.333333333333332</v>
      </c>
      <c r="R21" s="105" t="str">
        <f t="shared" si="3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11.444444444444443</v>
      </c>
      <c r="Z21" s="105" t="str">
        <f t="shared" si="4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11</v>
      </c>
      <c r="F22" s="140">
        <v>12</v>
      </c>
      <c r="G22" s="140"/>
      <c r="H22" s="140">
        <v>12.5</v>
      </c>
      <c r="I22" s="140"/>
      <c r="J22" s="195">
        <f t="shared" si="5"/>
        <v>11.833333333333334</v>
      </c>
      <c r="K22" s="105" t="str">
        <f t="shared" si="1"/>
        <v>TRANSITA</v>
      </c>
      <c r="L22" s="156">
        <v>10</v>
      </c>
      <c r="M22" s="140">
        <v>13</v>
      </c>
      <c r="N22" s="140"/>
      <c r="O22" s="140">
        <v>2</v>
      </c>
      <c r="P22" s="140"/>
      <c r="Q22" s="138">
        <f t="shared" si="2"/>
        <v>8.3333333333333339</v>
      </c>
      <c r="R22" s="105" t="str">
        <f t="shared" si="3"/>
        <v>N/TRANSITA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6.7222222222222223</v>
      </c>
      <c r="Z22" s="105" t="str">
        <f t="shared" si="4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11</v>
      </c>
      <c r="F23" s="140">
        <v>12</v>
      </c>
      <c r="G23" s="140"/>
      <c r="H23" s="140">
        <v>11.5</v>
      </c>
      <c r="I23" s="140"/>
      <c r="J23" s="195">
        <f t="shared" si="5"/>
        <v>11.5</v>
      </c>
      <c r="K23" s="105" t="str">
        <f t="shared" si="1"/>
        <v>TRANSITA</v>
      </c>
      <c r="L23" s="156">
        <v>10</v>
      </c>
      <c r="M23" s="140">
        <v>8</v>
      </c>
      <c r="N23" s="140"/>
      <c r="O23" s="140">
        <v>15</v>
      </c>
      <c r="P23" s="140"/>
      <c r="Q23" s="138">
        <f t="shared" si="2"/>
        <v>11</v>
      </c>
      <c r="R23" s="105" t="str">
        <f t="shared" si="3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7.5</v>
      </c>
      <c r="Z23" s="105" t="str">
        <f t="shared" si="4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10</v>
      </c>
      <c r="F24" s="140">
        <v>9.5</v>
      </c>
      <c r="G24" s="140"/>
      <c r="H24" s="140">
        <v>16</v>
      </c>
      <c r="I24" s="140"/>
      <c r="J24" s="195">
        <f t="shared" si="5"/>
        <v>11.833333333333334</v>
      </c>
      <c r="K24" s="105" t="str">
        <f t="shared" si="1"/>
        <v>TRANSITA</v>
      </c>
      <c r="L24" s="156">
        <v>10</v>
      </c>
      <c r="M24" s="140">
        <v>10</v>
      </c>
      <c r="N24" s="140"/>
      <c r="O24" s="140">
        <v>14.5</v>
      </c>
      <c r="P24" s="140"/>
      <c r="Q24" s="138">
        <f t="shared" si="2"/>
        <v>11.5</v>
      </c>
      <c r="R24" s="105" t="str">
        <f t="shared" si="3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7.7777777777777786</v>
      </c>
      <c r="Z24" s="105" t="str">
        <f t="shared" si="4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14.5</v>
      </c>
      <c r="F25" s="140">
        <v>8.5</v>
      </c>
      <c r="G25" s="140"/>
      <c r="H25" s="140">
        <v>16.5</v>
      </c>
      <c r="I25" s="140"/>
      <c r="J25" s="195">
        <f t="shared" si="5"/>
        <v>13.166666666666666</v>
      </c>
      <c r="K25" s="105" t="str">
        <f t="shared" si="1"/>
        <v>TRANSITA</v>
      </c>
      <c r="L25" s="156">
        <v>11</v>
      </c>
      <c r="M25" s="140">
        <v>6</v>
      </c>
      <c r="N25" s="140"/>
      <c r="O25" s="140">
        <v>15</v>
      </c>
      <c r="P25" s="140"/>
      <c r="Q25" s="138">
        <f t="shared" si="2"/>
        <v>10.666666666666666</v>
      </c>
      <c r="R25" s="105" t="str">
        <f t="shared" si="3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7.9444444444444438</v>
      </c>
      <c r="Z25" s="105" t="str">
        <f t="shared" si="4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12.5</v>
      </c>
      <c r="F26" s="140">
        <v>10</v>
      </c>
      <c r="G26" s="140"/>
      <c r="H26" s="140">
        <v>13.5</v>
      </c>
      <c r="I26" s="140"/>
      <c r="J26" s="195">
        <f t="shared" si="5"/>
        <v>12</v>
      </c>
      <c r="K26" s="105" t="str">
        <f t="shared" si="1"/>
        <v>TRANSITA</v>
      </c>
      <c r="L26" s="156">
        <v>12</v>
      </c>
      <c r="M26" s="140">
        <v>17.5</v>
      </c>
      <c r="N26" s="140"/>
      <c r="O26" s="140">
        <v>16</v>
      </c>
      <c r="P26" s="140"/>
      <c r="Q26" s="138">
        <f t="shared" si="2"/>
        <v>15.166666666666666</v>
      </c>
      <c r="R26" s="105" t="str">
        <f t="shared" si="3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9.0555555555555554</v>
      </c>
      <c r="Z26" s="105" t="str">
        <f t="shared" si="4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/>
      <c r="F27" s="140"/>
      <c r="G27" s="140"/>
      <c r="H27" s="140"/>
      <c r="I27" s="140"/>
      <c r="J27" s="195">
        <f t="shared" si="5"/>
        <v>0</v>
      </c>
      <c r="K27" s="105" t="str">
        <f t="shared" si="1"/>
        <v>N/TRANSITA</v>
      </c>
      <c r="L27" s="156"/>
      <c r="M27" s="140"/>
      <c r="N27" s="140"/>
      <c r="O27" s="140"/>
      <c r="P27" s="140"/>
      <c r="Q27" s="138">
        <f t="shared" si="2"/>
        <v>0</v>
      </c>
      <c r="R27" s="105" t="str">
        <f t="shared" si="3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4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13</v>
      </c>
      <c r="F28" s="140">
        <v>12.5</v>
      </c>
      <c r="G28" s="140"/>
      <c r="H28" s="140">
        <v>10</v>
      </c>
      <c r="I28" s="140"/>
      <c r="J28" s="195">
        <f t="shared" si="5"/>
        <v>11.833333333333334</v>
      </c>
      <c r="K28" s="105" t="str">
        <f t="shared" si="1"/>
        <v>TRANSITA</v>
      </c>
      <c r="L28" s="156"/>
      <c r="M28" s="140"/>
      <c r="N28" s="140"/>
      <c r="O28" s="140"/>
      <c r="P28" s="140"/>
      <c r="Q28" s="138">
        <f t="shared" si="2"/>
        <v>0</v>
      </c>
      <c r="R28" s="105" t="str">
        <f t="shared" si="3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3.9444444444444446</v>
      </c>
      <c r="Z28" s="105" t="str">
        <f t="shared" si="4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10</v>
      </c>
      <c r="F29" s="140">
        <v>8</v>
      </c>
      <c r="G29" s="140"/>
      <c r="H29" s="140">
        <v>10</v>
      </c>
      <c r="I29" s="140"/>
      <c r="J29" s="195">
        <f t="shared" si="5"/>
        <v>9.3333333333333339</v>
      </c>
      <c r="K29" s="105" t="str">
        <f t="shared" si="1"/>
        <v>N/TRANSITA</v>
      </c>
      <c r="L29" s="156">
        <v>10</v>
      </c>
      <c r="M29" s="140">
        <v>11</v>
      </c>
      <c r="N29" s="140"/>
      <c r="O29" s="140">
        <v>15.5</v>
      </c>
      <c r="P29" s="140"/>
      <c r="Q29" s="138">
        <f t="shared" si="2"/>
        <v>12.166666666666666</v>
      </c>
      <c r="R29" s="105" t="str">
        <f t="shared" si="3"/>
        <v>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7.166666666666667</v>
      </c>
      <c r="Z29" s="105" t="str">
        <f t="shared" si="4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15.5</v>
      </c>
      <c r="F30" s="140">
        <v>19.5</v>
      </c>
      <c r="G30" s="140"/>
      <c r="H30" s="140">
        <v>14.5</v>
      </c>
      <c r="I30" s="140"/>
      <c r="J30" s="195">
        <f t="shared" si="5"/>
        <v>16.5</v>
      </c>
      <c r="K30" s="105" t="str">
        <f t="shared" si="1"/>
        <v>TRANSITA</v>
      </c>
      <c r="L30" s="156">
        <v>15</v>
      </c>
      <c r="M30" s="140">
        <v>16</v>
      </c>
      <c r="N30" s="140"/>
      <c r="O30" s="140">
        <v>19.5</v>
      </c>
      <c r="P30" s="140"/>
      <c r="Q30" s="138">
        <f t="shared" si="2"/>
        <v>16.833333333333332</v>
      </c>
      <c r="R30" s="105" t="str">
        <f t="shared" si="3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11.111111111111109</v>
      </c>
      <c r="Z30" s="105" t="str">
        <f t="shared" si="4"/>
        <v>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14</v>
      </c>
      <c r="F31" s="140">
        <v>16</v>
      </c>
      <c r="G31" s="140"/>
      <c r="H31" s="140">
        <v>11</v>
      </c>
      <c r="I31" s="140"/>
      <c r="J31" s="195">
        <f t="shared" si="5"/>
        <v>13.666666666666666</v>
      </c>
      <c r="K31" s="105" t="str">
        <f t="shared" si="1"/>
        <v>TRANSITA</v>
      </c>
      <c r="L31" s="156">
        <v>15</v>
      </c>
      <c r="M31" s="140">
        <v>20</v>
      </c>
      <c r="N31" s="140"/>
      <c r="O31" s="140">
        <v>12</v>
      </c>
      <c r="P31" s="140"/>
      <c r="Q31" s="138">
        <f t="shared" si="2"/>
        <v>15.666666666666666</v>
      </c>
      <c r="R31" s="105" t="str">
        <f t="shared" si="3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9.7777777777777768</v>
      </c>
      <c r="Z31" s="105" t="str">
        <f t="shared" si="4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10.5</v>
      </c>
      <c r="F32" s="140">
        <v>10</v>
      </c>
      <c r="G32" s="140"/>
      <c r="H32" s="140">
        <v>11</v>
      </c>
      <c r="I32" s="140"/>
      <c r="J32" s="195">
        <f t="shared" si="5"/>
        <v>10.5</v>
      </c>
      <c r="K32" s="105" t="str">
        <f t="shared" si="1"/>
        <v>TRANSITA</v>
      </c>
      <c r="L32" s="156">
        <v>11</v>
      </c>
      <c r="M32" s="140">
        <v>13.5</v>
      </c>
      <c r="N32" s="140"/>
      <c r="O32" s="140">
        <v>14</v>
      </c>
      <c r="P32" s="140"/>
      <c r="Q32" s="138">
        <f t="shared" si="2"/>
        <v>12.833333333333334</v>
      </c>
      <c r="R32" s="105" t="str">
        <f t="shared" si="3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7.7777777777777786</v>
      </c>
      <c r="Z32" s="105" t="str">
        <f t="shared" si="4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10</v>
      </c>
      <c r="F33" s="140">
        <v>19.5</v>
      </c>
      <c r="G33" s="140"/>
      <c r="H33" s="140">
        <v>10</v>
      </c>
      <c r="I33" s="140"/>
      <c r="J33" s="195">
        <f t="shared" si="5"/>
        <v>13.166666666666666</v>
      </c>
      <c r="K33" s="105" t="str">
        <f t="shared" si="1"/>
        <v>TRANSITA</v>
      </c>
      <c r="L33" s="156">
        <v>10</v>
      </c>
      <c r="M33" s="140">
        <v>7.5</v>
      </c>
      <c r="N33" s="140"/>
      <c r="O33" s="140">
        <v>16</v>
      </c>
      <c r="P33" s="140"/>
      <c r="Q33" s="138">
        <f t="shared" si="2"/>
        <v>11.166666666666666</v>
      </c>
      <c r="R33" s="105" t="str">
        <f t="shared" si="3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8.1111111111111107</v>
      </c>
      <c r="Z33" s="105" t="str">
        <f t="shared" si="4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15.5</v>
      </c>
      <c r="F34" s="140">
        <v>19</v>
      </c>
      <c r="G34" s="140"/>
      <c r="H34" s="140">
        <v>16</v>
      </c>
      <c r="I34" s="140"/>
      <c r="J34" s="195">
        <f t="shared" si="5"/>
        <v>16.833333333333332</v>
      </c>
      <c r="K34" s="105" t="str">
        <f t="shared" si="1"/>
        <v>TRANSITA</v>
      </c>
      <c r="L34" s="156">
        <v>16</v>
      </c>
      <c r="M34" s="140">
        <v>20</v>
      </c>
      <c r="N34" s="140"/>
      <c r="O34" s="140">
        <v>18.5</v>
      </c>
      <c r="P34" s="140"/>
      <c r="Q34" s="138">
        <f t="shared" si="2"/>
        <v>18.166666666666668</v>
      </c>
      <c r="R34" s="105" t="str">
        <f t="shared" si="3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11.666666666666666</v>
      </c>
      <c r="Z34" s="105" t="str">
        <f t="shared" si="4"/>
        <v>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10.5</v>
      </c>
      <c r="F35" s="140">
        <v>17</v>
      </c>
      <c r="G35" s="140"/>
      <c r="H35" s="140">
        <v>17</v>
      </c>
      <c r="I35" s="140"/>
      <c r="J35" s="195">
        <f t="shared" si="5"/>
        <v>14.833333333333334</v>
      </c>
      <c r="K35" s="105" t="str">
        <f t="shared" si="1"/>
        <v>TRANSITA</v>
      </c>
      <c r="L35" s="156">
        <v>10</v>
      </c>
      <c r="M35" s="140">
        <v>12.5</v>
      </c>
      <c r="N35" s="140"/>
      <c r="O35" s="140">
        <v>13</v>
      </c>
      <c r="P35" s="140"/>
      <c r="Q35" s="138">
        <f t="shared" si="2"/>
        <v>11.833333333333334</v>
      </c>
      <c r="R35" s="105" t="str">
        <f t="shared" si="3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8.8888888888888893</v>
      </c>
      <c r="Z35" s="105" t="str">
        <f t="shared" si="4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15</v>
      </c>
      <c r="F36" s="140">
        <v>12.5</v>
      </c>
      <c r="G36" s="140"/>
      <c r="H36" s="140">
        <v>18</v>
      </c>
      <c r="I36" s="140"/>
      <c r="J36" s="195">
        <f t="shared" si="5"/>
        <v>15.166666666666666</v>
      </c>
      <c r="K36" s="105" t="str">
        <f t="shared" si="1"/>
        <v>TRANSITA</v>
      </c>
      <c r="L36" s="156">
        <v>15</v>
      </c>
      <c r="M36" s="140">
        <v>20</v>
      </c>
      <c r="N36" s="140"/>
      <c r="O36" s="140">
        <v>16</v>
      </c>
      <c r="P36" s="140"/>
      <c r="Q36" s="138">
        <f t="shared" si="2"/>
        <v>17</v>
      </c>
      <c r="R36" s="105" t="str">
        <f t="shared" si="3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10.722222222222221</v>
      </c>
      <c r="Z36" s="105" t="str">
        <f t="shared" si="4"/>
        <v>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17.5</v>
      </c>
      <c r="F37" s="140">
        <v>20</v>
      </c>
      <c r="G37" s="140"/>
      <c r="H37" s="140">
        <v>19.5</v>
      </c>
      <c r="I37" s="140"/>
      <c r="J37" s="195">
        <f t="shared" si="5"/>
        <v>19</v>
      </c>
      <c r="K37" s="105" t="str">
        <f t="shared" si="1"/>
        <v>TRANSITA</v>
      </c>
      <c r="L37" s="156">
        <v>16</v>
      </c>
      <c r="M37" s="140">
        <v>20</v>
      </c>
      <c r="N37" s="140"/>
      <c r="O37" s="140">
        <v>20</v>
      </c>
      <c r="P37" s="140"/>
      <c r="Q37" s="138">
        <f t="shared" si="2"/>
        <v>18.666666666666668</v>
      </c>
      <c r="R37" s="105" t="str">
        <f t="shared" si="3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12.555555555555557</v>
      </c>
      <c r="Z37" s="105" t="str">
        <f t="shared" si="4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12</v>
      </c>
      <c r="F38" s="140">
        <v>20</v>
      </c>
      <c r="G38" s="140"/>
      <c r="H38" s="140">
        <v>13</v>
      </c>
      <c r="I38" s="140"/>
      <c r="J38" s="195">
        <f t="shared" si="5"/>
        <v>15</v>
      </c>
      <c r="K38" s="105" t="str">
        <f t="shared" si="1"/>
        <v>TRANSITA</v>
      </c>
      <c r="L38" s="156">
        <v>16</v>
      </c>
      <c r="M38" s="140">
        <v>20</v>
      </c>
      <c r="N38" s="140"/>
      <c r="O38" s="140">
        <v>11</v>
      </c>
      <c r="P38" s="140"/>
      <c r="Q38" s="138">
        <f t="shared" si="2"/>
        <v>15.666666666666666</v>
      </c>
      <c r="R38" s="105" t="str">
        <f t="shared" si="3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10.222222222222221</v>
      </c>
      <c r="Z38" s="105" t="str">
        <f t="shared" si="4"/>
        <v>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12.75</v>
      </c>
      <c r="F39" s="140">
        <v>19.5</v>
      </c>
      <c r="G39" s="140"/>
      <c r="H39" s="140">
        <v>20</v>
      </c>
      <c r="I39" s="140"/>
      <c r="J39" s="195">
        <f t="shared" si="5"/>
        <v>17.416666666666668</v>
      </c>
      <c r="K39" s="105" t="str">
        <f t="shared" si="1"/>
        <v>TRANSITA</v>
      </c>
      <c r="L39" s="156">
        <v>15</v>
      </c>
      <c r="M39" s="140">
        <v>13</v>
      </c>
      <c r="N39" s="140"/>
      <c r="O39" s="140">
        <v>20</v>
      </c>
      <c r="P39" s="140"/>
      <c r="Q39" s="138">
        <f t="shared" si="2"/>
        <v>16</v>
      </c>
      <c r="R39" s="105" t="str">
        <f t="shared" si="3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11.138888888888891</v>
      </c>
      <c r="Z39" s="105" t="str">
        <f t="shared" si="4"/>
        <v>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17.75</v>
      </c>
      <c r="F40" s="140">
        <v>20</v>
      </c>
      <c r="G40" s="140"/>
      <c r="H40" s="140">
        <v>19</v>
      </c>
      <c r="I40" s="140"/>
      <c r="J40" s="195">
        <f t="shared" si="5"/>
        <v>18.916666666666668</v>
      </c>
      <c r="K40" s="105" t="str">
        <f t="shared" si="1"/>
        <v>TRANSITA</v>
      </c>
      <c r="L40" s="156">
        <v>16</v>
      </c>
      <c r="M40" s="140">
        <v>20</v>
      </c>
      <c r="N40" s="140"/>
      <c r="O40" s="140">
        <v>20</v>
      </c>
      <c r="P40" s="140"/>
      <c r="Q40" s="138">
        <f t="shared" si="2"/>
        <v>18.666666666666668</v>
      </c>
      <c r="R40" s="105" t="str">
        <f t="shared" si="3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12.527777777777779</v>
      </c>
      <c r="Z40" s="105" t="str">
        <f t="shared" si="4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13</v>
      </c>
      <c r="F41" s="140">
        <v>19.5</v>
      </c>
      <c r="G41" s="140"/>
      <c r="H41" s="140">
        <v>17</v>
      </c>
      <c r="I41" s="140"/>
      <c r="J41" s="195">
        <f t="shared" si="5"/>
        <v>16.5</v>
      </c>
      <c r="K41" s="105" t="str">
        <f t="shared" si="1"/>
        <v>TRANSITA</v>
      </c>
      <c r="L41" s="156">
        <v>15</v>
      </c>
      <c r="M41" s="140">
        <v>20</v>
      </c>
      <c r="N41" s="140"/>
      <c r="O41" s="140">
        <v>19.5</v>
      </c>
      <c r="P41" s="140"/>
      <c r="Q41" s="138">
        <f t="shared" si="2"/>
        <v>18.166666666666668</v>
      </c>
      <c r="R41" s="105" t="str">
        <f t="shared" si="3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11.555555555555557</v>
      </c>
      <c r="Z41" s="105" t="str">
        <f t="shared" ref="Z41:Z43" si="10">IF(Y41&gt;=10,"TRANSITA","N/TRANSITA")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>
        <v>11</v>
      </c>
      <c r="F42" s="140">
        <v>12</v>
      </c>
      <c r="G42" s="140"/>
      <c r="H42" s="140">
        <v>10</v>
      </c>
      <c r="I42" s="140"/>
      <c r="J42" s="195">
        <f t="shared" si="5"/>
        <v>11</v>
      </c>
      <c r="K42" s="105" t="str">
        <f t="shared" si="1"/>
        <v>TRANSITA</v>
      </c>
      <c r="L42" s="156">
        <v>10</v>
      </c>
      <c r="M42" s="140">
        <v>9</v>
      </c>
      <c r="N42" s="140"/>
      <c r="O42" s="140">
        <v>12</v>
      </c>
      <c r="P42" s="140"/>
      <c r="Q42" s="138">
        <f t="shared" ref="Q42" si="11">AVERAGE(L42,MAX(M42:N42),MAX(O42:P42))</f>
        <v>10.333333333333334</v>
      </c>
      <c r="R42" s="105" t="str">
        <f t="shared" ref="R42" si="12">IF(Q42&gt;=10,"TRANSITA","N/TRANSITA")</f>
        <v>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7.1111111111111116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11.25</v>
      </c>
      <c r="F43" s="140">
        <v>16.5</v>
      </c>
      <c r="G43" s="140"/>
      <c r="H43" s="140">
        <v>14.5</v>
      </c>
      <c r="I43" s="140"/>
      <c r="J43" s="195">
        <f t="shared" si="5"/>
        <v>14.083333333333334</v>
      </c>
      <c r="K43" s="105" t="str">
        <f t="shared" si="1"/>
        <v>TRANSITA</v>
      </c>
      <c r="L43" s="156">
        <v>11</v>
      </c>
      <c r="M43" s="140">
        <v>12</v>
      </c>
      <c r="N43" s="140"/>
      <c r="O43" s="140">
        <v>16</v>
      </c>
      <c r="P43" s="140"/>
      <c r="Q43" s="138">
        <f t="shared" si="2"/>
        <v>13</v>
      </c>
      <c r="R43" s="105" t="str">
        <f t="shared" si="3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9.0277777777777786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13.5</v>
      </c>
      <c r="F44" s="140">
        <v>20</v>
      </c>
      <c r="G44" s="140"/>
      <c r="H44" s="140">
        <v>10</v>
      </c>
      <c r="I44" s="140"/>
      <c r="J44" s="195">
        <f t="shared" si="5"/>
        <v>14.5</v>
      </c>
      <c r="K44" s="105" t="str">
        <f t="shared" si="1"/>
        <v>TRANSITA</v>
      </c>
      <c r="L44" s="156">
        <v>10</v>
      </c>
      <c r="M44" s="140">
        <v>10</v>
      </c>
      <c r="N44" s="140"/>
      <c r="O44" s="140">
        <v>13</v>
      </c>
      <c r="P44" s="140"/>
      <c r="Q44" s="138">
        <f t="shared" si="2"/>
        <v>11</v>
      </c>
      <c r="R44" s="105" t="str">
        <f t="shared" si="3"/>
        <v>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8.5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13.5</v>
      </c>
      <c r="F45" s="140">
        <v>15</v>
      </c>
      <c r="G45" s="140"/>
      <c r="H45" s="140">
        <v>16.5</v>
      </c>
      <c r="I45" s="140"/>
      <c r="J45" s="195">
        <f t="shared" si="5"/>
        <v>15</v>
      </c>
      <c r="K45" s="105" t="str">
        <f t="shared" si="1"/>
        <v>TRANSITA</v>
      </c>
      <c r="L45" s="156">
        <v>14</v>
      </c>
      <c r="M45" s="140">
        <v>20</v>
      </c>
      <c r="N45" s="140"/>
      <c r="O45" s="140">
        <v>16</v>
      </c>
      <c r="P45" s="140"/>
      <c r="Q45" s="138">
        <f t="shared" si="2"/>
        <v>16.666666666666668</v>
      </c>
      <c r="R45" s="105" t="str">
        <f t="shared" si="3"/>
        <v>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10.555555555555555</v>
      </c>
      <c r="Z45" s="105" t="str">
        <f t="shared" si="18"/>
        <v>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12</v>
      </c>
      <c r="F46" s="140">
        <v>12</v>
      </c>
      <c r="G46" s="140"/>
      <c r="H46" s="140">
        <v>15</v>
      </c>
      <c r="I46" s="140"/>
      <c r="J46" s="195">
        <f t="shared" si="5"/>
        <v>13</v>
      </c>
      <c r="K46" s="105" t="str">
        <f t="shared" si="1"/>
        <v>TRANSITA</v>
      </c>
      <c r="L46" s="156">
        <v>10</v>
      </c>
      <c r="M46" s="140">
        <v>8</v>
      </c>
      <c r="N46" s="140"/>
      <c r="O46" s="140">
        <v>14</v>
      </c>
      <c r="P46" s="140"/>
      <c r="Q46" s="138">
        <f t="shared" si="2"/>
        <v>10.666666666666666</v>
      </c>
      <c r="R46" s="105" t="str">
        <f t="shared" si="3"/>
        <v>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7.8888888888888884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11.25</v>
      </c>
      <c r="F47" s="140">
        <v>19.5</v>
      </c>
      <c r="G47" s="140"/>
      <c r="H47" s="140">
        <v>10</v>
      </c>
      <c r="I47" s="140"/>
      <c r="J47" s="195">
        <f t="shared" si="5"/>
        <v>13.583333333333334</v>
      </c>
      <c r="K47" s="105" t="str">
        <f t="shared" si="1"/>
        <v>TRANSITA</v>
      </c>
      <c r="L47" s="156">
        <v>11</v>
      </c>
      <c r="M47" s="140">
        <v>10</v>
      </c>
      <c r="N47" s="140"/>
      <c r="O47" s="140">
        <v>16</v>
      </c>
      <c r="P47" s="140"/>
      <c r="Q47" s="138">
        <f t="shared" si="2"/>
        <v>12.333333333333334</v>
      </c>
      <c r="R47" s="105" t="str">
        <f t="shared" si="3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8.6388888888888893</v>
      </c>
      <c r="Z47" s="105" t="str">
        <f t="shared" si="4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13</v>
      </c>
      <c r="F48" s="140">
        <v>19.5</v>
      </c>
      <c r="G48" s="140"/>
      <c r="H48" s="140">
        <v>14.5</v>
      </c>
      <c r="I48" s="140"/>
      <c r="J48" s="195">
        <f t="shared" si="5"/>
        <v>15.666666666666666</v>
      </c>
      <c r="K48" s="105" t="str">
        <f t="shared" si="1"/>
        <v>TRANSITA</v>
      </c>
      <c r="L48" s="156">
        <v>15</v>
      </c>
      <c r="M48" s="140">
        <v>20</v>
      </c>
      <c r="N48" s="140"/>
      <c r="O48" s="140">
        <v>15</v>
      </c>
      <c r="P48" s="140"/>
      <c r="Q48" s="138">
        <f t="shared" si="2"/>
        <v>16.666666666666668</v>
      </c>
      <c r="R48" s="105" t="str">
        <f t="shared" si="3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10.777777777777779</v>
      </c>
      <c r="Z48" s="105" t="str">
        <f t="shared" si="4"/>
        <v>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13.75</v>
      </c>
      <c r="F49" s="140">
        <v>17</v>
      </c>
      <c r="G49" s="140"/>
      <c r="H49" s="140">
        <v>14.5</v>
      </c>
      <c r="I49" s="140"/>
      <c r="J49" s="195">
        <f t="shared" si="5"/>
        <v>15.083333333333334</v>
      </c>
      <c r="K49" s="105" t="str">
        <f t="shared" si="1"/>
        <v>TRANSITA</v>
      </c>
      <c r="L49" s="156">
        <v>11</v>
      </c>
      <c r="M49" s="140">
        <v>20</v>
      </c>
      <c r="N49" s="140"/>
      <c r="O49" s="140">
        <v>14</v>
      </c>
      <c r="P49" s="140"/>
      <c r="Q49" s="138">
        <f t="shared" si="2"/>
        <v>15</v>
      </c>
      <c r="R49" s="105" t="str">
        <f t="shared" si="3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10.027777777777779</v>
      </c>
      <c r="Z49" s="105" t="str">
        <f t="shared" ref="Z49:Z51" si="21">IF(Y49&gt;=10,"TRANSITA","N/TRANSITA")</f>
        <v>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16.25</v>
      </c>
      <c r="F50" s="140">
        <v>16</v>
      </c>
      <c r="G50" s="140"/>
      <c r="H50" s="140">
        <v>17.5</v>
      </c>
      <c r="I50" s="140"/>
      <c r="J50" s="195">
        <f t="shared" si="5"/>
        <v>16.583333333333332</v>
      </c>
      <c r="K50" s="105" t="str">
        <f t="shared" si="1"/>
        <v>TRANSITA</v>
      </c>
      <c r="L50" s="156">
        <v>16</v>
      </c>
      <c r="M50" s="140">
        <v>20</v>
      </c>
      <c r="N50" s="140"/>
      <c r="O50" s="140">
        <v>20</v>
      </c>
      <c r="P50" s="140"/>
      <c r="Q50" s="138">
        <f t="shared" si="2"/>
        <v>18.666666666666668</v>
      </c>
      <c r="R50" s="105" t="str">
        <f t="shared" si="3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11.75</v>
      </c>
      <c r="Z50" s="105" t="str">
        <f t="shared" si="21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11</v>
      </c>
      <c r="F51" s="140">
        <v>11.5</v>
      </c>
      <c r="G51" s="140"/>
      <c r="H51" s="140">
        <v>13</v>
      </c>
      <c r="I51" s="140"/>
      <c r="J51" s="195">
        <f t="shared" si="5"/>
        <v>11.833333333333334</v>
      </c>
      <c r="K51" s="105" t="str">
        <f t="shared" si="1"/>
        <v>TRANSITA</v>
      </c>
      <c r="L51" s="156">
        <v>10</v>
      </c>
      <c r="M51" s="140">
        <v>3</v>
      </c>
      <c r="N51" s="140"/>
      <c r="O51" s="140">
        <v>10.5</v>
      </c>
      <c r="P51" s="140"/>
      <c r="Q51" s="138">
        <f t="shared" si="2"/>
        <v>7.833333333333333</v>
      </c>
      <c r="R51" s="105" t="str">
        <f t="shared" si="3"/>
        <v>N/TRANSITA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6.5555555555555562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13.5</v>
      </c>
      <c r="F52" s="152">
        <v>12.5</v>
      </c>
      <c r="G52" s="152"/>
      <c r="H52" s="152">
        <v>20</v>
      </c>
      <c r="I52" s="152"/>
      <c r="J52" s="196">
        <f t="shared" si="5"/>
        <v>15.333333333333334</v>
      </c>
      <c r="K52" s="110" t="str">
        <f t="shared" si="1"/>
        <v>TRANSITA</v>
      </c>
      <c r="L52" s="157">
        <v>10</v>
      </c>
      <c r="M52" s="152">
        <v>2</v>
      </c>
      <c r="N52" s="152"/>
      <c r="O52" s="152">
        <v>17</v>
      </c>
      <c r="P52" s="152"/>
      <c r="Q52" s="139">
        <f t="shared" si="2"/>
        <v>9.6666666666666661</v>
      </c>
      <c r="R52" s="110" t="str">
        <f t="shared" si="3"/>
        <v>N/TRANSITA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8.3333333333333339</v>
      </c>
      <c r="Z52" s="110" t="str">
        <f t="shared" si="4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E5:Q5"/>
    <mergeCell ref="B6:Z6"/>
    <mergeCell ref="B7:B8"/>
    <mergeCell ref="C7:C8"/>
    <mergeCell ref="E7:J7"/>
    <mergeCell ref="L7:Q7"/>
    <mergeCell ref="S7:X7"/>
    <mergeCell ref="Y7:Y8"/>
    <mergeCell ref="V5:Z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177" priority="265" stopIfTrue="1" operator="greaterThan">
      <formula>9.5</formula>
    </cfRule>
    <cfRule type="cellIs" dxfId="176" priority="266" stopIfTrue="1" operator="lessThanOrEqual">
      <formula>9.5</formula>
    </cfRule>
  </conditionalFormatting>
  <conditionalFormatting sqref="X9:X52 Q9:Q52">
    <cfRule type="cellIs" dxfId="175" priority="243" stopIfTrue="1" operator="lessThan">
      <formula>10</formula>
    </cfRule>
    <cfRule type="cellIs" dxfId="174" priority="244" stopIfTrue="1" operator="greaterThanOrEqual">
      <formula>10</formula>
    </cfRule>
  </conditionalFormatting>
  <conditionalFormatting sqref="P50:P52 S9:W52">
    <cfRule type="cellIs" dxfId="173" priority="157" stopIfTrue="1" operator="lessThan">
      <formula>10</formula>
    </cfRule>
    <cfRule type="cellIs" dxfId="172" priority="158" stopIfTrue="1" operator="greaterThan">
      <formula>9</formula>
    </cfRule>
  </conditionalFormatting>
  <conditionalFormatting sqref="P50:P52 S9:W52">
    <cfRule type="cellIs" dxfId="171" priority="155" stopIfTrue="1" operator="lessThan">
      <formula>10</formula>
    </cfRule>
    <cfRule type="cellIs" dxfId="170" priority="156" stopIfTrue="1" operator="greaterThan">
      <formula>9</formula>
    </cfRule>
  </conditionalFormatting>
  <conditionalFormatting sqref="P9:P49">
    <cfRule type="cellIs" dxfId="169" priority="91" stopIfTrue="1" operator="lessThan">
      <formula>10</formula>
    </cfRule>
    <cfRule type="cellIs" dxfId="168" priority="92" stopIfTrue="1" operator="greaterThan">
      <formula>9</formula>
    </cfRule>
  </conditionalFormatting>
  <conditionalFormatting sqref="P9:P49">
    <cfRule type="cellIs" dxfId="167" priority="89" stopIfTrue="1" operator="lessThan">
      <formula>10</formula>
    </cfRule>
    <cfRule type="cellIs" dxfId="166" priority="90" stopIfTrue="1" operator="greaterThan">
      <formula>9</formula>
    </cfRule>
  </conditionalFormatting>
  <conditionalFormatting sqref="J9:J52">
    <cfRule type="cellIs" dxfId="165" priority="39" stopIfTrue="1" operator="lessThan">
      <formula>10</formula>
    </cfRule>
    <cfRule type="cellIs" dxfId="164" priority="40" stopIfTrue="1" operator="greaterThanOrEqual">
      <formula>10</formula>
    </cfRule>
  </conditionalFormatting>
  <conditionalFormatting sqref="I50:I52 L50:O52">
    <cfRule type="cellIs" dxfId="163" priority="35" stopIfTrue="1" operator="lessThan">
      <formula>10</formula>
    </cfRule>
    <cfRule type="cellIs" dxfId="162" priority="36" stopIfTrue="1" operator="greaterThan">
      <formula>9</formula>
    </cfRule>
  </conditionalFormatting>
  <conditionalFormatting sqref="I50:I52 L50:O52">
    <cfRule type="cellIs" dxfId="161" priority="33" stopIfTrue="1" operator="lessThan">
      <formula>10</formula>
    </cfRule>
    <cfRule type="cellIs" dxfId="160" priority="34" stopIfTrue="1" operator="greaterThan">
      <formula>9</formula>
    </cfRule>
  </conditionalFormatting>
  <conditionalFormatting sqref="I9:I49">
    <cfRule type="cellIs" dxfId="159" priority="31" stopIfTrue="1" operator="lessThan">
      <formula>10</formula>
    </cfRule>
    <cfRule type="cellIs" dxfId="158" priority="32" stopIfTrue="1" operator="greaterThan">
      <formula>9</formula>
    </cfRule>
  </conditionalFormatting>
  <conditionalFormatting sqref="I9:I49">
    <cfRule type="cellIs" dxfId="157" priority="29" stopIfTrue="1" operator="lessThan">
      <formula>10</formula>
    </cfRule>
    <cfRule type="cellIs" dxfId="156" priority="30" stopIfTrue="1" operator="greaterThan">
      <formula>9</formula>
    </cfRule>
  </conditionalFormatting>
  <conditionalFormatting sqref="L49:O49 L48 N9:N48">
    <cfRule type="cellIs" dxfId="155" priority="27" stopIfTrue="1" operator="lessThan">
      <formula>10</formula>
    </cfRule>
    <cfRule type="cellIs" dxfId="154" priority="28" stopIfTrue="1" operator="greaterThan">
      <formula>9</formula>
    </cfRule>
  </conditionalFormatting>
  <conditionalFormatting sqref="L49:O49 L48 N9:N48">
    <cfRule type="cellIs" dxfId="153" priority="25" stopIfTrue="1" operator="lessThan">
      <formula>10</formula>
    </cfRule>
    <cfRule type="cellIs" dxfId="152" priority="26" stopIfTrue="1" operator="greaterThan">
      <formula>9</formula>
    </cfRule>
  </conditionalFormatting>
  <conditionalFormatting sqref="L9:L47">
    <cfRule type="cellIs" dxfId="151" priority="23" stopIfTrue="1" operator="lessThan">
      <formula>10</formula>
    </cfRule>
    <cfRule type="cellIs" dxfId="150" priority="24" stopIfTrue="1" operator="greaterThan">
      <formula>9</formula>
    </cfRule>
  </conditionalFormatting>
  <conditionalFormatting sqref="L9:L47">
    <cfRule type="cellIs" dxfId="149" priority="21" stopIfTrue="1" operator="lessThan">
      <formula>10</formula>
    </cfRule>
    <cfRule type="cellIs" dxfId="148" priority="22" stopIfTrue="1" operator="greaterThan">
      <formula>9</formula>
    </cfRule>
  </conditionalFormatting>
  <conditionalFormatting sqref="M9:M48">
    <cfRule type="cellIs" dxfId="147" priority="19" stopIfTrue="1" operator="lessThan">
      <formula>10</formula>
    </cfRule>
    <cfRule type="cellIs" dxfId="146" priority="20" stopIfTrue="1" operator="greaterThan">
      <formula>9</formula>
    </cfRule>
  </conditionalFormatting>
  <conditionalFormatting sqref="M9:M48">
    <cfRule type="cellIs" dxfId="145" priority="17" stopIfTrue="1" operator="lessThan">
      <formula>10</formula>
    </cfRule>
    <cfRule type="cellIs" dxfId="144" priority="18" stopIfTrue="1" operator="greaterThan">
      <formula>9</formula>
    </cfRule>
  </conditionalFormatting>
  <conditionalFormatting sqref="O9:O48">
    <cfRule type="cellIs" dxfId="143" priority="15" stopIfTrue="1" operator="lessThan">
      <formula>10</formula>
    </cfRule>
    <cfRule type="cellIs" dxfId="142" priority="16" stopIfTrue="1" operator="greaterThan">
      <formula>9</formula>
    </cfRule>
  </conditionalFormatting>
  <conditionalFormatting sqref="O9:O48">
    <cfRule type="cellIs" dxfId="141" priority="13" stopIfTrue="1" operator="lessThan">
      <formula>10</formula>
    </cfRule>
    <cfRule type="cellIs" dxfId="140" priority="14" stopIfTrue="1" operator="greaterThan">
      <formula>9</formula>
    </cfRule>
  </conditionalFormatting>
  <conditionalFormatting sqref="E50:H52">
    <cfRule type="cellIs" dxfId="139" priority="11" stopIfTrue="1" operator="lessThan">
      <formula>10</formula>
    </cfRule>
    <cfRule type="cellIs" dxfId="138" priority="12" stopIfTrue="1" operator="greaterThan">
      <formula>9</formula>
    </cfRule>
  </conditionalFormatting>
  <conditionalFormatting sqref="E50:H52">
    <cfRule type="cellIs" dxfId="137" priority="9" stopIfTrue="1" operator="lessThan">
      <formula>10</formula>
    </cfRule>
    <cfRule type="cellIs" dxfId="136" priority="10" stopIfTrue="1" operator="greaterThan">
      <formula>9</formula>
    </cfRule>
  </conditionalFormatting>
  <conditionalFormatting sqref="E49:H49">
    <cfRule type="cellIs" dxfId="135" priority="7" stopIfTrue="1" operator="lessThan">
      <formula>10</formula>
    </cfRule>
    <cfRule type="cellIs" dxfId="134" priority="8" stopIfTrue="1" operator="greaterThan">
      <formula>9</formula>
    </cfRule>
  </conditionalFormatting>
  <conditionalFormatting sqref="E49:H49">
    <cfRule type="cellIs" dxfId="133" priority="5" stopIfTrue="1" operator="lessThan">
      <formula>10</formula>
    </cfRule>
    <cfRule type="cellIs" dxfId="132" priority="6" stopIfTrue="1" operator="greaterThan">
      <formula>9</formula>
    </cfRule>
  </conditionalFormatting>
  <conditionalFormatting sqref="E9:H48">
    <cfRule type="cellIs" dxfId="131" priority="3" stopIfTrue="1" operator="lessThan">
      <formula>10</formula>
    </cfRule>
    <cfRule type="cellIs" dxfId="130" priority="4" stopIfTrue="1" operator="greaterThan">
      <formula>9</formula>
    </cfRule>
  </conditionalFormatting>
  <conditionalFormatting sqref="E9:H48">
    <cfRule type="cellIs" dxfId="129" priority="1" stopIfTrue="1" operator="lessThan">
      <formula>10</formula>
    </cfRule>
    <cfRule type="cellIs" dxfId="128" priority="2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6385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38100</xdr:colOff>
                <xdr:row>54</xdr:row>
                <xdr:rowOff>22860</xdr:rowOff>
              </to>
            </anchor>
          </objectPr>
        </oleObject>
      </mc:Choice>
      <mc:Fallback>
        <oleObject progId="Word.Document.8" shapeId="1638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09" stopIfTrue="1" operator="containsText" id="{87E2F88F-5A45-4176-AB88-B99B7FCFA70C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10" stopIfTrue="1" operator="containsText" id="{55EC2D59-8A30-4796-9F27-B2141049E430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37" stopIfTrue="1" operator="containsText" id="{F272CD08-44B3-4AE4-9B35-2D0D11E430C8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38" stopIfTrue="1" operator="containsText" id="{20C1A57A-E1E2-4E62-B2D3-E3D930DED09A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G13" sqref="G13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80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5</v>
      </c>
      <c r="AD8" s="287">
        <f>COUNTIF(Z9:Z58,"N/TRANSITA")</f>
        <v>39</v>
      </c>
      <c r="AE8" s="287">
        <f>COUNTIF(Z9:Z58,"E.E.F")</f>
        <v>0</v>
      </c>
    </row>
    <row r="9" spans="1:31" ht="14.25" customHeight="1" thickTop="1" thickBot="1" x14ac:dyDescent="0.35">
      <c r="B9" s="30">
        <v>1</v>
      </c>
      <c r="C9" s="176" t="s">
        <v>95</v>
      </c>
      <c r="D9" s="99"/>
      <c r="E9" s="187">
        <v>10</v>
      </c>
      <c r="F9" s="188">
        <v>14.5</v>
      </c>
      <c r="G9" s="188"/>
      <c r="H9" s="188">
        <v>12</v>
      </c>
      <c r="I9" s="188"/>
      <c r="J9" s="112">
        <f>AVERAGE(E9,MAX(F9:G9),MAX(H9:I9))</f>
        <v>12.166666666666666</v>
      </c>
      <c r="K9" s="101" t="str">
        <f>IF(J9&gt;=10,"TRANSITA","N/TRANSITA")</f>
        <v>TRANSITA</v>
      </c>
      <c r="L9" s="187">
        <v>16</v>
      </c>
      <c r="M9" s="188">
        <v>11</v>
      </c>
      <c r="N9" s="188"/>
      <c r="O9" s="143">
        <v>11.5</v>
      </c>
      <c r="P9" s="143"/>
      <c r="Q9" s="112">
        <f>AVERAGE(L9,MAX(M9:N9),MAX(O9:P9))</f>
        <v>12.833333333333334</v>
      </c>
      <c r="R9" s="101" t="str">
        <f>IF(Q9&gt;=10,"TRANSITA","N/TRANSITA")</f>
        <v>TRANSITA</v>
      </c>
      <c r="S9" s="144"/>
      <c r="T9" s="145"/>
      <c r="U9" s="145"/>
      <c r="V9" s="145"/>
      <c r="W9" s="143"/>
      <c r="X9" s="100">
        <f>AVERAGE(S9,MAX(T9:U9),MAX(V9:W9))</f>
        <v>0</v>
      </c>
      <c r="Y9" s="102">
        <f t="shared" ref="Y9:Y31" si="0">SUM(J9,Q9,X9)/3</f>
        <v>8.3333333333333339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thickTop="1" thickBot="1" x14ac:dyDescent="0.35">
      <c r="B10" s="31">
        <v>2</v>
      </c>
      <c r="C10" s="177" t="s">
        <v>96</v>
      </c>
      <c r="D10" s="103"/>
      <c r="E10" s="189">
        <v>12</v>
      </c>
      <c r="F10" s="190">
        <v>18.5</v>
      </c>
      <c r="G10" s="190"/>
      <c r="H10" s="190">
        <v>19</v>
      </c>
      <c r="I10" s="190"/>
      <c r="J10" s="113">
        <f>AVERAGE(E10,MAX(F10:G10),MAX(H10:I10))</f>
        <v>16.5</v>
      </c>
      <c r="K10" s="101" t="str">
        <f t="shared" ref="K10:K52" si="1">IF(J10&gt;=10,"TRANSITA","N/TRANSITA")</f>
        <v>TRANSITA</v>
      </c>
      <c r="L10" s="189">
        <v>19</v>
      </c>
      <c r="M10" s="190">
        <v>13</v>
      </c>
      <c r="N10" s="190"/>
      <c r="O10" s="140">
        <v>16.5</v>
      </c>
      <c r="P10" s="140"/>
      <c r="Q10" s="113">
        <f>AVERAGE(L10,MAX(M10:N10),MAX(O10:P10))</f>
        <v>16.166666666666668</v>
      </c>
      <c r="R10" s="105" t="str">
        <f t="shared" ref="R10:R52" si="2">IF(Q10&gt;=10,"TRANSITA","N/TRANSITA")</f>
        <v>TRANSITA</v>
      </c>
      <c r="S10" s="148"/>
      <c r="T10" s="149"/>
      <c r="U10" s="149"/>
      <c r="V10" s="149"/>
      <c r="W10" s="140"/>
      <c r="X10" s="104">
        <f>AVERAGE(S10,MAX(T10:U10),MAX(V10:W10))</f>
        <v>0</v>
      </c>
      <c r="Y10" s="106">
        <f t="shared" si="0"/>
        <v>10.888888888888891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thickTop="1" thickBot="1" x14ac:dyDescent="0.35">
      <c r="B11" s="31">
        <v>3</v>
      </c>
      <c r="C11" s="177" t="s">
        <v>97</v>
      </c>
      <c r="D11" s="103"/>
      <c r="E11" s="189">
        <v>12</v>
      </c>
      <c r="F11" s="190">
        <v>11</v>
      </c>
      <c r="G11" s="190"/>
      <c r="H11" s="190">
        <v>17.5</v>
      </c>
      <c r="I11" s="190"/>
      <c r="J11" s="113">
        <f t="shared" ref="J11:J52" si="4">AVERAGE(E11,MAX(F11:G11),MAX(H11:I11))</f>
        <v>13.5</v>
      </c>
      <c r="K11" s="101" t="str">
        <f t="shared" si="1"/>
        <v>TRANSITA</v>
      </c>
      <c r="L11" s="189">
        <v>12</v>
      </c>
      <c r="M11" s="190">
        <v>7.5</v>
      </c>
      <c r="N11" s="190"/>
      <c r="O11" s="140">
        <v>14.5</v>
      </c>
      <c r="P11" s="140"/>
      <c r="Q11" s="113">
        <f t="shared" ref="Q11:Q52" si="5">AVERAGE(L11,MAX(M11:N11),MAX(O11:P11))</f>
        <v>11.333333333333334</v>
      </c>
      <c r="R11" s="105" t="str">
        <f t="shared" si="2"/>
        <v>TRANSITA</v>
      </c>
      <c r="S11" s="148"/>
      <c r="T11" s="149"/>
      <c r="U11" s="149"/>
      <c r="V11" s="149"/>
      <c r="W11" s="140"/>
      <c r="X11" s="104">
        <f t="shared" ref="X11:X52" si="6">AVERAGE(S11,MAX(T11:U11),MAX(V11:W11))</f>
        <v>0</v>
      </c>
      <c r="Y11" s="106">
        <f t="shared" si="0"/>
        <v>8.2777777777777786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thickTop="1" thickBot="1" x14ac:dyDescent="0.35">
      <c r="B12" s="31">
        <v>4</v>
      </c>
      <c r="C12" s="177" t="s">
        <v>98</v>
      </c>
      <c r="D12" s="103"/>
      <c r="E12" s="189">
        <v>16</v>
      </c>
      <c r="F12" s="190">
        <v>15.5</v>
      </c>
      <c r="G12" s="190"/>
      <c r="H12" s="190">
        <v>18.5</v>
      </c>
      <c r="I12" s="190"/>
      <c r="J12" s="113">
        <f t="shared" si="4"/>
        <v>16.666666666666668</v>
      </c>
      <c r="K12" s="101" t="str">
        <f t="shared" si="1"/>
        <v>TRANSITA</v>
      </c>
      <c r="L12" s="189">
        <v>9.5</v>
      </c>
      <c r="M12" s="190">
        <v>14</v>
      </c>
      <c r="N12" s="190"/>
      <c r="O12" s="140">
        <v>14.5</v>
      </c>
      <c r="P12" s="140"/>
      <c r="Q12" s="113">
        <f t="shared" si="5"/>
        <v>12.666666666666666</v>
      </c>
      <c r="R12" s="105" t="str">
        <f t="shared" si="2"/>
        <v>TRANSITA</v>
      </c>
      <c r="S12" s="148"/>
      <c r="T12" s="149"/>
      <c r="U12" s="149"/>
      <c r="V12" s="149"/>
      <c r="W12" s="140"/>
      <c r="X12" s="104">
        <f t="shared" si="6"/>
        <v>0</v>
      </c>
      <c r="Y12" s="106">
        <f t="shared" si="0"/>
        <v>9.7777777777777786</v>
      </c>
      <c r="Z12" s="105" t="str">
        <f t="shared" si="3"/>
        <v>N/TRANSITA</v>
      </c>
      <c r="AA12" s="2"/>
      <c r="AB12" s="2"/>
      <c r="AC12" s="2"/>
    </row>
    <row r="13" spans="1:31" ht="14.25" customHeight="1" thickTop="1" thickBot="1" x14ac:dyDescent="0.35">
      <c r="B13" s="31">
        <v>5</v>
      </c>
      <c r="C13" s="177" t="s">
        <v>99</v>
      </c>
      <c r="D13" s="103"/>
      <c r="E13" s="189">
        <v>18</v>
      </c>
      <c r="F13" s="190">
        <v>8.5</v>
      </c>
      <c r="G13" s="190"/>
      <c r="H13" s="190">
        <v>14.5</v>
      </c>
      <c r="I13" s="190"/>
      <c r="J13" s="113">
        <f t="shared" si="4"/>
        <v>13.666666666666666</v>
      </c>
      <c r="K13" s="101" t="str">
        <f t="shared" si="1"/>
        <v>TRANSITA</v>
      </c>
      <c r="L13" s="189">
        <v>8</v>
      </c>
      <c r="M13" s="190">
        <v>9</v>
      </c>
      <c r="N13" s="190"/>
      <c r="O13" s="140">
        <v>13</v>
      </c>
      <c r="P13" s="140"/>
      <c r="Q13" s="113">
        <f t="shared" si="5"/>
        <v>10</v>
      </c>
      <c r="R13" s="105" t="str">
        <f t="shared" si="2"/>
        <v>TRANSITA</v>
      </c>
      <c r="S13" s="148"/>
      <c r="T13" s="149"/>
      <c r="U13" s="149"/>
      <c r="V13" s="149"/>
      <c r="W13" s="140"/>
      <c r="X13" s="104">
        <f t="shared" si="6"/>
        <v>0</v>
      </c>
      <c r="Y13" s="106">
        <f t="shared" si="0"/>
        <v>7.8888888888888884</v>
      </c>
      <c r="Z13" s="105" t="str">
        <f t="shared" si="3"/>
        <v>N/TRANSITA</v>
      </c>
    </row>
    <row r="14" spans="1:31" ht="14.25" customHeight="1" thickTop="1" thickBot="1" x14ac:dyDescent="0.35">
      <c r="B14" s="31">
        <v>6</v>
      </c>
      <c r="C14" s="177" t="s">
        <v>100</v>
      </c>
      <c r="D14" s="103"/>
      <c r="E14" s="189"/>
      <c r="F14" s="190">
        <v>14</v>
      </c>
      <c r="G14" s="190"/>
      <c r="H14" s="190">
        <v>14.5</v>
      </c>
      <c r="I14" s="190"/>
      <c r="J14" s="113">
        <f t="shared" si="4"/>
        <v>14.25</v>
      </c>
      <c r="K14" s="101" t="str">
        <f t="shared" si="1"/>
        <v>TRANSITA</v>
      </c>
      <c r="L14" s="189">
        <v>10.5</v>
      </c>
      <c r="M14" s="190">
        <v>11</v>
      </c>
      <c r="N14" s="190"/>
      <c r="O14" s="140">
        <v>15</v>
      </c>
      <c r="P14" s="140"/>
      <c r="Q14" s="113">
        <f t="shared" si="5"/>
        <v>12.166666666666666</v>
      </c>
      <c r="R14" s="105" t="str">
        <f t="shared" si="2"/>
        <v>TRANSITA</v>
      </c>
      <c r="S14" s="148"/>
      <c r="T14" s="149"/>
      <c r="U14" s="149"/>
      <c r="V14" s="149"/>
      <c r="W14" s="140"/>
      <c r="X14" s="104">
        <f t="shared" si="6"/>
        <v>0</v>
      </c>
      <c r="Y14" s="106">
        <f t="shared" si="0"/>
        <v>8.8055555555555554</v>
      </c>
      <c r="Z14" s="105" t="str">
        <f t="shared" si="3"/>
        <v>N/TRANSITA</v>
      </c>
    </row>
    <row r="15" spans="1:31" ht="14.25" customHeight="1" thickTop="1" thickBot="1" x14ac:dyDescent="0.35">
      <c r="B15" s="31">
        <v>7</v>
      </c>
      <c r="C15" s="177" t="s">
        <v>101</v>
      </c>
      <c r="D15" s="103"/>
      <c r="E15" s="189">
        <v>13</v>
      </c>
      <c r="F15" s="190">
        <v>14.5</v>
      </c>
      <c r="G15" s="190"/>
      <c r="H15" s="190">
        <v>19</v>
      </c>
      <c r="I15" s="190"/>
      <c r="J15" s="113">
        <f t="shared" si="4"/>
        <v>15.5</v>
      </c>
      <c r="K15" s="101" t="str">
        <f t="shared" si="1"/>
        <v>TRANSITA</v>
      </c>
      <c r="L15" s="189">
        <v>8</v>
      </c>
      <c r="M15" s="190">
        <v>13</v>
      </c>
      <c r="N15" s="190"/>
      <c r="O15" s="140">
        <v>15.5</v>
      </c>
      <c r="P15" s="140"/>
      <c r="Q15" s="113">
        <f t="shared" si="5"/>
        <v>12.166666666666666</v>
      </c>
      <c r="R15" s="105" t="str">
        <f t="shared" si="2"/>
        <v>TRANSITA</v>
      </c>
      <c r="S15" s="148"/>
      <c r="T15" s="149"/>
      <c r="U15" s="149"/>
      <c r="V15" s="149"/>
      <c r="W15" s="140"/>
      <c r="X15" s="104">
        <f t="shared" si="6"/>
        <v>0</v>
      </c>
      <c r="Y15" s="106">
        <f t="shared" si="0"/>
        <v>9.2222222222222214</v>
      </c>
      <c r="Z15" s="105" t="str">
        <f t="shared" si="3"/>
        <v>N/TRANSITA</v>
      </c>
    </row>
    <row r="16" spans="1:31" ht="14.25" customHeight="1" thickTop="1" thickBot="1" x14ac:dyDescent="0.35">
      <c r="B16" s="31">
        <v>8</v>
      </c>
      <c r="C16" s="177" t="s">
        <v>102</v>
      </c>
      <c r="D16" s="103"/>
      <c r="E16" s="189">
        <v>12</v>
      </c>
      <c r="F16" s="190">
        <v>10.5</v>
      </c>
      <c r="G16" s="190"/>
      <c r="H16" s="190">
        <v>18.5</v>
      </c>
      <c r="I16" s="190"/>
      <c r="J16" s="113">
        <f t="shared" si="4"/>
        <v>13.666666666666666</v>
      </c>
      <c r="K16" s="101" t="str">
        <f t="shared" si="1"/>
        <v>TRANSITA</v>
      </c>
      <c r="L16" s="189">
        <v>9</v>
      </c>
      <c r="M16" s="190">
        <v>10.5</v>
      </c>
      <c r="N16" s="190"/>
      <c r="O16" s="140">
        <v>14</v>
      </c>
      <c r="P16" s="140"/>
      <c r="Q16" s="113">
        <f t="shared" si="5"/>
        <v>11.166666666666666</v>
      </c>
      <c r="R16" s="105" t="str">
        <f t="shared" si="2"/>
        <v>TRANSITA</v>
      </c>
      <c r="S16" s="148"/>
      <c r="T16" s="149"/>
      <c r="U16" s="149"/>
      <c r="V16" s="149"/>
      <c r="W16" s="140"/>
      <c r="X16" s="104">
        <f t="shared" si="6"/>
        <v>0</v>
      </c>
      <c r="Y16" s="106">
        <f t="shared" si="0"/>
        <v>8.2777777777777768</v>
      </c>
      <c r="Z16" s="105" t="str">
        <f t="shared" si="3"/>
        <v>N/TRANSITA</v>
      </c>
    </row>
    <row r="17" spans="2:26" ht="14.25" customHeight="1" thickTop="1" thickBot="1" x14ac:dyDescent="0.35">
      <c r="B17" s="31">
        <v>9</v>
      </c>
      <c r="C17" s="177" t="s">
        <v>103</v>
      </c>
      <c r="D17" s="103"/>
      <c r="E17" s="189"/>
      <c r="F17" s="190">
        <v>8</v>
      </c>
      <c r="G17" s="190"/>
      <c r="H17" s="190">
        <v>0</v>
      </c>
      <c r="I17" s="190"/>
      <c r="J17" s="113">
        <f t="shared" si="4"/>
        <v>4</v>
      </c>
      <c r="K17" s="101" t="str">
        <f t="shared" si="1"/>
        <v>N/TRANSITA</v>
      </c>
      <c r="L17" s="189">
        <v>11</v>
      </c>
      <c r="M17" s="190">
        <v>9</v>
      </c>
      <c r="N17" s="190"/>
      <c r="O17" s="140">
        <v>12</v>
      </c>
      <c r="P17" s="140"/>
      <c r="Q17" s="113">
        <f t="shared" si="5"/>
        <v>10.666666666666666</v>
      </c>
      <c r="R17" s="105" t="str">
        <f t="shared" si="2"/>
        <v>TRANSITA</v>
      </c>
      <c r="S17" s="148"/>
      <c r="T17" s="149"/>
      <c r="U17" s="149"/>
      <c r="V17" s="149"/>
      <c r="W17" s="140"/>
      <c r="X17" s="104">
        <f t="shared" si="6"/>
        <v>0</v>
      </c>
      <c r="Y17" s="106">
        <f t="shared" si="0"/>
        <v>4.8888888888888884</v>
      </c>
      <c r="Z17" s="105" t="str">
        <f t="shared" si="3"/>
        <v>N/TRANSITA</v>
      </c>
    </row>
    <row r="18" spans="2:26" ht="14.25" customHeight="1" thickTop="1" thickBot="1" x14ac:dyDescent="0.35">
      <c r="B18" s="31">
        <v>10</v>
      </c>
      <c r="C18" s="177" t="s">
        <v>104</v>
      </c>
      <c r="D18" s="103"/>
      <c r="E18" s="189">
        <v>11</v>
      </c>
      <c r="F18" s="190">
        <v>12.5</v>
      </c>
      <c r="G18" s="190"/>
      <c r="H18" s="190">
        <v>14.5</v>
      </c>
      <c r="I18" s="190"/>
      <c r="J18" s="113">
        <f t="shared" si="4"/>
        <v>12.666666666666666</v>
      </c>
      <c r="K18" s="101" t="str">
        <f t="shared" si="1"/>
        <v>TRANSITA</v>
      </c>
      <c r="L18" s="189">
        <v>12</v>
      </c>
      <c r="M18" s="190">
        <v>11</v>
      </c>
      <c r="N18" s="190"/>
      <c r="O18" s="140">
        <v>12</v>
      </c>
      <c r="P18" s="140"/>
      <c r="Q18" s="113">
        <f t="shared" si="5"/>
        <v>11.666666666666666</v>
      </c>
      <c r="R18" s="105" t="str">
        <f t="shared" si="2"/>
        <v>TRANSITA</v>
      </c>
      <c r="S18" s="148"/>
      <c r="T18" s="149"/>
      <c r="U18" s="149"/>
      <c r="V18" s="149"/>
      <c r="W18" s="140"/>
      <c r="X18" s="104">
        <f t="shared" si="6"/>
        <v>0</v>
      </c>
      <c r="Y18" s="106">
        <f t="shared" si="0"/>
        <v>8.1111111111111107</v>
      </c>
      <c r="Z18" s="105" t="str">
        <f t="shared" si="3"/>
        <v>N/TRANSITA</v>
      </c>
    </row>
    <row r="19" spans="2:26" ht="14.25" customHeight="1" thickTop="1" thickBot="1" x14ac:dyDescent="0.35">
      <c r="B19" s="31">
        <v>11</v>
      </c>
      <c r="C19" s="177" t="s">
        <v>105</v>
      </c>
      <c r="D19" s="103"/>
      <c r="E19" s="189">
        <v>16</v>
      </c>
      <c r="F19" s="190">
        <v>13</v>
      </c>
      <c r="G19" s="190"/>
      <c r="H19" s="190">
        <v>18</v>
      </c>
      <c r="I19" s="190"/>
      <c r="J19" s="113">
        <f t="shared" si="4"/>
        <v>15.666666666666666</v>
      </c>
      <c r="K19" s="101" t="str">
        <f t="shared" si="1"/>
        <v>TRANSITA</v>
      </c>
      <c r="L19" s="189">
        <v>6.5</v>
      </c>
      <c r="M19" s="190">
        <v>11</v>
      </c>
      <c r="N19" s="190"/>
      <c r="O19" s="140">
        <v>13.5</v>
      </c>
      <c r="P19" s="140"/>
      <c r="Q19" s="113">
        <f t="shared" si="5"/>
        <v>10.333333333333334</v>
      </c>
      <c r="R19" s="105" t="str">
        <f t="shared" si="2"/>
        <v>TRANSITA</v>
      </c>
      <c r="S19" s="148"/>
      <c r="T19" s="149"/>
      <c r="U19" s="149"/>
      <c r="V19" s="149"/>
      <c r="W19" s="140"/>
      <c r="X19" s="104">
        <f t="shared" si="6"/>
        <v>0</v>
      </c>
      <c r="Y19" s="106">
        <f t="shared" si="0"/>
        <v>8.6666666666666661</v>
      </c>
      <c r="Z19" s="105" t="str">
        <f t="shared" si="3"/>
        <v>N/TRANSITA</v>
      </c>
    </row>
    <row r="20" spans="2:26" ht="14.25" customHeight="1" thickTop="1" thickBot="1" x14ac:dyDescent="0.35">
      <c r="B20" s="31">
        <v>12</v>
      </c>
      <c r="C20" s="177" t="s">
        <v>106</v>
      </c>
      <c r="D20" s="103"/>
      <c r="E20" s="189">
        <v>16</v>
      </c>
      <c r="F20" s="190">
        <v>15.5</v>
      </c>
      <c r="G20" s="190"/>
      <c r="H20" s="190">
        <v>17.5</v>
      </c>
      <c r="I20" s="190"/>
      <c r="J20" s="113">
        <f t="shared" si="4"/>
        <v>16.333333333333332</v>
      </c>
      <c r="K20" s="101" t="str">
        <f t="shared" si="1"/>
        <v>TRANSITA</v>
      </c>
      <c r="L20" s="189">
        <v>14</v>
      </c>
      <c r="M20" s="190">
        <v>9</v>
      </c>
      <c r="N20" s="190"/>
      <c r="O20" s="140">
        <v>13</v>
      </c>
      <c r="P20" s="140"/>
      <c r="Q20" s="113">
        <f t="shared" si="5"/>
        <v>12</v>
      </c>
      <c r="R20" s="105" t="str">
        <f t="shared" si="2"/>
        <v>TRANSITA</v>
      </c>
      <c r="S20" s="148"/>
      <c r="T20" s="149"/>
      <c r="U20" s="149"/>
      <c r="V20" s="149"/>
      <c r="W20" s="140"/>
      <c r="X20" s="104">
        <f t="shared" si="6"/>
        <v>0</v>
      </c>
      <c r="Y20" s="106">
        <f t="shared" si="0"/>
        <v>9.4444444444444446</v>
      </c>
      <c r="Z20" s="105" t="str">
        <f t="shared" si="3"/>
        <v>N/TRANSITA</v>
      </c>
    </row>
    <row r="21" spans="2:26" ht="14.25" customHeight="1" thickTop="1" thickBot="1" x14ac:dyDescent="0.35">
      <c r="B21" s="31">
        <v>13</v>
      </c>
      <c r="C21" s="177" t="s">
        <v>107</v>
      </c>
      <c r="D21" s="103"/>
      <c r="E21" s="189">
        <v>16</v>
      </c>
      <c r="F21" s="190">
        <v>15.5</v>
      </c>
      <c r="G21" s="190"/>
      <c r="H21" s="190">
        <v>13</v>
      </c>
      <c r="I21" s="190"/>
      <c r="J21" s="113">
        <f t="shared" si="4"/>
        <v>14.833333333333334</v>
      </c>
      <c r="K21" s="101" t="str">
        <f t="shared" si="1"/>
        <v>TRANSITA</v>
      </c>
      <c r="L21" s="189">
        <v>15</v>
      </c>
      <c r="M21" s="190">
        <v>11</v>
      </c>
      <c r="N21" s="190"/>
      <c r="O21" s="140">
        <v>10.5</v>
      </c>
      <c r="P21" s="140"/>
      <c r="Q21" s="113">
        <f t="shared" si="5"/>
        <v>12.166666666666666</v>
      </c>
      <c r="R21" s="105" t="str">
        <f t="shared" si="2"/>
        <v>TRANSITA</v>
      </c>
      <c r="S21" s="148"/>
      <c r="T21" s="149"/>
      <c r="U21" s="149"/>
      <c r="V21" s="149"/>
      <c r="W21" s="140"/>
      <c r="X21" s="104">
        <f t="shared" si="6"/>
        <v>0</v>
      </c>
      <c r="Y21" s="106">
        <f t="shared" si="0"/>
        <v>9</v>
      </c>
      <c r="Z21" s="105" t="str">
        <f t="shared" si="3"/>
        <v>N/TRANSITA</v>
      </c>
    </row>
    <row r="22" spans="2:26" ht="14.25" customHeight="1" thickTop="1" thickBot="1" x14ac:dyDescent="0.35">
      <c r="B22" s="31">
        <v>14</v>
      </c>
      <c r="C22" s="177" t="s">
        <v>108</v>
      </c>
      <c r="D22" s="103"/>
      <c r="E22" s="189">
        <v>12</v>
      </c>
      <c r="F22" s="190">
        <v>10.5</v>
      </c>
      <c r="G22" s="190"/>
      <c r="H22" s="190">
        <v>13.5</v>
      </c>
      <c r="I22" s="190"/>
      <c r="J22" s="113">
        <f t="shared" si="4"/>
        <v>12</v>
      </c>
      <c r="K22" s="101" t="str">
        <f t="shared" si="1"/>
        <v>TRANSITA</v>
      </c>
      <c r="L22" s="189">
        <v>11</v>
      </c>
      <c r="M22" s="190">
        <v>9</v>
      </c>
      <c r="N22" s="190"/>
      <c r="O22" s="140">
        <v>10</v>
      </c>
      <c r="P22" s="140"/>
      <c r="Q22" s="113">
        <f t="shared" si="5"/>
        <v>10</v>
      </c>
      <c r="R22" s="105" t="str">
        <f t="shared" si="2"/>
        <v>TRANSITA</v>
      </c>
      <c r="S22" s="148"/>
      <c r="T22" s="149"/>
      <c r="U22" s="149"/>
      <c r="V22" s="149"/>
      <c r="W22" s="140"/>
      <c r="X22" s="104">
        <f t="shared" si="6"/>
        <v>0</v>
      </c>
      <c r="Y22" s="106">
        <f t="shared" si="0"/>
        <v>7.333333333333333</v>
      </c>
      <c r="Z22" s="105" t="str">
        <f t="shared" si="3"/>
        <v>N/TRANSITA</v>
      </c>
    </row>
    <row r="23" spans="2:26" ht="14.25" customHeight="1" thickTop="1" thickBot="1" x14ac:dyDescent="0.35">
      <c r="B23" s="31">
        <v>15</v>
      </c>
      <c r="C23" s="177" t="s">
        <v>109</v>
      </c>
      <c r="D23" s="103"/>
      <c r="E23" s="189">
        <v>4</v>
      </c>
      <c r="F23" s="190">
        <v>7.5</v>
      </c>
      <c r="G23" s="190"/>
      <c r="H23" s="190">
        <v>14</v>
      </c>
      <c r="I23" s="190"/>
      <c r="J23" s="113">
        <f t="shared" si="4"/>
        <v>8.5</v>
      </c>
      <c r="K23" s="101" t="str">
        <f t="shared" si="1"/>
        <v>N/TRANSITA</v>
      </c>
      <c r="L23" s="189">
        <v>5</v>
      </c>
      <c r="M23" s="190">
        <v>9</v>
      </c>
      <c r="N23" s="190"/>
      <c r="O23" s="140">
        <v>10</v>
      </c>
      <c r="P23" s="140"/>
      <c r="Q23" s="113">
        <f t="shared" si="5"/>
        <v>8</v>
      </c>
      <c r="R23" s="105" t="str">
        <f t="shared" si="2"/>
        <v>N/TRANSITA</v>
      </c>
      <c r="S23" s="148"/>
      <c r="T23" s="149"/>
      <c r="U23" s="149"/>
      <c r="V23" s="149"/>
      <c r="W23" s="140"/>
      <c r="X23" s="104">
        <f t="shared" si="6"/>
        <v>0</v>
      </c>
      <c r="Y23" s="106">
        <f t="shared" si="0"/>
        <v>5.5</v>
      </c>
      <c r="Z23" s="105" t="str">
        <f t="shared" si="3"/>
        <v>N/TRANSITA</v>
      </c>
    </row>
    <row r="24" spans="2:26" ht="14.25" customHeight="1" thickTop="1" thickBot="1" x14ac:dyDescent="0.35">
      <c r="B24" s="31">
        <v>16</v>
      </c>
      <c r="C24" s="177" t="s">
        <v>110</v>
      </c>
      <c r="D24" s="103"/>
      <c r="E24" s="189">
        <v>13</v>
      </c>
      <c r="F24" s="190">
        <v>10.25</v>
      </c>
      <c r="G24" s="190"/>
      <c r="H24" s="190">
        <v>15</v>
      </c>
      <c r="I24" s="190"/>
      <c r="J24" s="113">
        <f t="shared" si="4"/>
        <v>12.75</v>
      </c>
      <c r="K24" s="101" t="str">
        <f t="shared" si="1"/>
        <v>TRANSITA</v>
      </c>
      <c r="L24" s="189">
        <v>13</v>
      </c>
      <c r="M24" s="190">
        <v>9.5</v>
      </c>
      <c r="N24" s="190"/>
      <c r="O24" s="140">
        <v>15.5</v>
      </c>
      <c r="P24" s="140"/>
      <c r="Q24" s="113">
        <f t="shared" si="5"/>
        <v>12.666666666666666</v>
      </c>
      <c r="R24" s="105" t="str">
        <f t="shared" si="2"/>
        <v>TRANSITA</v>
      </c>
      <c r="S24" s="148"/>
      <c r="T24" s="149"/>
      <c r="U24" s="149"/>
      <c r="V24" s="149"/>
      <c r="W24" s="140"/>
      <c r="X24" s="104">
        <f t="shared" si="6"/>
        <v>0</v>
      </c>
      <c r="Y24" s="106">
        <f t="shared" si="0"/>
        <v>8.4722222222222214</v>
      </c>
      <c r="Z24" s="105" t="str">
        <f t="shared" si="3"/>
        <v>N/TRANSITA</v>
      </c>
    </row>
    <row r="25" spans="2:26" ht="14.25" customHeight="1" thickTop="1" thickBot="1" x14ac:dyDescent="0.35">
      <c r="B25" s="31">
        <v>17</v>
      </c>
      <c r="C25" s="177" t="s">
        <v>111</v>
      </c>
      <c r="D25" s="103"/>
      <c r="E25" s="189">
        <v>13</v>
      </c>
      <c r="F25" s="190">
        <v>8.5</v>
      </c>
      <c r="G25" s="190"/>
      <c r="H25" s="190">
        <v>12</v>
      </c>
      <c r="I25" s="190"/>
      <c r="J25" s="113">
        <f t="shared" si="4"/>
        <v>11.166666666666666</v>
      </c>
      <c r="K25" s="101" t="str">
        <f t="shared" si="1"/>
        <v>TRANSITA</v>
      </c>
      <c r="L25" s="189">
        <v>17</v>
      </c>
      <c r="M25" s="190">
        <v>14</v>
      </c>
      <c r="N25" s="190"/>
      <c r="O25" s="140">
        <v>13</v>
      </c>
      <c r="P25" s="140"/>
      <c r="Q25" s="113">
        <f t="shared" si="5"/>
        <v>14.666666666666666</v>
      </c>
      <c r="R25" s="105" t="str">
        <f t="shared" si="2"/>
        <v>TRANSITA</v>
      </c>
      <c r="S25" s="148"/>
      <c r="T25" s="149"/>
      <c r="U25" s="149"/>
      <c r="V25" s="149"/>
      <c r="W25" s="140"/>
      <c r="X25" s="104">
        <f t="shared" si="6"/>
        <v>0</v>
      </c>
      <c r="Y25" s="106">
        <f t="shared" si="0"/>
        <v>8.6111111111111107</v>
      </c>
      <c r="Z25" s="105" t="str">
        <f t="shared" si="3"/>
        <v>N/TRANSITA</v>
      </c>
    </row>
    <row r="26" spans="2:26" ht="14.25" customHeight="1" thickTop="1" thickBot="1" x14ac:dyDescent="0.35">
      <c r="B26" s="31">
        <v>18</v>
      </c>
      <c r="C26" s="177" t="s">
        <v>112</v>
      </c>
      <c r="D26" s="103"/>
      <c r="E26" s="189">
        <v>16</v>
      </c>
      <c r="F26" s="190">
        <v>14.5</v>
      </c>
      <c r="G26" s="190"/>
      <c r="H26" s="190">
        <v>16.5</v>
      </c>
      <c r="I26" s="190"/>
      <c r="J26" s="113">
        <f t="shared" si="4"/>
        <v>15.666666666666666</v>
      </c>
      <c r="K26" s="101" t="str">
        <f t="shared" si="1"/>
        <v>TRANSITA</v>
      </c>
      <c r="L26" s="189">
        <v>15</v>
      </c>
      <c r="M26" s="190">
        <v>10</v>
      </c>
      <c r="N26" s="190"/>
      <c r="O26" s="140">
        <v>13.5</v>
      </c>
      <c r="P26" s="140"/>
      <c r="Q26" s="113">
        <f t="shared" si="5"/>
        <v>12.833333333333334</v>
      </c>
      <c r="R26" s="105" t="str">
        <f t="shared" si="2"/>
        <v>TRANSITA</v>
      </c>
      <c r="S26" s="148"/>
      <c r="T26" s="149"/>
      <c r="U26" s="149"/>
      <c r="V26" s="149"/>
      <c r="W26" s="140"/>
      <c r="X26" s="104">
        <f t="shared" si="6"/>
        <v>0</v>
      </c>
      <c r="Y26" s="106">
        <f t="shared" si="0"/>
        <v>9.5</v>
      </c>
      <c r="Z26" s="105" t="str">
        <f t="shared" si="3"/>
        <v>N/TRANSITA</v>
      </c>
    </row>
    <row r="27" spans="2:26" ht="14.25" customHeight="1" thickTop="1" thickBot="1" x14ac:dyDescent="0.35">
      <c r="B27" s="31">
        <v>19</v>
      </c>
      <c r="C27" s="177" t="s">
        <v>88</v>
      </c>
      <c r="D27" s="103"/>
      <c r="E27" s="189"/>
      <c r="F27" s="190"/>
      <c r="G27" s="190"/>
      <c r="H27" s="190"/>
      <c r="I27" s="190"/>
      <c r="J27" s="113">
        <f t="shared" si="4"/>
        <v>0</v>
      </c>
      <c r="K27" s="101" t="str">
        <f t="shared" si="1"/>
        <v>N/TRANSITA</v>
      </c>
      <c r="L27" s="189"/>
      <c r="M27" s="190"/>
      <c r="N27" s="190"/>
      <c r="O27" s="140"/>
      <c r="P27" s="140"/>
      <c r="Q27" s="113">
        <f t="shared" si="5"/>
        <v>0</v>
      </c>
      <c r="R27" s="105" t="str">
        <f t="shared" si="2"/>
        <v>N/TRANSITA</v>
      </c>
      <c r="S27" s="148"/>
      <c r="T27" s="149"/>
      <c r="U27" s="149"/>
      <c r="V27" s="149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thickTop="1" thickBot="1" x14ac:dyDescent="0.35">
      <c r="B28" s="31">
        <v>20</v>
      </c>
      <c r="C28" s="177" t="s">
        <v>113</v>
      </c>
      <c r="D28" s="103"/>
      <c r="E28" s="189"/>
      <c r="F28" s="190">
        <v>7</v>
      </c>
      <c r="G28" s="190"/>
      <c r="H28" s="190">
        <v>8.5</v>
      </c>
      <c r="I28" s="190"/>
      <c r="J28" s="113">
        <f t="shared" si="4"/>
        <v>7.75</v>
      </c>
      <c r="K28" s="101" t="str">
        <f t="shared" si="1"/>
        <v>N/TRANSITA</v>
      </c>
      <c r="L28" s="189">
        <v>0</v>
      </c>
      <c r="M28" s="190"/>
      <c r="N28" s="190"/>
      <c r="O28" s="140"/>
      <c r="P28" s="140"/>
      <c r="Q28" s="113">
        <f t="shared" si="5"/>
        <v>0</v>
      </c>
      <c r="R28" s="105" t="str">
        <f t="shared" si="2"/>
        <v>N/TRANSITA</v>
      </c>
      <c r="S28" s="148"/>
      <c r="T28" s="149"/>
      <c r="U28" s="149"/>
      <c r="V28" s="149"/>
      <c r="W28" s="140"/>
      <c r="X28" s="104">
        <f t="shared" si="6"/>
        <v>0</v>
      </c>
      <c r="Y28" s="106">
        <f t="shared" si="0"/>
        <v>2.5833333333333335</v>
      </c>
      <c r="Z28" s="105" t="str">
        <f t="shared" si="3"/>
        <v>N/TRANSITA</v>
      </c>
    </row>
    <row r="29" spans="2:26" ht="14.25" customHeight="1" thickTop="1" thickBot="1" x14ac:dyDescent="0.35">
      <c r="B29" s="31">
        <v>21</v>
      </c>
      <c r="C29" s="95" t="s">
        <v>114</v>
      </c>
      <c r="D29" s="103"/>
      <c r="E29" s="189">
        <v>12</v>
      </c>
      <c r="F29" s="190">
        <v>15.5</v>
      </c>
      <c r="G29" s="190"/>
      <c r="H29" s="190">
        <v>16</v>
      </c>
      <c r="I29" s="190"/>
      <c r="J29" s="113">
        <f t="shared" si="4"/>
        <v>14.5</v>
      </c>
      <c r="K29" s="101" t="str">
        <f t="shared" si="1"/>
        <v>TRANSITA</v>
      </c>
      <c r="L29" s="189">
        <v>4</v>
      </c>
      <c r="M29" s="190">
        <v>9</v>
      </c>
      <c r="N29" s="190"/>
      <c r="O29" s="140">
        <v>15.5</v>
      </c>
      <c r="P29" s="140"/>
      <c r="Q29" s="113">
        <f t="shared" si="5"/>
        <v>9.5</v>
      </c>
      <c r="R29" s="105" t="str">
        <f t="shared" si="2"/>
        <v>N/TRANSITA</v>
      </c>
      <c r="S29" s="148"/>
      <c r="T29" s="149"/>
      <c r="U29" s="149"/>
      <c r="V29" s="149"/>
      <c r="W29" s="140"/>
      <c r="X29" s="104">
        <f t="shared" si="6"/>
        <v>0</v>
      </c>
      <c r="Y29" s="106">
        <f t="shared" si="0"/>
        <v>8</v>
      </c>
      <c r="Z29" s="105" t="str">
        <f t="shared" si="3"/>
        <v>N/TRANSITA</v>
      </c>
    </row>
    <row r="30" spans="2:26" ht="14.25" customHeight="1" thickTop="1" thickBot="1" x14ac:dyDescent="0.35">
      <c r="B30" s="31">
        <v>22</v>
      </c>
      <c r="C30" s="177" t="s">
        <v>115</v>
      </c>
      <c r="D30" s="103"/>
      <c r="E30" s="189">
        <v>16</v>
      </c>
      <c r="F30" s="190">
        <v>14.5</v>
      </c>
      <c r="G30" s="190"/>
      <c r="H30" s="190">
        <v>15.5</v>
      </c>
      <c r="I30" s="190"/>
      <c r="J30" s="113">
        <f t="shared" si="4"/>
        <v>15.333333333333334</v>
      </c>
      <c r="K30" s="101" t="str">
        <f t="shared" si="1"/>
        <v>TRANSITA</v>
      </c>
      <c r="L30" s="189">
        <v>16</v>
      </c>
      <c r="M30" s="190">
        <v>13</v>
      </c>
      <c r="N30" s="190"/>
      <c r="O30" s="140">
        <v>13</v>
      </c>
      <c r="P30" s="140"/>
      <c r="Q30" s="113">
        <f t="shared" si="5"/>
        <v>14</v>
      </c>
      <c r="R30" s="105" t="str">
        <f t="shared" si="2"/>
        <v>TRANSITA</v>
      </c>
      <c r="S30" s="148"/>
      <c r="T30" s="149"/>
      <c r="U30" s="149"/>
      <c r="V30" s="149"/>
      <c r="W30" s="140"/>
      <c r="X30" s="104">
        <f t="shared" si="6"/>
        <v>0</v>
      </c>
      <c r="Y30" s="106">
        <f t="shared" si="0"/>
        <v>9.7777777777777786</v>
      </c>
      <c r="Z30" s="105" t="str">
        <f t="shared" si="3"/>
        <v>N/TRANSITA</v>
      </c>
    </row>
    <row r="31" spans="2:26" ht="14.25" customHeight="1" thickTop="1" thickBot="1" x14ac:dyDescent="0.35">
      <c r="B31" s="31">
        <v>23</v>
      </c>
      <c r="C31" s="177" t="s">
        <v>116</v>
      </c>
      <c r="D31" s="103"/>
      <c r="E31" s="189"/>
      <c r="F31" s="190">
        <v>11.5</v>
      </c>
      <c r="G31" s="190"/>
      <c r="H31" s="190">
        <v>11.5</v>
      </c>
      <c r="I31" s="190"/>
      <c r="J31" s="113">
        <f t="shared" si="4"/>
        <v>11.5</v>
      </c>
      <c r="K31" s="101" t="str">
        <f t="shared" si="1"/>
        <v>TRANSITA</v>
      </c>
      <c r="L31" s="189">
        <v>5</v>
      </c>
      <c r="M31" s="190">
        <v>8.5</v>
      </c>
      <c r="N31" s="190"/>
      <c r="O31" s="140">
        <v>16.5</v>
      </c>
      <c r="P31" s="140"/>
      <c r="Q31" s="113">
        <f t="shared" si="5"/>
        <v>10</v>
      </c>
      <c r="R31" s="105" t="str">
        <f t="shared" si="2"/>
        <v>TRANSITA</v>
      </c>
      <c r="S31" s="148"/>
      <c r="T31" s="149"/>
      <c r="U31" s="149"/>
      <c r="V31" s="149"/>
      <c r="W31" s="140"/>
      <c r="X31" s="104">
        <f t="shared" si="6"/>
        <v>0</v>
      </c>
      <c r="Y31" s="106">
        <f t="shared" si="0"/>
        <v>7.166666666666667</v>
      </c>
      <c r="Z31" s="105" t="str">
        <f t="shared" si="3"/>
        <v>N/TRANSITA</v>
      </c>
    </row>
    <row r="32" spans="2:26" ht="14.25" customHeight="1" thickTop="1" thickBot="1" x14ac:dyDescent="0.35">
      <c r="B32" s="31">
        <v>24</v>
      </c>
      <c r="C32" s="177" t="s">
        <v>117</v>
      </c>
      <c r="D32" s="103"/>
      <c r="E32" s="189">
        <v>13</v>
      </c>
      <c r="F32" s="190"/>
      <c r="G32" s="190"/>
      <c r="H32" s="190">
        <v>5</v>
      </c>
      <c r="I32" s="190"/>
      <c r="J32" s="113">
        <f t="shared" si="4"/>
        <v>6</v>
      </c>
      <c r="K32" s="101" t="str">
        <f t="shared" si="1"/>
        <v>N/TRANSITA</v>
      </c>
      <c r="L32" s="189">
        <v>5</v>
      </c>
      <c r="M32" s="190">
        <v>8.5</v>
      </c>
      <c r="N32" s="190"/>
      <c r="O32" s="140">
        <v>6.5</v>
      </c>
      <c r="P32" s="140"/>
      <c r="Q32" s="113">
        <f t="shared" si="5"/>
        <v>6.666666666666667</v>
      </c>
      <c r="R32" s="105" t="str">
        <f t="shared" si="2"/>
        <v>N/TRANSITA</v>
      </c>
      <c r="S32" s="148"/>
      <c r="T32" s="149"/>
      <c r="U32" s="149"/>
      <c r="V32" s="149"/>
      <c r="W32" s="140"/>
      <c r="X32" s="104">
        <f t="shared" si="6"/>
        <v>0</v>
      </c>
      <c r="Y32" s="106">
        <f>SUM(J32,Q32,X32)/3</f>
        <v>4.2222222222222223</v>
      </c>
      <c r="Z32" s="105" t="str">
        <f t="shared" si="3"/>
        <v>N/TRANSITA</v>
      </c>
    </row>
    <row r="33" spans="2:26" ht="14.25" customHeight="1" thickTop="1" thickBot="1" x14ac:dyDescent="0.35">
      <c r="B33" s="31">
        <v>25</v>
      </c>
      <c r="C33" s="177" t="s">
        <v>118</v>
      </c>
      <c r="D33" s="103"/>
      <c r="E33" s="189">
        <v>13</v>
      </c>
      <c r="F33" s="190">
        <v>13.5</v>
      </c>
      <c r="G33" s="190"/>
      <c r="H33" s="190">
        <v>14.5</v>
      </c>
      <c r="I33" s="190"/>
      <c r="J33" s="113">
        <f t="shared" si="4"/>
        <v>13.666666666666666</v>
      </c>
      <c r="K33" s="101" t="str">
        <f t="shared" si="1"/>
        <v>TRANSITA</v>
      </c>
      <c r="L33" s="189">
        <v>7.5</v>
      </c>
      <c r="M33" s="190">
        <v>11.5</v>
      </c>
      <c r="N33" s="190"/>
      <c r="O33" s="140">
        <v>11</v>
      </c>
      <c r="P33" s="140"/>
      <c r="Q33" s="113">
        <f t="shared" si="5"/>
        <v>10</v>
      </c>
      <c r="R33" s="105" t="str">
        <f t="shared" si="2"/>
        <v>TRANSITA</v>
      </c>
      <c r="S33" s="148"/>
      <c r="T33" s="149"/>
      <c r="U33" s="149"/>
      <c r="V33" s="149"/>
      <c r="W33" s="140"/>
      <c r="X33" s="104">
        <f t="shared" si="6"/>
        <v>0</v>
      </c>
      <c r="Y33" s="106">
        <f>SUM(J33,Q33,X33)/3</f>
        <v>7.8888888888888884</v>
      </c>
      <c r="Z33" s="105" t="str">
        <f t="shared" si="3"/>
        <v>N/TRANSITA</v>
      </c>
    </row>
    <row r="34" spans="2:26" ht="14.25" customHeight="1" thickTop="1" thickBot="1" x14ac:dyDescent="0.35">
      <c r="B34" s="31">
        <v>26</v>
      </c>
      <c r="C34" s="177" t="s">
        <v>119</v>
      </c>
      <c r="D34" s="103"/>
      <c r="E34" s="189">
        <v>18</v>
      </c>
      <c r="F34" s="190">
        <v>13.5</v>
      </c>
      <c r="G34" s="190"/>
      <c r="H34" s="190">
        <v>18.5</v>
      </c>
      <c r="I34" s="190"/>
      <c r="J34" s="113">
        <f t="shared" si="4"/>
        <v>16.666666666666668</v>
      </c>
      <c r="K34" s="101" t="str">
        <f t="shared" si="1"/>
        <v>TRANSITA</v>
      </c>
      <c r="L34" s="189">
        <v>17</v>
      </c>
      <c r="M34" s="190">
        <v>14.5</v>
      </c>
      <c r="N34" s="190"/>
      <c r="O34" s="140">
        <v>17</v>
      </c>
      <c r="P34" s="140"/>
      <c r="Q34" s="113">
        <f t="shared" si="5"/>
        <v>16.166666666666668</v>
      </c>
      <c r="R34" s="105" t="str">
        <f t="shared" si="2"/>
        <v>TRANSITA</v>
      </c>
      <c r="S34" s="148"/>
      <c r="T34" s="149"/>
      <c r="U34" s="149"/>
      <c r="V34" s="149"/>
      <c r="W34" s="140"/>
      <c r="X34" s="104">
        <f t="shared" si="6"/>
        <v>0</v>
      </c>
      <c r="Y34" s="106">
        <f t="shared" ref="Y34:Y48" si="7">SUM(J34,Q34,X34)/3</f>
        <v>10.944444444444445</v>
      </c>
      <c r="Z34" s="105" t="str">
        <f t="shared" si="3"/>
        <v>TRANSITA</v>
      </c>
    </row>
    <row r="35" spans="2:26" ht="14.25" customHeight="1" thickTop="1" thickBot="1" x14ac:dyDescent="0.35">
      <c r="B35" s="31">
        <v>27</v>
      </c>
      <c r="C35" s="177" t="s">
        <v>120</v>
      </c>
      <c r="D35" s="103"/>
      <c r="E35" s="189">
        <v>6</v>
      </c>
      <c r="F35" s="190">
        <v>8.25</v>
      </c>
      <c r="G35" s="190"/>
      <c r="H35" s="190">
        <v>14.5</v>
      </c>
      <c r="I35" s="190"/>
      <c r="J35" s="113">
        <f t="shared" si="4"/>
        <v>9.5833333333333339</v>
      </c>
      <c r="K35" s="101" t="str">
        <f t="shared" si="1"/>
        <v>N/TRANSITA</v>
      </c>
      <c r="L35" s="189">
        <v>11</v>
      </c>
      <c r="M35" s="190">
        <v>12</v>
      </c>
      <c r="N35" s="190"/>
      <c r="O35" s="140">
        <v>11</v>
      </c>
      <c r="P35" s="140"/>
      <c r="Q35" s="113">
        <f t="shared" si="5"/>
        <v>11.333333333333334</v>
      </c>
      <c r="R35" s="105" t="str">
        <f t="shared" si="2"/>
        <v>TRANSITA</v>
      </c>
      <c r="S35" s="148"/>
      <c r="T35" s="149"/>
      <c r="U35" s="149"/>
      <c r="V35" s="149"/>
      <c r="W35" s="140"/>
      <c r="X35" s="104">
        <f t="shared" si="6"/>
        <v>0</v>
      </c>
      <c r="Y35" s="106">
        <f t="shared" si="7"/>
        <v>6.9722222222222223</v>
      </c>
      <c r="Z35" s="105" t="str">
        <f t="shared" si="3"/>
        <v>N/TRANSITA</v>
      </c>
    </row>
    <row r="36" spans="2:26" ht="14.25" customHeight="1" thickTop="1" thickBot="1" x14ac:dyDescent="0.35">
      <c r="B36" s="31">
        <v>28</v>
      </c>
      <c r="C36" s="177" t="s">
        <v>121</v>
      </c>
      <c r="D36" s="103"/>
      <c r="E36" s="189"/>
      <c r="F36" s="190">
        <v>14.5</v>
      </c>
      <c r="G36" s="190"/>
      <c r="H36" s="190">
        <v>15.5</v>
      </c>
      <c r="I36" s="190"/>
      <c r="J36" s="113">
        <f t="shared" si="4"/>
        <v>15</v>
      </c>
      <c r="K36" s="101" t="str">
        <f t="shared" si="1"/>
        <v>TRANSITA</v>
      </c>
      <c r="L36" s="189">
        <v>0</v>
      </c>
      <c r="M36" s="190">
        <v>9</v>
      </c>
      <c r="N36" s="190"/>
      <c r="O36" s="140">
        <v>11.5</v>
      </c>
      <c r="P36" s="140"/>
      <c r="Q36" s="113">
        <f t="shared" si="5"/>
        <v>6.833333333333333</v>
      </c>
      <c r="R36" s="105" t="str">
        <f t="shared" si="2"/>
        <v>N/TRANSITA</v>
      </c>
      <c r="S36" s="148"/>
      <c r="T36" s="149"/>
      <c r="U36" s="149"/>
      <c r="V36" s="149"/>
      <c r="W36" s="140"/>
      <c r="X36" s="104">
        <f t="shared" si="6"/>
        <v>0</v>
      </c>
      <c r="Y36" s="106">
        <f t="shared" si="7"/>
        <v>7.2777777777777777</v>
      </c>
      <c r="Z36" s="105" t="str">
        <f t="shared" si="3"/>
        <v>N/TRANSITA</v>
      </c>
    </row>
    <row r="37" spans="2:26" ht="14.25" customHeight="1" thickTop="1" thickBot="1" x14ac:dyDescent="0.35">
      <c r="B37" s="31">
        <v>29</v>
      </c>
      <c r="C37" s="177" t="s">
        <v>122</v>
      </c>
      <c r="D37" s="103"/>
      <c r="E37" s="189">
        <v>19</v>
      </c>
      <c r="F37" s="190">
        <v>18.5</v>
      </c>
      <c r="G37" s="190"/>
      <c r="H37" s="190">
        <v>16</v>
      </c>
      <c r="I37" s="190"/>
      <c r="J37" s="113">
        <f t="shared" si="4"/>
        <v>17.833333333333332</v>
      </c>
      <c r="K37" s="101" t="str">
        <f t="shared" si="1"/>
        <v>TRANSITA</v>
      </c>
      <c r="L37" s="189">
        <v>18</v>
      </c>
      <c r="M37" s="190">
        <v>13.5</v>
      </c>
      <c r="N37" s="190"/>
      <c r="O37" s="140">
        <v>15</v>
      </c>
      <c r="P37" s="140"/>
      <c r="Q37" s="113">
        <f t="shared" si="5"/>
        <v>15.5</v>
      </c>
      <c r="R37" s="105" t="str">
        <f t="shared" si="2"/>
        <v>TRANSITA</v>
      </c>
      <c r="S37" s="148"/>
      <c r="T37" s="149"/>
      <c r="U37" s="149"/>
      <c r="V37" s="149"/>
      <c r="W37" s="140"/>
      <c r="X37" s="104">
        <f t="shared" si="6"/>
        <v>0</v>
      </c>
      <c r="Y37" s="106">
        <f t="shared" si="7"/>
        <v>11.111111111111109</v>
      </c>
      <c r="Z37" s="105" t="str">
        <f t="shared" si="3"/>
        <v>TRANSITA</v>
      </c>
    </row>
    <row r="38" spans="2:26" ht="14.25" customHeight="1" thickTop="1" thickBot="1" x14ac:dyDescent="0.35">
      <c r="B38" s="31">
        <v>30</v>
      </c>
      <c r="C38" s="177" t="s">
        <v>123</v>
      </c>
      <c r="D38" s="103"/>
      <c r="E38" s="189">
        <v>4</v>
      </c>
      <c r="F38" s="190">
        <v>13.5</v>
      </c>
      <c r="G38" s="190"/>
      <c r="H38" s="190">
        <v>13.5</v>
      </c>
      <c r="I38" s="190"/>
      <c r="J38" s="113">
        <f t="shared" si="4"/>
        <v>10.333333333333334</v>
      </c>
      <c r="K38" s="101" t="str">
        <f t="shared" si="1"/>
        <v>TRANSITA</v>
      </c>
      <c r="L38" s="189">
        <v>8</v>
      </c>
      <c r="M38" s="190">
        <v>12</v>
      </c>
      <c r="N38" s="190"/>
      <c r="O38" s="140">
        <v>10</v>
      </c>
      <c r="P38" s="140"/>
      <c r="Q38" s="113">
        <f t="shared" si="5"/>
        <v>10</v>
      </c>
      <c r="R38" s="105" t="str">
        <f t="shared" si="2"/>
        <v>TRANSITA</v>
      </c>
      <c r="S38" s="148"/>
      <c r="T38" s="149"/>
      <c r="U38" s="149"/>
      <c r="V38" s="149"/>
      <c r="W38" s="140"/>
      <c r="X38" s="104">
        <f t="shared" si="6"/>
        <v>0</v>
      </c>
      <c r="Y38" s="106">
        <f t="shared" si="7"/>
        <v>6.7777777777777786</v>
      </c>
      <c r="Z38" s="105" t="str">
        <f t="shared" si="3"/>
        <v>N/TRANSITA</v>
      </c>
    </row>
    <row r="39" spans="2:26" ht="14.25" customHeight="1" thickTop="1" thickBot="1" x14ac:dyDescent="0.35">
      <c r="B39" s="31">
        <v>31</v>
      </c>
      <c r="C39" s="177" t="s">
        <v>124</v>
      </c>
      <c r="D39" s="103"/>
      <c r="E39" s="189">
        <v>16</v>
      </c>
      <c r="F39" s="190">
        <v>13.5</v>
      </c>
      <c r="G39" s="190"/>
      <c r="H39" s="190">
        <v>17.5</v>
      </c>
      <c r="I39" s="190"/>
      <c r="J39" s="113">
        <f t="shared" si="4"/>
        <v>15.666666666666666</v>
      </c>
      <c r="K39" s="101" t="str">
        <f t="shared" si="1"/>
        <v>TRANSITA</v>
      </c>
      <c r="L39" s="189">
        <v>12</v>
      </c>
      <c r="M39" s="190">
        <v>9</v>
      </c>
      <c r="N39" s="190"/>
      <c r="O39" s="140">
        <v>12.5</v>
      </c>
      <c r="P39" s="140"/>
      <c r="Q39" s="113">
        <f t="shared" si="5"/>
        <v>11.166666666666666</v>
      </c>
      <c r="R39" s="105" t="str">
        <f t="shared" si="2"/>
        <v>TRANSITA</v>
      </c>
      <c r="S39" s="148"/>
      <c r="T39" s="149"/>
      <c r="U39" s="149"/>
      <c r="V39" s="149"/>
      <c r="W39" s="140"/>
      <c r="X39" s="104">
        <f t="shared" si="6"/>
        <v>0</v>
      </c>
      <c r="Y39" s="106">
        <f t="shared" si="7"/>
        <v>8.9444444444444446</v>
      </c>
      <c r="Z39" s="105" t="str">
        <f t="shared" si="3"/>
        <v>N/TRANSITA</v>
      </c>
    </row>
    <row r="40" spans="2:26" ht="14.25" customHeight="1" thickTop="1" thickBot="1" x14ac:dyDescent="0.35">
      <c r="B40" s="31">
        <v>32</v>
      </c>
      <c r="C40" s="177" t="s">
        <v>125</v>
      </c>
      <c r="D40" s="103"/>
      <c r="E40" s="189">
        <v>16</v>
      </c>
      <c r="F40" s="190">
        <v>17.5</v>
      </c>
      <c r="G40" s="190"/>
      <c r="H40" s="190">
        <v>19</v>
      </c>
      <c r="I40" s="190"/>
      <c r="J40" s="113">
        <f t="shared" si="4"/>
        <v>17.5</v>
      </c>
      <c r="K40" s="101" t="str">
        <f t="shared" si="1"/>
        <v>TRANSITA</v>
      </c>
      <c r="L40" s="189">
        <v>15</v>
      </c>
      <c r="M40" s="190">
        <v>14</v>
      </c>
      <c r="N40" s="190"/>
      <c r="O40" s="140">
        <v>14.5</v>
      </c>
      <c r="P40" s="140"/>
      <c r="Q40" s="113">
        <f t="shared" si="5"/>
        <v>14.5</v>
      </c>
      <c r="R40" s="105" t="str">
        <f t="shared" si="2"/>
        <v>TRANSITA</v>
      </c>
      <c r="S40" s="148"/>
      <c r="T40" s="149"/>
      <c r="U40" s="149"/>
      <c r="V40" s="149"/>
      <c r="W40" s="140"/>
      <c r="X40" s="104">
        <f t="shared" si="6"/>
        <v>0</v>
      </c>
      <c r="Y40" s="106">
        <f t="shared" si="7"/>
        <v>10.666666666666666</v>
      </c>
      <c r="Z40" s="105" t="str">
        <f t="shared" si="3"/>
        <v>TRANSITA</v>
      </c>
    </row>
    <row r="41" spans="2:26" ht="14.25" customHeight="1" thickTop="1" thickBot="1" x14ac:dyDescent="0.35">
      <c r="B41" s="31">
        <v>33</v>
      </c>
      <c r="C41" s="177" t="s">
        <v>126</v>
      </c>
      <c r="D41" s="103"/>
      <c r="E41" s="189">
        <v>16</v>
      </c>
      <c r="F41" s="190">
        <v>14</v>
      </c>
      <c r="G41" s="190"/>
      <c r="H41" s="190">
        <v>18</v>
      </c>
      <c r="I41" s="190"/>
      <c r="J41" s="113">
        <f t="shared" si="4"/>
        <v>16</v>
      </c>
      <c r="K41" s="101" t="str">
        <f t="shared" si="1"/>
        <v>TRANSITA</v>
      </c>
      <c r="L41" s="189">
        <v>11.5</v>
      </c>
      <c r="M41" s="190">
        <v>16</v>
      </c>
      <c r="N41" s="190"/>
      <c r="O41" s="140">
        <v>11.5</v>
      </c>
      <c r="P41" s="140"/>
      <c r="Q41" s="113">
        <f t="shared" ref="Q41:Q43" si="8">AVERAGE(L41,MAX(M41:N41),MAX(O41:P41))</f>
        <v>13</v>
      </c>
      <c r="R41" s="105" t="str">
        <f t="shared" ref="R41:R43" si="9">IF(Q41&gt;=10,"TRANSITA","N/TRANSITA")</f>
        <v>TRANSITA</v>
      </c>
      <c r="S41" s="148"/>
      <c r="T41" s="149"/>
      <c r="U41" s="149"/>
      <c r="V41" s="149"/>
      <c r="W41" s="140"/>
      <c r="X41" s="104">
        <f t="shared" ref="X41:X43" si="10">AVERAGE(S41,MAX(T41:U41),MAX(V41:W41))</f>
        <v>0</v>
      </c>
      <c r="Y41" s="106">
        <f t="shared" ref="Y41:Y43" si="11">SUM(J41,Q41,X41)/3</f>
        <v>9.6666666666666661</v>
      </c>
      <c r="Z41" s="105" t="str">
        <f t="shared" ref="Z41:Z43" si="12">IF(Y41&gt;=10,"TRANSITA","N/TRANSITA")</f>
        <v>N/TRANSITA</v>
      </c>
    </row>
    <row r="42" spans="2:26" ht="14.25" customHeight="1" thickTop="1" thickBot="1" x14ac:dyDescent="0.35">
      <c r="B42" s="31">
        <v>34</v>
      </c>
      <c r="C42" s="177" t="s">
        <v>141</v>
      </c>
      <c r="D42" s="103"/>
      <c r="E42" s="189"/>
      <c r="F42" s="190">
        <v>10.5</v>
      </c>
      <c r="G42" s="190"/>
      <c r="H42" s="190">
        <v>11.5</v>
      </c>
      <c r="I42" s="190"/>
      <c r="J42" s="113">
        <f t="shared" si="4"/>
        <v>11</v>
      </c>
      <c r="K42" s="101" t="str">
        <f t="shared" si="1"/>
        <v>TRANSITA</v>
      </c>
      <c r="L42" s="189">
        <v>0</v>
      </c>
      <c r="M42" s="190">
        <v>7</v>
      </c>
      <c r="N42" s="190"/>
      <c r="O42" s="140">
        <v>9</v>
      </c>
      <c r="P42" s="140"/>
      <c r="Q42" s="113">
        <f t="shared" ref="Q42" si="13">AVERAGE(L42,MAX(M42:N42),MAX(O42:P42))</f>
        <v>5.333333333333333</v>
      </c>
      <c r="R42" s="105" t="str">
        <f t="shared" ref="R42" si="14">IF(Q42&gt;=10,"TRANSITA","N/TRANSITA")</f>
        <v>N/TRANSITA</v>
      </c>
      <c r="S42" s="148"/>
      <c r="T42" s="149"/>
      <c r="U42" s="149"/>
      <c r="V42" s="149"/>
      <c r="W42" s="140"/>
      <c r="X42" s="104">
        <f t="shared" ref="X42" si="15">AVERAGE(S42,MAX(T42:U42),MAX(V42:W42))</f>
        <v>0</v>
      </c>
      <c r="Y42" s="106">
        <f t="shared" ref="Y42" si="16">SUM(J42,Q42,X42)/3</f>
        <v>5.4444444444444438</v>
      </c>
      <c r="Z42" s="105" t="str">
        <f t="shared" ref="Z42" si="17">IF(Y42&gt;=10,"TRANSITA","N/TRANSITA")</f>
        <v>N/TRANSITA</v>
      </c>
    </row>
    <row r="43" spans="2:26" ht="14.25" customHeight="1" thickTop="1" thickBot="1" x14ac:dyDescent="0.35">
      <c r="B43" s="31">
        <v>35</v>
      </c>
      <c r="C43" s="178" t="s">
        <v>127</v>
      </c>
      <c r="D43" s="103"/>
      <c r="E43" s="189">
        <v>12</v>
      </c>
      <c r="F43" s="190">
        <v>8.5</v>
      </c>
      <c r="G43" s="190"/>
      <c r="H43" s="190">
        <v>18.5</v>
      </c>
      <c r="I43" s="190"/>
      <c r="J43" s="113">
        <f t="shared" si="4"/>
        <v>13</v>
      </c>
      <c r="K43" s="101" t="str">
        <f t="shared" si="1"/>
        <v>TRANSITA</v>
      </c>
      <c r="L43" s="189">
        <v>15</v>
      </c>
      <c r="M43" s="190">
        <v>10</v>
      </c>
      <c r="N43" s="190"/>
      <c r="O43" s="140">
        <v>14.5</v>
      </c>
      <c r="P43" s="140"/>
      <c r="Q43" s="113">
        <f t="shared" si="8"/>
        <v>13.166666666666666</v>
      </c>
      <c r="R43" s="105" t="str">
        <f t="shared" si="9"/>
        <v>TRANSITA</v>
      </c>
      <c r="S43" s="148"/>
      <c r="T43" s="149"/>
      <c r="U43" s="149"/>
      <c r="V43" s="149"/>
      <c r="W43" s="140"/>
      <c r="X43" s="104">
        <f t="shared" si="10"/>
        <v>0</v>
      </c>
      <c r="Y43" s="106">
        <f t="shared" si="11"/>
        <v>8.7222222222222214</v>
      </c>
      <c r="Z43" s="105" t="str">
        <f t="shared" si="12"/>
        <v>N/TRANSITA</v>
      </c>
    </row>
    <row r="44" spans="2:26" ht="14.25" customHeight="1" thickTop="1" thickBot="1" x14ac:dyDescent="0.35">
      <c r="B44" s="31">
        <v>36</v>
      </c>
      <c r="C44" s="177" t="s">
        <v>128</v>
      </c>
      <c r="D44" s="103"/>
      <c r="E44" s="189"/>
      <c r="F44" s="190"/>
      <c r="G44" s="190"/>
      <c r="H44" s="190">
        <v>16.5</v>
      </c>
      <c r="I44" s="190"/>
      <c r="J44" s="113">
        <f t="shared" si="4"/>
        <v>8.25</v>
      </c>
      <c r="K44" s="101" t="str">
        <f t="shared" si="1"/>
        <v>N/TRANSITA</v>
      </c>
      <c r="L44" s="189">
        <v>6</v>
      </c>
      <c r="M44" s="190">
        <v>13.5</v>
      </c>
      <c r="N44" s="190"/>
      <c r="O44" s="140">
        <v>11</v>
      </c>
      <c r="P44" s="140"/>
      <c r="Q44" s="113">
        <f t="shared" ref="Q44:Q46" si="18">AVERAGE(L44,MAX(M44:N44),MAX(O44:P44))</f>
        <v>10.166666666666666</v>
      </c>
      <c r="R44" s="105" t="str">
        <f t="shared" ref="R44:R46" si="19">IF(Q44&gt;=10,"TRANSITA","N/TRANSITA")</f>
        <v>TRANSITA</v>
      </c>
      <c r="S44" s="148"/>
      <c r="T44" s="149"/>
      <c r="U44" s="149"/>
      <c r="V44" s="149"/>
      <c r="W44" s="140"/>
      <c r="X44" s="104">
        <f t="shared" ref="X44:X46" si="20">AVERAGE(S44,MAX(T44:U44),MAX(V44:W44))</f>
        <v>0</v>
      </c>
      <c r="Y44" s="106">
        <f t="shared" ref="Y44:Y46" si="21">SUM(J44,Q44,X44)/3</f>
        <v>6.1388888888888884</v>
      </c>
      <c r="Z44" s="105" t="str">
        <f t="shared" ref="Z44:Z46" si="22">IF(Y44&gt;=10,"TRANSITA","N/TRANSITA")</f>
        <v>N/TRANSITA</v>
      </c>
    </row>
    <row r="45" spans="2:26" ht="14.25" customHeight="1" thickTop="1" thickBot="1" x14ac:dyDescent="0.35">
      <c r="B45" s="31">
        <v>37</v>
      </c>
      <c r="C45" s="177" t="s">
        <v>129</v>
      </c>
      <c r="D45" s="103"/>
      <c r="E45" s="189"/>
      <c r="F45" s="190">
        <v>14.5</v>
      </c>
      <c r="G45" s="190"/>
      <c r="H45" s="190">
        <v>15.5</v>
      </c>
      <c r="I45" s="190"/>
      <c r="J45" s="113">
        <f t="shared" si="4"/>
        <v>15</v>
      </c>
      <c r="K45" s="101" t="str">
        <f t="shared" si="1"/>
        <v>TRANSITA</v>
      </c>
      <c r="L45" s="189">
        <v>15</v>
      </c>
      <c r="M45" s="190">
        <v>10</v>
      </c>
      <c r="N45" s="190"/>
      <c r="O45" s="140">
        <v>10</v>
      </c>
      <c r="P45" s="140"/>
      <c r="Q45" s="113">
        <f t="shared" si="18"/>
        <v>11.666666666666666</v>
      </c>
      <c r="R45" s="105" t="str">
        <f t="shared" si="19"/>
        <v>TRANSITA</v>
      </c>
      <c r="S45" s="148"/>
      <c r="T45" s="149"/>
      <c r="U45" s="149"/>
      <c r="V45" s="149"/>
      <c r="W45" s="140"/>
      <c r="X45" s="104">
        <f t="shared" si="20"/>
        <v>0</v>
      </c>
      <c r="Y45" s="106">
        <f t="shared" si="21"/>
        <v>8.8888888888888875</v>
      </c>
      <c r="Z45" s="105" t="str">
        <f t="shared" si="22"/>
        <v>N/TRANSITA</v>
      </c>
    </row>
    <row r="46" spans="2:26" ht="14.25" customHeight="1" thickTop="1" thickBot="1" x14ac:dyDescent="0.35">
      <c r="B46" s="31">
        <v>38</v>
      </c>
      <c r="C46" s="177" t="s">
        <v>130</v>
      </c>
      <c r="D46" s="103"/>
      <c r="E46" s="189">
        <v>8</v>
      </c>
      <c r="F46" s="190">
        <v>9</v>
      </c>
      <c r="G46" s="190"/>
      <c r="H46" s="190">
        <v>14.5</v>
      </c>
      <c r="I46" s="190"/>
      <c r="J46" s="113">
        <f t="shared" si="4"/>
        <v>10.5</v>
      </c>
      <c r="K46" s="101" t="str">
        <f t="shared" si="1"/>
        <v>TRANSITA</v>
      </c>
      <c r="L46" s="189">
        <v>8</v>
      </c>
      <c r="M46" s="190">
        <v>8.5</v>
      </c>
      <c r="N46" s="190"/>
      <c r="O46" s="140">
        <v>11</v>
      </c>
      <c r="P46" s="140"/>
      <c r="Q46" s="113">
        <f t="shared" si="18"/>
        <v>9.1666666666666661</v>
      </c>
      <c r="R46" s="105" t="str">
        <f t="shared" si="19"/>
        <v>N/TRANSITA</v>
      </c>
      <c r="S46" s="148"/>
      <c r="T46" s="149"/>
      <c r="U46" s="149"/>
      <c r="V46" s="149"/>
      <c r="W46" s="140"/>
      <c r="X46" s="104">
        <f t="shared" si="20"/>
        <v>0</v>
      </c>
      <c r="Y46" s="106">
        <f t="shared" si="21"/>
        <v>6.5555555555555545</v>
      </c>
      <c r="Z46" s="105" t="str">
        <f t="shared" si="22"/>
        <v>N/TRANSITA</v>
      </c>
    </row>
    <row r="47" spans="2:26" ht="14.25" customHeight="1" thickTop="1" thickBot="1" x14ac:dyDescent="0.35">
      <c r="B47" s="31">
        <v>39</v>
      </c>
      <c r="C47" s="177" t="s">
        <v>131</v>
      </c>
      <c r="D47" s="107"/>
      <c r="E47" s="189">
        <v>7</v>
      </c>
      <c r="F47" s="190">
        <v>6</v>
      </c>
      <c r="G47" s="190"/>
      <c r="H47" s="190">
        <v>8</v>
      </c>
      <c r="I47" s="190"/>
      <c r="J47" s="113">
        <f t="shared" si="4"/>
        <v>7</v>
      </c>
      <c r="K47" s="101" t="str">
        <f t="shared" si="1"/>
        <v>N/TRANSITA</v>
      </c>
      <c r="L47" s="189">
        <v>13</v>
      </c>
      <c r="M47" s="190">
        <v>7.5</v>
      </c>
      <c r="N47" s="190"/>
      <c r="O47" s="140">
        <v>10.5</v>
      </c>
      <c r="P47" s="140"/>
      <c r="Q47" s="113">
        <f t="shared" si="5"/>
        <v>10.333333333333334</v>
      </c>
      <c r="R47" s="105" t="str">
        <f t="shared" si="2"/>
        <v>TRANSITA</v>
      </c>
      <c r="S47" s="148"/>
      <c r="T47" s="149"/>
      <c r="U47" s="149"/>
      <c r="V47" s="149"/>
      <c r="W47" s="140"/>
      <c r="X47" s="104">
        <f t="shared" si="6"/>
        <v>0</v>
      </c>
      <c r="Y47" s="106">
        <f t="shared" si="7"/>
        <v>5.7777777777777786</v>
      </c>
      <c r="Z47" s="105" t="str">
        <f t="shared" si="3"/>
        <v>N/TRANSITA</v>
      </c>
    </row>
    <row r="48" spans="2:26" ht="14.25" customHeight="1" thickTop="1" thickBot="1" x14ac:dyDescent="0.35">
      <c r="B48" s="31">
        <v>40</v>
      </c>
      <c r="C48" s="177" t="s">
        <v>132</v>
      </c>
      <c r="D48" s="107"/>
      <c r="E48" s="189">
        <v>13</v>
      </c>
      <c r="F48" s="190">
        <v>10.5</v>
      </c>
      <c r="G48" s="190"/>
      <c r="H48" s="190">
        <v>12.5</v>
      </c>
      <c r="I48" s="190"/>
      <c r="J48" s="113">
        <f t="shared" si="4"/>
        <v>12</v>
      </c>
      <c r="K48" s="101" t="str">
        <f t="shared" si="1"/>
        <v>TRANSITA</v>
      </c>
      <c r="L48" s="189">
        <v>12</v>
      </c>
      <c r="M48" s="190">
        <v>7</v>
      </c>
      <c r="N48" s="190"/>
      <c r="O48" s="140">
        <v>11.5</v>
      </c>
      <c r="P48" s="140"/>
      <c r="Q48" s="113">
        <f t="shared" si="5"/>
        <v>10.166666666666666</v>
      </c>
      <c r="R48" s="105" t="str">
        <f t="shared" si="2"/>
        <v>TRANSITA</v>
      </c>
      <c r="S48" s="148"/>
      <c r="T48" s="149"/>
      <c r="U48" s="149"/>
      <c r="V48" s="149"/>
      <c r="W48" s="140"/>
      <c r="X48" s="104">
        <f t="shared" si="6"/>
        <v>0</v>
      </c>
      <c r="Y48" s="106">
        <f t="shared" si="7"/>
        <v>7.3888888888888884</v>
      </c>
      <c r="Z48" s="105" t="str">
        <f t="shared" si="3"/>
        <v>N/TRANSITA</v>
      </c>
    </row>
    <row r="49" spans="1:26" ht="14.25" customHeight="1" thickTop="1" thickBot="1" x14ac:dyDescent="0.35">
      <c r="B49" s="31">
        <v>41</v>
      </c>
      <c r="C49" s="177" t="s">
        <v>133</v>
      </c>
      <c r="D49" s="107"/>
      <c r="E49" s="189"/>
      <c r="F49" s="190">
        <v>12.5</v>
      </c>
      <c r="G49" s="190"/>
      <c r="H49" s="190">
        <v>17</v>
      </c>
      <c r="I49" s="190"/>
      <c r="J49" s="113">
        <f t="shared" si="4"/>
        <v>14.75</v>
      </c>
      <c r="K49" s="101" t="str">
        <f t="shared" si="1"/>
        <v>TRANSITA</v>
      </c>
      <c r="L49" s="189">
        <v>10</v>
      </c>
      <c r="M49" s="190">
        <v>10.5</v>
      </c>
      <c r="N49" s="190"/>
      <c r="O49" s="140">
        <v>14.5</v>
      </c>
      <c r="P49" s="140"/>
      <c r="Q49" s="113">
        <f t="shared" ref="Q49:Q51" si="23">AVERAGE(L49,MAX(M49:N49),MAX(O49:P49))</f>
        <v>11.666666666666666</v>
      </c>
      <c r="R49" s="105" t="str">
        <f t="shared" ref="R49:R51" si="24">IF(Q49&gt;=10,"TRANSITA","N/TRANSITA")</f>
        <v>TRANSITA</v>
      </c>
      <c r="S49" s="148"/>
      <c r="T49" s="149"/>
      <c r="U49" s="149"/>
      <c r="V49" s="149"/>
      <c r="W49" s="140"/>
      <c r="X49" s="104">
        <f t="shared" ref="X49:X51" si="25">AVERAGE(S49,MAX(T49:U49),MAX(V49:W49))</f>
        <v>0</v>
      </c>
      <c r="Y49" s="106">
        <f t="shared" ref="Y49:Y51" si="26">SUM(J49,Q49,X49)/3</f>
        <v>8.8055555555555554</v>
      </c>
      <c r="Z49" s="105" t="str">
        <f t="shared" ref="Z49:Z51" si="27">IF(Y49&gt;=10,"TRANSITA","N/TRANSITA")</f>
        <v>N/TRANSITA</v>
      </c>
    </row>
    <row r="50" spans="1:26" ht="14.25" customHeight="1" thickTop="1" thickBot="1" x14ac:dyDescent="0.35">
      <c r="B50" s="31">
        <v>42</v>
      </c>
      <c r="C50" s="177" t="s">
        <v>134</v>
      </c>
      <c r="D50" s="103"/>
      <c r="E50" s="189">
        <v>14</v>
      </c>
      <c r="F50" s="190">
        <v>13.5</v>
      </c>
      <c r="G50" s="190"/>
      <c r="H50" s="190">
        <v>19</v>
      </c>
      <c r="I50" s="190"/>
      <c r="J50" s="113">
        <f t="shared" si="4"/>
        <v>15.5</v>
      </c>
      <c r="K50" s="101" t="str">
        <f t="shared" si="1"/>
        <v>TRANSITA</v>
      </c>
      <c r="L50" s="189">
        <v>19</v>
      </c>
      <c r="M50" s="190">
        <v>13.5</v>
      </c>
      <c r="N50" s="190"/>
      <c r="O50" s="140">
        <v>14.5</v>
      </c>
      <c r="P50" s="140"/>
      <c r="Q50" s="113">
        <f t="shared" si="23"/>
        <v>15.666666666666666</v>
      </c>
      <c r="R50" s="105" t="str">
        <f t="shared" si="24"/>
        <v>TRANSITA</v>
      </c>
      <c r="S50" s="148"/>
      <c r="T50" s="149"/>
      <c r="U50" s="149"/>
      <c r="V50" s="149"/>
      <c r="W50" s="140"/>
      <c r="X50" s="104">
        <f t="shared" si="25"/>
        <v>0</v>
      </c>
      <c r="Y50" s="106">
        <f t="shared" si="26"/>
        <v>10.388888888888888</v>
      </c>
      <c r="Z50" s="105" t="str">
        <f t="shared" si="27"/>
        <v>TRANSITA</v>
      </c>
    </row>
    <row r="51" spans="1:26" ht="14.25" customHeight="1" thickTop="1" thickBot="1" x14ac:dyDescent="0.35">
      <c r="B51" s="31">
        <v>43</v>
      </c>
      <c r="C51" s="177" t="s">
        <v>135</v>
      </c>
      <c r="D51" s="103"/>
      <c r="E51" s="189">
        <v>4</v>
      </c>
      <c r="F51" s="190">
        <v>8.5</v>
      </c>
      <c r="G51" s="190"/>
      <c r="H51" s="190">
        <v>13</v>
      </c>
      <c r="I51" s="190"/>
      <c r="J51" s="113">
        <f t="shared" si="4"/>
        <v>8.5</v>
      </c>
      <c r="K51" s="101" t="str">
        <f t="shared" si="1"/>
        <v>N/TRANSITA</v>
      </c>
      <c r="L51" s="189">
        <v>3.5</v>
      </c>
      <c r="M51" s="190">
        <v>8</v>
      </c>
      <c r="N51" s="190"/>
      <c r="O51" s="140">
        <v>13</v>
      </c>
      <c r="P51" s="140"/>
      <c r="Q51" s="113">
        <f t="shared" si="23"/>
        <v>8.1666666666666661</v>
      </c>
      <c r="R51" s="105" t="str">
        <f t="shared" si="24"/>
        <v>N/TRANSITA</v>
      </c>
      <c r="S51" s="148"/>
      <c r="T51" s="149"/>
      <c r="U51" s="149"/>
      <c r="V51" s="149"/>
      <c r="W51" s="140"/>
      <c r="X51" s="104">
        <f t="shared" si="25"/>
        <v>0</v>
      </c>
      <c r="Y51" s="106">
        <f t="shared" si="26"/>
        <v>5.5555555555555545</v>
      </c>
      <c r="Z51" s="105" t="str">
        <f t="shared" si="27"/>
        <v>N/TRANSITA</v>
      </c>
    </row>
    <row r="52" spans="1:26" ht="14.25" customHeight="1" thickTop="1" thickBot="1" x14ac:dyDescent="0.35">
      <c r="B52" s="31">
        <v>44</v>
      </c>
      <c r="C52" s="179" t="s">
        <v>136</v>
      </c>
      <c r="D52" s="108"/>
      <c r="E52" s="191">
        <v>12</v>
      </c>
      <c r="F52" s="192">
        <v>9</v>
      </c>
      <c r="G52" s="192"/>
      <c r="H52" s="192">
        <v>10</v>
      </c>
      <c r="I52" s="192"/>
      <c r="J52" s="114">
        <f t="shared" si="4"/>
        <v>10.333333333333334</v>
      </c>
      <c r="K52" s="101" t="str">
        <f t="shared" si="1"/>
        <v>TRANSITA</v>
      </c>
      <c r="L52" s="191">
        <v>17</v>
      </c>
      <c r="M52" s="192">
        <v>12</v>
      </c>
      <c r="N52" s="192"/>
      <c r="O52" s="152">
        <v>14.5</v>
      </c>
      <c r="P52" s="152"/>
      <c r="Q52" s="114">
        <f t="shared" si="5"/>
        <v>14.5</v>
      </c>
      <c r="R52" s="110" t="str">
        <f t="shared" si="2"/>
        <v>TRANSITA</v>
      </c>
      <c r="S52" s="153"/>
      <c r="T52" s="154"/>
      <c r="U52" s="154"/>
      <c r="V52" s="154"/>
      <c r="W52" s="152"/>
      <c r="X52" s="109">
        <f t="shared" si="6"/>
        <v>0</v>
      </c>
      <c r="Y52" s="111">
        <f>SUM(J52,Q52,X52)/3</f>
        <v>8.2777777777777786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123" priority="199" stopIfTrue="1" operator="greaterThan">
      <formula>9.5</formula>
    </cfRule>
    <cfRule type="cellIs" dxfId="122" priority="200" stopIfTrue="1" operator="lessThanOrEqual">
      <formula>9.5</formula>
    </cfRule>
  </conditionalFormatting>
  <conditionalFormatting sqref="X9:X52 Q9:Q52">
    <cfRule type="cellIs" dxfId="121" priority="177" stopIfTrue="1" operator="lessThan">
      <formula>10</formula>
    </cfRule>
    <cfRule type="cellIs" dxfId="120" priority="178" stopIfTrue="1" operator="greaterThanOrEqual">
      <formula>10</formula>
    </cfRule>
  </conditionalFormatting>
  <conditionalFormatting sqref="P9:P52 W9:W52">
    <cfRule type="cellIs" dxfId="119" priority="69" stopIfTrue="1" operator="lessThan">
      <formula>10</formula>
    </cfRule>
    <cfRule type="cellIs" dxfId="118" priority="70" stopIfTrue="1" operator="greaterThan">
      <formula>9</formula>
    </cfRule>
  </conditionalFormatting>
  <conditionalFormatting sqref="P9:P52 W9:W52">
    <cfRule type="cellIs" dxfId="117" priority="67" stopIfTrue="1" operator="lessThan">
      <formula>10</formula>
    </cfRule>
    <cfRule type="cellIs" dxfId="116" priority="68" stopIfTrue="1" operator="greaterThan">
      <formula>9</formula>
    </cfRule>
  </conditionalFormatting>
  <conditionalFormatting sqref="S9:V52">
    <cfRule type="cellIs" dxfId="115" priority="47" stopIfTrue="1" operator="lessThan">
      <formula>10</formula>
    </cfRule>
    <cfRule type="cellIs" dxfId="114" priority="48" stopIfTrue="1" operator="greaterThan">
      <formula>9</formula>
    </cfRule>
    <cfRule type="cellIs" dxfId="113" priority="49" stopIfTrue="1" operator="lessThan">
      <formula>10</formula>
    </cfRule>
    <cfRule type="cellIs" dxfId="112" priority="50" stopIfTrue="1" operator="greaterThan">
      <formula>9</formula>
    </cfRule>
  </conditionalFormatting>
  <conditionalFormatting sqref="J9:J52">
    <cfRule type="cellIs" dxfId="111" priority="19" stopIfTrue="1" operator="lessThan">
      <formula>10</formula>
    </cfRule>
    <cfRule type="cellIs" dxfId="110" priority="20" stopIfTrue="1" operator="greaterThanOrEqual">
      <formula>10</formula>
    </cfRule>
  </conditionalFormatting>
  <conditionalFormatting sqref="O9:O52">
    <cfRule type="cellIs" dxfId="109" priority="15" stopIfTrue="1" operator="lessThan">
      <formula>10</formula>
    </cfRule>
    <cfRule type="cellIs" dxfId="108" priority="16" stopIfTrue="1" operator="greaterThan">
      <formula>9</formula>
    </cfRule>
  </conditionalFormatting>
  <conditionalFormatting sqref="O9:O52">
    <cfRule type="cellIs" dxfId="107" priority="13" stopIfTrue="1" operator="lessThan">
      <formula>10</formula>
    </cfRule>
    <cfRule type="cellIs" dxfId="106" priority="14" stopIfTrue="1" operator="greaterThan">
      <formula>9</formula>
    </cfRule>
  </conditionalFormatting>
  <conditionalFormatting sqref="I9:I52 L9:N52">
    <cfRule type="cellIs" dxfId="105" priority="9" stopIfTrue="1" operator="lessThan">
      <formula>10</formula>
    </cfRule>
    <cfRule type="cellIs" dxfId="104" priority="10" stopIfTrue="1" operator="greaterThan">
      <formula>9</formula>
    </cfRule>
    <cfRule type="cellIs" dxfId="103" priority="11" stopIfTrue="1" operator="lessThan">
      <formula>10</formula>
    </cfRule>
    <cfRule type="cellIs" dxfId="102" priority="12" stopIfTrue="1" operator="greaterThan">
      <formula>9</formula>
    </cfRule>
  </conditionalFormatting>
  <conditionalFormatting sqref="E49:H52">
    <cfRule type="cellIs" dxfId="101" priority="5" stopIfTrue="1" operator="lessThan">
      <formula>10</formula>
    </cfRule>
    <cfRule type="cellIs" dxfId="100" priority="6" stopIfTrue="1" operator="greaterThan">
      <formula>9</formula>
    </cfRule>
    <cfRule type="cellIs" dxfId="99" priority="7" stopIfTrue="1" operator="lessThan">
      <formula>10</formula>
    </cfRule>
    <cfRule type="cellIs" dxfId="98" priority="8" stopIfTrue="1" operator="greaterThan">
      <formula>9</formula>
    </cfRule>
  </conditionalFormatting>
  <conditionalFormatting sqref="E9:H48">
    <cfRule type="cellIs" dxfId="97" priority="1" stopIfTrue="1" operator="lessThan">
      <formula>10</formula>
    </cfRule>
    <cfRule type="cellIs" dxfId="96" priority="2" stopIfTrue="1" operator="greaterThan">
      <formula>9</formula>
    </cfRule>
    <cfRule type="cellIs" dxfId="95" priority="3" stopIfTrue="1" operator="lessThan">
      <formula>10</formula>
    </cfRule>
    <cfRule type="cellIs" dxfId="94" priority="4" stopIfTrue="1" operator="greaterThan">
      <formula>9</formula>
    </cfRule>
  </conditionalFormatting>
  <dataValidations count="2">
    <dataValidation type="decimal" allowBlank="1" showInputMessage="1" showErrorMessage="1" errorTitle="ATENÇÃO!" error="O valor introduzido não é válido._x000a_A Subdirecção Pedagógica. Grato!" sqref="W9:W52 O9:P52">
      <formula1>0</formula1>
      <formula2>20</formula2>
    </dataValidation>
    <dataValidation type="decimal" allowBlank="1" showInputMessage="1" showErrorMessage="1" errorTitle="ATENÇÃO!" error="O valor introduzido não é válido. A Subdirecção Pedagógica. Grato!" sqref="S9:V52 E9:I52 L9:N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17409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13</xdr:col>
                <xdr:colOff>274320</xdr:colOff>
                <xdr:row>54</xdr:row>
                <xdr:rowOff>22860</xdr:rowOff>
              </to>
            </anchor>
          </objectPr>
        </oleObject>
      </mc:Choice>
      <mc:Fallback>
        <oleObject progId="Word.Document.8" shapeId="1740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3" stopIfTrue="1" operator="containsText" id="{53D9C883-0320-44EF-BFE5-6E7504FA4972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34" stopIfTrue="1" operator="containsText" id="{B9B36D2F-1A99-4833-90A8-23AE5627EA9D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17" stopIfTrue="1" operator="containsText" id="{B25A8231-2D2D-4F4B-AA96-62AD8583CF72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" stopIfTrue="1" operator="containsText" id="{71E7474F-41AD-4EE8-811E-029AB3D181B5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I19" sqref="I19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81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8</v>
      </c>
      <c r="AD8" s="287">
        <f>COUNTIF(Z9:Z58,"N/TRANSITA")</f>
        <v>36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17</v>
      </c>
      <c r="F9" s="143">
        <v>6</v>
      </c>
      <c r="G9" s="143"/>
      <c r="H9" s="143">
        <v>9</v>
      </c>
      <c r="I9" s="143"/>
      <c r="J9" s="194">
        <f>AVERAGE(E9,MAX(F9:G9),MAX(H9:I9))</f>
        <v>10.666666666666666</v>
      </c>
      <c r="K9" s="101" t="str">
        <f>IF(J9&gt;=10,"TRANSITA","N/TRANSITA")</f>
        <v>TRANSITA</v>
      </c>
      <c r="L9" s="155">
        <v>16</v>
      </c>
      <c r="M9" s="143">
        <v>8</v>
      </c>
      <c r="N9" s="143"/>
      <c r="O9" s="143">
        <v>16</v>
      </c>
      <c r="P9" s="143"/>
      <c r="Q9" s="137">
        <f>AVERAGE(L9,MAX(M9:N9),MAX(O9:P9))</f>
        <v>13.333333333333334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8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20</v>
      </c>
      <c r="F10" s="140">
        <v>16</v>
      </c>
      <c r="G10" s="140"/>
      <c r="H10" s="140">
        <v>16</v>
      </c>
      <c r="I10" s="140"/>
      <c r="J10" s="195">
        <f>AVERAGE(E10,MAX(F10:G10),MAX(H10:I10))</f>
        <v>17.333333333333332</v>
      </c>
      <c r="K10" s="105" t="str">
        <f t="shared" ref="K10:K52" si="1">IF(J10&gt;=10,"TRANSITA","N/TRANSITA")</f>
        <v>TRANSITA</v>
      </c>
      <c r="L10" s="156">
        <v>16</v>
      </c>
      <c r="M10" s="140">
        <v>20</v>
      </c>
      <c r="N10" s="140"/>
      <c r="O10" s="140">
        <v>19</v>
      </c>
      <c r="P10" s="140"/>
      <c r="Q10" s="138">
        <f>AVERAGE(L10,MAX(M10:N10),MAX(O10:P10))</f>
        <v>18.333333333333332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11.888888888888888</v>
      </c>
      <c r="Z10" s="105" t="str">
        <f t="shared" ref="Z10:Z52" si="3">IF(Y10&gt;=10,"TRANSITA","N/TRANSITA")</f>
        <v>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17</v>
      </c>
      <c r="F11" s="140">
        <v>8</v>
      </c>
      <c r="G11" s="140"/>
      <c r="H11" s="140">
        <v>14</v>
      </c>
      <c r="I11" s="140"/>
      <c r="J11" s="195">
        <f t="shared" ref="J11:J52" si="4">AVERAGE(E11,MAX(F11:G11),MAX(H11:I11))</f>
        <v>13</v>
      </c>
      <c r="K11" s="105" t="str">
        <f t="shared" si="1"/>
        <v>TRANSITA</v>
      </c>
      <c r="L11" s="156">
        <v>14</v>
      </c>
      <c r="M11" s="140">
        <v>20</v>
      </c>
      <c r="N11" s="140"/>
      <c r="O11" s="140">
        <v>10.5</v>
      </c>
      <c r="P11" s="140"/>
      <c r="Q11" s="138">
        <f t="shared" ref="Q11:Q52" si="5">AVERAGE(L11,MAX(M11:N11),MAX(O11:P11))</f>
        <v>14.833333333333334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9.2777777777777786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18</v>
      </c>
      <c r="F12" s="140">
        <v>10</v>
      </c>
      <c r="G12" s="140"/>
      <c r="H12" s="140">
        <v>14</v>
      </c>
      <c r="I12" s="140"/>
      <c r="J12" s="195">
        <f t="shared" si="4"/>
        <v>14</v>
      </c>
      <c r="K12" s="105" t="str">
        <f t="shared" si="1"/>
        <v>TRANSITA</v>
      </c>
      <c r="L12" s="156">
        <v>16</v>
      </c>
      <c r="M12" s="140">
        <v>20</v>
      </c>
      <c r="N12" s="140"/>
      <c r="O12" s="140">
        <v>15.5</v>
      </c>
      <c r="P12" s="140"/>
      <c r="Q12" s="138">
        <f t="shared" si="5"/>
        <v>17.166666666666668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10.388888888888889</v>
      </c>
      <c r="Z12" s="105" t="str">
        <f t="shared" si="3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15</v>
      </c>
      <c r="F13" s="140">
        <v>3</v>
      </c>
      <c r="G13" s="140"/>
      <c r="H13" s="140">
        <v>15.5</v>
      </c>
      <c r="I13" s="140"/>
      <c r="J13" s="195">
        <f t="shared" si="4"/>
        <v>11.166666666666666</v>
      </c>
      <c r="K13" s="105" t="str">
        <f t="shared" si="1"/>
        <v>TRANSITA</v>
      </c>
      <c r="L13" s="156">
        <v>14</v>
      </c>
      <c r="M13" s="140">
        <v>20</v>
      </c>
      <c r="N13" s="140"/>
      <c r="O13" s="140">
        <v>16.5</v>
      </c>
      <c r="P13" s="140"/>
      <c r="Q13" s="138">
        <f t="shared" si="5"/>
        <v>16.833333333333332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9.3333333333333339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14</v>
      </c>
      <c r="F14" s="140">
        <v>6</v>
      </c>
      <c r="G14" s="140"/>
      <c r="H14" s="140">
        <v>12</v>
      </c>
      <c r="I14" s="140"/>
      <c r="J14" s="195">
        <f t="shared" si="4"/>
        <v>10.666666666666666</v>
      </c>
      <c r="K14" s="105" t="str">
        <f t="shared" si="1"/>
        <v>TRANSITA</v>
      </c>
      <c r="L14" s="156">
        <v>13</v>
      </c>
      <c r="M14" s="140">
        <v>20</v>
      </c>
      <c r="N14" s="140"/>
      <c r="O14" s="140">
        <v>14.5</v>
      </c>
      <c r="P14" s="140"/>
      <c r="Q14" s="138">
        <f t="shared" si="5"/>
        <v>15.833333333333334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8.8333333333333339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18</v>
      </c>
      <c r="F15" s="140">
        <v>7</v>
      </c>
      <c r="G15" s="140"/>
      <c r="H15" s="140">
        <v>13</v>
      </c>
      <c r="I15" s="140"/>
      <c r="J15" s="195">
        <f t="shared" si="4"/>
        <v>12.666666666666666</v>
      </c>
      <c r="K15" s="105" t="str">
        <f t="shared" si="1"/>
        <v>TRANSITA</v>
      </c>
      <c r="L15" s="156">
        <v>16</v>
      </c>
      <c r="M15" s="140">
        <v>20</v>
      </c>
      <c r="N15" s="140"/>
      <c r="O15" s="140">
        <v>15</v>
      </c>
      <c r="P15" s="140"/>
      <c r="Q15" s="138">
        <f t="shared" si="5"/>
        <v>17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9.8888888888888875</v>
      </c>
      <c r="Z15" s="105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14</v>
      </c>
      <c r="F16" s="140">
        <v>7</v>
      </c>
      <c r="G16" s="140"/>
      <c r="H16" s="140">
        <v>8</v>
      </c>
      <c r="I16" s="140"/>
      <c r="J16" s="195">
        <f t="shared" si="4"/>
        <v>9.6666666666666661</v>
      </c>
      <c r="K16" s="105" t="str">
        <f t="shared" si="1"/>
        <v>N/TRANSITA</v>
      </c>
      <c r="L16" s="156">
        <v>15</v>
      </c>
      <c r="M16" s="140">
        <v>20</v>
      </c>
      <c r="N16" s="140"/>
      <c r="O16" s="140">
        <v>14</v>
      </c>
      <c r="P16" s="140"/>
      <c r="Q16" s="138">
        <f t="shared" si="5"/>
        <v>16.333333333333332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8.6666666666666661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16</v>
      </c>
      <c r="F17" s="140">
        <v>4.5</v>
      </c>
      <c r="G17" s="140"/>
      <c r="H17" s="140">
        <v>14</v>
      </c>
      <c r="I17" s="140"/>
      <c r="J17" s="195">
        <f t="shared" si="4"/>
        <v>11.5</v>
      </c>
      <c r="K17" s="105" t="str">
        <f t="shared" si="1"/>
        <v>TRANSITA</v>
      </c>
      <c r="L17" s="156">
        <v>14</v>
      </c>
      <c r="M17" s="140">
        <v>20</v>
      </c>
      <c r="N17" s="140"/>
      <c r="O17" s="140">
        <v>15</v>
      </c>
      <c r="P17" s="140"/>
      <c r="Q17" s="138">
        <f t="shared" si="5"/>
        <v>16.333333333333332</v>
      </c>
      <c r="R17" s="105" t="str">
        <f t="shared" si="2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9.2777777777777768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17</v>
      </c>
      <c r="F18" s="140">
        <v>4</v>
      </c>
      <c r="G18" s="140"/>
      <c r="H18" s="140">
        <v>9.5</v>
      </c>
      <c r="I18" s="140"/>
      <c r="J18" s="195">
        <f t="shared" si="4"/>
        <v>10.166666666666666</v>
      </c>
      <c r="K18" s="105" t="str">
        <f t="shared" si="1"/>
        <v>TRANSITA</v>
      </c>
      <c r="L18" s="156">
        <v>15</v>
      </c>
      <c r="M18" s="140">
        <v>20</v>
      </c>
      <c r="N18" s="140"/>
      <c r="O18" s="140">
        <v>14.5</v>
      </c>
      <c r="P18" s="140"/>
      <c r="Q18" s="138">
        <f t="shared" si="5"/>
        <v>16.5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8.8888888888888875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18</v>
      </c>
      <c r="F19" s="140">
        <v>6</v>
      </c>
      <c r="G19" s="140"/>
      <c r="H19" s="140">
        <v>13</v>
      </c>
      <c r="I19" s="140"/>
      <c r="J19" s="195">
        <f t="shared" si="4"/>
        <v>12.333333333333334</v>
      </c>
      <c r="K19" s="105" t="str">
        <f t="shared" si="1"/>
        <v>TRANSITA</v>
      </c>
      <c r="L19" s="156">
        <v>15</v>
      </c>
      <c r="M19" s="140">
        <v>20</v>
      </c>
      <c r="N19" s="140"/>
      <c r="O19" s="140">
        <v>12.5</v>
      </c>
      <c r="P19" s="140"/>
      <c r="Q19" s="138">
        <f t="shared" si="5"/>
        <v>15.833333333333334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9.3888888888888893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18</v>
      </c>
      <c r="F20" s="140">
        <v>8.5</v>
      </c>
      <c r="G20" s="140"/>
      <c r="H20" s="140">
        <v>14</v>
      </c>
      <c r="I20" s="140"/>
      <c r="J20" s="195">
        <f t="shared" si="4"/>
        <v>13.5</v>
      </c>
      <c r="K20" s="105" t="str">
        <f t="shared" si="1"/>
        <v>TRANSITA</v>
      </c>
      <c r="L20" s="156">
        <v>16</v>
      </c>
      <c r="M20" s="140">
        <v>20</v>
      </c>
      <c r="N20" s="140"/>
      <c r="O20" s="140">
        <v>13.5</v>
      </c>
      <c r="P20" s="140"/>
      <c r="Q20" s="138">
        <f t="shared" si="5"/>
        <v>16.5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10</v>
      </c>
      <c r="Z20" s="105" t="str">
        <f t="shared" si="3"/>
        <v>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20</v>
      </c>
      <c r="F21" s="140">
        <v>15</v>
      </c>
      <c r="G21" s="140"/>
      <c r="H21" s="140">
        <v>11</v>
      </c>
      <c r="I21" s="140"/>
      <c r="J21" s="195">
        <f t="shared" si="4"/>
        <v>15.333333333333334</v>
      </c>
      <c r="K21" s="105" t="str">
        <f t="shared" si="1"/>
        <v>TRANSITA</v>
      </c>
      <c r="L21" s="156">
        <v>16</v>
      </c>
      <c r="M21" s="140">
        <v>20</v>
      </c>
      <c r="N21" s="140"/>
      <c r="O21" s="140">
        <v>15.5</v>
      </c>
      <c r="P21" s="140"/>
      <c r="Q21" s="138">
        <f t="shared" si="5"/>
        <v>17.166666666666668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10.833333333333334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14</v>
      </c>
      <c r="F22" s="140"/>
      <c r="G22" s="140"/>
      <c r="H22" s="140">
        <v>13</v>
      </c>
      <c r="I22" s="140"/>
      <c r="J22" s="195">
        <f t="shared" si="4"/>
        <v>9</v>
      </c>
      <c r="K22" s="105" t="str">
        <f t="shared" si="1"/>
        <v>N/TRANSITA</v>
      </c>
      <c r="L22" s="156">
        <v>14</v>
      </c>
      <c r="M22" s="140">
        <v>19.5</v>
      </c>
      <c r="N22" s="140"/>
      <c r="O22" s="140">
        <v>5.5</v>
      </c>
      <c r="P22" s="140"/>
      <c r="Q22" s="138">
        <f t="shared" si="5"/>
        <v>13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7.333333333333333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5</v>
      </c>
      <c r="F23" s="140">
        <v>0</v>
      </c>
      <c r="G23" s="140"/>
      <c r="H23" s="140">
        <v>9</v>
      </c>
      <c r="I23" s="140"/>
      <c r="J23" s="195">
        <f t="shared" si="4"/>
        <v>4.666666666666667</v>
      </c>
      <c r="K23" s="105" t="str">
        <f t="shared" si="1"/>
        <v>N/TRANSITA</v>
      </c>
      <c r="L23" s="156">
        <v>14</v>
      </c>
      <c r="M23" s="140">
        <v>20</v>
      </c>
      <c r="N23" s="140"/>
      <c r="O23" s="140">
        <v>7.5</v>
      </c>
      <c r="P23" s="140"/>
      <c r="Q23" s="138">
        <f t="shared" si="5"/>
        <v>13.833333333333334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6.166666666666667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16</v>
      </c>
      <c r="F24" s="140">
        <v>6</v>
      </c>
      <c r="G24" s="140"/>
      <c r="H24" s="140">
        <v>11</v>
      </c>
      <c r="I24" s="140"/>
      <c r="J24" s="195">
        <f t="shared" si="4"/>
        <v>11</v>
      </c>
      <c r="K24" s="105" t="str">
        <f t="shared" si="1"/>
        <v>TRANSITA</v>
      </c>
      <c r="L24" s="156">
        <v>14</v>
      </c>
      <c r="M24" s="140">
        <v>20</v>
      </c>
      <c r="N24" s="140"/>
      <c r="O24" s="140">
        <v>11.5</v>
      </c>
      <c r="P24" s="140"/>
      <c r="Q24" s="138">
        <f t="shared" si="5"/>
        <v>15.166666666666666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8.7222222222222214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20</v>
      </c>
      <c r="F25" s="140">
        <v>6</v>
      </c>
      <c r="G25" s="140"/>
      <c r="H25" s="140">
        <v>12.5</v>
      </c>
      <c r="I25" s="140"/>
      <c r="J25" s="195">
        <f t="shared" si="4"/>
        <v>12.833333333333334</v>
      </c>
      <c r="K25" s="105" t="str">
        <f t="shared" si="1"/>
        <v>TRANSITA</v>
      </c>
      <c r="L25" s="156">
        <v>15</v>
      </c>
      <c r="M25" s="140">
        <v>17</v>
      </c>
      <c r="N25" s="140"/>
      <c r="O25" s="140">
        <v>16.5</v>
      </c>
      <c r="P25" s="140"/>
      <c r="Q25" s="138">
        <f t="shared" si="5"/>
        <v>16.166666666666668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9.6666666666666661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18</v>
      </c>
      <c r="F26" s="140">
        <v>10.5</v>
      </c>
      <c r="G26" s="140"/>
      <c r="H26" s="140">
        <v>8</v>
      </c>
      <c r="I26" s="140"/>
      <c r="J26" s="195">
        <f t="shared" si="4"/>
        <v>12.166666666666666</v>
      </c>
      <c r="K26" s="105" t="str">
        <f t="shared" si="1"/>
        <v>TRANSITA</v>
      </c>
      <c r="L26" s="156">
        <v>16</v>
      </c>
      <c r="M26" s="140">
        <v>20</v>
      </c>
      <c r="N26" s="140"/>
      <c r="O26" s="140">
        <v>14</v>
      </c>
      <c r="P26" s="140"/>
      <c r="Q26" s="138">
        <f t="shared" si="5"/>
        <v>16.666666666666668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9.6111111111111125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/>
      <c r="F27" s="140"/>
      <c r="G27" s="140"/>
      <c r="H27" s="140"/>
      <c r="I27" s="140"/>
      <c r="J27" s="195">
        <f t="shared" si="4"/>
        <v>0</v>
      </c>
      <c r="K27" s="105" t="str">
        <f t="shared" si="1"/>
        <v>N/TRANSITA</v>
      </c>
      <c r="L27" s="156"/>
      <c r="M27" s="140"/>
      <c r="N27" s="140"/>
      <c r="O27" s="140"/>
      <c r="P27" s="140"/>
      <c r="Q27" s="138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12</v>
      </c>
      <c r="F28" s="140"/>
      <c r="G28" s="140"/>
      <c r="H28" s="140">
        <v>13</v>
      </c>
      <c r="I28" s="140"/>
      <c r="J28" s="195">
        <f t="shared" si="4"/>
        <v>8.3333333333333339</v>
      </c>
      <c r="K28" s="105" t="str">
        <f t="shared" si="1"/>
        <v>N/TRANSITA</v>
      </c>
      <c r="L28" s="156"/>
      <c r="M28" s="140"/>
      <c r="N28" s="140"/>
      <c r="O28" s="140"/>
      <c r="P28" s="140"/>
      <c r="Q28" s="138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2.7777777777777781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15</v>
      </c>
      <c r="F29" s="140">
        <v>5</v>
      </c>
      <c r="G29" s="140"/>
      <c r="H29" s="140">
        <v>12.5</v>
      </c>
      <c r="I29" s="140"/>
      <c r="J29" s="195">
        <f t="shared" si="4"/>
        <v>10.833333333333334</v>
      </c>
      <c r="K29" s="105" t="str">
        <f t="shared" si="1"/>
        <v>TRANSITA</v>
      </c>
      <c r="L29" s="156">
        <v>10</v>
      </c>
      <c r="M29" s="140">
        <v>20</v>
      </c>
      <c r="N29" s="140"/>
      <c r="O29" s="140">
        <v>7.5</v>
      </c>
      <c r="P29" s="140"/>
      <c r="Q29" s="138">
        <f t="shared" si="5"/>
        <v>12.5</v>
      </c>
      <c r="R29" s="105" t="str">
        <f t="shared" si="2"/>
        <v>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7.7777777777777786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17</v>
      </c>
      <c r="F30" s="140">
        <v>9</v>
      </c>
      <c r="G30" s="140"/>
      <c r="H30" s="140">
        <v>9</v>
      </c>
      <c r="I30" s="140"/>
      <c r="J30" s="195">
        <f t="shared" si="4"/>
        <v>11.666666666666666</v>
      </c>
      <c r="K30" s="105" t="str">
        <f t="shared" si="1"/>
        <v>TRANSITA</v>
      </c>
      <c r="L30" s="156">
        <v>14</v>
      </c>
      <c r="M30" s="140">
        <v>17</v>
      </c>
      <c r="N30" s="140"/>
      <c r="O30" s="140">
        <v>14.5</v>
      </c>
      <c r="P30" s="140"/>
      <c r="Q30" s="138">
        <f t="shared" si="5"/>
        <v>15.166666666666666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8.9444444444444446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13</v>
      </c>
      <c r="F31" s="140">
        <v>9</v>
      </c>
      <c r="G31" s="140"/>
      <c r="H31" s="140">
        <v>13</v>
      </c>
      <c r="I31" s="140"/>
      <c r="J31" s="195">
        <f t="shared" si="4"/>
        <v>11.666666666666666</v>
      </c>
      <c r="K31" s="105" t="str">
        <f t="shared" si="1"/>
        <v>TRANSITA</v>
      </c>
      <c r="L31" s="156">
        <v>15</v>
      </c>
      <c r="M31" s="140">
        <v>20</v>
      </c>
      <c r="N31" s="140"/>
      <c r="O31" s="140">
        <v>14</v>
      </c>
      <c r="P31" s="140"/>
      <c r="Q31" s="138">
        <f t="shared" si="5"/>
        <v>16.333333333333332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9.3333333333333339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16</v>
      </c>
      <c r="F32" s="140">
        <v>4</v>
      </c>
      <c r="G32" s="140"/>
      <c r="H32" s="140">
        <v>8</v>
      </c>
      <c r="I32" s="140"/>
      <c r="J32" s="195">
        <f t="shared" si="4"/>
        <v>9.3333333333333339</v>
      </c>
      <c r="K32" s="105" t="str">
        <f t="shared" si="1"/>
        <v>N/TRANSITA</v>
      </c>
      <c r="L32" s="156">
        <v>14</v>
      </c>
      <c r="M32" s="140">
        <v>17</v>
      </c>
      <c r="N32" s="140"/>
      <c r="O32" s="140">
        <v>3.5</v>
      </c>
      <c r="P32" s="140"/>
      <c r="Q32" s="138">
        <f t="shared" si="5"/>
        <v>11.5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6.9444444444444455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15</v>
      </c>
      <c r="F33" s="140"/>
      <c r="G33" s="140"/>
      <c r="H33" s="140">
        <v>12</v>
      </c>
      <c r="I33" s="140"/>
      <c r="J33" s="195">
        <f t="shared" si="4"/>
        <v>9</v>
      </c>
      <c r="K33" s="105" t="str">
        <f t="shared" si="1"/>
        <v>N/TRANSITA</v>
      </c>
      <c r="L33" s="156">
        <v>13</v>
      </c>
      <c r="M33" s="140">
        <v>17</v>
      </c>
      <c r="N33" s="140"/>
      <c r="O33" s="140">
        <v>12.5</v>
      </c>
      <c r="P33" s="140"/>
      <c r="Q33" s="138">
        <f t="shared" si="5"/>
        <v>14.166666666666666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7.7222222222222214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14</v>
      </c>
      <c r="F34" s="140"/>
      <c r="G34" s="140"/>
      <c r="H34" s="140">
        <v>14</v>
      </c>
      <c r="I34" s="140"/>
      <c r="J34" s="195">
        <f t="shared" si="4"/>
        <v>9.3333333333333339</v>
      </c>
      <c r="K34" s="105" t="str">
        <f t="shared" si="1"/>
        <v>N/TRANSITA</v>
      </c>
      <c r="L34" s="156">
        <v>13</v>
      </c>
      <c r="M34" s="140">
        <v>20</v>
      </c>
      <c r="N34" s="140"/>
      <c r="O34" s="140">
        <v>16</v>
      </c>
      <c r="P34" s="140"/>
      <c r="Q34" s="138">
        <f t="shared" si="5"/>
        <v>16.333333333333332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8.5555555555555554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13</v>
      </c>
      <c r="F35" s="140"/>
      <c r="G35" s="140"/>
      <c r="H35" s="140">
        <v>8</v>
      </c>
      <c r="I35" s="140"/>
      <c r="J35" s="195">
        <f t="shared" si="4"/>
        <v>7</v>
      </c>
      <c r="K35" s="105" t="str">
        <f t="shared" si="1"/>
        <v>N/TRANSITA</v>
      </c>
      <c r="L35" s="156">
        <v>15</v>
      </c>
      <c r="M35" s="140">
        <v>20</v>
      </c>
      <c r="N35" s="140"/>
      <c r="O35" s="140">
        <v>10.5</v>
      </c>
      <c r="P35" s="140"/>
      <c r="Q35" s="138">
        <f t="shared" si="5"/>
        <v>15.166666666666666</v>
      </c>
      <c r="R35" s="105" t="str">
        <f t="shared" si="2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7.3888888888888884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18</v>
      </c>
      <c r="F36" s="140">
        <v>12</v>
      </c>
      <c r="G36" s="140"/>
      <c r="H36" s="140">
        <v>12</v>
      </c>
      <c r="I36" s="140"/>
      <c r="J36" s="195">
        <f t="shared" si="4"/>
        <v>14</v>
      </c>
      <c r="K36" s="105" t="str">
        <f t="shared" si="1"/>
        <v>TRANSITA</v>
      </c>
      <c r="L36" s="156">
        <v>14</v>
      </c>
      <c r="M36" s="140">
        <v>20</v>
      </c>
      <c r="N36" s="140"/>
      <c r="O36" s="140">
        <v>13.5</v>
      </c>
      <c r="P36" s="140"/>
      <c r="Q36" s="138">
        <f t="shared" si="5"/>
        <v>15.833333333333334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9.9444444444444446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20</v>
      </c>
      <c r="F37" s="140">
        <v>15</v>
      </c>
      <c r="G37" s="140"/>
      <c r="H37" s="140">
        <v>13.5</v>
      </c>
      <c r="I37" s="140"/>
      <c r="J37" s="195">
        <f t="shared" si="4"/>
        <v>16.166666666666668</v>
      </c>
      <c r="K37" s="105" t="str">
        <f t="shared" si="1"/>
        <v>TRANSITA</v>
      </c>
      <c r="L37" s="156">
        <v>14</v>
      </c>
      <c r="M37" s="140">
        <v>20</v>
      </c>
      <c r="N37" s="140"/>
      <c r="O37" s="140">
        <v>18.5</v>
      </c>
      <c r="P37" s="140"/>
      <c r="Q37" s="138">
        <f t="shared" si="5"/>
        <v>17.5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11.222222222222223</v>
      </c>
      <c r="Z37" s="105" t="str">
        <f t="shared" si="3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18</v>
      </c>
      <c r="F38" s="140">
        <v>12.5</v>
      </c>
      <c r="G38" s="140"/>
      <c r="H38" s="140">
        <v>12</v>
      </c>
      <c r="I38" s="140"/>
      <c r="J38" s="195">
        <f t="shared" si="4"/>
        <v>14.166666666666666</v>
      </c>
      <c r="K38" s="105" t="str">
        <f t="shared" si="1"/>
        <v>TRANSITA</v>
      </c>
      <c r="L38" s="156">
        <v>16</v>
      </c>
      <c r="M38" s="140">
        <v>17</v>
      </c>
      <c r="N38" s="140"/>
      <c r="O38" s="140">
        <v>15</v>
      </c>
      <c r="P38" s="140"/>
      <c r="Q38" s="138">
        <f t="shared" si="5"/>
        <v>16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10.055555555555555</v>
      </c>
      <c r="Z38" s="105" t="str">
        <f t="shared" si="3"/>
        <v>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16</v>
      </c>
      <c r="F39" s="140">
        <v>8.5</v>
      </c>
      <c r="G39" s="140"/>
      <c r="H39" s="140">
        <v>14</v>
      </c>
      <c r="I39" s="140"/>
      <c r="J39" s="195">
        <f t="shared" si="4"/>
        <v>12.833333333333334</v>
      </c>
      <c r="K39" s="105" t="str">
        <f t="shared" si="1"/>
        <v>TRANSITA</v>
      </c>
      <c r="L39" s="156">
        <v>15</v>
      </c>
      <c r="M39" s="140">
        <v>20</v>
      </c>
      <c r="N39" s="140"/>
      <c r="O39" s="140">
        <v>14</v>
      </c>
      <c r="P39" s="140"/>
      <c r="Q39" s="138">
        <f t="shared" si="5"/>
        <v>16.333333333333332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9.7222222222222214</v>
      </c>
      <c r="Z39" s="105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20</v>
      </c>
      <c r="F40" s="140">
        <v>17</v>
      </c>
      <c r="G40" s="140"/>
      <c r="H40" s="140">
        <v>15</v>
      </c>
      <c r="I40" s="140"/>
      <c r="J40" s="195">
        <f t="shared" si="4"/>
        <v>17.333333333333332</v>
      </c>
      <c r="K40" s="105" t="str">
        <f t="shared" si="1"/>
        <v>TRANSITA</v>
      </c>
      <c r="L40" s="156">
        <v>17</v>
      </c>
      <c r="M40" s="140">
        <v>20</v>
      </c>
      <c r="N40" s="140"/>
      <c r="O40" s="140">
        <v>18.5</v>
      </c>
      <c r="P40" s="140"/>
      <c r="Q40" s="138">
        <f>AVERAGE(L40,MAX(M40:N40),MAX(O40:P40))</f>
        <v>18.5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11.944444444444443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20</v>
      </c>
      <c r="F41" s="140">
        <v>15</v>
      </c>
      <c r="G41" s="140"/>
      <c r="H41" s="140">
        <v>16</v>
      </c>
      <c r="I41" s="140"/>
      <c r="J41" s="195">
        <f t="shared" si="4"/>
        <v>17</v>
      </c>
      <c r="K41" s="105" t="str">
        <f t="shared" si="1"/>
        <v>TRANSITA</v>
      </c>
      <c r="L41" s="156">
        <v>16</v>
      </c>
      <c r="M41" s="140">
        <v>20</v>
      </c>
      <c r="N41" s="140"/>
      <c r="O41" s="140">
        <v>14</v>
      </c>
      <c r="P41" s="140"/>
      <c r="Q41" s="138">
        <f>AVERAGE(L41,MAX(M41:N41),MAX(O41:P41))</f>
        <v>16.666666666666668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11.222222222222223</v>
      </c>
      <c r="Z41" s="105" t="str">
        <f t="shared" ref="Z41:Z43" si="10">IF(Y41&gt;=10,"TRANSITA","N/TRANSITA")</f>
        <v>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/>
      <c r="F42" s="140"/>
      <c r="G42" s="140"/>
      <c r="H42" s="140"/>
      <c r="I42" s="140"/>
      <c r="J42" s="195">
        <f t="shared" si="4"/>
        <v>0</v>
      </c>
      <c r="K42" s="105" t="str">
        <f t="shared" si="1"/>
        <v>N/TRANSITA</v>
      </c>
      <c r="L42" s="156">
        <v>16</v>
      </c>
      <c r="M42" s="140">
        <v>12</v>
      </c>
      <c r="N42" s="140"/>
      <c r="O42" s="140">
        <v>16.5</v>
      </c>
      <c r="P42" s="140"/>
      <c r="Q42" s="138">
        <f>AVERAGE(L42,MAX(M42:N42),MAX(O42:P42))</f>
        <v>14.833333333333334</v>
      </c>
      <c r="R42" s="105" t="str">
        <f t="shared" ref="R42" si="11">IF(Q42&gt;=10,"TRANSITA","N/TRANSITA")</f>
        <v>TRANSITA</v>
      </c>
      <c r="S42" s="156"/>
      <c r="T42" s="140"/>
      <c r="U42" s="140"/>
      <c r="V42" s="140"/>
      <c r="W42" s="140"/>
      <c r="X42" s="104">
        <f t="shared" ref="X42" si="12">AVERAGE(S42,MAX(T42:U42),MAX(V42:W42))</f>
        <v>0</v>
      </c>
      <c r="Y42" s="106">
        <f t="shared" ref="Y42" si="13">SUM(J42,Q42,X42)/3</f>
        <v>4.9444444444444446</v>
      </c>
      <c r="Z42" s="105" t="str">
        <f t="shared" ref="Z42" si="14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17</v>
      </c>
      <c r="F43" s="140">
        <v>8</v>
      </c>
      <c r="G43" s="140"/>
      <c r="H43" s="140">
        <v>13</v>
      </c>
      <c r="I43" s="140"/>
      <c r="J43" s="195">
        <f t="shared" si="4"/>
        <v>12.666666666666666</v>
      </c>
      <c r="K43" s="105" t="str">
        <f t="shared" si="1"/>
        <v>TRANSITA</v>
      </c>
      <c r="L43" s="156">
        <v>14</v>
      </c>
      <c r="M43" s="140">
        <v>17</v>
      </c>
      <c r="N43" s="140"/>
      <c r="O43" s="140">
        <v>17.5</v>
      </c>
      <c r="P43" s="140"/>
      <c r="Q43" s="138">
        <f>AVERAGE(L43,MAX(M43:N43),MAX(O43:P43))</f>
        <v>16.166666666666668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9.6111111111111125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14</v>
      </c>
      <c r="F44" s="140"/>
      <c r="G44" s="140"/>
      <c r="H44" s="140"/>
      <c r="I44" s="140"/>
      <c r="J44" s="195">
        <f t="shared" si="4"/>
        <v>4.666666666666667</v>
      </c>
      <c r="K44" s="105" t="str">
        <f t="shared" si="1"/>
        <v>N/TRANSITA</v>
      </c>
      <c r="L44" s="156">
        <v>14</v>
      </c>
      <c r="M44" s="140">
        <v>17</v>
      </c>
      <c r="N44" s="140"/>
      <c r="O44" s="140">
        <v>14.5</v>
      </c>
      <c r="P44" s="140"/>
      <c r="Q44" s="138">
        <f t="shared" si="5"/>
        <v>15.166666666666666</v>
      </c>
      <c r="R44" s="105" t="str">
        <f t="shared" si="2"/>
        <v>TRANSITA</v>
      </c>
      <c r="S44" s="156"/>
      <c r="T44" s="140"/>
      <c r="U44" s="140"/>
      <c r="V44" s="140"/>
      <c r="W44" s="140"/>
      <c r="X44" s="104">
        <f t="shared" ref="X44:X46" si="15">AVERAGE(S44,MAX(T44:U44),MAX(V44:W44))</f>
        <v>0</v>
      </c>
      <c r="Y44" s="106">
        <f t="shared" ref="Y44:Y46" si="16">SUM(J44,Q44,X44)/3</f>
        <v>6.6111111111111107</v>
      </c>
      <c r="Z44" s="105" t="str">
        <f t="shared" ref="Z44:Z46" si="17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14</v>
      </c>
      <c r="F45" s="140">
        <v>11</v>
      </c>
      <c r="G45" s="140"/>
      <c r="H45" s="140">
        <v>12</v>
      </c>
      <c r="I45" s="140"/>
      <c r="J45" s="195">
        <f t="shared" si="4"/>
        <v>12.333333333333334</v>
      </c>
      <c r="K45" s="105" t="str">
        <f t="shared" si="1"/>
        <v>TRANSITA</v>
      </c>
      <c r="L45" s="156">
        <v>13</v>
      </c>
      <c r="M45" s="140">
        <v>17</v>
      </c>
      <c r="N45" s="140"/>
      <c r="O45" s="140">
        <v>7.5</v>
      </c>
      <c r="P45" s="140"/>
      <c r="Q45" s="138">
        <f t="shared" si="5"/>
        <v>12.5</v>
      </c>
      <c r="R45" s="105" t="str">
        <f t="shared" si="2"/>
        <v>TRANSITA</v>
      </c>
      <c r="S45" s="156"/>
      <c r="T45" s="140"/>
      <c r="U45" s="140"/>
      <c r="V45" s="140"/>
      <c r="W45" s="140"/>
      <c r="X45" s="104">
        <f t="shared" si="15"/>
        <v>0</v>
      </c>
      <c r="Y45" s="106">
        <f t="shared" si="16"/>
        <v>8.2777777777777786</v>
      </c>
      <c r="Z45" s="105" t="str">
        <f t="shared" si="17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18</v>
      </c>
      <c r="F46" s="140">
        <v>0</v>
      </c>
      <c r="G46" s="140"/>
      <c r="H46" s="140">
        <v>11</v>
      </c>
      <c r="I46" s="140"/>
      <c r="J46" s="195">
        <f t="shared" si="4"/>
        <v>9.6666666666666661</v>
      </c>
      <c r="K46" s="105" t="str">
        <f t="shared" si="1"/>
        <v>N/TRANSITA</v>
      </c>
      <c r="L46" s="156">
        <v>16</v>
      </c>
      <c r="M46" s="158">
        <v>10</v>
      </c>
      <c r="N46" s="140"/>
      <c r="O46" s="158">
        <v>10.5</v>
      </c>
      <c r="P46" s="140"/>
      <c r="Q46" s="138">
        <f t="shared" si="5"/>
        <v>12.166666666666666</v>
      </c>
      <c r="R46" s="105" t="str">
        <f t="shared" si="2"/>
        <v>TRANSITA</v>
      </c>
      <c r="S46" s="156"/>
      <c r="T46" s="140"/>
      <c r="U46" s="140"/>
      <c r="V46" s="140"/>
      <c r="W46" s="140"/>
      <c r="X46" s="104">
        <f t="shared" si="15"/>
        <v>0</v>
      </c>
      <c r="Y46" s="106">
        <f t="shared" si="16"/>
        <v>7.2777777777777777</v>
      </c>
      <c r="Z46" s="105" t="str">
        <f t="shared" si="17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17</v>
      </c>
      <c r="F47" s="140"/>
      <c r="G47" s="140"/>
      <c r="H47" s="140">
        <v>5.5</v>
      </c>
      <c r="I47" s="140"/>
      <c r="J47" s="195">
        <f t="shared" si="4"/>
        <v>7.5</v>
      </c>
      <c r="K47" s="105" t="str">
        <f t="shared" si="1"/>
        <v>N/TRANSITA</v>
      </c>
      <c r="L47" s="156">
        <v>14</v>
      </c>
      <c r="M47" s="158">
        <v>20</v>
      </c>
      <c r="N47" s="140"/>
      <c r="O47" s="158">
        <v>15</v>
      </c>
      <c r="P47" s="140"/>
      <c r="Q47" s="138">
        <f t="shared" si="5"/>
        <v>16.333333333333332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7.9444444444444438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17</v>
      </c>
      <c r="F48" s="140">
        <v>10</v>
      </c>
      <c r="G48" s="140"/>
      <c r="H48" s="140">
        <v>9</v>
      </c>
      <c r="I48" s="140"/>
      <c r="J48" s="195">
        <f t="shared" si="4"/>
        <v>12</v>
      </c>
      <c r="K48" s="105" t="str">
        <f t="shared" si="1"/>
        <v>TRANSITA</v>
      </c>
      <c r="L48" s="156">
        <v>14</v>
      </c>
      <c r="M48" s="158">
        <v>20</v>
      </c>
      <c r="N48" s="140"/>
      <c r="O48" s="158">
        <v>14</v>
      </c>
      <c r="P48" s="140"/>
      <c r="Q48" s="138">
        <f t="shared" si="5"/>
        <v>16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9.3333333333333339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13</v>
      </c>
      <c r="F49" s="140">
        <v>9.5</v>
      </c>
      <c r="G49" s="140"/>
      <c r="H49" s="140">
        <v>13</v>
      </c>
      <c r="I49" s="140"/>
      <c r="J49" s="195">
        <f t="shared" si="4"/>
        <v>11.833333333333334</v>
      </c>
      <c r="K49" s="105" t="str">
        <f t="shared" si="1"/>
        <v>TRANSITA</v>
      </c>
      <c r="L49" s="156">
        <v>13</v>
      </c>
      <c r="M49" s="140">
        <v>17</v>
      </c>
      <c r="N49" s="140"/>
      <c r="O49" s="140">
        <v>18.5</v>
      </c>
      <c r="P49" s="140"/>
      <c r="Q49" s="138">
        <f t="shared" si="5"/>
        <v>16.166666666666668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8">AVERAGE(S49,MAX(T49:U49),MAX(V49:W49))</f>
        <v>0</v>
      </c>
      <c r="Y49" s="106">
        <f t="shared" ref="Y49:Y51" si="19">SUM(J49,Q49,X49)/3</f>
        <v>9.3333333333333339</v>
      </c>
      <c r="Z49" s="105" t="str">
        <f t="shared" ref="Z49:Z51" si="20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20</v>
      </c>
      <c r="F50" s="140">
        <v>11</v>
      </c>
      <c r="G50" s="140"/>
      <c r="H50" s="140">
        <v>9.5</v>
      </c>
      <c r="I50" s="140"/>
      <c r="J50" s="195">
        <f t="shared" si="4"/>
        <v>13.5</v>
      </c>
      <c r="K50" s="105" t="str">
        <f t="shared" si="1"/>
        <v>TRANSITA</v>
      </c>
      <c r="L50" s="156">
        <v>16</v>
      </c>
      <c r="M50" s="140">
        <v>20</v>
      </c>
      <c r="N50" s="140"/>
      <c r="O50" s="140">
        <v>12</v>
      </c>
      <c r="P50" s="140"/>
      <c r="Q50" s="138">
        <f t="shared" si="5"/>
        <v>16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8"/>
        <v>0</v>
      </c>
      <c r="Y50" s="106">
        <f t="shared" si="19"/>
        <v>9.8333333333333339</v>
      </c>
      <c r="Z50" s="105" t="str">
        <f t="shared" si="20"/>
        <v>N/TRANSITA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13</v>
      </c>
      <c r="F51" s="140"/>
      <c r="G51" s="140"/>
      <c r="H51" s="140">
        <v>8</v>
      </c>
      <c r="I51" s="140"/>
      <c r="J51" s="195">
        <f t="shared" si="4"/>
        <v>7</v>
      </c>
      <c r="K51" s="105" t="str">
        <f t="shared" si="1"/>
        <v>N/TRANSITA</v>
      </c>
      <c r="L51" s="156">
        <v>13</v>
      </c>
      <c r="M51" s="140">
        <v>20</v>
      </c>
      <c r="N51" s="140"/>
      <c r="O51" s="140">
        <v>16</v>
      </c>
      <c r="P51" s="140"/>
      <c r="Q51" s="138">
        <f t="shared" si="5"/>
        <v>16.333333333333332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8"/>
        <v>0</v>
      </c>
      <c r="Y51" s="106">
        <f t="shared" si="19"/>
        <v>7.7777777777777777</v>
      </c>
      <c r="Z51" s="105" t="str">
        <f t="shared" si="20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12</v>
      </c>
      <c r="F52" s="152">
        <v>8.5</v>
      </c>
      <c r="G52" s="152"/>
      <c r="H52" s="152">
        <v>5</v>
      </c>
      <c r="I52" s="152"/>
      <c r="J52" s="196">
        <f t="shared" si="4"/>
        <v>8.5</v>
      </c>
      <c r="K52" s="110" t="str">
        <f t="shared" si="1"/>
        <v>N/TRANSITA</v>
      </c>
      <c r="L52" s="157">
        <v>16</v>
      </c>
      <c r="M52" s="152">
        <v>17</v>
      </c>
      <c r="N52" s="152"/>
      <c r="O52" s="152">
        <v>16</v>
      </c>
      <c r="P52" s="152"/>
      <c r="Q52" s="139">
        <f t="shared" si="5"/>
        <v>16.333333333333332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8.2777777777777768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89" priority="170" stopIfTrue="1" operator="greaterThan">
      <formula>9.5</formula>
    </cfRule>
    <cfRule type="cellIs" dxfId="88" priority="171" stopIfTrue="1" operator="lessThanOrEqual">
      <formula>9.5</formula>
    </cfRule>
  </conditionalFormatting>
  <conditionalFormatting sqref="X9:X52">
    <cfRule type="cellIs" dxfId="87" priority="148" stopIfTrue="1" operator="lessThan">
      <formula>10</formula>
    </cfRule>
    <cfRule type="cellIs" dxfId="86" priority="149" stopIfTrue="1" operator="greaterThanOrEqual">
      <formula>10</formula>
    </cfRule>
  </conditionalFormatting>
  <conditionalFormatting sqref="W9:W52">
    <cfRule type="cellIs" dxfId="85" priority="46" stopIfTrue="1" operator="lessThan">
      <formula>10</formula>
    </cfRule>
    <cfRule type="cellIs" dxfId="84" priority="47" stopIfTrue="1" operator="greaterThan">
      <formula>9</formula>
    </cfRule>
  </conditionalFormatting>
  <conditionalFormatting sqref="W9:W52">
    <cfRule type="cellIs" dxfId="83" priority="44" stopIfTrue="1" operator="lessThan">
      <formula>10</formula>
    </cfRule>
    <cfRule type="cellIs" dxfId="82" priority="45" stopIfTrue="1" operator="greaterThan">
      <formula>9</formula>
    </cfRule>
  </conditionalFormatting>
  <conditionalFormatting sqref="P9:P52 S9:V52">
    <cfRule type="cellIs" dxfId="81" priority="17" stopIfTrue="1" operator="greaterThan">
      <formula>9</formula>
    </cfRule>
    <cfRule type="cellIs" dxfId="80" priority="18" stopIfTrue="1" operator="lessThan">
      <formula>10</formula>
    </cfRule>
    <cfRule type="cellIs" dxfId="79" priority="19" stopIfTrue="1" operator="greaterThan">
      <formula>9</formula>
    </cfRule>
  </conditionalFormatting>
  <conditionalFormatting sqref="P9:Q52 S9:V52">
    <cfRule type="cellIs" dxfId="78" priority="16" stopIfTrue="1" operator="lessThan">
      <formula>10</formula>
    </cfRule>
  </conditionalFormatting>
  <conditionalFormatting sqref="Q9:Q52">
    <cfRule type="cellIs" dxfId="77" priority="28" stopIfTrue="1" operator="greaterThanOrEqual">
      <formula>10</formula>
    </cfRule>
  </conditionalFormatting>
  <conditionalFormatting sqref="I9:I52 L9:O52">
    <cfRule type="cellIs" dxfId="76" priority="6" stopIfTrue="1" operator="greaterThan">
      <formula>9</formula>
    </cfRule>
    <cfRule type="cellIs" dxfId="75" priority="7" stopIfTrue="1" operator="lessThan">
      <formula>10</formula>
    </cfRule>
    <cfRule type="cellIs" dxfId="74" priority="8" stopIfTrue="1" operator="greaterThan">
      <formula>9</formula>
    </cfRule>
  </conditionalFormatting>
  <conditionalFormatting sqref="I9:J52 L9:O52">
    <cfRule type="cellIs" dxfId="73" priority="5" stopIfTrue="1" operator="lessThan">
      <formula>10</formula>
    </cfRule>
  </conditionalFormatting>
  <conditionalFormatting sqref="J9:J52">
    <cfRule type="cellIs" dxfId="72" priority="9" stopIfTrue="1" operator="greaterThanOrEqual">
      <formula>10</formula>
    </cfRule>
  </conditionalFormatting>
  <conditionalFormatting sqref="E9:H52">
    <cfRule type="cellIs" dxfId="71" priority="2" stopIfTrue="1" operator="greaterThan">
      <formula>9</formula>
    </cfRule>
    <cfRule type="cellIs" dxfId="70" priority="3" stopIfTrue="1" operator="lessThan">
      <formula>10</formula>
    </cfRule>
    <cfRule type="cellIs" dxfId="69" priority="4" stopIfTrue="1" operator="greaterThan">
      <formula>9</formula>
    </cfRule>
  </conditionalFormatting>
  <conditionalFormatting sqref="E9:H52">
    <cfRule type="cellIs" dxfId="68" priority="1" stopIfTrue="1" operator="lessThan">
      <formula>10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S9:W52 N40:P41 L49:P52 P42:P48 L9:P39 O42:O45 N42:N48 E9:I52 L40:L48 M40:M45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2529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99060</xdr:colOff>
                <xdr:row>54</xdr:row>
                <xdr:rowOff>22860</xdr:rowOff>
              </to>
            </anchor>
          </objectPr>
        </oleObject>
      </mc:Choice>
      <mc:Fallback>
        <oleObject progId="Word.Document.8" shapeId="22529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4" stopIfTrue="1" operator="containsText" id="{B2BB09E4-8239-4E9E-9706-290F9B54D850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5" stopIfTrue="1" operator="containsText" id="{45F61C18-C1B1-4FBF-B6D3-1693F690634D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10" stopIfTrue="1" operator="containsText" id="{A43226B7-682F-44C3-BBD6-6263D48D9C06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1" stopIfTrue="1" operator="containsText" id="{01ED4B6A-1922-4F37-84C0-A2A55F7E956F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G18" sqref="G18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26"/>
      <c r="F4" s="10"/>
      <c r="G4" s="10"/>
      <c r="H4" s="10"/>
      <c r="I4" s="94" t="s">
        <v>31</v>
      </c>
      <c r="J4" s="94"/>
      <c r="K4" s="94"/>
      <c r="L4" s="94"/>
      <c r="M4" s="94"/>
      <c r="N4" s="94"/>
      <c r="O4" s="94"/>
      <c r="P4" s="94"/>
      <c r="Q4" s="94"/>
      <c r="R4" s="26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26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7</v>
      </c>
      <c r="AD8" s="287">
        <f>COUNTIF(Z9:Z58,"N/TRANSITA")</f>
        <v>37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13</v>
      </c>
      <c r="F9" s="143">
        <v>16</v>
      </c>
      <c r="G9" s="143"/>
      <c r="H9" s="143">
        <v>13</v>
      </c>
      <c r="I9" s="143"/>
      <c r="J9" s="100">
        <f>AVERAGE(E9,MAX(F9:G9),MAX(H9:I9))</f>
        <v>14</v>
      </c>
      <c r="K9" s="101" t="str">
        <f>IF(J9&gt;=10,"TRANSITA","N/TRANSITA")</f>
        <v>TRANSITA</v>
      </c>
      <c r="L9" s="155">
        <v>12</v>
      </c>
      <c r="M9" s="143">
        <v>18</v>
      </c>
      <c r="N9" s="143"/>
      <c r="O9" s="143">
        <v>16</v>
      </c>
      <c r="P9" s="143"/>
      <c r="Q9" s="100">
        <f>AVERAGE(L9,MAX(M9:N9),MAX(O9:P9))</f>
        <v>15.333333333333334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9.7777777777777786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10</v>
      </c>
      <c r="F10" s="140">
        <v>16</v>
      </c>
      <c r="G10" s="140"/>
      <c r="H10" s="140">
        <v>13</v>
      </c>
      <c r="I10" s="140"/>
      <c r="J10" s="104">
        <f>AVERAGE(E10,MAX(F10:G10),MAX(H10:I10))</f>
        <v>13</v>
      </c>
      <c r="K10" s="105" t="str">
        <f t="shared" ref="K10:K52" si="1">IF(J10&gt;=10,"TRANSITA","N/TRANSITA")</f>
        <v>TRANSITA</v>
      </c>
      <c r="L10" s="156">
        <v>10</v>
      </c>
      <c r="M10" s="140">
        <v>18</v>
      </c>
      <c r="N10" s="140"/>
      <c r="O10" s="140">
        <v>14</v>
      </c>
      <c r="P10" s="140"/>
      <c r="Q10" s="104">
        <f>AVERAGE(L10,MAX(M10:N10),MAX(O10:P10))</f>
        <v>14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9</v>
      </c>
      <c r="Z10" s="105" t="str">
        <f t="shared" ref="Z10:Z52" si="3">IF(Y10&gt;=10,"TRANSITA","N/TRANSITA")</f>
        <v>N/TRANSITA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12</v>
      </c>
      <c r="F11" s="140">
        <v>14</v>
      </c>
      <c r="G11" s="140"/>
      <c r="H11" s="140">
        <v>10</v>
      </c>
      <c r="I11" s="140"/>
      <c r="J11" s="104">
        <f t="shared" ref="J11:J52" si="4">AVERAGE(E11,MAX(F11:G11),MAX(H11:I11))</f>
        <v>12</v>
      </c>
      <c r="K11" s="105" t="str">
        <f t="shared" si="1"/>
        <v>TRANSITA</v>
      </c>
      <c r="L11" s="156">
        <v>14</v>
      </c>
      <c r="M11" s="140">
        <v>12</v>
      </c>
      <c r="N11" s="140"/>
      <c r="O11" s="140"/>
      <c r="P11" s="140"/>
      <c r="Q11" s="104">
        <f t="shared" ref="Q11:Q52" si="5">AVERAGE(L11,MAX(M11:N11),MAX(O11:P11))</f>
        <v>8.6666666666666661</v>
      </c>
      <c r="R11" s="105" t="str">
        <f t="shared" si="2"/>
        <v>N/TRANSITA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6.8888888888888884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12</v>
      </c>
      <c r="F12" s="140">
        <v>15</v>
      </c>
      <c r="G12" s="140"/>
      <c r="H12" s="140">
        <v>18</v>
      </c>
      <c r="I12" s="140"/>
      <c r="J12" s="104">
        <f t="shared" si="4"/>
        <v>15</v>
      </c>
      <c r="K12" s="105" t="str">
        <f t="shared" si="1"/>
        <v>TRANSITA</v>
      </c>
      <c r="L12" s="156">
        <v>11</v>
      </c>
      <c r="M12" s="140">
        <v>18</v>
      </c>
      <c r="N12" s="140"/>
      <c r="O12" s="140">
        <v>16</v>
      </c>
      <c r="P12" s="140"/>
      <c r="Q12" s="104">
        <f t="shared" si="5"/>
        <v>15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10</v>
      </c>
      <c r="Z12" s="105" t="str">
        <f t="shared" si="3"/>
        <v>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10</v>
      </c>
      <c r="F13" s="140">
        <v>10</v>
      </c>
      <c r="G13" s="140"/>
      <c r="H13" s="140">
        <v>10</v>
      </c>
      <c r="I13" s="140"/>
      <c r="J13" s="104">
        <f t="shared" si="4"/>
        <v>10</v>
      </c>
      <c r="K13" s="105" t="str">
        <f t="shared" si="1"/>
        <v>TRANSITA</v>
      </c>
      <c r="L13" s="156">
        <v>5</v>
      </c>
      <c r="M13" s="140">
        <v>12</v>
      </c>
      <c r="N13" s="140"/>
      <c r="O13" s="140">
        <v>13</v>
      </c>
      <c r="P13" s="140"/>
      <c r="Q13" s="104">
        <f t="shared" si="5"/>
        <v>10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6.666666666666667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11</v>
      </c>
      <c r="F14" s="140">
        <v>18</v>
      </c>
      <c r="G14" s="140"/>
      <c r="H14" s="140">
        <v>10</v>
      </c>
      <c r="I14" s="140"/>
      <c r="J14" s="104">
        <f t="shared" si="4"/>
        <v>13</v>
      </c>
      <c r="K14" s="105" t="str">
        <f t="shared" si="1"/>
        <v>TRANSITA</v>
      </c>
      <c r="L14" s="156">
        <v>14</v>
      </c>
      <c r="M14" s="140">
        <v>16</v>
      </c>
      <c r="N14" s="140"/>
      <c r="O14" s="140">
        <v>15</v>
      </c>
      <c r="P14" s="140"/>
      <c r="Q14" s="104">
        <f t="shared" si="5"/>
        <v>15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9.3333333333333339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16</v>
      </c>
      <c r="F15" s="140">
        <v>16</v>
      </c>
      <c r="G15" s="140"/>
      <c r="H15" s="140">
        <v>10</v>
      </c>
      <c r="I15" s="140"/>
      <c r="J15" s="104">
        <f t="shared" si="4"/>
        <v>14</v>
      </c>
      <c r="K15" s="105" t="str">
        <f t="shared" si="1"/>
        <v>TRANSITA</v>
      </c>
      <c r="L15" s="156">
        <v>15</v>
      </c>
      <c r="M15" s="140">
        <v>16</v>
      </c>
      <c r="N15" s="140"/>
      <c r="O15" s="140">
        <v>18</v>
      </c>
      <c r="P15" s="140"/>
      <c r="Q15" s="104">
        <f t="shared" si="5"/>
        <v>16.333333333333332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10.111111111111111</v>
      </c>
      <c r="Z15" s="105" t="str">
        <f t="shared" si="3"/>
        <v>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13</v>
      </c>
      <c r="F16" s="140">
        <v>13</v>
      </c>
      <c r="G16" s="140"/>
      <c r="H16" s="140">
        <v>10</v>
      </c>
      <c r="I16" s="140"/>
      <c r="J16" s="104">
        <f t="shared" si="4"/>
        <v>12</v>
      </c>
      <c r="K16" s="105" t="str">
        <f t="shared" si="1"/>
        <v>TRANSITA</v>
      </c>
      <c r="L16" s="156">
        <v>14</v>
      </c>
      <c r="M16" s="140">
        <v>10</v>
      </c>
      <c r="N16" s="140"/>
      <c r="O16" s="140">
        <v>18</v>
      </c>
      <c r="P16" s="140"/>
      <c r="Q16" s="104">
        <f t="shared" si="5"/>
        <v>14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8.6666666666666661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14</v>
      </c>
      <c r="F17" s="140">
        <v>18</v>
      </c>
      <c r="G17" s="140"/>
      <c r="H17" s="140">
        <v>10</v>
      </c>
      <c r="I17" s="140"/>
      <c r="J17" s="104">
        <f t="shared" si="4"/>
        <v>14</v>
      </c>
      <c r="K17" s="105" t="str">
        <f t="shared" si="1"/>
        <v>TRANSITA</v>
      </c>
      <c r="L17" s="156">
        <v>10</v>
      </c>
      <c r="M17" s="140">
        <v>14</v>
      </c>
      <c r="N17" s="140"/>
      <c r="O17" s="140">
        <v>18</v>
      </c>
      <c r="P17" s="140"/>
      <c r="Q17" s="104">
        <f t="shared" si="5"/>
        <v>14</v>
      </c>
      <c r="R17" s="105" t="str">
        <f t="shared" si="2"/>
        <v>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9.3333333333333339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13</v>
      </c>
      <c r="F18" s="140">
        <v>13</v>
      </c>
      <c r="G18" s="140"/>
      <c r="H18" s="140">
        <v>10</v>
      </c>
      <c r="I18" s="140"/>
      <c r="J18" s="104">
        <f t="shared" si="4"/>
        <v>12</v>
      </c>
      <c r="K18" s="105" t="str">
        <f t="shared" si="1"/>
        <v>TRANSITA</v>
      </c>
      <c r="L18" s="156">
        <v>11</v>
      </c>
      <c r="M18" s="140">
        <v>10</v>
      </c>
      <c r="N18" s="140"/>
      <c r="O18" s="140"/>
      <c r="P18" s="140"/>
      <c r="Q18" s="104">
        <f t="shared" si="5"/>
        <v>7</v>
      </c>
      <c r="R18" s="105" t="str">
        <f t="shared" si="2"/>
        <v>N/TRANSITA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6.333333333333333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14</v>
      </c>
      <c r="F19" s="140">
        <v>16</v>
      </c>
      <c r="G19" s="140"/>
      <c r="H19" s="140">
        <v>10</v>
      </c>
      <c r="I19" s="140"/>
      <c r="J19" s="104">
        <f t="shared" si="4"/>
        <v>13.333333333333334</v>
      </c>
      <c r="K19" s="105" t="str">
        <f t="shared" si="1"/>
        <v>TRANSITA</v>
      </c>
      <c r="L19" s="156">
        <v>16</v>
      </c>
      <c r="M19" s="140">
        <v>14</v>
      </c>
      <c r="N19" s="140"/>
      <c r="O19" s="140">
        <v>18</v>
      </c>
      <c r="P19" s="140"/>
      <c r="Q19" s="104">
        <f t="shared" si="5"/>
        <v>16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9.7777777777777786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12</v>
      </c>
      <c r="F20" s="140">
        <v>17</v>
      </c>
      <c r="G20" s="140"/>
      <c r="H20" s="140">
        <v>10</v>
      </c>
      <c r="I20" s="140"/>
      <c r="J20" s="104">
        <f t="shared" si="4"/>
        <v>13</v>
      </c>
      <c r="K20" s="105" t="str">
        <f t="shared" si="1"/>
        <v>TRANSITA</v>
      </c>
      <c r="L20" s="156">
        <v>15</v>
      </c>
      <c r="M20" s="140">
        <v>15</v>
      </c>
      <c r="N20" s="140"/>
      <c r="O20" s="140">
        <v>12</v>
      </c>
      <c r="P20" s="140"/>
      <c r="Q20" s="104">
        <f t="shared" si="5"/>
        <v>14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9</v>
      </c>
      <c r="Z20" s="105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16</v>
      </c>
      <c r="F21" s="140">
        <v>14</v>
      </c>
      <c r="G21" s="140"/>
      <c r="H21" s="140">
        <v>18</v>
      </c>
      <c r="I21" s="140"/>
      <c r="J21" s="104">
        <f t="shared" si="4"/>
        <v>16</v>
      </c>
      <c r="K21" s="105" t="str">
        <f t="shared" si="1"/>
        <v>TRANSITA</v>
      </c>
      <c r="L21" s="156">
        <v>14</v>
      </c>
      <c r="M21" s="140">
        <v>20</v>
      </c>
      <c r="N21" s="140"/>
      <c r="O21" s="140">
        <v>14</v>
      </c>
      <c r="P21" s="140"/>
      <c r="Q21" s="104">
        <f t="shared" si="5"/>
        <v>16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10.666666666666666</v>
      </c>
      <c r="Z21" s="105" t="str">
        <f t="shared" si="3"/>
        <v>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10</v>
      </c>
      <c r="F22" s="140">
        <v>13</v>
      </c>
      <c r="G22" s="140"/>
      <c r="H22" s="140">
        <v>10</v>
      </c>
      <c r="I22" s="140"/>
      <c r="J22" s="104">
        <f t="shared" si="4"/>
        <v>11</v>
      </c>
      <c r="K22" s="105" t="str">
        <f t="shared" si="1"/>
        <v>TRANSITA</v>
      </c>
      <c r="L22" s="156">
        <v>13</v>
      </c>
      <c r="M22" s="140">
        <v>16</v>
      </c>
      <c r="N22" s="140"/>
      <c r="O22" s="140">
        <v>16</v>
      </c>
      <c r="P22" s="140"/>
      <c r="Q22" s="104">
        <f t="shared" si="5"/>
        <v>15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8.6666666666666661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15</v>
      </c>
      <c r="F23" s="140">
        <v>15</v>
      </c>
      <c r="G23" s="140"/>
      <c r="H23" s="140">
        <v>10</v>
      </c>
      <c r="I23" s="140"/>
      <c r="J23" s="104">
        <f t="shared" si="4"/>
        <v>13.333333333333334</v>
      </c>
      <c r="K23" s="105" t="str">
        <f t="shared" si="1"/>
        <v>TRANSITA</v>
      </c>
      <c r="L23" s="156">
        <v>16</v>
      </c>
      <c r="M23" s="140">
        <v>12</v>
      </c>
      <c r="N23" s="140"/>
      <c r="O23" s="140">
        <v>17</v>
      </c>
      <c r="P23" s="140"/>
      <c r="Q23" s="104">
        <f t="shared" si="5"/>
        <v>15</v>
      </c>
      <c r="R23" s="105" t="str">
        <f t="shared" si="2"/>
        <v>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9.4444444444444446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13</v>
      </c>
      <c r="F24" s="140">
        <v>13</v>
      </c>
      <c r="G24" s="140"/>
      <c r="H24" s="140">
        <v>10</v>
      </c>
      <c r="I24" s="140"/>
      <c r="J24" s="104">
        <f t="shared" si="4"/>
        <v>12</v>
      </c>
      <c r="K24" s="105" t="str">
        <f t="shared" si="1"/>
        <v>TRANSITA</v>
      </c>
      <c r="L24" s="156">
        <v>10</v>
      </c>
      <c r="M24" s="140">
        <v>13</v>
      </c>
      <c r="N24" s="140"/>
      <c r="O24" s="140"/>
      <c r="P24" s="140"/>
      <c r="Q24" s="104">
        <f t="shared" si="5"/>
        <v>7.666666666666667</v>
      </c>
      <c r="R24" s="105" t="str">
        <f t="shared" si="2"/>
        <v>N/TRANSITA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6.5555555555555562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12</v>
      </c>
      <c r="F25" s="140">
        <v>16</v>
      </c>
      <c r="G25" s="140"/>
      <c r="H25" s="140">
        <v>14</v>
      </c>
      <c r="I25" s="140"/>
      <c r="J25" s="104">
        <f t="shared" si="4"/>
        <v>14</v>
      </c>
      <c r="K25" s="105" t="str">
        <f t="shared" si="1"/>
        <v>TRANSITA</v>
      </c>
      <c r="L25" s="156">
        <v>16</v>
      </c>
      <c r="M25" s="140">
        <v>13</v>
      </c>
      <c r="N25" s="140"/>
      <c r="O25" s="140">
        <v>16</v>
      </c>
      <c r="P25" s="140"/>
      <c r="Q25" s="104">
        <f t="shared" si="5"/>
        <v>15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9.6666666666666661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13</v>
      </c>
      <c r="F26" s="140">
        <v>15</v>
      </c>
      <c r="G26" s="140"/>
      <c r="H26" s="140">
        <v>14</v>
      </c>
      <c r="I26" s="140"/>
      <c r="J26" s="104">
        <f t="shared" si="4"/>
        <v>14</v>
      </c>
      <c r="K26" s="105" t="str">
        <f t="shared" si="1"/>
        <v>TRANSITA</v>
      </c>
      <c r="L26" s="156">
        <v>13</v>
      </c>
      <c r="M26" s="140">
        <v>16</v>
      </c>
      <c r="N26" s="140"/>
      <c r="O26" s="140">
        <v>16</v>
      </c>
      <c r="P26" s="140"/>
      <c r="Q26" s="104">
        <f t="shared" si="5"/>
        <v>15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9.6666666666666661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/>
      <c r="F27" s="140"/>
      <c r="G27" s="140"/>
      <c r="H27" s="140"/>
      <c r="I27" s="140"/>
      <c r="J27" s="104">
        <f t="shared" si="4"/>
        <v>0</v>
      </c>
      <c r="K27" s="105" t="str">
        <f t="shared" si="1"/>
        <v>N/TRANSITA</v>
      </c>
      <c r="L27" s="156"/>
      <c r="M27" s="140"/>
      <c r="N27" s="140"/>
      <c r="O27" s="140"/>
      <c r="P27" s="140"/>
      <c r="Q27" s="104">
        <f t="shared" si="5"/>
        <v>0</v>
      </c>
      <c r="R27" s="105" t="str">
        <f t="shared" si="2"/>
        <v>N/TRANSITA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0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13</v>
      </c>
      <c r="F28" s="140">
        <v>10</v>
      </c>
      <c r="G28" s="140"/>
      <c r="H28" s="140">
        <v>10</v>
      </c>
      <c r="I28" s="140"/>
      <c r="J28" s="104">
        <f t="shared" si="4"/>
        <v>11</v>
      </c>
      <c r="K28" s="105" t="str">
        <f t="shared" si="1"/>
        <v>TRANSITA</v>
      </c>
      <c r="L28" s="156">
        <v>16</v>
      </c>
      <c r="M28" s="140">
        <v>12</v>
      </c>
      <c r="N28" s="140"/>
      <c r="O28" s="140">
        <v>14</v>
      </c>
      <c r="P28" s="140"/>
      <c r="Q28" s="104">
        <f t="shared" si="5"/>
        <v>14</v>
      </c>
      <c r="R28" s="105" t="str">
        <f t="shared" si="2"/>
        <v>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8.3333333333333339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/>
      <c r="F29" s="140"/>
      <c r="G29" s="140"/>
      <c r="H29" s="140"/>
      <c r="I29" s="140"/>
      <c r="J29" s="104">
        <f t="shared" si="4"/>
        <v>0</v>
      </c>
      <c r="K29" s="105" t="str">
        <f t="shared" si="1"/>
        <v>N/TRANSITA</v>
      </c>
      <c r="L29" s="156">
        <v>10</v>
      </c>
      <c r="M29" s="140">
        <v>15</v>
      </c>
      <c r="N29" s="140"/>
      <c r="O29" s="140"/>
      <c r="P29" s="140"/>
      <c r="Q29" s="104">
        <f t="shared" si="5"/>
        <v>8.3333333333333339</v>
      </c>
      <c r="R29" s="105" t="str">
        <f t="shared" si="2"/>
        <v>N/TRANSITA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2.7777777777777781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10</v>
      </c>
      <c r="F30" s="140">
        <v>12</v>
      </c>
      <c r="G30" s="140"/>
      <c r="H30" s="140">
        <v>11</v>
      </c>
      <c r="I30" s="140"/>
      <c r="J30" s="104">
        <f t="shared" si="4"/>
        <v>11</v>
      </c>
      <c r="K30" s="105" t="str">
        <f t="shared" si="1"/>
        <v>TRANSITA</v>
      </c>
      <c r="L30" s="156">
        <v>12</v>
      </c>
      <c r="M30" s="140">
        <v>18</v>
      </c>
      <c r="N30" s="140"/>
      <c r="O30" s="140">
        <v>15</v>
      </c>
      <c r="P30" s="140"/>
      <c r="Q30" s="104">
        <f t="shared" si="5"/>
        <v>15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8.6666666666666661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13</v>
      </c>
      <c r="F31" s="140">
        <v>11</v>
      </c>
      <c r="G31" s="140"/>
      <c r="H31" s="140">
        <v>15</v>
      </c>
      <c r="I31" s="140"/>
      <c r="J31" s="104">
        <f t="shared" si="4"/>
        <v>13</v>
      </c>
      <c r="K31" s="105" t="str">
        <f t="shared" si="1"/>
        <v>TRANSITA</v>
      </c>
      <c r="L31" s="156">
        <v>11</v>
      </c>
      <c r="M31" s="140">
        <v>16</v>
      </c>
      <c r="N31" s="140"/>
      <c r="O31" s="140">
        <v>15</v>
      </c>
      <c r="P31" s="140"/>
      <c r="Q31" s="104">
        <f t="shared" si="5"/>
        <v>14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9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14</v>
      </c>
      <c r="F32" s="140">
        <v>17</v>
      </c>
      <c r="G32" s="140"/>
      <c r="H32" s="140">
        <v>11</v>
      </c>
      <c r="I32" s="140"/>
      <c r="J32" s="104">
        <f t="shared" si="4"/>
        <v>14</v>
      </c>
      <c r="K32" s="105" t="str">
        <f t="shared" si="1"/>
        <v>TRANSITA</v>
      </c>
      <c r="L32" s="156">
        <v>12</v>
      </c>
      <c r="M32" s="140">
        <v>15</v>
      </c>
      <c r="N32" s="140"/>
      <c r="O32" s="140">
        <v>15</v>
      </c>
      <c r="P32" s="140"/>
      <c r="Q32" s="104">
        <f t="shared" si="5"/>
        <v>14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9.3333333333333339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12</v>
      </c>
      <c r="F33" s="140">
        <v>14</v>
      </c>
      <c r="G33" s="140"/>
      <c r="H33" s="140">
        <v>10</v>
      </c>
      <c r="I33" s="140"/>
      <c r="J33" s="104">
        <f t="shared" si="4"/>
        <v>12</v>
      </c>
      <c r="K33" s="105" t="str">
        <f t="shared" si="1"/>
        <v>TRANSITA</v>
      </c>
      <c r="L33" s="156">
        <v>10</v>
      </c>
      <c r="M33" s="140">
        <v>13</v>
      </c>
      <c r="N33" s="140"/>
      <c r="O33" s="140">
        <v>13</v>
      </c>
      <c r="P33" s="140"/>
      <c r="Q33" s="104">
        <f t="shared" si="5"/>
        <v>12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8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10</v>
      </c>
      <c r="F34" s="140">
        <v>12</v>
      </c>
      <c r="G34" s="140"/>
      <c r="H34" s="140">
        <v>11</v>
      </c>
      <c r="I34" s="140"/>
      <c r="J34" s="104">
        <f t="shared" si="4"/>
        <v>11</v>
      </c>
      <c r="K34" s="105" t="str">
        <f t="shared" si="1"/>
        <v>TRANSITA</v>
      </c>
      <c r="L34" s="156">
        <v>14</v>
      </c>
      <c r="M34" s="140">
        <v>12</v>
      </c>
      <c r="N34" s="140"/>
      <c r="O34" s="140">
        <v>16</v>
      </c>
      <c r="P34" s="140"/>
      <c r="Q34" s="104">
        <f t="shared" si="5"/>
        <v>14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8.3333333333333339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9</v>
      </c>
      <c r="F35" s="140">
        <v>10</v>
      </c>
      <c r="G35" s="140"/>
      <c r="H35" s="140">
        <v>11</v>
      </c>
      <c r="I35" s="140"/>
      <c r="J35" s="104">
        <f t="shared" si="4"/>
        <v>10</v>
      </c>
      <c r="K35" s="105" t="str">
        <f t="shared" si="1"/>
        <v>TRANSITA</v>
      </c>
      <c r="L35" s="156">
        <v>12</v>
      </c>
      <c r="M35" s="140"/>
      <c r="N35" s="140"/>
      <c r="O35" s="140"/>
      <c r="P35" s="140"/>
      <c r="Q35" s="104">
        <f t="shared" si="5"/>
        <v>4</v>
      </c>
      <c r="R35" s="105" t="str">
        <f t="shared" si="2"/>
        <v>N/TRANSITA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4.666666666666667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/>
      <c r="F36" s="140"/>
      <c r="G36" s="140"/>
      <c r="H36" s="140"/>
      <c r="I36" s="140"/>
      <c r="J36" s="104">
        <f t="shared" si="4"/>
        <v>0</v>
      </c>
      <c r="K36" s="105" t="str">
        <f t="shared" si="1"/>
        <v>N/TRANSITA</v>
      </c>
      <c r="L36" s="156"/>
      <c r="M36" s="140"/>
      <c r="N36" s="140"/>
      <c r="O36" s="140"/>
      <c r="P36" s="140"/>
      <c r="Q36" s="104">
        <f t="shared" si="5"/>
        <v>0</v>
      </c>
      <c r="R36" s="105" t="str">
        <f t="shared" si="2"/>
        <v>N/TRANSITA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0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11</v>
      </c>
      <c r="F37" s="140">
        <v>16</v>
      </c>
      <c r="G37" s="140"/>
      <c r="H37" s="140">
        <v>12</v>
      </c>
      <c r="I37" s="140"/>
      <c r="J37" s="104">
        <f t="shared" si="4"/>
        <v>13</v>
      </c>
      <c r="K37" s="105" t="str">
        <f t="shared" si="1"/>
        <v>TRANSITA</v>
      </c>
      <c r="L37" s="156">
        <v>16</v>
      </c>
      <c r="M37" s="140">
        <v>13</v>
      </c>
      <c r="N37" s="140"/>
      <c r="O37" s="140">
        <v>16</v>
      </c>
      <c r="P37" s="140"/>
      <c r="Q37" s="104">
        <f t="shared" si="5"/>
        <v>15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9.3333333333333339</v>
      </c>
      <c r="Z37" s="105" t="str">
        <f t="shared" si="3"/>
        <v>N/TRANSITA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14</v>
      </c>
      <c r="F38" s="140">
        <v>15</v>
      </c>
      <c r="G38" s="140"/>
      <c r="H38" s="140">
        <v>13</v>
      </c>
      <c r="I38" s="140"/>
      <c r="J38" s="104">
        <f t="shared" si="4"/>
        <v>14</v>
      </c>
      <c r="K38" s="105" t="str">
        <f t="shared" si="1"/>
        <v>TRANSITA</v>
      </c>
      <c r="L38" s="156">
        <v>16</v>
      </c>
      <c r="M38" s="140">
        <v>13</v>
      </c>
      <c r="N38" s="140"/>
      <c r="O38" s="140">
        <v>16</v>
      </c>
      <c r="P38" s="140"/>
      <c r="Q38" s="104">
        <f t="shared" si="5"/>
        <v>15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9.6666666666666661</v>
      </c>
      <c r="Z38" s="105" t="str">
        <f t="shared" si="3"/>
        <v>N/TRANSITA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16</v>
      </c>
      <c r="F39" s="140">
        <v>16</v>
      </c>
      <c r="G39" s="140"/>
      <c r="H39" s="140">
        <v>10</v>
      </c>
      <c r="I39" s="140"/>
      <c r="J39" s="104">
        <f t="shared" si="4"/>
        <v>14</v>
      </c>
      <c r="K39" s="105" t="str">
        <f t="shared" si="1"/>
        <v>TRANSITA</v>
      </c>
      <c r="L39" s="156">
        <v>16</v>
      </c>
      <c r="M39" s="140">
        <v>14</v>
      </c>
      <c r="N39" s="140"/>
      <c r="O39" s="140">
        <v>18</v>
      </c>
      <c r="P39" s="140"/>
      <c r="Q39" s="104">
        <f t="shared" si="5"/>
        <v>16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10</v>
      </c>
      <c r="Z39" s="105" t="str">
        <f t="shared" si="3"/>
        <v>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15</v>
      </c>
      <c r="F40" s="140">
        <v>18</v>
      </c>
      <c r="G40" s="140"/>
      <c r="H40" s="140">
        <v>18</v>
      </c>
      <c r="I40" s="140"/>
      <c r="J40" s="104">
        <f t="shared" si="4"/>
        <v>17</v>
      </c>
      <c r="K40" s="105" t="str">
        <f t="shared" si="1"/>
        <v>TRANSITA</v>
      </c>
      <c r="L40" s="156">
        <v>18</v>
      </c>
      <c r="M40" s="140">
        <v>16</v>
      </c>
      <c r="N40" s="140"/>
      <c r="O40" s="140">
        <v>20</v>
      </c>
      <c r="P40" s="140"/>
      <c r="Q40" s="104">
        <f t="shared" si="5"/>
        <v>18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11.666666666666666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12</v>
      </c>
      <c r="F41" s="140">
        <v>18</v>
      </c>
      <c r="G41" s="140"/>
      <c r="H41" s="140">
        <v>15</v>
      </c>
      <c r="I41" s="140"/>
      <c r="J41" s="104">
        <f t="shared" si="4"/>
        <v>15</v>
      </c>
      <c r="K41" s="105" t="str">
        <f t="shared" si="1"/>
        <v>TRANSITA</v>
      </c>
      <c r="L41" s="156">
        <v>12</v>
      </c>
      <c r="M41" s="140">
        <v>14</v>
      </c>
      <c r="N41" s="140"/>
      <c r="O41" s="140">
        <v>16</v>
      </c>
      <c r="P41" s="140"/>
      <c r="Q41" s="104">
        <f t="shared" si="5"/>
        <v>14</v>
      </c>
      <c r="R41" s="105" t="str">
        <f t="shared" si="2"/>
        <v>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9.6666666666666661</v>
      </c>
      <c r="Z41" s="105" t="str">
        <f t="shared" ref="Z41:Z43" si="10">IF(Y41&gt;=10,"TRANSITA","N/TRANSITA")</f>
        <v>N/TRANSITA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/>
      <c r="F42" s="140"/>
      <c r="G42" s="140"/>
      <c r="H42" s="140"/>
      <c r="I42" s="140"/>
      <c r="J42" s="104">
        <f t="shared" si="4"/>
        <v>0</v>
      </c>
      <c r="K42" s="105" t="str">
        <f t="shared" si="1"/>
        <v>N/TRANSITA</v>
      </c>
      <c r="L42" s="156"/>
      <c r="M42" s="140"/>
      <c r="N42" s="140"/>
      <c r="O42" s="140"/>
      <c r="P42" s="140"/>
      <c r="Q42" s="104">
        <f t="shared" ref="Q42" si="11">AVERAGE(L42,MAX(M42:N42),MAX(O42:P42))</f>
        <v>0</v>
      </c>
      <c r="R42" s="105" t="str">
        <f t="shared" ref="R42" si="12">IF(Q42&gt;=10,"TRANSITA","N/TRANSITA")</f>
        <v>N/TRANSITA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0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13</v>
      </c>
      <c r="F43" s="140">
        <v>17</v>
      </c>
      <c r="G43" s="140"/>
      <c r="H43" s="140">
        <v>15</v>
      </c>
      <c r="I43" s="140"/>
      <c r="J43" s="104">
        <f t="shared" si="4"/>
        <v>15</v>
      </c>
      <c r="K43" s="105" t="str">
        <f t="shared" si="1"/>
        <v>TRANSITA</v>
      </c>
      <c r="L43" s="156">
        <v>16</v>
      </c>
      <c r="M43" s="140">
        <v>14</v>
      </c>
      <c r="N43" s="140"/>
      <c r="O43" s="140">
        <v>18</v>
      </c>
      <c r="P43" s="140"/>
      <c r="Q43" s="104">
        <f t="shared" si="5"/>
        <v>16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10.333333333333334</v>
      </c>
      <c r="Z43" s="105" t="str">
        <f t="shared" si="10"/>
        <v>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15</v>
      </c>
      <c r="F44" s="140">
        <v>17</v>
      </c>
      <c r="G44" s="140"/>
      <c r="H44" s="140">
        <v>10</v>
      </c>
      <c r="I44" s="140"/>
      <c r="J44" s="104">
        <f t="shared" si="4"/>
        <v>14</v>
      </c>
      <c r="K44" s="105" t="str">
        <f t="shared" si="1"/>
        <v>TRANSITA</v>
      </c>
      <c r="L44" s="156">
        <v>5</v>
      </c>
      <c r="M44" s="140"/>
      <c r="N44" s="140"/>
      <c r="O44" s="140">
        <v>10</v>
      </c>
      <c r="P44" s="140"/>
      <c r="Q44" s="104">
        <f t="shared" si="5"/>
        <v>5</v>
      </c>
      <c r="R44" s="105" t="str">
        <f t="shared" si="2"/>
        <v>N/TRANSITA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6.333333333333333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16</v>
      </c>
      <c r="F45" s="140">
        <v>16</v>
      </c>
      <c r="G45" s="140"/>
      <c r="H45" s="140">
        <v>13</v>
      </c>
      <c r="I45" s="140"/>
      <c r="J45" s="104">
        <f t="shared" si="4"/>
        <v>15</v>
      </c>
      <c r="K45" s="105" t="str">
        <f t="shared" si="1"/>
        <v>TRANSITA</v>
      </c>
      <c r="L45" s="156">
        <v>8</v>
      </c>
      <c r="M45" s="140"/>
      <c r="N45" s="140"/>
      <c r="O45" s="140">
        <v>11</v>
      </c>
      <c r="P45" s="140"/>
      <c r="Q45" s="104">
        <f t="shared" si="5"/>
        <v>6.333333333333333</v>
      </c>
      <c r="R45" s="105" t="str">
        <f t="shared" si="2"/>
        <v>N/TRANSITA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7.1111111111111107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15</v>
      </c>
      <c r="F46" s="140">
        <v>18</v>
      </c>
      <c r="G46" s="140"/>
      <c r="H46" s="140">
        <v>13</v>
      </c>
      <c r="I46" s="140"/>
      <c r="J46" s="104">
        <f t="shared" si="4"/>
        <v>15.333333333333334</v>
      </c>
      <c r="K46" s="105" t="str">
        <f t="shared" si="1"/>
        <v>TRANSITA</v>
      </c>
      <c r="L46" s="156">
        <v>10</v>
      </c>
      <c r="M46" s="140">
        <v>14</v>
      </c>
      <c r="N46" s="140"/>
      <c r="O46" s="140">
        <v>12</v>
      </c>
      <c r="P46" s="140"/>
      <c r="Q46" s="104">
        <f t="shared" si="5"/>
        <v>12</v>
      </c>
      <c r="R46" s="105" t="str">
        <f t="shared" si="2"/>
        <v>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9.1111111111111125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14</v>
      </c>
      <c r="F47" s="140">
        <v>18</v>
      </c>
      <c r="G47" s="140"/>
      <c r="H47" s="140">
        <v>10</v>
      </c>
      <c r="I47" s="140"/>
      <c r="J47" s="104">
        <f t="shared" si="4"/>
        <v>14</v>
      </c>
      <c r="K47" s="105" t="str">
        <f t="shared" si="1"/>
        <v>TRANSITA</v>
      </c>
      <c r="L47" s="156">
        <v>8</v>
      </c>
      <c r="M47" s="140">
        <v>12</v>
      </c>
      <c r="N47" s="140"/>
      <c r="O47" s="140">
        <v>16</v>
      </c>
      <c r="P47" s="140"/>
      <c r="Q47" s="104">
        <f t="shared" si="5"/>
        <v>12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8.6666666666666661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16</v>
      </c>
      <c r="F48" s="140">
        <v>12</v>
      </c>
      <c r="G48" s="140"/>
      <c r="H48" s="140">
        <v>14</v>
      </c>
      <c r="I48" s="140"/>
      <c r="J48" s="104">
        <f t="shared" si="4"/>
        <v>14</v>
      </c>
      <c r="K48" s="105" t="str">
        <f t="shared" si="1"/>
        <v>TRANSITA</v>
      </c>
      <c r="L48" s="156">
        <v>16</v>
      </c>
      <c r="M48" s="140">
        <v>16</v>
      </c>
      <c r="N48" s="140"/>
      <c r="O48" s="140">
        <v>13</v>
      </c>
      <c r="P48" s="140"/>
      <c r="Q48" s="104">
        <f t="shared" si="5"/>
        <v>15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9.6666666666666661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12</v>
      </c>
      <c r="F49" s="140">
        <v>15</v>
      </c>
      <c r="G49" s="140"/>
      <c r="H49" s="140">
        <v>15</v>
      </c>
      <c r="I49" s="140"/>
      <c r="J49" s="104">
        <f t="shared" si="4"/>
        <v>14</v>
      </c>
      <c r="K49" s="105" t="str">
        <f t="shared" si="1"/>
        <v>TRANSITA</v>
      </c>
      <c r="L49" s="156">
        <v>12</v>
      </c>
      <c r="M49" s="140">
        <v>16</v>
      </c>
      <c r="N49" s="140"/>
      <c r="O49" s="140">
        <v>14</v>
      </c>
      <c r="P49" s="140"/>
      <c r="Q49" s="104">
        <f t="shared" si="5"/>
        <v>14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9.3333333333333339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15</v>
      </c>
      <c r="F50" s="140">
        <v>12</v>
      </c>
      <c r="G50" s="140"/>
      <c r="H50" s="140">
        <v>18</v>
      </c>
      <c r="I50" s="140"/>
      <c r="J50" s="104">
        <f t="shared" si="4"/>
        <v>15</v>
      </c>
      <c r="K50" s="105" t="str">
        <f t="shared" si="1"/>
        <v>TRANSITA</v>
      </c>
      <c r="L50" s="156">
        <v>13</v>
      </c>
      <c r="M50" s="140">
        <v>16</v>
      </c>
      <c r="N50" s="140"/>
      <c r="O50" s="140">
        <v>16</v>
      </c>
      <c r="P50" s="140"/>
      <c r="Q50" s="104">
        <f t="shared" si="5"/>
        <v>15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10</v>
      </c>
      <c r="Z50" s="105" t="str">
        <f t="shared" si="21"/>
        <v>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12</v>
      </c>
      <c r="F51" s="140"/>
      <c r="G51" s="140"/>
      <c r="H51" s="140"/>
      <c r="I51" s="140"/>
      <c r="J51" s="104">
        <f t="shared" si="4"/>
        <v>4</v>
      </c>
      <c r="K51" s="105" t="str">
        <f t="shared" si="1"/>
        <v>N/TRANSITA</v>
      </c>
      <c r="L51" s="156">
        <v>13</v>
      </c>
      <c r="M51" s="140">
        <v>13</v>
      </c>
      <c r="N51" s="140"/>
      <c r="O51" s="140">
        <v>16</v>
      </c>
      <c r="P51" s="140"/>
      <c r="Q51" s="104">
        <f t="shared" si="5"/>
        <v>14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6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10</v>
      </c>
      <c r="F52" s="152">
        <v>13</v>
      </c>
      <c r="G52" s="152"/>
      <c r="H52" s="152">
        <v>10</v>
      </c>
      <c r="I52" s="152"/>
      <c r="J52" s="109">
        <f t="shared" si="4"/>
        <v>11</v>
      </c>
      <c r="K52" s="110" t="str">
        <f t="shared" si="1"/>
        <v>TRANSITA</v>
      </c>
      <c r="L52" s="157">
        <v>13</v>
      </c>
      <c r="M52" s="152">
        <v>16</v>
      </c>
      <c r="N52" s="152"/>
      <c r="O52" s="152">
        <v>13</v>
      </c>
      <c r="P52" s="152"/>
      <c r="Q52" s="109">
        <f t="shared" si="5"/>
        <v>14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8.3333333333333339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24"/>
      <c r="G55" s="24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25"/>
      <c r="G56" s="25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25"/>
      <c r="G57" s="25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B6:Z6"/>
    <mergeCell ref="B7:B8"/>
    <mergeCell ref="C7:C8"/>
    <mergeCell ref="E7:J7"/>
    <mergeCell ref="L7:Q7"/>
    <mergeCell ref="S7:X7"/>
    <mergeCell ref="Y7:Y8"/>
    <mergeCell ref="V5:Z5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63" priority="217" stopIfTrue="1" operator="greaterThan">
      <formula>9.5</formula>
    </cfRule>
    <cfRule type="cellIs" dxfId="62" priority="218" stopIfTrue="1" operator="lessThanOrEqual">
      <formula>9.5</formula>
    </cfRule>
  </conditionalFormatting>
  <conditionalFormatting sqref="X9:X52 Q9:Q52">
    <cfRule type="cellIs" dxfId="61" priority="195" stopIfTrue="1" operator="lessThan">
      <formula>10</formula>
    </cfRule>
    <cfRule type="cellIs" dxfId="60" priority="196" stopIfTrue="1" operator="greaterThanOrEqual">
      <formula>10</formula>
    </cfRule>
  </conditionalFormatting>
  <conditionalFormatting sqref="S9:W52 P9:P52">
    <cfRule type="cellIs" dxfId="59" priority="93" stopIfTrue="1" operator="lessThan">
      <formula>10</formula>
    </cfRule>
    <cfRule type="cellIs" dxfId="58" priority="94" stopIfTrue="1" operator="greaterThan">
      <formula>9</formula>
    </cfRule>
  </conditionalFormatting>
  <conditionalFormatting sqref="S9:W52 P9:P52">
    <cfRule type="cellIs" dxfId="57" priority="91" stopIfTrue="1" operator="lessThan">
      <formula>10</formula>
    </cfRule>
    <cfRule type="cellIs" dxfId="56" priority="92" stopIfTrue="1" operator="greaterThan">
      <formula>9</formula>
    </cfRule>
  </conditionalFormatting>
  <conditionalFormatting sqref="J9:J52">
    <cfRule type="cellIs" dxfId="55" priority="23" stopIfTrue="1" operator="lessThan">
      <formula>10</formula>
    </cfRule>
    <cfRule type="cellIs" dxfId="54" priority="24" stopIfTrue="1" operator="greaterThanOrEqual">
      <formula>10</formula>
    </cfRule>
  </conditionalFormatting>
  <conditionalFormatting sqref="I50:I52 L9:O52">
    <cfRule type="cellIs" dxfId="53" priority="19" stopIfTrue="1" operator="lessThan">
      <formula>10</formula>
    </cfRule>
    <cfRule type="cellIs" dxfId="52" priority="20" stopIfTrue="1" operator="greaterThan">
      <formula>9</formula>
    </cfRule>
  </conditionalFormatting>
  <conditionalFormatting sqref="I50:I52 L9:O52">
    <cfRule type="cellIs" dxfId="51" priority="17" stopIfTrue="1" operator="lessThan">
      <formula>10</formula>
    </cfRule>
    <cfRule type="cellIs" dxfId="50" priority="18" stopIfTrue="1" operator="greaterThan">
      <formula>9</formula>
    </cfRule>
  </conditionalFormatting>
  <conditionalFormatting sqref="I9:I49">
    <cfRule type="cellIs" dxfId="49" priority="15" stopIfTrue="1" operator="lessThan">
      <formula>10</formula>
    </cfRule>
    <cfRule type="cellIs" dxfId="48" priority="16" stopIfTrue="1" operator="greaterThan">
      <formula>9</formula>
    </cfRule>
  </conditionalFormatting>
  <conditionalFormatting sqref="I9:I49">
    <cfRule type="cellIs" dxfId="47" priority="13" stopIfTrue="1" operator="lessThan">
      <formula>10</formula>
    </cfRule>
    <cfRule type="cellIs" dxfId="46" priority="14" stopIfTrue="1" operator="greaterThan">
      <formula>9</formula>
    </cfRule>
  </conditionalFormatting>
  <conditionalFormatting sqref="E50:H52">
    <cfRule type="cellIs" dxfId="45" priority="11" stopIfTrue="1" operator="lessThan">
      <formula>10</formula>
    </cfRule>
    <cfRule type="cellIs" dxfId="44" priority="12" stopIfTrue="1" operator="greaterThan">
      <formula>9</formula>
    </cfRule>
  </conditionalFormatting>
  <conditionalFormatting sqref="E50:H52">
    <cfRule type="cellIs" dxfId="43" priority="9" stopIfTrue="1" operator="lessThan">
      <formula>10</formula>
    </cfRule>
    <cfRule type="cellIs" dxfId="42" priority="10" stopIfTrue="1" operator="greaterThan">
      <formula>9</formula>
    </cfRule>
  </conditionalFormatting>
  <conditionalFormatting sqref="E49:H49">
    <cfRule type="cellIs" dxfId="41" priority="7" stopIfTrue="1" operator="lessThan">
      <formula>10</formula>
    </cfRule>
    <cfRule type="cellIs" dxfId="40" priority="8" stopIfTrue="1" operator="greaterThan">
      <formula>9</formula>
    </cfRule>
  </conditionalFormatting>
  <conditionalFormatting sqref="E49:H49">
    <cfRule type="cellIs" dxfId="39" priority="5" stopIfTrue="1" operator="lessThan">
      <formula>10</formula>
    </cfRule>
    <cfRule type="cellIs" dxfId="38" priority="6" stopIfTrue="1" operator="greaterThan">
      <formula>9</formula>
    </cfRule>
  </conditionalFormatting>
  <conditionalFormatting sqref="E9:H48">
    <cfRule type="cellIs" dxfId="37" priority="3" stopIfTrue="1" operator="lessThan">
      <formula>10</formula>
    </cfRule>
    <cfRule type="cellIs" dxfId="36" priority="4" stopIfTrue="1" operator="greaterThan">
      <formula>9</formula>
    </cfRule>
  </conditionalFormatting>
  <conditionalFormatting sqref="E9:H48">
    <cfRule type="cellIs" dxfId="35" priority="1" stopIfTrue="1" operator="lessThan">
      <formula>10</formula>
    </cfRule>
    <cfRule type="cellIs" dxfId="34" priority="2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4577" r:id="rId4">
          <objectPr defaultSize="0" autoPict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22860</xdr:colOff>
                <xdr:row>54</xdr:row>
                <xdr:rowOff>22860</xdr:rowOff>
              </to>
            </anchor>
          </objectPr>
        </oleObject>
      </mc:Choice>
      <mc:Fallback>
        <oleObject progId="Word.Document.8" shapeId="24577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1" stopIfTrue="1" operator="containsText" id="{873DD56C-4529-4D8E-887C-7A320C8B7B70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62" stopIfTrue="1" operator="containsText" id="{F223EADC-7E0B-480C-97D6-4F6F63F0DECA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21" stopIfTrue="1" operator="containsText" id="{CA58673A-3997-4462-9D39-93193B593D46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22" stopIfTrue="1" operator="containsText" id="{1B839B71-DDDE-406A-B2EB-AD7B153FF098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14999847407452621"/>
  </sheetPr>
  <dimension ref="A1:AE57"/>
  <sheetViews>
    <sheetView showGridLines="0" zoomScaleNormal="100" zoomScalePageLayoutView="85" workbookViewId="0">
      <selection activeCell="E9" sqref="E9:O52"/>
    </sheetView>
  </sheetViews>
  <sheetFormatPr defaultRowHeight="14.4" x14ac:dyDescent="0.3"/>
  <cols>
    <col min="1" max="1" width="1.6640625" customWidth="1"/>
    <col min="2" max="2" width="3.6640625" customWidth="1"/>
    <col min="3" max="3" width="32.44140625" customWidth="1"/>
    <col min="4" max="4" width="6.44140625" customWidth="1"/>
    <col min="5" max="10" width="5.109375" customWidth="1"/>
    <col min="11" max="11" width="12.44140625" customWidth="1"/>
    <col min="12" max="17" width="5.109375" customWidth="1"/>
    <col min="18" max="18" width="11.88671875" customWidth="1"/>
    <col min="19" max="24" width="5.109375" customWidth="1"/>
    <col min="25" max="25" width="6" customWidth="1"/>
    <col min="26" max="26" width="13" customWidth="1"/>
    <col min="27" max="27" width="3.44140625" customWidth="1"/>
    <col min="28" max="28" width="5" customWidth="1"/>
  </cols>
  <sheetData>
    <row r="1" spans="1:31" ht="30" customHeight="1" x14ac:dyDescent="0.3">
      <c r="A1" s="310" t="s">
        <v>36</v>
      </c>
      <c r="B1" s="310"/>
      <c r="C1" s="310"/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 spans="1:31" ht="30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31" ht="12" customHeight="1" x14ac:dyDescent="0.3">
      <c r="B3" s="313"/>
      <c r="C3" s="313"/>
      <c r="D3" s="2"/>
      <c r="E3" s="2"/>
      <c r="F3" s="2"/>
      <c r="G3" s="2"/>
      <c r="H3" s="2"/>
      <c r="I3" s="311" t="s">
        <v>93</v>
      </c>
      <c r="J3" s="314"/>
      <c r="K3" s="314"/>
      <c r="L3" s="314"/>
      <c r="M3" s="314"/>
      <c r="N3" s="2"/>
      <c r="O3" s="2"/>
      <c r="P3" s="2"/>
      <c r="Q3" s="2"/>
      <c r="R3" s="2"/>
      <c r="S3" s="2"/>
      <c r="T3" s="2"/>
      <c r="U3" s="2"/>
      <c r="V3" s="315"/>
      <c r="W3" s="315"/>
      <c r="X3" s="315"/>
      <c r="Y3" s="315"/>
      <c r="Z3" s="315"/>
    </row>
    <row r="4" spans="1:31" ht="17.399999999999999" customHeight="1" x14ac:dyDescent="0.3">
      <c r="B4" s="311" t="s">
        <v>34</v>
      </c>
      <c r="C4" s="311"/>
      <c r="D4" s="34"/>
      <c r="F4" s="10"/>
      <c r="G4" s="10"/>
      <c r="H4" s="10"/>
      <c r="I4" s="94" t="s">
        <v>82</v>
      </c>
      <c r="J4" s="94"/>
      <c r="K4" s="94"/>
      <c r="L4" s="94"/>
      <c r="M4" s="94"/>
      <c r="N4" s="94"/>
      <c r="O4" s="94"/>
      <c r="P4" s="94"/>
      <c r="Q4" s="94"/>
      <c r="R4" s="34"/>
      <c r="V4" s="317" t="s">
        <v>94</v>
      </c>
      <c r="W4" s="317"/>
      <c r="X4" s="317"/>
      <c r="Y4" s="317"/>
      <c r="Z4" s="317"/>
    </row>
    <row r="5" spans="1:31" ht="18" customHeight="1" x14ac:dyDescent="0.3">
      <c r="B5" s="311" t="s">
        <v>33</v>
      </c>
      <c r="C5" s="311"/>
      <c r="D5" s="34"/>
      <c r="E5" s="312" t="s">
        <v>83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V5" s="316" t="s">
        <v>32</v>
      </c>
      <c r="W5" s="316"/>
      <c r="X5" s="316"/>
      <c r="Y5" s="316"/>
      <c r="Z5" s="316"/>
    </row>
    <row r="6" spans="1:31" ht="34.5" customHeight="1" thickBot="1" x14ac:dyDescent="1.05">
      <c r="B6" s="283" t="s">
        <v>29</v>
      </c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5"/>
    </row>
    <row r="7" spans="1:31" ht="19.5" customHeight="1" thickTop="1" x14ac:dyDescent="0.3">
      <c r="B7" s="303" t="s">
        <v>21</v>
      </c>
      <c r="C7" s="305" t="s">
        <v>6</v>
      </c>
      <c r="D7" s="19" t="s">
        <v>25</v>
      </c>
      <c r="E7" s="307" t="s">
        <v>22</v>
      </c>
      <c r="F7" s="308"/>
      <c r="G7" s="308"/>
      <c r="H7" s="308"/>
      <c r="I7" s="308"/>
      <c r="J7" s="309"/>
      <c r="K7" s="291" t="s">
        <v>8</v>
      </c>
      <c r="L7" s="307" t="s">
        <v>23</v>
      </c>
      <c r="M7" s="308"/>
      <c r="N7" s="308"/>
      <c r="O7" s="308"/>
      <c r="P7" s="308"/>
      <c r="Q7" s="309"/>
      <c r="R7" s="291" t="s">
        <v>8</v>
      </c>
      <c r="S7" s="307" t="s">
        <v>24</v>
      </c>
      <c r="T7" s="308"/>
      <c r="U7" s="308"/>
      <c r="V7" s="308"/>
      <c r="W7" s="308"/>
      <c r="X7" s="309"/>
      <c r="Y7" s="300" t="s">
        <v>7</v>
      </c>
      <c r="Z7" s="291" t="s">
        <v>8</v>
      </c>
      <c r="AA7" s="27" t="s">
        <v>0</v>
      </c>
      <c r="AB7" s="27" t="s">
        <v>1</v>
      </c>
      <c r="AC7" s="28" t="s">
        <v>2</v>
      </c>
      <c r="AD7" s="29" t="s">
        <v>3</v>
      </c>
      <c r="AE7" s="29" t="s">
        <v>27</v>
      </c>
    </row>
    <row r="8" spans="1:31" ht="20.25" customHeight="1" thickBot="1" x14ac:dyDescent="0.35">
      <c r="B8" s="304"/>
      <c r="C8" s="306"/>
      <c r="D8" s="20" t="s">
        <v>26</v>
      </c>
      <c r="E8" s="16" t="s">
        <v>9</v>
      </c>
      <c r="F8" s="15" t="s">
        <v>10</v>
      </c>
      <c r="G8" s="15" t="s">
        <v>19</v>
      </c>
      <c r="H8" s="15" t="s">
        <v>11</v>
      </c>
      <c r="I8" s="15" t="s">
        <v>20</v>
      </c>
      <c r="J8" s="17" t="s">
        <v>12</v>
      </c>
      <c r="K8" s="292"/>
      <c r="L8" s="16" t="s">
        <v>9</v>
      </c>
      <c r="M8" s="15" t="s">
        <v>10</v>
      </c>
      <c r="N8" s="15" t="s">
        <v>19</v>
      </c>
      <c r="O8" s="15" t="s">
        <v>11</v>
      </c>
      <c r="P8" s="15" t="s">
        <v>20</v>
      </c>
      <c r="Q8" s="17" t="s">
        <v>13</v>
      </c>
      <c r="R8" s="292"/>
      <c r="S8" s="16" t="s">
        <v>9</v>
      </c>
      <c r="T8" s="15" t="s">
        <v>10</v>
      </c>
      <c r="U8" s="15" t="s">
        <v>19</v>
      </c>
      <c r="V8" s="15" t="s">
        <v>11</v>
      </c>
      <c r="W8" s="15" t="s">
        <v>20</v>
      </c>
      <c r="X8" s="17" t="s">
        <v>14</v>
      </c>
      <c r="Y8" s="301"/>
      <c r="Z8" s="292"/>
      <c r="AA8" s="297">
        <f>COUNTIF(Z9:Z58,"M")</f>
        <v>0</v>
      </c>
      <c r="AB8" s="297">
        <f>COUNTIF(Z9:Z58,"F")</f>
        <v>0</v>
      </c>
      <c r="AC8" s="286">
        <f>COUNTIF(Z9:Z58,"TRANSITA")</f>
        <v>2</v>
      </c>
      <c r="AD8" s="287">
        <f>COUNTIF(Z9:Z58,"N/TRANSITA")</f>
        <v>42</v>
      </c>
      <c r="AE8" s="287">
        <f>COUNTIF(Z9:Z58,"E.E.F")</f>
        <v>0</v>
      </c>
    </row>
    <row r="9" spans="1:31" ht="14.25" customHeight="1" thickTop="1" x14ac:dyDescent="0.3">
      <c r="B9" s="30">
        <v>1</v>
      </c>
      <c r="C9" s="176" t="s">
        <v>95</v>
      </c>
      <c r="D9" s="99"/>
      <c r="E9" s="155">
        <v>14</v>
      </c>
      <c r="F9" s="143">
        <v>15</v>
      </c>
      <c r="G9" s="143"/>
      <c r="H9" s="143">
        <v>12</v>
      </c>
      <c r="I9" s="143"/>
      <c r="J9" s="100">
        <f>AVERAGE(E9,MAX(F9:G9),MAX(H9:I9))</f>
        <v>13.666666666666666</v>
      </c>
      <c r="K9" s="101" t="str">
        <f>IF(J9&gt;=10,"TRANSITA","N/TRANSITA")</f>
        <v>TRANSITA</v>
      </c>
      <c r="L9" s="155">
        <v>14</v>
      </c>
      <c r="M9" s="143">
        <v>12</v>
      </c>
      <c r="N9" s="143"/>
      <c r="O9" s="143">
        <v>15</v>
      </c>
      <c r="P9" s="143"/>
      <c r="Q9" s="100">
        <f>AVERAGE(L9,MAX(M9:N9),MAX(O9:P9))</f>
        <v>13.666666666666666</v>
      </c>
      <c r="R9" s="101" t="str">
        <f>IF(Q9&gt;=10,"TRANSITA","N/TRANSITA")</f>
        <v>TRANSITA</v>
      </c>
      <c r="S9" s="155"/>
      <c r="T9" s="143"/>
      <c r="U9" s="143"/>
      <c r="V9" s="143"/>
      <c r="W9" s="143"/>
      <c r="X9" s="100">
        <f>AVERAGE(S9,MAX(T9:U9),MAX(V9:W9))</f>
        <v>0</v>
      </c>
      <c r="Y9" s="102">
        <f t="shared" ref="Y9:Y31" si="0">SUM(J9,Q9,X9)/3</f>
        <v>9.1111111111111107</v>
      </c>
      <c r="Z9" s="101" t="str">
        <f>IF(Y9&gt;=10,"TRANSITA","N/TRANSITA")</f>
        <v>N/TRANSITA</v>
      </c>
      <c r="AA9" s="298"/>
      <c r="AB9" s="299"/>
      <c r="AC9" s="286"/>
      <c r="AD9" s="287"/>
      <c r="AE9" s="287"/>
    </row>
    <row r="10" spans="1:31" ht="14.25" customHeight="1" x14ac:dyDescent="0.3">
      <c r="B10" s="31">
        <v>2</v>
      </c>
      <c r="C10" s="177" t="s">
        <v>96</v>
      </c>
      <c r="D10" s="103"/>
      <c r="E10" s="156">
        <v>15</v>
      </c>
      <c r="F10" s="140">
        <v>15</v>
      </c>
      <c r="G10" s="140"/>
      <c r="H10" s="140">
        <v>17</v>
      </c>
      <c r="I10" s="140"/>
      <c r="J10" s="104">
        <f>AVERAGE(E10,MAX(F10:G10),MAX(H10:I10))</f>
        <v>15.666666666666666</v>
      </c>
      <c r="K10" s="105" t="str">
        <f t="shared" ref="K10:K52" si="1">IF(J10&gt;=10,"TRANSITA","N/TRANSITA")</f>
        <v>TRANSITA</v>
      </c>
      <c r="L10" s="156">
        <v>12</v>
      </c>
      <c r="M10" s="140">
        <v>10</v>
      </c>
      <c r="N10" s="140"/>
      <c r="O10" s="140">
        <v>16</v>
      </c>
      <c r="P10" s="140"/>
      <c r="Q10" s="104">
        <f>AVERAGE(L10,MAX(M10:N10),MAX(O10:P10))</f>
        <v>12.666666666666666</v>
      </c>
      <c r="R10" s="105" t="str">
        <f t="shared" ref="R10:R52" si="2">IF(Q10&gt;=10,"TRANSITA","N/TRANSITA")</f>
        <v>TRANSITA</v>
      </c>
      <c r="S10" s="156"/>
      <c r="T10" s="140"/>
      <c r="U10" s="140"/>
      <c r="V10" s="140"/>
      <c r="W10" s="140"/>
      <c r="X10" s="104">
        <f>AVERAGE(S10,MAX(T10:U10),MAX(V10:W10))</f>
        <v>0</v>
      </c>
      <c r="Y10" s="106">
        <f t="shared" si="0"/>
        <v>9.4444444444444446</v>
      </c>
      <c r="Z10" s="105" t="str">
        <f t="shared" ref="Z10:Z52" si="3">IF(Y10&gt;=10,"TRANSITA","N/TRANSITA")</f>
        <v>N/TRANSITA</v>
      </c>
      <c r="AA10" s="293">
        <f>SUM(AA8:AB9)</f>
        <v>0</v>
      </c>
      <c r="AB10" s="294"/>
      <c r="AC10" s="3"/>
      <c r="AD10" s="3"/>
    </row>
    <row r="11" spans="1:31" ht="14.25" customHeight="1" x14ac:dyDescent="0.3">
      <c r="B11" s="31">
        <v>3</v>
      </c>
      <c r="C11" s="177" t="s">
        <v>97</v>
      </c>
      <c r="D11" s="103"/>
      <c r="E11" s="156">
        <v>10</v>
      </c>
      <c r="F11" s="140">
        <v>11</v>
      </c>
      <c r="G11" s="140"/>
      <c r="H11" s="140">
        <v>12.5</v>
      </c>
      <c r="I11" s="140"/>
      <c r="J11" s="104">
        <f t="shared" ref="J11:J52" si="4">AVERAGE(E11,MAX(F11:G11),MAX(H11:I11))</f>
        <v>11.166666666666666</v>
      </c>
      <c r="K11" s="105" t="str">
        <f t="shared" si="1"/>
        <v>TRANSITA</v>
      </c>
      <c r="L11" s="156">
        <v>10</v>
      </c>
      <c r="M11" s="140">
        <v>9</v>
      </c>
      <c r="N11" s="140"/>
      <c r="O11" s="140">
        <v>14</v>
      </c>
      <c r="P11" s="140"/>
      <c r="Q11" s="104">
        <f t="shared" ref="Q11:Q52" si="5">AVERAGE(L11,MAX(M11:N11),MAX(O11:P11))</f>
        <v>11</v>
      </c>
      <c r="R11" s="105" t="str">
        <f t="shared" si="2"/>
        <v>TRANSITA</v>
      </c>
      <c r="S11" s="156"/>
      <c r="T11" s="140"/>
      <c r="U11" s="140"/>
      <c r="V11" s="140"/>
      <c r="W11" s="140"/>
      <c r="X11" s="104">
        <f t="shared" ref="X11:X52" si="6">AVERAGE(S11,MAX(T11:U11),MAX(V11:W11))</f>
        <v>0</v>
      </c>
      <c r="Y11" s="106">
        <f t="shared" si="0"/>
        <v>7.3888888888888884</v>
      </c>
      <c r="Z11" s="105" t="str">
        <f t="shared" si="3"/>
        <v>N/TRANSITA</v>
      </c>
      <c r="AA11" s="295"/>
      <c r="AB11" s="296"/>
      <c r="AC11" s="3"/>
      <c r="AD11" s="3"/>
    </row>
    <row r="12" spans="1:31" ht="14.25" customHeight="1" x14ac:dyDescent="0.3">
      <c r="B12" s="31">
        <v>4</v>
      </c>
      <c r="C12" s="177" t="s">
        <v>98</v>
      </c>
      <c r="D12" s="103"/>
      <c r="E12" s="156">
        <v>13</v>
      </c>
      <c r="F12" s="140">
        <v>14</v>
      </c>
      <c r="G12" s="140"/>
      <c r="H12" s="140">
        <v>13</v>
      </c>
      <c r="I12" s="140"/>
      <c r="J12" s="104">
        <f t="shared" si="4"/>
        <v>13.333333333333334</v>
      </c>
      <c r="K12" s="105" t="str">
        <f t="shared" si="1"/>
        <v>TRANSITA</v>
      </c>
      <c r="L12" s="156">
        <v>18</v>
      </c>
      <c r="M12" s="140">
        <v>15</v>
      </c>
      <c r="N12" s="140"/>
      <c r="O12" s="140">
        <v>16</v>
      </c>
      <c r="P12" s="140"/>
      <c r="Q12" s="104">
        <f t="shared" si="5"/>
        <v>16.333333333333332</v>
      </c>
      <c r="R12" s="105" t="str">
        <f t="shared" si="2"/>
        <v>TRANSITA</v>
      </c>
      <c r="S12" s="156"/>
      <c r="T12" s="140"/>
      <c r="U12" s="140"/>
      <c r="V12" s="140"/>
      <c r="W12" s="140"/>
      <c r="X12" s="104">
        <f t="shared" si="6"/>
        <v>0</v>
      </c>
      <c r="Y12" s="106">
        <f t="shared" si="0"/>
        <v>9.8888888888888875</v>
      </c>
      <c r="Z12" s="105" t="str">
        <f t="shared" si="3"/>
        <v>N/TRANSITA</v>
      </c>
      <c r="AA12" s="2"/>
      <c r="AB12" s="2"/>
      <c r="AC12" s="2"/>
    </row>
    <row r="13" spans="1:31" ht="14.25" customHeight="1" x14ac:dyDescent="0.3">
      <c r="B13" s="31">
        <v>5</v>
      </c>
      <c r="C13" s="177" t="s">
        <v>99</v>
      </c>
      <c r="D13" s="103"/>
      <c r="E13" s="156">
        <v>14</v>
      </c>
      <c r="F13" s="140">
        <v>9</v>
      </c>
      <c r="G13" s="140"/>
      <c r="H13" s="140">
        <v>7</v>
      </c>
      <c r="I13" s="140"/>
      <c r="J13" s="104">
        <f t="shared" si="4"/>
        <v>10</v>
      </c>
      <c r="K13" s="105" t="str">
        <f t="shared" si="1"/>
        <v>TRANSITA</v>
      </c>
      <c r="L13" s="156">
        <v>12</v>
      </c>
      <c r="M13" s="140">
        <v>12</v>
      </c>
      <c r="N13" s="140"/>
      <c r="O13" s="140">
        <v>9</v>
      </c>
      <c r="P13" s="140"/>
      <c r="Q13" s="104">
        <f t="shared" si="5"/>
        <v>11</v>
      </c>
      <c r="R13" s="105" t="str">
        <f t="shared" si="2"/>
        <v>TRANSITA</v>
      </c>
      <c r="S13" s="156"/>
      <c r="T13" s="140"/>
      <c r="U13" s="140"/>
      <c r="V13" s="140"/>
      <c r="W13" s="140"/>
      <c r="X13" s="104">
        <f t="shared" si="6"/>
        <v>0</v>
      </c>
      <c r="Y13" s="106">
        <f t="shared" si="0"/>
        <v>7</v>
      </c>
      <c r="Z13" s="105" t="str">
        <f t="shared" si="3"/>
        <v>N/TRANSITA</v>
      </c>
    </row>
    <row r="14" spans="1:31" ht="14.25" customHeight="1" x14ac:dyDescent="0.3">
      <c r="B14" s="31">
        <v>6</v>
      </c>
      <c r="C14" s="177" t="s">
        <v>100</v>
      </c>
      <c r="D14" s="103"/>
      <c r="E14" s="156">
        <v>5</v>
      </c>
      <c r="F14" s="140">
        <v>7</v>
      </c>
      <c r="G14" s="140"/>
      <c r="H14" s="140">
        <v>13.5</v>
      </c>
      <c r="I14" s="140"/>
      <c r="J14" s="104">
        <f t="shared" si="4"/>
        <v>8.5</v>
      </c>
      <c r="K14" s="105" t="str">
        <f t="shared" si="1"/>
        <v>N/TRANSITA</v>
      </c>
      <c r="L14" s="156">
        <v>14</v>
      </c>
      <c r="M14" s="140">
        <v>10</v>
      </c>
      <c r="N14" s="140"/>
      <c r="O14" s="140">
        <v>7</v>
      </c>
      <c r="P14" s="140"/>
      <c r="Q14" s="104">
        <f t="shared" si="5"/>
        <v>10.333333333333334</v>
      </c>
      <c r="R14" s="105" t="str">
        <f t="shared" si="2"/>
        <v>TRANSITA</v>
      </c>
      <c r="S14" s="156"/>
      <c r="T14" s="140"/>
      <c r="U14" s="140"/>
      <c r="V14" s="140"/>
      <c r="W14" s="140"/>
      <c r="X14" s="104">
        <f t="shared" si="6"/>
        <v>0</v>
      </c>
      <c r="Y14" s="106">
        <f t="shared" si="0"/>
        <v>6.2777777777777786</v>
      </c>
      <c r="Z14" s="105" t="str">
        <f t="shared" si="3"/>
        <v>N/TRANSITA</v>
      </c>
    </row>
    <row r="15" spans="1:31" ht="14.25" customHeight="1" x14ac:dyDescent="0.3">
      <c r="B15" s="31">
        <v>7</v>
      </c>
      <c r="C15" s="177" t="s">
        <v>101</v>
      </c>
      <c r="D15" s="103"/>
      <c r="E15" s="156">
        <v>12</v>
      </c>
      <c r="F15" s="140">
        <v>10</v>
      </c>
      <c r="G15" s="140"/>
      <c r="H15" s="140">
        <v>16.5</v>
      </c>
      <c r="I15" s="140"/>
      <c r="J15" s="104">
        <f t="shared" si="4"/>
        <v>12.833333333333334</v>
      </c>
      <c r="K15" s="105" t="str">
        <f t="shared" si="1"/>
        <v>TRANSITA</v>
      </c>
      <c r="L15" s="156">
        <v>13</v>
      </c>
      <c r="M15" s="140">
        <v>9</v>
      </c>
      <c r="N15" s="140"/>
      <c r="O15" s="140">
        <v>14</v>
      </c>
      <c r="P15" s="140"/>
      <c r="Q15" s="104">
        <f t="shared" si="5"/>
        <v>12</v>
      </c>
      <c r="R15" s="105" t="str">
        <f t="shared" si="2"/>
        <v>TRANSITA</v>
      </c>
      <c r="S15" s="156"/>
      <c r="T15" s="140"/>
      <c r="U15" s="140"/>
      <c r="V15" s="140"/>
      <c r="W15" s="140"/>
      <c r="X15" s="104">
        <f t="shared" si="6"/>
        <v>0</v>
      </c>
      <c r="Y15" s="106">
        <f t="shared" si="0"/>
        <v>8.2777777777777786</v>
      </c>
      <c r="Z15" s="105" t="str">
        <f t="shared" si="3"/>
        <v>N/TRANSITA</v>
      </c>
    </row>
    <row r="16" spans="1:31" ht="14.25" customHeight="1" x14ac:dyDescent="0.3">
      <c r="B16" s="31">
        <v>8</v>
      </c>
      <c r="C16" s="177" t="s">
        <v>102</v>
      </c>
      <c r="D16" s="103"/>
      <c r="E16" s="156">
        <v>10</v>
      </c>
      <c r="F16" s="140">
        <v>6</v>
      </c>
      <c r="G16" s="140"/>
      <c r="H16" s="140">
        <v>16</v>
      </c>
      <c r="I16" s="140"/>
      <c r="J16" s="104">
        <f t="shared" si="4"/>
        <v>10.666666666666666</v>
      </c>
      <c r="K16" s="105" t="str">
        <f t="shared" si="1"/>
        <v>TRANSITA</v>
      </c>
      <c r="L16" s="156">
        <v>13</v>
      </c>
      <c r="M16" s="140">
        <v>14</v>
      </c>
      <c r="N16" s="140"/>
      <c r="O16" s="140">
        <v>3</v>
      </c>
      <c r="P16" s="140"/>
      <c r="Q16" s="104">
        <f t="shared" si="5"/>
        <v>10</v>
      </c>
      <c r="R16" s="105" t="str">
        <f t="shared" si="2"/>
        <v>TRANSITA</v>
      </c>
      <c r="S16" s="156"/>
      <c r="T16" s="140"/>
      <c r="U16" s="140"/>
      <c r="V16" s="140"/>
      <c r="W16" s="140"/>
      <c r="X16" s="104">
        <f t="shared" si="6"/>
        <v>0</v>
      </c>
      <c r="Y16" s="106">
        <f t="shared" si="0"/>
        <v>6.8888888888888884</v>
      </c>
      <c r="Z16" s="105" t="str">
        <f t="shared" si="3"/>
        <v>N/TRANSITA</v>
      </c>
    </row>
    <row r="17" spans="2:26" ht="14.25" customHeight="1" x14ac:dyDescent="0.3">
      <c r="B17" s="31">
        <v>9</v>
      </c>
      <c r="C17" s="177" t="s">
        <v>103</v>
      </c>
      <c r="D17" s="103"/>
      <c r="E17" s="156">
        <v>8</v>
      </c>
      <c r="F17" s="140">
        <v>8</v>
      </c>
      <c r="G17" s="140"/>
      <c r="H17" s="140">
        <v>16</v>
      </c>
      <c r="I17" s="140"/>
      <c r="J17" s="104">
        <f t="shared" si="4"/>
        <v>10.666666666666666</v>
      </c>
      <c r="K17" s="105" t="str">
        <f t="shared" si="1"/>
        <v>TRANSITA</v>
      </c>
      <c r="L17" s="156">
        <v>10</v>
      </c>
      <c r="M17" s="140">
        <v>10</v>
      </c>
      <c r="N17" s="140"/>
      <c r="O17" s="140">
        <v>8</v>
      </c>
      <c r="P17" s="140"/>
      <c r="Q17" s="104">
        <f t="shared" si="5"/>
        <v>9.3333333333333339</v>
      </c>
      <c r="R17" s="105" t="str">
        <f t="shared" si="2"/>
        <v>N/TRANSITA</v>
      </c>
      <c r="S17" s="156"/>
      <c r="T17" s="140"/>
      <c r="U17" s="140"/>
      <c r="V17" s="140"/>
      <c r="W17" s="140"/>
      <c r="X17" s="104">
        <f t="shared" si="6"/>
        <v>0</v>
      </c>
      <c r="Y17" s="106">
        <f t="shared" si="0"/>
        <v>6.666666666666667</v>
      </c>
      <c r="Z17" s="105" t="str">
        <f t="shared" si="3"/>
        <v>N/TRANSITA</v>
      </c>
    </row>
    <row r="18" spans="2:26" ht="14.25" customHeight="1" x14ac:dyDescent="0.3">
      <c r="B18" s="31">
        <v>10</v>
      </c>
      <c r="C18" s="177" t="s">
        <v>104</v>
      </c>
      <c r="D18" s="103"/>
      <c r="E18" s="156">
        <v>14</v>
      </c>
      <c r="F18" s="140">
        <v>13</v>
      </c>
      <c r="G18" s="140"/>
      <c r="H18" s="140">
        <v>10.5</v>
      </c>
      <c r="I18" s="140"/>
      <c r="J18" s="104">
        <f t="shared" si="4"/>
        <v>12.5</v>
      </c>
      <c r="K18" s="105" t="str">
        <f t="shared" si="1"/>
        <v>TRANSITA</v>
      </c>
      <c r="L18" s="156">
        <v>10</v>
      </c>
      <c r="M18" s="140">
        <v>10</v>
      </c>
      <c r="N18" s="140"/>
      <c r="O18" s="140">
        <v>10</v>
      </c>
      <c r="P18" s="140"/>
      <c r="Q18" s="104">
        <f t="shared" si="5"/>
        <v>10</v>
      </c>
      <c r="R18" s="105" t="str">
        <f t="shared" si="2"/>
        <v>TRANSITA</v>
      </c>
      <c r="S18" s="156"/>
      <c r="T18" s="140"/>
      <c r="U18" s="140"/>
      <c r="V18" s="140"/>
      <c r="W18" s="140"/>
      <c r="X18" s="104">
        <f t="shared" si="6"/>
        <v>0</v>
      </c>
      <c r="Y18" s="106">
        <f t="shared" si="0"/>
        <v>7.5</v>
      </c>
      <c r="Z18" s="105" t="str">
        <f t="shared" si="3"/>
        <v>N/TRANSITA</v>
      </c>
    </row>
    <row r="19" spans="2:26" ht="14.25" customHeight="1" x14ac:dyDescent="0.3">
      <c r="B19" s="31">
        <v>11</v>
      </c>
      <c r="C19" s="177" t="s">
        <v>105</v>
      </c>
      <c r="D19" s="103"/>
      <c r="E19" s="156">
        <v>10</v>
      </c>
      <c r="F19" s="140">
        <v>5</v>
      </c>
      <c r="G19" s="140"/>
      <c r="H19" s="140">
        <v>13</v>
      </c>
      <c r="I19" s="140"/>
      <c r="J19" s="104">
        <f t="shared" si="4"/>
        <v>9.3333333333333339</v>
      </c>
      <c r="K19" s="105" t="str">
        <f t="shared" si="1"/>
        <v>N/TRANSITA</v>
      </c>
      <c r="L19" s="156">
        <v>12</v>
      </c>
      <c r="M19" s="140">
        <v>14</v>
      </c>
      <c r="N19" s="140"/>
      <c r="O19" s="140">
        <v>10</v>
      </c>
      <c r="P19" s="140"/>
      <c r="Q19" s="104">
        <f t="shared" si="5"/>
        <v>12</v>
      </c>
      <c r="R19" s="105" t="str">
        <f t="shared" si="2"/>
        <v>TRANSITA</v>
      </c>
      <c r="S19" s="156"/>
      <c r="T19" s="140"/>
      <c r="U19" s="140"/>
      <c r="V19" s="140"/>
      <c r="W19" s="140"/>
      <c r="X19" s="104">
        <f t="shared" si="6"/>
        <v>0</v>
      </c>
      <c r="Y19" s="106">
        <f t="shared" si="0"/>
        <v>7.1111111111111116</v>
      </c>
      <c r="Z19" s="105" t="str">
        <f t="shared" si="3"/>
        <v>N/TRANSITA</v>
      </c>
    </row>
    <row r="20" spans="2:26" ht="14.25" customHeight="1" x14ac:dyDescent="0.3">
      <c r="B20" s="31">
        <v>12</v>
      </c>
      <c r="C20" s="177" t="s">
        <v>106</v>
      </c>
      <c r="D20" s="103"/>
      <c r="E20" s="156">
        <v>11</v>
      </c>
      <c r="F20" s="140">
        <v>13</v>
      </c>
      <c r="G20" s="140"/>
      <c r="H20" s="140">
        <v>15.5</v>
      </c>
      <c r="I20" s="140"/>
      <c r="J20" s="104">
        <f t="shared" si="4"/>
        <v>13.166666666666666</v>
      </c>
      <c r="K20" s="105" t="str">
        <f t="shared" si="1"/>
        <v>TRANSITA</v>
      </c>
      <c r="L20" s="156">
        <v>15</v>
      </c>
      <c r="M20" s="140">
        <v>15</v>
      </c>
      <c r="N20" s="140"/>
      <c r="O20" s="140">
        <v>17</v>
      </c>
      <c r="P20" s="140"/>
      <c r="Q20" s="104">
        <f t="shared" si="5"/>
        <v>15.666666666666666</v>
      </c>
      <c r="R20" s="105" t="str">
        <f t="shared" si="2"/>
        <v>TRANSITA</v>
      </c>
      <c r="S20" s="156"/>
      <c r="T20" s="140"/>
      <c r="U20" s="140"/>
      <c r="V20" s="140"/>
      <c r="W20" s="140"/>
      <c r="X20" s="104">
        <f t="shared" si="6"/>
        <v>0</v>
      </c>
      <c r="Y20" s="106">
        <f t="shared" si="0"/>
        <v>9.6111111111111107</v>
      </c>
      <c r="Z20" s="105" t="str">
        <f t="shared" si="3"/>
        <v>N/TRANSITA</v>
      </c>
    </row>
    <row r="21" spans="2:26" ht="14.25" customHeight="1" x14ac:dyDescent="0.3">
      <c r="B21" s="31">
        <v>13</v>
      </c>
      <c r="C21" s="177" t="s">
        <v>107</v>
      </c>
      <c r="D21" s="103"/>
      <c r="E21" s="156">
        <v>14</v>
      </c>
      <c r="F21" s="140">
        <v>15</v>
      </c>
      <c r="G21" s="140"/>
      <c r="H21" s="140">
        <v>17</v>
      </c>
      <c r="I21" s="140"/>
      <c r="J21" s="104">
        <f t="shared" si="4"/>
        <v>15.333333333333334</v>
      </c>
      <c r="K21" s="105" t="str">
        <f t="shared" si="1"/>
        <v>TRANSITA</v>
      </c>
      <c r="L21" s="156">
        <v>14</v>
      </c>
      <c r="M21" s="140">
        <v>11</v>
      </c>
      <c r="N21" s="140"/>
      <c r="O21" s="140">
        <v>13</v>
      </c>
      <c r="P21" s="140"/>
      <c r="Q21" s="104">
        <f t="shared" si="5"/>
        <v>12.666666666666666</v>
      </c>
      <c r="R21" s="105" t="str">
        <f t="shared" si="2"/>
        <v>TRANSITA</v>
      </c>
      <c r="S21" s="156"/>
      <c r="T21" s="140"/>
      <c r="U21" s="140"/>
      <c r="V21" s="140"/>
      <c r="W21" s="140"/>
      <c r="X21" s="104">
        <f t="shared" si="6"/>
        <v>0</v>
      </c>
      <c r="Y21" s="106">
        <f t="shared" si="0"/>
        <v>9.3333333333333339</v>
      </c>
      <c r="Z21" s="105" t="str">
        <f t="shared" si="3"/>
        <v>N/TRANSITA</v>
      </c>
    </row>
    <row r="22" spans="2:26" ht="14.25" customHeight="1" x14ac:dyDescent="0.3">
      <c r="B22" s="31">
        <v>14</v>
      </c>
      <c r="C22" s="177" t="s">
        <v>108</v>
      </c>
      <c r="D22" s="103"/>
      <c r="E22" s="156">
        <v>11</v>
      </c>
      <c r="F22" s="140">
        <v>5</v>
      </c>
      <c r="G22" s="140"/>
      <c r="H22" s="140">
        <v>13</v>
      </c>
      <c r="I22" s="140"/>
      <c r="J22" s="104">
        <f t="shared" si="4"/>
        <v>9.6666666666666661</v>
      </c>
      <c r="K22" s="105" t="str">
        <f t="shared" si="1"/>
        <v>N/TRANSITA</v>
      </c>
      <c r="L22" s="156">
        <v>10</v>
      </c>
      <c r="M22" s="140">
        <v>10</v>
      </c>
      <c r="N22" s="140"/>
      <c r="O22" s="140">
        <v>10</v>
      </c>
      <c r="P22" s="140"/>
      <c r="Q22" s="104">
        <f t="shared" si="5"/>
        <v>10</v>
      </c>
      <c r="R22" s="105" t="str">
        <f t="shared" si="2"/>
        <v>TRANSITA</v>
      </c>
      <c r="S22" s="156"/>
      <c r="T22" s="140"/>
      <c r="U22" s="140"/>
      <c r="V22" s="140"/>
      <c r="W22" s="140"/>
      <c r="X22" s="104">
        <f t="shared" si="6"/>
        <v>0</v>
      </c>
      <c r="Y22" s="106">
        <f t="shared" si="0"/>
        <v>6.5555555555555545</v>
      </c>
      <c r="Z22" s="105" t="str">
        <f t="shared" si="3"/>
        <v>N/TRANSITA</v>
      </c>
    </row>
    <row r="23" spans="2:26" ht="14.25" customHeight="1" x14ac:dyDescent="0.3">
      <c r="B23" s="31">
        <v>15</v>
      </c>
      <c r="C23" s="177" t="s">
        <v>109</v>
      </c>
      <c r="D23" s="103"/>
      <c r="E23" s="156">
        <v>5</v>
      </c>
      <c r="F23" s="140">
        <v>4</v>
      </c>
      <c r="G23" s="140"/>
      <c r="H23" s="140">
        <v>9</v>
      </c>
      <c r="I23" s="140"/>
      <c r="J23" s="104">
        <f t="shared" si="4"/>
        <v>6</v>
      </c>
      <c r="K23" s="105" t="str">
        <f t="shared" si="1"/>
        <v>N/TRANSITA</v>
      </c>
      <c r="L23" s="156">
        <v>10</v>
      </c>
      <c r="M23" s="140">
        <v>10</v>
      </c>
      <c r="N23" s="140"/>
      <c r="O23" s="140">
        <v>8</v>
      </c>
      <c r="P23" s="140"/>
      <c r="Q23" s="104">
        <f t="shared" si="5"/>
        <v>9.3333333333333339</v>
      </c>
      <c r="R23" s="105" t="str">
        <f t="shared" si="2"/>
        <v>N/TRANSITA</v>
      </c>
      <c r="S23" s="156"/>
      <c r="T23" s="140"/>
      <c r="U23" s="140"/>
      <c r="V23" s="140"/>
      <c r="W23" s="140"/>
      <c r="X23" s="104">
        <f t="shared" si="6"/>
        <v>0</v>
      </c>
      <c r="Y23" s="106">
        <f t="shared" si="0"/>
        <v>5.1111111111111116</v>
      </c>
      <c r="Z23" s="105" t="str">
        <f t="shared" si="3"/>
        <v>N/TRANSITA</v>
      </c>
    </row>
    <row r="24" spans="2:26" ht="14.25" customHeight="1" x14ac:dyDescent="0.3">
      <c r="B24" s="31">
        <v>16</v>
      </c>
      <c r="C24" s="177" t="s">
        <v>110</v>
      </c>
      <c r="D24" s="103"/>
      <c r="E24" s="156">
        <v>5</v>
      </c>
      <c r="F24" s="140">
        <v>4.5</v>
      </c>
      <c r="G24" s="140"/>
      <c r="H24" s="140">
        <v>16.5</v>
      </c>
      <c r="I24" s="140"/>
      <c r="J24" s="104">
        <f t="shared" si="4"/>
        <v>8.6666666666666661</v>
      </c>
      <c r="K24" s="105" t="str">
        <f t="shared" si="1"/>
        <v>N/TRANSITA</v>
      </c>
      <c r="L24" s="156">
        <v>12</v>
      </c>
      <c r="M24" s="140">
        <v>12</v>
      </c>
      <c r="N24" s="140"/>
      <c r="O24" s="140">
        <v>9</v>
      </c>
      <c r="P24" s="140"/>
      <c r="Q24" s="104">
        <f t="shared" si="5"/>
        <v>11</v>
      </c>
      <c r="R24" s="105" t="str">
        <f t="shared" si="2"/>
        <v>TRANSITA</v>
      </c>
      <c r="S24" s="156"/>
      <c r="T24" s="140"/>
      <c r="U24" s="140"/>
      <c r="V24" s="140"/>
      <c r="W24" s="140"/>
      <c r="X24" s="104">
        <f t="shared" si="6"/>
        <v>0</v>
      </c>
      <c r="Y24" s="106">
        <f t="shared" si="0"/>
        <v>6.5555555555555545</v>
      </c>
      <c r="Z24" s="105" t="str">
        <f t="shared" si="3"/>
        <v>N/TRANSITA</v>
      </c>
    </row>
    <row r="25" spans="2:26" ht="14.25" customHeight="1" x14ac:dyDescent="0.3">
      <c r="B25" s="31">
        <v>17</v>
      </c>
      <c r="C25" s="177" t="s">
        <v>111</v>
      </c>
      <c r="D25" s="103"/>
      <c r="E25" s="156">
        <v>7</v>
      </c>
      <c r="F25" s="140">
        <v>7</v>
      </c>
      <c r="G25" s="140"/>
      <c r="H25" s="140">
        <v>14</v>
      </c>
      <c r="I25" s="140"/>
      <c r="J25" s="104">
        <f t="shared" si="4"/>
        <v>9.3333333333333339</v>
      </c>
      <c r="K25" s="105" t="str">
        <f t="shared" si="1"/>
        <v>N/TRANSITA</v>
      </c>
      <c r="L25" s="156">
        <v>14</v>
      </c>
      <c r="M25" s="140">
        <v>12</v>
      </c>
      <c r="N25" s="140"/>
      <c r="O25" s="140">
        <v>11</v>
      </c>
      <c r="P25" s="140"/>
      <c r="Q25" s="104">
        <f t="shared" si="5"/>
        <v>12.333333333333334</v>
      </c>
      <c r="R25" s="105" t="str">
        <f t="shared" si="2"/>
        <v>TRANSITA</v>
      </c>
      <c r="S25" s="156"/>
      <c r="T25" s="140"/>
      <c r="U25" s="140"/>
      <c r="V25" s="140"/>
      <c r="W25" s="140"/>
      <c r="X25" s="104">
        <f t="shared" si="6"/>
        <v>0</v>
      </c>
      <c r="Y25" s="106">
        <f t="shared" si="0"/>
        <v>7.2222222222222223</v>
      </c>
      <c r="Z25" s="105" t="str">
        <f t="shared" si="3"/>
        <v>N/TRANSITA</v>
      </c>
    </row>
    <row r="26" spans="2:26" ht="14.25" customHeight="1" x14ac:dyDescent="0.3">
      <c r="B26" s="31">
        <v>18</v>
      </c>
      <c r="C26" s="177" t="s">
        <v>112</v>
      </c>
      <c r="D26" s="103"/>
      <c r="E26" s="156">
        <v>12</v>
      </c>
      <c r="F26" s="140">
        <v>10.5</v>
      </c>
      <c r="G26" s="140"/>
      <c r="H26" s="140">
        <v>15</v>
      </c>
      <c r="I26" s="140"/>
      <c r="J26" s="104">
        <f t="shared" si="4"/>
        <v>12.5</v>
      </c>
      <c r="K26" s="105" t="str">
        <f t="shared" si="1"/>
        <v>TRANSITA</v>
      </c>
      <c r="L26" s="156">
        <v>14</v>
      </c>
      <c r="M26" s="140">
        <v>10</v>
      </c>
      <c r="N26" s="140"/>
      <c r="O26" s="140">
        <v>9</v>
      </c>
      <c r="P26" s="140"/>
      <c r="Q26" s="104">
        <f t="shared" si="5"/>
        <v>11</v>
      </c>
      <c r="R26" s="105" t="str">
        <f t="shared" si="2"/>
        <v>TRANSITA</v>
      </c>
      <c r="S26" s="156"/>
      <c r="T26" s="140"/>
      <c r="U26" s="140"/>
      <c r="V26" s="140"/>
      <c r="W26" s="140"/>
      <c r="X26" s="104">
        <f t="shared" si="6"/>
        <v>0</v>
      </c>
      <c r="Y26" s="106">
        <f t="shared" si="0"/>
        <v>7.833333333333333</v>
      </c>
      <c r="Z26" s="105" t="str">
        <f t="shared" si="3"/>
        <v>N/TRANSITA</v>
      </c>
    </row>
    <row r="27" spans="2:26" ht="14.25" customHeight="1" x14ac:dyDescent="0.3">
      <c r="B27" s="31">
        <v>19</v>
      </c>
      <c r="C27" s="177" t="s">
        <v>88</v>
      </c>
      <c r="D27" s="103"/>
      <c r="E27" s="156">
        <v>12</v>
      </c>
      <c r="F27" s="140">
        <v>11</v>
      </c>
      <c r="G27" s="140"/>
      <c r="H27" s="140">
        <v>11</v>
      </c>
      <c r="I27" s="140"/>
      <c r="J27" s="104">
        <f t="shared" si="4"/>
        <v>11.333333333333334</v>
      </c>
      <c r="K27" s="105" t="str">
        <f t="shared" si="1"/>
        <v>TRANSITA</v>
      </c>
      <c r="L27" s="156">
        <v>10</v>
      </c>
      <c r="M27" s="140">
        <v>10</v>
      </c>
      <c r="N27" s="140"/>
      <c r="O27" s="140">
        <v>10</v>
      </c>
      <c r="P27" s="140"/>
      <c r="Q27" s="104">
        <f t="shared" si="5"/>
        <v>10</v>
      </c>
      <c r="R27" s="105" t="str">
        <f t="shared" si="2"/>
        <v>TRANSITA</v>
      </c>
      <c r="S27" s="156"/>
      <c r="T27" s="140"/>
      <c r="U27" s="140"/>
      <c r="V27" s="140"/>
      <c r="W27" s="140"/>
      <c r="X27" s="104">
        <f t="shared" si="6"/>
        <v>0</v>
      </c>
      <c r="Y27" s="106">
        <f t="shared" si="0"/>
        <v>7.1111111111111116</v>
      </c>
      <c r="Z27" s="105" t="str">
        <f t="shared" si="3"/>
        <v>N/TRANSITA</v>
      </c>
    </row>
    <row r="28" spans="2:26" ht="14.25" customHeight="1" x14ac:dyDescent="0.3">
      <c r="B28" s="31">
        <v>20</v>
      </c>
      <c r="C28" s="177" t="s">
        <v>113</v>
      </c>
      <c r="D28" s="103"/>
      <c r="E28" s="156">
        <v>6</v>
      </c>
      <c r="F28" s="140">
        <v>6</v>
      </c>
      <c r="G28" s="140"/>
      <c r="H28" s="140">
        <v>14</v>
      </c>
      <c r="I28" s="140"/>
      <c r="J28" s="104">
        <f t="shared" si="4"/>
        <v>8.6666666666666661</v>
      </c>
      <c r="K28" s="105" t="str">
        <f t="shared" si="1"/>
        <v>N/TRANSITA</v>
      </c>
      <c r="L28" s="156"/>
      <c r="M28" s="140"/>
      <c r="N28" s="140"/>
      <c r="O28" s="140"/>
      <c r="P28" s="140"/>
      <c r="Q28" s="104">
        <f t="shared" si="5"/>
        <v>0</v>
      </c>
      <c r="R28" s="105" t="str">
        <f t="shared" si="2"/>
        <v>N/TRANSITA</v>
      </c>
      <c r="S28" s="156"/>
      <c r="T28" s="140"/>
      <c r="U28" s="140"/>
      <c r="V28" s="140"/>
      <c r="W28" s="140"/>
      <c r="X28" s="104">
        <f t="shared" si="6"/>
        <v>0</v>
      </c>
      <c r="Y28" s="106">
        <f t="shared" si="0"/>
        <v>2.8888888888888888</v>
      </c>
      <c r="Z28" s="105" t="str">
        <f t="shared" si="3"/>
        <v>N/TRANSITA</v>
      </c>
    </row>
    <row r="29" spans="2:26" ht="14.25" customHeight="1" x14ac:dyDescent="0.3">
      <c r="B29" s="31">
        <v>21</v>
      </c>
      <c r="C29" s="95" t="s">
        <v>114</v>
      </c>
      <c r="D29" s="103"/>
      <c r="E29" s="156">
        <v>13</v>
      </c>
      <c r="F29" s="140">
        <v>6</v>
      </c>
      <c r="G29" s="140"/>
      <c r="H29" s="140">
        <v>11</v>
      </c>
      <c r="I29" s="140"/>
      <c r="J29" s="104">
        <f t="shared" si="4"/>
        <v>10</v>
      </c>
      <c r="K29" s="105" t="str">
        <f t="shared" si="1"/>
        <v>TRANSITA</v>
      </c>
      <c r="L29" s="156"/>
      <c r="M29" s="140"/>
      <c r="N29" s="140"/>
      <c r="O29" s="140">
        <v>9</v>
      </c>
      <c r="P29" s="140"/>
      <c r="Q29" s="104">
        <f t="shared" si="5"/>
        <v>4.5</v>
      </c>
      <c r="R29" s="105" t="str">
        <f t="shared" si="2"/>
        <v>N/TRANSITA</v>
      </c>
      <c r="S29" s="156"/>
      <c r="T29" s="140"/>
      <c r="U29" s="140"/>
      <c r="V29" s="140"/>
      <c r="W29" s="140"/>
      <c r="X29" s="104">
        <f t="shared" si="6"/>
        <v>0</v>
      </c>
      <c r="Y29" s="106">
        <f t="shared" si="0"/>
        <v>4.833333333333333</v>
      </c>
      <c r="Z29" s="105" t="str">
        <f t="shared" si="3"/>
        <v>N/TRANSITA</v>
      </c>
    </row>
    <row r="30" spans="2:26" ht="14.25" customHeight="1" x14ac:dyDescent="0.3">
      <c r="B30" s="31">
        <v>22</v>
      </c>
      <c r="C30" s="177" t="s">
        <v>115</v>
      </c>
      <c r="D30" s="103"/>
      <c r="E30" s="156">
        <v>4</v>
      </c>
      <c r="F30" s="140">
        <v>4</v>
      </c>
      <c r="G30" s="140"/>
      <c r="H30" s="140">
        <v>11.5</v>
      </c>
      <c r="I30" s="140"/>
      <c r="J30" s="104">
        <f t="shared" si="4"/>
        <v>6.5</v>
      </c>
      <c r="K30" s="105" t="str">
        <f t="shared" si="1"/>
        <v>N/TRANSITA</v>
      </c>
      <c r="L30" s="156">
        <v>10</v>
      </c>
      <c r="M30" s="140">
        <v>10</v>
      </c>
      <c r="N30" s="140"/>
      <c r="O30" s="140">
        <v>10</v>
      </c>
      <c r="P30" s="140"/>
      <c r="Q30" s="104">
        <f t="shared" si="5"/>
        <v>10</v>
      </c>
      <c r="R30" s="105" t="str">
        <f t="shared" si="2"/>
        <v>TRANSITA</v>
      </c>
      <c r="S30" s="156"/>
      <c r="T30" s="140"/>
      <c r="U30" s="140"/>
      <c r="V30" s="140"/>
      <c r="W30" s="140"/>
      <c r="X30" s="104">
        <f t="shared" si="6"/>
        <v>0</v>
      </c>
      <c r="Y30" s="106">
        <f t="shared" si="0"/>
        <v>5.5</v>
      </c>
      <c r="Z30" s="105" t="str">
        <f t="shared" si="3"/>
        <v>N/TRANSITA</v>
      </c>
    </row>
    <row r="31" spans="2:26" ht="14.25" customHeight="1" x14ac:dyDescent="0.3">
      <c r="B31" s="31">
        <v>23</v>
      </c>
      <c r="C31" s="177" t="s">
        <v>116</v>
      </c>
      <c r="D31" s="103"/>
      <c r="E31" s="156">
        <v>10</v>
      </c>
      <c r="F31" s="140">
        <v>5</v>
      </c>
      <c r="G31" s="140"/>
      <c r="H31" s="140">
        <v>16</v>
      </c>
      <c r="I31" s="140"/>
      <c r="J31" s="104">
        <f t="shared" si="4"/>
        <v>10.333333333333334</v>
      </c>
      <c r="K31" s="105" t="str">
        <f t="shared" si="1"/>
        <v>TRANSITA</v>
      </c>
      <c r="L31" s="156">
        <v>14</v>
      </c>
      <c r="M31" s="140">
        <v>14</v>
      </c>
      <c r="N31" s="140"/>
      <c r="O31" s="140">
        <v>10</v>
      </c>
      <c r="P31" s="140"/>
      <c r="Q31" s="104">
        <f t="shared" si="5"/>
        <v>12.666666666666666</v>
      </c>
      <c r="R31" s="105" t="str">
        <f t="shared" si="2"/>
        <v>TRANSITA</v>
      </c>
      <c r="S31" s="156"/>
      <c r="T31" s="140"/>
      <c r="U31" s="140"/>
      <c r="V31" s="140"/>
      <c r="W31" s="140"/>
      <c r="X31" s="104">
        <f t="shared" si="6"/>
        <v>0</v>
      </c>
      <c r="Y31" s="106">
        <f t="shared" si="0"/>
        <v>7.666666666666667</v>
      </c>
      <c r="Z31" s="105" t="str">
        <f t="shared" si="3"/>
        <v>N/TRANSITA</v>
      </c>
    </row>
    <row r="32" spans="2:26" ht="14.25" customHeight="1" x14ac:dyDescent="0.3">
      <c r="B32" s="31">
        <v>24</v>
      </c>
      <c r="C32" s="177" t="s">
        <v>117</v>
      </c>
      <c r="D32" s="103"/>
      <c r="E32" s="156">
        <v>4</v>
      </c>
      <c r="F32" s="140">
        <v>4</v>
      </c>
      <c r="G32" s="140"/>
      <c r="H32" s="140">
        <v>11.5</v>
      </c>
      <c r="I32" s="140"/>
      <c r="J32" s="104">
        <f t="shared" si="4"/>
        <v>6.5</v>
      </c>
      <c r="K32" s="105" t="str">
        <f t="shared" si="1"/>
        <v>N/TRANSITA</v>
      </c>
      <c r="L32" s="156">
        <v>10</v>
      </c>
      <c r="M32" s="140">
        <v>10</v>
      </c>
      <c r="N32" s="140"/>
      <c r="O32" s="140">
        <v>10</v>
      </c>
      <c r="P32" s="140"/>
      <c r="Q32" s="104">
        <f t="shared" si="5"/>
        <v>10</v>
      </c>
      <c r="R32" s="105" t="str">
        <f t="shared" si="2"/>
        <v>TRANSITA</v>
      </c>
      <c r="S32" s="156"/>
      <c r="T32" s="140"/>
      <c r="U32" s="140"/>
      <c r="V32" s="140"/>
      <c r="W32" s="140"/>
      <c r="X32" s="104">
        <f t="shared" si="6"/>
        <v>0</v>
      </c>
      <c r="Y32" s="106">
        <f>SUM(J32,Q32,X32)/3</f>
        <v>5.5</v>
      </c>
      <c r="Z32" s="105" t="str">
        <f t="shared" si="3"/>
        <v>N/TRANSITA</v>
      </c>
    </row>
    <row r="33" spans="2:26" ht="14.25" customHeight="1" x14ac:dyDescent="0.3">
      <c r="B33" s="31">
        <v>25</v>
      </c>
      <c r="C33" s="177" t="s">
        <v>118</v>
      </c>
      <c r="D33" s="103"/>
      <c r="E33" s="156">
        <v>7</v>
      </c>
      <c r="F33" s="140">
        <v>8</v>
      </c>
      <c r="G33" s="140"/>
      <c r="H33" s="140">
        <v>8.5</v>
      </c>
      <c r="I33" s="140"/>
      <c r="J33" s="104">
        <f t="shared" si="4"/>
        <v>7.833333333333333</v>
      </c>
      <c r="K33" s="105" t="str">
        <f t="shared" si="1"/>
        <v>N/TRANSITA</v>
      </c>
      <c r="L33" s="156">
        <v>12</v>
      </c>
      <c r="M33" s="140">
        <v>10</v>
      </c>
      <c r="N33" s="140"/>
      <c r="O33" s="140">
        <v>9</v>
      </c>
      <c r="P33" s="140"/>
      <c r="Q33" s="104">
        <f t="shared" si="5"/>
        <v>10.333333333333334</v>
      </c>
      <c r="R33" s="105" t="str">
        <f t="shared" si="2"/>
        <v>TRANSITA</v>
      </c>
      <c r="S33" s="156"/>
      <c r="T33" s="140"/>
      <c r="U33" s="140"/>
      <c r="V33" s="140"/>
      <c r="W33" s="140"/>
      <c r="X33" s="104">
        <f t="shared" si="6"/>
        <v>0</v>
      </c>
      <c r="Y33" s="106">
        <f>SUM(J33,Q33,X33)/3</f>
        <v>6.0555555555555562</v>
      </c>
      <c r="Z33" s="105" t="str">
        <f t="shared" si="3"/>
        <v>N/TRANSITA</v>
      </c>
    </row>
    <row r="34" spans="2:26" ht="14.25" customHeight="1" x14ac:dyDescent="0.3">
      <c r="B34" s="31">
        <v>26</v>
      </c>
      <c r="C34" s="177" t="s">
        <v>119</v>
      </c>
      <c r="D34" s="103"/>
      <c r="E34" s="156">
        <v>14</v>
      </c>
      <c r="F34" s="140">
        <v>15</v>
      </c>
      <c r="G34" s="140"/>
      <c r="H34" s="140">
        <v>14.5</v>
      </c>
      <c r="I34" s="140"/>
      <c r="J34" s="104">
        <f t="shared" si="4"/>
        <v>14.5</v>
      </c>
      <c r="K34" s="105" t="str">
        <f t="shared" si="1"/>
        <v>TRANSITA</v>
      </c>
      <c r="L34" s="156">
        <v>10</v>
      </c>
      <c r="M34" s="140">
        <v>10</v>
      </c>
      <c r="N34" s="140"/>
      <c r="O34" s="140">
        <v>10</v>
      </c>
      <c r="P34" s="140"/>
      <c r="Q34" s="104">
        <f t="shared" si="5"/>
        <v>10</v>
      </c>
      <c r="R34" s="105" t="str">
        <f t="shared" si="2"/>
        <v>TRANSITA</v>
      </c>
      <c r="S34" s="156"/>
      <c r="T34" s="140"/>
      <c r="U34" s="140"/>
      <c r="V34" s="140"/>
      <c r="W34" s="140"/>
      <c r="X34" s="104">
        <f t="shared" si="6"/>
        <v>0</v>
      </c>
      <c r="Y34" s="106">
        <f t="shared" ref="Y34:Y48" si="7">SUM(J34,Q34,X34)/3</f>
        <v>8.1666666666666661</v>
      </c>
      <c r="Z34" s="105" t="str">
        <f t="shared" si="3"/>
        <v>N/TRANSITA</v>
      </c>
    </row>
    <row r="35" spans="2:26" ht="14.25" customHeight="1" x14ac:dyDescent="0.3">
      <c r="B35" s="31">
        <v>27</v>
      </c>
      <c r="C35" s="177" t="s">
        <v>120</v>
      </c>
      <c r="D35" s="103"/>
      <c r="E35" s="156">
        <v>6</v>
      </c>
      <c r="F35" s="140">
        <v>8</v>
      </c>
      <c r="G35" s="140"/>
      <c r="H35" s="140">
        <v>15</v>
      </c>
      <c r="I35" s="140"/>
      <c r="J35" s="104">
        <f t="shared" si="4"/>
        <v>9.6666666666666661</v>
      </c>
      <c r="K35" s="105" t="str">
        <f t="shared" si="1"/>
        <v>N/TRANSITA</v>
      </c>
      <c r="L35" s="156">
        <v>10</v>
      </c>
      <c r="M35" s="140">
        <v>10</v>
      </c>
      <c r="N35" s="140"/>
      <c r="O35" s="140">
        <v>10</v>
      </c>
      <c r="P35" s="140"/>
      <c r="Q35" s="104">
        <f t="shared" si="5"/>
        <v>10</v>
      </c>
      <c r="R35" s="105" t="str">
        <f t="shared" si="2"/>
        <v>TRANSITA</v>
      </c>
      <c r="S35" s="156"/>
      <c r="T35" s="140"/>
      <c r="U35" s="140"/>
      <c r="V35" s="140"/>
      <c r="W35" s="140"/>
      <c r="X35" s="104">
        <f t="shared" si="6"/>
        <v>0</v>
      </c>
      <c r="Y35" s="106">
        <f t="shared" si="7"/>
        <v>6.5555555555555545</v>
      </c>
      <c r="Z35" s="105" t="str">
        <f t="shared" si="3"/>
        <v>N/TRANSITA</v>
      </c>
    </row>
    <row r="36" spans="2:26" ht="14.25" customHeight="1" x14ac:dyDescent="0.3">
      <c r="B36" s="31">
        <v>28</v>
      </c>
      <c r="C36" s="177" t="s">
        <v>121</v>
      </c>
      <c r="D36" s="103"/>
      <c r="E36" s="156">
        <v>14</v>
      </c>
      <c r="F36" s="140">
        <v>8</v>
      </c>
      <c r="G36" s="140"/>
      <c r="H36" s="140">
        <v>14.5</v>
      </c>
      <c r="I36" s="140"/>
      <c r="J36" s="104">
        <f t="shared" si="4"/>
        <v>12.166666666666666</v>
      </c>
      <c r="K36" s="105" t="str">
        <f t="shared" si="1"/>
        <v>TRANSITA</v>
      </c>
      <c r="L36" s="156">
        <v>10</v>
      </c>
      <c r="M36" s="140">
        <v>10</v>
      </c>
      <c r="N36" s="140"/>
      <c r="O36" s="140">
        <v>10</v>
      </c>
      <c r="P36" s="140"/>
      <c r="Q36" s="104">
        <f t="shared" si="5"/>
        <v>10</v>
      </c>
      <c r="R36" s="105" t="str">
        <f t="shared" si="2"/>
        <v>TRANSITA</v>
      </c>
      <c r="S36" s="156"/>
      <c r="T36" s="140"/>
      <c r="U36" s="140"/>
      <c r="V36" s="140"/>
      <c r="W36" s="140"/>
      <c r="X36" s="104">
        <f t="shared" si="6"/>
        <v>0</v>
      </c>
      <c r="Y36" s="106">
        <f t="shared" si="7"/>
        <v>7.3888888888888884</v>
      </c>
      <c r="Z36" s="105" t="str">
        <f t="shared" si="3"/>
        <v>N/TRANSITA</v>
      </c>
    </row>
    <row r="37" spans="2:26" ht="14.25" customHeight="1" x14ac:dyDescent="0.3">
      <c r="B37" s="31">
        <v>29</v>
      </c>
      <c r="C37" s="177" t="s">
        <v>122</v>
      </c>
      <c r="D37" s="103"/>
      <c r="E37" s="156">
        <v>16</v>
      </c>
      <c r="F37" s="140">
        <v>18</v>
      </c>
      <c r="G37" s="140"/>
      <c r="H37" s="140">
        <v>17</v>
      </c>
      <c r="I37" s="140"/>
      <c r="J37" s="104">
        <f t="shared" si="4"/>
        <v>17</v>
      </c>
      <c r="K37" s="105" t="str">
        <f t="shared" si="1"/>
        <v>TRANSITA</v>
      </c>
      <c r="L37" s="156">
        <v>12</v>
      </c>
      <c r="M37" s="140">
        <v>16</v>
      </c>
      <c r="N37" s="140"/>
      <c r="O37" s="140">
        <v>18</v>
      </c>
      <c r="P37" s="140"/>
      <c r="Q37" s="104">
        <f t="shared" si="5"/>
        <v>15.333333333333334</v>
      </c>
      <c r="R37" s="105" t="str">
        <f t="shared" si="2"/>
        <v>TRANSITA</v>
      </c>
      <c r="S37" s="156"/>
      <c r="T37" s="140"/>
      <c r="U37" s="140"/>
      <c r="V37" s="140"/>
      <c r="W37" s="140"/>
      <c r="X37" s="104">
        <f t="shared" si="6"/>
        <v>0</v>
      </c>
      <c r="Y37" s="106">
        <f t="shared" si="7"/>
        <v>10.777777777777779</v>
      </c>
      <c r="Z37" s="105" t="str">
        <f t="shared" si="3"/>
        <v>TRANSITA</v>
      </c>
    </row>
    <row r="38" spans="2:26" ht="14.25" customHeight="1" x14ac:dyDescent="0.3">
      <c r="B38" s="31">
        <v>30</v>
      </c>
      <c r="C38" s="177" t="s">
        <v>123</v>
      </c>
      <c r="D38" s="103"/>
      <c r="E38" s="156">
        <v>5</v>
      </c>
      <c r="F38" s="140">
        <v>6</v>
      </c>
      <c r="G38" s="140"/>
      <c r="H38" s="140">
        <v>14.5</v>
      </c>
      <c r="I38" s="140"/>
      <c r="J38" s="104">
        <f t="shared" si="4"/>
        <v>8.5</v>
      </c>
      <c r="K38" s="105" t="str">
        <f t="shared" si="1"/>
        <v>N/TRANSITA</v>
      </c>
      <c r="L38" s="156">
        <v>17</v>
      </c>
      <c r="M38" s="140">
        <v>13</v>
      </c>
      <c r="N38" s="140"/>
      <c r="O38" s="140">
        <v>11</v>
      </c>
      <c r="P38" s="140"/>
      <c r="Q38" s="104">
        <f t="shared" si="5"/>
        <v>13.666666666666666</v>
      </c>
      <c r="R38" s="105" t="str">
        <f t="shared" si="2"/>
        <v>TRANSITA</v>
      </c>
      <c r="S38" s="156"/>
      <c r="T38" s="140"/>
      <c r="U38" s="140"/>
      <c r="V38" s="140"/>
      <c r="W38" s="140"/>
      <c r="X38" s="104">
        <f t="shared" si="6"/>
        <v>0</v>
      </c>
      <c r="Y38" s="106">
        <f t="shared" si="7"/>
        <v>7.3888888888888884</v>
      </c>
      <c r="Z38" s="105" t="str">
        <f t="shared" si="3"/>
        <v>N/TRANSITA</v>
      </c>
    </row>
    <row r="39" spans="2:26" ht="14.25" customHeight="1" x14ac:dyDescent="0.3">
      <c r="B39" s="31">
        <v>31</v>
      </c>
      <c r="C39" s="177" t="s">
        <v>124</v>
      </c>
      <c r="D39" s="103"/>
      <c r="E39" s="156">
        <v>12</v>
      </c>
      <c r="F39" s="140">
        <v>9.5</v>
      </c>
      <c r="G39" s="140"/>
      <c r="H39" s="140">
        <v>14</v>
      </c>
      <c r="I39" s="140"/>
      <c r="J39" s="104">
        <f t="shared" si="4"/>
        <v>11.833333333333334</v>
      </c>
      <c r="K39" s="105" t="str">
        <f t="shared" si="1"/>
        <v>TRANSITA</v>
      </c>
      <c r="L39" s="156">
        <v>10</v>
      </c>
      <c r="M39" s="140">
        <v>10</v>
      </c>
      <c r="N39" s="140"/>
      <c r="O39" s="140">
        <v>10</v>
      </c>
      <c r="P39" s="140"/>
      <c r="Q39" s="104">
        <f t="shared" si="5"/>
        <v>10</v>
      </c>
      <c r="R39" s="105" t="str">
        <f t="shared" si="2"/>
        <v>TRANSITA</v>
      </c>
      <c r="S39" s="156"/>
      <c r="T39" s="140"/>
      <c r="U39" s="140"/>
      <c r="V39" s="140"/>
      <c r="W39" s="140"/>
      <c r="X39" s="104">
        <f t="shared" si="6"/>
        <v>0</v>
      </c>
      <c r="Y39" s="106">
        <f t="shared" si="7"/>
        <v>7.2777777777777786</v>
      </c>
      <c r="Z39" s="105" t="str">
        <f t="shared" si="3"/>
        <v>N/TRANSITA</v>
      </c>
    </row>
    <row r="40" spans="2:26" ht="14.25" customHeight="1" x14ac:dyDescent="0.3">
      <c r="B40" s="31">
        <v>32</v>
      </c>
      <c r="C40" s="177" t="s">
        <v>125</v>
      </c>
      <c r="D40" s="103"/>
      <c r="E40" s="156">
        <v>14</v>
      </c>
      <c r="F40" s="140">
        <v>15</v>
      </c>
      <c r="G40" s="140"/>
      <c r="H40" s="140">
        <v>17</v>
      </c>
      <c r="I40" s="140"/>
      <c r="J40" s="104">
        <f t="shared" si="4"/>
        <v>15.333333333333334</v>
      </c>
      <c r="K40" s="105" t="str">
        <f t="shared" si="1"/>
        <v>TRANSITA</v>
      </c>
      <c r="L40" s="156">
        <v>15</v>
      </c>
      <c r="M40" s="140">
        <v>16</v>
      </c>
      <c r="N40" s="140"/>
      <c r="O40" s="140">
        <v>15</v>
      </c>
      <c r="P40" s="140"/>
      <c r="Q40" s="104">
        <f t="shared" si="5"/>
        <v>15.333333333333334</v>
      </c>
      <c r="R40" s="105" t="str">
        <f t="shared" si="2"/>
        <v>TRANSITA</v>
      </c>
      <c r="S40" s="156"/>
      <c r="T40" s="140"/>
      <c r="U40" s="140"/>
      <c r="V40" s="140"/>
      <c r="W40" s="140"/>
      <c r="X40" s="104">
        <f t="shared" si="6"/>
        <v>0</v>
      </c>
      <c r="Y40" s="106">
        <f t="shared" si="7"/>
        <v>10.222222222222223</v>
      </c>
      <c r="Z40" s="105" t="str">
        <f t="shared" si="3"/>
        <v>TRANSITA</v>
      </c>
    </row>
    <row r="41" spans="2:26" ht="14.25" customHeight="1" x14ac:dyDescent="0.3">
      <c r="B41" s="31">
        <v>33</v>
      </c>
      <c r="C41" s="177" t="s">
        <v>126</v>
      </c>
      <c r="D41" s="103"/>
      <c r="E41" s="156">
        <v>8</v>
      </c>
      <c r="F41" s="140">
        <v>8</v>
      </c>
      <c r="G41" s="140"/>
      <c r="H41" s="140">
        <v>14</v>
      </c>
      <c r="I41" s="140"/>
      <c r="J41" s="104">
        <f t="shared" si="4"/>
        <v>10</v>
      </c>
      <c r="K41" s="105" t="str">
        <f t="shared" si="1"/>
        <v>TRANSITA</v>
      </c>
      <c r="L41" s="156">
        <v>10</v>
      </c>
      <c r="M41" s="140">
        <v>10</v>
      </c>
      <c r="N41" s="140"/>
      <c r="O41" s="140">
        <v>9</v>
      </c>
      <c r="P41" s="140"/>
      <c r="Q41" s="104">
        <f t="shared" si="5"/>
        <v>9.6666666666666661</v>
      </c>
      <c r="R41" s="105" t="str">
        <f t="shared" si="2"/>
        <v>N/TRANSITA</v>
      </c>
      <c r="S41" s="156"/>
      <c r="T41" s="140"/>
      <c r="U41" s="140"/>
      <c r="V41" s="140"/>
      <c r="W41" s="140"/>
      <c r="X41" s="104">
        <f t="shared" ref="X41:X43" si="8">AVERAGE(S41,MAX(T41:U41),MAX(V41:W41))</f>
        <v>0</v>
      </c>
      <c r="Y41" s="106">
        <f t="shared" ref="Y41:Y43" si="9">SUM(J41,Q41,X41)/3</f>
        <v>6.5555555555555545</v>
      </c>
      <c r="Z41" s="105" t="str">
        <f t="shared" ref="Z41:Z43" si="10">IF(Y41&gt;=10,"TRANSITA","N/TRANSITA")</f>
        <v>N/TRANSITA</v>
      </c>
    </row>
    <row r="42" spans="2:26" ht="14.25" customHeight="1" x14ac:dyDescent="0.3">
      <c r="B42" s="31">
        <v>34</v>
      </c>
      <c r="C42" s="177" t="s">
        <v>141</v>
      </c>
      <c r="D42" s="103"/>
      <c r="E42" s="156">
        <v>10</v>
      </c>
      <c r="F42" s="140">
        <v>10</v>
      </c>
      <c r="G42" s="140"/>
      <c r="H42" s="140">
        <v>10</v>
      </c>
      <c r="I42" s="140"/>
      <c r="J42" s="104">
        <f t="shared" si="4"/>
        <v>10</v>
      </c>
      <c r="K42" s="105" t="str">
        <f t="shared" si="1"/>
        <v>TRANSITA</v>
      </c>
      <c r="L42" s="156">
        <v>10</v>
      </c>
      <c r="M42" s="140">
        <v>10</v>
      </c>
      <c r="N42" s="140"/>
      <c r="O42" s="140">
        <v>9</v>
      </c>
      <c r="P42" s="140"/>
      <c r="Q42" s="104">
        <f t="shared" ref="Q42" si="11">AVERAGE(L42,MAX(M42:N42),MAX(O42:P42))</f>
        <v>9.6666666666666661</v>
      </c>
      <c r="R42" s="105" t="str">
        <f t="shared" ref="R42" si="12">IF(Q42&gt;=10,"TRANSITA","N/TRANSITA")</f>
        <v>N/TRANSITA</v>
      </c>
      <c r="S42" s="156"/>
      <c r="T42" s="140"/>
      <c r="U42" s="140"/>
      <c r="V42" s="140"/>
      <c r="W42" s="140"/>
      <c r="X42" s="104">
        <f t="shared" ref="X42" si="13">AVERAGE(S42,MAX(T42:U42),MAX(V42:W42))</f>
        <v>0</v>
      </c>
      <c r="Y42" s="106">
        <f t="shared" ref="Y42" si="14">SUM(J42,Q42,X42)/3</f>
        <v>6.5555555555555545</v>
      </c>
      <c r="Z42" s="105" t="str">
        <f t="shared" ref="Z42" si="15">IF(Y42&gt;=10,"TRANSITA","N/TRANSITA")</f>
        <v>N/TRANSITA</v>
      </c>
    </row>
    <row r="43" spans="2:26" ht="14.25" customHeight="1" x14ac:dyDescent="0.3">
      <c r="B43" s="31">
        <v>35</v>
      </c>
      <c r="C43" s="178" t="s">
        <v>127</v>
      </c>
      <c r="D43" s="103"/>
      <c r="E43" s="156">
        <v>12</v>
      </c>
      <c r="F43" s="140">
        <v>6</v>
      </c>
      <c r="G43" s="140"/>
      <c r="H43" s="140">
        <v>15</v>
      </c>
      <c r="I43" s="140"/>
      <c r="J43" s="104">
        <f t="shared" si="4"/>
        <v>11</v>
      </c>
      <c r="K43" s="105" t="str">
        <f t="shared" si="1"/>
        <v>TRANSITA</v>
      </c>
      <c r="L43" s="156">
        <v>15</v>
      </c>
      <c r="M43" s="140">
        <v>15</v>
      </c>
      <c r="N43" s="140"/>
      <c r="O43" s="140"/>
      <c r="P43" s="140"/>
      <c r="Q43" s="104">
        <f t="shared" si="5"/>
        <v>10</v>
      </c>
      <c r="R43" s="105" t="str">
        <f t="shared" si="2"/>
        <v>TRANSITA</v>
      </c>
      <c r="S43" s="156"/>
      <c r="T43" s="140"/>
      <c r="U43" s="140"/>
      <c r="V43" s="140"/>
      <c r="W43" s="140"/>
      <c r="X43" s="104">
        <f t="shared" si="8"/>
        <v>0</v>
      </c>
      <c r="Y43" s="106">
        <f t="shared" si="9"/>
        <v>7</v>
      </c>
      <c r="Z43" s="105" t="str">
        <f t="shared" si="10"/>
        <v>N/TRANSITA</v>
      </c>
    </row>
    <row r="44" spans="2:26" ht="14.25" customHeight="1" x14ac:dyDescent="0.3">
      <c r="B44" s="31">
        <v>36</v>
      </c>
      <c r="C44" s="177" t="s">
        <v>128</v>
      </c>
      <c r="D44" s="103"/>
      <c r="E44" s="156">
        <v>8</v>
      </c>
      <c r="F44" s="140">
        <v>6</v>
      </c>
      <c r="G44" s="140"/>
      <c r="H44" s="140">
        <v>11.5</v>
      </c>
      <c r="I44" s="140"/>
      <c r="J44" s="104">
        <f t="shared" si="4"/>
        <v>8.5</v>
      </c>
      <c r="K44" s="105" t="str">
        <f t="shared" si="1"/>
        <v>N/TRANSITA</v>
      </c>
      <c r="L44" s="156">
        <v>12</v>
      </c>
      <c r="M44" s="140">
        <v>13</v>
      </c>
      <c r="N44" s="140"/>
      <c r="O44" s="140">
        <v>12</v>
      </c>
      <c r="P44" s="140"/>
      <c r="Q44" s="104">
        <f t="shared" si="5"/>
        <v>12.333333333333334</v>
      </c>
      <c r="R44" s="105" t="str">
        <f t="shared" si="2"/>
        <v>TRANSITA</v>
      </c>
      <c r="S44" s="156"/>
      <c r="T44" s="140"/>
      <c r="U44" s="140"/>
      <c r="V44" s="140"/>
      <c r="W44" s="140"/>
      <c r="X44" s="104">
        <f t="shared" ref="X44:X46" si="16">AVERAGE(S44,MAX(T44:U44),MAX(V44:W44))</f>
        <v>0</v>
      </c>
      <c r="Y44" s="106">
        <f t="shared" ref="Y44:Y46" si="17">SUM(J44,Q44,X44)/3</f>
        <v>6.9444444444444455</v>
      </c>
      <c r="Z44" s="105" t="str">
        <f t="shared" ref="Z44:Z46" si="18">IF(Y44&gt;=10,"TRANSITA","N/TRANSITA")</f>
        <v>N/TRANSITA</v>
      </c>
    </row>
    <row r="45" spans="2:26" ht="14.25" customHeight="1" x14ac:dyDescent="0.3">
      <c r="B45" s="31">
        <v>37</v>
      </c>
      <c r="C45" s="177" t="s">
        <v>129</v>
      </c>
      <c r="D45" s="103"/>
      <c r="E45" s="156">
        <v>13</v>
      </c>
      <c r="F45" s="140">
        <v>7</v>
      </c>
      <c r="G45" s="140"/>
      <c r="H45" s="140">
        <v>13.5</v>
      </c>
      <c r="I45" s="140"/>
      <c r="J45" s="104">
        <f t="shared" si="4"/>
        <v>11.166666666666666</v>
      </c>
      <c r="K45" s="105" t="str">
        <f t="shared" si="1"/>
        <v>TRANSITA</v>
      </c>
      <c r="L45" s="156">
        <v>10</v>
      </c>
      <c r="M45" s="140">
        <v>10</v>
      </c>
      <c r="N45" s="140"/>
      <c r="O45" s="140">
        <v>7</v>
      </c>
      <c r="P45" s="140"/>
      <c r="Q45" s="104">
        <f t="shared" si="5"/>
        <v>9</v>
      </c>
      <c r="R45" s="105" t="str">
        <f t="shared" si="2"/>
        <v>N/TRANSITA</v>
      </c>
      <c r="S45" s="156"/>
      <c r="T45" s="140"/>
      <c r="U45" s="140"/>
      <c r="V45" s="140"/>
      <c r="W45" s="140"/>
      <c r="X45" s="104">
        <f t="shared" si="16"/>
        <v>0</v>
      </c>
      <c r="Y45" s="106">
        <f t="shared" si="17"/>
        <v>6.7222222222222214</v>
      </c>
      <c r="Z45" s="105" t="str">
        <f t="shared" si="18"/>
        <v>N/TRANSITA</v>
      </c>
    </row>
    <row r="46" spans="2:26" ht="14.25" customHeight="1" x14ac:dyDescent="0.3">
      <c r="B46" s="31">
        <v>38</v>
      </c>
      <c r="C46" s="177" t="s">
        <v>130</v>
      </c>
      <c r="D46" s="103"/>
      <c r="E46" s="156">
        <v>9</v>
      </c>
      <c r="F46" s="140">
        <v>7</v>
      </c>
      <c r="G46" s="140"/>
      <c r="H46" s="140">
        <v>9</v>
      </c>
      <c r="I46" s="140"/>
      <c r="J46" s="104">
        <f t="shared" si="4"/>
        <v>8.3333333333333339</v>
      </c>
      <c r="K46" s="105" t="str">
        <f t="shared" si="1"/>
        <v>N/TRANSITA</v>
      </c>
      <c r="L46" s="156">
        <v>10</v>
      </c>
      <c r="M46" s="140">
        <v>10</v>
      </c>
      <c r="N46" s="140"/>
      <c r="O46" s="140">
        <v>6</v>
      </c>
      <c r="P46" s="140"/>
      <c r="Q46" s="104">
        <f t="shared" si="5"/>
        <v>8.6666666666666661</v>
      </c>
      <c r="R46" s="105" t="str">
        <f t="shared" si="2"/>
        <v>N/TRANSITA</v>
      </c>
      <c r="S46" s="156"/>
      <c r="T46" s="140"/>
      <c r="U46" s="140"/>
      <c r="V46" s="140"/>
      <c r="W46" s="140"/>
      <c r="X46" s="104">
        <f t="shared" si="16"/>
        <v>0</v>
      </c>
      <c r="Y46" s="106">
        <f t="shared" si="17"/>
        <v>5.666666666666667</v>
      </c>
      <c r="Z46" s="105" t="str">
        <f t="shared" si="18"/>
        <v>N/TRANSITA</v>
      </c>
    </row>
    <row r="47" spans="2:26" ht="14.25" customHeight="1" x14ac:dyDescent="0.3">
      <c r="B47" s="31">
        <v>39</v>
      </c>
      <c r="C47" s="177" t="s">
        <v>131</v>
      </c>
      <c r="D47" s="107"/>
      <c r="E47" s="156">
        <v>8</v>
      </c>
      <c r="F47" s="140">
        <v>6</v>
      </c>
      <c r="G47" s="140"/>
      <c r="H47" s="140">
        <v>11</v>
      </c>
      <c r="I47" s="140"/>
      <c r="J47" s="104">
        <f t="shared" si="4"/>
        <v>8.3333333333333339</v>
      </c>
      <c r="K47" s="105" t="str">
        <f t="shared" si="1"/>
        <v>N/TRANSITA</v>
      </c>
      <c r="L47" s="156">
        <v>15</v>
      </c>
      <c r="M47" s="140">
        <v>13</v>
      </c>
      <c r="N47" s="140"/>
      <c r="O47" s="140">
        <v>10</v>
      </c>
      <c r="P47" s="140"/>
      <c r="Q47" s="104">
        <f t="shared" si="5"/>
        <v>12.666666666666666</v>
      </c>
      <c r="R47" s="105" t="str">
        <f t="shared" si="2"/>
        <v>TRANSITA</v>
      </c>
      <c r="S47" s="156"/>
      <c r="T47" s="140"/>
      <c r="U47" s="140"/>
      <c r="V47" s="140"/>
      <c r="W47" s="140"/>
      <c r="X47" s="104">
        <f t="shared" si="6"/>
        <v>0</v>
      </c>
      <c r="Y47" s="106">
        <f t="shared" si="7"/>
        <v>7</v>
      </c>
      <c r="Z47" s="105" t="str">
        <f t="shared" si="3"/>
        <v>N/TRANSITA</v>
      </c>
    </row>
    <row r="48" spans="2:26" ht="14.25" customHeight="1" x14ac:dyDescent="0.3">
      <c r="B48" s="31">
        <v>40</v>
      </c>
      <c r="C48" s="177" t="s">
        <v>132</v>
      </c>
      <c r="D48" s="107"/>
      <c r="E48" s="156">
        <v>14</v>
      </c>
      <c r="F48" s="140">
        <v>6</v>
      </c>
      <c r="G48" s="140"/>
      <c r="H48" s="140">
        <v>13</v>
      </c>
      <c r="I48" s="140"/>
      <c r="J48" s="104">
        <f t="shared" si="4"/>
        <v>11</v>
      </c>
      <c r="K48" s="105" t="str">
        <f t="shared" si="1"/>
        <v>TRANSITA</v>
      </c>
      <c r="L48" s="156">
        <v>10</v>
      </c>
      <c r="M48" s="140">
        <v>10</v>
      </c>
      <c r="N48" s="140"/>
      <c r="O48" s="140">
        <v>10</v>
      </c>
      <c r="P48" s="140"/>
      <c r="Q48" s="104">
        <f t="shared" si="5"/>
        <v>10</v>
      </c>
      <c r="R48" s="105" t="str">
        <f t="shared" si="2"/>
        <v>TRANSITA</v>
      </c>
      <c r="S48" s="156"/>
      <c r="T48" s="140"/>
      <c r="U48" s="140"/>
      <c r="V48" s="140"/>
      <c r="W48" s="140"/>
      <c r="X48" s="104">
        <f t="shared" si="6"/>
        <v>0</v>
      </c>
      <c r="Y48" s="106">
        <f t="shared" si="7"/>
        <v>7</v>
      </c>
      <c r="Z48" s="105" t="str">
        <f t="shared" si="3"/>
        <v>N/TRANSITA</v>
      </c>
    </row>
    <row r="49" spans="1:26" ht="14.25" customHeight="1" x14ac:dyDescent="0.3">
      <c r="B49" s="31">
        <v>41</v>
      </c>
      <c r="C49" s="177" t="s">
        <v>133</v>
      </c>
      <c r="D49" s="107"/>
      <c r="E49" s="156">
        <v>11</v>
      </c>
      <c r="F49" s="140">
        <v>10</v>
      </c>
      <c r="G49" s="140"/>
      <c r="H49" s="140">
        <v>14</v>
      </c>
      <c r="I49" s="140"/>
      <c r="J49" s="104">
        <f t="shared" si="4"/>
        <v>11.666666666666666</v>
      </c>
      <c r="K49" s="105" t="str">
        <f t="shared" si="1"/>
        <v>TRANSITA</v>
      </c>
      <c r="L49" s="156">
        <v>15</v>
      </c>
      <c r="M49" s="140">
        <v>13</v>
      </c>
      <c r="N49" s="140"/>
      <c r="O49" s="140">
        <v>8</v>
      </c>
      <c r="P49" s="140"/>
      <c r="Q49" s="104">
        <f t="shared" si="5"/>
        <v>12</v>
      </c>
      <c r="R49" s="105" t="str">
        <f t="shared" si="2"/>
        <v>TRANSITA</v>
      </c>
      <c r="S49" s="156"/>
      <c r="T49" s="140"/>
      <c r="U49" s="140"/>
      <c r="V49" s="140"/>
      <c r="W49" s="140"/>
      <c r="X49" s="104">
        <f t="shared" ref="X49:X51" si="19">AVERAGE(S49,MAX(T49:U49),MAX(V49:W49))</f>
        <v>0</v>
      </c>
      <c r="Y49" s="106">
        <f t="shared" ref="Y49:Y51" si="20">SUM(J49,Q49,X49)/3</f>
        <v>7.8888888888888884</v>
      </c>
      <c r="Z49" s="105" t="str">
        <f t="shared" ref="Z49:Z51" si="21">IF(Y49&gt;=10,"TRANSITA","N/TRANSITA")</f>
        <v>N/TRANSITA</v>
      </c>
    </row>
    <row r="50" spans="1:26" ht="14.25" customHeight="1" x14ac:dyDescent="0.3">
      <c r="B50" s="31">
        <v>42</v>
      </c>
      <c r="C50" s="177" t="s">
        <v>134</v>
      </c>
      <c r="D50" s="103"/>
      <c r="E50" s="156">
        <v>14</v>
      </c>
      <c r="F50" s="140">
        <v>10</v>
      </c>
      <c r="G50" s="140"/>
      <c r="H50" s="140">
        <v>14.5</v>
      </c>
      <c r="I50" s="140"/>
      <c r="J50" s="104">
        <f t="shared" si="4"/>
        <v>12.833333333333334</v>
      </c>
      <c r="K50" s="105" t="str">
        <f t="shared" si="1"/>
        <v>TRANSITA</v>
      </c>
      <c r="L50" s="156">
        <v>12</v>
      </c>
      <c r="M50" s="140">
        <v>10</v>
      </c>
      <c r="N50" s="140"/>
      <c r="O50" s="140">
        <v>16</v>
      </c>
      <c r="P50" s="140"/>
      <c r="Q50" s="104">
        <f t="shared" si="5"/>
        <v>12.666666666666666</v>
      </c>
      <c r="R50" s="105" t="str">
        <f t="shared" si="2"/>
        <v>TRANSITA</v>
      </c>
      <c r="S50" s="156"/>
      <c r="T50" s="140"/>
      <c r="U50" s="140"/>
      <c r="V50" s="140"/>
      <c r="W50" s="140"/>
      <c r="X50" s="104">
        <f t="shared" si="19"/>
        <v>0</v>
      </c>
      <c r="Y50" s="106">
        <f t="shared" si="20"/>
        <v>8.5</v>
      </c>
      <c r="Z50" s="105" t="str">
        <f t="shared" si="21"/>
        <v>N/TRANSITA</v>
      </c>
    </row>
    <row r="51" spans="1:26" ht="14.25" customHeight="1" x14ac:dyDescent="0.3">
      <c r="B51" s="31">
        <v>43</v>
      </c>
      <c r="C51" s="177" t="s">
        <v>135</v>
      </c>
      <c r="D51" s="103"/>
      <c r="E51" s="156">
        <v>11</v>
      </c>
      <c r="F51" s="140">
        <v>6</v>
      </c>
      <c r="G51" s="140"/>
      <c r="H51" s="140">
        <v>12.5</v>
      </c>
      <c r="I51" s="140"/>
      <c r="J51" s="104">
        <f t="shared" si="4"/>
        <v>9.8333333333333339</v>
      </c>
      <c r="K51" s="105" t="str">
        <f t="shared" si="1"/>
        <v>N/TRANSITA</v>
      </c>
      <c r="L51" s="156">
        <v>12</v>
      </c>
      <c r="M51" s="140">
        <v>10</v>
      </c>
      <c r="N51" s="140"/>
      <c r="O51" s="140">
        <v>8</v>
      </c>
      <c r="P51" s="140"/>
      <c r="Q51" s="104">
        <f t="shared" si="5"/>
        <v>10</v>
      </c>
      <c r="R51" s="105" t="str">
        <f t="shared" si="2"/>
        <v>TRANSITA</v>
      </c>
      <c r="S51" s="156"/>
      <c r="T51" s="140"/>
      <c r="U51" s="140"/>
      <c r="V51" s="140"/>
      <c r="W51" s="140"/>
      <c r="X51" s="104">
        <f t="shared" si="19"/>
        <v>0</v>
      </c>
      <c r="Y51" s="106">
        <f t="shared" si="20"/>
        <v>6.6111111111111116</v>
      </c>
      <c r="Z51" s="105" t="str">
        <f t="shared" si="21"/>
        <v>N/TRANSITA</v>
      </c>
    </row>
    <row r="52" spans="1:26" ht="14.25" customHeight="1" thickBot="1" x14ac:dyDescent="0.35">
      <c r="B52" s="31">
        <v>44</v>
      </c>
      <c r="C52" s="179" t="s">
        <v>136</v>
      </c>
      <c r="D52" s="108"/>
      <c r="E52" s="157">
        <v>10</v>
      </c>
      <c r="F52" s="152">
        <v>9</v>
      </c>
      <c r="G52" s="152"/>
      <c r="H52" s="152">
        <v>11</v>
      </c>
      <c r="I52" s="152"/>
      <c r="J52" s="109">
        <f t="shared" si="4"/>
        <v>10</v>
      </c>
      <c r="K52" s="110" t="str">
        <f t="shared" si="1"/>
        <v>TRANSITA</v>
      </c>
      <c r="L52" s="157">
        <v>12</v>
      </c>
      <c r="M52" s="152">
        <v>10</v>
      </c>
      <c r="N52" s="152"/>
      <c r="O52" s="152">
        <v>9</v>
      </c>
      <c r="P52" s="152"/>
      <c r="Q52" s="109">
        <f t="shared" si="5"/>
        <v>10.333333333333334</v>
      </c>
      <c r="R52" s="110" t="str">
        <f t="shared" si="2"/>
        <v>TRANSITA</v>
      </c>
      <c r="S52" s="157"/>
      <c r="T52" s="152"/>
      <c r="U52" s="152"/>
      <c r="V52" s="152"/>
      <c r="W52" s="152"/>
      <c r="X52" s="109">
        <f t="shared" si="6"/>
        <v>0</v>
      </c>
      <c r="Y52" s="111">
        <f>SUM(J52,Q52,X52)/3</f>
        <v>6.7777777777777786</v>
      </c>
      <c r="Z52" s="110" t="str">
        <f t="shared" si="3"/>
        <v>N/TRANSITA</v>
      </c>
    </row>
    <row r="53" spans="1:26" ht="93.75" customHeight="1" thickTop="1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S53" s="3"/>
      <c r="T53" s="3"/>
      <c r="U53" s="3"/>
      <c r="V53" s="3"/>
      <c r="W53" s="3"/>
      <c r="X53" s="3"/>
      <c r="Y53" s="3"/>
      <c r="Z53" s="3"/>
    </row>
    <row r="54" spans="1:26" ht="20.25" customHeight="1" x14ac:dyDescent="0.4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S54" s="4"/>
      <c r="T54" s="4"/>
      <c r="U54" s="4"/>
      <c r="V54" s="5"/>
      <c r="W54" s="5"/>
      <c r="X54" s="5"/>
      <c r="Y54" s="4"/>
      <c r="Z54" s="4"/>
    </row>
    <row r="55" spans="1:26" ht="15.6" x14ac:dyDescent="0.3">
      <c r="A55" s="302" t="s">
        <v>28</v>
      </c>
      <c r="B55" s="302"/>
      <c r="C55" s="302"/>
      <c r="D55" s="302"/>
      <c r="E55" s="302"/>
      <c r="F55" s="32"/>
      <c r="G55" s="32"/>
      <c r="H55" s="7"/>
      <c r="I55" s="7"/>
      <c r="J55" s="7"/>
      <c r="K55" s="7"/>
      <c r="L55" s="7"/>
      <c r="M55" s="7"/>
      <c r="N55" s="7"/>
      <c r="O55" s="8"/>
      <c r="P55" s="8"/>
      <c r="Q55" s="8"/>
      <c r="R55" s="8"/>
      <c r="S55" s="302" t="s">
        <v>4</v>
      </c>
      <c r="T55" s="302"/>
      <c r="U55" s="302"/>
      <c r="V55" s="302"/>
      <c r="W55" s="302"/>
      <c r="X55" s="302"/>
      <c r="Y55" s="302"/>
      <c r="Z55" s="302"/>
    </row>
    <row r="56" spans="1:26" ht="15.6" x14ac:dyDescent="0.3">
      <c r="A56" s="239" t="s">
        <v>15</v>
      </c>
      <c r="B56" s="239"/>
      <c r="C56" s="239"/>
      <c r="D56" s="239"/>
      <c r="E56" s="239"/>
      <c r="F56" s="33"/>
      <c r="G56" s="33"/>
      <c r="H56" s="10"/>
      <c r="I56" s="10"/>
      <c r="J56" s="10"/>
      <c r="K56" s="10"/>
      <c r="L56" s="10"/>
      <c r="M56" s="10"/>
      <c r="N56" s="10"/>
      <c r="S56" s="290" t="s">
        <v>16</v>
      </c>
      <c r="T56" s="290"/>
      <c r="U56" s="290"/>
      <c r="V56" s="290"/>
      <c r="W56" s="290"/>
      <c r="X56" s="290"/>
      <c r="Y56" s="290"/>
      <c r="Z56" s="290"/>
    </row>
    <row r="57" spans="1:26" ht="15.6" x14ac:dyDescent="0.3">
      <c r="A57" s="288"/>
      <c r="B57" s="288"/>
      <c r="C57" s="288"/>
      <c r="D57" s="288"/>
      <c r="E57" s="288"/>
      <c r="F57" s="33"/>
      <c r="G57" s="33"/>
      <c r="S57" s="289" t="s">
        <v>17</v>
      </c>
      <c r="T57" s="289"/>
      <c r="U57" s="289"/>
      <c r="V57" s="289"/>
      <c r="W57" s="289"/>
      <c r="X57" s="289"/>
      <c r="Y57" s="289"/>
      <c r="Z57" s="289"/>
    </row>
  </sheetData>
  <mergeCells count="31">
    <mergeCell ref="A1:Z1"/>
    <mergeCell ref="B3:C3"/>
    <mergeCell ref="I3:M3"/>
    <mergeCell ref="V3:Z3"/>
    <mergeCell ref="B4:C4"/>
    <mergeCell ref="V4:Z4"/>
    <mergeCell ref="AC8:AC9"/>
    <mergeCell ref="AD8:AD9"/>
    <mergeCell ref="AE8:AE9"/>
    <mergeCell ref="B5:C5"/>
    <mergeCell ref="V5:Z5"/>
    <mergeCell ref="B6:Z6"/>
    <mergeCell ref="B7:B8"/>
    <mergeCell ref="C7:C8"/>
    <mergeCell ref="E7:J7"/>
    <mergeCell ref="L7:Q7"/>
    <mergeCell ref="S7:X7"/>
    <mergeCell ref="Y7:Y8"/>
    <mergeCell ref="E5:Q5"/>
    <mergeCell ref="A57:E57"/>
    <mergeCell ref="S57:Z57"/>
    <mergeCell ref="Z7:Z8"/>
    <mergeCell ref="AA8:AA9"/>
    <mergeCell ref="AB8:AB9"/>
    <mergeCell ref="AA10:AB11"/>
    <mergeCell ref="A55:E55"/>
    <mergeCell ref="S55:Z55"/>
    <mergeCell ref="A56:E56"/>
    <mergeCell ref="S56:Z56"/>
    <mergeCell ref="K7:K8"/>
    <mergeCell ref="R7:R8"/>
  </mergeCells>
  <conditionalFormatting sqref="Y9:Y52">
    <cfRule type="cellIs" dxfId="29" priority="221" stopIfTrue="1" operator="greaterThan">
      <formula>9.5</formula>
    </cfRule>
    <cfRule type="cellIs" dxfId="28" priority="222" stopIfTrue="1" operator="lessThanOrEqual">
      <formula>9.5</formula>
    </cfRule>
  </conditionalFormatting>
  <conditionalFormatting sqref="X9:X52 Q9:Q52">
    <cfRule type="cellIs" dxfId="27" priority="207" stopIfTrue="1" operator="lessThan">
      <formula>10</formula>
    </cfRule>
    <cfRule type="cellIs" dxfId="26" priority="208" stopIfTrue="1" operator="greaterThanOrEqual">
      <formula>10</formula>
    </cfRule>
  </conditionalFormatting>
  <conditionalFormatting sqref="S9:W52 P9:P52">
    <cfRule type="cellIs" dxfId="25" priority="57" stopIfTrue="1" operator="lessThan">
      <formula>10</formula>
    </cfRule>
    <cfRule type="cellIs" dxfId="24" priority="58" stopIfTrue="1" operator="greaterThan">
      <formula>9</formula>
    </cfRule>
  </conditionalFormatting>
  <conditionalFormatting sqref="S9:W52 P9:P52">
    <cfRule type="cellIs" dxfId="23" priority="55" stopIfTrue="1" operator="lessThan">
      <formula>10</formula>
    </cfRule>
    <cfRule type="cellIs" dxfId="22" priority="56" stopIfTrue="1" operator="greaterThan">
      <formula>9</formula>
    </cfRule>
  </conditionalFormatting>
  <conditionalFormatting sqref="J9:J52">
    <cfRule type="cellIs" dxfId="21" priority="11" stopIfTrue="1" operator="lessThan">
      <formula>10</formula>
    </cfRule>
    <cfRule type="cellIs" dxfId="20" priority="12" stopIfTrue="1" operator="greaterThanOrEqual">
      <formula>10</formula>
    </cfRule>
  </conditionalFormatting>
  <conditionalFormatting sqref="I9:I52 L9:O52">
    <cfRule type="cellIs" dxfId="19" priority="7" stopIfTrue="1" operator="lessThan">
      <formula>10</formula>
    </cfRule>
    <cfRule type="cellIs" dxfId="18" priority="8" stopIfTrue="1" operator="greaterThan">
      <formula>9</formula>
    </cfRule>
  </conditionalFormatting>
  <conditionalFormatting sqref="I9:I52 L9:O52">
    <cfRule type="cellIs" dxfId="17" priority="5" stopIfTrue="1" operator="lessThan">
      <formula>10</formula>
    </cfRule>
    <cfRule type="cellIs" dxfId="16" priority="6" stopIfTrue="1" operator="greaterThan">
      <formula>9</formula>
    </cfRule>
  </conditionalFormatting>
  <conditionalFormatting sqref="E9:H52">
    <cfRule type="cellIs" dxfId="15" priority="3" stopIfTrue="1" operator="lessThan">
      <formula>10</formula>
    </cfRule>
    <cfRule type="cellIs" dxfId="14" priority="4" stopIfTrue="1" operator="greaterThan">
      <formula>9</formula>
    </cfRule>
  </conditionalFormatting>
  <conditionalFormatting sqref="E9:H52">
    <cfRule type="cellIs" dxfId="13" priority="1" stopIfTrue="1" operator="lessThan">
      <formula>10</formula>
    </cfRule>
    <cfRule type="cellIs" dxfId="12" priority="2" stopIfTrue="1" operator="greaterThan">
      <formula>9</formula>
    </cfRule>
  </conditionalFormatting>
  <dataValidations count="1">
    <dataValidation type="decimal" allowBlank="1" showInputMessage="1" showErrorMessage="1" errorTitle="ATENÇÃO!" error="O valor introduzido não é válido._x000a_A Subdirecção Pedagógica. Grato!" sqref="L9:P52 S9:W52 E9:I52">
      <formula1>0</formula1>
      <formula2>20</formula2>
    </dataValidation>
  </dataValidations>
  <pageMargins left="0.15748031496062992" right="0.51181102362204722" top="0.15748031496062992" bottom="0.15748031496062992" header="0.31496062992125984" footer="0.15748031496062992"/>
  <pageSetup paperSize="9" scale="95" orientation="portrait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6625" r:id="rId4">
          <objectPr defaultSize="0" r:id="rId5">
            <anchor moveWithCells="1">
              <from>
                <xdr:col>1</xdr:col>
                <xdr:colOff>60960</xdr:colOff>
                <xdr:row>52</xdr:row>
                <xdr:rowOff>160020</xdr:rowOff>
              </from>
              <to>
                <xdr:col>14</xdr:col>
                <xdr:colOff>22860</xdr:colOff>
                <xdr:row>54</xdr:row>
                <xdr:rowOff>22860</xdr:rowOff>
              </to>
            </anchor>
          </objectPr>
        </oleObject>
      </mc:Choice>
      <mc:Fallback>
        <oleObject progId="Word.Document.8" shapeId="2662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83" stopIfTrue="1" operator="containsText" id="{650850BB-A258-4D57-A8EF-127B82DC3A30}">
            <xm:f>NOT(ISERROR(SEARCH("N/TRANSITA",R9)))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84" stopIfTrue="1" operator="containsText" id="{F4AB3606-BFB0-449A-B259-1144B1F7358C}">
            <xm:f>NOT(ISERROR(SEARCH("TRANSITA",R9)))</xm:f>
            <xm:f>"TRANSITA"</xm:f>
            <x14:dxf>
              <font>
                <b/>
                <i val="0"/>
                <color rgb="FF0000FF"/>
              </font>
            </x14:dxf>
          </x14:cfRule>
          <xm:sqref>Z9:Z52 R9:R52</xm:sqref>
        </x14:conditionalFormatting>
        <x14:conditionalFormatting xmlns:xm="http://schemas.microsoft.com/office/excel/2006/main">
          <x14:cfRule type="containsText" priority="9" stopIfTrue="1" operator="containsText" id="{FFB9B450-51CA-41F4-9CD4-BFDD0116842F}">
            <xm:f>NOT(ISERROR(SEARCH("N/TRANSITA",K9)))</xm:f>
            <xm:f>"N/TRANSITA"</xm:f>
            <x14:dxf>
              <font>
                <b/>
                <i val="0"/>
                <color rgb="FFFF0000"/>
              </font>
            </x14:dxf>
          </x14:cfRule>
          <x14:cfRule type="containsText" priority="10" stopIfTrue="1" operator="containsText" id="{121354D9-C699-40E5-94F4-3E07A44A6C23}">
            <xm:f>NOT(ISERROR(SEARCH("TRANSITA",K9)))</xm:f>
            <xm:f>"TRANSITA"</xm:f>
            <x14:dxf>
              <font>
                <b/>
                <i val="0"/>
                <color rgb="FF0000FF"/>
              </font>
            </x14:dxf>
          </x14:cfRule>
          <xm:sqref>K9:K52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1ºT-11ª-A-PAUTA</vt:lpstr>
      <vt:lpstr>2ºT-11ª-A-PAUTA</vt:lpstr>
      <vt:lpstr>11CL-AC-A-L PORT</vt:lpstr>
      <vt:lpstr>11CL-AC-A-MAT</vt:lpstr>
      <vt:lpstr>11CL-AC-A-BIOL</vt:lpstr>
      <vt:lpstr>11CL-AC-A-INGLES</vt:lpstr>
      <vt:lpstr>11CL-AC-A-QCA ORG.</vt:lpstr>
      <vt:lpstr>11CL-AC-A-MICROBIOL</vt:lpstr>
      <vt:lpstr>11CL-AC-A-HEMAT I</vt:lpstr>
      <vt:lpstr>11CL-AC-A-IMUNOL.</vt:lpstr>
      <vt:lpstr>11CL-AC-A-URINOL.</vt:lpstr>
      <vt:lpstr>11CL-AC-A-PRASITOL.</vt:lpstr>
      <vt:lpstr>11CL-AC-A-ED. FIS</vt:lpstr>
      <vt:lpstr>11CL-AC-A-AFH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fuene</dc:creator>
  <cp:lastModifiedBy>SP JM</cp:lastModifiedBy>
  <dcterms:created xsi:type="dcterms:W3CDTF">2021-10-18T14:18:43Z</dcterms:created>
  <dcterms:modified xsi:type="dcterms:W3CDTF">2026-04-06T16:44:11Z</dcterms:modified>
</cp:coreProperties>
</file>