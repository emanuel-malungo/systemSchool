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SPE_CABINDA\Desktop\Sige OffLine Versao 3.0\"/>
    </mc:Choice>
  </mc:AlternateContent>
  <xr:revisionPtr revIDLastSave="0" documentId="13_ncr:1_{5D8FEF83-31A9-437D-A555-F1F527E45295}" xr6:coauthVersionLast="47" xr6:coauthVersionMax="47" xr10:uidLastSave="{00000000-0000-0000-0000-000000000000}"/>
  <bookViews>
    <workbookView xWindow="-120" yWindow="-120" windowWidth="29040" windowHeight="15720" tabRatio="941" firstSheet="2" activeTab="13" xr2:uid="{00000000-000D-0000-FFFF-FFFF00000000}"/>
  </bookViews>
  <sheets>
    <sheet name="Listas" sheetId="13" state="hidden" r:id="rId1"/>
    <sheet name="Escola" sheetId="1" r:id="rId2"/>
    <sheet name="TP II Ciclo" sheetId="16" r:id="rId3"/>
    <sheet name="TP II Ciclo (2)" sheetId="35" r:id="rId4"/>
    <sheet name="TP II Ciclo (3)" sheetId="36" r:id="rId5"/>
    <sheet name="TP II Ciclo (4)" sheetId="37" r:id="rId6"/>
    <sheet name="TP II Ciclo (5)" sheetId="38" r:id="rId7"/>
    <sheet name="AFES2-TP II Ciclo" sheetId="30" r:id="rId8"/>
    <sheet name="AFES2-TP II Ciclo (2)" sheetId="39" r:id="rId9"/>
    <sheet name="AFES2-TP II Ciclo (3)" sheetId="40" r:id="rId10"/>
    <sheet name="AFES2-TP II Ciclo (4)" sheetId="41" r:id="rId11"/>
    <sheet name="AFES2-TP II Ciclo (5)" sheetId="42" r:id="rId12"/>
    <sheet name="AFES2-TP II Ciclo (6)" sheetId="43" r:id="rId13"/>
    <sheet name="Informação Adicional" sheetId="44" r:id="rId14"/>
    <sheet name="Fichas Avaliação" sheetId="14" state="hidden" r:id="rId15"/>
  </sheets>
  <functionGroups builtInGroupCount="19"/>
  <externalReferences>
    <externalReference r:id="rId16"/>
  </externalReferences>
  <definedNames>
    <definedName name="AguasResiduais" localSheetId="13">[1]Listas!$A$36:$A$39</definedName>
    <definedName name="AguasResiduais">Listas!$A$36:$A$39</definedName>
    <definedName name="Ano" localSheetId="13">[1]Listas!$A$4:$A$11</definedName>
    <definedName name="Ano">Listas!$A$4:$A$11</definedName>
    <definedName name="_xlnm.Print_Area" localSheetId="1">Escola!$A$1:$AG$75</definedName>
    <definedName name="AreasConhecimento" localSheetId="13">[1]Listas!$A$21:$A$24</definedName>
    <definedName name="AreasConhecimento">Listas!$A$21:$A$24</definedName>
    <definedName name="AreasTPI" localSheetId="13">[1]Listas!$Y$5:$Y$47</definedName>
    <definedName name="AreasTPI">Listas!$Y$5:$Y$47</definedName>
    <definedName name="AreasTPI_">Listas!$AE$1:$AE$43</definedName>
    <definedName name="AreasTPI_v1" localSheetId="13">[1]Listas!$AE$1:$AE$21</definedName>
    <definedName name="AreasTPI_v1">Listas!$AE$1:$AE$21</definedName>
    <definedName name="AreasTPII" localSheetId="13">[1]Listas!$AB$5:$AB$166</definedName>
    <definedName name="AreasTPII">Listas!$AB$5:$AB$166</definedName>
    <definedName name="AreasTPII_v1" localSheetId="13">[1]Listas!$AG$1:$AG$28</definedName>
    <definedName name="AreasTPII_v1">Listas!$AG$1:$AG$28</definedName>
    <definedName name="AreasTPIIStart" localSheetId="13">[1]Listas!$AB$4</definedName>
    <definedName name="AreasTPIIStart">Listas!$AB$4</definedName>
    <definedName name="AreasTPIStart" localSheetId="13">[1]Listas!$Y$4</definedName>
    <definedName name="AreasTPIStart">Listas!$Y$4</definedName>
    <definedName name="ComunaColumn3" localSheetId="13">[1]Listas!$J$4:$J$1000</definedName>
    <definedName name="ComunaColumn3">Listas!$J$4:$J$1000</definedName>
    <definedName name="ComunaColumn4">Listas!$AM$5:$AM$1005</definedName>
    <definedName name="ComunaStart3" localSheetId="13">[1]Listas!$J$3</definedName>
    <definedName name="ComunaStart3">Listas!$J$3</definedName>
    <definedName name="ComunaStart4">Listas!$AM$4</definedName>
    <definedName name="CursosTPI">Listas!$Z$5:$Z$47</definedName>
    <definedName name="CursosTPII">Listas!$AC$5:$AC$166</definedName>
    <definedName name="Especialidades" localSheetId="13">[1]Listas!$A$28:$A$32</definedName>
    <definedName name="Especialidades">Listas!$A$28:$A$32</definedName>
    <definedName name="Especialidades_2" localSheetId="13">[1]Listas!$A$48:$A$58</definedName>
    <definedName name="Especialidades_2">Listas!$A$48:$A$58</definedName>
    <definedName name="link1">#REF!</definedName>
    <definedName name="MunicipioColumn3" localSheetId="13">[1]Listas!$F$4:$F$199</definedName>
    <definedName name="MunicipioColumn3">Listas!$F$4:$F$199</definedName>
    <definedName name="MunicipioColumn4" localSheetId="13">[1]Listas!$AJ$5:$AJ$196</definedName>
    <definedName name="MunicipioColumn4">Listas!$AJ$5:$AJ$196</definedName>
    <definedName name="MunicipioStart3" localSheetId="13">[1]Listas!$F$3</definedName>
    <definedName name="MunicipioStart3">Listas!$F$3</definedName>
    <definedName name="MunicipioStart4" localSheetId="13">[1]Listas!$AJ$4</definedName>
    <definedName name="MunicipioStart4">Listas!$AJ$4</definedName>
    <definedName name="Natureza" localSheetId="13">[1]Listas!$C$8:$C$10</definedName>
    <definedName name="Natureza">Listas!$C$8:$C$10</definedName>
    <definedName name="NivelAcademico" localSheetId="13">[1]Listas!$C$31:$C$38</definedName>
    <definedName name="NivelAcademico">Listas!$C$31:$C$38</definedName>
    <definedName name="NumTurnos" localSheetId="13">[1]Listas!$A$62:$A$63</definedName>
    <definedName name="NumTurnos">Listas!$A$62:$A$63</definedName>
    <definedName name="Provincias" localSheetId="13">[1]Listas!$M$1:$M$18</definedName>
    <definedName name="Provincias">Listas!$M$1:$M$18</definedName>
    <definedName name="ResiduosSolidos" localSheetId="13">[1]Listas!$A$42:$A$44</definedName>
    <definedName name="ResiduosSolidos">Listas!$A$42:$A$44</definedName>
    <definedName name="SimNao" localSheetId="13">[1]Listas!$C$4:$C$5</definedName>
    <definedName name="SimNao">Listas!$C$4:$C$5</definedName>
    <definedName name="Turnos" localSheetId="13">[1]Listas!$A$14:$A$15</definedName>
    <definedName name="Turnos">Listas!$A$14:$A$15</definedName>
    <definedName name="UltimaClasse">Listas!$C$14:$C$27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54" i="44" l="1"/>
  <c r="L54" i="44"/>
  <c r="AD16" i="44"/>
  <c r="AB16" i="44"/>
  <c r="N15" i="44"/>
  <c r="M15" i="44"/>
  <c r="F12" i="44"/>
  <c r="AE9" i="44"/>
  <c r="AC9" i="44"/>
  <c r="AA9" i="44"/>
  <c r="Y9" i="44"/>
  <c r="O14" i="43"/>
  <c r="N14" i="43"/>
  <c r="M14" i="43"/>
  <c r="L14" i="43"/>
  <c r="K14" i="43"/>
  <c r="J14" i="43"/>
  <c r="I14" i="43"/>
  <c r="H14" i="43"/>
  <c r="G14" i="43"/>
  <c r="F14" i="43"/>
  <c r="E14" i="43"/>
  <c r="D14" i="43"/>
  <c r="C14" i="43"/>
  <c r="B14" i="43"/>
  <c r="E13" i="43"/>
  <c r="D13" i="43"/>
  <c r="E12" i="43"/>
  <c r="D12" i="43"/>
  <c r="E11" i="43"/>
  <c r="D11" i="43"/>
  <c r="E10" i="43"/>
  <c r="D10" i="43"/>
  <c r="O14" i="42"/>
  <c r="N14" i="42"/>
  <c r="M14" i="42"/>
  <c r="L14" i="42"/>
  <c r="K14" i="42"/>
  <c r="J14" i="42"/>
  <c r="I14" i="42"/>
  <c r="H14" i="42"/>
  <c r="G14" i="42"/>
  <c r="F14" i="42"/>
  <c r="C14" i="42"/>
  <c r="B14" i="42"/>
  <c r="E13" i="42"/>
  <c r="D13" i="42"/>
  <c r="E12" i="42"/>
  <c r="D12" i="42"/>
  <c r="E11" i="42"/>
  <c r="E14" i="42" s="1"/>
  <c r="D11" i="42"/>
  <c r="D14" i="42" s="1"/>
  <c r="E10" i="42"/>
  <c r="D10" i="42"/>
  <c r="O14" i="41"/>
  <c r="N14" i="41"/>
  <c r="M14" i="41"/>
  <c r="L14" i="41"/>
  <c r="K14" i="41"/>
  <c r="J14" i="41"/>
  <c r="I14" i="41"/>
  <c r="H14" i="41"/>
  <c r="G14" i="41"/>
  <c r="F14" i="41"/>
  <c r="E14" i="41"/>
  <c r="D14" i="41"/>
  <c r="C14" i="41"/>
  <c r="B14" i="41"/>
  <c r="E13" i="41"/>
  <c r="D13" i="41"/>
  <c r="E12" i="41"/>
  <c r="D12" i="41"/>
  <c r="E11" i="41"/>
  <c r="D11" i="41"/>
  <c r="E10" i="41"/>
  <c r="D10" i="41"/>
  <c r="O14" i="40"/>
  <c r="N14" i="40"/>
  <c r="M14" i="40"/>
  <c r="L14" i="40"/>
  <c r="K14" i="40"/>
  <c r="J14" i="40"/>
  <c r="I14" i="40"/>
  <c r="H14" i="40"/>
  <c r="G14" i="40"/>
  <c r="F14" i="40"/>
  <c r="E14" i="40"/>
  <c r="D14" i="40"/>
  <c r="C14" i="40"/>
  <c r="B14" i="40"/>
  <c r="E13" i="40"/>
  <c r="D13" i="40"/>
  <c r="E12" i="40"/>
  <c r="D12" i="40"/>
  <c r="E11" i="40"/>
  <c r="D11" i="40"/>
  <c r="E10" i="40"/>
  <c r="D10" i="40"/>
  <c r="O14" i="39"/>
  <c r="N14" i="39"/>
  <c r="M14" i="39"/>
  <c r="L14" i="39"/>
  <c r="K14" i="39"/>
  <c r="J14" i="39"/>
  <c r="I14" i="39"/>
  <c r="H14" i="39"/>
  <c r="G14" i="39"/>
  <c r="F14" i="39"/>
  <c r="E14" i="39"/>
  <c r="D14" i="39"/>
  <c r="C14" i="39"/>
  <c r="B14" i="39"/>
  <c r="E13" i="39"/>
  <c r="D13" i="39"/>
  <c r="E12" i="39"/>
  <c r="D12" i="39"/>
  <c r="E11" i="39"/>
  <c r="D11" i="39"/>
  <c r="E10" i="39"/>
  <c r="D10" i="39"/>
  <c r="I104" i="38"/>
  <c r="H104" i="38"/>
  <c r="G104" i="38"/>
  <c r="F104" i="38"/>
  <c r="K103" i="38"/>
  <c r="J103" i="38"/>
  <c r="K102" i="38"/>
  <c r="J102" i="38"/>
  <c r="K101" i="38"/>
  <c r="J101" i="38"/>
  <c r="K100" i="38"/>
  <c r="J100" i="38"/>
  <c r="K99" i="38"/>
  <c r="J99" i="38"/>
  <c r="K98" i="38"/>
  <c r="J98" i="38"/>
  <c r="K97" i="38"/>
  <c r="J97" i="38"/>
  <c r="K96" i="38"/>
  <c r="J96" i="38"/>
  <c r="K95" i="38"/>
  <c r="J95" i="38"/>
  <c r="K94" i="38"/>
  <c r="J94" i="38"/>
  <c r="K93" i="38"/>
  <c r="J93" i="38"/>
  <c r="K92" i="38"/>
  <c r="J92" i="38"/>
  <c r="K91" i="38"/>
  <c r="J91" i="38"/>
  <c r="K90" i="38"/>
  <c r="J90" i="38"/>
  <c r="K89" i="38"/>
  <c r="J89" i="38"/>
  <c r="K88" i="38"/>
  <c r="J88" i="38"/>
  <c r="K87" i="38"/>
  <c r="J87" i="38"/>
  <c r="K86" i="38"/>
  <c r="J86" i="38"/>
  <c r="K85" i="38"/>
  <c r="J85" i="38"/>
  <c r="K84" i="38"/>
  <c r="J84" i="38"/>
  <c r="K83" i="38"/>
  <c r="J83" i="38"/>
  <c r="K82" i="38"/>
  <c r="J82" i="38"/>
  <c r="K81" i="38"/>
  <c r="J81" i="38"/>
  <c r="K80" i="38"/>
  <c r="K104" i="38" s="1"/>
  <c r="J80" i="38"/>
  <c r="J104" i="38" s="1"/>
  <c r="F73" i="38"/>
  <c r="E73" i="38"/>
  <c r="D73" i="38"/>
  <c r="H73" i="38" s="1"/>
  <c r="C73" i="38"/>
  <c r="G73" i="38" s="1"/>
  <c r="H72" i="38"/>
  <c r="G72" i="38"/>
  <c r="H71" i="38"/>
  <c r="G71" i="38"/>
  <c r="M70" i="38"/>
  <c r="H70" i="38"/>
  <c r="G70" i="38"/>
  <c r="H69" i="38"/>
  <c r="G69" i="38"/>
  <c r="H68" i="38"/>
  <c r="G68" i="38"/>
  <c r="H67" i="38"/>
  <c r="G67" i="38"/>
  <c r="S61" i="38"/>
  <c r="R61" i="38"/>
  <c r="Q60" i="38"/>
  <c r="P60" i="38"/>
  <c r="O60" i="38"/>
  <c r="N60" i="38"/>
  <c r="M60" i="38"/>
  <c r="L60" i="38"/>
  <c r="K60" i="38"/>
  <c r="J60" i="38"/>
  <c r="I60" i="38"/>
  <c r="H60" i="38"/>
  <c r="G60" i="38"/>
  <c r="F60" i="38"/>
  <c r="E60" i="38"/>
  <c r="D60" i="38"/>
  <c r="S59" i="38"/>
  <c r="R59" i="38"/>
  <c r="R60" i="38" s="1"/>
  <c r="U58" i="38"/>
  <c r="T58" i="38"/>
  <c r="S58" i="38"/>
  <c r="S60" i="38" s="1"/>
  <c r="R58" i="38"/>
  <c r="S57" i="38"/>
  <c r="R57" i="38"/>
  <c r="I50" i="38"/>
  <c r="H50" i="38"/>
  <c r="G50" i="38"/>
  <c r="F50" i="38"/>
  <c r="E50" i="38"/>
  <c r="D50" i="38"/>
  <c r="J50" i="38" s="1"/>
  <c r="C50" i="38"/>
  <c r="K50" i="38" s="1"/>
  <c r="B50" i="38"/>
  <c r="K49" i="38"/>
  <c r="J49" i="38"/>
  <c r="K48" i="38"/>
  <c r="J48" i="38"/>
  <c r="K47" i="38"/>
  <c r="J47" i="38"/>
  <c r="K46" i="38"/>
  <c r="J46" i="38"/>
  <c r="J41" i="38"/>
  <c r="F41" i="38"/>
  <c r="B41" i="38"/>
  <c r="P40" i="38"/>
  <c r="O40" i="38"/>
  <c r="N40" i="38"/>
  <c r="P39" i="38"/>
  <c r="O39" i="38"/>
  <c r="O41" i="38" s="1"/>
  <c r="N39" i="38"/>
  <c r="P38" i="38"/>
  <c r="N38" i="38"/>
  <c r="P37" i="38"/>
  <c r="N37" i="38"/>
  <c r="N41" i="38" s="1"/>
  <c r="O32" i="38"/>
  <c r="N32" i="38"/>
  <c r="M32" i="38"/>
  <c r="L32" i="38"/>
  <c r="K32" i="38"/>
  <c r="J32" i="38"/>
  <c r="I32" i="38"/>
  <c r="H32" i="38"/>
  <c r="G32" i="38"/>
  <c r="F32" i="38"/>
  <c r="E32" i="38"/>
  <c r="D32" i="38"/>
  <c r="C32" i="38"/>
  <c r="B32" i="38"/>
  <c r="Q31" i="38"/>
  <c r="P31" i="38"/>
  <c r="Q30" i="38"/>
  <c r="P30" i="38"/>
  <c r="Q29" i="38"/>
  <c r="P29" i="38"/>
  <c r="Q28" i="38"/>
  <c r="Q32" i="38" s="1"/>
  <c r="P28" i="38"/>
  <c r="P32" i="38" s="1"/>
  <c r="Q15" i="38"/>
  <c r="P15" i="38"/>
  <c r="O15" i="38"/>
  <c r="N15" i="38"/>
  <c r="M15" i="38"/>
  <c r="L15" i="38"/>
  <c r="K15" i="38"/>
  <c r="J15" i="38"/>
  <c r="I15" i="38"/>
  <c r="H15" i="38"/>
  <c r="G15" i="38"/>
  <c r="F15" i="38"/>
  <c r="E15" i="38"/>
  <c r="D15" i="38"/>
  <c r="C15" i="38"/>
  <c r="B15" i="38"/>
  <c r="S14" i="38"/>
  <c r="R14" i="38"/>
  <c r="S13" i="38"/>
  <c r="R13" i="38"/>
  <c r="S12" i="38"/>
  <c r="R12" i="38"/>
  <c r="S11" i="38"/>
  <c r="S15" i="38" s="1"/>
  <c r="R11" i="38"/>
  <c r="R15" i="38" s="1"/>
  <c r="I104" i="37"/>
  <c r="H104" i="37"/>
  <c r="G104" i="37"/>
  <c r="F104" i="37"/>
  <c r="K103" i="37"/>
  <c r="J103" i="37"/>
  <c r="K102" i="37"/>
  <c r="J102" i="37"/>
  <c r="K101" i="37"/>
  <c r="J101" i="37"/>
  <c r="K100" i="37"/>
  <c r="J100" i="37"/>
  <c r="K99" i="37"/>
  <c r="J99" i="37"/>
  <c r="K98" i="37"/>
  <c r="J98" i="37"/>
  <c r="K97" i="37"/>
  <c r="J97" i="37"/>
  <c r="K96" i="37"/>
  <c r="J96" i="37"/>
  <c r="K95" i="37"/>
  <c r="J95" i="37"/>
  <c r="K94" i="37"/>
  <c r="J94" i="37"/>
  <c r="K93" i="37"/>
  <c r="J93" i="37"/>
  <c r="K92" i="37"/>
  <c r="J92" i="37"/>
  <c r="K91" i="37"/>
  <c r="J91" i="37"/>
  <c r="K90" i="37"/>
  <c r="J90" i="37"/>
  <c r="K89" i="37"/>
  <c r="J89" i="37"/>
  <c r="K88" i="37"/>
  <c r="J88" i="37"/>
  <c r="K87" i="37"/>
  <c r="J87" i="37"/>
  <c r="K86" i="37"/>
  <c r="J86" i="37"/>
  <c r="K85" i="37"/>
  <c r="J85" i="37"/>
  <c r="K84" i="37"/>
  <c r="J84" i="37"/>
  <c r="K83" i="37"/>
  <c r="J83" i="37"/>
  <c r="K82" i="37"/>
  <c r="K104" i="37" s="1"/>
  <c r="J82" i="37"/>
  <c r="K81" i="37"/>
  <c r="J81" i="37"/>
  <c r="K80" i="37"/>
  <c r="J80" i="37"/>
  <c r="F73" i="37"/>
  <c r="E73" i="37"/>
  <c r="D73" i="37"/>
  <c r="C73" i="37"/>
  <c r="H72" i="37"/>
  <c r="G72" i="37"/>
  <c r="H71" i="37"/>
  <c r="G71" i="37"/>
  <c r="M70" i="37"/>
  <c r="H70" i="37"/>
  <c r="G70" i="37"/>
  <c r="H69" i="37"/>
  <c r="G69" i="37"/>
  <c r="H68" i="37"/>
  <c r="G68" i="37"/>
  <c r="H67" i="37"/>
  <c r="G67" i="37"/>
  <c r="S61" i="37"/>
  <c r="R61" i="37"/>
  <c r="Q60" i="37"/>
  <c r="P60" i="37"/>
  <c r="O60" i="37"/>
  <c r="N60" i="37"/>
  <c r="M60" i="37"/>
  <c r="L60" i="37"/>
  <c r="K60" i="37"/>
  <c r="J60" i="37"/>
  <c r="I60" i="37"/>
  <c r="H60" i="37"/>
  <c r="G60" i="37"/>
  <c r="F60" i="37"/>
  <c r="E60" i="37"/>
  <c r="D60" i="37"/>
  <c r="S59" i="37"/>
  <c r="R59" i="37"/>
  <c r="U58" i="37"/>
  <c r="T58" i="37"/>
  <c r="S58" i="37"/>
  <c r="S60" i="37" s="1"/>
  <c r="R58" i="37"/>
  <c r="R60" i="37" s="1"/>
  <c r="S57" i="37"/>
  <c r="R57" i="37"/>
  <c r="I50" i="37"/>
  <c r="H50" i="37"/>
  <c r="G50" i="37"/>
  <c r="F50" i="37"/>
  <c r="E50" i="37"/>
  <c r="D50" i="37"/>
  <c r="C50" i="37"/>
  <c r="B50" i="37"/>
  <c r="K49" i="37"/>
  <c r="J49" i="37"/>
  <c r="K48" i="37"/>
  <c r="J48" i="37"/>
  <c r="K47" i="37"/>
  <c r="J47" i="37"/>
  <c r="K46" i="37"/>
  <c r="J46" i="37"/>
  <c r="O41" i="37"/>
  <c r="J41" i="37"/>
  <c r="F41" i="37"/>
  <c r="B41" i="37"/>
  <c r="P40" i="37"/>
  <c r="O40" i="37"/>
  <c r="N40" i="37"/>
  <c r="P39" i="37"/>
  <c r="O39" i="37"/>
  <c r="N39" i="37"/>
  <c r="P38" i="37"/>
  <c r="N38" i="37"/>
  <c r="P37" i="37"/>
  <c r="N37" i="37"/>
  <c r="O32" i="37"/>
  <c r="N32" i="37"/>
  <c r="M32" i="37"/>
  <c r="L32" i="37"/>
  <c r="K32" i="37"/>
  <c r="J32" i="37"/>
  <c r="I32" i="37"/>
  <c r="H32" i="37"/>
  <c r="G32" i="37"/>
  <c r="F32" i="37"/>
  <c r="E32" i="37"/>
  <c r="D32" i="37"/>
  <c r="C32" i="37"/>
  <c r="B32" i="37"/>
  <c r="Q31" i="37"/>
  <c r="P31" i="37"/>
  <c r="Q30" i="37"/>
  <c r="P30" i="37"/>
  <c r="Q29" i="37"/>
  <c r="P29" i="37"/>
  <c r="Q28" i="37"/>
  <c r="Q32" i="37" s="1"/>
  <c r="P28" i="37"/>
  <c r="P32" i="37" s="1"/>
  <c r="Q15" i="37"/>
  <c r="P15" i="37"/>
  <c r="O15" i="37"/>
  <c r="N15" i="37"/>
  <c r="M15" i="37"/>
  <c r="L15" i="37"/>
  <c r="K15" i="37"/>
  <c r="J15" i="37"/>
  <c r="I15" i="37"/>
  <c r="H15" i="37"/>
  <c r="G15" i="37"/>
  <c r="F15" i="37"/>
  <c r="E15" i="37"/>
  <c r="D15" i="37"/>
  <c r="C15" i="37"/>
  <c r="B15" i="37"/>
  <c r="S14" i="37"/>
  <c r="R14" i="37"/>
  <c r="S13" i="37"/>
  <c r="R13" i="37"/>
  <c r="S12" i="37"/>
  <c r="R12" i="37"/>
  <c r="S11" i="37"/>
  <c r="S15" i="37" s="1"/>
  <c r="R11" i="37"/>
  <c r="R15" i="37" s="1"/>
  <c r="I104" i="36"/>
  <c r="H104" i="36"/>
  <c r="G104" i="36"/>
  <c r="F104" i="36"/>
  <c r="K103" i="36"/>
  <c r="J103" i="36"/>
  <c r="K102" i="36"/>
  <c r="J102" i="36"/>
  <c r="K101" i="36"/>
  <c r="J101" i="36"/>
  <c r="K100" i="36"/>
  <c r="J100" i="36"/>
  <c r="K99" i="36"/>
  <c r="J99" i="36"/>
  <c r="K98" i="36"/>
  <c r="J98" i="36"/>
  <c r="K97" i="36"/>
  <c r="J97" i="36"/>
  <c r="K96" i="36"/>
  <c r="J96" i="36"/>
  <c r="K95" i="36"/>
  <c r="J95" i="36"/>
  <c r="K94" i="36"/>
  <c r="J94" i="36"/>
  <c r="K93" i="36"/>
  <c r="J93" i="36"/>
  <c r="K92" i="36"/>
  <c r="J92" i="36"/>
  <c r="K91" i="36"/>
  <c r="J91" i="36"/>
  <c r="K90" i="36"/>
  <c r="J90" i="36"/>
  <c r="K89" i="36"/>
  <c r="J89" i="36"/>
  <c r="K88" i="36"/>
  <c r="J88" i="36"/>
  <c r="K87" i="36"/>
  <c r="J87" i="36"/>
  <c r="K86" i="36"/>
  <c r="J86" i="36"/>
  <c r="K85" i="36"/>
  <c r="J85" i="36"/>
  <c r="K84" i="36"/>
  <c r="J84" i="36"/>
  <c r="K83" i="36"/>
  <c r="J83" i="36"/>
  <c r="K82" i="36"/>
  <c r="J82" i="36"/>
  <c r="K81" i="36"/>
  <c r="J81" i="36"/>
  <c r="K80" i="36"/>
  <c r="K104" i="36" s="1"/>
  <c r="J80" i="36"/>
  <c r="J104" i="36" s="1"/>
  <c r="F73" i="36"/>
  <c r="E73" i="36"/>
  <c r="D73" i="36"/>
  <c r="H73" i="36" s="1"/>
  <c r="C73" i="36"/>
  <c r="G73" i="36" s="1"/>
  <c r="H72" i="36"/>
  <c r="G72" i="36"/>
  <c r="H71" i="36"/>
  <c r="G71" i="36"/>
  <c r="M70" i="36"/>
  <c r="H70" i="36"/>
  <c r="G70" i="36"/>
  <c r="H69" i="36"/>
  <c r="G69" i="36"/>
  <c r="H68" i="36"/>
  <c r="G68" i="36"/>
  <c r="H67" i="36"/>
  <c r="G67" i="36"/>
  <c r="S61" i="36"/>
  <c r="R61" i="36"/>
  <c r="Q60" i="36"/>
  <c r="P60" i="36"/>
  <c r="O60" i="36"/>
  <c r="N60" i="36"/>
  <c r="M60" i="36"/>
  <c r="L60" i="36"/>
  <c r="K60" i="36"/>
  <c r="J60" i="36"/>
  <c r="I60" i="36"/>
  <c r="H60" i="36"/>
  <c r="G60" i="36"/>
  <c r="F60" i="36"/>
  <c r="E60" i="36"/>
  <c r="D60" i="36"/>
  <c r="S59" i="36"/>
  <c r="R59" i="36"/>
  <c r="R60" i="36" s="1"/>
  <c r="U58" i="36"/>
  <c r="T58" i="36"/>
  <c r="S58" i="36"/>
  <c r="R58" i="36"/>
  <c r="S57" i="36"/>
  <c r="S60" i="36" s="1"/>
  <c r="R57" i="36"/>
  <c r="I50" i="36"/>
  <c r="H50" i="36"/>
  <c r="G50" i="36"/>
  <c r="F50" i="36"/>
  <c r="E50" i="36"/>
  <c r="D50" i="36"/>
  <c r="J50" i="36" s="1"/>
  <c r="C50" i="36"/>
  <c r="K50" i="36" s="1"/>
  <c r="B50" i="36"/>
  <c r="K49" i="36"/>
  <c r="J49" i="36"/>
  <c r="K48" i="36"/>
  <c r="J48" i="36"/>
  <c r="K47" i="36"/>
  <c r="J47" i="36"/>
  <c r="K46" i="36"/>
  <c r="J46" i="36"/>
  <c r="O41" i="36"/>
  <c r="J41" i="36"/>
  <c r="F41" i="36"/>
  <c r="B41" i="36"/>
  <c r="P40" i="36"/>
  <c r="O40" i="36"/>
  <c r="N40" i="36"/>
  <c r="P39" i="36"/>
  <c r="O39" i="36"/>
  <c r="N39" i="36"/>
  <c r="P38" i="36"/>
  <c r="N38" i="36"/>
  <c r="P37" i="36"/>
  <c r="N37" i="36"/>
  <c r="N41" i="36" s="1"/>
  <c r="O32" i="36"/>
  <c r="N32" i="36"/>
  <c r="M32" i="36"/>
  <c r="L32" i="36"/>
  <c r="K32" i="36"/>
  <c r="J32" i="36"/>
  <c r="I32" i="36"/>
  <c r="H32" i="36"/>
  <c r="G32" i="36"/>
  <c r="F32" i="36"/>
  <c r="E32" i="36"/>
  <c r="D32" i="36"/>
  <c r="C32" i="36"/>
  <c r="B32" i="36"/>
  <c r="Q31" i="36"/>
  <c r="P31" i="36"/>
  <c r="Q30" i="36"/>
  <c r="P30" i="36"/>
  <c r="Q29" i="36"/>
  <c r="P29" i="36"/>
  <c r="Q28" i="36"/>
  <c r="Q32" i="36" s="1"/>
  <c r="P28" i="36"/>
  <c r="P32" i="36" s="1"/>
  <c r="Q15" i="36"/>
  <c r="P15" i="36"/>
  <c r="O15" i="36"/>
  <c r="N15" i="36"/>
  <c r="M15" i="36"/>
  <c r="L15" i="36"/>
  <c r="K15" i="36"/>
  <c r="J15" i="36"/>
  <c r="I15" i="36"/>
  <c r="H15" i="36"/>
  <c r="G15" i="36"/>
  <c r="F15" i="36"/>
  <c r="E15" i="36"/>
  <c r="D15" i="36"/>
  <c r="C15" i="36"/>
  <c r="B15" i="36"/>
  <c r="S14" i="36"/>
  <c r="R14" i="36"/>
  <c r="S13" i="36"/>
  <c r="R13" i="36"/>
  <c r="S12" i="36"/>
  <c r="R12" i="36"/>
  <c r="S11" i="36"/>
  <c r="S15" i="36" s="1"/>
  <c r="R11" i="36"/>
  <c r="R15" i="36" s="1"/>
  <c r="I104" i="35"/>
  <c r="H104" i="35"/>
  <c r="G104" i="35"/>
  <c r="F104" i="35"/>
  <c r="K103" i="35"/>
  <c r="J103" i="35"/>
  <c r="K102" i="35"/>
  <c r="J102" i="35"/>
  <c r="K101" i="35"/>
  <c r="J101" i="35"/>
  <c r="K100" i="35"/>
  <c r="J100" i="35"/>
  <c r="K99" i="35"/>
  <c r="J99" i="35"/>
  <c r="K98" i="35"/>
  <c r="J98" i="35"/>
  <c r="K97" i="35"/>
  <c r="J97" i="35"/>
  <c r="K96" i="35"/>
  <c r="J96" i="35"/>
  <c r="K95" i="35"/>
  <c r="J95" i="35"/>
  <c r="K94" i="35"/>
  <c r="J94" i="35"/>
  <c r="K93" i="35"/>
  <c r="J93" i="35"/>
  <c r="K92" i="35"/>
  <c r="J92" i="35"/>
  <c r="K91" i="35"/>
  <c r="J91" i="35"/>
  <c r="K90" i="35"/>
  <c r="J90" i="35"/>
  <c r="K89" i="35"/>
  <c r="J89" i="35"/>
  <c r="K88" i="35"/>
  <c r="J88" i="35"/>
  <c r="K87" i="35"/>
  <c r="J87" i="35"/>
  <c r="K86" i="35"/>
  <c r="J86" i="35"/>
  <c r="K85" i="35"/>
  <c r="J85" i="35"/>
  <c r="K84" i="35"/>
  <c r="J84" i="35"/>
  <c r="K83" i="35"/>
  <c r="J83" i="35"/>
  <c r="K82" i="35"/>
  <c r="J82" i="35"/>
  <c r="K81" i="35"/>
  <c r="J81" i="35"/>
  <c r="K80" i="35"/>
  <c r="K104" i="35" s="1"/>
  <c r="J80" i="35"/>
  <c r="J104" i="35" s="1"/>
  <c r="F73" i="35"/>
  <c r="E73" i="35"/>
  <c r="D73" i="35"/>
  <c r="H73" i="35" s="1"/>
  <c r="C73" i="35"/>
  <c r="G73" i="35" s="1"/>
  <c r="H72" i="35"/>
  <c r="G72" i="35"/>
  <c r="H71" i="35"/>
  <c r="G71" i="35"/>
  <c r="M70" i="35"/>
  <c r="H70" i="35"/>
  <c r="G70" i="35"/>
  <c r="H69" i="35"/>
  <c r="G69" i="35"/>
  <c r="H68" i="35"/>
  <c r="G68" i="35"/>
  <c r="H67" i="35"/>
  <c r="G67" i="35"/>
  <c r="S61" i="35"/>
  <c r="R61" i="35"/>
  <c r="Q60" i="35"/>
  <c r="P60" i="35"/>
  <c r="O60" i="35"/>
  <c r="N60" i="35"/>
  <c r="M60" i="35"/>
  <c r="L60" i="35"/>
  <c r="K60" i="35"/>
  <c r="J60" i="35"/>
  <c r="I60" i="35"/>
  <c r="H60" i="35"/>
  <c r="G60" i="35"/>
  <c r="F60" i="35"/>
  <c r="E60" i="35"/>
  <c r="D60" i="35"/>
  <c r="S59" i="35"/>
  <c r="R59" i="35"/>
  <c r="R60" i="35" s="1"/>
  <c r="U58" i="35"/>
  <c r="T58" i="35"/>
  <c r="S58" i="35"/>
  <c r="S60" i="35" s="1"/>
  <c r="R58" i="35"/>
  <c r="S57" i="35"/>
  <c r="R57" i="35"/>
  <c r="I50" i="35"/>
  <c r="H50" i="35"/>
  <c r="G50" i="35"/>
  <c r="F50" i="35"/>
  <c r="E50" i="35"/>
  <c r="D50" i="35"/>
  <c r="J50" i="35" s="1"/>
  <c r="C50" i="35"/>
  <c r="K50" i="35" s="1"/>
  <c r="B50" i="35"/>
  <c r="K49" i="35"/>
  <c r="J49" i="35"/>
  <c r="K48" i="35"/>
  <c r="J48" i="35"/>
  <c r="K47" i="35"/>
  <c r="J47" i="35"/>
  <c r="K46" i="35"/>
  <c r="J46" i="35"/>
  <c r="O41" i="35"/>
  <c r="J41" i="35"/>
  <c r="F41" i="35"/>
  <c r="B41" i="35"/>
  <c r="P40" i="35"/>
  <c r="O40" i="35"/>
  <c r="N40" i="35"/>
  <c r="P39" i="35"/>
  <c r="O39" i="35"/>
  <c r="N39" i="35"/>
  <c r="P38" i="35"/>
  <c r="N38" i="35"/>
  <c r="P37" i="35"/>
  <c r="N37" i="35"/>
  <c r="N41" i="35" s="1"/>
  <c r="O32" i="35"/>
  <c r="N32" i="35"/>
  <c r="M32" i="35"/>
  <c r="L32" i="35"/>
  <c r="K32" i="35"/>
  <c r="J32" i="35"/>
  <c r="I32" i="35"/>
  <c r="H32" i="35"/>
  <c r="G32" i="35"/>
  <c r="F32" i="35"/>
  <c r="E32" i="35"/>
  <c r="D32" i="35"/>
  <c r="C32" i="35"/>
  <c r="B32" i="35"/>
  <c r="Q31" i="35"/>
  <c r="P31" i="35"/>
  <c r="Q30" i="35"/>
  <c r="P30" i="35"/>
  <c r="Q29" i="35"/>
  <c r="P29" i="35"/>
  <c r="Q28" i="35"/>
  <c r="Q32" i="35" s="1"/>
  <c r="P28" i="35"/>
  <c r="P32" i="35" s="1"/>
  <c r="Q15" i="35"/>
  <c r="P15" i="35"/>
  <c r="O15" i="35"/>
  <c r="N15" i="35"/>
  <c r="M15" i="35"/>
  <c r="L15" i="35"/>
  <c r="K15" i="35"/>
  <c r="J15" i="35"/>
  <c r="I15" i="35"/>
  <c r="H15" i="35"/>
  <c r="G15" i="35"/>
  <c r="F15" i="35"/>
  <c r="E15" i="35"/>
  <c r="D15" i="35"/>
  <c r="C15" i="35"/>
  <c r="B15" i="35"/>
  <c r="S14" i="35"/>
  <c r="R14" i="35"/>
  <c r="S13" i="35"/>
  <c r="R13" i="35"/>
  <c r="S12" i="35"/>
  <c r="R12" i="35"/>
  <c r="S11" i="35"/>
  <c r="S15" i="35" s="1"/>
  <c r="R11" i="35"/>
  <c r="R15" i="35" s="1"/>
  <c r="E13" i="30"/>
  <c r="E12" i="30"/>
  <c r="E11" i="30"/>
  <c r="AE40" i="1"/>
  <c r="E10" i="30"/>
  <c r="E14" i="30" s="1"/>
  <c r="D11" i="30"/>
  <c r="D12" i="30"/>
  <c r="D13" i="30"/>
  <c r="D10" i="30"/>
  <c r="D14" i="30" s="1"/>
  <c r="Q60" i="16"/>
  <c r="P60" i="16"/>
  <c r="O60" i="16"/>
  <c r="N60" i="16"/>
  <c r="M60" i="16"/>
  <c r="L60" i="16"/>
  <c r="K60" i="16"/>
  <c r="J60" i="16"/>
  <c r="I60" i="16"/>
  <c r="H60" i="16"/>
  <c r="G60" i="16"/>
  <c r="F60" i="16"/>
  <c r="E60" i="16"/>
  <c r="D60" i="16"/>
  <c r="U58" i="16"/>
  <c r="T58" i="16"/>
  <c r="P40" i="16"/>
  <c r="P39" i="16"/>
  <c r="P38" i="16"/>
  <c r="P37" i="16"/>
  <c r="Q33" i="1"/>
  <c r="K65" i="1"/>
  <c r="K59" i="1"/>
  <c r="K53" i="1"/>
  <c r="K50" i="1"/>
  <c r="M14" i="30"/>
  <c r="L14" i="30"/>
  <c r="K14" i="30"/>
  <c r="J14" i="30"/>
  <c r="G68" i="16"/>
  <c r="H68" i="16"/>
  <c r="G69" i="16"/>
  <c r="H69" i="16"/>
  <c r="G70" i="16"/>
  <c r="H70" i="16"/>
  <c r="G71" i="16"/>
  <c r="H71" i="16"/>
  <c r="G72" i="16"/>
  <c r="H72" i="16"/>
  <c r="H67" i="16"/>
  <c r="G67" i="16"/>
  <c r="J47" i="16"/>
  <c r="K47" i="16"/>
  <c r="J48" i="16"/>
  <c r="K48" i="16"/>
  <c r="J49" i="16"/>
  <c r="K49" i="16"/>
  <c r="K46" i="16"/>
  <c r="J46" i="16"/>
  <c r="O14" i="30"/>
  <c r="N14" i="30"/>
  <c r="I14" i="30"/>
  <c r="H14" i="30"/>
  <c r="G14" i="30"/>
  <c r="F14" i="30"/>
  <c r="J41" i="16"/>
  <c r="F41" i="16"/>
  <c r="B41" i="16"/>
  <c r="O40" i="16"/>
  <c r="N40" i="16"/>
  <c r="O39" i="16"/>
  <c r="N39" i="16"/>
  <c r="N38" i="16"/>
  <c r="N37" i="16"/>
  <c r="M70" i="16"/>
  <c r="S61" i="16"/>
  <c r="R61" i="16"/>
  <c r="O41" i="16"/>
  <c r="N41" i="16"/>
  <c r="AK1" i="13"/>
  <c r="AC1" i="13"/>
  <c r="I104" i="16"/>
  <c r="H104" i="16"/>
  <c r="G104" i="16"/>
  <c r="F104" i="16"/>
  <c r="K103" i="16"/>
  <c r="J103" i="16"/>
  <c r="K102" i="16"/>
  <c r="J102" i="16"/>
  <c r="K101" i="16"/>
  <c r="J101" i="16"/>
  <c r="K100" i="16"/>
  <c r="J100" i="16"/>
  <c r="K99" i="16"/>
  <c r="J99" i="16"/>
  <c r="K98" i="16"/>
  <c r="J98" i="16"/>
  <c r="K97" i="16"/>
  <c r="J97" i="16"/>
  <c r="K96" i="16"/>
  <c r="J96" i="16"/>
  <c r="K95" i="16"/>
  <c r="J95" i="16"/>
  <c r="K94" i="16"/>
  <c r="J94" i="16"/>
  <c r="K93" i="16"/>
  <c r="J93" i="16"/>
  <c r="K92" i="16"/>
  <c r="J92" i="16"/>
  <c r="K91" i="16"/>
  <c r="J91" i="16"/>
  <c r="K90" i="16"/>
  <c r="J90" i="16"/>
  <c r="K89" i="16"/>
  <c r="J89" i="16"/>
  <c r="K88" i="16"/>
  <c r="J88" i="16"/>
  <c r="K87" i="16"/>
  <c r="J87" i="16"/>
  <c r="K86" i="16"/>
  <c r="J86" i="16"/>
  <c r="K85" i="16"/>
  <c r="J85" i="16"/>
  <c r="K84" i="16"/>
  <c r="J84" i="16"/>
  <c r="K83" i="16"/>
  <c r="J83" i="16"/>
  <c r="K82" i="16"/>
  <c r="J82" i="16"/>
  <c r="K81" i="16"/>
  <c r="J81" i="16"/>
  <c r="K80" i="16"/>
  <c r="J80" i="16"/>
  <c r="F73" i="16"/>
  <c r="E73" i="16"/>
  <c r="D73" i="16"/>
  <c r="C73" i="16"/>
  <c r="S59" i="16"/>
  <c r="R59" i="16"/>
  <c r="S58" i="16"/>
  <c r="R58" i="16"/>
  <c r="S57" i="16"/>
  <c r="R57" i="16"/>
  <c r="I50" i="16"/>
  <c r="H50" i="16"/>
  <c r="G50" i="16"/>
  <c r="F50" i="16"/>
  <c r="E50" i="16"/>
  <c r="D50" i="16"/>
  <c r="C50" i="16"/>
  <c r="B50" i="16"/>
  <c r="O32" i="16"/>
  <c r="N32" i="16"/>
  <c r="M32" i="16"/>
  <c r="L32" i="16"/>
  <c r="K32" i="16"/>
  <c r="J32" i="16"/>
  <c r="I32" i="16"/>
  <c r="H32" i="16"/>
  <c r="G32" i="16"/>
  <c r="F32" i="16"/>
  <c r="E32" i="16"/>
  <c r="D32" i="16"/>
  <c r="C32" i="16"/>
  <c r="B32" i="16"/>
  <c r="Q31" i="16"/>
  <c r="P31" i="16"/>
  <c r="Q30" i="16"/>
  <c r="P30" i="16"/>
  <c r="Q29" i="16"/>
  <c r="P29" i="16"/>
  <c r="Q28" i="16"/>
  <c r="P28" i="16"/>
  <c r="Q15" i="16"/>
  <c r="P15" i="16"/>
  <c r="O15" i="16"/>
  <c r="N15" i="16"/>
  <c r="M15" i="16"/>
  <c r="L15" i="16"/>
  <c r="K15" i="16"/>
  <c r="J15" i="16"/>
  <c r="I15" i="16"/>
  <c r="H15" i="16"/>
  <c r="G15" i="16"/>
  <c r="F15" i="16"/>
  <c r="E15" i="16"/>
  <c r="D15" i="16"/>
  <c r="C15" i="16"/>
  <c r="B15" i="16"/>
  <c r="S14" i="16"/>
  <c r="R14" i="16"/>
  <c r="S13" i="16"/>
  <c r="R13" i="16"/>
  <c r="S12" i="16"/>
  <c r="R12" i="16"/>
  <c r="S11" i="16"/>
  <c r="R11" i="16"/>
  <c r="Y1" i="13"/>
  <c r="J50" i="16"/>
  <c r="J104" i="16"/>
  <c r="K50" i="16"/>
  <c r="G73" i="16"/>
  <c r="H73" i="16"/>
  <c r="S60" i="16"/>
  <c r="K104" i="16"/>
  <c r="Q32" i="16"/>
  <c r="R60" i="16"/>
  <c r="P32" i="16"/>
  <c r="S15" i="16"/>
  <c r="R15" i="16"/>
  <c r="M277" i="14"/>
  <c r="L277" i="14"/>
  <c r="K277" i="14"/>
  <c r="J277" i="14"/>
  <c r="I277" i="14"/>
  <c r="H277" i="14"/>
  <c r="G277" i="14"/>
  <c r="F277" i="14"/>
  <c r="E277" i="14"/>
  <c r="D277" i="14"/>
  <c r="C277" i="14"/>
  <c r="B277" i="14"/>
  <c r="M244" i="14"/>
  <c r="C244" i="14"/>
  <c r="L244" i="14"/>
  <c r="K244" i="14"/>
  <c r="J244" i="14"/>
  <c r="I244" i="14"/>
  <c r="H244" i="14"/>
  <c r="G244" i="14"/>
  <c r="F244" i="14"/>
  <c r="E244" i="14"/>
  <c r="D244" i="14"/>
  <c r="B244" i="14"/>
  <c r="M213" i="14"/>
  <c r="L213" i="14"/>
  <c r="K213" i="14"/>
  <c r="J213" i="14"/>
  <c r="I213" i="14"/>
  <c r="H213" i="14"/>
  <c r="G213" i="14"/>
  <c r="F213" i="14"/>
  <c r="E213" i="14"/>
  <c r="D213" i="14"/>
  <c r="C213" i="14"/>
  <c r="B213" i="14"/>
  <c r="M180" i="14"/>
  <c r="L180" i="14"/>
  <c r="K180" i="14"/>
  <c r="J180" i="14"/>
  <c r="I180" i="14"/>
  <c r="H180" i="14"/>
  <c r="G180" i="14"/>
  <c r="F180" i="14"/>
  <c r="E180" i="14"/>
  <c r="D180" i="14"/>
  <c r="C180" i="14"/>
  <c r="B180" i="14"/>
  <c r="M149" i="14"/>
  <c r="C149" i="14"/>
  <c r="D149" i="14"/>
  <c r="E149" i="14"/>
  <c r="F149" i="14"/>
  <c r="G149" i="14"/>
  <c r="H149" i="14"/>
  <c r="I149" i="14"/>
  <c r="J149" i="14"/>
  <c r="K149" i="14"/>
  <c r="L149" i="14"/>
  <c r="B149" i="14"/>
  <c r="B143" i="14"/>
  <c r="C143" i="14"/>
  <c r="D143" i="14"/>
  <c r="E143" i="14"/>
  <c r="F143" i="14"/>
  <c r="G143" i="14"/>
  <c r="H143" i="14"/>
  <c r="I143" i="14"/>
  <c r="J143" i="14"/>
  <c r="K143" i="14"/>
  <c r="L143" i="14"/>
  <c r="M143" i="14"/>
  <c r="M115" i="14"/>
  <c r="L115" i="14"/>
  <c r="K115" i="14"/>
  <c r="J115" i="14"/>
  <c r="I115" i="14"/>
  <c r="H115" i="14"/>
  <c r="G115" i="14"/>
  <c r="F115" i="14"/>
  <c r="E115" i="14"/>
  <c r="D115" i="14"/>
  <c r="C115" i="14"/>
  <c r="B115" i="14"/>
  <c r="L77" i="14"/>
  <c r="M77" i="14"/>
  <c r="K77" i="14"/>
  <c r="J77" i="14"/>
  <c r="I77" i="14"/>
  <c r="H77" i="14"/>
  <c r="G77" i="14"/>
  <c r="F77" i="14"/>
  <c r="E77" i="14"/>
  <c r="D77" i="14"/>
  <c r="C77" i="14"/>
  <c r="B77" i="14"/>
  <c r="M48" i="14"/>
  <c r="L48" i="14"/>
  <c r="K48" i="14"/>
  <c r="J48" i="14"/>
  <c r="I48" i="14"/>
  <c r="H48" i="14"/>
  <c r="G48" i="14"/>
  <c r="F48" i="14"/>
  <c r="E48" i="14"/>
  <c r="D48" i="14"/>
  <c r="C48" i="14"/>
  <c r="B48" i="14"/>
  <c r="M15" i="14"/>
  <c r="C15" i="14"/>
  <c r="D15" i="14"/>
  <c r="E15" i="14"/>
  <c r="F15" i="14"/>
  <c r="G15" i="14"/>
  <c r="H15" i="14"/>
  <c r="I15" i="14"/>
  <c r="J15" i="14"/>
  <c r="K15" i="14"/>
  <c r="L15" i="14"/>
  <c r="B15" i="14"/>
  <c r="K1" i="13"/>
  <c r="F1" i="13"/>
  <c r="J42" i="1"/>
  <c r="H42" i="1"/>
  <c r="AE37" i="1"/>
  <c r="Q32" i="1"/>
  <c r="Q31" i="1"/>
  <c r="C14" i="30"/>
  <c r="B14" i="30"/>
  <c r="J34" i="1"/>
  <c r="S34" i="1"/>
  <c r="Q34" i="1"/>
  <c r="M34" i="1"/>
  <c r="G34" i="1"/>
  <c r="AB31" i="1"/>
  <c r="AB32" i="1"/>
  <c r="AB33" i="1"/>
  <c r="Y34" i="1"/>
  <c r="V34" i="1"/>
  <c r="X39" i="1"/>
  <c r="AA39" i="1"/>
  <c r="AE38" i="1"/>
  <c r="AE39" i="1"/>
  <c r="AB34" i="1"/>
  <c r="AB17" i="1"/>
  <c r="J104" i="37" l="1"/>
  <c r="G73" i="37"/>
  <c r="H73" i="37"/>
  <c r="J50" i="37"/>
  <c r="K50" i="37"/>
  <c r="N41" i="37"/>
</calcChain>
</file>

<file path=xl/sharedStrings.xml><?xml version="1.0" encoding="utf-8"?>
<sst xmlns="http://schemas.openxmlformats.org/spreadsheetml/2006/main" count="7019" uniqueCount="1508">
  <si>
    <t>REPÚBLICA DE ANGOLA</t>
  </si>
  <si>
    <t>MINISTÉRIO DA EDUCAÇÃO</t>
  </si>
  <si>
    <t xml:space="preserve">Gabinete de Estudos, Planeamento e Estatística         </t>
  </si>
  <si>
    <t>Centro de Recursos (S/N)</t>
  </si>
  <si>
    <t>Departamento de Estatística e Planificação</t>
  </si>
  <si>
    <t>Público</t>
  </si>
  <si>
    <t>Privado</t>
  </si>
  <si>
    <t>Público-Privado</t>
  </si>
  <si>
    <t>Última Classe Ensinada</t>
  </si>
  <si>
    <t>MF</t>
  </si>
  <si>
    <t>F</t>
  </si>
  <si>
    <t>Secretaria/s</t>
  </si>
  <si>
    <t>Guarda/s</t>
  </si>
  <si>
    <t>Limpeza</t>
  </si>
  <si>
    <t>Outros</t>
  </si>
  <si>
    <t>TOTAL</t>
  </si>
  <si>
    <t>Pessoal Administrativo e Auxiliar</t>
  </si>
  <si>
    <t>Docentes Administrativos</t>
  </si>
  <si>
    <t>Nº de Secretárias para Docentes</t>
  </si>
  <si>
    <t>Nacionais</t>
  </si>
  <si>
    <t>Estrangeiros</t>
  </si>
  <si>
    <t>Professores C/ Formação Pedagógica</t>
  </si>
  <si>
    <t>Definitivas</t>
  </si>
  <si>
    <t>Provisórias</t>
  </si>
  <si>
    <t>Improvisadas</t>
  </si>
  <si>
    <t>Cimento ou Tijolo</t>
  </si>
  <si>
    <t>Outros Materiais</t>
  </si>
  <si>
    <t>Campo para desporto</t>
  </si>
  <si>
    <t>Biblioteca</t>
  </si>
  <si>
    <t xml:space="preserve"> Infraestruturas de Suporte</t>
  </si>
  <si>
    <t>Total</t>
  </si>
  <si>
    <t>FORMULÁRIO DA ESCOLA</t>
  </si>
  <si>
    <t>Numero de Computadores com Internet</t>
  </si>
  <si>
    <t xml:space="preserve">   Para Rapazes</t>
  </si>
  <si>
    <t xml:space="preserve">   Para Raparigas</t>
  </si>
  <si>
    <t xml:space="preserve">   Para Professores</t>
  </si>
  <si>
    <t xml:space="preserve">   Para Directores</t>
  </si>
  <si>
    <t xml:space="preserve">   Para Alunos</t>
  </si>
  <si>
    <t xml:space="preserve">Numero de Projectores </t>
  </si>
  <si>
    <t>Coordenadas Geográficas</t>
  </si>
  <si>
    <t>Distância ao Centro de Recursos</t>
  </si>
  <si>
    <t>Distância à Direcção Provincial</t>
  </si>
  <si>
    <t>Idades</t>
  </si>
  <si>
    <t>Classes</t>
  </si>
  <si>
    <t xml:space="preserve">MF </t>
  </si>
  <si>
    <t>Iniciação</t>
  </si>
  <si>
    <t>Quadro 4. Alunos com deficiências</t>
  </si>
  <si>
    <t>Visual</t>
  </si>
  <si>
    <t>Auditiva</t>
  </si>
  <si>
    <t>Motora</t>
  </si>
  <si>
    <t>Outras</t>
  </si>
  <si>
    <t>Nível Académico dos Docentes</t>
  </si>
  <si>
    <t xml:space="preserve">Até a 6ª classe    </t>
  </si>
  <si>
    <t>7ª /8ª classe</t>
  </si>
  <si>
    <t>9ª /10ª classe</t>
  </si>
  <si>
    <t>11ª / 12ª/13ª classe</t>
  </si>
  <si>
    <t>Bacharelato</t>
  </si>
  <si>
    <t>2ª</t>
  </si>
  <si>
    <t>3ª</t>
  </si>
  <si>
    <t>5ª</t>
  </si>
  <si>
    <t>6ª</t>
  </si>
  <si>
    <t>1ª</t>
  </si>
  <si>
    <t>4ª</t>
  </si>
  <si>
    <t>Língua Portuguesa</t>
  </si>
  <si>
    <t>Sensorial</t>
  </si>
  <si>
    <t>7ª</t>
  </si>
  <si>
    <t>8ª</t>
  </si>
  <si>
    <t>9ª</t>
  </si>
  <si>
    <t>10ª</t>
  </si>
  <si>
    <t>11ª</t>
  </si>
  <si>
    <t>12ª</t>
  </si>
  <si>
    <t>13ª</t>
  </si>
  <si>
    <t>O RESPONSÁVEL PELA INFORMAÇÃO</t>
  </si>
  <si>
    <t>O DIRECTOR DA INSTITUIÇÃO</t>
  </si>
  <si>
    <t>__________________________________</t>
  </si>
  <si>
    <t xml:space="preserve">                    Assinatura</t>
  </si>
  <si>
    <t xml:space="preserve">               Assinatura e Carimbo</t>
  </si>
  <si>
    <t>Idade (em 30 Junho do presente ano)</t>
  </si>
  <si>
    <t>Tem Equipamento?</t>
  </si>
  <si>
    <t>Biologia</t>
  </si>
  <si>
    <t>Química</t>
  </si>
  <si>
    <t>Matemática</t>
  </si>
  <si>
    <t>Disciplina</t>
  </si>
  <si>
    <t>Lingua Portuguesa</t>
  </si>
  <si>
    <t>Lingua Estrangeira</t>
  </si>
  <si>
    <t>Informática</t>
  </si>
  <si>
    <t>Educação Física</t>
  </si>
  <si>
    <t>Filosofia</t>
  </si>
  <si>
    <t>Introdução ao Direito</t>
  </si>
  <si>
    <t>Introdução à Economia</t>
  </si>
  <si>
    <t>História</t>
  </si>
  <si>
    <t>Geografia</t>
  </si>
  <si>
    <t>Desenvolvimento Económico e Social</t>
  </si>
  <si>
    <t>Informações da Escola</t>
  </si>
  <si>
    <t>Natureza da Escola</t>
  </si>
  <si>
    <t>Pessoal Executivo</t>
  </si>
  <si>
    <t>Director</t>
  </si>
  <si>
    <t>Latitude</t>
  </si>
  <si>
    <t>Longitude</t>
  </si>
  <si>
    <t>Número</t>
  </si>
  <si>
    <t>Numero de Computad. na Escola (Total)</t>
  </si>
  <si>
    <t>Localização</t>
  </si>
  <si>
    <t>Turmas ao Ar Livre</t>
  </si>
  <si>
    <t>NOME DA ESCOLA</t>
  </si>
  <si>
    <t>Professores S/ Formação Pedagógica</t>
  </si>
  <si>
    <t>km</t>
  </si>
  <si>
    <t xml:space="preserve">Reunioes do Clube HIV/SIDA </t>
  </si>
  <si>
    <t>Alunos beneficiados pela Merenda</t>
  </si>
  <si>
    <t>Evacuação de Águas Residuais</t>
  </si>
  <si>
    <t>Alunos em Turmas Mistas</t>
  </si>
  <si>
    <t>Nº Assentos para Alunos (lugares)</t>
  </si>
  <si>
    <t>Professores com Formação Contínua PAT</t>
  </si>
  <si>
    <t>Salas/Turmas</t>
  </si>
  <si>
    <t>Salas da Escola para Aulas</t>
  </si>
  <si>
    <t>Salas para Professsores</t>
  </si>
  <si>
    <t xml:space="preserve">   Âmbito do Projecto</t>
  </si>
  <si>
    <t xml:space="preserve">   Valor do Projecto (Kwanzas)</t>
  </si>
  <si>
    <t>TOTAL DE SALAS ANEXAS</t>
  </si>
  <si>
    <t>Número da ZIP a que pertence</t>
  </si>
  <si>
    <t>COM Formação Pedagógica</t>
  </si>
  <si>
    <t>SEM Formação Pedagógica</t>
  </si>
  <si>
    <t>SEM Magistério Primário e SEM Formação Pedagógica</t>
  </si>
  <si>
    <t>SEM Magistério Primário e COM Formação Pedagógica</t>
  </si>
  <si>
    <t>COM Magistério Primário e COM INE Completo</t>
  </si>
  <si>
    <t>PREENCHER UMA FICHA POR CURSO</t>
  </si>
  <si>
    <t>PREENCHER UMA FICHA POR ÁREA</t>
  </si>
  <si>
    <t>FORMULÁRIO IIº CICLO TÉCNICO-PROFISSIONAL</t>
  </si>
  <si>
    <t>DECRETO DE CRIAÇÃO</t>
  </si>
  <si>
    <t>A Comissão funcionou no ano anterior?</t>
  </si>
  <si>
    <t>A Assembeia funcionou no ano anterior?</t>
  </si>
  <si>
    <t>Turmas Mistas (Aceleração)</t>
  </si>
  <si>
    <t>Nº de Carteiras</t>
  </si>
  <si>
    <t>Acesso a agua potável (Sim/Não)</t>
  </si>
  <si>
    <t>Acesso a electricidade (Sim/Não)</t>
  </si>
  <si>
    <t>Cantina escolar (Sim/Não)</t>
  </si>
  <si>
    <t>Ano Lectivo Passado</t>
  </si>
  <si>
    <t>Número de Casas Total (Prof.+Director)</t>
  </si>
  <si>
    <t>Tem Equipamentos do PAT (Sim/Não)</t>
  </si>
  <si>
    <t>Tem Proj. Educativo Especial do PAT (Sim/Não)</t>
  </si>
  <si>
    <t>Casa de Banho para Alunos (Total)</t>
  </si>
  <si>
    <t>Casa de Banho para Professores (Total)</t>
  </si>
  <si>
    <t xml:space="preserve">   Para Professoras</t>
  </si>
  <si>
    <t>Evacuação de Resíduos Sólidos (Lixo)</t>
  </si>
  <si>
    <t>Quadros didácticos utilizados</t>
  </si>
  <si>
    <t>Número Organismo</t>
  </si>
  <si>
    <t>Pós-Licenciado</t>
  </si>
  <si>
    <t>Total de alunos por idade (em 31 de Maio do presente ano)</t>
  </si>
  <si>
    <t>Dos quais com formação específica em educação especial</t>
  </si>
  <si>
    <t>Número de Vagas</t>
  </si>
  <si>
    <t>Licenciado</t>
  </si>
  <si>
    <t>Quadro 1.1: Total de Alunos Matriculados por classe e idade (incluindo os repetentes e os alunos com deficiência)</t>
  </si>
  <si>
    <t>Província</t>
  </si>
  <si>
    <t>Município</t>
  </si>
  <si>
    <t>Comuna</t>
  </si>
  <si>
    <t>Localidade</t>
  </si>
  <si>
    <t>Nome</t>
  </si>
  <si>
    <t>Idade</t>
  </si>
  <si>
    <t>Nível académico</t>
  </si>
  <si>
    <t>Email</t>
  </si>
  <si>
    <t>Nº de Telefone</t>
  </si>
  <si>
    <t>Especialidade</t>
  </si>
  <si>
    <t>Horas por semana como Docente</t>
  </si>
  <si>
    <t>Horas por semana como Director</t>
  </si>
  <si>
    <t>ANO LECTIVO</t>
  </si>
  <si>
    <t>Sim</t>
  </si>
  <si>
    <t>Não</t>
  </si>
  <si>
    <t>Bengo</t>
  </si>
  <si>
    <t>Benguela</t>
  </si>
  <si>
    <t>Bié</t>
  </si>
  <si>
    <t>Cabinda</t>
  </si>
  <si>
    <t>Kwanza Norte</t>
  </si>
  <si>
    <t>Kwanza Sul</t>
  </si>
  <si>
    <t>Cunene</t>
  </si>
  <si>
    <t>Huambo</t>
  </si>
  <si>
    <t>Huíla</t>
  </si>
  <si>
    <t>Luanda</t>
  </si>
  <si>
    <t>Lunda Norte</t>
  </si>
  <si>
    <t>Lunda Sul</t>
  </si>
  <si>
    <t>Moxico</t>
  </si>
  <si>
    <t>Namibe</t>
  </si>
  <si>
    <t>Uíge</t>
  </si>
  <si>
    <t>Zaire</t>
  </si>
  <si>
    <t>Ambriz</t>
  </si>
  <si>
    <t>Bula Atumba</t>
  </si>
  <si>
    <t>Barra do Dande</t>
  </si>
  <si>
    <t>Dande</t>
  </si>
  <si>
    <t>Bela Vista</t>
  </si>
  <si>
    <t>Dembos</t>
  </si>
  <si>
    <t>Bula-Atumba</t>
  </si>
  <si>
    <t>Nambuangongo</t>
  </si>
  <si>
    <t>Calomboloca</t>
  </si>
  <si>
    <t>Pango Aluquém</t>
  </si>
  <si>
    <t>Balombo</t>
  </si>
  <si>
    <t>Gombe</t>
  </si>
  <si>
    <t>Baía Farta</t>
  </si>
  <si>
    <t>Bocoio</t>
  </si>
  <si>
    <t>Kazua</t>
  </si>
  <si>
    <t>Caimbambo</t>
  </si>
  <si>
    <t>Kiaje</t>
  </si>
  <si>
    <t>Catumbela</t>
  </si>
  <si>
    <t>Paredes</t>
  </si>
  <si>
    <t>Chongoroi</t>
  </si>
  <si>
    <t>Kibaxe</t>
  </si>
  <si>
    <t>Cubal</t>
  </si>
  <si>
    <t>Ganda</t>
  </si>
  <si>
    <t>Lobito</t>
  </si>
  <si>
    <t>Mabubas</t>
  </si>
  <si>
    <t>Pango-Aluquem</t>
  </si>
  <si>
    <t>Piri</t>
  </si>
  <si>
    <t>Tabi</t>
  </si>
  <si>
    <t>Zala</t>
  </si>
  <si>
    <t>N'harêa</t>
  </si>
  <si>
    <t>Cacongo</t>
  </si>
  <si>
    <t>Calai</t>
  </si>
  <si>
    <t>Cuangar</t>
  </si>
  <si>
    <t>Cuchi</t>
  </si>
  <si>
    <t>Cuito Cuanavale</t>
  </si>
  <si>
    <t>Dirico</t>
  </si>
  <si>
    <t>Mavinga</t>
  </si>
  <si>
    <t>Menongue</t>
  </si>
  <si>
    <t>Nancova</t>
  </si>
  <si>
    <t>Rivungo</t>
  </si>
  <si>
    <t>Samba Cajú</t>
  </si>
  <si>
    <t>Sumbe</t>
  </si>
  <si>
    <t>Ebanga</t>
  </si>
  <si>
    <t>Ombadja</t>
  </si>
  <si>
    <t>Quipungo</t>
  </si>
  <si>
    <t>Viana</t>
  </si>
  <si>
    <t>Saurimo</t>
  </si>
  <si>
    <t>Cacuso</t>
  </si>
  <si>
    <t>Luena</t>
  </si>
  <si>
    <t>Bibala</t>
  </si>
  <si>
    <t>Camucuio</t>
  </si>
  <si>
    <t>Tômbua</t>
  </si>
  <si>
    <t>Virei</t>
  </si>
  <si>
    <t>Belize</t>
  </si>
  <si>
    <t>Kiluanje</t>
  </si>
  <si>
    <t>Mundundo</t>
  </si>
  <si>
    <t>Mulondo</t>
  </si>
  <si>
    <t>Calumbo</t>
  </si>
  <si>
    <t>Quitapa</t>
  </si>
  <si>
    <t>Luma Cassai</t>
  </si>
  <si>
    <t>Xandele</t>
  </si>
  <si>
    <t>Lucira</t>
  </si>
  <si>
    <t>Kinzau</t>
  </si>
  <si>
    <t>SimNao</t>
  </si>
  <si>
    <t>Ano</t>
  </si>
  <si>
    <t>Natureza</t>
  </si>
  <si>
    <t>UltimaClasse</t>
  </si>
  <si>
    <t>1ª Classe</t>
  </si>
  <si>
    <t>2ª Classe</t>
  </si>
  <si>
    <t>3ª Classe</t>
  </si>
  <si>
    <t>4ª Classe</t>
  </si>
  <si>
    <t>5ª Classe</t>
  </si>
  <si>
    <t>6ª Classe</t>
  </si>
  <si>
    <t>7ª Classe</t>
  </si>
  <si>
    <t>8ª Classe</t>
  </si>
  <si>
    <t>9ª Classe</t>
  </si>
  <si>
    <t>10ª Classe</t>
  </si>
  <si>
    <t>11ª Classe</t>
  </si>
  <si>
    <t>12ª Classe</t>
  </si>
  <si>
    <t>13ª Classe</t>
  </si>
  <si>
    <t>Turnos</t>
  </si>
  <si>
    <t>NivelAcademico</t>
  </si>
  <si>
    <t>até 6ª Classe</t>
  </si>
  <si>
    <t>7ª a 9ª Classe</t>
  </si>
  <si>
    <t>10ª a 11ª Classe</t>
  </si>
  <si>
    <t>12ª a 13ª Classe</t>
  </si>
  <si>
    <t>Bacharel</t>
  </si>
  <si>
    <t>Licenciatura</t>
  </si>
  <si>
    <t>Mestrado</t>
  </si>
  <si>
    <t>Douturamento ou mais</t>
  </si>
  <si>
    <t>TOTAL DE SALAS DA ESCOLA (Sem Salas Anexas)</t>
  </si>
  <si>
    <t>Ano de Início de Funcionamento da Escola</t>
  </si>
  <si>
    <t>15 Anos</t>
  </si>
  <si>
    <t>16 Anos</t>
  </si>
  <si>
    <t>17 Anos</t>
  </si>
  <si>
    <t>18 Anos</t>
  </si>
  <si>
    <t>19 Anos</t>
  </si>
  <si>
    <t>20 Anos</t>
  </si>
  <si>
    <t>21 Anos ou mais</t>
  </si>
  <si>
    <t>14 Anos ou menos</t>
  </si>
  <si>
    <t>ESPECIALIDADE</t>
  </si>
  <si>
    <t>ÁREA CONHECIMENTO</t>
  </si>
  <si>
    <t>CURSO</t>
  </si>
  <si>
    <t>Dembos Quibaxe</t>
  </si>
  <si>
    <t>Kuimba</t>
  </si>
  <si>
    <t>Mbanza Kongo</t>
  </si>
  <si>
    <t>Nzetu</t>
  </si>
  <si>
    <t>Tomboko</t>
  </si>
  <si>
    <t>Noki</t>
  </si>
  <si>
    <t>Soyo</t>
  </si>
  <si>
    <t>Cahama</t>
  </si>
  <si>
    <t>Cuvelai</t>
  </si>
  <si>
    <t>Namakunde</t>
  </si>
  <si>
    <t>Curoca</t>
  </si>
  <si>
    <t>Cuanhama</t>
  </si>
  <si>
    <t>Lubango</t>
  </si>
  <si>
    <t>Chipindo</t>
  </si>
  <si>
    <t>Humpata</t>
  </si>
  <si>
    <t>Caconda</t>
  </si>
  <si>
    <t>Cacula</t>
  </si>
  <si>
    <t>Caluquembe</t>
  </si>
  <si>
    <t>Matala</t>
  </si>
  <si>
    <t>Jamba</t>
  </si>
  <si>
    <t>Gambos</t>
  </si>
  <si>
    <t>Chibia</t>
  </si>
  <si>
    <t>Chicomba</t>
  </si>
  <si>
    <t>Cuvango</t>
  </si>
  <si>
    <t>Quilengues</t>
  </si>
  <si>
    <t>Banga</t>
  </si>
  <si>
    <t>Ambaca</t>
  </si>
  <si>
    <t>Bolongongo</t>
  </si>
  <si>
    <t>Gonguembo</t>
  </si>
  <si>
    <t>Golungo Alto</t>
  </si>
  <si>
    <t>Cambambe</t>
  </si>
  <si>
    <t>Cazengo</t>
  </si>
  <si>
    <t>Pango AluquÚm</t>
  </si>
  <si>
    <t>Lucala</t>
  </si>
  <si>
    <t>Quiculungo</t>
  </si>
  <si>
    <t>gonguembo</t>
  </si>
  <si>
    <t>Alto Zambeze</t>
  </si>
  <si>
    <t>Camanongue</t>
  </si>
  <si>
    <t>Luchazes</t>
  </si>
  <si>
    <t>Bundas</t>
  </si>
  <si>
    <t>Cameia</t>
  </si>
  <si>
    <t>Luacano</t>
  </si>
  <si>
    <t>Léua</t>
  </si>
  <si>
    <t>Luau</t>
  </si>
  <si>
    <t>Londuimbale</t>
  </si>
  <si>
    <t>Bailundo</t>
  </si>
  <si>
    <t>Caála</t>
  </si>
  <si>
    <t>Tchindjenje</t>
  </si>
  <si>
    <t>Catchiungo</t>
  </si>
  <si>
    <t>Ekunha</t>
  </si>
  <si>
    <t>Ukuma</t>
  </si>
  <si>
    <t>Mungo</t>
  </si>
  <si>
    <t>Tchicala-Tcholoanga</t>
  </si>
  <si>
    <t>Luanda - Distrito da Samba</t>
  </si>
  <si>
    <t>Luanda - Distrito da Ingombota</t>
  </si>
  <si>
    <t>Luanda - Distrito da Maianga</t>
  </si>
  <si>
    <t>Luanda - Distrito do Rangel</t>
  </si>
  <si>
    <t>Luanda - Distrito do Kilamba Kiaxi</t>
  </si>
  <si>
    <t>Luanda - Distrito do Sambizanga</t>
  </si>
  <si>
    <t>Belas</t>
  </si>
  <si>
    <t>Kissama</t>
  </si>
  <si>
    <t>Cazenga</t>
  </si>
  <si>
    <t>Cuango</t>
  </si>
  <si>
    <t>Caungula</t>
  </si>
  <si>
    <t>Xá -  Muteba</t>
  </si>
  <si>
    <t>Chitato</t>
  </si>
  <si>
    <t>Cuilo</t>
  </si>
  <si>
    <t>Capenda - Camulemba</t>
  </si>
  <si>
    <t>Lubalo</t>
  </si>
  <si>
    <t>Cambulo</t>
  </si>
  <si>
    <t>Lucapa</t>
  </si>
  <si>
    <t>Cahombo</t>
  </si>
  <si>
    <t>Kangandala</t>
  </si>
  <si>
    <t>Caculama</t>
  </si>
  <si>
    <t>Malanje</t>
  </si>
  <si>
    <t>Kalandula</t>
  </si>
  <si>
    <t>Marimba</t>
  </si>
  <si>
    <t>Luquembo</t>
  </si>
  <si>
    <t>Kambundi -Katembo</t>
  </si>
  <si>
    <t>Massango</t>
  </si>
  <si>
    <t>Kiwaba-Nzoji</t>
  </si>
  <si>
    <t>Kunda Dia Baze</t>
  </si>
  <si>
    <t>Quela</t>
  </si>
  <si>
    <t>Quirima</t>
  </si>
  <si>
    <t>Buco Zau</t>
  </si>
  <si>
    <t>Dungo</t>
  </si>
  <si>
    <t>Cuito</t>
  </si>
  <si>
    <t>Cacuaco</t>
  </si>
  <si>
    <t>Ícolo e Bengo</t>
  </si>
  <si>
    <t>Andulo</t>
  </si>
  <si>
    <t>Cunhinga</t>
  </si>
  <si>
    <t>Chitembo</t>
  </si>
  <si>
    <t>NHAREA</t>
  </si>
  <si>
    <t>Catabola</t>
  </si>
  <si>
    <t>Camacupa</t>
  </si>
  <si>
    <t>Chinguar</t>
  </si>
  <si>
    <t>Cuemba</t>
  </si>
  <si>
    <t>Longonjo</t>
  </si>
  <si>
    <t>Cachiungo</t>
  </si>
  <si>
    <t>Amboim</t>
  </si>
  <si>
    <t>Cassongue</t>
  </si>
  <si>
    <t>Cela</t>
  </si>
  <si>
    <t>Conda</t>
  </si>
  <si>
    <t>Ebo</t>
  </si>
  <si>
    <t>Quibala</t>
  </si>
  <si>
    <t>Quilanda</t>
  </si>
  <si>
    <t>Libolo</t>
  </si>
  <si>
    <t>Mussende</t>
  </si>
  <si>
    <t>Porto Amboim</t>
  </si>
  <si>
    <t>Seles</t>
  </si>
  <si>
    <t>Cacolo</t>
  </si>
  <si>
    <t>Dala</t>
  </si>
  <si>
    <t>Muconda</t>
  </si>
  <si>
    <t>Mucari</t>
  </si>
  <si>
    <t>Ambuíla</t>
  </si>
  <si>
    <t>Bembe</t>
  </si>
  <si>
    <t>Buengas</t>
  </si>
  <si>
    <t>Bungo</t>
  </si>
  <si>
    <t>Alto Cauale</t>
  </si>
  <si>
    <t>Damba</t>
  </si>
  <si>
    <t>Maquela do Zombo</t>
  </si>
  <si>
    <t>Mucaba</t>
  </si>
  <si>
    <t>Negage</t>
  </si>
  <si>
    <t>Puri</t>
  </si>
  <si>
    <t>Quimbele</t>
  </si>
  <si>
    <t>Quitexe</t>
  </si>
  <si>
    <t>Santa Cruz</t>
  </si>
  <si>
    <t>Sanza Pombo</t>
  </si>
  <si>
    <t>Songo</t>
  </si>
  <si>
    <t>Moximo</t>
  </si>
  <si>
    <t>SR - Municipio Sem Registo</t>
  </si>
  <si>
    <t>Milunga</t>
  </si>
  <si>
    <t>Lóvua</t>
  </si>
  <si>
    <t>SR - Comuna Sem Registo</t>
  </si>
  <si>
    <t>Quiage</t>
  </si>
  <si>
    <t>Sede B. Atumba</t>
  </si>
  <si>
    <t>Quicabo</t>
  </si>
  <si>
    <t>Sede Caxito</t>
  </si>
  <si>
    <t>Úcua</t>
  </si>
  <si>
    <t>Panguila</t>
  </si>
  <si>
    <t>Sede  Quibaxe</t>
  </si>
  <si>
    <t>Coxe</t>
  </si>
  <si>
    <t>Quixico</t>
  </si>
  <si>
    <t>Caje  Mazumbo</t>
  </si>
  <si>
    <t>Canacassala</t>
  </si>
  <si>
    <t>Kikunzo</t>
  </si>
  <si>
    <t>Muxaluando</t>
  </si>
  <si>
    <t>Cazua - Ngongo</t>
  </si>
  <si>
    <t>Pango Sede</t>
  </si>
  <si>
    <t>17 de Setembro</t>
  </si>
  <si>
    <t>27 de Março</t>
  </si>
  <si>
    <t>Akongo</t>
  </si>
  <si>
    <t>Alto Liro</t>
  </si>
  <si>
    <t>Alto-Liro</t>
  </si>
  <si>
    <t>Babaera</t>
  </si>
  <si>
    <t>Bela-Vista</t>
  </si>
  <si>
    <t>Benguela Mun</t>
  </si>
  <si>
    <t>Biopio</t>
  </si>
  <si>
    <t>Bolonguela</t>
  </si>
  <si>
    <t>Cabaia</t>
  </si>
  <si>
    <t>Calumba</t>
  </si>
  <si>
    <t>Camuine</t>
  </si>
  <si>
    <t>Canata</t>
  </si>
  <si>
    <t>Canhamela</t>
  </si>
  <si>
    <t>Canjala</t>
  </si>
  <si>
    <t>Casseque</t>
  </si>
  <si>
    <t>Catengue</t>
  </si>
  <si>
    <t>Chamume</t>
  </si>
  <si>
    <t>Chicuma</t>
  </si>
  <si>
    <t>Chila</t>
  </si>
  <si>
    <t>Chindumbo</t>
  </si>
  <si>
    <t>Chingongo</t>
  </si>
  <si>
    <t>Compão</t>
  </si>
  <si>
    <t>Cubal do Lumbo</t>
  </si>
  <si>
    <t>Culango</t>
  </si>
  <si>
    <t>Dombe Grande</t>
  </si>
  <si>
    <t>E. Praia</t>
  </si>
  <si>
    <t>E.Praia</t>
  </si>
  <si>
    <t>Egito Praia</t>
  </si>
  <si>
    <t>Equimina</t>
  </si>
  <si>
    <t>Gama</t>
  </si>
  <si>
    <t>H.Norte</t>
  </si>
  <si>
    <t>Kalohanga</t>
  </si>
  <si>
    <t>Kanhamela</t>
  </si>
  <si>
    <t>Kanjala</t>
  </si>
  <si>
    <t>Kapupa</t>
  </si>
  <si>
    <t>Kayave</t>
  </si>
  <si>
    <t>Kulango</t>
  </si>
  <si>
    <t>Liro</t>
  </si>
  <si>
    <t>Maka-Mombolo</t>
  </si>
  <si>
    <t>Malongo</t>
  </si>
  <si>
    <t>Monte Belo</t>
  </si>
  <si>
    <t>Ninguengue</t>
  </si>
  <si>
    <t>Passe</t>
  </si>
  <si>
    <t>Praia Bebe</t>
  </si>
  <si>
    <t>São João</t>
  </si>
  <si>
    <t>Tumbulo</t>
  </si>
  <si>
    <t>Wiyangombe</t>
  </si>
  <si>
    <t>Wyiangombe</t>
  </si>
  <si>
    <t>Yamabala</t>
  </si>
  <si>
    <t>Yambala</t>
  </si>
  <si>
    <t>Zona A</t>
  </si>
  <si>
    <t>Zona B</t>
  </si>
  <si>
    <t>zona C</t>
  </si>
  <si>
    <t>zona D</t>
  </si>
  <si>
    <t>zona E</t>
  </si>
  <si>
    <t>zona F</t>
  </si>
  <si>
    <t>Zona 1</t>
  </si>
  <si>
    <t>Zona -3</t>
  </si>
  <si>
    <t>Zona 3</t>
  </si>
  <si>
    <t>Zona- 4</t>
  </si>
  <si>
    <t>Zona- 5</t>
  </si>
  <si>
    <t>Zona 5</t>
  </si>
  <si>
    <t>Zona- C</t>
  </si>
  <si>
    <t>Zona Comercial</t>
  </si>
  <si>
    <t>Zona-1</t>
  </si>
  <si>
    <t>Zona-3</t>
  </si>
  <si>
    <t>Zona-4</t>
  </si>
  <si>
    <t>Zona4</t>
  </si>
  <si>
    <t>Zona-5</t>
  </si>
  <si>
    <t>Zona-6</t>
  </si>
  <si>
    <t>Zona-7</t>
  </si>
  <si>
    <t>Zona-8</t>
  </si>
  <si>
    <t>Zona-9 Liro</t>
  </si>
  <si>
    <t>Zona-9</t>
  </si>
  <si>
    <t>Sede</t>
  </si>
  <si>
    <t>Lumbo</t>
  </si>
  <si>
    <t>Biópio</t>
  </si>
  <si>
    <t>Luongo</t>
  </si>
  <si>
    <t>Praia Bebé</t>
  </si>
  <si>
    <t>Egipto Praia</t>
  </si>
  <si>
    <t>Cuito - Sede</t>
  </si>
  <si>
    <t>ANDULO-SEDE</t>
  </si>
  <si>
    <t>BELO - HORIZONTE</t>
  </si>
  <si>
    <t>CACHINGUES</t>
  </si>
  <si>
    <t>CAIEIE</t>
  </si>
  <si>
    <t>CAIUERA</t>
  </si>
  <si>
    <t>CALUSSINGA</t>
  </si>
  <si>
    <t>CAMACUPA - SEDE</t>
  </si>
  <si>
    <t>CÂMBANDUA</t>
  </si>
  <si>
    <t>CANGOTE</t>
  </si>
  <si>
    <t>CASSUMBI</t>
  </si>
  <si>
    <t>CATABOLA - SEDE</t>
  </si>
  <si>
    <t>CHICALA</t>
  </si>
  <si>
    <t>CHINGUAR-SEDE</t>
  </si>
  <si>
    <t>CHIPETA</t>
  </si>
  <si>
    <t>CHITEMBO - SEDE</t>
  </si>
  <si>
    <t>CHIUCA</t>
  </si>
  <si>
    <t>CHIVAULO</t>
  </si>
  <si>
    <t>CUEMBA - SEDE</t>
  </si>
  <si>
    <t>CUNHINGA - SEDE</t>
  </si>
  <si>
    <t>CUNJE</t>
  </si>
  <si>
    <t>CUTATO</t>
  </si>
  <si>
    <t>DANDO</t>
  </si>
  <si>
    <t>GAMBA</t>
  </si>
  <si>
    <t>KUANZA</t>
  </si>
  <si>
    <t>LUANDO</t>
  </si>
  <si>
    <t>LÚBIA</t>
  </si>
  <si>
    <t>MALENGUE</t>
  </si>
  <si>
    <t>MUINHA</t>
  </si>
  <si>
    <t>MUMBUÉ</t>
  </si>
  <si>
    <t>MUNHANGO</t>
  </si>
  <si>
    <t>MUTUMBO</t>
  </si>
  <si>
    <t>NHAREA - SEDE</t>
  </si>
  <si>
    <t>RINGOMA</t>
  </si>
  <si>
    <t>SACHINEMUNA</t>
  </si>
  <si>
    <t>SANDE</t>
  </si>
  <si>
    <t>SOMA KUANZA</t>
  </si>
  <si>
    <t>TRUMBA</t>
  </si>
  <si>
    <t>UMPULO</t>
  </si>
  <si>
    <t>Cassumbe</t>
  </si>
  <si>
    <t>Chindumba</t>
  </si>
  <si>
    <t>kuquema</t>
  </si>
  <si>
    <t>Muquinda</t>
  </si>
  <si>
    <t>Luali</t>
  </si>
  <si>
    <t>Miconje</t>
  </si>
  <si>
    <t>Inhuca</t>
  </si>
  <si>
    <t>Necuto</t>
  </si>
  <si>
    <t>Malembo</t>
  </si>
  <si>
    <t>Tando zinze</t>
  </si>
  <si>
    <t>Dinge</t>
  </si>
  <si>
    <t>Massabi</t>
  </si>
  <si>
    <t>Calonga</t>
  </si>
  <si>
    <t>Chiedi</t>
  </si>
  <si>
    <t>Chitado</t>
  </si>
  <si>
    <t>Cubati</t>
  </si>
  <si>
    <t>Evale</t>
  </si>
  <si>
    <t>Humbe</t>
  </si>
  <si>
    <t>Kafima</t>
  </si>
  <si>
    <t>Môngua</t>
  </si>
  <si>
    <t>Mucope</t>
  </si>
  <si>
    <t>Mukolongodjo</t>
  </si>
  <si>
    <t>Mukope</t>
  </si>
  <si>
    <t>Mupa</t>
  </si>
  <si>
    <t>Namacunde</t>
  </si>
  <si>
    <t>Naulila</t>
  </si>
  <si>
    <t>Nehoni</t>
  </si>
  <si>
    <t>Ombala yo Mungu</t>
  </si>
  <si>
    <t>Oncôcua</t>
  </si>
  <si>
    <t>Ondjiva</t>
  </si>
  <si>
    <t>Oshimolo</t>
  </si>
  <si>
    <t>Otchinjau</t>
  </si>
  <si>
    <t>Xangongo</t>
  </si>
  <si>
    <t>Alto Uama</t>
  </si>
  <si>
    <t>Bandeira</t>
  </si>
  <si>
    <t>Bimbe</t>
  </si>
  <si>
    <t>Caala</t>
  </si>
  <si>
    <t>Cacilhas</t>
  </si>
  <si>
    <t>Calima</t>
  </si>
  <si>
    <t>Chiaca</t>
  </si>
  <si>
    <t>Chinhama</t>
  </si>
  <si>
    <t>Chinjenje</t>
  </si>
  <si>
    <t>Chipipa</t>
  </si>
  <si>
    <t>Chiumbo</t>
  </si>
  <si>
    <t>Cuima</t>
  </si>
  <si>
    <t>Galanga</t>
  </si>
  <si>
    <t>Hengue</t>
  </si>
  <si>
    <t>Kachiungo</t>
  </si>
  <si>
    <t>Kakoma</t>
  </si>
  <si>
    <t>Kalenga</t>
  </si>
  <si>
    <t>Kambuengo</t>
  </si>
  <si>
    <t>Katata</t>
  </si>
  <si>
    <t>Kumbila</t>
  </si>
  <si>
    <t>Londuimbali</t>
  </si>
  <si>
    <t>Lunge</t>
  </si>
  <si>
    <t>Luvemba</t>
  </si>
  <si>
    <t>Mbave</t>
  </si>
  <si>
    <t>Sambo</t>
  </si>
  <si>
    <t>Samboto</t>
  </si>
  <si>
    <t>Tchipeio</t>
  </si>
  <si>
    <t>Thicala-Thilohanga</t>
  </si>
  <si>
    <t>Ussoke</t>
  </si>
  <si>
    <t>Vilinga</t>
  </si>
  <si>
    <t>Zaji</t>
  </si>
  <si>
    <t>KAPANGO</t>
  </si>
  <si>
    <t>SAMACAU</t>
  </si>
  <si>
    <t>Lépi</t>
  </si>
  <si>
    <t>Chilata</t>
  </si>
  <si>
    <t>Arimba</t>
  </si>
  <si>
    <t>Bambi</t>
  </si>
  <si>
    <t>Bata-Bata</t>
  </si>
  <si>
    <t>Bunjei</t>
  </si>
  <si>
    <t>Caconda Sede</t>
  </si>
  <si>
    <t>Cacula Sede</t>
  </si>
  <si>
    <t>Cainda</t>
  </si>
  <si>
    <t>Calepi</t>
  </si>
  <si>
    <t>Caluquembe Sede</t>
  </si>
  <si>
    <t>Capelongo</t>
  </si>
  <si>
    <t>Cassinga</t>
  </si>
  <si>
    <t>Chiange</t>
  </si>
  <si>
    <t>Chibemba</t>
  </si>
  <si>
    <t>Chibia Sede</t>
  </si>
  <si>
    <t>Chicomba sede</t>
  </si>
  <si>
    <t>Chiconco</t>
  </si>
  <si>
    <t>Chicuaqueia</t>
  </si>
  <si>
    <t>Chicungo</t>
  </si>
  <si>
    <t>Chipindo Sede</t>
  </si>
  <si>
    <t>Chituto</t>
  </si>
  <si>
    <t>Cusse</t>
  </si>
  <si>
    <t>Cutenda</t>
  </si>
  <si>
    <t>Cuvango Sede</t>
  </si>
  <si>
    <t>Dinde</t>
  </si>
  <si>
    <t>Dongo</t>
  </si>
  <si>
    <t>Galangue</t>
  </si>
  <si>
    <t>Gungue</t>
  </si>
  <si>
    <t>Hombo</t>
  </si>
  <si>
    <t>Hoque</t>
  </si>
  <si>
    <t>Humpata Sede</t>
  </si>
  <si>
    <t>Impulo</t>
  </si>
  <si>
    <t>Jamba Sede</t>
  </si>
  <si>
    <t>Jau</t>
  </si>
  <si>
    <t>Kaholo</t>
  </si>
  <si>
    <t>Kapunda Kavilongo</t>
  </si>
  <si>
    <t>Libongue</t>
  </si>
  <si>
    <t>Lubango sede</t>
  </si>
  <si>
    <t>Matala Sede</t>
  </si>
  <si>
    <t>Micosse</t>
  </si>
  <si>
    <t>Negola</t>
  </si>
  <si>
    <t>Neves</t>
  </si>
  <si>
    <t>Palanca</t>
  </si>
  <si>
    <t>Qué</t>
  </si>
  <si>
    <t>Quihita</t>
  </si>
  <si>
    <t>Quilemba</t>
  </si>
  <si>
    <t>Quilengues Sede</t>
  </si>
  <si>
    <t>Quipungo Sede</t>
  </si>
  <si>
    <t>Vicungo</t>
  </si>
  <si>
    <t>Viti Vivali</t>
  </si>
  <si>
    <t>Waba</t>
  </si>
  <si>
    <t>Calai (Sede)</t>
  </si>
  <si>
    <t>Maué</t>
  </si>
  <si>
    <t>Mavengue</t>
  </si>
  <si>
    <t>Cuangar (Sede)</t>
  </si>
  <si>
    <t>Caila</t>
  </si>
  <si>
    <t>Bondo</t>
  </si>
  <si>
    <t>Savate</t>
  </si>
  <si>
    <t>Cuchi (Sede)</t>
  </si>
  <si>
    <t>Cutato</t>
  </si>
  <si>
    <t>Chinguanja</t>
  </si>
  <si>
    <t>Vissati</t>
  </si>
  <si>
    <t>Cuito Cuanavale (Sede)</t>
  </si>
  <si>
    <t>Baixo Longa</t>
  </si>
  <si>
    <t>Longa</t>
  </si>
  <si>
    <t>Lupiri</t>
  </si>
  <si>
    <t>Dirico (Sede)</t>
  </si>
  <si>
    <t>Xamavera</t>
  </si>
  <si>
    <t>Mucusso</t>
  </si>
  <si>
    <t>Mavinga (Sede)</t>
  </si>
  <si>
    <t>Luengue</t>
  </si>
  <si>
    <t>Kunjamba</t>
  </si>
  <si>
    <t>Kutuilo</t>
  </si>
  <si>
    <t>Menongue (Sede)</t>
  </si>
  <si>
    <t>Jamba Cueio</t>
  </si>
  <si>
    <t>Caiundo</t>
  </si>
  <si>
    <t>Missombo</t>
  </si>
  <si>
    <t>Nancova (Sede)</t>
  </si>
  <si>
    <t>Rito</t>
  </si>
  <si>
    <t>Rivungo (Sede)</t>
  </si>
  <si>
    <t>Luiana</t>
  </si>
  <si>
    <t>Chipundo</t>
  </si>
  <si>
    <t>Neriquinha</t>
  </si>
  <si>
    <t>Aldeia Nova</t>
  </si>
  <si>
    <t>Bindo</t>
  </si>
  <si>
    <t>Camame</t>
  </si>
  <si>
    <t>Cerca</t>
  </si>
  <si>
    <t>Danje ia Menha</t>
  </si>
  <si>
    <t>Dondo</t>
  </si>
  <si>
    <t>Kaculo Kabassa</t>
  </si>
  <si>
    <t>Kamabatela</t>
  </si>
  <si>
    <t>Kanbomdo</t>
  </si>
  <si>
    <t>Kanhoca</t>
  </si>
  <si>
    <t>Kariamba</t>
  </si>
  <si>
    <t>Kiangombe</t>
  </si>
  <si>
    <t>Kiculungo</t>
  </si>
  <si>
    <t>Kikiemba</t>
  </si>
  <si>
    <t>Kilombo dos Dembos</t>
  </si>
  <si>
    <t>Luinga</t>
  </si>
  <si>
    <t>Maua</t>
  </si>
  <si>
    <t>Ndalatando</t>
  </si>
  <si>
    <t>S. Jose das Matas</t>
  </si>
  <si>
    <t>S. Pedro da Kilemba</t>
  </si>
  <si>
    <t>Samba Lukala</t>
  </si>
  <si>
    <t>Tango</t>
  </si>
  <si>
    <t>Terreiro</t>
  </si>
  <si>
    <t>Zenza do Itombe</t>
  </si>
  <si>
    <t>Cacanga</t>
  </si>
  <si>
    <t>Cavunga</t>
  </si>
  <si>
    <t>D.Y.Menha</t>
  </si>
  <si>
    <t>K. K. Puto</t>
  </si>
  <si>
    <t>Massangan</t>
  </si>
  <si>
    <t>Massangano</t>
  </si>
  <si>
    <t>S.P.Kilemb</t>
  </si>
  <si>
    <t>Sector Cuso</t>
  </si>
  <si>
    <t>Sector Kidulo</t>
  </si>
  <si>
    <t>Sector Mussabo</t>
  </si>
  <si>
    <t>Sector Pambos de Sonhe</t>
  </si>
  <si>
    <t>Zanga</t>
  </si>
  <si>
    <t>Assango</t>
  </si>
  <si>
    <t>Gabela</t>
  </si>
  <si>
    <t>Honga</t>
  </si>
  <si>
    <t>Salinas</t>
  </si>
  <si>
    <t>Atome</t>
  </si>
  <si>
    <t>Cassongue (Sede)</t>
  </si>
  <si>
    <t>Dumbi</t>
  </si>
  <si>
    <t>Pambagala</t>
  </si>
  <si>
    <t>Kissanga Kungo</t>
  </si>
  <si>
    <t>Sanga</t>
  </si>
  <si>
    <t>Waco - Kungo</t>
  </si>
  <si>
    <t>Assango II</t>
  </si>
  <si>
    <t>Conda (Sede)</t>
  </si>
  <si>
    <t>Cunjo</t>
  </si>
  <si>
    <t>Chôa</t>
  </si>
  <si>
    <t>Condé</t>
  </si>
  <si>
    <t>Ebo (Sede)</t>
  </si>
  <si>
    <t>Kissange</t>
  </si>
  <si>
    <t>Dala Cachibo</t>
  </si>
  <si>
    <t>Quibala (Sede)</t>
  </si>
  <si>
    <t>Lonhe</t>
  </si>
  <si>
    <t>Quilanda (Sede)</t>
  </si>
  <si>
    <t>Quirimbo</t>
  </si>
  <si>
    <t>Xariaria</t>
  </si>
  <si>
    <t>Calulo</t>
  </si>
  <si>
    <t>Kabuta</t>
  </si>
  <si>
    <t>Kissongo</t>
  </si>
  <si>
    <t>Munenga</t>
  </si>
  <si>
    <t>Kiênha</t>
  </si>
  <si>
    <t>Mussende (Sede)</t>
  </si>
  <si>
    <t>S. Lucas</t>
  </si>
  <si>
    <t>Cambalo</t>
  </si>
  <si>
    <t>Capolo</t>
  </si>
  <si>
    <t>Porto Amboim (Sede)</t>
  </si>
  <si>
    <t>Amboíva</t>
  </si>
  <si>
    <t>Botera</t>
  </si>
  <si>
    <t>Uko Seles (Sede)</t>
  </si>
  <si>
    <t>Gangula</t>
  </si>
  <si>
    <t>Gungo</t>
  </si>
  <si>
    <t>Kicombo</t>
  </si>
  <si>
    <t>Sumbe (Sede)</t>
  </si>
  <si>
    <t>Bairro da Corimba</t>
  </si>
  <si>
    <t>Bairro da Ilha do Cabo</t>
  </si>
  <si>
    <t>Bairro da Ingombota</t>
  </si>
  <si>
    <t>Bairro da Maianga</t>
  </si>
  <si>
    <t>Bairro da Samba</t>
  </si>
  <si>
    <t>Bairro da Terra Nova</t>
  </si>
  <si>
    <t>Bairro de Cassequel</t>
  </si>
  <si>
    <t>Bairro de Golfe</t>
  </si>
  <si>
    <t>Bairro de Ngola Kiluanje</t>
  </si>
  <si>
    <t>Bairro de Patrice Lumumba</t>
  </si>
  <si>
    <t>Bairro de Prenda</t>
  </si>
  <si>
    <t>Bairro do Maculusso</t>
  </si>
  <si>
    <t>Bairro do Morro Bento</t>
  </si>
  <si>
    <t>Bairro do Operário</t>
  </si>
  <si>
    <t>Bairro do Palanca</t>
  </si>
  <si>
    <t>Bairro do Quinanga</t>
  </si>
  <si>
    <t>Bairro do Rangel</t>
  </si>
  <si>
    <t>Bairro do Sambizanga</t>
  </si>
  <si>
    <t>Bairro Havemos de Voltar</t>
  </si>
  <si>
    <t>Bairro Popular</t>
  </si>
  <si>
    <t>Bairro Rocha Pinto</t>
  </si>
  <si>
    <t>Barra do Kwanza</t>
  </si>
  <si>
    <t>Benfica</t>
  </si>
  <si>
    <t>Cabo Ledo</t>
  </si>
  <si>
    <t>Camama</t>
  </si>
  <si>
    <t>Dembo Chio</t>
  </si>
  <si>
    <t>Futungo</t>
  </si>
  <si>
    <t>Hoji Ya Henda</t>
  </si>
  <si>
    <t>Kilamba Kiaxi</t>
  </si>
  <si>
    <t>Kixinge</t>
  </si>
  <si>
    <t>Mumbondo</t>
  </si>
  <si>
    <t>Mussulo</t>
  </si>
  <si>
    <t>Muxima</t>
  </si>
  <si>
    <t>Ramiros</t>
  </si>
  <si>
    <t>Tala Hadi</t>
  </si>
  <si>
    <t>Talatona</t>
  </si>
  <si>
    <t>Bom Jesus</t>
  </si>
  <si>
    <t>Cabiri</t>
  </si>
  <si>
    <t>Catete</t>
  </si>
  <si>
    <t>Kaculo Kahango</t>
  </si>
  <si>
    <t>Cassoneca</t>
  </si>
  <si>
    <t>Cafunfo</t>
  </si>
  <si>
    <t>Luremo</t>
  </si>
  <si>
    <t>13 - Pr</t>
  </si>
  <si>
    <t>28 de Agosto</t>
  </si>
  <si>
    <t>7 - S/Pré-carias</t>
  </si>
  <si>
    <t>Bairo Muhongo Xinge</t>
  </si>
  <si>
    <t>Bairro 4 de abril</t>
  </si>
  <si>
    <t>Bairro Aeroporto</t>
  </si>
  <si>
    <t>Bairro Bundo</t>
  </si>
  <si>
    <t>Bairro Caluata</t>
  </si>
  <si>
    <t>Bairro Calucala</t>
  </si>
  <si>
    <t>Bairro Camaquenzo 2.</t>
  </si>
  <si>
    <t>Bairro Camatai</t>
  </si>
  <si>
    <t>Bairro Camba Nguiza</t>
  </si>
  <si>
    <t>Bairro Camutué</t>
  </si>
  <si>
    <t>Bairro Cassanguidi</t>
  </si>
  <si>
    <t>Bairro catalai</t>
  </si>
  <si>
    <t>Bairro Caxinga</t>
  </si>
  <si>
    <t>Bairro Chico Guerreiro</t>
  </si>
  <si>
    <t>Bairro Chilombo</t>
  </si>
  <si>
    <t>Bairro Fernado</t>
  </si>
  <si>
    <t>Bairro Icungula</t>
  </si>
  <si>
    <t>Bairro Kambundula</t>
  </si>
  <si>
    <t>Bairro Kiluangue</t>
  </si>
  <si>
    <t>Bairro Kinguindou</t>
  </si>
  <si>
    <t>Bairro Luangue</t>
  </si>
  <si>
    <t>Bairro Luxilo</t>
  </si>
  <si>
    <t>Bairro Maumonge</t>
  </si>
  <si>
    <t>Bairro Mbalanca</t>
  </si>
  <si>
    <t>Bairro Muachiunga</t>
  </si>
  <si>
    <t>Bairro Muamulomba</t>
  </si>
  <si>
    <t>Bairro Muanha</t>
  </si>
  <si>
    <t>Bairro Muanhagando</t>
  </si>
  <si>
    <t>Bairro Norte</t>
  </si>
  <si>
    <t>Bairro Quelele</t>
  </si>
  <si>
    <t>Bairro Quifapo</t>
  </si>
  <si>
    <t>Bairro Quitamba</t>
  </si>
  <si>
    <t>Bairro Rocque</t>
  </si>
  <si>
    <t>Bairro Saidi Mingas</t>
  </si>
  <si>
    <t>Bairro Salipata</t>
  </si>
  <si>
    <t>Bairro Saluibe</t>
  </si>
  <si>
    <t>Bairro Samacaca</t>
  </si>
  <si>
    <t>Bairro Sul</t>
  </si>
  <si>
    <t>Bairro Vieiga</t>
  </si>
  <si>
    <t>Bairro Yongo Velhe</t>
  </si>
  <si>
    <t>Birro Catangula</t>
  </si>
  <si>
    <t>Bro Mõnga quinguri</t>
  </si>
  <si>
    <t>Cafunfo- Balabala</t>
  </si>
  <si>
    <t>Caita</t>
  </si>
  <si>
    <t>Calumbia</t>
  </si>
  <si>
    <t>Camatundo</t>
  </si>
  <si>
    <t>Camaxilo sede</t>
  </si>
  <si>
    <t>Cambala Kangando</t>
  </si>
  <si>
    <t>Camdjamba</t>
  </si>
  <si>
    <t>Camissombo</t>
  </si>
  <si>
    <t>Canfufo</t>
  </si>
  <si>
    <t>Carinhenga</t>
  </si>
  <si>
    <t>Cassange Calucala</t>
  </si>
  <si>
    <t>Cassulukuenda</t>
  </si>
  <si>
    <t>Catoka - Sacasau</t>
  </si>
  <si>
    <t>Cdte Sacabagi</t>
  </si>
  <si>
    <t>Centralidade do Dundo</t>
  </si>
  <si>
    <t>Centro Cafunfo</t>
  </si>
  <si>
    <t>Centro Urbano</t>
  </si>
  <si>
    <t>Chilongo - Louva</t>
  </si>
  <si>
    <t>Comuna de Louva</t>
  </si>
  <si>
    <t>Comuna de Luangue</t>
  </si>
  <si>
    <t>Comuna de Xá Cassau</t>
  </si>
  <si>
    <t>Comuna de Xinge</t>
  </si>
  <si>
    <t>Comuna do Cachimo</t>
  </si>
  <si>
    <t>Comuna do Camissombo</t>
  </si>
  <si>
    <t>Comuna do Canzar</t>
  </si>
  <si>
    <t>Comuna do Louremo</t>
  </si>
  <si>
    <t>Comuna do Luarica</t>
  </si>
  <si>
    <t>Comuna do Luia</t>
  </si>
  <si>
    <t>Comuna do Luremo</t>
  </si>
  <si>
    <t>Comuna doLongo</t>
  </si>
  <si>
    <t>Domingos Vaz</t>
  </si>
  <si>
    <t>Dundo</t>
  </si>
  <si>
    <t>Dundo Central</t>
  </si>
  <si>
    <t>Ex - Cavalos</t>
  </si>
  <si>
    <t>Hoj  Henda</t>
  </si>
  <si>
    <t>Kitumba Cabala</t>
  </si>
  <si>
    <t>Luangue</t>
  </si>
  <si>
    <t>Luia</t>
  </si>
  <si>
    <t>Luó/ Xaca sauu</t>
  </si>
  <si>
    <t>Mandandji</t>
  </si>
  <si>
    <t>Muachiunga/Xinge</t>
  </si>
  <si>
    <t>Muamussongue</t>
  </si>
  <si>
    <t>Muanguvo</t>
  </si>
  <si>
    <t>Mussungue</t>
  </si>
  <si>
    <t>Muxinda</t>
  </si>
  <si>
    <t>Nas Antenas do Cafunfo</t>
  </si>
  <si>
    <t>Ngacumona</t>
  </si>
  <si>
    <t>No Cafunfo Antenas</t>
  </si>
  <si>
    <t>No Loremo</t>
  </si>
  <si>
    <t>Nzangi</t>
  </si>
  <si>
    <t>Próvisorias</t>
  </si>
  <si>
    <t>Ritenda</t>
  </si>
  <si>
    <t>Sachindongo</t>
  </si>
  <si>
    <t>Samacaca</t>
  </si>
  <si>
    <t>Samunhinga</t>
  </si>
  <si>
    <t>Santo Antonio</t>
  </si>
  <si>
    <t>Saquema Luvunla</t>
  </si>
  <si>
    <t>Sautxiwa</t>
  </si>
  <si>
    <t>Sector Cafunfo</t>
  </si>
  <si>
    <t>Sector Calonda</t>
  </si>
  <si>
    <t>Sector de Saissece</t>
  </si>
  <si>
    <t>Sector do Conssa</t>
  </si>
  <si>
    <t>Sector do Funcauma</t>
  </si>
  <si>
    <t>Sector do Maludi</t>
  </si>
  <si>
    <t>Sede Cafunfo</t>
  </si>
  <si>
    <t>Sede Caungula</t>
  </si>
  <si>
    <t>Sede Comunal Camaxilo</t>
  </si>
  <si>
    <t>Sede Comunal de Yongo</t>
  </si>
  <si>
    <t>Sede Cuango- Camarianga</t>
  </si>
  <si>
    <t>Sede Cuango</t>
  </si>
  <si>
    <t>Sede da Comunal</t>
  </si>
  <si>
    <t>Sede do Camaxilo</t>
  </si>
  <si>
    <t>Sede do Capaia</t>
  </si>
  <si>
    <t>Sede do Cuango</t>
  </si>
  <si>
    <t>Sede Lucapa</t>
  </si>
  <si>
    <t>Sede Luremo</t>
  </si>
  <si>
    <t>Sede Municipal- Cuango</t>
  </si>
  <si>
    <t>Sede Municipal</t>
  </si>
  <si>
    <t>Sede MunicipaL</t>
  </si>
  <si>
    <t>Sede Municpal</t>
  </si>
  <si>
    <t>Serra Van - Dune</t>
  </si>
  <si>
    <t>Taxa Barragem</t>
  </si>
  <si>
    <t>Xa Mikelengue</t>
  </si>
  <si>
    <t>Xinge</t>
  </si>
  <si>
    <t>Zona Capango-Canfunfo</t>
  </si>
  <si>
    <t>Sede Municipal de Lóvua</t>
  </si>
  <si>
    <t>Bairro Tchilongo</t>
  </si>
  <si>
    <t>Luachimo</t>
  </si>
  <si>
    <t>Saurimo - Sede</t>
  </si>
  <si>
    <t>Mona Quimbundo</t>
  </si>
  <si>
    <t>Sombo</t>
  </si>
  <si>
    <t>Muconda - Sede</t>
  </si>
  <si>
    <t>Muriege</t>
  </si>
  <si>
    <t>Cassai - Sul</t>
  </si>
  <si>
    <t>Chiluange</t>
  </si>
  <si>
    <t>Cacolo - Sede</t>
  </si>
  <si>
    <t>Alto Chipaca</t>
  </si>
  <si>
    <t>Xassengue</t>
  </si>
  <si>
    <t>Cucumbi</t>
  </si>
  <si>
    <t>Dala - Sede</t>
  </si>
  <si>
    <t>Cazage</t>
  </si>
  <si>
    <t>Bange - Angola</t>
  </si>
  <si>
    <t>Bembo</t>
  </si>
  <si>
    <t>Cacuso (Sede)</t>
  </si>
  <si>
    <t>Cahombo (Sede)</t>
  </si>
  <si>
    <t>Cambaxe</t>
  </si>
  <si>
    <t>Cambo Sungenge</t>
  </si>
  <si>
    <t>Caribo</t>
  </si>
  <si>
    <t>Caxinga</t>
  </si>
  <si>
    <t>Cota</t>
  </si>
  <si>
    <t>Cuale</t>
  </si>
  <si>
    <t>Dala Samba</t>
  </si>
  <si>
    <t>Dombo Wazanga</t>
  </si>
  <si>
    <t>Dumba Cabango</t>
  </si>
  <si>
    <t>Kalandula (Sede)</t>
  </si>
  <si>
    <t>Kambundi - Katembo (Sede)</t>
  </si>
  <si>
    <t>Kangandala - sede</t>
  </si>
  <si>
    <t>Kapunda</t>
  </si>
  <si>
    <t>Kateco - Kangola</t>
  </si>
  <si>
    <t>Kihuhu</t>
  </si>
  <si>
    <t>Kinguengue</t>
  </si>
  <si>
    <t>Kiwaba Nzoji (Sede)</t>
  </si>
  <si>
    <t>Kunda - dia - Baze (Sede)</t>
  </si>
  <si>
    <t>Lemba</t>
  </si>
  <si>
    <t>Lombe</t>
  </si>
  <si>
    <t>Luquembo (Sede)</t>
  </si>
  <si>
    <t>Mangando</t>
  </si>
  <si>
    <t>Marimba (Sede)</t>
  </si>
  <si>
    <t>Massango (Sede)</t>
  </si>
  <si>
    <t>Micanda</t>
  </si>
  <si>
    <t>Milando</t>
  </si>
  <si>
    <t>Missao dos Bangalas</t>
  </si>
  <si>
    <t>Moma</t>
  </si>
  <si>
    <t>Mufuma</t>
  </si>
  <si>
    <t>Muquixe</t>
  </si>
  <si>
    <t>Ngola Luije</t>
  </si>
  <si>
    <t>Pungo - Andongo</t>
  </si>
  <si>
    <t>Quela (Sede)</t>
  </si>
  <si>
    <t>Quimbango</t>
  </si>
  <si>
    <t>Quinge</t>
  </si>
  <si>
    <t>Quirima (Sede)</t>
  </si>
  <si>
    <t>Quizenga</t>
  </si>
  <si>
    <t>Rimba</t>
  </si>
  <si>
    <t>Sautar</t>
  </si>
  <si>
    <t>Suqueco</t>
  </si>
  <si>
    <t>Tala Mungongo</t>
  </si>
  <si>
    <t>Caianda</t>
  </si>
  <si>
    <t>Calunda</t>
  </si>
  <si>
    <t>Cangombe</t>
  </si>
  <si>
    <t>Cassamba</t>
  </si>
  <si>
    <t>Chiúme</t>
  </si>
  <si>
    <t>Kameia</t>
  </si>
  <si>
    <t>Kangumbe</t>
  </si>
  <si>
    <t>Kavungo</t>
  </si>
  <si>
    <t>Lago-Dilolo</t>
  </si>
  <si>
    <t>Leua</t>
  </si>
  <si>
    <t>Liangongo</t>
  </si>
  <si>
    <t>Lovua</t>
  </si>
  <si>
    <t>Lucusse</t>
  </si>
  <si>
    <t>Lumbala</t>
  </si>
  <si>
    <t>Lumbala-Nguimbo</t>
  </si>
  <si>
    <t>Lutembo</t>
  </si>
  <si>
    <t>Luvuei</t>
  </si>
  <si>
    <t>Mucondo</t>
  </si>
  <si>
    <t>Muie</t>
  </si>
  <si>
    <t>Mussuma Mitete</t>
  </si>
  <si>
    <t>Ninda</t>
  </si>
  <si>
    <t>Sessa</t>
  </si>
  <si>
    <t>Tempue</t>
  </si>
  <si>
    <t>Cangamba - Sede</t>
  </si>
  <si>
    <t>Bentiaba</t>
  </si>
  <si>
    <t>Bibala Sede</t>
  </si>
  <si>
    <t>Cainde</t>
  </si>
  <si>
    <t>Caitou</t>
  </si>
  <si>
    <t>Camucuio Sede</t>
  </si>
  <si>
    <t>Capangombe</t>
  </si>
  <si>
    <t>Chingo</t>
  </si>
  <si>
    <t>Kapangombe</t>
  </si>
  <si>
    <t>Lola</t>
  </si>
  <si>
    <t>Mamue</t>
  </si>
  <si>
    <t>Santa Rita</t>
  </si>
  <si>
    <t>Tômbwa Sede</t>
  </si>
  <si>
    <t>Virei Sede</t>
  </si>
  <si>
    <t>Yona</t>
  </si>
  <si>
    <t>Aldeia Viçosa</t>
  </si>
  <si>
    <t>Alfândega</t>
  </si>
  <si>
    <t>Alto Zaza</t>
  </si>
  <si>
    <t>Béu</t>
  </si>
  <si>
    <t>Buenga Sul</t>
  </si>
  <si>
    <t>Camatambo</t>
  </si>
  <si>
    <t>Cambamba</t>
  </si>
  <si>
    <t>Cuilo Cambozo</t>
  </si>
  <si>
    <t>Cuilo Futa</t>
  </si>
  <si>
    <t>Cuilo Pombo</t>
  </si>
  <si>
    <t>Dimuca</t>
  </si>
  <si>
    <t>Icoca</t>
  </si>
  <si>
    <t>Kisseque</t>
  </si>
  <si>
    <t>Lêmboa</t>
  </si>
  <si>
    <t>Lucunga</t>
  </si>
  <si>
    <t>Macocola</t>
  </si>
  <si>
    <t>Macolo</t>
  </si>
  <si>
    <t>Massau</t>
  </si>
  <si>
    <t>Nsosso</t>
  </si>
  <si>
    <t>Petecusso</t>
  </si>
  <si>
    <t>Quibocolo</t>
  </si>
  <si>
    <t>Quimaria</t>
  </si>
  <si>
    <t>Quinvuenga</t>
  </si>
  <si>
    <t>Quipedro</t>
  </si>
  <si>
    <t>Sacandica</t>
  </si>
  <si>
    <t>Uamba</t>
  </si>
  <si>
    <t>Uando</t>
  </si>
  <si>
    <t>Vista Alegre</t>
  </si>
  <si>
    <t>Caiongo</t>
  </si>
  <si>
    <t>Cangola</t>
  </si>
  <si>
    <t>Uíge-Sede</t>
  </si>
  <si>
    <t>Damba-Sede</t>
  </si>
  <si>
    <t>Maquela do Zobmbo-Sede</t>
  </si>
  <si>
    <t>Sanza Pombo-Sede</t>
  </si>
  <si>
    <t>Alto Cauale-Sede</t>
  </si>
  <si>
    <t>Quimbele-Sede</t>
  </si>
  <si>
    <t>Milunga-Sede</t>
  </si>
  <si>
    <t>Nova Esperança</t>
  </si>
  <si>
    <t>Buela</t>
  </si>
  <si>
    <t>Kalambata</t>
  </si>
  <si>
    <t>Kaluka</t>
  </si>
  <si>
    <t>Kibala</t>
  </si>
  <si>
    <t>Kindege</t>
  </si>
  <si>
    <t>Kinsimba</t>
  </si>
  <si>
    <t>Lufiku</t>
  </si>
  <si>
    <t>Luvaka</t>
  </si>
  <si>
    <t>Luvo</t>
  </si>
  <si>
    <t>Madimba</t>
  </si>
  <si>
    <t>Mangue Grande</t>
  </si>
  <si>
    <t>Mpala</t>
  </si>
  <si>
    <t>Mussera</t>
  </si>
  <si>
    <t>Nkiende</t>
  </si>
  <si>
    <t>Pedra de Feitiço</t>
  </si>
  <si>
    <t>Quêlo</t>
  </si>
  <si>
    <t>S.de Kanda</t>
  </si>
  <si>
    <t>Sumba</t>
  </si>
  <si>
    <t>Kuando Kubango</t>
  </si>
  <si>
    <t>NÚMERO DA ESCOLA</t>
  </si>
  <si>
    <r>
      <t xml:space="preserve">PROFESSORES </t>
    </r>
    <r>
      <rPr>
        <sz val="10"/>
        <color theme="0"/>
        <rFont val="Arial"/>
        <family val="2"/>
      </rPr>
      <t>(diante dos alunos)</t>
    </r>
  </si>
  <si>
    <t>Quadro 2. Alunos Repetentes (que frequentam a mesma classe pela segunda ou mais vezes)</t>
  </si>
  <si>
    <t>Quadro 3. Turnos, Turmas por Classe</t>
  </si>
  <si>
    <t>x</t>
  </si>
  <si>
    <t>…</t>
  </si>
  <si>
    <t>Ciências Físicas e Biológicas</t>
  </si>
  <si>
    <t>Ciências Humanas</t>
  </si>
  <si>
    <t>Artes Visuais</t>
  </si>
  <si>
    <t>Áreas de Conhecimento</t>
  </si>
  <si>
    <t>Especialidades</t>
  </si>
  <si>
    <t>Especialidade 2</t>
  </si>
  <si>
    <t>Especialidade 3</t>
  </si>
  <si>
    <t>Especialidade 4</t>
  </si>
  <si>
    <t>Tem ligação Internet na Escola (Sim/Não)</t>
  </si>
  <si>
    <t>Tem Comissão de Pais</t>
  </si>
  <si>
    <t>Tem Assembleia de Escola?</t>
  </si>
  <si>
    <t>Matriculados</t>
  </si>
  <si>
    <t>Aprovados</t>
  </si>
  <si>
    <t>Reprovados</t>
  </si>
  <si>
    <t>Desistidos</t>
  </si>
  <si>
    <t>nova versão</t>
  </si>
  <si>
    <t>Municipio</t>
  </si>
  <si>
    <t>Munícipio</t>
  </si>
  <si>
    <t>belize</t>
  </si>
  <si>
    <t>Tem Gab. de Apoio Psicopedagógico?</t>
  </si>
  <si>
    <t>AguasResiduais</t>
  </si>
  <si>
    <t>Fossa séptica</t>
  </si>
  <si>
    <t>Rede de Esgotos</t>
  </si>
  <si>
    <t>Ao Redor da Escola</t>
  </si>
  <si>
    <t>Outro Meio</t>
  </si>
  <si>
    <t>ResiduosSolidos</t>
  </si>
  <si>
    <t>Contentores de lixo</t>
  </si>
  <si>
    <t>Camião do Município</t>
  </si>
  <si>
    <t>18-19 Anos</t>
  </si>
  <si>
    <t>20-24 Anos</t>
  </si>
  <si>
    <t>25-29 Anos</t>
  </si>
  <si>
    <t>30-34 Anos</t>
  </si>
  <si>
    <t>35-39 Anos</t>
  </si>
  <si>
    <t>40 Anos ou mais</t>
  </si>
  <si>
    <t>Alunos</t>
  </si>
  <si>
    <t>Transferidos</t>
  </si>
  <si>
    <t>Falecidos</t>
  </si>
  <si>
    <r>
      <t>Instruções</t>
    </r>
    <r>
      <rPr>
        <sz val="10"/>
        <color indexed="18"/>
        <rFont val="Arial"/>
        <family val="2"/>
      </rPr>
      <t>: A Escola não deve preencher o Nº de escolas que funcionaram</t>
    </r>
  </si>
  <si>
    <r>
      <t>Definições</t>
    </r>
    <r>
      <rPr>
        <sz val="10"/>
        <color indexed="18"/>
        <rFont val="Arial"/>
        <family val="2"/>
      </rPr>
      <t xml:space="preserve"> : </t>
    </r>
    <r>
      <rPr>
        <b/>
        <sz val="10"/>
        <color indexed="18"/>
        <rFont val="Arial"/>
        <family val="2"/>
      </rPr>
      <t>Alunos Matriculados</t>
    </r>
    <r>
      <rPr>
        <sz val="10"/>
        <color indexed="18"/>
        <rFont val="Arial"/>
        <family val="2"/>
      </rPr>
      <t xml:space="preserve">: matrícula incial + novos alunos (matriculados com atraso ou transferidos vindos duma outra escola). </t>
    </r>
    <r>
      <rPr>
        <b/>
        <sz val="10"/>
        <color indexed="18"/>
        <rFont val="Arial"/>
        <family val="2"/>
      </rPr>
      <t>Aprovados</t>
    </r>
    <r>
      <rPr>
        <sz val="10"/>
        <color indexed="18"/>
        <rFont val="Arial"/>
        <family val="2"/>
      </rPr>
      <t xml:space="preserve">: alunos matriculados no final do ano que aprovam. </t>
    </r>
    <r>
      <rPr>
        <b/>
        <sz val="10"/>
        <color indexed="18"/>
        <rFont val="Arial"/>
        <family val="2"/>
      </rPr>
      <t>Reprovados</t>
    </r>
    <r>
      <rPr>
        <sz val="10"/>
        <color indexed="18"/>
        <rFont val="Arial"/>
        <family val="2"/>
      </rPr>
      <t xml:space="preserve">: alunos reprovados por falta de sucesso (por não aproveitamento) + reprovados por falta de presença ao exame (não se deve incluir os desistidos). </t>
    </r>
    <r>
      <rPr>
        <b/>
        <sz val="10"/>
        <color indexed="18"/>
        <rFont val="Arial"/>
        <family val="2"/>
      </rPr>
      <t>Transferidos</t>
    </r>
    <r>
      <rPr>
        <sz val="10"/>
        <color indexed="18"/>
        <rFont val="Arial"/>
        <family val="2"/>
      </rPr>
      <t xml:space="preserve">: alunos transferidos para outra escola. </t>
    </r>
    <r>
      <rPr>
        <b/>
        <sz val="10"/>
        <color indexed="18"/>
        <rFont val="Arial"/>
        <family val="2"/>
      </rPr>
      <t>Desistidos</t>
    </r>
    <r>
      <rPr>
        <sz val="10"/>
        <color indexed="18"/>
        <rFont val="Arial"/>
        <family val="2"/>
      </rPr>
      <t>: alunos que abandonam a escola e saem do sistema educativo.</t>
    </r>
  </si>
  <si>
    <t>RESPONSÁVEL PELO PREENCHIMENTO DA FICHA:</t>
  </si>
  <si>
    <t>LOCAL E DATA DO PREENCHIMENTO:</t>
  </si>
  <si>
    <t>FICHA AFEP - ENSINO PRIMÁRIO REGULAR</t>
  </si>
  <si>
    <t>FICHA AFEP - ENSINO PRIMÁRIO ADULTOS</t>
  </si>
  <si>
    <t>Quadro 1. Aproveitamento dos Alunos no Ensino Primário Regular</t>
  </si>
  <si>
    <t>Quadro 1. Aproveitamento dos Alunos no Ensino Primário Adultos</t>
  </si>
  <si>
    <t>Quadro 1. Aproveitamento dos Alunos no Ensino Iº Ciclo Regular</t>
  </si>
  <si>
    <t>FICHA AFES1 - ENSINO Iº CICLO REGULAR</t>
  </si>
  <si>
    <t>Sub-Dir. Pedagógico</t>
  </si>
  <si>
    <t>FICHA AFEP - ENSINO ESPECIAL (PRIMÁRIO)</t>
  </si>
  <si>
    <t>Quadro 1. Aproveitamento dos Alunos no Ensino Especial (Primário)</t>
  </si>
  <si>
    <t>FICHA AFEP - ENSINO ESPECIAL (SECUNDÁRIO)</t>
  </si>
  <si>
    <t>FICHA AFES2 - FORMAÇÃO DE PROFESSORES</t>
  </si>
  <si>
    <t>Quadro 1. Aproveitamento dos Alunos no Ensino Especial (Secundário)</t>
  </si>
  <si>
    <t>Quadro 1. Aproveitamento dos Alunos na Formação de Professores</t>
  </si>
  <si>
    <t>FICHA AFES2 - ENSINO IIº CICLO REGULAR</t>
  </si>
  <si>
    <t>Quadro 1. Aproveitamento dos Alunos no Ensino IIº Ciclo Regular</t>
  </si>
  <si>
    <t>Quadro 1. Aproveitamento dos Alunos no Ensino Iº Ciclo Técnico-Profissional</t>
  </si>
  <si>
    <t>FICHA AFES1 - ENSINO Iº CICLO TÉCNICO-PROFISSIONAL</t>
  </si>
  <si>
    <t>FICHA AFES2 - ENSINO IIº CICLO TÉCNICO-PROFISSIONAL</t>
  </si>
  <si>
    <t>Quadro 1. Aproveitamento dos Alunos no Ensino IIº Ciclo Técnico-Profissional</t>
  </si>
  <si>
    <t>Número de Candidatos</t>
  </si>
  <si>
    <t>Número de Matriculados pela 1ª vez</t>
  </si>
  <si>
    <t>Quadro 1.2: Total de Vagas, Candidatos e Alunos Matriculados pela 1ª Vez</t>
  </si>
  <si>
    <t>PREENCHER UMA FICHA POR ESPECIALIDADE</t>
  </si>
  <si>
    <t>Iiº Ciclo Ens Secundário</t>
  </si>
  <si>
    <t>Ciências Económico-Jurídicas</t>
  </si>
  <si>
    <t>DISCIPLINAS</t>
  </si>
  <si>
    <t>Física</t>
  </si>
  <si>
    <t>Geologia</t>
  </si>
  <si>
    <t>Geometria Descritiva</t>
  </si>
  <si>
    <t>Sociologia</t>
  </si>
  <si>
    <t>Psicologia</t>
  </si>
  <si>
    <t>Antropologia</t>
  </si>
  <si>
    <t>Lingua Estrangeira II</t>
  </si>
  <si>
    <t>Literatura</t>
  </si>
  <si>
    <t>Desenho</t>
  </si>
  <si>
    <t>Teoria Prática do Design</t>
  </si>
  <si>
    <t>História das Artes</t>
  </si>
  <si>
    <t>Técnica de Expressão Artística</t>
  </si>
  <si>
    <t>Lista Única das Disciplinas</t>
  </si>
  <si>
    <t>Quadro 8. Pessoal Docente por Disciplina (diante dos alunos)</t>
  </si>
  <si>
    <t>Áreas de Formação</t>
  </si>
  <si>
    <t>Cursos</t>
  </si>
  <si>
    <t>TP I CICLO</t>
  </si>
  <si>
    <t>Construção Civil</t>
  </si>
  <si>
    <t>Auxiliar de Construção Civil/Canalizador</t>
  </si>
  <si>
    <t>Auxiliar de Construção Civil/Carpinteiro</t>
  </si>
  <si>
    <t>Auxiliar de Construção Civil/Pedreiro</t>
  </si>
  <si>
    <t>Auxiliar de Construção Civil/Pintor de Obras Públicas</t>
  </si>
  <si>
    <t>Electricista de Baixa Tensão</t>
  </si>
  <si>
    <t>Electricista de Edificações</t>
  </si>
  <si>
    <t>Assistente de Electricidade ou Energia</t>
  </si>
  <si>
    <t>Assistente de Água</t>
  </si>
  <si>
    <t>Auxiliar de Electrónica</t>
  </si>
  <si>
    <t>Assistente de Telecomunicações</t>
  </si>
  <si>
    <t>Mecânico Auto</t>
  </si>
  <si>
    <t>Mecânico Industrial</t>
  </si>
  <si>
    <t>Serralheiro Mecânico</t>
  </si>
  <si>
    <t>Auxiliar de Manutenção Naval</t>
  </si>
  <si>
    <t>Bate Chapa Auto</t>
  </si>
  <si>
    <t>Pintor Auto</t>
  </si>
  <si>
    <t>Electricidade</t>
  </si>
  <si>
    <t>Electrónica</t>
  </si>
  <si>
    <t>Telecomunicações</t>
  </si>
  <si>
    <t>Mecânica</t>
  </si>
  <si>
    <t>Mecânico de Frio</t>
  </si>
  <si>
    <t>Auxiliar de Carpintaria Naval</t>
  </si>
  <si>
    <t>Operador de Informática</t>
  </si>
  <si>
    <t>Assistente de Informação e Comunicação Social</t>
  </si>
  <si>
    <t>Auxiliar de Contabilidade</t>
  </si>
  <si>
    <t>Assistente de Secretariado</t>
  </si>
  <si>
    <t>Agente Comunitário de Saúde</t>
  </si>
  <si>
    <t>Promotor de Ambiente</t>
  </si>
  <si>
    <t>Contabilidade</t>
  </si>
  <si>
    <t>Secretariado</t>
  </si>
  <si>
    <t>Saúde</t>
  </si>
  <si>
    <t>Ambiente</t>
  </si>
  <si>
    <t>Comunicação e Informação</t>
  </si>
  <si>
    <t>Administração e Gestão</t>
  </si>
  <si>
    <t>Auxiliar de Agricultura</t>
  </si>
  <si>
    <t>Auxiliar de Recursos Florestais</t>
  </si>
  <si>
    <t>Agricultura</t>
  </si>
  <si>
    <t>Pecuária</t>
  </si>
  <si>
    <t>Pesca</t>
  </si>
  <si>
    <t>Hotelaria e Turismo</t>
  </si>
  <si>
    <t>Auxiliar de Pecuária</t>
  </si>
  <si>
    <t>Auxiliar de Navegação e Pescas</t>
  </si>
  <si>
    <t>Auxiliar de Aquicultura</t>
  </si>
  <si>
    <t>Cozinheiro</t>
  </si>
  <si>
    <t>Pasteleiro/Padeiro</t>
  </si>
  <si>
    <t>Empregado de Mesa e Bar</t>
  </si>
  <si>
    <t>Empregado de Andares</t>
  </si>
  <si>
    <t>Auxiliar de Corte e Costura</t>
  </si>
  <si>
    <t>Têxtil e Confecção</t>
  </si>
  <si>
    <t>Dança</t>
  </si>
  <si>
    <t>Intérprete Vocacional em Dança Moderna e Folclórica</t>
  </si>
  <si>
    <t>Assistente de Expressão Plástica</t>
  </si>
  <si>
    <t>Artes Visuais e Plástica</t>
  </si>
  <si>
    <t>Música</t>
  </si>
  <si>
    <t>Intérprete Básico de Música</t>
  </si>
  <si>
    <t>Intérprete Vocacional em Expressão Dramática</t>
  </si>
  <si>
    <t>Teatro</t>
  </si>
  <si>
    <t>Intérprete Vocacional de Música</t>
  </si>
  <si>
    <t>Preparador de Laboratório</t>
  </si>
  <si>
    <t>Indústrias Alimentares</t>
  </si>
  <si>
    <t>Produtor de Alimentos</t>
  </si>
  <si>
    <t>Auxiliar Agro-Alimentar</t>
  </si>
  <si>
    <t>TP II CICLO</t>
  </si>
  <si>
    <t>Desenhador Projectista</t>
  </si>
  <si>
    <t>Técnico de Obras de Construção Civil</t>
  </si>
  <si>
    <t>Energia e Instalações Eléctricas</t>
  </si>
  <si>
    <t>Electricidade e Electrónica Auto</t>
  </si>
  <si>
    <t>Electricidade Naval</t>
  </si>
  <si>
    <t>Electrónica Insustrial e Automação</t>
  </si>
  <si>
    <t>Energias Renováveis</t>
  </si>
  <si>
    <t>Electrónica /Áudio, Video e TV</t>
  </si>
  <si>
    <t>Electrónica, Automação e Instrumentação</t>
  </si>
  <si>
    <t>Mecatrónica Automóvel</t>
  </si>
  <si>
    <t>Electromecânica</t>
  </si>
  <si>
    <t>Geologia do Petróleo</t>
  </si>
  <si>
    <t>Minas</t>
  </si>
  <si>
    <t>Perfuração e Produção Petrolífera</t>
  </si>
  <si>
    <t>Instrumentação Petrolífera</t>
  </si>
  <si>
    <t>Refinação de Petróleo</t>
  </si>
  <si>
    <t>Processamento de Gás</t>
  </si>
  <si>
    <t>Mecânica de Instalações Petrolíferas</t>
  </si>
  <si>
    <t>Geologia Aplicada</t>
  </si>
  <si>
    <t>Geofísica</t>
  </si>
  <si>
    <t>Geoquímica</t>
  </si>
  <si>
    <t>Geoestatística</t>
  </si>
  <si>
    <t>Segurança dos Sistemas de Petróleo e de Gás Natural</t>
  </si>
  <si>
    <t>Gestão de Offshore e Operações Subaquáticas</t>
  </si>
  <si>
    <t>Prospecção e Perfuração de Poços</t>
  </si>
  <si>
    <t>Indústrias Extractivas</t>
  </si>
  <si>
    <t>Frio e Climatização</t>
  </si>
  <si>
    <t>Manutenção Industrial</t>
  </si>
  <si>
    <t>Máquinas e Motores</t>
  </si>
  <si>
    <t>Máquinas e Instalações Frigoríficas Navais</t>
  </si>
  <si>
    <t>Máquinas e Motores Navais</t>
  </si>
  <si>
    <t>Produção em Metalomecânica</t>
  </si>
  <si>
    <t>Manutenção Mecânica</t>
  </si>
  <si>
    <t>Mecânica Naval</t>
  </si>
  <si>
    <t>Técnico de Informática</t>
  </si>
  <si>
    <t>Gestão dos Sistemas Informáticos</t>
  </si>
  <si>
    <t>Informática de Gestão</t>
  </si>
  <si>
    <t>Sistemas Multimédia</t>
  </si>
  <si>
    <t>Ciências Políticas e Criminais</t>
  </si>
  <si>
    <t>Investigação Criminal</t>
  </si>
  <si>
    <t>Segurança Pública</t>
  </si>
  <si>
    <t>Fiscalização Aduaneira</t>
  </si>
  <si>
    <t>Guarda Fronteiriça</t>
  </si>
  <si>
    <t>Segurança Rodoviária</t>
  </si>
  <si>
    <t>Logística e Transportes</t>
  </si>
  <si>
    <t>Inspecção e Investigação das Actividades Económicas</t>
  </si>
  <si>
    <t>Comunicação Social</t>
  </si>
  <si>
    <t>Jornalismo Comunitário</t>
  </si>
  <si>
    <t>Comunicação , Marketing, Relações Públicas e Publicidade</t>
  </si>
  <si>
    <t>Administração, Gestão, Serviços</t>
  </si>
  <si>
    <t>Educador Social</t>
  </si>
  <si>
    <t>Contabilidade e Gestão</t>
  </si>
  <si>
    <t>Estatística e Planeamento</t>
  </si>
  <si>
    <t>Gestão Empresarial</t>
  </si>
  <si>
    <t>Administração Pública</t>
  </si>
  <si>
    <t>Formação Bancária</t>
  </si>
  <si>
    <t>Gestão de Recursos Humanos</t>
  </si>
  <si>
    <t>Biblioteconomia, Arquivo e Documentação</t>
  </si>
  <si>
    <t>Comércio</t>
  </si>
  <si>
    <t>Finança</t>
  </si>
  <si>
    <t>Banca e Seguros</t>
  </si>
  <si>
    <t>Vendas</t>
  </si>
  <si>
    <t>Serviços Consular e Migratório</t>
  </si>
  <si>
    <t>Serviços de Mediateca</t>
  </si>
  <si>
    <t>Serviços Jurídicos</t>
  </si>
  <si>
    <t>Mediação e Angariação Imobiliária</t>
  </si>
  <si>
    <t>Gestão Comercial e Marketing</t>
  </si>
  <si>
    <t>Transporte e Logística</t>
  </si>
  <si>
    <t>Distribuição e Operações Logísticas</t>
  </si>
  <si>
    <t>Planeamento e Gestão de Transportes</t>
  </si>
  <si>
    <t>Ambiente e Controlo da Qualidade</t>
  </si>
  <si>
    <t>Petroquímica</t>
  </si>
  <si>
    <t>Química Industrial</t>
  </si>
  <si>
    <t>Técnicas de Laboratório</t>
  </si>
  <si>
    <t>Bioquímica</t>
  </si>
  <si>
    <t>Análises Clínicas</t>
  </si>
  <si>
    <t>Anatomia Patológica</t>
  </si>
  <si>
    <t>Enfermagem</t>
  </si>
  <si>
    <t>Estomatologia</t>
  </si>
  <si>
    <t>Cardiopneumologia</t>
  </si>
  <si>
    <t>Farmácia</t>
  </si>
  <si>
    <t>Fisioterapia</t>
  </si>
  <si>
    <t>Ortoprotesia</t>
  </si>
  <si>
    <t>Ortóptica</t>
  </si>
  <si>
    <t>Nutrição e Dietética</t>
  </si>
  <si>
    <t>Radiologia</t>
  </si>
  <si>
    <t>Saúde Ambiental</t>
  </si>
  <si>
    <t>Estética e Beleza</t>
  </si>
  <si>
    <t>Manutenção de Equipamentos Hospitalares</t>
  </si>
  <si>
    <t>Gestão do Ambiente</t>
  </si>
  <si>
    <t>Segurança, Higiene e Saúde no Trabalho</t>
  </si>
  <si>
    <t>Tratamento e Aproveitamento e Protecção Sanitária</t>
  </si>
  <si>
    <t>Produção Vegetal</t>
  </si>
  <si>
    <t>Segurança Ambiental e Protecção Sanitária</t>
  </si>
  <si>
    <t>Gestão Agrícola</t>
  </si>
  <si>
    <t>Jardinagem e Espaços Verdes</t>
  </si>
  <si>
    <t>Recursos Florestais</t>
  </si>
  <si>
    <t>Cuidados Veterinários e de Sanidade Animal</t>
  </si>
  <si>
    <t>Produção Animal</t>
  </si>
  <si>
    <t>Indústrias Alimentates e Pescas</t>
  </si>
  <si>
    <t>Indústria Agro-Alimentar</t>
  </si>
  <si>
    <t>Tecnologias Alimentares</t>
  </si>
  <si>
    <t>Biologia Marinha</t>
  </si>
  <si>
    <t>Aquicultura</t>
  </si>
  <si>
    <t>Apicultura</t>
  </si>
  <si>
    <t>Recursos e Equipamentos Pesqueiros</t>
  </si>
  <si>
    <t>Processamento e Beneficiamento do Pescado</t>
  </si>
  <si>
    <t>Tecnologia do Pescado</t>
  </si>
  <si>
    <t>Manutenção Naval</t>
  </si>
  <si>
    <t>Cozinha e Pastelaria</t>
  </si>
  <si>
    <t>Restaurante e Bar</t>
  </si>
  <si>
    <t>Turismo</t>
  </si>
  <si>
    <t>Recepção</t>
  </si>
  <si>
    <t>Gestão Hoteleira</t>
  </si>
  <si>
    <t>Organização de Eventos</t>
  </si>
  <si>
    <t>Turismo Ambiental e Rural</t>
  </si>
  <si>
    <t>Tecnologias Têxteis</t>
  </si>
  <si>
    <t>Modelagem de Vestuário</t>
  </si>
  <si>
    <t>Confecção e Produção de Vestuário</t>
  </si>
  <si>
    <t>Geodesia e Cartografia</t>
  </si>
  <si>
    <t>Sistemas de Informação Geográfica</t>
  </si>
  <si>
    <t>Topografia</t>
  </si>
  <si>
    <t>Ordenamento do Território e Urbanismo</t>
  </si>
  <si>
    <t>Tecnologias dos Móveis</t>
  </si>
  <si>
    <t>Produção Industrial e Qualidade</t>
  </si>
  <si>
    <t>Tecnologias do Calçado</t>
  </si>
  <si>
    <t>Joalharia</t>
  </si>
  <si>
    <t>Bombeiros</t>
  </si>
  <si>
    <t>Prevenção de Incendios</t>
  </si>
  <si>
    <t>Extinção de Incêndios</t>
  </si>
  <si>
    <t>Manuseamento de Matérias Perigosas</t>
  </si>
  <si>
    <t>Investigação de Incêndios</t>
  </si>
  <si>
    <t>Atendimento Pré-hospitalar</t>
  </si>
  <si>
    <t>Resgate e Salvamento</t>
  </si>
  <si>
    <t>Rádio Comunicação</t>
  </si>
  <si>
    <t>Mergulho</t>
  </si>
  <si>
    <t>Protecção Civil</t>
  </si>
  <si>
    <t>Gestão de Abrigos</t>
  </si>
  <si>
    <t>Avaliação de Riscos</t>
  </si>
  <si>
    <t>Gestão de Desastres</t>
  </si>
  <si>
    <t>Planeamento de Emergência</t>
  </si>
  <si>
    <t>Artes Têxteis</t>
  </si>
  <si>
    <t>Cerâmica</t>
  </si>
  <si>
    <t>Design Gráfico</t>
  </si>
  <si>
    <t>Escultura</t>
  </si>
  <si>
    <t>Gravura</t>
  </si>
  <si>
    <t>Pintura</t>
  </si>
  <si>
    <t>Bailarino e Intérprete de Dança Moderna e Contemporânea</t>
  </si>
  <si>
    <t>Bailarino e Intérprete de DançaFolclórica</t>
  </si>
  <si>
    <t>Bailarino e Intérprete de Dança Clássica</t>
  </si>
  <si>
    <t>Bailarino de Espetáculos Musicais e Variedades</t>
  </si>
  <si>
    <t>Intérprete de Instrumento Musical e Prática de Conjunto com 18 Especialidades ou Opções</t>
  </si>
  <si>
    <t>Direcção Coral</t>
  </si>
  <si>
    <t>Teórico Intérprete de Música</t>
  </si>
  <si>
    <t>Mecanismo e Afinação de Piano</t>
  </si>
  <si>
    <t>Caligrafia e Documentação Musical</t>
  </si>
  <si>
    <t>Luthier</t>
  </si>
  <si>
    <t>Sonoplastia</t>
  </si>
  <si>
    <t>Actuação</t>
  </si>
  <si>
    <t>Titeriteiro ou Animador de Figuras</t>
  </si>
  <si>
    <t>Desenho Teatral</t>
  </si>
  <si>
    <t>Técnico de Produção</t>
  </si>
  <si>
    <t>Operador de Camara e iluminação</t>
  </si>
  <si>
    <t>Operador de som</t>
  </si>
  <si>
    <t>Editor</t>
  </si>
  <si>
    <t>Animador Multimédia</t>
  </si>
  <si>
    <t>Cinema</t>
  </si>
  <si>
    <t>ÁREA DE FORMAÇÃO</t>
  </si>
  <si>
    <t>electricidade</t>
  </si>
  <si>
    <t>Ens. Sec. Iº Ciclo (Mat/Física)</t>
  </si>
  <si>
    <t>Educação Pré-escolar</t>
  </si>
  <si>
    <t>Ensino Primário</t>
  </si>
  <si>
    <t>Ens. Sec. Iº Ciclo (Biologia/Química)</t>
  </si>
  <si>
    <t>Ens. Sec. Iº Ciclo (Hist/Geografia)</t>
  </si>
  <si>
    <t>Ens. Sec. Iº Ciclo (Língua Inglesa)</t>
  </si>
  <si>
    <t>Ens. Sec. Iº Ciclo (Educação Física)</t>
  </si>
  <si>
    <t>Ens. Sec. Iº Ciclo (Educação Manual Cívica)</t>
  </si>
  <si>
    <t>Especialidades_2</t>
  </si>
  <si>
    <t>Manhã</t>
  </si>
  <si>
    <t>Tarde</t>
  </si>
  <si>
    <t>Noite</t>
  </si>
  <si>
    <t>NumTurnos</t>
  </si>
  <si>
    <t>TOTAL    TURMAS</t>
  </si>
  <si>
    <t>Turmas</t>
  </si>
  <si>
    <t>Nº Salas</t>
  </si>
  <si>
    <t>Quadro 7. Salas de Laboratórios</t>
  </si>
  <si>
    <t>Língua Estrangeira</t>
  </si>
  <si>
    <t>Quadro 5. Pessoal docente (diante dos alunos) total com e sem Formação Pedagógica</t>
  </si>
  <si>
    <t>(diante dos alunos)</t>
  </si>
  <si>
    <t xml:space="preserve">Quadro 6. Idade do Pessoal docente                                             </t>
  </si>
  <si>
    <t>Blocos Pré-Fabricados</t>
  </si>
  <si>
    <t>Ens. Sec. Iº Ciclo (Língua Portuguesa)</t>
  </si>
  <si>
    <t>Ens. Sec. Iº Ciclo (Língua Francesa)</t>
  </si>
  <si>
    <t>Ens. Sec. Iº Ciclo (Educação visual Plástica)</t>
  </si>
  <si>
    <t>Entrada</t>
  </si>
  <si>
    <t>Saída</t>
  </si>
  <si>
    <t>Distância à Direcção Municipal</t>
  </si>
  <si>
    <t>Campos de preenchimento não obrigatório</t>
  </si>
  <si>
    <t>Matriculados no Ínicio do Ano</t>
  </si>
  <si>
    <t>Matriculados no Final do Ano</t>
  </si>
  <si>
    <r>
      <t>Definições</t>
    </r>
    <r>
      <rPr>
        <sz val="10"/>
        <rFont val="Arial"/>
        <family val="2"/>
      </rPr>
      <t xml:space="preserve"> : </t>
    </r>
    <r>
      <rPr>
        <b/>
        <sz val="10"/>
        <rFont val="Arial"/>
        <family val="2"/>
      </rPr>
      <t>Aprovados</t>
    </r>
    <r>
      <rPr>
        <sz val="10"/>
        <rFont val="Arial"/>
        <family val="2"/>
      </rPr>
      <t xml:space="preserve">: alunos matriculados no final do ano que aprovam. </t>
    </r>
    <r>
      <rPr>
        <b/>
        <sz val="10"/>
        <rFont val="Arial"/>
        <family val="2"/>
      </rPr>
      <t>Reprovados</t>
    </r>
    <r>
      <rPr>
        <sz val="10"/>
        <rFont val="Arial"/>
        <family val="2"/>
      </rPr>
      <t xml:space="preserve">: alunos reprovados por falta de sucesso (por não aproveitamento) + reprovados por falta de presença ao exame (não se deve incluir os desistidos). </t>
    </r>
    <r>
      <rPr>
        <b/>
        <sz val="10"/>
        <rFont val="Arial"/>
        <family val="2"/>
      </rPr>
      <t>Transferidos</t>
    </r>
    <r>
      <rPr>
        <sz val="10"/>
        <rFont val="Arial"/>
        <family val="2"/>
      </rPr>
      <t xml:space="preserve">: alunos transferidos para outra escola. </t>
    </r>
    <r>
      <rPr>
        <b/>
        <sz val="10"/>
        <rFont val="Arial"/>
        <family val="2"/>
      </rPr>
      <t>Desistidos</t>
    </r>
    <r>
      <rPr>
        <sz val="10"/>
        <rFont val="Arial"/>
        <family val="2"/>
      </rPr>
      <t>: alunos que abandonam a escola e saem do sistema educativo.</t>
    </r>
  </si>
  <si>
    <t>Versão</t>
  </si>
  <si>
    <t>Modelo Offline</t>
  </si>
  <si>
    <r>
      <rPr>
        <b/>
        <u/>
        <sz val="9"/>
        <rFont val="Arial"/>
        <family val="2"/>
      </rPr>
      <t>Definições</t>
    </r>
    <r>
      <rPr>
        <u/>
        <sz val="9"/>
        <rFont val="Arial"/>
        <family val="2"/>
      </rPr>
      <t>.</t>
    </r>
    <r>
      <rPr>
        <sz val="9"/>
        <rFont val="Arial"/>
        <family val="2"/>
      </rPr>
      <t xml:space="preserve"> </t>
    </r>
    <r>
      <rPr>
        <b/>
        <sz val="9"/>
        <rFont val="Arial"/>
        <family val="2"/>
      </rPr>
      <t>Regime de Ensino</t>
    </r>
    <r>
      <rPr>
        <sz val="9"/>
        <rFont val="Arial"/>
        <family val="2"/>
      </rPr>
      <t xml:space="preserve">: Escola Pública: escola estatal, Escola Privada: escola sem intervenção do estado mas legalizada, Escola Comparticipada: escola privada onde o estado intervem com colocação de professores e pagamento dos salários. </t>
    </r>
    <r>
      <rPr>
        <b/>
        <sz val="9"/>
        <rFont val="Arial"/>
        <family val="2"/>
      </rPr>
      <t>Turma</t>
    </r>
    <r>
      <rPr>
        <sz val="9"/>
        <rFont val="Arial"/>
        <family val="2"/>
      </rPr>
      <t xml:space="preserve"> : Grupo de alunos ensinados pelo mesmo professor ao mesmo tempo. </t>
    </r>
    <r>
      <rPr>
        <b/>
        <sz val="9"/>
        <rFont val="Arial"/>
        <family val="2"/>
      </rPr>
      <t>Turno</t>
    </r>
    <r>
      <rPr>
        <sz val="9"/>
        <rFont val="Arial"/>
        <family val="2"/>
      </rPr>
      <t xml:space="preserve"> : Período de funcionamento da turma. São agrupados a partir do início do horário de funcionamento (ex. turno das 7-10 da manhã). </t>
    </r>
    <r>
      <rPr>
        <b/>
        <sz val="9"/>
        <rFont val="Arial"/>
        <family val="2"/>
      </rPr>
      <t>Deficiências</t>
    </r>
    <r>
      <rPr>
        <sz val="9"/>
        <rFont val="Arial"/>
        <family val="2"/>
      </rPr>
      <t xml:space="preserve">: Incapacidade. Visual: Relativa aos olhos ou vista. Auditiva: Relativa ao ouvido (exemplo surdez). Motora: Relativa a dificuldade para se movimentar ou deslocar. </t>
    </r>
  </si>
  <si>
    <t>Campos de preenchimento obrigatório (se tiver campo "Curso" preenchido)</t>
  </si>
  <si>
    <t>(Se preencher o campo "Curso" terá obrigatoriamente que preencher todos os campos da folha)</t>
  </si>
  <si>
    <t>Campos de preenchimento obrigatório (se tiver campo "Ano Lectivo" preenchido)</t>
  </si>
  <si>
    <t>Malanje (Sede)</t>
  </si>
  <si>
    <t>Muvuluege</t>
  </si>
  <si>
    <r>
      <t>FICHA DE INFORMAÇÕES ADICIONAIS DA ESCOLA (</t>
    </r>
    <r>
      <rPr>
        <b/>
        <sz val="14"/>
        <color rgb="FFFF0000"/>
        <rFont val="Calibri"/>
        <family val="2"/>
      </rPr>
      <t>Necessario</t>
    </r>
    <r>
      <rPr>
        <b/>
        <sz val="14"/>
        <color theme="0"/>
        <rFont val="Calibri"/>
        <family val="2"/>
      </rPr>
      <t>)</t>
    </r>
  </si>
  <si>
    <t>NOME DA ESCOLA:</t>
  </si>
  <si>
    <r>
      <t xml:space="preserve">No caso de se tratar de um  complexo indicar o tipo. </t>
    </r>
    <r>
      <rPr>
        <sz val="9"/>
        <color rgb="FFFF0000"/>
        <rFont val="Times New Roman"/>
        <family val="1"/>
      </rPr>
      <t>Exemplo:</t>
    </r>
    <r>
      <rPr>
        <sz val="9"/>
        <color theme="1"/>
        <rFont val="Times New Roman"/>
        <family val="1"/>
      </rPr>
      <t xml:space="preserve"> </t>
    </r>
    <r>
      <rPr>
        <b/>
        <i/>
        <u/>
        <sz val="9"/>
        <color theme="1"/>
        <rFont val="Times New Roman"/>
        <family val="1"/>
      </rPr>
      <t>Complexo Escolar (Primário e I Ciclo)</t>
    </r>
  </si>
  <si>
    <t>Número de Salas de Aula  Usadas Neste ano Lectivo Para:</t>
  </si>
  <si>
    <t xml:space="preserve"> Total de Funcionários da Escola</t>
  </si>
  <si>
    <r>
      <t>PROFESSORES NO PASSIVO (</t>
    </r>
    <r>
      <rPr>
        <sz val="10"/>
        <color theme="0"/>
        <rFont val="Arial"/>
        <family val="2"/>
      </rPr>
      <t>MED</t>
    </r>
    <r>
      <rPr>
        <b/>
        <sz val="10"/>
        <color theme="0"/>
        <rFont val="Arial"/>
        <family val="2"/>
      </rPr>
      <t>)</t>
    </r>
  </si>
  <si>
    <t>C/Formação</t>
  </si>
  <si>
    <t>S/Formação</t>
  </si>
  <si>
    <t>Iniciação (Pré Escolar)</t>
  </si>
  <si>
    <t>Professores Ausentes Por Motivos de Saúde</t>
  </si>
  <si>
    <t>Ensino Primário (1ª à 6ª)</t>
  </si>
  <si>
    <t>Professores Ausentes por outros Motivos</t>
  </si>
  <si>
    <t>Praeer (1, 2 e 3)</t>
  </si>
  <si>
    <t>Director(a)</t>
  </si>
  <si>
    <t>Eja - Módulos (1, 2 e 3)</t>
  </si>
  <si>
    <t>Sub-Dir. Pedagóg</t>
  </si>
  <si>
    <t>Eja - I Ciclo ( 1ª e 2º Ano)</t>
  </si>
  <si>
    <t>Sub-Dir. Admin.</t>
  </si>
  <si>
    <t>PROFESSORES COLABORADORES       (Estagíarios e Contratados)</t>
  </si>
  <si>
    <t>Professores (Sem Turmas)</t>
  </si>
  <si>
    <t>Professores (Com Turmas)</t>
  </si>
  <si>
    <t>Estagiarios ( ISCED)</t>
  </si>
  <si>
    <t>Estagiarios ( Magistério)</t>
  </si>
  <si>
    <t xml:space="preserve">Contratados </t>
  </si>
  <si>
    <t>Incluem: Professores que Prestam Serviços Administrativos (Não Têm Horário (Turmas).</t>
  </si>
  <si>
    <t>Incluem: Professores em Frente aos Alunos ou Seja Aqueles que Têm Horários (Turmas).</t>
  </si>
  <si>
    <t>Incluem: Motoristas, Jardineiros, Auxiliares de Limpesa, Seguranças, Continos e mais, Afectos ao MED.</t>
  </si>
  <si>
    <t>A Escola Tem Classe de Iniciação, Praeer, EJA (Módulos / Iciclo)?</t>
  </si>
  <si>
    <t>Se SIM, Preencher o quadro com o valo UM (1)</t>
  </si>
  <si>
    <t>Classe de Iniciação</t>
  </si>
  <si>
    <t>PRAEER - Etapas</t>
  </si>
  <si>
    <t>EJA- Ens.Primário (Módulos)</t>
  </si>
  <si>
    <t>EJA - I Ciclo (I e II Ano)</t>
  </si>
  <si>
    <t>I Ciclo - Regular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</si>
</sst>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
  </numFmts>
  <fonts count="66" x14ac:knownFonts="1">
    <font>
      <sz val="11"/>
      <color theme="1"/>
      <name val="Calibri"/>
      <family val="2"/>
      <scheme val="minor"/>
    </font>
    <font>
      <sz val="10"/>
      <color rgb="FFFF0000"/>
      <name val="Arial"/>
      <family val="2"/>
    </font>
    <font>
      <sz val="10"/>
      <name val="Arial"/>
      <family val="2"/>
    </font>
    <font>
      <b/>
      <sz val="10"/>
      <name val="Arial"/>
      <family val="2"/>
    </font>
    <font>
      <b/>
      <sz val="9"/>
      <name val="Arial"/>
      <family val="2"/>
    </font>
    <font>
      <b/>
      <u/>
      <sz val="9"/>
      <name val="Arial"/>
      <family val="2"/>
    </font>
    <font>
      <sz val="9"/>
      <name val="Arial"/>
      <family val="2"/>
    </font>
    <font>
      <u/>
      <sz val="9"/>
      <name val="Arial"/>
      <family val="2"/>
    </font>
    <font>
      <b/>
      <sz val="11"/>
      <color theme="1"/>
      <name val="Calibri"/>
      <family val="2"/>
      <scheme val="minor"/>
    </font>
    <font>
      <sz val="11"/>
      <name val="Calibri"/>
      <family val="2"/>
      <scheme val="minor"/>
    </font>
    <font>
      <b/>
      <sz val="11"/>
      <color rgb="FF000099"/>
      <name val="Calibri"/>
      <family val="2"/>
      <scheme val="minor"/>
    </font>
    <font>
      <b/>
      <sz val="10"/>
      <color theme="0"/>
      <name val="Arial"/>
      <family val="2"/>
    </font>
    <font>
      <b/>
      <sz val="14"/>
      <color rgb="FFFF0000"/>
      <name val="Arial"/>
      <family val="2"/>
    </font>
    <font>
      <sz val="8"/>
      <name val="Arial"/>
      <family val="2"/>
    </font>
    <font>
      <sz val="11"/>
      <color theme="0"/>
      <name val="Calibri"/>
      <family val="2"/>
      <scheme val="minor"/>
    </font>
    <font>
      <sz val="10"/>
      <color theme="0"/>
      <name val="Arial"/>
      <family val="2"/>
    </font>
    <font>
      <sz val="10"/>
      <color theme="4" tint="0.79998168889431442"/>
      <name val="Arial"/>
      <family val="2"/>
    </font>
    <font>
      <b/>
      <sz val="9"/>
      <color theme="0"/>
      <name val="Arial"/>
      <family val="2"/>
    </font>
    <font>
      <b/>
      <sz val="10"/>
      <color theme="4" tint="0.79998168889431442"/>
      <name val="Arial"/>
      <family val="2"/>
    </font>
    <font>
      <b/>
      <sz val="16"/>
      <name val="Calibri"/>
      <family val="2"/>
      <scheme val="minor"/>
    </font>
    <font>
      <sz val="10"/>
      <name val="Calibri"/>
      <family val="2"/>
      <scheme val="minor"/>
    </font>
    <font>
      <u/>
      <sz val="10"/>
      <name val="Arial"/>
      <family val="2"/>
    </font>
    <font>
      <b/>
      <sz val="11"/>
      <name val="Calibri"/>
      <family val="2"/>
      <scheme val="minor"/>
    </font>
    <font>
      <b/>
      <sz val="8"/>
      <name val="Arial"/>
      <family val="2"/>
    </font>
    <font>
      <b/>
      <sz val="8"/>
      <color theme="0"/>
      <name val="Arial"/>
      <family val="2"/>
    </font>
    <font>
      <b/>
      <sz val="11"/>
      <name val="Arial"/>
      <family val="2"/>
    </font>
    <font>
      <sz val="8"/>
      <name val="Calibri"/>
      <family val="2"/>
      <scheme val="minor"/>
    </font>
    <font>
      <b/>
      <sz val="16"/>
      <color theme="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indexed="18"/>
      <name val="Arial"/>
      <family val="2"/>
    </font>
    <font>
      <sz val="10"/>
      <color indexed="18"/>
      <name val="Arial"/>
      <family val="2"/>
    </font>
    <font>
      <b/>
      <sz val="10"/>
      <color indexed="18"/>
      <name val="Arial"/>
      <family val="2"/>
    </font>
    <font>
      <sz val="12"/>
      <color indexed="18"/>
      <name val="Arial"/>
      <family val="2"/>
    </font>
    <font>
      <b/>
      <sz val="9.3000000000000007"/>
      <color theme="0"/>
      <name val="Arial"/>
      <family val="2"/>
    </font>
    <font>
      <b/>
      <u/>
      <sz val="11"/>
      <color theme="1"/>
      <name val="Calibri"/>
      <family val="2"/>
      <scheme val="minor"/>
    </font>
    <font>
      <sz val="9"/>
      <color theme="1"/>
      <name val="Calibri"/>
      <family val="2"/>
      <scheme val="minor"/>
    </font>
    <font>
      <b/>
      <sz val="9"/>
      <name val="Calibri"/>
      <family val="2"/>
      <scheme val="minor"/>
    </font>
    <font>
      <sz val="11"/>
      <color rgb="FF000000"/>
      <name val="Calibri"/>
      <family val="2"/>
    </font>
    <font>
      <b/>
      <sz val="11"/>
      <color theme="0"/>
      <name val="Calibri"/>
      <family val="2"/>
      <scheme val="minor"/>
    </font>
    <font>
      <b/>
      <sz val="14"/>
      <color theme="0"/>
      <name val="Calibri"/>
      <family val="2"/>
    </font>
    <font>
      <b/>
      <sz val="14"/>
      <color rgb="FFFF0000"/>
      <name val="Calibri"/>
      <family val="2"/>
    </font>
    <font>
      <b/>
      <sz val="10"/>
      <color theme="0"/>
      <name val="Times New Roman"/>
      <family val="1"/>
    </font>
    <font>
      <b/>
      <sz val="12"/>
      <color rgb="FFFF0000"/>
      <name val="Times New Roman"/>
      <family val="1"/>
    </font>
    <font>
      <sz val="9"/>
      <color theme="1"/>
      <name val="Times New Roman"/>
      <family val="1"/>
    </font>
    <font>
      <sz val="9"/>
      <color rgb="FFFF0000"/>
      <name val="Times New Roman"/>
      <family val="1"/>
    </font>
    <font>
      <b/>
      <i/>
      <u/>
      <sz val="9"/>
      <color theme="1"/>
      <name val="Times New Roman"/>
      <family val="1"/>
    </font>
    <font>
      <sz val="11"/>
      <color theme="1"/>
      <name val="Calibri"/>
      <family val="2"/>
    </font>
    <font>
      <b/>
      <sz val="10"/>
      <color theme="1"/>
      <name val="Arial"/>
      <family val="2"/>
    </font>
    <font>
      <sz val="11"/>
      <name val="Calibri"/>
      <family val="2"/>
    </font>
    <font>
      <sz val="10"/>
      <color theme="1"/>
      <name val="Arial"/>
      <family val="2"/>
    </font>
    <font>
      <b/>
      <sz val="9"/>
      <color rgb="FFFF0000"/>
      <name val="Arial"/>
      <family val="2"/>
    </font>
    <font>
      <b/>
      <sz val="9"/>
      <color theme="1"/>
      <name val="Arial"/>
      <family val="2"/>
    </font>
    <font>
      <sz val="16"/>
      <color theme="0"/>
      <name val="Times New Roman"/>
      <family val="1"/>
    </font>
    <font>
      <b/>
      <sz val="11"/>
      <color theme="0"/>
      <name val="Arial"/>
      <family val="2"/>
    </font>
    <font>
      <sz val="9"/>
      <name val="Calibri"/>
      <family val="2"/>
    </font>
    <font>
      <sz val="14"/>
      <color theme="1"/>
      <name val="Times New Roman"/>
      <family val="1"/>
    </font>
    <font>
      <i/>
      <sz val="16"/>
      <color rgb="FF002060"/>
      <name val="Times New Roman"/>
      <family val="1"/>
    </font>
    <font>
      <b/>
      <sz val="10"/>
      <color theme="1"/>
      <name val="Times New Roman"/>
      <family val="1"/>
    </font>
    <font>
      <sz val="10"/>
      <name val="Times New Roman"/>
      <family val="1"/>
    </font>
    <font>
      <sz val="10"/>
      <color theme="1"/>
      <name val="Times New Roman"/>
      <family val="1"/>
    </font>
    <font>
      <b/>
      <sz val="10"/>
      <color theme="1"/>
      <name val="Calibri"/>
      <family val="2"/>
    </font>
    <font>
      <b/>
      <sz val="12"/>
      <color theme="1"/>
      <name val="Calibri"/>
      <family val="2"/>
      <scheme val="minor"/>
    </font>
    <font>
      <b/>
      <sz val="12"/>
      <color theme="0"/>
      <name val="Calibri"/>
      <family val="2"/>
    </font>
    <font>
      <sz val="12"/>
      <color theme="0"/>
      <name val="Calibri"/>
      <family val="2"/>
    </font>
  </fonts>
  <fills count="25">
    <fill>
      <patternFill patternType="none"/>
    </fill>
    <fill>
      <patternFill patternType="gray125"/>
    </fill>
    <fill>
      <patternFill patternType="solid">
        <fgColor rgb="FF002060"/>
        <bgColor indexed="64"/>
      </patternFill>
    </fill>
    <fill>
      <patternFill patternType="solid">
        <fgColor rgb="FF00009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002060"/>
        <bgColor rgb="FF002060"/>
      </patternFill>
    </fill>
    <fill>
      <patternFill patternType="solid">
        <fgColor rgb="FFDEEAF6"/>
        <bgColor rgb="FFDEEAF6"/>
      </patternFill>
    </fill>
    <fill>
      <patternFill patternType="solid">
        <fgColor theme="7" tint="0.59999389629810485"/>
        <bgColor rgb="FFD0CECE"/>
      </patternFill>
    </fill>
    <fill>
      <patternFill patternType="solid">
        <fgColor rgb="FFD0CECE"/>
        <bgColor rgb="FFD0CECE"/>
      </patternFill>
    </fill>
    <fill>
      <patternFill patternType="solid">
        <fgColor rgb="FFFFE598"/>
        <bgColor rgb="FFFFE598"/>
      </patternFill>
    </fill>
    <fill>
      <patternFill patternType="solid">
        <fgColor theme="5"/>
        <bgColor rgb="FFD0CECE"/>
      </patternFill>
    </fill>
    <fill>
      <patternFill patternType="solid">
        <fgColor rgb="FFFF9900"/>
        <bgColor rgb="FFDEEAF6"/>
      </patternFill>
    </fill>
    <fill>
      <patternFill patternType="solid">
        <fgColor rgb="FFFF9900"/>
        <bgColor indexed="64"/>
      </patternFill>
    </fill>
  </fills>
  <borders count="61">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double">
        <color indexed="64"/>
      </top>
      <bottom style="thin">
        <color indexed="64"/>
      </bottom>
      <diagonal/>
    </border>
    <border>
      <left style="double">
        <color indexed="64"/>
      </left>
      <right/>
      <top/>
      <bottom/>
      <diagonal/>
    </border>
    <border>
      <left style="double">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style="thin">
        <color indexed="64"/>
      </top>
      <bottom style="double">
        <color indexed="64"/>
      </bottom>
      <diagonal/>
    </border>
    <border>
      <left/>
      <right/>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double">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style="double">
        <color indexed="64"/>
      </bottom>
      <diagonal/>
    </border>
    <border>
      <left style="thin">
        <color indexed="64"/>
      </left>
      <right/>
      <top/>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diagonal/>
    </border>
    <border>
      <left style="thin">
        <color indexed="64"/>
      </left>
      <right style="double">
        <color indexed="64"/>
      </right>
      <top style="thin">
        <color indexed="64"/>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style="double">
        <color indexed="64"/>
      </top>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right/>
      <top style="thin">
        <color rgb="FF000000"/>
      </top>
      <bottom/>
      <diagonal/>
    </border>
    <border>
      <left/>
      <right style="thin">
        <color indexed="64"/>
      </right>
      <top style="thin">
        <color rgb="FF000000"/>
      </top>
      <bottom/>
      <diagonal/>
    </border>
    <border>
      <left/>
      <right/>
      <top/>
      <bottom style="thin">
        <color rgb="FF000000"/>
      </bottom>
      <diagonal/>
    </border>
    <border>
      <left/>
      <right style="thin">
        <color indexed="64"/>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auto="1"/>
      </top>
      <bottom style="thin">
        <color auto="1"/>
      </bottom>
      <diagonal/>
    </border>
    <border>
      <left/>
      <right style="thin">
        <color rgb="FF000000"/>
      </right>
      <top style="thin">
        <color auto="1"/>
      </top>
      <bottom style="thin">
        <color auto="1"/>
      </bottom>
      <diagonal/>
    </border>
    <border>
      <left style="thin">
        <color rgb="FF000000"/>
      </left>
      <right/>
      <top style="thin">
        <color auto="1"/>
      </top>
      <bottom style="thin">
        <color rgb="FF000000"/>
      </bottom>
      <diagonal/>
    </border>
    <border>
      <left/>
      <right style="thin">
        <color rgb="FF000000"/>
      </right>
      <top style="thin">
        <color auto="1"/>
      </top>
      <bottom style="thin">
        <color rgb="FF000000"/>
      </bottom>
      <diagonal/>
    </border>
    <border>
      <left style="thin">
        <color rgb="FF000000"/>
      </left>
      <right/>
      <top/>
      <bottom style="thin">
        <color auto="1"/>
      </bottom>
      <diagonal/>
    </border>
    <border>
      <left/>
      <right style="thin">
        <color rgb="FF000000"/>
      </right>
      <top/>
      <bottom style="thin">
        <color auto="1"/>
      </bottom>
      <diagonal/>
    </border>
    <border>
      <left style="thin">
        <color rgb="FF000000"/>
      </left>
      <right/>
      <top style="thin">
        <color theme="2" tint="-0.14993743705557422"/>
      </top>
      <bottom style="thin">
        <color auto="1"/>
      </bottom>
      <diagonal/>
    </border>
    <border>
      <left/>
      <right style="thin">
        <color rgb="FF000000"/>
      </right>
      <top style="thin">
        <color theme="2" tint="-0.14993743705557422"/>
      </top>
      <bottom style="thin">
        <color auto="1"/>
      </bottom>
      <diagonal/>
    </border>
  </borders>
  <cellStyleXfs count="2">
    <xf numFmtId="0" fontId="0" fillId="0" borderId="0"/>
    <xf numFmtId="0" fontId="2" fillId="0" borderId="0"/>
  </cellStyleXfs>
  <cellXfs count="493">
    <xf numFmtId="0" fontId="0" fillId="0" borderId="0" xfId="0"/>
    <xf numFmtId="0" fontId="0" fillId="5" borderId="0" xfId="0" applyFill="1" applyAlignment="1">
      <alignment vertical="center" wrapText="1"/>
    </xf>
    <xf numFmtId="0" fontId="14" fillId="0" borderId="0" xfId="0" applyFont="1" applyAlignment="1">
      <alignment vertical="center"/>
    </xf>
    <xf numFmtId="0" fontId="9" fillId="0" borderId="0" xfId="0" applyFont="1" applyAlignment="1">
      <alignment vertical="center"/>
    </xf>
    <xf numFmtId="0" fontId="14" fillId="0" borderId="20" xfId="0" applyFont="1" applyBorder="1" applyAlignment="1">
      <alignment vertical="center"/>
    </xf>
    <xf numFmtId="0" fontId="9" fillId="0" borderId="17" xfId="0" applyFont="1" applyBorder="1" applyAlignment="1">
      <alignment vertical="center"/>
    </xf>
    <xf numFmtId="0" fontId="2" fillId="0" borderId="0" xfId="0" applyFont="1" applyAlignment="1">
      <alignment vertical="center"/>
    </xf>
    <xf numFmtId="0" fontId="14" fillId="0" borderId="22" xfId="0" applyFont="1" applyBorder="1" applyAlignment="1">
      <alignment vertical="center"/>
    </xf>
    <xf numFmtId="0" fontId="9" fillId="0" borderId="29" xfId="0" applyFont="1" applyBorder="1" applyAlignment="1">
      <alignment vertical="center"/>
    </xf>
    <xf numFmtId="0" fontId="2" fillId="0" borderId="7" xfId="0" applyFont="1" applyBorder="1" applyAlignment="1">
      <alignment horizontal="center" vertical="center"/>
    </xf>
    <xf numFmtId="0" fontId="15" fillId="0" borderId="0" xfId="0" applyFont="1" applyAlignment="1">
      <alignment vertical="center"/>
    </xf>
    <xf numFmtId="0" fontId="2" fillId="0" borderId="0" xfId="0" applyFont="1" applyAlignment="1">
      <alignment horizontal="left" vertical="center"/>
    </xf>
    <xf numFmtId="0" fontId="2" fillId="0" borderId="0" xfId="0" applyFont="1" applyAlignment="1">
      <alignment horizontal="right" vertical="center"/>
    </xf>
    <xf numFmtId="0" fontId="3" fillId="0" borderId="0" xfId="0" applyFont="1" applyAlignment="1">
      <alignment vertical="center"/>
    </xf>
    <xf numFmtId="0" fontId="2" fillId="0" borderId="7" xfId="0" applyFont="1" applyBorder="1" applyAlignment="1">
      <alignment horizontal="left" vertical="center"/>
    </xf>
    <xf numFmtId="0" fontId="1" fillId="6" borderId="9" xfId="0" applyFont="1" applyFill="1" applyBorder="1" applyAlignment="1">
      <alignment horizontal="left" vertical="center"/>
    </xf>
    <xf numFmtId="0" fontId="1" fillId="6" borderId="18" xfId="0" applyFont="1" applyFill="1" applyBorder="1" applyAlignment="1">
      <alignment vertical="center"/>
    </xf>
    <xf numFmtId="0" fontId="2" fillId="4" borderId="8" xfId="0" applyFont="1" applyFill="1" applyBorder="1" applyAlignment="1">
      <alignment vertical="center"/>
    </xf>
    <xf numFmtId="0" fontId="2" fillId="4" borderId="15" xfId="0" applyFont="1" applyFill="1" applyBorder="1" applyAlignment="1">
      <alignment vertical="center"/>
    </xf>
    <xf numFmtId="0" fontId="3" fillId="0" borderId="0" xfId="0" applyFont="1" applyAlignment="1">
      <alignment vertical="center" wrapText="1"/>
    </xf>
    <xf numFmtId="0" fontId="3" fillId="0" borderId="31" xfId="0" applyFont="1" applyBorder="1" applyAlignment="1">
      <alignment vertical="center" wrapText="1"/>
    </xf>
    <xf numFmtId="0" fontId="11" fillId="2" borderId="9" xfId="0" applyFont="1" applyFill="1" applyBorder="1" applyAlignment="1">
      <alignment vertical="center"/>
    </xf>
    <xf numFmtId="0" fontId="11" fillId="2" borderId="7" xfId="0" applyFont="1" applyFill="1" applyBorder="1" applyAlignment="1">
      <alignment vertical="center"/>
    </xf>
    <xf numFmtId="0" fontId="11" fillId="2" borderId="8" xfId="0" applyFont="1" applyFill="1" applyBorder="1" applyAlignment="1">
      <alignment vertical="center"/>
    </xf>
    <xf numFmtId="0" fontId="3" fillId="0" borderId="29" xfId="0" applyFont="1" applyBorder="1" applyAlignment="1">
      <alignment vertical="center" wrapText="1"/>
    </xf>
    <xf numFmtId="0" fontId="3" fillId="0" borderId="25" xfId="0" applyFont="1" applyBorder="1" applyAlignment="1">
      <alignment vertical="center" wrapText="1"/>
    </xf>
    <xf numFmtId="0" fontId="9" fillId="0" borderId="30" xfId="0" applyFont="1" applyBorder="1" applyAlignment="1">
      <alignment vertical="center"/>
    </xf>
    <xf numFmtId="0" fontId="11" fillId="0" borderId="0" xfId="0" applyFont="1" applyAlignment="1">
      <alignment vertical="center" wrapText="1"/>
    </xf>
    <xf numFmtId="0" fontId="11" fillId="0" borderId="29" xfId="0" applyFont="1" applyBorder="1" applyAlignment="1">
      <alignment vertical="center" wrapText="1"/>
    </xf>
    <xf numFmtId="0" fontId="13" fillId="7" borderId="15" xfId="0" applyFont="1" applyFill="1" applyBorder="1" applyProtection="1">
      <protection locked="0"/>
    </xf>
    <xf numFmtId="0" fontId="13" fillId="7" borderId="16" xfId="0" applyFont="1" applyFill="1" applyBorder="1" applyProtection="1">
      <protection locked="0"/>
    </xf>
    <xf numFmtId="0" fontId="23" fillId="7" borderId="15" xfId="0" applyFont="1" applyFill="1" applyBorder="1" applyAlignment="1" applyProtection="1">
      <alignment horizontal="center"/>
      <protection locked="0"/>
    </xf>
    <xf numFmtId="0" fontId="19" fillId="0" borderId="0" xfId="0" applyFont="1"/>
    <xf numFmtId="0" fontId="9" fillId="0" borderId="0" xfId="0" applyFont="1"/>
    <xf numFmtId="0" fontId="20" fillId="0" borderId="0" xfId="0" applyFont="1"/>
    <xf numFmtId="0" fontId="14" fillId="0" borderId="0" xfId="0" applyFont="1"/>
    <xf numFmtId="0" fontId="2" fillId="0" borderId="0" xfId="0" applyFont="1"/>
    <xf numFmtId="0" fontId="16" fillId="6" borderId="39" xfId="0" applyFont="1" applyFill="1" applyBorder="1"/>
    <xf numFmtId="0" fontId="3" fillId="6" borderId="41" xfId="0" applyFont="1" applyFill="1" applyBorder="1" applyAlignment="1">
      <alignment horizontal="right" vertical="top"/>
    </xf>
    <xf numFmtId="0" fontId="15" fillId="0" borderId="0" xfId="0" applyFont="1"/>
    <xf numFmtId="0" fontId="18" fillId="6" borderId="5" xfId="0" applyFont="1" applyFill="1" applyBorder="1" applyAlignment="1">
      <alignment vertical="center" wrapText="1"/>
    </xf>
    <xf numFmtId="0" fontId="3" fillId="6" borderId="0" xfId="0" applyFont="1" applyFill="1" applyAlignment="1">
      <alignment vertical="center" wrapText="1"/>
    </xf>
    <xf numFmtId="0" fontId="16" fillId="6" borderId="5" xfId="0" applyFont="1" applyFill="1" applyBorder="1"/>
    <xf numFmtId="0" fontId="11" fillId="0" borderId="0" xfId="0" applyFont="1" applyAlignment="1">
      <alignment horizontal="center"/>
    </xf>
    <xf numFmtId="0" fontId="5" fillId="0" borderId="0" xfId="0" applyFont="1" applyAlignment="1">
      <alignment vertical="center" wrapText="1"/>
    </xf>
    <xf numFmtId="0" fontId="15" fillId="0" borderId="11" xfId="0" applyFont="1" applyBorder="1" applyAlignment="1">
      <alignment vertical="center" wrapText="1"/>
    </xf>
    <xf numFmtId="0" fontId="2" fillId="0" borderId="11" xfId="0" applyFont="1" applyBorder="1" applyAlignment="1">
      <alignment vertical="center"/>
    </xf>
    <xf numFmtId="0" fontId="3" fillId="0" borderId="0" xfId="0" applyFont="1"/>
    <xf numFmtId="0" fontId="3" fillId="0" borderId="0" xfId="0" quotePrefix="1" applyFont="1"/>
    <xf numFmtId="0" fontId="4" fillId="6" borderId="14" xfId="0" applyFont="1" applyFill="1" applyBorder="1" applyAlignment="1">
      <alignment horizontal="center" vertical="center"/>
    </xf>
    <xf numFmtId="0" fontId="18" fillId="6" borderId="39" xfId="0" applyFont="1" applyFill="1" applyBorder="1" applyAlignment="1">
      <alignment vertical="center"/>
    </xf>
    <xf numFmtId="0" fontId="3" fillId="6" borderId="14" xfId="1" applyFont="1" applyFill="1" applyBorder="1" applyAlignment="1">
      <alignment horizontal="center" vertical="center"/>
    </xf>
    <xf numFmtId="0" fontId="3" fillId="6" borderId="14" xfId="1" applyFont="1" applyFill="1" applyBorder="1" applyAlignment="1">
      <alignment horizontal="center" wrapText="1"/>
    </xf>
    <xf numFmtId="0" fontId="3" fillId="6" borderId="14" xfId="1" applyFont="1" applyFill="1" applyBorder="1" applyAlignment="1">
      <alignment horizontal="center"/>
    </xf>
    <xf numFmtId="0" fontId="4" fillId="6" borderId="14" xfId="1" applyFont="1" applyFill="1" applyBorder="1" applyAlignment="1">
      <alignment horizontal="center" vertical="center"/>
    </xf>
    <xf numFmtId="0" fontId="3" fillId="4" borderId="28" xfId="1" applyFont="1" applyFill="1" applyBorder="1" applyAlignment="1">
      <alignment horizontal="center"/>
    </xf>
    <xf numFmtId="0" fontId="6" fillId="0" borderId="0" xfId="0" applyFont="1"/>
    <xf numFmtId="0" fontId="3" fillId="6" borderId="39" xfId="0" applyFont="1" applyFill="1" applyBorder="1" applyAlignment="1">
      <alignment horizontal="left"/>
    </xf>
    <xf numFmtId="0" fontId="23" fillId="6" borderId="14" xfId="0" applyFont="1" applyFill="1" applyBorder="1" applyAlignment="1">
      <alignment horizontal="center" vertical="center"/>
    </xf>
    <xf numFmtId="0" fontId="26" fillId="0" borderId="0" xfId="0" applyFont="1"/>
    <xf numFmtId="0" fontId="23" fillId="0" borderId="0" xfId="0" quotePrefix="1" applyFont="1"/>
    <xf numFmtId="0" fontId="13" fillId="0" borderId="0" xfId="0" applyFont="1"/>
    <xf numFmtId="0" fontId="23" fillId="4" borderId="27" xfId="0" applyFont="1" applyFill="1" applyBorder="1" applyAlignment="1">
      <alignment horizontal="center" vertical="center"/>
    </xf>
    <xf numFmtId="0" fontId="23" fillId="4" borderId="24" xfId="0" applyFont="1" applyFill="1" applyBorder="1" applyAlignment="1">
      <alignment horizontal="center" vertical="center"/>
    </xf>
    <xf numFmtId="0" fontId="15" fillId="8" borderId="15" xfId="0" applyFont="1" applyFill="1" applyBorder="1" applyAlignment="1">
      <alignment horizontal="center" vertical="center" wrapText="1"/>
    </xf>
    <xf numFmtId="0" fontId="3" fillId="4" borderId="28" xfId="0" applyFont="1" applyFill="1" applyBorder="1" applyAlignment="1">
      <alignment horizontal="center"/>
    </xf>
    <xf numFmtId="0" fontId="19" fillId="0" borderId="0" xfId="0" applyFont="1" applyAlignment="1">
      <alignment vertical="center"/>
    </xf>
    <xf numFmtId="0" fontId="27" fillId="0" borderId="0" xfId="0" applyFont="1" applyAlignment="1">
      <alignment horizontal="left" vertical="center"/>
    </xf>
    <xf numFmtId="0" fontId="23" fillId="4" borderId="28" xfId="0" applyFont="1" applyFill="1" applyBorder="1" applyAlignment="1">
      <alignment horizontal="center"/>
    </xf>
    <xf numFmtId="0" fontId="8" fillId="0" borderId="0" xfId="0" applyFont="1" applyAlignment="1">
      <alignment horizontal="center"/>
    </xf>
    <xf numFmtId="0" fontId="8" fillId="5" borderId="0" xfId="0" applyFont="1" applyFill="1" applyAlignment="1">
      <alignment horizontal="center"/>
    </xf>
    <xf numFmtId="0" fontId="25" fillId="0" borderId="0" xfId="0" applyFont="1"/>
    <xf numFmtId="0" fontId="28" fillId="0" borderId="0" xfId="0" applyFont="1" applyAlignment="1">
      <alignment horizontal="center"/>
    </xf>
    <xf numFmtId="0" fontId="29" fillId="0" borderId="0" xfId="0" applyFont="1"/>
    <xf numFmtId="0" fontId="30" fillId="0" borderId="0" xfId="0" applyFont="1" applyAlignment="1">
      <alignment horizontal="center"/>
    </xf>
    <xf numFmtId="0" fontId="0" fillId="7" borderId="0" xfId="0" applyFill="1"/>
    <xf numFmtId="0" fontId="8" fillId="9" borderId="0" xfId="0" applyFont="1" applyFill="1" applyAlignment="1">
      <alignment horizontal="center"/>
    </xf>
    <xf numFmtId="0" fontId="0" fillId="9" borderId="0" xfId="0" applyFill="1" applyAlignment="1">
      <alignment vertical="center" wrapText="1"/>
    </xf>
    <xf numFmtId="0" fontId="3" fillId="6" borderId="0" xfId="0" applyFont="1" applyFill="1" applyAlignment="1">
      <alignment horizontal="center" vertical="center"/>
    </xf>
    <xf numFmtId="0" fontId="3" fillId="6" borderId="39" xfId="0" applyFont="1" applyFill="1" applyBorder="1" applyAlignment="1">
      <alignment horizontal="center"/>
    </xf>
    <xf numFmtId="0" fontId="23" fillId="7" borderId="16" xfId="0" applyFont="1" applyFill="1" applyBorder="1" applyAlignment="1" applyProtection="1">
      <alignment horizontal="center"/>
      <protection locked="0"/>
    </xf>
    <xf numFmtId="0" fontId="34" fillId="0" borderId="9" xfId="0" applyFont="1" applyBorder="1" applyAlignment="1">
      <alignment horizontal="left"/>
    </xf>
    <xf numFmtId="0" fontId="32" fillId="0" borderId="7" xfId="0" applyFont="1" applyBorder="1"/>
    <xf numFmtId="0" fontId="32" fillId="0" borderId="0" xfId="0" applyFont="1"/>
    <xf numFmtId="0" fontId="33" fillId="0" borderId="0" xfId="0" applyFont="1"/>
    <xf numFmtId="49" fontId="33" fillId="0" borderId="0" xfId="0" applyNumberFormat="1" applyFont="1" applyAlignment="1">
      <alignment horizontal="left" vertical="center" wrapText="1"/>
    </xf>
    <xf numFmtId="0" fontId="3" fillId="6" borderId="5" xfId="0" applyFont="1" applyFill="1" applyBorder="1" applyAlignment="1">
      <alignment vertical="center" wrapText="1"/>
    </xf>
    <xf numFmtId="0" fontId="36" fillId="0" borderId="0" xfId="0" applyFont="1" applyAlignment="1">
      <alignment horizontal="center" vertical="center"/>
    </xf>
    <xf numFmtId="0" fontId="25" fillId="0" borderId="0" xfId="0" applyFont="1" applyAlignment="1">
      <alignment vertical="center"/>
    </xf>
    <xf numFmtId="0" fontId="0" fillId="0" borderId="0" xfId="0" applyAlignment="1">
      <alignment vertical="center" wrapText="1"/>
    </xf>
    <xf numFmtId="0" fontId="22" fillId="0" borderId="0" xfId="0" applyFont="1" applyAlignment="1">
      <alignment horizontal="center" vertical="center"/>
    </xf>
    <xf numFmtId="0" fontId="18" fillId="6" borderId="37" xfId="0" applyFont="1" applyFill="1" applyBorder="1" applyAlignment="1">
      <alignment horizontal="right" vertical="top"/>
    </xf>
    <xf numFmtId="0" fontId="3" fillId="6" borderId="37" xfId="1" applyFont="1" applyFill="1" applyBorder="1" applyAlignment="1">
      <alignment horizontal="center"/>
    </xf>
    <xf numFmtId="0" fontId="4" fillId="0" borderId="0" xfId="0" applyFont="1" applyAlignment="1">
      <alignment horizontal="center"/>
    </xf>
    <xf numFmtId="0" fontId="4" fillId="0" borderId="31" xfId="0" applyFont="1" applyBorder="1" applyAlignment="1">
      <alignment horizontal="center"/>
    </xf>
    <xf numFmtId="0" fontId="37" fillId="0" borderId="0" xfId="0" applyFont="1"/>
    <xf numFmtId="0" fontId="28" fillId="0" borderId="0" xfId="0" applyFont="1" applyAlignment="1">
      <alignment horizontal="center" vertical="center"/>
    </xf>
    <xf numFmtId="0" fontId="11" fillId="8" borderId="15" xfId="0" applyFont="1" applyFill="1" applyBorder="1" applyAlignment="1">
      <alignment horizontal="center" vertical="center"/>
    </xf>
    <xf numFmtId="0" fontId="11" fillId="8" borderId="16" xfId="0" applyFont="1" applyFill="1" applyBorder="1" applyAlignment="1">
      <alignment horizontal="center" vertical="center"/>
    </xf>
    <xf numFmtId="0" fontId="3" fillId="6" borderId="14" xfId="0" applyFont="1" applyFill="1" applyBorder="1" applyAlignment="1">
      <alignment horizontal="center" vertical="center"/>
    </xf>
    <xf numFmtId="0" fontId="19" fillId="0" borderId="0" xfId="0" applyFont="1" applyAlignment="1">
      <alignment horizontal="left" vertical="center"/>
    </xf>
    <xf numFmtId="0" fontId="16" fillId="6" borderId="41" xfId="0" applyFont="1" applyFill="1" applyBorder="1"/>
    <xf numFmtId="0" fontId="2" fillId="6" borderId="6" xfId="0" applyFont="1" applyFill="1" applyBorder="1"/>
    <xf numFmtId="0" fontId="2" fillId="6" borderId="8" xfId="0" applyFont="1" applyFill="1" applyBorder="1"/>
    <xf numFmtId="0" fontId="15" fillId="0" borderId="7" xfId="0" applyFont="1" applyBorder="1" applyAlignment="1">
      <alignment vertical="center"/>
    </xf>
    <xf numFmtId="0" fontId="16" fillId="6" borderId="41" xfId="0" applyFont="1" applyFill="1" applyBorder="1" applyAlignment="1">
      <alignment vertical="center"/>
    </xf>
    <xf numFmtId="0" fontId="16" fillId="6" borderId="39" xfId="0" applyFont="1" applyFill="1" applyBorder="1" applyAlignment="1">
      <alignment vertical="center"/>
    </xf>
    <xf numFmtId="0" fontId="16" fillId="6" borderId="0" xfId="0" applyFont="1" applyFill="1"/>
    <xf numFmtId="0" fontId="16" fillId="6" borderId="19" xfId="0" applyFont="1" applyFill="1" applyBorder="1"/>
    <xf numFmtId="0" fontId="16" fillId="6" borderId="29" xfId="0" applyFont="1" applyFill="1" applyBorder="1"/>
    <xf numFmtId="0" fontId="16" fillId="6" borderId="31" xfId="0" applyFont="1" applyFill="1" applyBorder="1"/>
    <xf numFmtId="0" fontId="16" fillId="6" borderId="25" xfId="0" applyFont="1" applyFill="1" applyBorder="1"/>
    <xf numFmtId="0" fontId="3" fillId="6" borderId="31" xfId="0" applyFont="1" applyFill="1" applyBorder="1" applyAlignment="1">
      <alignment vertical="center" wrapText="1"/>
    </xf>
    <xf numFmtId="0" fontId="16" fillId="6" borderId="45" xfId="0" applyFont="1" applyFill="1" applyBorder="1" applyAlignment="1">
      <alignment vertical="center" wrapText="1"/>
    </xf>
    <xf numFmtId="0" fontId="16" fillId="6" borderId="30" xfId="0" applyFont="1" applyFill="1" applyBorder="1" applyAlignment="1">
      <alignment vertical="center" wrapText="1"/>
    </xf>
    <xf numFmtId="0" fontId="16" fillId="6" borderId="19" xfId="0" applyFont="1" applyFill="1" applyBorder="1" applyAlignment="1">
      <alignment vertical="center" wrapText="1"/>
    </xf>
    <xf numFmtId="0" fontId="16" fillId="6" borderId="25" xfId="0" applyFont="1" applyFill="1" applyBorder="1" applyAlignment="1">
      <alignment vertical="center" wrapText="1"/>
    </xf>
    <xf numFmtId="0" fontId="3" fillId="4" borderId="15" xfId="0" applyFont="1" applyFill="1" applyBorder="1" applyAlignment="1">
      <alignment horizontal="center" vertical="center"/>
    </xf>
    <xf numFmtId="0" fontId="3" fillId="0" borderId="0" xfId="0" applyFont="1" applyAlignment="1">
      <alignment horizontal="center" vertical="center" wrapText="1"/>
    </xf>
    <xf numFmtId="0" fontId="11" fillId="8" borderId="15" xfId="0" applyFont="1" applyFill="1" applyBorder="1" applyAlignment="1">
      <alignment horizontal="center" vertical="center" wrapText="1"/>
    </xf>
    <xf numFmtId="0" fontId="3" fillId="4" borderId="16" xfId="0" applyFont="1" applyFill="1" applyBorder="1" applyAlignment="1">
      <alignment horizontal="center" vertical="center"/>
    </xf>
    <xf numFmtId="0" fontId="3" fillId="4" borderId="15" xfId="0" applyFont="1" applyFill="1" applyBorder="1" applyAlignment="1">
      <alignment horizontal="center"/>
    </xf>
    <xf numFmtId="0" fontId="3" fillId="4" borderId="16" xfId="0" applyFont="1" applyFill="1" applyBorder="1" applyAlignment="1">
      <alignment horizontal="center"/>
    </xf>
    <xf numFmtId="0" fontId="5" fillId="0" borderId="0" xfId="0" applyFont="1" applyAlignment="1">
      <alignment horizontal="left" vertical="center" wrapText="1"/>
    </xf>
    <xf numFmtId="0" fontId="3" fillId="6" borderId="14" xfId="0" applyFont="1" applyFill="1" applyBorder="1" applyAlignment="1">
      <alignment horizontal="center" vertical="center" wrapText="1"/>
    </xf>
    <xf numFmtId="0" fontId="11" fillId="8" borderId="15" xfId="0" applyFont="1" applyFill="1" applyBorder="1" applyAlignment="1">
      <alignment horizontal="center"/>
    </xf>
    <xf numFmtId="0" fontId="3" fillId="4" borderId="28" xfId="0" applyFont="1" applyFill="1" applyBorder="1" applyAlignment="1">
      <alignment horizontal="center" vertical="center"/>
    </xf>
    <xf numFmtId="0" fontId="8" fillId="7" borderId="0" xfId="0" applyFont="1" applyFill="1" applyAlignment="1">
      <alignment horizontal="center" vertical="center"/>
    </xf>
    <xf numFmtId="0" fontId="8" fillId="10" borderId="0" xfId="0" applyFont="1" applyFill="1" applyAlignment="1">
      <alignment horizontal="center" vertical="center"/>
    </xf>
    <xf numFmtId="0" fontId="3" fillId="6" borderId="6" xfId="0" applyFont="1" applyFill="1" applyBorder="1" applyAlignment="1">
      <alignment vertical="center" wrapText="1"/>
    </xf>
    <xf numFmtId="164" fontId="3" fillId="4" borderId="15" xfId="0" applyNumberFormat="1" applyFont="1" applyFill="1" applyBorder="1" applyAlignment="1">
      <alignment horizontal="center" vertical="center"/>
    </xf>
    <xf numFmtId="164" fontId="3" fillId="4" borderId="16" xfId="0" applyNumberFormat="1" applyFont="1" applyFill="1" applyBorder="1" applyAlignment="1">
      <alignment horizontal="center" vertical="center"/>
    </xf>
    <xf numFmtId="164" fontId="3" fillId="4" borderId="27" xfId="0" applyNumberFormat="1" applyFont="1" applyFill="1" applyBorder="1" applyAlignment="1">
      <alignment horizontal="center" vertical="center"/>
    </xf>
    <xf numFmtId="164" fontId="3" fillId="4" borderId="24" xfId="0" applyNumberFormat="1" applyFont="1" applyFill="1" applyBorder="1" applyAlignment="1">
      <alignment horizontal="center" vertical="center"/>
    </xf>
    <xf numFmtId="164" fontId="3" fillId="4" borderId="15" xfId="0" applyNumberFormat="1" applyFont="1" applyFill="1" applyBorder="1" applyAlignment="1">
      <alignment horizontal="center"/>
    </xf>
    <xf numFmtId="164" fontId="3" fillId="4" borderId="16" xfId="0" applyNumberFormat="1" applyFont="1" applyFill="1" applyBorder="1" applyAlignment="1">
      <alignment horizontal="center"/>
    </xf>
    <xf numFmtId="164" fontId="3" fillId="4" borderId="24" xfId="0" applyNumberFormat="1" applyFont="1" applyFill="1" applyBorder="1" applyAlignment="1">
      <alignment horizontal="center"/>
    </xf>
    <xf numFmtId="164" fontId="3" fillId="4" borderId="27" xfId="0" applyNumberFormat="1" applyFont="1" applyFill="1" applyBorder="1" applyAlignment="1">
      <alignment horizontal="center" vertical="center" wrapText="1"/>
    </xf>
    <xf numFmtId="164" fontId="3" fillId="4" borderId="26" xfId="0" applyNumberFormat="1" applyFont="1" applyFill="1" applyBorder="1" applyAlignment="1">
      <alignment horizontal="center" vertical="center"/>
    </xf>
    <xf numFmtId="164" fontId="3" fillId="4" borderId="38" xfId="0" applyNumberFormat="1" applyFont="1" applyFill="1" applyBorder="1" applyAlignment="1">
      <alignment horizontal="center" vertical="center"/>
    </xf>
    <xf numFmtId="0" fontId="21" fillId="0" borderId="0" xfId="0" applyFont="1" applyAlignment="1">
      <alignment vertical="top" wrapText="1"/>
    </xf>
    <xf numFmtId="0" fontId="17" fillId="3" borderId="0" xfId="0" applyFont="1" applyFill="1" applyAlignment="1">
      <alignment vertical="center"/>
    </xf>
    <xf numFmtId="14" fontId="9" fillId="0" borderId="0" xfId="0" applyNumberFormat="1" applyFont="1" applyAlignment="1">
      <alignment vertical="center"/>
    </xf>
    <xf numFmtId="14" fontId="2" fillId="0" borderId="0" xfId="0" applyNumberFormat="1" applyFont="1" applyAlignment="1">
      <alignment vertical="center"/>
    </xf>
    <xf numFmtId="0" fontId="9" fillId="0" borderId="25" xfId="0" applyFont="1" applyBorder="1" applyAlignment="1">
      <alignment horizontal="center" vertical="center"/>
    </xf>
    <xf numFmtId="0" fontId="9" fillId="0" borderId="18" xfId="0" applyFont="1" applyBorder="1" applyAlignment="1">
      <alignment horizontal="right" vertical="center"/>
    </xf>
    <xf numFmtId="0" fontId="22" fillId="13" borderId="9" xfId="0" applyFont="1" applyFill="1" applyBorder="1" applyAlignment="1">
      <alignment vertical="center"/>
    </xf>
    <xf numFmtId="0" fontId="9" fillId="13" borderId="7" xfId="0" applyFont="1" applyFill="1" applyBorder="1" applyAlignment="1">
      <alignment vertical="center"/>
    </xf>
    <xf numFmtId="0" fontId="9" fillId="13" borderId="7" xfId="0" applyFont="1" applyFill="1" applyBorder="1" applyAlignment="1">
      <alignment horizontal="center" vertical="center"/>
    </xf>
    <xf numFmtId="0" fontId="22" fillId="13" borderId="7" xfId="0" applyFont="1" applyFill="1" applyBorder="1" applyAlignment="1">
      <alignment horizontal="right" vertical="center"/>
    </xf>
    <xf numFmtId="0" fontId="22" fillId="13" borderId="8" xfId="0" applyFont="1" applyFill="1" applyBorder="1" applyAlignment="1">
      <alignment horizontal="center" vertical="center"/>
    </xf>
    <xf numFmtId="0" fontId="7" fillId="0" borderId="0" xfId="0" applyFont="1" applyAlignment="1">
      <alignment vertical="center" wrapText="1"/>
    </xf>
    <xf numFmtId="1" fontId="3" fillId="10" borderId="15" xfId="0" applyNumberFormat="1" applyFont="1" applyFill="1" applyBorder="1" applyAlignment="1">
      <alignment horizontal="center"/>
    </xf>
    <xf numFmtId="1" fontId="3" fillId="4" borderId="15" xfId="0" applyNumberFormat="1" applyFont="1" applyFill="1" applyBorder="1" applyAlignment="1">
      <alignment horizontal="center" vertical="center"/>
    </xf>
    <xf numFmtId="164" fontId="3" fillId="10" borderId="8" xfId="0" applyNumberFormat="1" applyFont="1" applyFill="1" applyBorder="1" applyAlignment="1">
      <alignment horizontal="center"/>
    </xf>
    <xf numFmtId="0" fontId="2" fillId="7" borderId="15" xfId="0" applyFont="1" applyFill="1" applyBorder="1" applyAlignment="1">
      <alignment horizontal="center"/>
    </xf>
    <xf numFmtId="0" fontId="2" fillId="7" borderId="16" xfId="0" applyFont="1" applyFill="1" applyBorder="1" applyAlignment="1">
      <alignment horizontal="center"/>
    </xf>
    <xf numFmtId="0" fontId="2" fillId="12" borderId="15" xfId="0" applyFont="1" applyFill="1" applyBorder="1" applyAlignment="1">
      <alignment horizontal="center"/>
    </xf>
    <xf numFmtId="0" fontId="2" fillId="7" borderId="27" xfId="0" applyFont="1" applyFill="1" applyBorder="1" applyAlignment="1">
      <alignment horizontal="center"/>
    </xf>
    <xf numFmtId="0" fontId="2" fillId="7" borderId="15" xfId="0" applyFont="1" applyFill="1" applyBorder="1" applyAlignment="1">
      <alignment horizontal="center" vertical="center"/>
    </xf>
    <xf numFmtId="0" fontId="48" fillId="0" borderId="0" xfId="0" applyFont="1" applyAlignment="1">
      <alignment vertical="center"/>
    </xf>
    <xf numFmtId="0" fontId="49" fillId="19" borderId="15" xfId="0" applyFont="1" applyFill="1" applyBorder="1" applyAlignment="1" applyProtection="1">
      <alignment horizontal="center"/>
      <protection locked="0"/>
    </xf>
    <xf numFmtId="0" fontId="51" fillId="0" borderId="0" xfId="0" applyFont="1" applyAlignment="1">
      <alignment vertical="center"/>
    </xf>
    <xf numFmtId="0" fontId="49" fillId="20" borderId="15" xfId="0" applyFont="1" applyFill="1" applyBorder="1" applyAlignment="1">
      <alignment horizontal="center" vertical="center"/>
    </xf>
    <xf numFmtId="0" fontId="54" fillId="0" borderId="0" xfId="0" applyFont="1" applyAlignment="1">
      <alignment vertical="center"/>
    </xf>
    <xf numFmtId="0" fontId="49" fillId="22" borderId="15" xfId="0" applyFont="1" applyFill="1" applyBorder="1" applyAlignment="1" applyProtection="1">
      <alignment horizontal="center"/>
      <protection locked="0"/>
    </xf>
    <xf numFmtId="0" fontId="55" fillId="17" borderId="46" xfId="0" applyFont="1" applyFill="1" applyBorder="1" applyAlignment="1">
      <alignment horizontal="center" vertical="center" wrapText="1"/>
    </xf>
    <xf numFmtId="0" fontId="49" fillId="20" borderId="15" xfId="0" applyFont="1" applyFill="1" applyBorder="1" applyAlignment="1">
      <alignment horizontal="center"/>
    </xf>
    <xf numFmtId="0" fontId="50" fillId="0" borderId="0" xfId="0" applyFont="1"/>
    <xf numFmtId="0" fontId="55" fillId="17" borderId="0" xfId="0" applyFont="1" applyFill="1" applyAlignment="1">
      <alignment horizontal="center" vertical="center" wrapText="1"/>
    </xf>
    <xf numFmtId="0" fontId="57" fillId="0" borderId="0" xfId="0" applyFont="1" applyAlignment="1">
      <alignment vertical="center"/>
    </xf>
    <xf numFmtId="0" fontId="58" fillId="0" borderId="0" xfId="0" applyFont="1" applyAlignment="1">
      <alignment vertical="center"/>
    </xf>
    <xf numFmtId="0" fontId="61" fillId="0" borderId="0" xfId="0" applyFont="1"/>
    <xf numFmtId="0" fontId="61" fillId="0" borderId="0" xfId="0" applyFont="1" applyAlignment="1">
      <alignment vertical="center"/>
    </xf>
    <xf numFmtId="0" fontId="59" fillId="0" borderId="0" xfId="0" applyFont="1" applyAlignment="1">
      <alignment vertical="center" wrapText="1"/>
    </xf>
    <xf numFmtId="0" fontId="59" fillId="0" borderId="0" xfId="0" applyFont="1" applyAlignment="1" applyProtection="1">
      <alignment horizontal="center" vertical="center" wrapText="1"/>
      <protection locked="0"/>
    </xf>
    <xf numFmtId="0" fontId="62" fillId="0" borderId="0" xfId="0" applyFont="1" applyAlignment="1">
      <alignment vertical="center"/>
    </xf>
    <xf numFmtId="0" fontId="63" fillId="0" borderId="0" xfId="0" applyFont="1" applyAlignment="1" applyProtection="1">
      <alignment horizontal="center" vertical="center" wrapText="1"/>
      <protection locked="0"/>
    </xf>
    <xf numFmtId="0" fontId="63" fillId="7" borderId="15" xfId="0" applyFont="1" applyFill="1" applyBorder="1" applyAlignment="1" applyProtection="1">
      <alignment horizontal="center" vertical="center" wrapText="1"/>
      <protection locked="0"/>
    </xf>
    <xf numFmtId="0" fontId="11" fillId="0" borderId="0" xfId="0" applyFont="1" applyAlignment="1">
      <alignment vertical="center"/>
    </xf>
    <xf numFmtId="0" fontId="40" fillId="0" borderId="0" xfId="0" applyFont="1"/>
    <xf numFmtId="0" fontId="64" fillId="0" borderId="0" xfId="0" applyFont="1" applyAlignment="1">
      <alignment vertical="center"/>
    </xf>
    <xf numFmtId="165" fontId="51" fillId="0" borderId="0" xfId="0" applyNumberFormat="1" applyFont="1" applyAlignment="1">
      <alignment vertical="center"/>
    </xf>
    <xf numFmtId="0" fontId="65" fillId="0" borderId="0" xfId="0" applyFont="1" applyAlignment="1">
      <alignment vertical="center"/>
    </xf>
    <xf numFmtId="165" fontId="49" fillId="0" borderId="0" xfId="0" applyNumberFormat="1" applyFont="1" applyAlignment="1">
      <alignment vertical="center"/>
    </xf>
    <xf numFmtId="0" fontId="2" fillId="7" borderId="15" xfId="0" applyFont="1" applyFill="1" applyBorder="1" applyAlignment="1" applyProtection="1">
      <alignment horizontal="center" vertical="center"/>
      <protection locked="0"/>
    </xf>
    <xf numFmtId="0" fontId="2" fillId="12" borderId="15" xfId="0" applyFont="1" applyFill="1" applyBorder="1" applyAlignment="1" applyProtection="1">
      <alignment horizontal="center"/>
      <protection locked="0"/>
    </xf>
    <xf numFmtId="0" fontId="2" fillId="7" borderId="15" xfId="0" applyFont="1" applyFill="1" applyBorder="1" applyAlignment="1" applyProtection="1">
      <alignment horizontal="center"/>
      <protection locked="0"/>
    </xf>
    <xf numFmtId="0" fontId="2" fillId="7" borderId="27" xfId="0" applyFont="1" applyFill="1" applyBorder="1" applyAlignment="1" applyProtection="1">
      <alignment horizontal="center"/>
      <protection locked="0"/>
    </xf>
    <xf numFmtId="0" fontId="2" fillId="7" borderId="16" xfId="0" applyFont="1" applyFill="1" applyBorder="1" applyAlignment="1" applyProtection="1">
      <alignment horizontal="center"/>
      <protection locked="0"/>
    </xf>
    <xf numFmtId="0" fontId="8" fillId="7" borderId="0" xfId="0" applyFont="1" applyFill="1" applyAlignment="1">
      <alignment horizontal="center" vertical="center"/>
    </xf>
    <xf numFmtId="0" fontId="8" fillId="10" borderId="0" xfId="0" applyFont="1" applyFill="1" applyAlignment="1">
      <alignment horizontal="center" vertical="center"/>
    </xf>
    <xf numFmtId="0" fontId="2" fillId="6" borderId="9" xfId="0" applyFont="1" applyFill="1" applyBorder="1" applyAlignment="1">
      <alignment horizontal="left" vertical="center"/>
    </xf>
    <xf numFmtId="0" fontId="2" fillId="6" borderId="7" xfId="0" applyFont="1" applyFill="1" applyBorder="1" applyAlignment="1">
      <alignment horizontal="left" vertical="center"/>
    </xf>
    <xf numFmtId="0" fontId="2" fillId="6" borderId="8" xfId="0" applyFont="1" applyFill="1" applyBorder="1" applyAlignment="1">
      <alignment horizontal="left" vertical="center"/>
    </xf>
    <xf numFmtId="0" fontId="3" fillId="7" borderId="9" xfId="0" applyFont="1" applyFill="1" applyBorder="1" applyAlignment="1">
      <alignment horizontal="center" vertical="center"/>
    </xf>
    <xf numFmtId="0" fontId="3" fillId="7" borderId="7" xfId="0" applyFont="1" applyFill="1" applyBorder="1" applyAlignment="1">
      <alignment horizontal="center" vertical="center"/>
    </xf>
    <xf numFmtId="0" fontId="3" fillId="7" borderId="8" xfId="0" applyFont="1" applyFill="1" applyBorder="1" applyAlignment="1">
      <alignment horizontal="center" vertical="center"/>
    </xf>
    <xf numFmtId="0" fontId="3" fillId="11" borderId="9" xfId="0" applyFont="1" applyFill="1" applyBorder="1" applyAlignment="1">
      <alignment horizontal="left" vertical="center"/>
    </xf>
    <xf numFmtId="0" fontId="3" fillId="11" borderId="7" xfId="0" applyFont="1" applyFill="1" applyBorder="1" applyAlignment="1">
      <alignment horizontal="left" vertical="center"/>
    </xf>
    <xf numFmtId="0" fontId="3" fillId="11" borderId="8" xfId="0" applyFont="1" applyFill="1" applyBorder="1" applyAlignment="1">
      <alignment horizontal="left" vertical="center"/>
    </xf>
    <xf numFmtId="0" fontId="2" fillId="11" borderId="9" xfId="0" applyFont="1" applyFill="1" applyBorder="1" applyAlignment="1" applyProtection="1">
      <alignment horizontal="center" vertical="center"/>
      <protection locked="0"/>
    </xf>
    <xf numFmtId="0" fontId="2" fillId="11" borderId="7" xfId="0" applyFont="1" applyFill="1" applyBorder="1" applyAlignment="1" applyProtection="1">
      <alignment horizontal="center" vertical="center"/>
      <protection locked="0"/>
    </xf>
    <xf numFmtId="0" fontId="2" fillId="11" borderId="8" xfId="0" applyFont="1" applyFill="1" applyBorder="1" applyAlignment="1" applyProtection="1">
      <alignment horizontal="center" vertical="center"/>
      <protection locked="0"/>
    </xf>
    <xf numFmtId="0" fontId="2" fillId="7" borderId="9" xfId="0" applyFont="1" applyFill="1" applyBorder="1" applyAlignment="1" applyProtection="1">
      <alignment horizontal="center" vertical="center"/>
      <protection locked="0"/>
    </xf>
    <xf numFmtId="0" fontId="2" fillId="7" borderId="7" xfId="0" applyFont="1" applyFill="1" applyBorder="1" applyAlignment="1" applyProtection="1">
      <alignment horizontal="center" vertical="center"/>
      <protection locked="0"/>
    </xf>
    <xf numFmtId="0" fontId="2" fillId="7" borderId="8" xfId="0" applyFont="1" applyFill="1" applyBorder="1" applyAlignment="1" applyProtection="1">
      <alignment horizontal="center" vertical="center"/>
      <protection locked="0"/>
    </xf>
    <xf numFmtId="164" fontId="2" fillId="4" borderId="9" xfId="0" applyNumberFormat="1" applyFont="1" applyFill="1" applyBorder="1" applyAlignment="1">
      <alignment horizontal="center" vertical="center"/>
    </xf>
    <xf numFmtId="164" fontId="2" fillId="4" borderId="7" xfId="0" applyNumberFormat="1" applyFont="1" applyFill="1" applyBorder="1" applyAlignment="1">
      <alignment horizontal="center" vertical="center"/>
    </xf>
    <xf numFmtId="164" fontId="2" fillId="4" borderId="8" xfId="0" applyNumberFormat="1" applyFont="1" applyFill="1" applyBorder="1" applyAlignment="1">
      <alignment horizontal="center" vertical="center"/>
    </xf>
    <xf numFmtId="164" fontId="3" fillId="4" borderId="15" xfId="0" applyNumberFormat="1" applyFont="1" applyFill="1" applyBorder="1" applyAlignment="1">
      <alignment horizontal="center" vertical="center"/>
    </xf>
    <xf numFmtId="164" fontId="3" fillId="4" borderId="9" xfId="0" applyNumberFormat="1" applyFont="1" applyFill="1" applyBorder="1" applyAlignment="1">
      <alignment horizontal="center" vertical="center"/>
    </xf>
    <xf numFmtId="164" fontId="3" fillId="4" borderId="7" xfId="0" applyNumberFormat="1" applyFont="1" applyFill="1" applyBorder="1" applyAlignment="1">
      <alignment horizontal="center" vertical="center"/>
    </xf>
    <xf numFmtId="164" fontId="3" fillId="4" borderId="8" xfId="0" applyNumberFormat="1" applyFont="1" applyFill="1" applyBorder="1" applyAlignment="1">
      <alignment horizontal="center" vertical="center"/>
    </xf>
    <xf numFmtId="0" fontId="11" fillId="2" borderId="15" xfId="0" applyFont="1" applyFill="1" applyBorder="1" applyAlignment="1">
      <alignment horizontal="center" vertical="center" wrapText="1"/>
    </xf>
    <xf numFmtId="1" fontId="2" fillId="7" borderId="9" xfId="0" applyNumberFormat="1" applyFont="1" applyFill="1" applyBorder="1" applyAlignment="1" applyProtection="1">
      <alignment horizontal="center" vertical="center"/>
      <protection locked="0"/>
    </xf>
    <xf numFmtId="1" fontId="2" fillId="7" borderId="7" xfId="0" applyNumberFormat="1" applyFont="1" applyFill="1" applyBorder="1" applyAlignment="1" applyProtection="1">
      <alignment horizontal="center" vertical="center"/>
      <protection locked="0"/>
    </xf>
    <xf numFmtId="1" fontId="2" fillId="7" borderId="8" xfId="0" applyNumberFormat="1" applyFont="1" applyFill="1" applyBorder="1" applyAlignment="1" applyProtection="1">
      <alignment horizontal="center" vertical="center"/>
      <protection locked="0"/>
    </xf>
    <xf numFmtId="0" fontId="11" fillId="2" borderId="9"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8" xfId="0" applyFont="1" applyFill="1" applyBorder="1" applyAlignment="1">
      <alignment horizontal="center" vertical="center"/>
    </xf>
    <xf numFmtId="0" fontId="11" fillId="2" borderId="9" xfId="0" applyFont="1" applyFill="1" applyBorder="1" applyAlignment="1">
      <alignment horizontal="center" vertical="center" wrapText="1"/>
    </xf>
    <xf numFmtId="0" fontId="11" fillId="2" borderId="7" xfId="0" applyFont="1" applyFill="1" applyBorder="1" applyAlignment="1">
      <alignment horizontal="center" vertical="center" wrapText="1"/>
    </xf>
    <xf numFmtId="0" fontId="11" fillId="2" borderId="8" xfId="0" applyFont="1" applyFill="1" applyBorder="1" applyAlignment="1">
      <alignment horizontal="center" vertical="center" wrapText="1"/>
    </xf>
    <xf numFmtId="0" fontId="2" fillId="7" borderId="15" xfId="0" applyFont="1" applyFill="1" applyBorder="1" applyAlignment="1" applyProtection="1">
      <alignment horizontal="center" vertical="center"/>
      <protection locked="0"/>
    </xf>
    <xf numFmtId="0" fontId="10" fillId="0" borderId="29" xfId="0" applyFont="1" applyBorder="1" applyAlignment="1">
      <alignment horizontal="center" vertical="center"/>
    </xf>
    <xf numFmtId="0" fontId="2" fillId="11" borderId="15" xfId="0" applyFont="1" applyFill="1" applyBorder="1" applyAlignment="1" applyProtection="1">
      <alignment horizontal="center" vertical="center"/>
      <protection locked="0"/>
    </xf>
    <xf numFmtId="0" fontId="3" fillId="6" borderId="15" xfId="0" applyFont="1" applyFill="1" applyBorder="1" applyAlignment="1">
      <alignment horizontal="right" vertical="center"/>
    </xf>
    <xf numFmtId="0" fontId="3" fillId="0" borderId="0" xfId="0" applyFont="1" applyAlignment="1">
      <alignment horizontal="center" vertical="center" wrapText="1"/>
    </xf>
    <xf numFmtId="0" fontId="3" fillId="0" borderId="31" xfId="0" applyFont="1" applyBorder="1" applyAlignment="1">
      <alignment horizontal="center" vertical="center" wrapText="1"/>
    </xf>
    <xf numFmtId="0" fontId="12" fillId="0" borderId="0" xfId="0" applyFont="1" applyAlignment="1">
      <alignment horizontal="center" vertical="center" wrapText="1"/>
    </xf>
    <xf numFmtId="0" fontId="12" fillId="0" borderId="31" xfId="0" applyFont="1" applyBorder="1" applyAlignment="1">
      <alignment horizontal="center" vertical="center" wrapText="1"/>
    </xf>
    <xf numFmtId="0" fontId="3" fillId="6" borderId="9" xfId="0" applyFont="1" applyFill="1" applyBorder="1" applyAlignment="1">
      <alignment horizontal="left" vertical="center"/>
    </xf>
    <xf numFmtId="0" fontId="3" fillId="6" borderId="7" xfId="0" applyFont="1" applyFill="1" applyBorder="1" applyAlignment="1">
      <alignment horizontal="left" vertical="center"/>
    </xf>
    <xf numFmtId="0" fontId="3" fillId="6" borderId="8" xfId="0" applyFont="1" applyFill="1" applyBorder="1" applyAlignment="1">
      <alignment horizontal="left" vertical="center"/>
    </xf>
    <xf numFmtId="0" fontId="11" fillId="2" borderId="15" xfId="0" applyFont="1" applyFill="1" applyBorder="1" applyAlignment="1">
      <alignment horizontal="center" vertical="center"/>
    </xf>
    <xf numFmtId="0" fontId="11" fillId="2" borderId="9" xfId="0" applyFont="1" applyFill="1" applyBorder="1" applyAlignment="1">
      <alignment horizontal="left" vertical="center"/>
    </xf>
    <xf numFmtId="0" fontId="11" fillId="2" borderId="7" xfId="0" applyFont="1" applyFill="1" applyBorder="1" applyAlignment="1">
      <alignment horizontal="left" vertical="center"/>
    </xf>
    <xf numFmtId="0" fontId="11" fillId="2" borderId="8" xfId="0" applyFont="1" applyFill="1" applyBorder="1" applyAlignment="1">
      <alignment horizontal="left" vertical="center"/>
    </xf>
    <xf numFmtId="0" fontId="10" fillId="7" borderId="9" xfId="0" applyFont="1" applyFill="1" applyBorder="1" applyAlignment="1" applyProtection="1">
      <alignment horizontal="center" vertical="center"/>
      <protection locked="0"/>
    </xf>
    <xf numFmtId="0" fontId="10" fillId="7" borderId="7" xfId="0" applyFont="1" applyFill="1" applyBorder="1" applyAlignment="1" applyProtection="1">
      <alignment horizontal="center" vertical="center"/>
      <protection locked="0"/>
    </xf>
    <xf numFmtId="0" fontId="10" fillId="7" borderId="8" xfId="0" applyFont="1" applyFill="1" applyBorder="1" applyAlignment="1" applyProtection="1">
      <alignment horizontal="center" vertical="center"/>
      <protection locked="0"/>
    </xf>
    <xf numFmtId="0" fontId="11" fillId="8" borderId="9" xfId="0" applyFont="1" applyFill="1" applyBorder="1" applyAlignment="1">
      <alignment horizontal="center" vertical="center"/>
    </xf>
    <xf numFmtId="0" fontId="11" fillId="8" borderId="7" xfId="0" applyFont="1" applyFill="1" applyBorder="1" applyAlignment="1">
      <alignment horizontal="center" vertical="center"/>
    </xf>
    <xf numFmtId="0" fontId="11" fillId="8" borderId="8"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5" xfId="0" applyFont="1" applyFill="1" applyBorder="1" applyAlignment="1">
      <alignment horizontal="center" vertical="center" wrapText="1"/>
    </xf>
    <xf numFmtId="0" fontId="3" fillId="6" borderId="9" xfId="0" applyFont="1" applyFill="1" applyBorder="1" applyAlignment="1">
      <alignment horizontal="left" vertical="center" wrapText="1"/>
    </xf>
    <xf numFmtId="0" fontId="3" fillId="6" borderId="7" xfId="0" applyFont="1" applyFill="1" applyBorder="1" applyAlignment="1">
      <alignment horizontal="left" vertical="center" wrapText="1"/>
    </xf>
    <xf numFmtId="0" fontId="3" fillId="6" borderId="8" xfId="0" applyFont="1" applyFill="1" applyBorder="1" applyAlignment="1">
      <alignment horizontal="left" vertical="center" wrapText="1"/>
    </xf>
    <xf numFmtId="0" fontId="11" fillId="2" borderId="15" xfId="0" applyFont="1" applyFill="1" applyBorder="1" applyAlignment="1">
      <alignment horizontal="left" vertical="center" wrapText="1"/>
    </xf>
    <xf numFmtId="0" fontId="3" fillId="6" borderId="15" xfId="0" applyFont="1" applyFill="1" applyBorder="1" applyAlignment="1">
      <alignment horizontal="left" vertical="center"/>
    </xf>
    <xf numFmtId="0" fontId="3" fillId="6" borderId="15" xfId="0" applyFont="1" applyFill="1" applyBorder="1" applyAlignment="1">
      <alignment horizontal="left" vertical="center" wrapText="1"/>
    </xf>
    <xf numFmtId="0" fontId="3" fillId="0" borderId="0" xfId="0" applyFont="1" applyAlignment="1">
      <alignment horizontal="center" vertical="center"/>
    </xf>
    <xf numFmtId="0" fontId="3" fillId="0" borderId="31" xfId="0" applyFont="1" applyBorder="1" applyAlignment="1">
      <alignment horizontal="center" vertical="center"/>
    </xf>
    <xf numFmtId="0" fontId="11" fillId="2" borderId="9" xfId="0" applyFont="1" applyFill="1" applyBorder="1" applyAlignment="1">
      <alignment horizontal="left" vertical="center" wrapText="1"/>
    </xf>
    <xf numFmtId="0" fontId="11" fillId="2" borderId="7" xfId="0" applyFont="1" applyFill="1" applyBorder="1" applyAlignment="1">
      <alignment horizontal="left" vertical="center" wrapText="1"/>
    </xf>
    <xf numFmtId="0" fontId="11" fillId="2" borderId="8" xfId="0" applyFont="1" applyFill="1" applyBorder="1" applyAlignment="1">
      <alignment horizontal="left" vertical="center" wrapText="1"/>
    </xf>
    <xf numFmtId="0" fontId="3" fillId="7" borderId="9" xfId="0" applyFont="1" applyFill="1" applyBorder="1" applyAlignment="1" applyProtection="1">
      <alignment horizontal="center" vertical="center" wrapText="1"/>
      <protection locked="0"/>
    </xf>
    <xf numFmtId="0" fontId="3" fillId="7" borderId="7" xfId="0" applyFont="1" applyFill="1" applyBorder="1" applyAlignment="1" applyProtection="1">
      <alignment horizontal="center" vertical="center" wrapText="1"/>
      <protection locked="0"/>
    </xf>
    <xf numFmtId="0" fontId="3" fillId="7" borderId="8" xfId="0" applyFont="1" applyFill="1" applyBorder="1" applyAlignment="1" applyProtection="1">
      <alignment horizontal="center" vertical="center" wrapText="1"/>
      <protection locked="0"/>
    </xf>
    <xf numFmtId="0" fontId="11" fillId="2" borderId="15" xfId="0" applyFont="1" applyFill="1" applyBorder="1" applyAlignment="1">
      <alignment horizontal="left" vertical="center"/>
    </xf>
    <xf numFmtId="0" fontId="11" fillId="8" borderId="9" xfId="0" applyFont="1" applyFill="1" applyBorder="1" applyAlignment="1">
      <alignment horizontal="center" vertical="center" wrapText="1"/>
    </xf>
    <xf numFmtId="0" fontId="11" fillId="8" borderId="7" xfId="0" applyFont="1" applyFill="1" applyBorder="1" applyAlignment="1">
      <alignment horizontal="center" vertical="center" wrapText="1"/>
    </xf>
    <xf numFmtId="0" fontId="11" fillId="8" borderId="8"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3" fillId="4" borderId="15" xfId="0" applyFont="1" applyFill="1" applyBorder="1" applyAlignment="1">
      <alignment horizontal="center" vertical="center"/>
    </xf>
    <xf numFmtId="0" fontId="11" fillId="8" borderId="34" xfId="0" applyFont="1" applyFill="1" applyBorder="1" applyAlignment="1">
      <alignment horizontal="center" vertical="center"/>
    </xf>
    <xf numFmtId="0" fontId="3" fillId="6" borderId="6" xfId="0" applyFont="1" applyFill="1" applyBorder="1" applyAlignment="1">
      <alignment horizontal="left" vertical="center" wrapText="1"/>
    </xf>
    <xf numFmtId="0" fontId="9" fillId="7" borderId="9" xfId="0" applyFont="1" applyFill="1" applyBorder="1" applyAlignment="1">
      <alignment horizontal="center"/>
    </xf>
    <xf numFmtId="0" fontId="9" fillId="7" borderId="7" xfId="0" applyFont="1" applyFill="1" applyBorder="1" applyAlignment="1">
      <alignment horizontal="center"/>
    </xf>
    <xf numFmtId="0" fontId="9" fillId="7" borderId="34" xfId="0" applyFont="1" applyFill="1" applyBorder="1" applyAlignment="1">
      <alignment horizontal="center"/>
    </xf>
    <xf numFmtId="0" fontId="9" fillId="7" borderId="8" xfId="0" applyFont="1" applyFill="1" applyBorder="1" applyAlignment="1">
      <alignment horizontal="center"/>
    </xf>
    <xf numFmtId="0" fontId="17" fillId="8" borderId="20" xfId="0" applyFont="1" applyFill="1" applyBorder="1" applyAlignment="1">
      <alignment horizontal="center" vertical="center" wrapText="1"/>
    </xf>
    <xf numFmtId="0" fontId="17" fillId="8" borderId="30" xfId="0" applyFont="1" applyFill="1" applyBorder="1" applyAlignment="1">
      <alignment horizontal="center" vertical="center" wrapText="1"/>
    </xf>
    <xf numFmtId="0" fontId="17" fillId="8" borderId="18" xfId="0" applyFont="1" applyFill="1" applyBorder="1" applyAlignment="1">
      <alignment horizontal="center" vertical="center" wrapText="1"/>
    </xf>
    <xf numFmtId="0" fontId="17" fillId="8" borderId="25" xfId="0" applyFont="1" applyFill="1" applyBorder="1" applyAlignment="1">
      <alignment horizontal="center" vertical="center" wrapText="1"/>
    </xf>
    <xf numFmtId="0" fontId="3" fillId="4" borderId="20" xfId="0" applyFont="1" applyFill="1" applyBorder="1" applyAlignment="1">
      <alignment horizontal="center" vertical="center" wrapText="1"/>
    </xf>
    <xf numFmtId="0" fontId="3" fillId="4" borderId="42"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3" fillId="4" borderId="40" xfId="0" applyFont="1" applyFill="1" applyBorder="1" applyAlignment="1">
      <alignment horizontal="center" vertical="center" wrapText="1"/>
    </xf>
    <xf numFmtId="164" fontId="3" fillId="4" borderId="13" xfId="0" applyNumberFormat="1" applyFont="1" applyFill="1" applyBorder="1" applyAlignment="1">
      <alignment horizontal="center" vertical="center"/>
    </xf>
    <xf numFmtId="164" fontId="3" fillId="4" borderId="21" xfId="0" applyNumberFormat="1" applyFont="1" applyFill="1" applyBorder="1" applyAlignment="1">
      <alignment horizontal="center" vertical="center"/>
    </xf>
    <xf numFmtId="0" fontId="2" fillId="4" borderId="13" xfId="0" applyFont="1" applyFill="1" applyBorder="1" applyAlignment="1">
      <alignment horizontal="center"/>
    </xf>
    <xf numFmtId="0" fontId="2" fillId="4" borderId="12" xfId="0" applyFont="1" applyFill="1" applyBorder="1" applyAlignment="1">
      <alignment horizontal="center"/>
    </xf>
    <xf numFmtId="0" fontId="2" fillId="4" borderId="35" xfId="0" applyFont="1" applyFill="1" applyBorder="1" applyAlignment="1">
      <alignment horizontal="center"/>
    </xf>
    <xf numFmtId="0" fontId="3" fillId="6" borderId="14" xfId="0" applyFont="1" applyFill="1" applyBorder="1" applyAlignment="1">
      <alignment horizontal="center" vertical="center" wrapText="1"/>
    </xf>
    <xf numFmtId="0" fontId="3" fillId="6" borderId="15" xfId="0" applyFont="1" applyFill="1" applyBorder="1" applyAlignment="1">
      <alignment horizontal="center" vertical="center" wrapText="1"/>
    </xf>
    <xf numFmtId="0" fontId="3" fillId="4" borderId="28" xfId="0" applyFont="1" applyFill="1" applyBorder="1" applyAlignment="1">
      <alignment horizontal="center" vertical="center" wrapText="1"/>
    </xf>
    <xf numFmtId="0" fontId="3" fillId="4" borderId="27"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3" fillId="4" borderId="21" xfId="0" applyFont="1" applyFill="1" applyBorder="1" applyAlignment="1">
      <alignment horizontal="center" vertical="center" wrapText="1"/>
    </xf>
    <xf numFmtId="0" fontId="11" fillId="2" borderId="1"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11" fillId="2" borderId="3" xfId="0" applyFont="1" applyFill="1" applyBorder="1" applyAlignment="1">
      <alignment horizontal="left" vertical="center" wrapText="1"/>
    </xf>
    <xf numFmtId="0" fontId="7" fillId="0" borderId="0" xfId="0" applyFont="1" applyAlignment="1">
      <alignment horizontal="left" vertical="center" wrapText="1"/>
    </xf>
    <xf numFmtId="0" fontId="3" fillId="4" borderId="12" xfId="0" applyFont="1" applyFill="1" applyBorder="1" applyAlignment="1">
      <alignment horizontal="center" vertical="center" wrapText="1"/>
    </xf>
    <xf numFmtId="0" fontId="3" fillId="12" borderId="9" xfId="0" applyFont="1" applyFill="1" applyBorder="1" applyAlignment="1">
      <alignment horizontal="left" vertical="center"/>
    </xf>
    <xf numFmtId="0" fontId="3" fillId="12" borderId="7" xfId="0" applyFont="1" applyFill="1" applyBorder="1" applyAlignment="1">
      <alignment horizontal="left" vertical="center"/>
    </xf>
    <xf numFmtId="0" fontId="3" fillId="12" borderId="8" xfId="0" applyFont="1" applyFill="1" applyBorder="1" applyAlignment="1">
      <alignment horizontal="left" vertical="center"/>
    </xf>
    <xf numFmtId="0" fontId="3" fillId="7" borderId="9" xfId="0" applyFont="1" applyFill="1" applyBorder="1" applyAlignment="1">
      <alignment horizontal="left" vertical="center"/>
    </xf>
    <xf numFmtId="0" fontId="3" fillId="7" borderId="7" xfId="0" applyFont="1" applyFill="1" applyBorder="1" applyAlignment="1">
      <alignment horizontal="left" vertical="center"/>
    </xf>
    <xf numFmtId="0" fontId="3" fillId="7" borderId="8" xfId="0" applyFont="1" applyFill="1" applyBorder="1" applyAlignment="1">
      <alignment horizontal="left" vertical="center"/>
    </xf>
    <xf numFmtId="0" fontId="3" fillId="14" borderId="9" xfId="0" applyFont="1" applyFill="1" applyBorder="1" applyAlignment="1">
      <alignment horizontal="left" vertical="center"/>
    </xf>
    <xf numFmtId="0" fontId="3" fillId="14" borderId="7" xfId="0" applyFont="1" applyFill="1" applyBorder="1" applyAlignment="1">
      <alignment horizontal="left" vertical="center"/>
    </xf>
    <xf numFmtId="0" fontId="3" fillId="14" borderId="8" xfId="0" applyFont="1" applyFill="1" applyBorder="1" applyAlignment="1">
      <alignment horizontal="left" vertical="center"/>
    </xf>
    <xf numFmtId="0" fontId="11" fillId="8" borderId="9" xfId="0" applyFont="1" applyFill="1" applyBorder="1" applyAlignment="1">
      <alignment horizontal="center" wrapText="1"/>
    </xf>
    <xf numFmtId="0" fontId="11" fillId="8" borderId="7" xfId="0" applyFont="1" applyFill="1" applyBorder="1" applyAlignment="1">
      <alignment horizontal="center" wrapText="1"/>
    </xf>
    <xf numFmtId="0" fontId="11" fillId="8" borderId="34" xfId="0" applyFont="1" applyFill="1" applyBorder="1" applyAlignment="1">
      <alignment horizontal="center" wrapText="1"/>
    </xf>
    <xf numFmtId="0" fontId="11" fillId="8" borderId="20" xfId="0" applyFont="1" applyFill="1" applyBorder="1" applyAlignment="1">
      <alignment horizontal="center" vertical="center" wrapText="1"/>
    </xf>
    <xf numFmtId="0" fontId="11" fillId="8" borderId="30"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11" fillId="8" borderId="25" xfId="0" applyFont="1" applyFill="1" applyBorder="1" applyAlignment="1">
      <alignment horizontal="center" vertical="center" wrapText="1"/>
    </xf>
    <xf numFmtId="16" fontId="11" fillId="8" borderId="20" xfId="0" applyNumberFormat="1" applyFont="1" applyFill="1" applyBorder="1" applyAlignment="1">
      <alignment horizontal="center" vertical="center" wrapText="1"/>
    </xf>
    <xf numFmtId="16" fontId="11" fillId="8" borderId="30" xfId="0" applyNumberFormat="1" applyFont="1" applyFill="1" applyBorder="1" applyAlignment="1">
      <alignment horizontal="center" vertical="center" wrapText="1"/>
    </xf>
    <xf numFmtId="16" fontId="11" fillId="8" borderId="18" xfId="0" applyNumberFormat="1" applyFont="1" applyFill="1" applyBorder="1" applyAlignment="1">
      <alignment horizontal="center" vertical="center" wrapText="1"/>
    </xf>
    <xf numFmtId="16" fontId="11" fillId="8" borderId="25" xfId="0" applyNumberFormat="1" applyFont="1" applyFill="1" applyBorder="1" applyAlignment="1">
      <alignment horizontal="center" vertical="center" wrapText="1"/>
    </xf>
    <xf numFmtId="0" fontId="3" fillId="4" borderId="16" xfId="0" applyFont="1" applyFill="1" applyBorder="1" applyAlignment="1">
      <alignment horizontal="center" vertical="center"/>
    </xf>
    <xf numFmtId="0" fontId="17" fillId="8" borderId="15" xfId="0" applyFont="1" applyFill="1" applyBorder="1" applyAlignment="1">
      <alignment horizontal="center" vertical="center" wrapText="1"/>
    </xf>
    <xf numFmtId="0" fontId="3" fillId="6" borderId="28" xfId="0" applyFont="1" applyFill="1" applyBorder="1" applyAlignment="1">
      <alignment horizontal="left" vertical="center" wrapText="1"/>
    </xf>
    <xf numFmtId="0" fontId="3" fillId="6" borderId="27" xfId="0" applyFont="1" applyFill="1" applyBorder="1" applyAlignment="1">
      <alignment horizontal="left" vertical="center" wrapText="1"/>
    </xf>
    <xf numFmtId="0" fontId="2" fillId="7" borderId="15" xfId="0" applyFont="1" applyFill="1" applyBorder="1" applyAlignment="1">
      <alignment horizontal="center"/>
    </xf>
    <xf numFmtId="0" fontId="2" fillId="7" borderId="9" xfId="0" applyFont="1" applyFill="1" applyBorder="1" applyAlignment="1">
      <alignment horizontal="center"/>
    </xf>
    <xf numFmtId="0" fontId="2" fillId="7" borderId="8" xfId="0" applyFont="1" applyFill="1" applyBorder="1" applyAlignment="1">
      <alignment horizontal="center"/>
    </xf>
    <xf numFmtId="164" fontId="3" fillId="4" borderId="16" xfId="0" applyNumberFormat="1" applyFont="1" applyFill="1" applyBorder="1" applyAlignment="1">
      <alignment horizontal="center" vertical="center"/>
    </xf>
    <xf numFmtId="164" fontId="3" fillId="4" borderId="27" xfId="0" applyNumberFormat="1" applyFont="1" applyFill="1" applyBorder="1" applyAlignment="1">
      <alignment horizontal="center" vertical="center"/>
    </xf>
    <xf numFmtId="0" fontId="3" fillId="4" borderId="27" xfId="0" applyFont="1" applyFill="1" applyBorder="1" applyAlignment="1">
      <alignment horizontal="center" vertical="center"/>
    </xf>
    <xf numFmtId="0" fontId="11" fillId="2" borderId="33" xfId="0" applyFont="1" applyFill="1" applyBorder="1" applyAlignment="1">
      <alignment horizontal="left" vertical="center" wrapText="1"/>
    </xf>
    <xf numFmtId="0" fontId="11" fillId="2" borderId="36" xfId="0" applyFont="1" applyFill="1" applyBorder="1" applyAlignment="1">
      <alignment horizontal="left" vertical="center" wrapText="1"/>
    </xf>
    <xf numFmtId="0" fontId="11" fillId="2" borderId="23" xfId="0" applyFont="1" applyFill="1" applyBorder="1" applyAlignment="1">
      <alignment horizontal="left" vertical="center" wrapText="1"/>
    </xf>
    <xf numFmtId="0" fontId="4" fillId="4" borderId="15" xfId="0" applyFont="1" applyFill="1" applyBorder="1" applyAlignment="1">
      <alignment horizontal="center" vertical="center" wrapText="1"/>
    </xf>
    <xf numFmtId="0" fontId="4" fillId="4" borderId="16" xfId="0" applyFont="1" applyFill="1" applyBorder="1" applyAlignment="1">
      <alignment horizontal="center" vertical="center" wrapText="1"/>
    </xf>
    <xf numFmtId="0" fontId="11" fillId="2" borderId="1" xfId="0" applyFont="1" applyFill="1" applyBorder="1" applyAlignment="1">
      <alignment horizontal="left" vertical="center"/>
    </xf>
    <xf numFmtId="0" fontId="11" fillId="2" borderId="2" xfId="0" applyFont="1" applyFill="1" applyBorder="1" applyAlignment="1">
      <alignment horizontal="left" vertical="center"/>
    </xf>
    <xf numFmtId="0" fontId="11" fillId="2" borderId="3" xfId="0" applyFont="1" applyFill="1" applyBorder="1" applyAlignment="1">
      <alignment horizontal="left" vertical="center"/>
    </xf>
    <xf numFmtId="0" fontId="11" fillId="2" borderId="19" xfId="0" applyFont="1" applyFill="1" applyBorder="1" applyAlignment="1">
      <alignment horizontal="left" vertical="center"/>
    </xf>
    <xf numFmtId="0" fontId="11" fillId="2" borderId="29" xfId="0" applyFont="1" applyFill="1" applyBorder="1" applyAlignment="1">
      <alignment horizontal="left" vertical="center"/>
    </xf>
    <xf numFmtId="0" fontId="11" fillId="2" borderId="40" xfId="0" applyFont="1" applyFill="1" applyBorder="1" applyAlignment="1">
      <alignment horizontal="left" vertical="center"/>
    </xf>
    <xf numFmtId="0" fontId="3" fillId="4" borderId="45"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30" xfId="0" applyFont="1" applyFill="1" applyBorder="1" applyAlignment="1">
      <alignment horizontal="center" vertical="center" wrapText="1"/>
    </xf>
    <xf numFmtId="0" fontId="11" fillId="8" borderId="15" xfId="0" applyFont="1" applyFill="1" applyBorder="1" applyAlignment="1">
      <alignment horizontal="center"/>
    </xf>
    <xf numFmtId="164" fontId="3" fillId="4" borderId="24" xfId="0" applyNumberFormat="1" applyFont="1" applyFill="1" applyBorder="1" applyAlignment="1">
      <alignment horizontal="center" vertical="center"/>
    </xf>
    <xf numFmtId="0" fontId="11" fillId="8" borderId="15" xfId="0" applyFont="1" applyFill="1" applyBorder="1" applyAlignment="1">
      <alignment horizontal="center" vertical="center" wrapText="1"/>
    </xf>
    <xf numFmtId="0" fontId="19" fillId="0" borderId="0" xfId="0" applyFont="1" applyAlignment="1">
      <alignment horizontal="left"/>
    </xf>
    <xf numFmtId="0" fontId="11" fillId="8" borderId="15" xfId="0" applyFont="1" applyFill="1" applyBorder="1" applyAlignment="1">
      <alignment horizontal="center" vertical="center"/>
    </xf>
    <xf numFmtId="0" fontId="2" fillId="14" borderId="9" xfId="0" applyFont="1" applyFill="1" applyBorder="1" applyAlignment="1" applyProtection="1">
      <alignment horizontal="center" vertical="center"/>
      <protection locked="0"/>
    </xf>
    <xf numFmtId="0" fontId="2" fillId="14" borderId="7" xfId="0" applyFont="1" applyFill="1" applyBorder="1" applyAlignment="1" applyProtection="1">
      <alignment horizontal="center" vertical="center"/>
      <protection locked="0"/>
    </xf>
    <xf numFmtId="0" fontId="2" fillId="14" borderId="8" xfId="0" applyFont="1" applyFill="1" applyBorder="1" applyAlignment="1" applyProtection="1">
      <alignment horizontal="center" vertical="center"/>
      <protection locked="0"/>
    </xf>
    <xf numFmtId="0" fontId="24" fillId="3" borderId="0" xfId="0" applyFont="1" applyFill="1" applyAlignment="1">
      <alignment horizontal="center" vertical="center"/>
    </xf>
    <xf numFmtId="0" fontId="38" fillId="13" borderId="0" xfId="0" applyFont="1" applyFill="1" applyAlignment="1">
      <alignment horizontal="center" vertical="center"/>
    </xf>
    <xf numFmtId="0" fontId="11" fillId="2" borderId="44" xfId="0" applyFont="1" applyFill="1" applyBorder="1" applyAlignment="1">
      <alignment horizontal="left" vertical="center" wrapText="1"/>
    </xf>
    <xf numFmtId="0" fontId="11" fillId="2" borderId="4" xfId="0" applyFont="1" applyFill="1" applyBorder="1" applyAlignment="1">
      <alignment horizontal="left" vertical="center" wrapText="1"/>
    </xf>
    <xf numFmtId="0" fontId="11" fillId="2" borderId="32" xfId="0" applyFont="1" applyFill="1" applyBorder="1" applyAlignment="1">
      <alignment horizontal="left" vertical="center" wrapText="1"/>
    </xf>
    <xf numFmtId="0" fontId="11" fillId="2" borderId="19" xfId="0" applyFont="1" applyFill="1" applyBorder="1" applyAlignment="1">
      <alignment horizontal="left" vertical="center" wrapText="1"/>
    </xf>
    <xf numFmtId="0" fontId="11" fillId="2" borderId="29" xfId="0" applyFont="1" applyFill="1" applyBorder="1" applyAlignment="1">
      <alignment horizontal="left" vertical="center" wrapText="1"/>
    </xf>
    <xf numFmtId="0" fontId="11" fillId="2" borderId="40" xfId="0" applyFont="1" applyFill="1" applyBorder="1" applyAlignment="1">
      <alignment horizontal="left" vertical="center" wrapText="1"/>
    </xf>
    <xf numFmtId="0" fontId="3" fillId="6" borderId="5" xfId="0" applyFont="1" applyFill="1" applyBorder="1" applyAlignment="1">
      <alignment horizontal="center" vertical="center" wrapText="1"/>
    </xf>
    <xf numFmtId="0" fontId="3" fillId="6" borderId="0" xfId="0" applyFont="1" applyFill="1" applyAlignment="1">
      <alignment horizontal="center" vertical="center" wrapText="1"/>
    </xf>
    <xf numFmtId="0" fontId="3" fillId="6" borderId="31" xfId="0" applyFont="1" applyFill="1" applyBorder="1" applyAlignment="1">
      <alignment horizontal="center" vertical="center" wrapText="1"/>
    </xf>
    <xf numFmtId="0" fontId="3" fillId="6" borderId="6" xfId="0" applyFont="1" applyFill="1" applyBorder="1" applyAlignment="1">
      <alignment horizontal="left"/>
    </xf>
    <xf numFmtId="0" fontId="3" fillId="6" borderId="7" xfId="0" applyFont="1" applyFill="1" applyBorder="1" applyAlignment="1">
      <alignment horizontal="left"/>
    </xf>
    <xf numFmtId="0" fontId="3" fillId="6" borderId="8" xfId="0" applyFont="1" applyFill="1" applyBorder="1" applyAlignment="1">
      <alignment horizontal="left"/>
    </xf>
    <xf numFmtId="0" fontId="2" fillId="7" borderId="9"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2" fillId="7" borderId="34" xfId="0" applyFont="1" applyFill="1" applyBorder="1" applyAlignment="1">
      <alignment horizontal="center" vertical="center" wrapText="1"/>
    </xf>
    <xf numFmtId="0" fontId="3" fillId="6" borderId="10"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3" fillId="6" borderId="21" xfId="0" applyFont="1" applyFill="1" applyBorder="1" applyAlignment="1">
      <alignment horizontal="left" vertical="center" wrapText="1"/>
    </xf>
    <xf numFmtId="0" fontId="2" fillId="7" borderId="13" xfId="0" applyFont="1" applyFill="1" applyBorder="1" applyAlignment="1">
      <alignment horizontal="center" vertical="center" wrapText="1"/>
    </xf>
    <xf numFmtId="0" fontId="2" fillId="7" borderId="21" xfId="0" applyFont="1" applyFill="1" applyBorder="1" applyAlignment="1">
      <alignment horizontal="center" vertical="center" wrapText="1"/>
    </xf>
    <xf numFmtId="0" fontId="2" fillId="7" borderId="35" xfId="0" applyFont="1" applyFill="1" applyBorder="1" applyAlignment="1">
      <alignment horizontal="center" vertical="center" wrapText="1"/>
    </xf>
    <xf numFmtId="0" fontId="16" fillId="6" borderId="6" xfId="0" applyFont="1" applyFill="1" applyBorder="1" applyAlignment="1">
      <alignment horizontal="left"/>
    </xf>
    <xf numFmtId="0" fontId="16" fillId="6" borderId="7" xfId="0" applyFont="1" applyFill="1" applyBorder="1" applyAlignment="1">
      <alignment horizontal="left"/>
    </xf>
    <xf numFmtId="0" fontId="16" fillId="6" borderId="8" xfId="0" applyFont="1" applyFill="1" applyBorder="1" applyAlignment="1">
      <alignment horizontal="left"/>
    </xf>
    <xf numFmtId="0" fontId="11" fillId="8" borderId="9" xfId="0" applyFont="1" applyFill="1" applyBorder="1" applyAlignment="1">
      <alignment horizontal="center"/>
    </xf>
    <xf numFmtId="0" fontId="11" fillId="8" borderId="8" xfId="0" applyFont="1" applyFill="1" applyBorder="1" applyAlignment="1">
      <alignment horizontal="center"/>
    </xf>
    <xf numFmtId="0" fontId="11" fillId="8" borderId="34" xfId="0" applyFont="1" applyFill="1" applyBorder="1" applyAlignment="1">
      <alignment horizontal="center"/>
    </xf>
    <xf numFmtId="0" fontId="2" fillId="4" borderId="9" xfId="0" applyFont="1" applyFill="1" applyBorder="1" applyAlignment="1">
      <alignment horizontal="center"/>
    </xf>
    <xf numFmtId="0" fontId="2" fillId="4" borderId="34" xfId="0" applyFont="1" applyFill="1" applyBorder="1" applyAlignment="1">
      <alignment horizontal="center"/>
    </xf>
    <xf numFmtId="0" fontId="11" fillId="2" borderId="43" xfId="0" applyFont="1" applyFill="1" applyBorder="1" applyAlignment="1">
      <alignment horizontal="left" vertical="center"/>
    </xf>
    <xf numFmtId="0" fontId="11" fillId="2" borderId="36" xfId="0" applyFont="1" applyFill="1" applyBorder="1" applyAlignment="1">
      <alignment horizontal="left" vertical="center"/>
    </xf>
    <xf numFmtId="0" fontId="11" fillId="2" borderId="23" xfId="0" applyFont="1" applyFill="1" applyBorder="1" applyAlignment="1">
      <alignment horizontal="left" vertical="center"/>
    </xf>
    <xf numFmtId="0" fontId="11" fillId="2" borderId="33" xfId="0" applyFont="1" applyFill="1" applyBorder="1" applyAlignment="1">
      <alignment horizontal="left" vertical="center"/>
    </xf>
    <xf numFmtId="0" fontId="3" fillId="4" borderId="16" xfId="0" applyFont="1" applyFill="1" applyBorder="1" applyAlignment="1">
      <alignment horizontal="center" vertical="center" wrapText="1"/>
    </xf>
    <xf numFmtId="0" fontId="9" fillId="7" borderId="9" xfId="0" applyFont="1" applyFill="1" applyBorder="1" applyAlignment="1" applyProtection="1">
      <alignment horizontal="center"/>
      <protection locked="0"/>
    </xf>
    <xf numFmtId="0" fontId="9" fillId="7" borderId="8" xfId="0" applyFont="1" applyFill="1" applyBorder="1" applyAlignment="1" applyProtection="1">
      <alignment horizontal="center"/>
      <protection locked="0"/>
    </xf>
    <xf numFmtId="0" fontId="9" fillId="7" borderId="7" xfId="0" applyFont="1" applyFill="1" applyBorder="1" applyAlignment="1" applyProtection="1">
      <alignment horizontal="center"/>
      <protection locked="0"/>
    </xf>
    <xf numFmtId="0" fontId="9" fillId="7" borderId="34" xfId="0" applyFont="1" applyFill="1" applyBorder="1" applyAlignment="1" applyProtection="1">
      <alignment horizontal="center"/>
      <protection locked="0"/>
    </xf>
    <xf numFmtId="0" fontId="2" fillId="7" borderId="15" xfId="0" applyFont="1" applyFill="1" applyBorder="1" applyAlignment="1" applyProtection="1">
      <alignment horizontal="center"/>
      <protection locked="0"/>
    </xf>
    <xf numFmtId="0" fontId="2" fillId="7" borderId="9" xfId="0" applyFont="1" applyFill="1" applyBorder="1" applyAlignment="1" applyProtection="1">
      <alignment horizontal="center"/>
      <protection locked="0"/>
    </xf>
    <xf numFmtId="0" fontId="2" fillId="7" borderId="8" xfId="0" applyFont="1" applyFill="1" applyBorder="1" applyAlignment="1" applyProtection="1">
      <alignment horizontal="center"/>
      <protection locked="0"/>
    </xf>
    <xf numFmtId="0" fontId="2" fillId="7" borderId="9" xfId="0" applyFont="1" applyFill="1" applyBorder="1" applyAlignment="1" applyProtection="1">
      <alignment horizontal="center" vertical="center" wrapText="1"/>
      <protection locked="0"/>
    </xf>
    <xf numFmtId="0" fontId="2" fillId="7" borderId="8" xfId="0" applyFont="1" applyFill="1" applyBorder="1" applyAlignment="1" applyProtection="1">
      <alignment horizontal="center" vertical="center" wrapText="1"/>
      <protection locked="0"/>
    </xf>
    <xf numFmtId="0" fontId="2" fillId="7" borderId="34" xfId="0" applyFont="1" applyFill="1" applyBorder="1" applyAlignment="1" applyProtection="1">
      <alignment horizontal="center" vertical="center" wrapText="1"/>
      <protection locked="0"/>
    </xf>
    <xf numFmtId="0" fontId="2" fillId="7" borderId="13" xfId="0" applyFont="1" applyFill="1" applyBorder="1" applyAlignment="1" applyProtection="1">
      <alignment horizontal="center" vertical="center" wrapText="1"/>
      <protection locked="0"/>
    </xf>
    <xf numFmtId="0" fontId="2" fillId="7" borderId="21" xfId="0" applyFont="1" applyFill="1" applyBorder="1" applyAlignment="1" applyProtection="1">
      <alignment horizontal="center" vertical="center" wrapText="1"/>
      <protection locked="0"/>
    </xf>
    <xf numFmtId="0" fontId="2" fillId="7" borderId="35" xfId="0" applyFont="1" applyFill="1" applyBorder="1" applyAlignment="1" applyProtection="1">
      <alignment horizontal="center" vertical="center" wrapText="1"/>
      <protection locked="0"/>
    </xf>
    <xf numFmtId="0" fontId="4" fillId="0" borderId="0" xfId="0" applyFont="1" applyAlignment="1">
      <alignment horizontal="center" vertical="center"/>
    </xf>
    <xf numFmtId="0" fontId="6" fillId="14" borderId="9" xfId="0" applyFont="1" applyFill="1" applyBorder="1" applyAlignment="1" applyProtection="1">
      <alignment horizontal="center" vertical="center"/>
      <protection locked="0"/>
    </xf>
    <xf numFmtId="0" fontId="6" fillId="14" borderId="7" xfId="0" applyFont="1" applyFill="1" applyBorder="1" applyAlignment="1" applyProtection="1">
      <alignment horizontal="center" vertical="center"/>
      <protection locked="0"/>
    </xf>
    <xf numFmtId="0" fontId="6" fillId="14" borderId="8" xfId="0" applyFont="1" applyFill="1" applyBorder="1" applyAlignment="1" applyProtection="1">
      <alignment horizontal="center" vertical="center"/>
      <protection locked="0"/>
    </xf>
    <xf numFmtId="0" fontId="21" fillId="0" borderId="0" xfId="0" applyFont="1" applyAlignment="1">
      <alignment horizontal="left" vertical="top" wrapText="1"/>
    </xf>
    <xf numFmtId="0" fontId="11" fillId="2" borderId="44" xfId="0" applyFont="1" applyFill="1" applyBorder="1" applyAlignment="1">
      <alignment horizontal="left" vertical="center"/>
    </xf>
    <xf numFmtId="0" fontId="11" fillId="2" borderId="4" xfId="0" applyFont="1" applyFill="1" applyBorder="1" applyAlignment="1">
      <alignment horizontal="left" vertical="center"/>
    </xf>
    <xf numFmtId="0" fontId="11" fillId="2" borderId="32" xfId="0" applyFont="1" applyFill="1" applyBorder="1" applyAlignment="1">
      <alignment horizontal="left" vertical="center"/>
    </xf>
    <xf numFmtId="0" fontId="11" fillId="8" borderId="42" xfId="0" applyFont="1" applyFill="1" applyBorder="1" applyAlignment="1">
      <alignment horizontal="center" vertical="center" wrapText="1"/>
    </xf>
    <xf numFmtId="0" fontId="11" fillId="8" borderId="40" xfId="0" applyFont="1" applyFill="1" applyBorder="1" applyAlignment="1">
      <alignment horizontal="center" vertical="center" wrapText="1"/>
    </xf>
    <xf numFmtId="0" fontId="11" fillId="8" borderId="17" xfId="0" applyFont="1" applyFill="1" applyBorder="1" applyAlignment="1">
      <alignment horizontal="center" vertical="center" wrapText="1"/>
    </xf>
    <xf numFmtId="0" fontId="41" fillId="2" borderId="0" xfId="0" applyFont="1" applyFill="1" applyAlignment="1">
      <alignment horizontal="center" vertical="center"/>
    </xf>
    <xf numFmtId="0" fontId="43" fillId="15" borderId="0" xfId="0" applyFont="1" applyFill="1" applyAlignment="1">
      <alignment horizontal="center" vertical="center" wrapText="1"/>
    </xf>
    <xf numFmtId="0" fontId="44" fillId="16" borderId="15" xfId="0" applyFont="1" applyFill="1" applyBorder="1" applyAlignment="1">
      <alignment horizontal="center" vertical="center"/>
    </xf>
    <xf numFmtId="0" fontId="45" fillId="0" borderId="0" xfId="0" applyFont="1" applyAlignment="1">
      <alignment horizontal="right" vertical="top"/>
    </xf>
    <xf numFmtId="0" fontId="40" fillId="8" borderId="9" xfId="0" applyFont="1" applyFill="1" applyBorder="1" applyAlignment="1">
      <alignment horizontal="center"/>
    </xf>
    <xf numFmtId="0" fontId="40" fillId="8" borderId="8" xfId="0" applyFont="1" applyFill="1" applyBorder="1" applyAlignment="1">
      <alignment horizontal="center"/>
    </xf>
    <xf numFmtId="0" fontId="49" fillId="18" borderId="15" xfId="0" applyFont="1" applyFill="1" applyBorder="1" applyAlignment="1">
      <alignment horizontal="left" vertical="center" wrapText="1"/>
    </xf>
    <xf numFmtId="0" fontId="50" fillId="0" borderId="15" xfId="0" applyFont="1" applyBorder="1"/>
    <xf numFmtId="0" fontId="52" fillId="18" borderId="15" xfId="0" applyFont="1" applyFill="1" applyBorder="1" applyAlignment="1">
      <alignment horizontal="center" vertical="center" wrapText="1"/>
    </xf>
    <xf numFmtId="0" fontId="49" fillId="20" borderId="15" xfId="0" applyFont="1" applyFill="1" applyBorder="1" applyAlignment="1">
      <alignment horizontal="center" vertical="center"/>
    </xf>
    <xf numFmtId="0" fontId="53" fillId="18" borderId="50" xfId="0" applyFont="1" applyFill="1" applyBorder="1" applyAlignment="1">
      <alignment horizontal="center" vertical="center" wrapText="1"/>
    </xf>
    <xf numFmtId="0" fontId="53" fillId="18" borderId="51" xfId="0" applyFont="1" applyFill="1" applyBorder="1" applyAlignment="1">
      <alignment horizontal="center" vertical="center" wrapText="1"/>
    </xf>
    <xf numFmtId="0" fontId="53" fillId="18" borderId="52" xfId="0" applyFont="1" applyFill="1" applyBorder="1" applyAlignment="1">
      <alignment horizontal="center" vertical="center" wrapText="1"/>
    </xf>
    <xf numFmtId="165" fontId="51" fillId="21" borderId="53" xfId="0" applyNumberFormat="1" applyFont="1" applyFill="1" applyBorder="1" applyAlignment="1">
      <alignment horizontal="center" vertical="center"/>
    </xf>
    <xf numFmtId="165" fontId="51" fillId="21" borderId="54" xfId="0" applyNumberFormat="1" applyFont="1" applyFill="1" applyBorder="1" applyAlignment="1">
      <alignment horizontal="center" vertical="center"/>
    </xf>
    <xf numFmtId="0" fontId="11" fillId="17" borderId="15" xfId="0" applyFont="1" applyFill="1" applyBorder="1" applyAlignment="1">
      <alignment horizontal="center" vertical="center" wrapText="1"/>
    </xf>
    <xf numFmtId="0" fontId="11" fillId="17" borderId="46" xfId="0" applyFont="1" applyFill="1" applyBorder="1" applyAlignment="1">
      <alignment horizontal="center" vertical="center"/>
    </xf>
    <xf numFmtId="0" fontId="11" fillId="17" borderId="47" xfId="0" applyFont="1" applyFill="1" applyBorder="1" applyAlignment="1">
      <alignment horizontal="center" vertical="center"/>
    </xf>
    <xf numFmtId="0" fontId="11" fillId="17" borderId="48" xfId="0" applyFont="1" applyFill="1" applyBorder="1" applyAlignment="1">
      <alignment horizontal="center" vertical="center"/>
    </xf>
    <xf numFmtId="0" fontId="11" fillId="17" borderId="49" xfId="0" applyFont="1" applyFill="1" applyBorder="1" applyAlignment="1">
      <alignment horizontal="center" vertical="center"/>
    </xf>
    <xf numFmtId="0" fontId="11" fillId="17" borderId="9" xfId="0" applyFont="1" applyFill="1" applyBorder="1" applyAlignment="1">
      <alignment horizontal="center" vertical="center"/>
    </xf>
    <xf numFmtId="0" fontId="11" fillId="17" borderId="7" xfId="0" applyFont="1" applyFill="1" applyBorder="1" applyAlignment="1">
      <alignment horizontal="center" vertical="center"/>
    </xf>
    <xf numFmtId="0" fontId="11" fillId="17" borderId="8" xfId="0" applyFont="1" applyFill="1" applyBorder="1" applyAlignment="1">
      <alignment horizontal="center" vertical="center"/>
    </xf>
    <xf numFmtId="0" fontId="49" fillId="20" borderId="50" xfId="0" applyFont="1" applyFill="1" applyBorder="1" applyAlignment="1">
      <alignment horizontal="center" vertical="center" wrapText="1"/>
    </xf>
    <xf numFmtId="0" fontId="49" fillId="20" borderId="51" xfId="0" applyFont="1" applyFill="1" applyBorder="1" applyAlignment="1">
      <alignment horizontal="center" vertical="center" wrapText="1"/>
    </xf>
    <xf numFmtId="0" fontId="49" fillId="20" borderId="52" xfId="0" applyFont="1" applyFill="1" applyBorder="1" applyAlignment="1">
      <alignment horizontal="center" vertical="center" wrapText="1"/>
    </xf>
    <xf numFmtId="0" fontId="49" fillId="20" borderId="55" xfId="0" applyFont="1" applyFill="1" applyBorder="1" applyAlignment="1">
      <alignment horizontal="center" vertical="center"/>
    </xf>
    <xf numFmtId="0" fontId="49" fillId="20" borderId="56" xfId="0" applyFont="1" applyFill="1" applyBorder="1" applyAlignment="1">
      <alignment horizontal="center" vertical="center"/>
    </xf>
    <xf numFmtId="0" fontId="55" fillId="17" borderId="46" xfId="0" applyFont="1" applyFill="1" applyBorder="1" applyAlignment="1">
      <alignment horizontal="center" vertical="center" wrapText="1"/>
    </xf>
    <xf numFmtId="0" fontId="55" fillId="17" borderId="48" xfId="0" applyFont="1" applyFill="1" applyBorder="1" applyAlignment="1">
      <alignment horizontal="center" vertical="center" wrapText="1"/>
    </xf>
    <xf numFmtId="0" fontId="49" fillId="20" borderId="15" xfId="0" applyFont="1" applyFill="1" applyBorder="1" applyAlignment="1">
      <alignment horizontal="center" vertical="center" wrapText="1"/>
    </xf>
    <xf numFmtId="0" fontId="53" fillId="18" borderId="15" xfId="0" applyFont="1" applyFill="1" applyBorder="1" applyAlignment="1">
      <alignment horizontal="left" vertical="center" wrapText="1"/>
    </xf>
    <xf numFmtId="0" fontId="56" fillId="0" borderId="15" xfId="0" applyFont="1" applyBorder="1"/>
    <xf numFmtId="0" fontId="49" fillId="18" borderId="7" xfId="0" applyFont="1" applyFill="1" applyBorder="1" applyAlignment="1">
      <alignment horizontal="left" vertical="center" wrapText="1"/>
    </xf>
    <xf numFmtId="0" fontId="49" fillId="18" borderId="8" xfId="0" applyFont="1" applyFill="1" applyBorder="1" applyAlignment="1">
      <alignment horizontal="left" vertical="center" wrapText="1"/>
    </xf>
    <xf numFmtId="0" fontId="49" fillId="18" borderId="50" xfId="0" applyFont="1" applyFill="1" applyBorder="1" applyAlignment="1">
      <alignment horizontal="left" vertical="center" wrapText="1"/>
    </xf>
    <xf numFmtId="0" fontId="50" fillId="0" borderId="51" xfId="0" applyFont="1" applyBorder="1"/>
    <xf numFmtId="0" fontId="50" fillId="0" borderId="52" xfId="0" applyFont="1" applyBorder="1"/>
    <xf numFmtId="165" fontId="51" fillId="21" borderId="59" xfId="0" applyNumberFormat="1" applyFont="1" applyFill="1" applyBorder="1" applyAlignment="1" applyProtection="1">
      <alignment horizontal="center" vertical="center"/>
      <protection locked="0"/>
    </xf>
    <xf numFmtId="165" fontId="51" fillId="21" borderId="60" xfId="0" applyNumberFormat="1" applyFont="1" applyFill="1" applyBorder="1" applyAlignment="1" applyProtection="1">
      <alignment horizontal="center" vertical="center"/>
      <protection locked="0"/>
    </xf>
    <xf numFmtId="165" fontId="51" fillId="21" borderId="57" xfId="0" applyNumberFormat="1" applyFont="1" applyFill="1" applyBorder="1" applyAlignment="1" applyProtection="1">
      <alignment horizontal="center" vertical="center"/>
      <protection locked="0"/>
    </xf>
    <xf numFmtId="165" fontId="51" fillId="21" borderId="58" xfId="0" applyNumberFormat="1" applyFont="1" applyFill="1" applyBorder="1" applyAlignment="1" applyProtection="1">
      <alignment horizontal="center" vertical="center"/>
      <protection locked="0"/>
    </xf>
    <xf numFmtId="0" fontId="55" fillId="2" borderId="15" xfId="0" applyFont="1" applyFill="1" applyBorder="1" applyAlignment="1">
      <alignment horizontal="center" vertical="center"/>
    </xf>
    <xf numFmtId="0" fontId="49" fillId="20" borderId="9" xfId="0" applyFont="1" applyFill="1" applyBorder="1" applyAlignment="1">
      <alignment horizontal="center" vertical="center" wrapText="1"/>
    </xf>
    <xf numFmtId="0" fontId="49" fillId="20" borderId="7" xfId="0" applyFont="1" applyFill="1" applyBorder="1" applyAlignment="1">
      <alignment horizontal="center" vertical="center" wrapText="1"/>
    </xf>
    <xf numFmtId="0" fontId="49" fillId="20" borderId="8" xfId="0" applyFont="1" applyFill="1" applyBorder="1" applyAlignment="1">
      <alignment horizontal="center" vertical="center" wrapText="1"/>
    </xf>
    <xf numFmtId="0" fontId="49" fillId="20" borderId="50" xfId="0" applyFont="1" applyFill="1" applyBorder="1" applyAlignment="1">
      <alignment horizontal="center" vertical="center"/>
    </xf>
    <xf numFmtId="0" fontId="49" fillId="20" borderId="52" xfId="0" applyFont="1" applyFill="1" applyBorder="1" applyAlignment="1">
      <alignment horizontal="center" vertical="center"/>
    </xf>
    <xf numFmtId="0" fontId="59" fillId="23" borderId="15" xfId="0" applyFont="1" applyFill="1" applyBorder="1" applyAlignment="1">
      <alignment horizontal="left" vertical="center" wrapText="1"/>
    </xf>
    <xf numFmtId="0" fontId="60" fillId="24" borderId="15" xfId="0" applyFont="1" applyFill="1" applyBorder="1"/>
    <xf numFmtId="0" fontId="61" fillId="0" borderId="22" xfId="0" applyFont="1" applyBorder="1" applyAlignment="1">
      <alignment horizontal="left" vertical="center" wrapText="1"/>
    </xf>
    <xf numFmtId="0" fontId="61" fillId="0" borderId="0" xfId="0" applyFont="1" applyAlignment="1">
      <alignment horizontal="left" vertical="center" wrapText="1"/>
    </xf>
    <xf numFmtId="0" fontId="59" fillId="23" borderId="7" xfId="0" applyFont="1" applyFill="1" applyBorder="1" applyAlignment="1">
      <alignment horizontal="left" vertical="center" wrapText="1"/>
    </xf>
    <xf numFmtId="0" fontId="59" fillId="23" borderId="8" xfId="0" applyFont="1" applyFill="1" applyBorder="1" applyAlignment="1">
      <alignment horizontal="left" vertical="center" wrapText="1"/>
    </xf>
    <xf numFmtId="0" fontId="63" fillId="16" borderId="15" xfId="0" applyFont="1" applyFill="1" applyBorder="1" applyAlignment="1">
      <alignment horizontal="center" vertical="center" wrapText="1"/>
    </xf>
    <xf numFmtId="0" fontId="63" fillId="16" borderId="26" xfId="0" applyFont="1" applyFill="1" applyBorder="1" applyAlignment="1">
      <alignment horizontal="center" vertical="center" wrapText="1"/>
    </xf>
    <xf numFmtId="0" fontId="30" fillId="6" borderId="9" xfId="0" applyFont="1" applyFill="1" applyBorder="1" applyAlignment="1">
      <alignment horizontal="left" vertical="center" wrapText="1"/>
    </xf>
    <xf numFmtId="0" fontId="30" fillId="6" borderId="7" xfId="0" applyFont="1" applyFill="1" applyBorder="1" applyAlignment="1">
      <alignment horizontal="left" vertical="center" wrapText="1"/>
    </xf>
    <xf numFmtId="0" fontId="30" fillId="6" borderId="8" xfId="0" applyFont="1" applyFill="1" applyBorder="1" applyAlignment="1">
      <alignment horizontal="left" vertical="center" wrapText="1"/>
    </xf>
    <xf numFmtId="0" fontId="62" fillId="6" borderId="9" xfId="0" applyFont="1" applyFill="1" applyBorder="1" applyAlignment="1">
      <alignment horizontal="left" vertical="center"/>
    </xf>
    <xf numFmtId="0" fontId="62" fillId="6" borderId="7" xfId="0" applyFont="1" applyFill="1" applyBorder="1" applyAlignment="1">
      <alignment horizontal="left" vertical="center"/>
    </xf>
    <xf numFmtId="0" fontId="62" fillId="6" borderId="8" xfId="0" applyFont="1" applyFill="1" applyBorder="1" applyAlignment="1">
      <alignment horizontal="left" vertical="center"/>
    </xf>
    <xf numFmtId="0" fontId="3" fillId="0" borderId="0" xfId="0" applyFont="1" applyAlignment="1">
      <alignment horizontal="center"/>
    </xf>
    <xf numFmtId="0" fontId="2" fillId="7" borderId="7" xfId="0" applyFont="1" applyFill="1" applyBorder="1" applyAlignment="1" applyProtection="1">
      <alignment horizontal="center"/>
      <protection locked="0"/>
    </xf>
    <xf numFmtId="0" fontId="35" fillId="3" borderId="0" xfId="0" applyFont="1" applyFill="1" applyAlignment="1">
      <alignment horizontal="center" vertical="center"/>
    </xf>
    <xf numFmtId="0" fontId="19" fillId="0" borderId="0" xfId="0" applyFont="1" applyAlignment="1">
      <alignment horizontal="left" vertical="center"/>
    </xf>
    <xf numFmtId="0" fontId="6" fillId="7" borderId="9" xfId="0" applyFont="1" applyFill="1" applyBorder="1" applyAlignment="1" applyProtection="1">
      <alignment horizontal="center"/>
      <protection locked="0"/>
    </xf>
    <xf numFmtId="0" fontId="6" fillId="7" borderId="7" xfId="0" applyFont="1" applyFill="1" applyBorder="1" applyAlignment="1" applyProtection="1">
      <alignment horizontal="center"/>
      <protection locked="0"/>
    </xf>
    <xf numFmtId="0" fontId="6" fillId="7" borderId="8" xfId="0" applyFont="1" applyFill="1" applyBorder="1" applyAlignment="1" applyProtection="1">
      <alignment horizontal="center"/>
      <protection locked="0"/>
    </xf>
    <xf numFmtId="0" fontId="17" fillId="3" borderId="0" xfId="0" applyFont="1" applyFill="1" applyAlignment="1">
      <alignment horizontal="center" vertical="center"/>
    </xf>
    <xf numFmtId="0" fontId="31" fillId="0" borderId="0" xfId="0" applyFont="1" applyAlignment="1">
      <alignment horizontal="left" vertical="top" wrapText="1"/>
    </xf>
    <xf numFmtId="0" fontId="32" fillId="0" borderId="7" xfId="0" applyFont="1" applyBorder="1" applyAlignment="1" applyProtection="1">
      <alignment horizontal="center"/>
      <protection locked="0"/>
    </xf>
    <xf numFmtId="0" fontId="32" fillId="0" borderId="8" xfId="0" applyFont="1" applyBorder="1" applyAlignment="1" applyProtection="1">
      <alignment horizontal="center"/>
      <protection locked="0"/>
    </xf>
    <xf numFmtId="0" fontId="31" fillId="0" borderId="0" xfId="0" applyFont="1" applyAlignment="1">
      <alignment horizontal="left"/>
    </xf>
    <xf numFmtId="0" fontId="11" fillId="8" borderId="34" xfId="0" applyFont="1" applyFill="1" applyBorder="1" applyAlignment="1">
      <alignment horizontal="center" vertical="center" wrapText="1"/>
    </xf>
    <xf numFmtId="0" fontId="25" fillId="0" borderId="0" xfId="0" applyFont="1" applyAlignment="1">
      <alignment horizontal="center"/>
    </xf>
    <xf numFmtId="0" fontId="25" fillId="0" borderId="31" xfId="0" applyFont="1" applyBorder="1" applyAlignment="1">
      <alignment horizontal="center"/>
    </xf>
    <xf numFmtId="0" fontId="11" fillId="3" borderId="0" xfId="0" applyFont="1" applyFill="1" applyAlignment="1">
      <alignment horizontal="center" vertical="center"/>
    </xf>
    <xf numFmtId="0" fontId="32" fillId="0" borderId="7" xfId="0" applyFont="1" applyBorder="1" applyAlignment="1">
      <alignment horizontal="center"/>
    </xf>
    <xf numFmtId="0" fontId="32" fillId="0" borderId="8" xfId="0" applyFont="1" applyBorder="1" applyAlignment="1">
      <alignment horizontal="center"/>
    </xf>
    <xf numFmtId="0" fontId="4" fillId="0" borderId="31" xfId="0" applyFont="1" applyBorder="1" applyAlignment="1">
      <alignment horizontal="center" vertical="center"/>
    </xf>
  </cellXfs>
  <cellStyles count="2">
    <cellStyle name="Normal" xfId="0" builtinId="0"/>
    <cellStyle name="Normal 2" xfId="1" xr:uid="{00000000-0005-0000-0000-000001000000}"/>
  </cellStyles>
  <dxfs count="0"/>
  <tableStyles count="0" defaultTableStyle="TableStyleMedium2" defaultPivotStyle="PivotStyleLight16"/>
  <colors>
    <mruColors>
      <color rgb="FF000066"/>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83819</xdr:colOff>
      <xdr:row>2</xdr:row>
      <xdr:rowOff>0</xdr:rowOff>
    </xdr:from>
    <xdr:to>
      <xdr:col>4</xdr:col>
      <xdr:colOff>250857</xdr:colOff>
      <xdr:row>6</xdr:row>
      <xdr:rowOff>93345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83819" y="123825"/>
          <a:ext cx="1631983" cy="8496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19050</xdr:rowOff>
    </xdr:from>
    <xdr:to>
      <xdr:col>1</xdr:col>
      <xdr:colOff>0</xdr:colOff>
      <xdr:row>10</xdr:row>
      <xdr:rowOff>0</xdr:rowOff>
    </xdr:to>
    <xdr:sp macro="" textlink="">
      <xdr:nvSpPr>
        <xdr:cNvPr id="2" name="Line 1">
          <a:extLst>
            <a:ext uri="{FF2B5EF4-FFF2-40B4-BE49-F238E27FC236}">
              <a16:creationId xmlns:a16="http://schemas.microsoft.com/office/drawing/2014/main" id="{00000000-0008-0000-1200-000002000000}"/>
            </a:ext>
          </a:extLst>
        </xdr:cNvPr>
        <xdr:cNvSpPr>
          <a:spLocks noChangeShapeType="1"/>
        </xdr:cNvSpPr>
      </xdr:nvSpPr>
      <xdr:spPr bwMode="auto">
        <a:xfrm>
          <a:off x="0" y="118110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25</xdr:row>
      <xdr:rowOff>19050</xdr:rowOff>
    </xdr:from>
    <xdr:to>
      <xdr:col>1</xdr:col>
      <xdr:colOff>0</xdr:colOff>
      <xdr:row>27</xdr:row>
      <xdr:rowOff>0</xdr:rowOff>
    </xdr:to>
    <xdr:sp macro="" textlink="">
      <xdr:nvSpPr>
        <xdr:cNvPr id="4" name="Line 1">
          <a:extLst>
            <a:ext uri="{FF2B5EF4-FFF2-40B4-BE49-F238E27FC236}">
              <a16:creationId xmlns:a16="http://schemas.microsoft.com/office/drawing/2014/main" id="{00000000-0008-0000-1200-000004000000}"/>
            </a:ext>
          </a:extLst>
        </xdr:cNvPr>
        <xdr:cNvSpPr>
          <a:spLocks noChangeShapeType="1"/>
        </xdr:cNvSpPr>
      </xdr:nvSpPr>
      <xdr:spPr bwMode="auto">
        <a:xfrm>
          <a:off x="0" y="447675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18</xdr:row>
      <xdr:rowOff>190499</xdr:rowOff>
    </xdr:from>
    <xdr:to>
      <xdr:col>8</xdr:col>
      <xdr:colOff>447675</xdr:colOff>
      <xdr:row>19</xdr:row>
      <xdr:rowOff>180974</xdr:rowOff>
    </xdr:to>
    <xdr:sp macro="" textlink="">
      <xdr:nvSpPr>
        <xdr:cNvPr id="6" name="Line 9">
          <a:extLst>
            <a:ext uri="{FF2B5EF4-FFF2-40B4-BE49-F238E27FC236}">
              <a16:creationId xmlns:a16="http://schemas.microsoft.com/office/drawing/2014/main" id="{00000000-0008-0000-1200-000006000000}"/>
            </a:ext>
          </a:extLst>
        </xdr:cNvPr>
        <xdr:cNvSpPr>
          <a:spLocks noChangeShapeType="1"/>
        </xdr:cNvSpPr>
      </xdr:nvSpPr>
      <xdr:spPr bwMode="auto">
        <a:xfrm flipV="1">
          <a:off x="3838575" y="3257549"/>
          <a:ext cx="89535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66674</xdr:colOff>
      <xdr:row>69</xdr:row>
      <xdr:rowOff>9522</xdr:rowOff>
    </xdr:from>
    <xdr:to>
      <xdr:col>16</xdr:col>
      <xdr:colOff>533399</xdr:colOff>
      <xdr:row>69</xdr:row>
      <xdr:rowOff>180974</xdr:rowOff>
    </xdr:to>
    <xdr:sp macro="" textlink="">
      <xdr:nvSpPr>
        <xdr:cNvPr id="7" name="Line 9">
          <a:extLst>
            <a:ext uri="{FF2B5EF4-FFF2-40B4-BE49-F238E27FC236}">
              <a16:creationId xmlns:a16="http://schemas.microsoft.com/office/drawing/2014/main" id="{00000000-0008-0000-1200-000007000000}"/>
            </a:ext>
          </a:extLst>
        </xdr:cNvPr>
        <xdr:cNvSpPr>
          <a:spLocks noChangeShapeType="1"/>
        </xdr:cNvSpPr>
      </xdr:nvSpPr>
      <xdr:spPr bwMode="auto">
        <a:xfrm flipV="1">
          <a:off x="7162799" y="13496922"/>
          <a:ext cx="1495425" cy="17145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40</xdr:row>
      <xdr:rowOff>19049</xdr:rowOff>
    </xdr:from>
    <xdr:to>
      <xdr:col>5</xdr:col>
      <xdr:colOff>0</xdr:colOff>
      <xdr:row>40</xdr:row>
      <xdr:rowOff>180974</xdr:rowOff>
    </xdr:to>
    <xdr:sp macro="" textlink="">
      <xdr:nvSpPr>
        <xdr:cNvPr id="8" name="Line 19">
          <a:extLst>
            <a:ext uri="{FF2B5EF4-FFF2-40B4-BE49-F238E27FC236}">
              <a16:creationId xmlns:a16="http://schemas.microsoft.com/office/drawing/2014/main" id="{00000000-0008-0000-1200-000008000000}"/>
            </a:ext>
          </a:extLst>
        </xdr:cNvPr>
        <xdr:cNvSpPr>
          <a:spLocks noChangeShapeType="1"/>
        </xdr:cNvSpPr>
      </xdr:nvSpPr>
      <xdr:spPr bwMode="auto">
        <a:xfrm flipV="1">
          <a:off x="2000250" y="6962774"/>
          <a:ext cx="91440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40</xdr:row>
      <xdr:rowOff>19050</xdr:rowOff>
    </xdr:from>
    <xdr:to>
      <xdr:col>9</xdr:col>
      <xdr:colOff>1</xdr:colOff>
      <xdr:row>40</xdr:row>
      <xdr:rowOff>171450</xdr:rowOff>
    </xdr:to>
    <xdr:sp macro="" textlink="">
      <xdr:nvSpPr>
        <xdr:cNvPr id="9" name="Line 19">
          <a:extLst>
            <a:ext uri="{FF2B5EF4-FFF2-40B4-BE49-F238E27FC236}">
              <a16:creationId xmlns:a16="http://schemas.microsoft.com/office/drawing/2014/main" id="{00000000-0008-0000-1200-000009000000}"/>
            </a:ext>
          </a:extLst>
        </xdr:cNvPr>
        <xdr:cNvSpPr>
          <a:spLocks noChangeShapeType="1"/>
        </xdr:cNvSpPr>
      </xdr:nvSpPr>
      <xdr:spPr bwMode="auto">
        <a:xfrm flipV="1">
          <a:off x="3838575" y="6962775"/>
          <a:ext cx="904876"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9524</xdr:colOff>
      <xdr:row>40</xdr:row>
      <xdr:rowOff>28573</xdr:rowOff>
    </xdr:from>
    <xdr:to>
      <xdr:col>12</xdr:col>
      <xdr:colOff>457199</xdr:colOff>
      <xdr:row>40</xdr:row>
      <xdr:rowOff>180974</xdr:rowOff>
    </xdr:to>
    <xdr:sp macro="" textlink="">
      <xdr:nvSpPr>
        <xdr:cNvPr id="10" name="Line 19">
          <a:extLst>
            <a:ext uri="{FF2B5EF4-FFF2-40B4-BE49-F238E27FC236}">
              <a16:creationId xmlns:a16="http://schemas.microsoft.com/office/drawing/2014/main" id="{00000000-0008-0000-1200-00000A000000}"/>
            </a:ext>
          </a:extLst>
        </xdr:cNvPr>
        <xdr:cNvSpPr>
          <a:spLocks noChangeShapeType="1"/>
        </xdr:cNvSpPr>
      </xdr:nvSpPr>
      <xdr:spPr bwMode="auto">
        <a:xfrm flipV="1">
          <a:off x="5667374" y="6972298"/>
          <a:ext cx="904875" cy="15240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19</xdr:col>
          <xdr:colOff>104775</xdr:colOff>
          <xdr:row>1</xdr:row>
          <xdr:rowOff>19050</xdr:rowOff>
        </xdr:from>
        <xdr:to>
          <xdr:col>22</xdr:col>
          <xdr:colOff>352425</xdr:colOff>
          <xdr:row>2</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8</xdr:row>
      <xdr:rowOff>19050</xdr:rowOff>
    </xdr:from>
    <xdr:to>
      <xdr:col>1</xdr:col>
      <xdr:colOff>0</xdr:colOff>
      <xdr:row>10</xdr:row>
      <xdr:rowOff>0</xdr:rowOff>
    </xdr:to>
    <xdr:sp macro="" textlink="">
      <xdr:nvSpPr>
        <xdr:cNvPr id="2" name="Line 1">
          <a:extLst>
            <a:ext uri="{FF2B5EF4-FFF2-40B4-BE49-F238E27FC236}">
              <a16:creationId xmlns:a16="http://schemas.microsoft.com/office/drawing/2014/main" id="{FD4BD62D-0D7C-4578-BE0B-1F838E704981}"/>
            </a:ext>
          </a:extLst>
        </xdr:cNvPr>
        <xdr:cNvSpPr>
          <a:spLocks noChangeShapeType="1"/>
        </xdr:cNvSpPr>
      </xdr:nvSpPr>
      <xdr:spPr bwMode="auto">
        <a:xfrm>
          <a:off x="0" y="1304925"/>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25</xdr:row>
      <xdr:rowOff>19050</xdr:rowOff>
    </xdr:from>
    <xdr:to>
      <xdr:col>1</xdr:col>
      <xdr:colOff>0</xdr:colOff>
      <xdr:row>27</xdr:row>
      <xdr:rowOff>0</xdr:rowOff>
    </xdr:to>
    <xdr:sp macro="" textlink="">
      <xdr:nvSpPr>
        <xdr:cNvPr id="3" name="Line 1">
          <a:extLst>
            <a:ext uri="{FF2B5EF4-FFF2-40B4-BE49-F238E27FC236}">
              <a16:creationId xmlns:a16="http://schemas.microsoft.com/office/drawing/2014/main" id="{1318ED29-BBED-481D-A240-84152FA67EE3}"/>
            </a:ext>
          </a:extLst>
        </xdr:cNvPr>
        <xdr:cNvSpPr>
          <a:spLocks noChangeShapeType="1"/>
        </xdr:cNvSpPr>
      </xdr:nvSpPr>
      <xdr:spPr bwMode="auto">
        <a:xfrm>
          <a:off x="0" y="424815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18</xdr:row>
      <xdr:rowOff>190499</xdr:rowOff>
    </xdr:from>
    <xdr:to>
      <xdr:col>8</xdr:col>
      <xdr:colOff>447675</xdr:colOff>
      <xdr:row>19</xdr:row>
      <xdr:rowOff>180974</xdr:rowOff>
    </xdr:to>
    <xdr:sp macro="" textlink="">
      <xdr:nvSpPr>
        <xdr:cNvPr id="4" name="Line 9">
          <a:extLst>
            <a:ext uri="{FF2B5EF4-FFF2-40B4-BE49-F238E27FC236}">
              <a16:creationId xmlns:a16="http://schemas.microsoft.com/office/drawing/2014/main" id="{A7D1A8F1-F27C-48FE-B583-6B2619D698A2}"/>
            </a:ext>
          </a:extLst>
        </xdr:cNvPr>
        <xdr:cNvSpPr>
          <a:spLocks noChangeShapeType="1"/>
        </xdr:cNvSpPr>
      </xdr:nvSpPr>
      <xdr:spPr bwMode="auto">
        <a:xfrm flipV="1">
          <a:off x="3838575" y="3105149"/>
          <a:ext cx="89535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66674</xdr:colOff>
      <xdr:row>69</xdr:row>
      <xdr:rowOff>9522</xdr:rowOff>
    </xdr:from>
    <xdr:to>
      <xdr:col>16</xdr:col>
      <xdr:colOff>533399</xdr:colOff>
      <xdr:row>69</xdr:row>
      <xdr:rowOff>180974</xdr:rowOff>
    </xdr:to>
    <xdr:sp macro="" textlink="">
      <xdr:nvSpPr>
        <xdr:cNvPr id="5" name="Line 9">
          <a:extLst>
            <a:ext uri="{FF2B5EF4-FFF2-40B4-BE49-F238E27FC236}">
              <a16:creationId xmlns:a16="http://schemas.microsoft.com/office/drawing/2014/main" id="{1B5F3465-B4E6-47F2-8F26-7A5614743027}"/>
            </a:ext>
          </a:extLst>
        </xdr:cNvPr>
        <xdr:cNvSpPr>
          <a:spLocks noChangeShapeType="1"/>
        </xdr:cNvSpPr>
      </xdr:nvSpPr>
      <xdr:spPr bwMode="auto">
        <a:xfrm flipV="1">
          <a:off x="7162799" y="13468347"/>
          <a:ext cx="1495425" cy="17145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40</xdr:row>
      <xdr:rowOff>19049</xdr:rowOff>
    </xdr:from>
    <xdr:to>
      <xdr:col>5</xdr:col>
      <xdr:colOff>0</xdr:colOff>
      <xdr:row>40</xdr:row>
      <xdr:rowOff>180974</xdr:rowOff>
    </xdr:to>
    <xdr:sp macro="" textlink="">
      <xdr:nvSpPr>
        <xdr:cNvPr id="6" name="Line 19">
          <a:extLst>
            <a:ext uri="{FF2B5EF4-FFF2-40B4-BE49-F238E27FC236}">
              <a16:creationId xmlns:a16="http://schemas.microsoft.com/office/drawing/2014/main" id="{4CE9748C-D629-4046-B238-4E31A2B39AB1}"/>
            </a:ext>
          </a:extLst>
        </xdr:cNvPr>
        <xdr:cNvSpPr>
          <a:spLocks noChangeShapeType="1"/>
        </xdr:cNvSpPr>
      </xdr:nvSpPr>
      <xdr:spPr bwMode="auto">
        <a:xfrm flipV="1">
          <a:off x="2000250" y="7010399"/>
          <a:ext cx="91440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40</xdr:row>
      <xdr:rowOff>19050</xdr:rowOff>
    </xdr:from>
    <xdr:to>
      <xdr:col>9</xdr:col>
      <xdr:colOff>1</xdr:colOff>
      <xdr:row>40</xdr:row>
      <xdr:rowOff>171450</xdr:rowOff>
    </xdr:to>
    <xdr:sp macro="" textlink="">
      <xdr:nvSpPr>
        <xdr:cNvPr id="7" name="Line 19">
          <a:extLst>
            <a:ext uri="{FF2B5EF4-FFF2-40B4-BE49-F238E27FC236}">
              <a16:creationId xmlns:a16="http://schemas.microsoft.com/office/drawing/2014/main" id="{CCDFD88A-2436-4591-8822-039B6C792A36}"/>
            </a:ext>
          </a:extLst>
        </xdr:cNvPr>
        <xdr:cNvSpPr>
          <a:spLocks noChangeShapeType="1"/>
        </xdr:cNvSpPr>
      </xdr:nvSpPr>
      <xdr:spPr bwMode="auto">
        <a:xfrm flipV="1">
          <a:off x="3838575" y="7010400"/>
          <a:ext cx="904876"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9524</xdr:colOff>
      <xdr:row>40</xdr:row>
      <xdr:rowOff>28573</xdr:rowOff>
    </xdr:from>
    <xdr:to>
      <xdr:col>12</xdr:col>
      <xdr:colOff>457199</xdr:colOff>
      <xdr:row>40</xdr:row>
      <xdr:rowOff>180974</xdr:rowOff>
    </xdr:to>
    <xdr:sp macro="" textlink="">
      <xdr:nvSpPr>
        <xdr:cNvPr id="8" name="Line 19">
          <a:extLst>
            <a:ext uri="{FF2B5EF4-FFF2-40B4-BE49-F238E27FC236}">
              <a16:creationId xmlns:a16="http://schemas.microsoft.com/office/drawing/2014/main" id="{7A3B4436-69D2-4A7C-AFFD-2D8833BDCC3D}"/>
            </a:ext>
          </a:extLst>
        </xdr:cNvPr>
        <xdr:cNvSpPr>
          <a:spLocks noChangeShapeType="1"/>
        </xdr:cNvSpPr>
      </xdr:nvSpPr>
      <xdr:spPr bwMode="auto">
        <a:xfrm flipV="1">
          <a:off x="5667374" y="7019923"/>
          <a:ext cx="904875" cy="15240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19</xdr:col>
          <xdr:colOff>104775</xdr:colOff>
          <xdr:row>1</xdr:row>
          <xdr:rowOff>19050</xdr:rowOff>
        </xdr:from>
        <xdr:to>
          <xdr:col>22</xdr:col>
          <xdr:colOff>352425</xdr:colOff>
          <xdr:row>2</xdr:row>
          <xdr:rowOff>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8</xdr:row>
      <xdr:rowOff>19050</xdr:rowOff>
    </xdr:from>
    <xdr:to>
      <xdr:col>1</xdr:col>
      <xdr:colOff>0</xdr:colOff>
      <xdr:row>10</xdr:row>
      <xdr:rowOff>0</xdr:rowOff>
    </xdr:to>
    <xdr:sp macro="" textlink="">
      <xdr:nvSpPr>
        <xdr:cNvPr id="2" name="Line 1">
          <a:extLst>
            <a:ext uri="{FF2B5EF4-FFF2-40B4-BE49-F238E27FC236}">
              <a16:creationId xmlns:a16="http://schemas.microsoft.com/office/drawing/2014/main" id="{9ED85CD4-B363-47AB-A619-9A647C8D1870}"/>
            </a:ext>
          </a:extLst>
        </xdr:cNvPr>
        <xdr:cNvSpPr>
          <a:spLocks noChangeShapeType="1"/>
        </xdr:cNvSpPr>
      </xdr:nvSpPr>
      <xdr:spPr bwMode="auto">
        <a:xfrm>
          <a:off x="0" y="1304925"/>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25</xdr:row>
      <xdr:rowOff>19050</xdr:rowOff>
    </xdr:from>
    <xdr:to>
      <xdr:col>1</xdr:col>
      <xdr:colOff>0</xdr:colOff>
      <xdr:row>27</xdr:row>
      <xdr:rowOff>0</xdr:rowOff>
    </xdr:to>
    <xdr:sp macro="" textlink="">
      <xdr:nvSpPr>
        <xdr:cNvPr id="3" name="Line 1">
          <a:extLst>
            <a:ext uri="{FF2B5EF4-FFF2-40B4-BE49-F238E27FC236}">
              <a16:creationId xmlns:a16="http://schemas.microsoft.com/office/drawing/2014/main" id="{50CCC583-D7EC-42EA-8C7D-4B47D54F2BA5}"/>
            </a:ext>
          </a:extLst>
        </xdr:cNvPr>
        <xdr:cNvSpPr>
          <a:spLocks noChangeShapeType="1"/>
        </xdr:cNvSpPr>
      </xdr:nvSpPr>
      <xdr:spPr bwMode="auto">
        <a:xfrm>
          <a:off x="0" y="424815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18</xdr:row>
      <xdr:rowOff>190499</xdr:rowOff>
    </xdr:from>
    <xdr:to>
      <xdr:col>8</xdr:col>
      <xdr:colOff>447675</xdr:colOff>
      <xdr:row>19</xdr:row>
      <xdr:rowOff>180974</xdr:rowOff>
    </xdr:to>
    <xdr:sp macro="" textlink="">
      <xdr:nvSpPr>
        <xdr:cNvPr id="4" name="Line 9">
          <a:extLst>
            <a:ext uri="{FF2B5EF4-FFF2-40B4-BE49-F238E27FC236}">
              <a16:creationId xmlns:a16="http://schemas.microsoft.com/office/drawing/2014/main" id="{EEFCA6E6-33D1-423C-B7AC-43466B46EB74}"/>
            </a:ext>
          </a:extLst>
        </xdr:cNvPr>
        <xdr:cNvSpPr>
          <a:spLocks noChangeShapeType="1"/>
        </xdr:cNvSpPr>
      </xdr:nvSpPr>
      <xdr:spPr bwMode="auto">
        <a:xfrm flipV="1">
          <a:off x="3838575" y="3105149"/>
          <a:ext cx="89535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66674</xdr:colOff>
      <xdr:row>69</xdr:row>
      <xdr:rowOff>9522</xdr:rowOff>
    </xdr:from>
    <xdr:to>
      <xdr:col>16</xdr:col>
      <xdr:colOff>533399</xdr:colOff>
      <xdr:row>69</xdr:row>
      <xdr:rowOff>180974</xdr:rowOff>
    </xdr:to>
    <xdr:sp macro="" textlink="">
      <xdr:nvSpPr>
        <xdr:cNvPr id="5" name="Line 9">
          <a:extLst>
            <a:ext uri="{FF2B5EF4-FFF2-40B4-BE49-F238E27FC236}">
              <a16:creationId xmlns:a16="http://schemas.microsoft.com/office/drawing/2014/main" id="{E37AE72D-5D68-473D-AA2F-8B4BBAD5DB9A}"/>
            </a:ext>
          </a:extLst>
        </xdr:cNvPr>
        <xdr:cNvSpPr>
          <a:spLocks noChangeShapeType="1"/>
        </xdr:cNvSpPr>
      </xdr:nvSpPr>
      <xdr:spPr bwMode="auto">
        <a:xfrm flipV="1">
          <a:off x="7162799" y="13468347"/>
          <a:ext cx="1495425" cy="17145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40</xdr:row>
      <xdr:rowOff>19049</xdr:rowOff>
    </xdr:from>
    <xdr:to>
      <xdr:col>5</xdr:col>
      <xdr:colOff>0</xdr:colOff>
      <xdr:row>40</xdr:row>
      <xdr:rowOff>180974</xdr:rowOff>
    </xdr:to>
    <xdr:sp macro="" textlink="">
      <xdr:nvSpPr>
        <xdr:cNvPr id="6" name="Line 19">
          <a:extLst>
            <a:ext uri="{FF2B5EF4-FFF2-40B4-BE49-F238E27FC236}">
              <a16:creationId xmlns:a16="http://schemas.microsoft.com/office/drawing/2014/main" id="{CD0D6A10-177D-4C4B-823F-33BF7837C211}"/>
            </a:ext>
          </a:extLst>
        </xdr:cNvPr>
        <xdr:cNvSpPr>
          <a:spLocks noChangeShapeType="1"/>
        </xdr:cNvSpPr>
      </xdr:nvSpPr>
      <xdr:spPr bwMode="auto">
        <a:xfrm flipV="1">
          <a:off x="2000250" y="7010399"/>
          <a:ext cx="91440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40</xdr:row>
      <xdr:rowOff>19050</xdr:rowOff>
    </xdr:from>
    <xdr:to>
      <xdr:col>9</xdr:col>
      <xdr:colOff>1</xdr:colOff>
      <xdr:row>40</xdr:row>
      <xdr:rowOff>171450</xdr:rowOff>
    </xdr:to>
    <xdr:sp macro="" textlink="">
      <xdr:nvSpPr>
        <xdr:cNvPr id="7" name="Line 19">
          <a:extLst>
            <a:ext uri="{FF2B5EF4-FFF2-40B4-BE49-F238E27FC236}">
              <a16:creationId xmlns:a16="http://schemas.microsoft.com/office/drawing/2014/main" id="{F188634E-6E49-4934-9648-F009ECCF4EF9}"/>
            </a:ext>
          </a:extLst>
        </xdr:cNvPr>
        <xdr:cNvSpPr>
          <a:spLocks noChangeShapeType="1"/>
        </xdr:cNvSpPr>
      </xdr:nvSpPr>
      <xdr:spPr bwMode="auto">
        <a:xfrm flipV="1">
          <a:off x="3838575" y="7010400"/>
          <a:ext cx="904876"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9524</xdr:colOff>
      <xdr:row>40</xdr:row>
      <xdr:rowOff>28573</xdr:rowOff>
    </xdr:from>
    <xdr:to>
      <xdr:col>12</xdr:col>
      <xdr:colOff>457199</xdr:colOff>
      <xdr:row>40</xdr:row>
      <xdr:rowOff>180974</xdr:rowOff>
    </xdr:to>
    <xdr:sp macro="" textlink="">
      <xdr:nvSpPr>
        <xdr:cNvPr id="8" name="Line 19">
          <a:extLst>
            <a:ext uri="{FF2B5EF4-FFF2-40B4-BE49-F238E27FC236}">
              <a16:creationId xmlns:a16="http://schemas.microsoft.com/office/drawing/2014/main" id="{9A5327F1-AFC9-41ED-9771-225DFA75451A}"/>
            </a:ext>
          </a:extLst>
        </xdr:cNvPr>
        <xdr:cNvSpPr>
          <a:spLocks noChangeShapeType="1"/>
        </xdr:cNvSpPr>
      </xdr:nvSpPr>
      <xdr:spPr bwMode="auto">
        <a:xfrm flipV="1">
          <a:off x="5667374" y="7019923"/>
          <a:ext cx="904875" cy="15240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19</xdr:col>
          <xdr:colOff>104775</xdr:colOff>
          <xdr:row>1</xdr:row>
          <xdr:rowOff>19050</xdr:rowOff>
        </xdr:from>
        <xdr:to>
          <xdr:col>22</xdr:col>
          <xdr:colOff>352425</xdr:colOff>
          <xdr:row>2</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8</xdr:row>
      <xdr:rowOff>19050</xdr:rowOff>
    </xdr:from>
    <xdr:to>
      <xdr:col>1</xdr:col>
      <xdr:colOff>0</xdr:colOff>
      <xdr:row>10</xdr:row>
      <xdr:rowOff>0</xdr:rowOff>
    </xdr:to>
    <xdr:sp macro="" textlink="">
      <xdr:nvSpPr>
        <xdr:cNvPr id="2" name="Line 1">
          <a:extLst>
            <a:ext uri="{FF2B5EF4-FFF2-40B4-BE49-F238E27FC236}">
              <a16:creationId xmlns:a16="http://schemas.microsoft.com/office/drawing/2014/main" id="{A34069FA-1419-42E6-A826-ECA73F83DDDF}"/>
            </a:ext>
          </a:extLst>
        </xdr:cNvPr>
        <xdr:cNvSpPr>
          <a:spLocks noChangeShapeType="1"/>
        </xdr:cNvSpPr>
      </xdr:nvSpPr>
      <xdr:spPr bwMode="auto">
        <a:xfrm>
          <a:off x="0" y="1304925"/>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25</xdr:row>
      <xdr:rowOff>19050</xdr:rowOff>
    </xdr:from>
    <xdr:to>
      <xdr:col>1</xdr:col>
      <xdr:colOff>0</xdr:colOff>
      <xdr:row>27</xdr:row>
      <xdr:rowOff>0</xdr:rowOff>
    </xdr:to>
    <xdr:sp macro="" textlink="">
      <xdr:nvSpPr>
        <xdr:cNvPr id="3" name="Line 1">
          <a:extLst>
            <a:ext uri="{FF2B5EF4-FFF2-40B4-BE49-F238E27FC236}">
              <a16:creationId xmlns:a16="http://schemas.microsoft.com/office/drawing/2014/main" id="{88A9F9F6-1FDE-4A4A-8242-D962F1FDF665}"/>
            </a:ext>
          </a:extLst>
        </xdr:cNvPr>
        <xdr:cNvSpPr>
          <a:spLocks noChangeShapeType="1"/>
        </xdr:cNvSpPr>
      </xdr:nvSpPr>
      <xdr:spPr bwMode="auto">
        <a:xfrm>
          <a:off x="0" y="424815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18</xdr:row>
      <xdr:rowOff>190499</xdr:rowOff>
    </xdr:from>
    <xdr:to>
      <xdr:col>8</xdr:col>
      <xdr:colOff>447675</xdr:colOff>
      <xdr:row>19</xdr:row>
      <xdr:rowOff>180974</xdr:rowOff>
    </xdr:to>
    <xdr:sp macro="" textlink="">
      <xdr:nvSpPr>
        <xdr:cNvPr id="4" name="Line 9">
          <a:extLst>
            <a:ext uri="{FF2B5EF4-FFF2-40B4-BE49-F238E27FC236}">
              <a16:creationId xmlns:a16="http://schemas.microsoft.com/office/drawing/2014/main" id="{226C4936-4DEF-4FBF-B0C5-663810BB0AB0}"/>
            </a:ext>
          </a:extLst>
        </xdr:cNvPr>
        <xdr:cNvSpPr>
          <a:spLocks noChangeShapeType="1"/>
        </xdr:cNvSpPr>
      </xdr:nvSpPr>
      <xdr:spPr bwMode="auto">
        <a:xfrm flipV="1">
          <a:off x="3838575" y="3105149"/>
          <a:ext cx="89535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66674</xdr:colOff>
      <xdr:row>69</xdr:row>
      <xdr:rowOff>9522</xdr:rowOff>
    </xdr:from>
    <xdr:to>
      <xdr:col>16</xdr:col>
      <xdr:colOff>533399</xdr:colOff>
      <xdr:row>69</xdr:row>
      <xdr:rowOff>180974</xdr:rowOff>
    </xdr:to>
    <xdr:sp macro="" textlink="">
      <xdr:nvSpPr>
        <xdr:cNvPr id="5" name="Line 9">
          <a:extLst>
            <a:ext uri="{FF2B5EF4-FFF2-40B4-BE49-F238E27FC236}">
              <a16:creationId xmlns:a16="http://schemas.microsoft.com/office/drawing/2014/main" id="{B6328815-0E7E-4087-A1BD-4EDC737CB167}"/>
            </a:ext>
          </a:extLst>
        </xdr:cNvPr>
        <xdr:cNvSpPr>
          <a:spLocks noChangeShapeType="1"/>
        </xdr:cNvSpPr>
      </xdr:nvSpPr>
      <xdr:spPr bwMode="auto">
        <a:xfrm flipV="1">
          <a:off x="7162799" y="13468347"/>
          <a:ext cx="1495425" cy="17145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40</xdr:row>
      <xdr:rowOff>19049</xdr:rowOff>
    </xdr:from>
    <xdr:to>
      <xdr:col>5</xdr:col>
      <xdr:colOff>0</xdr:colOff>
      <xdr:row>40</xdr:row>
      <xdr:rowOff>180974</xdr:rowOff>
    </xdr:to>
    <xdr:sp macro="" textlink="">
      <xdr:nvSpPr>
        <xdr:cNvPr id="6" name="Line 19">
          <a:extLst>
            <a:ext uri="{FF2B5EF4-FFF2-40B4-BE49-F238E27FC236}">
              <a16:creationId xmlns:a16="http://schemas.microsoft.com/office/drawing/2014/main" id="{EA518229-4BBD-4A5F-9534-5D2CD8E35E06}"/>
            </a:ext>
          </a:extLst>
        </xdr:cNvPr>
        <xdr:cNvSpPr>
          <a:spLocks noChangeShapeType="1"/>
        </xdr:cNvSpPr>
      </xdr:nvSpPr>
      <xdr:spPr bwMode="auto">
        <a:xfrm flipV="1">
          <a:off x="2000250" y="7010399"/>
          <a:ext cx="91440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40</xdr:row>
      <xdr:rowOff>19050</xdr:rowOff>
    </xdr:from>
    <xdr:to>
      <xdr:col>9</xdr:col>
      <xdr:colOff>1</xdr:colOff>
      <xdr:row>40</xdr:row>
      <xdr:rowOff>171450</xdr:rowOff>
    </xdr:to>
    <xdr:sp macro="" textlink="">
      <xdr:nvSpPr>
        <xdr:cNvPr id="7" name="Line 19">
          <a:extLst>
            <a:ext uri="{FF2B5EF4-FFF2-40B4-BE49-F238E27FC236}">
              <a16:creationId xmlns:a16="http://schemas.microsoft.com/office/drawing/2014/main" id="{F1950126-53E4-4DBA-8932-E1B690FEAB20}"/>
            </a:ext>
          </a:extLst>
        </xdr:cNvPr>
        <xdr:cNvSpPr>
          <a:spLocks noChangeShapeType="1"/>
        </xdr:cNvSpPr>
      </xdr:nvSpPr>
      <xdr:spPr bwMode="auto">
        <a:xfrm flipV="1">
          <a:off x="3838575" y="7010400"/>
          <a:ext cx="904876"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9524</xdr:colOff>
      <xdr:row>40</xdr:row>
      <xdr:rowOff>28573</xdr:rowOff>
    </xdr:from>
    <xdr:to>
      <xdr:col>12</xdr:col>
      <xdr:colOff>457199</xdr:colOff>
      <xdr:row>40</xdr:row>
      <xdr:rowOff>180974</xdr:rowOff>
    </xdr:to>
    <xdr:sp macro="" textlink="">
      <xdr:nvSpPr>
        <xdr:cNvPr id="8" name="Line 19">
          <a:extLst>
            <a:ext uri="{FF2B5EF4-FFF2-40B4-BE49-F238E27FC236}">
              <a16:creationId xmlns:a16="http://schemas.microsoft.com/office/drawing/2014/main" id="{1BE49BAB-1DC4-4B07-9DDA-095C418FA5D9}"/>
            </a:ext>
          </a:extLst>
        </xdr:cNvPr>
        <xdr:cNvSpPr>
          <a:spLocks noChangeShapeType="1"/>
        </xdr:cNvSpPr>
      </xdr:nvSpPr>
      <xdr:spPr bwMode="auto">
        <a:xfrm flipV="1">
          <a:off x="5667374" y="7019923"/>
          <a:ext cx="904875" cy="15240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19</xdr:col>
          <xdr:colOff>104775</xdr:colOff>
          <xdr:row>1</xdr:row>
          <xdr:rowOff>19050</xdr:rowOff>
        </xdr:from>
        <xdr:to>
          <xdr:col>22</xdr:col>
          <xdr:colOff>352425</xdr:colOff>
          <xdr:row>2</xdr:row>
          <xdr:rowOff>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8</xdr:row>
      <xdr:rowOff>19050</xdr:rowOff>
    </xdr:from>
    <xdr:to>
      <xdr:col>1</xdr:col>
      <xdr:colOff>0</xdr:colOff>
      <xdr:row>10</xdr:row>
      <xdr:rowOff>0</xdr:rowOff>
    </xdr:to>
    <xdr:sp macro="" textlink="">
      <xdr:nvSpPr>
        <xdr:cNvPr id="2" name="Line 1">
          <a:extLst>
            <a:ext uri="{FF2B5EF4-FFF2-40B4-BE49-F238E27FC236}">
              <a16:creationId xmlns:a16="http://schemas.microsoft.com/office/drawing/2014/main" id="{CCE8E706-9B4E-49B7-94DE-17D8A2609038}"/>
            </a:ext>
          </a:extLst>
        </xdr:cNvPr>
        <xdr:cNvSpPr>
          <a:spLocks noChangeShapeType="1"/>
        </xdr:cNvSpPr>
      </xdr:nvSpPr>
      <xdr:spPr bwMode="auto">
        <a:xfrm>
          <a:off x="0" y="1304925"/>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25</xdr:row>
      <xdr:rowOff>19050</xdr:rowOff>
    </xdr:from>
    <xdr:to>
      <xdr:col>1</xdr:col>
      <xdr:colOff>0</xdr:colOff>
      <xdr:row>27</xdr:row>
      <xdr:rowOff>0</xdr:rowOff>
    </xdr:to>
    <xdr:sp macro="" textlink="">
      <xdr:nvSpPr>
        <xdr:cNvPr id="3" name="Line 1">
          <a:extLst>
            <a:ext uri="{FF2B5EF4-FFF2-40B4-BE49-F238E27FC236}">
              <a16:creationId xmlns:a16="http://schemas.microsoft.com/office/drawing/2014/main" id="{C309E045-03FD-47F6-833B-39D933F30AF8}"/>
            </a:ext>
          </a:extLst>
        </xdr:cNvPr>
        <xdr:cNvSpPr>
          <a:spLocks noChangeShapeType="1"/>
        </xdr:cNvSpPr>
      </xdr:nvSpPr>
      <xdr:spPr bwMode="auto">
        <a:xfrm>
          <a:off x="0" y="424815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18</xdr:row>
      <xdr:rowOff>190499</xdr:rowOff>
    </xdr:from>
    <xdr:to>
      <xdr:col>8</xdr:col>
      <xdr:colOff>447675</xdr:colOff>
      <xdr:row>19</xdr:row>
      <xdr:rowOff>180974</xdr:rowOff>
    </xdr:to>
    <xdr:sp macro="" textlink="">
      <xdr:nvSpPr>
        <xdr:cNvPr id="4" name="Line 9">
          <a:extLst>
            <a:ext uri="{FF2B5EF4-FFF2-40B4-BE49-F238E27FC236}">
              <a16:creationId xmlns:a16="http://schemas.microsoft.com/office/drawing/2014/main" id="{6EFDAC9D-AF64-4680-B773-21067C16A50E}"/>
            </a:ext>
          </a:extLst>
        </xdr:cNvPr>
        <xdr:cNvSpPr>
          <a:spLocks noChangeShapeType="1"/>
        </xdr:cNvSpPr>
      </xdr:nvSpPr>
      <xdr:spPr bwMode="auto">
        <a:xfrm flipV="1">
          <a:off x="3838575" y="3105149"/>
          <a:ext cx="89535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66674</xdr:colOff>
      <xdr:row>69</xdr:row>
      <xdr:rowOff>9522</xdr:rowOff>
    </xdr:from>
    <xdr:to>
      <xdr:col>16</xdr:col>
      <xdr:colOff>533399</xdr:colOff>
      <xdr:row>69</xdr:row>
      <xdr:rowOff>180974</xdr:rowOff>
    </xdr:to>
    <xdr:sp macro="" textlink="">
      <xdr:nvSpPr>
        <xdr:cNvPr id="5" name="Line 9">
          <a:extLst>
            <a:ext uri="{FF2B5EF4-FFF2-40B4-BE49-F238E27FC236}">
              <a16:creationId xmlns:a16="http://schemas.microsoft.com/office/drawing/2014/main" id="{4CABD021-F311-4364-B672-39C36A8D52C2}"/>
            </a:ext>
          </a:extLst>
        </xdr:cNvPr>
        <xdr:cNvSpPr>
          <a:spLocks noChangeShapeType="1"/>
        </xdr:cNvSpPr>
      </xdr:nvSpPr>
      <xdr:spPr bwMode="auto">
        <a:xfrm flipV="1">
          <a:off x="7162799" y="13468347"/>
          <a:ext cx="1495425" cy="17145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40</xdr:row>
      <xdr:rowOff>19049</xdr:rowOff>
    </xdr:from>
    <xdr:to>
      <xdr:col>5</xdr:col>
      <xdr:colOff>0</xdr:colOff>
      <xdr:row>40</xdr:row>
      <xdr:rowOff>180974</xdr:rowOff>
    </xdr:to>
    <xdr:sp macro="" textlink="">
      <xdr:nvSpPr>
        <xdr:cNvPr id="6" name="Line 19">
          <a:extLst>
            <a:ext uri="{FF2B5EF4-FFF2-40B4-BE49-F238E27FC236}">
              <a16:creationId xmlns:a16="http://schemas.microsoft.com/office/drawing/2014/main" id="{8528FDCF-D799-46C8-A932-66774353B467}"/>
            </a:ext>
          </a:extLst>
        </xdr:cNvPr>
        <xdr:cNvSpPr>
          <a:spLocks noChangeShapeType="1"/>
        </xdr:cNvSpPr>
      </xdr:nvSpPr>
      <xdr:spPr bwMode="auto">
        <a:xfrm flipV="1">
          <a:off x="2000250" y="7010399"/>
          <a:ext cx="91440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40</xdr:row>
      <xdr:rowOff>19050</xdr:rowOff>
    </xdr:from>
    <xdr:to>
      <xdr:col>9</xdr:col>
      <xdr:colOff>1</xdr:colOff>
      <xdr:row>40</xdr:row>
      <xdr:rowOff>171450</xdr:rowOff>
    </xdr:to>
    <xdr:sp macro="" textlink="">
      <xdr:nvSpPr>
        <xdr:cNvPr id="7" name="Line 19">
          <a:extLst>
            <a:ext uri="{FF2B5EF4-FFF2-40B4-BE49-F238E27FC236}">
              <a16:creationId xmlns:a16="http://schemas.microsoft.com/office/drawing/2014/main" id="{A9A59598-CEBA-47D2-AC6A-23A70315B03B}"/>
            </a:ext>
          </a:extLst>
        </xdr:cNvPr>
        <xdr:cNvSpPr>
          <a:spLocks noChangeShapeType="1"/>
        </xdr:cNvSpPr>
      </xdr:nvSpPr>
      <xdr:spPr bwMode="auto">
        <a:xfrm flipV="1">
          <a:off x="3838575" y="7010400"/>
          <a:ext cx="904876"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9524</xdr:colOff>
      <xdr:row>40</xdr:row>
      <xdr:rowOff>28573</xdr:rowOff>
    </xdr:from>
    <xdr:to>
      <xdr:col>12</xdr:col>
      <xdr:colOff>457199</xdr:colOff>
      <xdr:row>40</xdr:row>
      <xdr:rowOff>180974</xdr:rowOff>
    </xdr:to>
    <xdr:sp macro="" textlink="">
      <xdr:nvSpPr>
        <xdr:cNvPr id="8" name="Line 19">
          <a:extLst>
            <a:ext uri="{FF2B5EF4-FFF2-40B4-BE49-F238E27FC236}">
              <a16:creationId xmlns:a16="http://schemas.microsoft.com/office/drawing/2014/main" id="{A040D413-56D4-4528-9D42-FD8470344C39}"/>
            </a:ext>
          </a:extLst>
        </xdr:cNvPr>
        <xdr:cNvSpPr>
          <a:spLocks noChangeShapeType="1"/>
        </xdr:cNvSpPr>
      </xdr:nvSpPr>
      <xdr:spPr bwMode="auto">
        <a:xfrm flipV="1">
          <a:off x="5667374" y="7019923"/>
          <a:ext cx="904875" cy="15240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19</xdr:col>
          <xdr:colOff>104775</xdr:colOff>
          <xdr:row>1</xdr:row>
          <xdr:rowOff>19050</xdr:rowOff>
        </xdr:from>
        <xdr:to>
          <xdr:col>22</xdr:col>
          <xdr:colOff>352425</xdr:colOff>
          <xdr:row>2</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10" name="Line 1">
          <a:extLst>
            <a:ext uri="{FF2B5EF4-FFF2-40B4-BE49-F238E27FC236}">
              <a16:creationId xmlns:a16="http://schemas.microsoft.com/office/drawing/2014/main" id="{00000000-0008-0000-1300-00000A000000}"/>
            </a:ext>
          </a:extLst>
        </xdr:cNvPr>
        <xdr:cNvSpPr>
          <a:spLocks noChangeShapeType="1"/>
        </xdr:cNvSpPr>
      </xdr:nvSpPr>
      <xdr:spPr bwMode="auto">
        <a:xfrm>
          <a:off x="0" y="5197792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28575</xdr:rowOff>
        </xdr:from>
        <xdr:to>
          <xdr:col>15</xdr:col>
          <xdr:colOff>0</xdr:colOff>
          <xdr:row>1</xdr:row>
          <xdr:rowOff>238125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2" name="Line 1">
          <a:extLst>
            <a:ext uri="{FF2B5EF4-FFF2-40B4-BE49-F238E27FC236}">
              <a16:creationId xmlns:a16="http://schemas.microsoft.com/office/drawing/2014/main" id="{0034B69C-9228-473F-AA45-1DA1EF49C623}"/>
            </a:ext>
          </a:extLst>
        </xdr:cNvPr>
        <xdr:cNvSpPr>
          <a:spLocks noChangeShapeType="1"/>
        </xdr:cNvSpPr>
      </xdr:nvSpPr>
      <xdr:spPr bwMode="auto">
        <a:xfrm>
          <a:off x="0" y="13335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28575</xdr:rowOff>
        </xdr:from>
        <xdr:to>
          <xdr:col>15</xdr:col>
          <xdr:colOff>0</xdr:colOff>
          <xdr:row>1</xdr:row>
          <xdr:rowOff>238125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8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2" name="Line 1">
          <a:extLst>
            <a:ext uri="{FF2B5EF4-FFF2-40B4-BE49-F238E27FC236}">
              <a16:creationId xmlns:a16="http://schemas.microsoft.com/office/drawing/2014/main" id="{B4F888E6-69D1-4FFA-AF72-9F8885BDBE1F}"/>
            </a:ext>
          </a:extLst>
        </xdr:cNvPr>
        <xdr:cNvSpPr>
          <a:spLocks noChangeShapeType="1"/>
        </xdr:cNvSpPr>
      </xdr:nvSpPr>
      <xdr:spPr bwMode="auto">
        <a:xfrm>
          <a:off x="0" y="13335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28575</xdr:rowOff>
        </xdr:from>
        <xdr:to>
          <xdr:col>15</xdr:col>
          <xdr:colOff>0</xdr:colOff>
          <xdr:row>1</xdr:row>
          <xdr:rowOff>238125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2" name="Line 1">
          <a:extLst>
            <a:ext uri="{FF2B5EF4-FFF2-40B4-BE49-F238E27FC236}">
              <a16:creationId xmlns:a16="http://schemas.microsoft.com/office/drawing/2014/main" id="{31234869-D143-4793-BAD0-167C0FCD7F3F}"/>
            </a:ext>
          </a:extLst>
        </xdr:cNvPr>
        <xdr:cNvSpPr>
          <a:spLocks noChangeShapeType="1"/>
        </xdr:cNvSpPr>
      </xdr:nvSpPr>
      <xdr:spPr bwMode="auto">
        <a:xfrm>
          <a:off x="0" y="13335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28575</xdr:rowOff>
        </xdr:from>
        <xdr:to>
          <xdr:col>15</xdr:col>
          <xdr:colOff>0</xdr:colOff>
          <xdr:row>1</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A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2" name="Line 1">
          <a:extLst>
            <a:ext uri="{FF2B5EF4-FFF2-40B4-BE49-F238E27FC236}">
              <a16:creationId xmlns:a16="http://schemas.microsoft.com/office/drawing/2014/main" id="{838EA07C-7CF2-4906-B692-5C1A12FF234C}"/>
            </a:ext>
          </a:extLst>
        </xdr:cNvPr>
        <xdr:cNvSpPr>
          <a:spLocks noChangeShapeType="1"/>
        </xdr:cNvSpPr>
      </xdr:nvSpPr>
      <xdr:spPr bwMode="auto">
        <a:xfrm>
          <a:off x="0" y="13335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28575</xdr:rowOff>
        </xdr:from>
        <xdr:to>
          <xdr:col>15</xdr:col>
          <xdr:colOff>0</xdr:colOff>
          <xdr:row>1</xdr:row>
          <xdr:rowOff>238125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2" name="Line 1">
          <a:extLst>
            <a:ext uri="{FF2B5EF4-FFF2-40B4-BE49-F238E27FC236}">
              <a16:creationId xmlns:a16="http://schemas.microsoft.com/office/drawing/2014/main" id="{D75F2046-4835-4282-AECC-C9CD35F40CD1}"/>
            </a:ext>
          </a:extLst>
        </xdr:cNvPr>
        <xdr:cNvSpPr>
          <a:spLocks noChangeShapeType="1"/>
        </xdr:cNvSpPr>
      </xdr:nvSpPr>
      <xdr:spPr bwMode="auto">
        <a:xfrm>
          <a:off x="0" y="13335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28575</xdr:rowOff>
        </xdr:from>
        <xdr:to>
          <xdr:col>15</xdr:col>
          <xdr:colOff>0</xdr:colOff>
          <xdr:row>1</xdr:row>
          <xdr:rowOff>238125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C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Novo Curso</a:t>
              </a:r>
            </a:p>
          </xdr:txBody>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4</xdr:row>
      <xdr:rowOff>19050</xdr:rowOff>
    </xdr:from>
    <xdr:to>
      <xdr:col>1</xdr:col>
      <xdr:colOff>0</xdr:colOff>
      <xdr:row>7</xdr:row>
      <xdr:rowOff>0</xdr:rowOff>
    </xdr:to>
    <xdr:sp macro="" textlink="">
      <xdr:nvSpPr>
        <xdr:cNvPr id="2" name="Line 1">
          <a:extLst>
            <a:ext uri="{FF2B5EF4-FFF2-40B4-BE49-F238E27FC236}">
              <a16:creationId xmlns:a16="http://schemas.microsoft.com/office/drawing/2014/main" id="{00000000-0008-0000-1400-000002000000}"/>
            </a:ext>
          </a:extLst>
        </xdr:cNvPr>
        <xdr:cNvSpPr>
          <a:spLocks noChangeShapeType="1"/>
        </xdr:cNvSpPr>
      </xdr:nvSpPr>
      <xdr:spPr bwMode="auto">
        <a:xfrm>
          <a:off x="0" y="118110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37</xdr:row>
      <xdr:rowOff>19050</xdr:rowOff>
    </xdr:from>
    <xdr:to>
      <xdr:col>1</xdr:col>
      <xdr:colOff>0</xdr:colOff>
      <xdr:row>40</xdr:row>
      <xdr:rowOff>0</xdr:rowOff>
    </xdr:to>
    <xdr:sp macro="" textlink="">
      <xdr:nvSpPr>
        <xdr:cNvPr id="3" name="Line 1">
          <a:extLst>
            <a:ext uri="{FF2B5EF4-FFF2-40B4-BE49-F238E27FC236}">
              <a16:creationId xmlns:a16="http://schemas.microsoft.com/office/drawing/2014/main" id="{00000000-0008-0000-1400-000003000000}"/>
            </a:ext>
          </a:extLst>
        </xdr:cNvPr>
        <xdr:cNvSpPr>
          <a:spLocks noChangeShapeType="1"/>
        </xdr:cNvSpPr>
      </xdr:nvSpPr>
      <xdr:spPr bwMode="auto">
        <a:xfrm>
          <a:off x="0" y="704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70</xdr:row>
      <xdr:rowOff>19050</xdr:rowOff>
    </xdr:from>
    <xdr:to>
      <xdr:col>1</xdr:col>
      <xdr:colOff>0</xdr:colOff>
      <xdr:row>73</xdr:row>
      <xdr:rowOff>0</xdr:rowOff>
    </xdr:to>
    <xdr:sp macro="" textlink="">
      <xdr:nvSpPr>
        <xdr:cNvPr id="4" name="Line 1">
          <a:extLst>
            <a:ext uri="{FF2B5EF4-FFF2-40B4-BE49-F238E27FC236}">
              <a16:creationId xmlns:a16="http://schemas.microsoft.com/office/drawing/2014/main" id="{00000000-0008-0000-1400-000004000000}"/>
            </a:ext>
          </a:extLst>
        </xdr:cNvPr>
        <xdr:cNvSpPr>
          <a:spLocks noChangeShapeType="1"/>
        </xdr:cNvSpPr>
      </xdr:nvSpPr>
      <xdr:spPr bwMode="auto">
        <a:xfrm>
          <a:off x="0" y="71056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103</xdr:row>
      <xdr:rowOff>19050</xdr:rowOff>
    </xdr:from>
    <xdr:to>
      <xdr:col>1</xdr:col>
      <xdr:colOff>0</xdr:colOff>
      <xdr:row>106</xdr:row>
      <xdr:rowOff>0</xdr:rowOff>
    </xdr:to>
    <xdr:sp macro="" textlink="">
      <xdr:nvSpPr>
        <xdr:cNvPr id="5" name="Line 1">
          <a:extLst>
            <a:ext uri="{FF2B5EF4-FFF2-40B4-BE49-F238E27FC236}">
              <a16:creationId xmlns:a16="http://schemas.microsoft.com/office/drawing/2014/main" id="{00000000-0008-0000-1400-000005000000}"/>
            </a:ext>
          </a:extLst>
        </xdr:cNvPr>
        <xdr:cNvSpPr>
          <a:spLocks noChangeShapeType="1"/>
        </xdr:cNvSpPr>
      </xdr:nvSpPr>
      <xdr:spPr bwMode="auto">
        <a:xfrm>
          <a:off x="0" y="1343977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136</xdr:row>
      <xdr:rowOff>19050</xdr:rowOff>
    </xdr:from>
    <xdr:to>
      <xdr:col>1</xdr:col>
      <xdr:colOff>0</xdr:colOff>
      <xdr:row>139</xdr:row>
      <xdr:rowOff>0</xdr:rowOff>
    </xdr:to>
    <xdr:sp macro="" textlink="">
      <xdr:nvSpPr>
        <xdr:cNvPr id="6" name="Line 1">
          <a:extLst>
            <a:ext uri="{FF2B5EF4-FFF2-40B4-BE49-F238E27FC236}">
              <a16:creationId xmlns:a16="http://schemas.microsoft.com/office/drawing/2014/main" id="{00000000-0008-0000-1400-000006000000}"/>
            </a:ext>
          </a:extLst>
        </xdr:cNvPr>
        <xdr:cNvSpPr>
          <a:spLocks noChangeShapeType="1"/>
        </xdr:cNvSpPr>
      </xdr:nvSpPr>
      <xdr:spPr bwMode="auto">
        <a:xfrm>
          <a:off x="0" y="1985962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172</xdr:row>
      <xdr:rowOff>19050</xdr:rowOff>
    </xdr:from>
    <xdr:to>
      <xdr:col>1</xdr:col>
      <xdr:colOff>0</xdr:colOff>
      <xdr:row>175</xdr:row>
      <xdr:rowOff>0</xdr:rowOff>
    </xdr:to>
    <xdr:sp macro="" textlink="">
      <xdr:nvSpPr>
        <xdr:cNvPr id="7" name="Line 1">
          <a:extLst>
            <a:ext uri="{FF2B5EF4-FFF2-40B4-BE49-F238E27FC236}">
              <a16:creationId xmlns:a16="http://schemas.microsoft.com/office/drawing/2014/main" id="{00000000-0008-0000-1400-000007000000}"/>
            </a:ext>
          </a:extLst>
        </xdr:cNvPr>
        <xdr:cNvSpPr>
          <a:spLocks noChangeShapeType="1"/>
        </xdr:cNvSpPr>
      </xdr:nvSpPr>
      <xdr:spPr bwMode="auto">
        <a:xfrm>
          <a:off x="0" y="704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205</xdr:row>
      <xdr:rowOff>19050</xdr:rowOff>
    </xdr:from>
    <xdr:to>
      <xdr:col>1</xdr:col>
      <xdr:colOff>0</xdr:colOff>
      <xdr:row>208</xdr:row>
      <xdr:rowOff>0</xdr:rowOff>
    </xdr:to>
    <xdr:sp macro="" textlink="">
      <xdr:nvSpPr>
        <xdr:cNvPr id="8" name="Line 1">
          <a:extLst>
            <a:ext uri="{FF2B5EF4-FFF2-40B4-BE49-F238E27FC236}">
              <a16:creationId xmlns:a16="http://schemas.microsoft.com/office/drawing/2014/main" id="{00000000-0008-0000-1400-000008000000}"/>
            </a:ext>
          </a:extLst>
        </xdr:cNvPr>
        <xdr:cNvSpPr>
          <a:spLocks noChangeShapeType="1"/>
        </xdr:cNvSpPr>
      </xdr:nvSpPr>
      <xdr:spPr bwMode="auto">
        <a:xfrm>
          <a:off x="0" y="323088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237</xdr:row>
      <xdr:rowOff>19050</xdr:rowOff>
    </xdr:from>
    <xdr:to>
      <xdr:col>1</xdr:col>
      <xdr:colOff>0</xdr:colOff>
      <xdr:row>240</xdr:row>
      <xdr:rowOff>0</xdr:rowOff>
    </xdr:to>
    <xdr:sp macro="" textlink="">
      <xdr:nvSpPr>
        <xdr:cNvPr id="9" name="Line 1">
          <a:extLst>
            <a:ext uri="{FF2B5EF4-FFF2-40B4-BE49-F238E27FC236}">
              <a16:creationId xmlns:a16="http://schemas.microsoft.com/office/drawing/2014/main" id="{00000000-0008-0000-1400-000009000000}"/>
            </a:ext>
          </a:extLst>
        </xdr:cNvPr>
        <xdr:cNvSpPr>
          <a:spLocks noChangeShapeType="1"/>
        </xdr:cNvSpPr>
      </xdr:nvSpPr>
      <xdr:spPr bwMode="auto">
        <a:xfrm>
          <a:off x="0" y="39185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269</xdr:row>
      <xdr:rowOff>19050</xdr:rowOff>
    </xdr:from>
    <xdr:to>
      <xdr:col>1</xdr:col>
      <xdr:colOff>0</xdr:colOff>
      <xdr:row>272</xdr:row>
      <xdr:rowOff>0</xdr:rowOff>
    </xdr:to>
    <xdr:sp macro="" textlink="">
      <xdr:nvSpPr>
        <xdr:cNvPr id="10" name="Line 1">
          <a:extLst>
            <a:ext uri="{FF2B5EF4-FFF2-40B4-BE49-F238E27FC236}">
              <a16:creationId xmlns:a16="http://schemas.microsoft.com/office/drawing/2014/main" id="{00000000-0008-0000-1400-00000A000000}"/>
            </a:ext>
          </a:extLst>
        </xdr:cNvPr>
        <xdr:cNvSpPr>
          <a:spLocks noChangeShapeType="1"/>
        </xdr:cNvSpPr>
      </xdr:nvSpPr>
      <xdr:spPr bwMode="auto">
        <a:xfrm>
          <a:off x="0" y="454914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bdV3\Manuals%20Offline%20-%20Vers&#227;o%203.%2010%20MUN.xlsm" TargetMode="External"/><Relationship Id="rId1" Type="http://schemas.openxmlformats.org/officeDocument/2006/relationships/externalLinkPath" Target="file:///F:\bdV3\Manuals%20Offline%20-%20Vers&#227;o%203.%2010%20MU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istas"/>
      <sheetName val="form.interface"/>
      <sheetName val="Form-Miconj"/>
      <sheetName val="Form-Nacut"/>
      <sheetName val="Form-Massb"/>
      <sheetName val="Form-Tan-Z"/>
      <sheetName val="Form-Ngo"/>
      <sheetName val="Form-Liomb"/>
      <sheetName val="Form-Cab"/>
      <sheetName val="Form-Cacg"/>
      <sheetName val="Form-Bel"/>
      <sheetName val="Form-BucZ"/>
      <sheetName val="Cab-E.Pri"/>
      <sheetName val="Ng-E.Pri"/>
      <sheetName val="Lian-E.Pri"/>
      <sheetName val="Tz-E.Pri"/>
      <sheetName val="Ng-E.Pri (2)"/>
      <sheetName val="Cab-Comp"/>
      <sheetName val="Cab-Comp (2)"/>
      <sheetName val="Cab-I C. Rg"/>
      <sheetName val="Cab-Magi"/>
      <sheetName val="Cab-II T.P"/>
      <sheetName val="Cab-II Ger"/>
      <sheetName val="Cag-I C. T.P"/>
      <sheetName val="Infor. Adici"/>
      <sheetName val="Resumo "/>
      <sheetName val="Apro. Por Niveis"/>
      <sheetName val="Aprov. Primar"/>
      <sheetName val="Aprov. I Ciclo"/>
      <sheetName val="Aprov.II Ciclo."/>
      <sheetName val="Mat-Idad.En.Prim"/>
      <sheetName val="Mat-Idad. I C "/>
      <sheetName val="Mat-Idad. II C"/>
      <sheetName val="Rep-En.Prim "/>
      <sheetName val="Rep-Idad. I C "/>
      <sheetName val="Rep-Idad. II C"/>
      <sheetName val=" E.Esp. Mat"/>
      <sheetName val="E.Esp. Aprov"/>
      <sheetName val="Doscente"/>
      <sheetName val="Adm-Aux"/>
      <sheetName val="Cart e assent "/>
      <sheetName val="Turmas"/>
      <sheetName val="Salas de Aula"/>
      <sheetName val="nganga"/>
      <sheetName val="Form. Nº Escolas"/>
      <sheetName val="Lista de Escolas"/>
      <sheetName val="Nº de Escolas-ndpa"/>
      <sheetName val="Nº de Escolas"/>
      <sheetName val="list. Esc. Privad"/>
      <sheetName val="List. Esc.Púb"/>
      <sheetName val="Relatorio Gov"/>
      <sheetName val="Re. Inici VS Final"/>
      <sheetName val="Instr. e Anuario"/>
      <sheetName val="Pojec &amp; Fora de Ens."/>
      <sheetName val="Configuraçoes"/>
      <sheetName val="Calculo de Taxas"/>
      <sheetName val="TP I Ciclo"/>
      <sheetName val="Escola (2)"/>
      <sheetName val="Iniciação"/>
      <sheetName val="AFEP-Iniciação"/>
      <sheetName val="Primário Regular"/>
      <sheetName val="AFEP-Prim Reg"/>
      <sheetName val="I Ciclo Reg"/>
      <sheetName val="AFES1-I Ciclo Reg"/>
      <sheetName val="Ens.Especial"/>
      <sheetName val="AFEP-Especial"/>
      <sheetName val="Praeer e Eja"/>
      <sheetName val="I C-Eja"/>
      <sheetName val="Form. Prof"/>
      <sheetName val="AFES-Form. Prof"/>
      <sheetName val="II Ciclo Reg"/>
      <sheetName val="AFES2-II Ciclo Reg"/>
      <sheetName val="AFES1-TP I Ciclo"/>
      <sheetName val="TP II Ciclo"/>
      <sheetName val="AFES2-TP II Ciclo"/>
      <sheetName val="Fichas Avaliação"/>
    </sheetNames>
    <sheetDataSet>
      <sheetData sheetId="0">
        <row r="1">
          <cell r="AE1" t="str">
            <v>Construção Civil</v>
          </cell>
          <cell r="AG1" t="str">
            <v>Construção Civil</v>
          </cell>
        </row>
        <row r="2">
          <cell r="AE2" t="str">
            <v>Electricidade</v>
          </cell>
          <cell r="AG2" t="str">
            <v>Electricidade</v>
          </cell>
        </row>
        <row r="3">
          <cell r="F3" t="str">
            <v>Província</v>
          </cell>
          <cell r="J3" t="str">
            <v>Munícipio</v>
          </cell>
          <cell r="AE3" t="str">
            <v>Electrónica</v>
          </cell>
          <cell r="AG3" t="str">
            <v>Electrónica</v>
          </cell>
        </row>
        <row r="4">
          <cell r="C4" t="str">
            <v>Sim</v>
          </cell>
          <cell r="M4" t="str">
            <v>Cabinda</v>
          </cell>
          <cell r="Y4" t="str">
            <v>Áreas de Formação</v>
          </cell>
          <cell r="AB4" t="str">
            <v>Áreas de Formação</v>
          </cell>
          <cell r="AE4" t="str">
            <v>Telecomunicações</v>
          </cell>
          <cell r="AG4" t="str">
            <v>Telecomunicações</v>
          </cell>
          <cell r="AJ4" t="str">
            <v>Província</v>
          </cell>
        </row>
        <row r="5">
          <cell r="A5" t="str">
            <v>2024 / 2025</v>
          </cell>
          <cell r="C5" t="str">
            <v>Não</v>
          </cell>
          <cell r="J5" t="str">
            <v>Belize</v>
          </cell>
          <cell r="Y5" t="str">
            <v>Construção Civil</v>
          </cell>
          <cell r="AB5" t="str">
            <v>Construção Civil</v>
          </cell>
          <cell r="AE5" t="str">
            <v>Mecânica</v>
          </cell>
          <cell r="AG5" t="str">
            <v>Indústrias Extractivas</v>
          </cell>
        </row>
        <row r="6">
          <cell r="A6" t="str">
            <v>2025 / 2026</v>
          </cell>
          <cell r="J6" t="str">
            <v>Belize</v>
          </cell>
          <cell r="Y6" t="str">
            <v>Construção Civil</v>
          </cell>
          <cell r="AB6" t="str">
            <v>Construção Civil</v>
          </cell>
          <cell r="AE6" t="str">
            <v>Informática</v>
          </cell>
          <cell r="AG6" t="str">
            <v>Mecânica</v>
          </cell>
          <cell r="AJ6" t="str">
            <v>Cabinda</v>
          </cell>
        </row>
        <row r="7">
          <cell r="A7" t="str">
            <v>2026 / 2027</v>
          </cell>
          <cell r="J7" t="str">
            <v>Belize</v>
          </cell>
          <cell r="Y7" t="str">
            <v>Construção Civil</v>
          </cell>
          <cell r="AB7" t="str">
            <v>Electricidade</v>
          </cell>
          <cell r="AE7" t="str">
            <v>Comunicação e Informação</v>
          </cell>
          <cell r="AG7" t="str">
            <v>Informática</v>
          </cell>
          <cell r="AJ7" t="str">
            <v>Cabinda</v>
          </cell>
        </row>
        <row r="8">
          <cell r="A8" t="str">
            <v>2027 / 2028</v>
          </cell>
          <cell r="C8" t="str">
            <v>Público</v>
          </cell>
          <cell r="Y8" t="str">
            <v>Construção Civil</v>
          </cell>
          <cell r="AB8" t="str">
            <v>Electricidade</v>
          </cell>
          <cell r="AE8" t="str">
            <v>Administração e Gestão</v>
          </cell>
          <cell r="AG8" t="str">
            <v>Ciências Políticas e Criminais</v>
          </cell>
          <cell r="AJ8" t="str">
            <v>Cabinda</v>
          </cell>
        </row>
        <row r="9">
          <cell r="C9" t="str">
            <v>Privado</v>
          </cell>
          <cell r="J9" t="str">
            <v>Buco Zau</v>
          </cell>
          <cell r="Y9" t="str">
            <v>Electricidade</v>
          </cell>
          <cell r="AB9" t="str">
            <v>Electricidade</v>
          </cell>
          <cell r="AE9" t="str">
            <v>Saúde</v>
          </cell>
          <cell r="AG9" t="str">
            <v>Comunicação e Informação</v>
          </cell>
          <cell r="AJ9" t="str">
            <v>Cabinda</v>
          </cell>
        </row>
        <row r="10">
          <cell r="C10" t="str">
            <v>Público-Privado</v>
          </cell>
          <cell r="J10" t="str">
            <v>Buco Zau</v>
          </cell>
          <cell r="Y10" t="str">
            <v>Electricidade</v>
          </cell>
          <cell r="AB10" t="str">
            <v>Electricidade</v>
          </cell>
          <cell r="AE10" t="str">
            <v>Ambiente</v>
          </cell>
          <cell r="AG10" t="str">
            <v>Administração, Gestão, Serviços</v>
          </cell>
        </row>
        <row r="11">
          <cell r="F11" t="str">
            <v>Cabinda</v>
          </cell>
          <cell r="J11" t="str">
            <v>Buco Zau</v>
          </cell>
          <cell r="Y11" t="str">
            <v>Electricidade</v>
          </cell>
          <cell r="AB11" t="str">
            <v>Electricidade</v>
          </cell>
          <cell r="AE11" t="str">
            <v>Agricultura</v>
          </cell>
          <cell r="AG11" t="str">
            <v>Transporte e Logística</v>
          </cell>
        </row>
        <row r="12">
          <cell r="F12" t="str">
            <v>Cabinda</v>
          </cell>
          <cell r="Y12" t="str">
            <v>Electricidade</v>
          </cell>
          <cell r="AB12" t="str">
            <v>Electrónica</v>
          </cell>
          <cell r="AE12" t="str">
            <v>Pecuária</v>
          </cell>
          <cell r="AG12" t="str">
            <v>Química</v>
          </cell>
        </row>
        <row r="13">
          <cell r="F13" t="str">
            <v>Cabinda</v>
          </cell>
          <cell r="J13" t="str">
            <v>Cabinda</v>
          </cell>
          <cell r="Y13" t="str">
            <v>Electrónica</v>
          </cell>
          <cell r="AB13" t="str">
            <v>Electrónica</v>
          </cell>
          <cell r="AE13" t="str">
            <v>Pesca</v>
          </cell>
          <cell r="AG13" t="str">
            <v>Saúde</v>
          </cell>
        </row>
        <row r="14">
          <cell r="A14">
            <v>0</v>
          </cell>
          <cell r="F14" t="str">
            <v>Cabinda</v>
          </cell>
          <cell r="J14" t="str">
            <v>Cabinda</v>
          </cell>
          <cell r="Y14" t="str">
            <v>Telecomunicações</v>
          </cell>
          <cell r="AB14" t="str">
            <v>Electrónica</v>
          </cell>
          <cell r="AE14" t="str">
            <v>Hotelaria e Turismo</v>
          </cell>
          <cell r="AG14" t="str">
            <v>Ambiente</v>
          </cell>
        </row>
        <row r="15">
          <cell r="A15">
            <v>1</v>
          </cell>
          <cell r="F15" t="str">
            <v>Cabinda</v>
          </cell>
          <cell r="J15" t="str">
            <v>Cabinda</v>
          </cell>
          <cell r="Y15" t="str">
            <v>Mecânica</v>
          </cell>
          <cell r="AB15" t="str">
            <v>Electrónica</v>
          </cell>
          <cell r="AE15" t="str">
            <v>Têxtil e Confecção</v>
          </cell>
          <cell r="AG15" t="str">
            <v>Agricultura</v>
          </cell>
        </row>
        <row r="16">
          <cell r="F16" t="str">
            <v>Cabinda</v>
          </cell>
          <cell r="Y16" t="str">
            <v>Mecânica</v>
          </cell>
          <cell r="AB16" t="str">
            <v>Telecomunicações</v>
          </cell>
          <cell r="AE16" t="str">
            <v>Dança</v>
          </cell>
          <cell r="AG16" t="str">
            <v>Pecuária</v>
          </cell>
        </row>
        <row r="17">
          <cell r="F17" t="str">
            <v>Cabinda</v>
          </cell>
          <cell r="Y17" t="str">
            <v>Mecânica</v>
          </cell>
          <cell r="AB17" t="str">
            <v>Indústrias Extractivas</v>
          </cell>
          <cell r="AE17" t="str">
            <v>Artes Visuais e Plástica</v>
          </cell>
          <cell r="AG17" t="str">
            <v>Indústrias Alimentates e Pescas</v>
          </cell>
        </row>
        <row r="18">
          <cell r="F18" t="str">
            <v>Cabinda</v>
          </cell>
          <cell r="J18" t="str">
            <v>Cacongo</v>
          </cell>
          <cell r="Y18" t="str">
            <v>Mecânica</v>
          </cell>
          <cell r="AB18" t="str">
            <v>Indústrias Extractivas</v>
          </cell>
          <cell r="AE18" t="str">
            <v>Música</v>
          </cell>
          <cell r="AG18" t="str">
            <v>Hotelaria e Turismo</v>
          </cell>
        </row>
        <row r="19">
          <cell r="J19" t="str">
            <v>Cacongo</v>
          </cell>
          <cell r="Y19" t="str">
            <v>Mecânica</v>
          </cell>
          <cell r="AB19" t="str">
            <v>Indústrias Extractivas</v>
          </cell>
          <cell r="AE19" t="str">
            <v>Teatro</v>
          </cell>
          <cell r="AG19" t="str">
            <v>Têxtil e Confecção</v>
          </cell>
        </row>
        <row r="20">
          <cell r="J20" t="str">
            <v>Cacongo</v>
          </cell>
          <cell r="Y20" t="str">
            <v>Mecânica</v>
          </cell>
          <cell r="AB20" t="str">
            <v>Indústrias Extractivas</v>
          </cell>
          <cell r="AE20" t="str">
            <v>Química</v>
          </cell>
          <cell r="AG20" t="str">
            <v>Geodesia e Cartografia</v>
          </cell>
        </row>
        <row r="21">
          <cell r="A21" t="str">
            <v>Ciências Físicas e Biológicas</v>
          </cell>
          <cell r="Y21" t="str">
            <v>Mecânica</v>
          </cell>
          <cell r="AB21" t="str">
            <v>Indústrias Extractivas</v>
          </cell>
          <cell r="AE21" t="str">
            <v>Indústrias Alimentares</v>
          </cell>
          <cell r="AG21" t="str">
            <v>Produção Industrial e Qualidade</v>
          </cell>
        </row>
        <row r="22">
          <cell r="A22" t="str">
            <v>Ciências Humanas</v>
          </cell>
          <cell r="Y22" t="str">
            <v>Mecânica</v>
          </cell>
          <cell r="AB22" t="str">
            <v>Indústrias Extractivas</v>
          </cell>
          <cell r="AG22" t="str">
            <v>Bombeiros</v>
          </cell>
        </row>
        <row r="23">
          <cell r="A23" t="str">
            <v>Ciências Económico-Jurídicas</v>
          </cell>
          <cell r="F23" t="str">
            <v>lista suspensa</v>
          </cell>
          <cell r="Y23" t="str">
            <v>Informática</v>
          </cell>
          <cell r="AB23" t="str">
            <v>Indústrias Extractivas</v>
          </cell>
          <cell r="AG23" t="str">
            <v>Protecção Civil</v>
          </cell>
        </row>
        <row r="24">
          <cell r="A24" t="str">
            <v>Artes Visuais</v>
          </cell>
          <cell r="F24" t="str">
            <v>DADOS GERAIS DO SECTOR REFERENTES AO INÍCIO DO ANO, ANO LECTIVO</v>
          </cell>
          <cell r="Y24" t="str">
            <v>Comunicação e Informação</v>
          </cell>
          <cell r="AB24" t="str">
            <v>Indústrias Extractivas</v>
          </cell>
          <cell r="AG24" t="str">
            <v>Artes Visuais e Plástica</v>
          </cell>
        </row>
        <row r="25">
          <cell r="F25" t="str">
            <v>DADOS GERAIS DO SECTOR REFERENTES AO I TRIMESTRE,  ANO LECTIVO</v>
          </cell>
          <cell r="Y25" t="str">
            <v>Administração e Gestão</v>
          </cell>
          <cell r="AB25" t="str">
            <v>Indústrias Extractivas</v>
          </cell>
          <cell r="AG25" t="str">
            <v>Dança</v>
          </cell>
        </row>
        <row r="26">
          <cell r="F26" t="str">
            <v>DADOS GERAIS DO SECTOR REFERENTES AO II TRIMESTRE,  ANO LECTIVO</v>
          </cell>
          <cell r="Y26" t="str">
            <v>Administração e Gestão</v>
          </cell>
          <cell r="AB26" t="str">
            <v>Indústrias Extractivas</v>
          </cell>
          <cell r="AG26" t="str">
            <v>Música</v>
          </cell>
        </row>
        <row r="27">
          <cell r="F27" t="str">
            <v>DADOS GERAIS DO SECTOR REFERENTES AO FIM DO ANO LECTIVO</v>
          </cell>
          <cell r="Y27" t="str">
            <v>Saúde</v>
          </cell>
          <cell r="AB27" t="str">
            <v>Indústrias Extractivas</v>
          </cell>
          <cell r="AG27" t="str">
            <v>Teatro</v>
          </cell>
        </row>
        <row r="28">
          <cell r="A28" t="str">
            <v>Ens. Sec. Iº Ciclo (Mat/Física)</v>
          </cell>
          <cell r="Y28" t="str">
            <v>Ambiente</v>
          </cell>
          <cell r="AB28" t="str">
            <v>Indústrias Extractivas</v>
          </cell>
          <cell r="AG28" t="str">
            <v>Cinema</v>
          </cell>
        </row>
        <row r="29">
          <cell r="A29" t="str">
            <v>Especialidade 2</v>
          </cell>
          <cell r="Y29" t="str">
            <v>Ambiente</v>
          </cell>
          <cell r="AB29" t="str">
            <v>Indústrias Extractivas</v>
          </cell>
        </row>
        <row r="30">
          <cell r="A30" t="str">
            <v>Especialidade 3</v>
          </cell>
          <cell r="Y30" t="str">
            <v>Agricultura</v>
          </cell>
          <cell r="AB30" t="str">
            <v>Indústrias Extractivas</v>
          </cell>
        </row>
        <row r="31">
          <cell r="A31" t="str">
            <v>Especialidade 4</v>
          </cell>
          <cell r="C31" t="str">
            <v>até 6ª Classe</v>
          </cell>
          <cell r="Y31" t="str">
            <v>Agricultura</v>
          </cell>
          <cell r="AB31" t="str">
            <v>Mecânica</v>
          </cell>
        </row>
        <row r="32">
          <cell r="A32" t="str">
            <v>…</v>
          </cell>
          <cell r="C32" t="str">
            <v>7ª a 9ª Classe</v>
          </cell>
          <cell r="Y32" t="str">
            <v>Pecuária</v>
          </cell>
          <cell r="AB32" t="str">
            <v>Mecânica</v>
          </cell>
        </row>
        <row r="33">
          <cell r="C33" t="str">
            <v>10ª a 11ª Classe</v>
          </cell>
          <cell r="Y33" t="str">
            <v>Pesca</v>
          </cell>
          <cell r="AB33" t="str">
            <v>Mecânica</v>
          </cell>
        </row>
        <row r="34">
          <cell r="C34" t="str">
            <v>12ª a 13ª Classe</v>
          </cell>
          <cell r="Y34" t="str">
            <v>Pesca</v>
          </cell>
          <cell r="AB34" t="str">
            <v>Mecânica</v>
          </cell>
        </row>
        <row r="35">
          <cell r="C35" t="str">
            <v>Bacharel</v>
          </cell>
          <cell r="Y35" t="str">
            <v>Hotelaria e Turismo</v>
          </cell>
          <cell r="AB35" t="str">
            <v>Mecânica</v>
          </cell>
        </row>
        <row r="36">
          <cell r="A36" t="str">
            <v>Fossa séptica</v>
          </cell>
          <cell r="C36" t="str">
            <v>Licenciatura</v>
          </cell>
          <cell r="Y36" t="str">
            <v>Hotelaria e Turismo</v>
          </cell>
          <cell r="AB36" t="str">
            <v>Mecânica</v>
          </cell>
        </row>
        <row r="37">
          <cell r="A37" t="str">
            <v>Rede de Esgotos</v>
          </cell>
          <cell r="C37" t="str">
            <v>Mestrado</v>
          </cell>
          <cell r="Y37" t="str">
            <v>Hotelaria e Turismo</v>
          </cell>
          <cell r="AB37" t="str">
            <v>Mecânica</v>
          </cell>
        </row>
        <row r="38">
          <cell r="A38" t="str">
            <v>Ao Redor da Escola</v>
          </cell>
          <cell r="C38" t="str">
            <v>Douturamento ou mais</v>
          </cell>
          <cell r="Y38" t="str">
            <v>Hotelaria e Turismo</v>
          </cell>
          <cell r="AB38" t="str">
            <v>Mecânica</v>
          </cell>
        </row>
        <row r="39">
          <cell r="A39" t="str">
            <v>Outro Meio</v>
          </cell>
          <cell r="Y39" t="str">
            <v>Têxtil e Confecção</v>
          </cell>
          <cell r="AB39" t="str">
            <v>Informática</v>
          </cell>
        </row>
        <row r="40">
          <cell r="Y40" t="str">
            <v>Dança</v>
          </cell>
          <cell r="AB40" t="str">
            <v>Informática</v>
          </cell>
        </row>
        <row r="41">
          <cell r="Y41" t="str">
            <v>Artes Visuais e Plástica</v>
          </cell>
          <cell r="AB41" t="str">
            <v>Informática</v>
          </cell>
        </row>
        <row r="42">
          <cell r="A42" t="str">
            <v>Contentores de lixo</v>
          </cell>
          <cell r="Y42" t="str">
            <v>Música</v>
          </cell>
          <cell r="AB42" t="str">
            <v>Informática</v>
          </cell>
        </row>
        <row r="43">
          <cell r="A43" t="str">
            <v>Camião do Município</v>
          </cell>
          <cell r="Y43" t="str">
            <v>Teatro</v>
          </cell>
          <cell r="AB43" t="str">
            <v>Ciências Políticas e Criminais</v>
          </cell>
        </row>
        <row r="44">
          <cell r="A44" t="str">
            <v>Outro Meio</v>
          </cell>
          <cell r="Y44" t="str">
            <v>Música</v>
          </cell>
          <cell r="AB44" t="str">
            <v>Ciências Políticas e Criminais</v>
          </cell>
        </row>
        <row r="45">
          <cell r="Y45" t="str">
            <v>Química</v>
          </cell>
          <cell r="AB45" t="str">
            <v>Ciências Políticas e Criminais</v>
          </cell>
        </row>
        <row r="46">
          <cell r="Y46" t="str">
            <v>Indústrias Alimentares</v>
          </cell>
          <cell r="AB46" t="str">
            <v>Ciências Políticas e Criminais</v>
          </cell>
        </row>
        <row r="47">
          <cell r="Y47" t="str">
            <v>Indústrias Alimentares</v>
          </cell>
          <cell r="AB47" t="str">
            <v>Ciências Políticas e Criminais</v>
          </cell>
        </row>
        <row r="48">
          <cell r="A48" t="str">
            <v>Educação Pré-escolar</v>
          </cell>
          <cell r="AB48" t="str">
            <v>Ciências Políticas e Criminais</v>
          </cell>
        </row>
        <row r="49">
          <cell r="A49" t="str">
            <v>Ensino Primário</v>
          </cell>
          <cell r="AB49" t="str">
            <v>Ciências Políticas e Criminais</v>
          </cell>
        </row>
        <row r="50">
          <cell r="A50" t="str">
            <v>Ens. Sec. Iº Ciclo (Mat/Física)</v>
          </cell>
          <cell r="AB50" t="str">
            <v>Comunicação e Informação</v>
          </cell>
        </row>
        <row r="51">
          <cell r="A51" t="str">
            <v>Ens. Sec. Iº Ciclo (Biologia/Química)</v>
          </cell>
          <cell r="AB51" t="str">
            <v>Comunicação e Informação</v>
          </cell>
        </row>
        <row r="52">
          <cell r="A52" t="str">
            <v>Ens. Sec. Iº Ciclo (Hist/Geografia)</v>
          </cell>
          <cell r="AB52" t="str">
            <v>Comunicação e Informação</v>
          </cell>
        </row>
        <row r="53">
          <cell r="A53" t="str">
            <v>Ens. Sec. Iº Ciclo (Língua Portuguesa)</v>
          </cell>
          <cell r="AB53" t="str">
            <v>Administração, Gestão, Serviços</v>
          </cell>
        </row>
        <row r="54">
          <cell r="A54" t="str">
            <v>Ens. Sec. Iº Ciclo (Língua Francesa)</v>
          </cell>
          <cell r="AB54" t="str">
            <v>Administração, Gestão, Serviços</v>
          </cell>
        </row>
        <row r="55">
          <cell r="A55" t="str">
            <v>Ens. Sec. Iº Ciclo (Língua Inglesa)</v>
          </cell>
          <cell r="AB55" t="str">
            <v>Administração, Gestão, Serviços</v>
          </cell>
        </row>
        <row r="56">
          <cell r="A56" t="str">
            <v>Ens. Sec. Iº Ciclo (Educação Física)</v>
          </cell>
          <cell r="AB56" t="str">
            <v>Administração, Gestão, Serviços</v>
          </cell>
        </row>
        <row r="57">
          <cell r="A57" t="str">
            <v>Ens. Sec. Iº Ciclo (Educação visual Plástica)</v>
          </cell>
          <cell r="AB57" t="str">
            <v>Administração, Gestão, Serviços</v>
          </cell>
        </row>
        <row r="58">
          <cell r="A58" t="str">
            <v>Ens. Sec. Iº Ciclo (Educação Manual Cívica)</v>
          </cell>
          <cell r="AB58" t="str">
            <v>Administração, Gestão, Serviços</v>
          </cell>
        </row>
        <row r="59">
          <cell r="AB59" t="str">
            <v>Administração, Gestão, Serviços</v>
          </cell>
        </row>
        <row r="60">
          <cell r="AB60" t="str">
            <v>Administração, Gestão, Serviços</v>
          </cell>
        </row>
        <row r="61">
          <cell r="AB61" t="str">
            <v>Administração, Gestão, Serviços</v>
          </cell>
        </row>
        <row r="62">
          <cell r="A62">
            <v>0</v>
          </cell>
          <cell r="AB62" t="str">
            <v>Administração, Gestão, Serviços</v>
          </cell>
        </row>
        <row r="63">
          <cell r="A63">
            <v>1</v>
          </cell>
          <cell r="AB63" t="str">
            <v>Administração, Gestão, Serviços</v>
          </cell>
        </row>
        <row r="64">
          <cell r="AB64" t="str">
            <v>Administração, Gestão, Serviços</v>
          </cell>
        </row>
        <row r="65">
          <cell r="AB65" t="str">
            <v>Administração, Gestão, Serviços</v>
          </cell>
        </row>
        <row r="66">
          <cell r="AB66" t="str">
            <v>Administração, Gestão, Serviços</v>
          </cell>
        </row>
        <row r="67">
          <cell r="AB67" t="str">
            <v>Administração, Gestão, Serviços</v>
          </cell>
        </row>
        <row r="68">
          <cell r="AB68" t="str">
            <v>Administração, Gestão, Serviços</v>
          </cell>
        </row>
        <row r="69">
          <cell r="AB69" t="str">
            <v>Administração, Gestão, Serviços</v>
          </cell>
        </row>
        <row r="70">
          <cell r="AB70" t="str">
            <v>Administração, Gestão, Serviços</v>
          </cell>
        </row>
        <row r="71">
          <cell r="AB71" t="str">
            <v>Administração, Gestão, Serviços</v>
          </cell>
        </row>
        <row r="72">
          <cell r="AB72" t="str">
            <v>Transporte e Logística</v>
          </cell>
        </row>
        <row r="73">
          <cell r="AB73" t="str">
            <v>Transporte e Logística</v>
          </cell>
        </row>
        <row r="74">
          <cell r="AB74" t="str">
            <v>Química</v>
          </cell>
        </row>
        <row r="75">
          <cell r="AB75" t="str">
            <v>Química</v>
          </cell>
        </row>
        <row r="76">
          <cell r="AB76" t="str">
            <v>Química</v>
          </cell>
        </row>
        <row r="77">
          <cell r="AB77" t="str">
            <v>Química</v>
          </cell>
        </row>
        <row r="78">
          <cell r="AB78" t="str">
            <v>Química</v>
          </cell>
        </row>
        <row r="79">
          <cell r="AB79" t="str">
            <v>Saúde</v>
          </cell>
        </row>
        <row r="80">
          <cell r="AB80" t="str">
            <v>Saúde</v>
          </cell>
        </row>
        <row r="81">
          <cell r="AB81" t="str">
            <v>Saúde</v>
          </cell>
        </row>
        <row r="82">
          <cell r="AB82" t="str">
            <v>Saúde</v>
          </cell>
        </row>
        <row r="83">
          <cell r="AB83" t="str">
            <v>Saúde</v>
          </cell>
        </row>
        <row r="84">
          <cell r="AB84" t="str">
            <v>Saúde</v>
          </cell>
        </row>
        <row r="85">
          <cell r="AB85" t="str">
            <v>Saúde</v>
          </cell>
        </row>
        <row r="86">
          <cell r="AB86" t="str">
            <v>Saúde</v>
          </cell>
        </row>
        <row r="87">
          <cell r="AB87" t="str">
            <v>Saúde</v>
          </cell>
        </row>
        <row r="88">
          <cell r="AB88" t="str">
            <v>Saúde</v>
          </cell>
        </row>
        <row r="89">
          <cell r="AB89" t="str">
            <v>Saúde</v>
          </cell>
        </row>
        <row r="90">
          <cell r="AB90" t="str">
            <v>Saúde</v>
          </cell>
        </row>
        <row r="91">
          <cell r="AB91" t="str">
            <v>Saúde</v>
          </cell>
        </row>
        <row r="92">
          <cell r="AB92" t="str">
            <v>Saúde</v>
          </cell>
        </row>
        <row r="93">
          <cell r="AB93" t="str">
            <v>Ambiente</v>
          </cell>
        </row>
        <row r="94">
          <cell r="AB94" t="str">
            <v>Ambiente</v>
          </cell>
        </row>
        <row r="95">
          <cell r="AB95" t="str">
            <v>Ambiente</v>
          </cell>
        </row>
        <row r="96">
          <cell r="AB96" t="str">
            <v>Ambiente</v>
          </cell>
        </row>
        <row r="97">
          <cell r="AB97" t="str">
            <v>Agricultura</v>
          </cell>
        </row>
        <row r="98">
          <cell r="AB98" t="str">
            <v>Agricultura</v>
          </cell>
        </row>
        <row r="99">
          <cell r="AB99" t="str">
            <v>Agricultura</v>
          </cell>
        </row>
        <row r="100">
          <cell r="AB100" t="str">
            <v>Agricultura</v>
          </cell>
        </row>
        <row r="101">
          <cell r="AB101" t="str">
            <v>Pecuária</v>
          </cell>
        </row>
        <row r="102">
          <cell r="AB102" t="str">
            <v>Pecuária</v>
          </cell>
        </row>
        <row r="103">
          <cell r="AB103" t="str">
            <v>Indústrias Alimentates e Pescas</v>
          </cell>
        </row>
        <row r="104">
          <cell r="AB104" t="str">
            <v>Indústrias Alimentates e Pescas</v>
          </cell>
        </row>
        <row r="105">
          <cell r="AB105" t="str">
            <v>Indústrias Alimentates e Pescas</v>
          </cell>
        </row>
        <row r="106">
          <cell r="AB106" t="str">
            <v>Indústrias Alimentates e Pescas</v>
          </cell>
        </row>
        <row r="107">
          <cell r="AB107" t="str">
            <v>Indústrias Alimentates e Pescas</v>
          </cell>
        </row>
        <row r="108">
          <cell r="AB108" t="str">
            <v>Indústrias Alimentates e Pescas</v>
          </cell>
        </row>
        <row r="109">
          <cell r="AB109" t="str">
            <v>Indústrias Alimentates e Pescas</v>
          </cell>
        </row>
        <row r="110">
          <cell r="AB110" t="str">
            <v>Indústrias Alimentates e Pescas</v>
          </cell>
        </row>
        <row r="111">
          <cell r="AB111" t="str">
            <v>Indústrias Alimentates e Pescas</v>
          </cell>
        </row>
        <row r="112">
          <cell r="AB112" t="str">
            <v>Indústrias Alimentates e Pescas</v>
          </cell>
        </row>
        <row r="113">
          <cell r="AB113" t="str">
            <v>Hotelaria e Turismo</v>
          </cell>
        </row>
        <row r="114">
          <cell r="AB114" t="str">
            <v>Hotelaria e Turismo</v>
          </cell>
        </row>
        <row r="115">
          <cell r="AB115" t="str">
            <v>Hotelaria e Turismo</v>
          </cell>
        </row>
        <row r="116">
          <cell r="AB116" t="str">
            <v>Hotelaria e Turismo</v>
          </cell>
        </row>
        <row r="117">
          <cell r="AB117" t="str">
            <v>Hotelaria e Turismo</v>
          </cell>
        </row>
        <row r="118">
          <cell r="AB118" t="str">
            <v>Hotelaria e Turismo</v>
          </cell>
        </row>
        <row r="119">
          <cell r="AB119" t="str">
            <v>Hotelaria e Turismo</v>
          </cell>
        </row>
        <row r="120">
          <cell r="AB120" t="str">
            <v>Têxtil e Confecção</v>
          </cell>
        </row>
        <row r="121">
          <cell r="AB121" t="str">
            <v>Têxtil e Confecção</v>
          </cell>
        </row>
        <row r="122">
          <cell r="AB122" t="str">
            <v>Têxtil e Confecção</v>
          </cell>
        </row>
        <row r="123">
          <cell r="AB123" t="str">
            <v>Geodesia e Cartografia</v>
          </cell>
        </row>
        <row r="124">
          <cell r="AB124" t="str">
            <v>Geodesia e Cartografia</v>
          </cell>
        </row>
        <row r="125">
          <cell r="AB125" t="str">
            <v>Geodesia e Cartografia</v>
          </cell>
        </row>
        <row r="126">
          <cell r="AB126" t="str">
            <v>Produção Industrial e Qualidade</v>
          </cell>
        </row>
        <row r="127">
          <cell r="AB127" t="str">
            <v>Produção Industrial e Qualidade</v>
          </cell>
        </row>
        <row r="128">
          <cell r="AB128" t="str">
            <v>Produção Industrial e Qualidade</v>
          </cell>
        </row>
        <row r="129">
          <cell r="AB129" t="str">
            <v>Bombeiros</v>
          </cell>
        </row>
        <row r="130">
          <cell r="AB130" t="str">
            <v>Bombeiros</v>
          </cell>
        </row>
        <row r="131">
          <cell r="AB131" t="str">
            <v>Bombeiros</v>
          </cell>
        </row>
        <row r="132">
          <cell r="AB132" t="str">
            <v>Bombeiros</v>
          </cell>
        </row>
        <row r="133">
          <cell r="AB133" t="str">
            <v>Bombeiros</v>
          </cell>
        </row>
        <row r="134">
          <cell r="AB134" t="str">
            <v>Bombeiros</v>
          </cell>
        </row>
        <row r="135">
          <cell r="AB135" t="str">
            <v>Bombeiros</v>
          </cell>
        </row>
        <row r="136">
          <cell r="AB136" t="str">
            <v>Bombeiros</v>
          </cell>
        </row>
        <row r="137">
          <cell r="AB137" t="str">
            <v>Protecção Civil</v>
          </cell>
        </row>
        <row r="138">
          <cell r="AB138" t="str">
            <v>Protecção Civil</v>
          </cell>
        </row>
        <row r="139">
          <cell r="AB139" t="str">
            <v>Protecção Civil</v>
          </cell>
        </row>
        <row r="140">
          <cell r="AB140" t="str">
            <v>Protecção Civil</v>
          </cell>
        </row>
        <row r="141">
          <cell r="AB141" t="str">
            <v>Protecção Civil</v>
          </cell>
        </row>
        <row r="142">
          <cell r="AB142" t="str">
            <v>Artes Visuais e Plástica</v>
          </cell>
        </row>
        <row r="143">
          <cell r="AB143" t="str">
            <v>Artes Visuais e Plástica</v>
          </cell>
        </row>
        <row r="144">
          <cell r="AB144" t="str">
            <v>Artes Visuais e Plástica</v>
          </cell>
        </row>
        <row r="145">
          <cell r="AB145" t="str">
            <v>Artes Visuais e Plástica</v>
          </cell>
        </row>
        <row r="146">
          <cell r="AB146" t="str">
            <v>Artes Visuais e Plástica</v>
          </cell>
        </row>
        <row r="147">
          <cell r="AB147" t="str">
            <v>Artes Visuais e Plástica</v>
          </cell>
        </row>
        <row r="148">
          <cell r="AB148" t="str">
            <v>Dança</v>
          </cell>
        </row>
        <row r="149">
          <cell r="AB149" t="str">
            <v>Dança</v>
          </cell>
        </row>
        <row r="150">
          <cell r="AB150" t="str">
            <v>Dança</v>
          </cell>
        </row>
        <row r="151">
          <cell r="AB151" t="str">
            <v>Dança</v>
          </cell>
        </row>
        <row r="152">
          <cell r="AB152" t="str">
            <v>Música</v>
          </cell>
        </row>
        <row r="153">
          <cell r="AB153" t="str">
            <v>Música</v>
          </cell>
        </row>
        <row r="154">
          <cell r="AB154" t="str">
            <v>Música</v>
          </cell>
        </row>
        <row r="155">
          <cell r="AB155" t="str">
            <v>Música</v>
          </cell>
        </row>
        <row r="156">
          <cell r="AB156" t="str">
            <v>Música</v>
          </cell>
        </row>
        <row r="157">
          <cell r="AB157" t="str">
            <v>Música</v>
          </cell>
        </row>
        <row r="158">
          <cell r="AB158" t="str">
            <v>Música</v>
          </cell>
        </row>
        <row r="159">
          <cell r="AB159" t="str">
            <v>Teatro</v>
          </cell>
        </row>
        <row r="160">
          <cell r="AB160" t="str">
            <v>Teatro</v>
          </cell>
        </row>
        <row r="161">
          <cell r="AB161" t="str">
            <v>Teatro</v>
          </cell>
        </row>
        <row r="162">
          <cell r="AB162" t="str">
            <v>Cinema</v>
          </cell>
        </row>
        <row r="163">
          <cell r="AB163" t="str">
            <v>Cinema</v>
          </cell>
        </row>
        <row r="164">
          <cell r="AB164" t="str">
            <v>Cinema</v>
          </cell>
        </row>
        <row r="165">
          <cell r="AB165" t="str">
            <v>Cinema</v>
          </cell>
        </row>
        <row r="166">
          <cell r="AB166" t="str">
            <v>Cinema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005"/>
  <sheetViews>
    <sheetView topLeftCell="AC1" workbookViewId="0">
      <selection activeCell="AD13" sqref="AD13"/>
    </sheetView>
  </sheetViews>
  <sheetFormatPr defaultColWidth="19" defaultRowHeight="15" x14ac:dyDescent="0.25"/>
  <cols>
    <col min="1" max="1" width="26.85546875" bestFit="1" customWidth="1"/>
    <col min="2" max="2" width="5.5703125" customWidth="1"/>
    <col min="3" max="3" width="21.7109375" bestFit="1" customWidth="1"/>
    <col min="4" max="4" width="6.5703125" customWidth="1"/>
    <col min="5" max="5" width="12.140625" customWidth="1"/>
    <col min="8" max="8" width="3.42578125" customWidth="1"/>
    <col min="14" max="14" width="6.42578125" customWidth="1"/>
    <col min="15" max="15" width="36" bestFit="1" customWidth="1"/>
    <col min="16" max="16" width="4.28515625" customWidth="1"/>
    <col min="17" max="17" width="36" bestFit="1" customWidth="1"/>
    <col min="18" max="18" width="4" customWidth="1"/>
    <col min="19" max="19" width="36" bestFit="1" customWidth="1"/>
    <col min="20" max="20" width="5.42578125" customWidth="1"/>
    <col min="21" max="21" width="29.28515625" bestFit="1" customWidth="1"/>
    <col min="22" max="22" width="2.7109375" customWidth="1"/>
    <col min="23" max="23" width="24.140625" bestFit="1" customWidth="1"/>
    <col min="25" max="25" width="25.140625" bestFit="1" customWidth="1"/>
    <col min="26" max="26" width="49.28515625" bestFit="1" customWidth="1"/>
    <col min="27" max="27" width="9.42578125" customWidth="1"/>
    <col min="28" max="28" width="29.85546875" bestFit="1" customWidth="1"/>
    <col min="29" max="29" width="49.28515625" bestFit="1" customWidth="1"/>
    <col min="38" max="38" width="5.7109375" customWidth="1"/>
  </cols>
  <sheetData>
    <row r="1" spans="1:40" x14ac:dyDescent="0.25">
      <c r="E1" t="s">
        <v>1132</v>
      </c>
      <c r="F1" t="e">
        <f ca="1">OFFSET(MunicipioStart3,MATCH(I1,MunicipioColumn3,0),1,COUNTIF(MunicipioColumn3,I1),1)</f>
        <v>#N/A</v>
      </c>
      <c r="I1" s="75" t="s">
        <v>1135</v>
      </c>
      <c r="K1" t="e">
        <f ca="1">OFFSET(ComunaStart3,MATCH(I1,ComunaColumn3,0),1,COUNTIF(ComunaColumn3,I1),1)</f>
        <v>#VALUE!</v>
      </c>
      <c r="M1" s="1" t="s">
        <v>166</v>
      </c>
      <c r="O1" t="s">
        <v>1183</v>
      </c>
      <c r="X1" t="s">
        <v>1201</v>
      </c>
      <c r="Y1" t="e">
        <f ca="1">OFFSET(AreasTPIStart,MATCH(X1,AreasTPI,0),1,COUNTIF(AreasTPI,X1),1)</f>
        <v>#VALUE!</v>
      </c>
      <c r="AB1" t="s">
        <v>1433</v>
      </c>
      <c r="AC1" t="e">
        <f ca="1">OFFSET(AreasTPIIStart,MATCH(AB1,AreasTPII,0),1,COUNTIF(AreasTPII,AB1),1)</f>
        <v>#VALUE!</v>
      </c>
      <c r="AE1" t="s">
        <v>1201</v>
      </c>
      <c r="AG1" t="s">
        <v>1201</v>
      </c>
      <c r="AK1" t="e">
        <f ca="1">OFFSET(MunicipioStart4,MATCH(Y4,MunicipioColumn4,0),1,COUNTIF(MunicipioColumn4,Y4),1)</f>
        <v>#N/A</v>
      </c>
    </row>
    <row r="2" spans="1:40" x14ac:dyDescent="0.25">
      <c r="M2" s="1" t="s">
        <v>167</v>
      </c>
      <c r="X2" t="s">
        <v>1202</v>
      </c>
      <c r="AE2" t="s">
        <v>1218</v>
      </c>
      <c r="AG2" t="s">
        <v>1218</v>
      </c>
    </row>
    <row r="3" spans="1:40" x14ac:dyDescent="0.25">
      <c r="A3" s="69" t="s">
        <v>246</v>
      </c>
      <c r="B3" s="69"/>
      <c r="C3" s="69" t="s">
        <v>245</v>
      </c>
      <c r="F3" s="70" t="s">
        <v>151</v>
      </c>
      <c r="G3" s="70" t="s">
        <v>1133</v>
      </c>
      <c r="J3" s="76" t="s">
        <v>1134</v>
      </c>
      <c r="K3" s="76" t="s">
        <v>153</v>
      </c>
      <c r="M3" s="1" t="s">
        <v>168</v>
      </c>
      <c r="O3" t="s">
        <v>1181</v>
      </c>
      <c r="Y3" s="190" t="s">
        <v>1200</v>
      </c>
      <c r="Z3" s="190"/>
      <c r="AB3" s="191" t="s">
        <v>1264</v>
      </c>
      <c r="AC3" s="191"/>
      <c r="AE3" t="s">
        <v>1219</v>
      </c>
      <c r="AG3" t="s">
        <v>1219</v>
      </c>
    </row>
    <row r="4" spans="1:40" x14ac:dyDescent="0.25">
      <c r="A4">
        <v>2018</v>
      </c>
      <c r="C4" t="s">
        <v>164</v>
      </c>
      <c r="F4" s="1" t="s">
        <v>166</v>
      </c>
      <c r="G4" s="1" t="s">
        <v>182</v>
      </c>
      <c r="H4" s="36"/>
      <c r="I4" s="36"/>
      <c r="J4" s="77"/>
      <c r="K4" s="77"/>
      <c r="L4" s="36"/>
      <c r="M4" s="1" t="s">
        <v>169</v>
      </c>
      <c r="N4" s="71"/>
      <c r="O4" s="87" t="s">
        <v>1117</v>
      </c>
      <c r="P4" s="87"/>
      <c r="Q4" s="87" t="s">
        <v>1182</v>
      </c>
      <c r="R4" s="87"/>
      <c r="S4" s="87" t="s">
        <v>1118</v>
      </c>
      <c r="U4" s="87" t="s">
        <v>1119</v>
      </c>
      <c r="W4" s="87" t="s">
        <v>1196</v>
      </c>
      <c r="Y4" s="127" t="s">
        <v>1198</v>
      </c>
      <c r="Z4" s="127" t="s">
        <v>1199</v>
      </c>
      <c r="AB4" s="128" t="s">
        <v>1198</v>
      </c>
      <c r="AC4" s="128" t="s">
        <v>1199</v>
      </c>
      <c r="AE4" t="s">
        <v>1220</v>
      </c>
      <c r="AG4" t="s">
        <v>1220</v>
      </c>
      <c r="AJ4" s="90" t="s">
        <v>151</v>
      </c>
      <c r="AK4" s="90" t="s">
        <v>1134</v>
      </c>
      <c r="AM4" s="90" t="s">
        <v>1134</v>
      </c>
      <c r="AN4" s="90" t="s">
        <v>153</v>
      </c>
    </row>
    <row r="5" spans="1:40" ht="30" x14ac:dyDescent="0.25">
      <c r="A5">
        <v>2019</v>
      </c>
      <c r="C5" t="s">
        <v>165</v>
      </c>
      <c r="F5" s="1" t="s">
        <v>166</v>
      </c>
      <c r="G5" s="1" t="s">
        <v>183</v>
      </c>
      <c r="J5" s="77" t="s">
        <v>403</v>
      </c>
      <c r="K5" s="77" t="s">
        <v>166</v>
      </c>
      <c r="M5" s="1" t="s">
        <v>172</v>
      </c>
      <c r="O5" s="129" t="s">
        <v>83</v>
      </c>
      <c r="Q5" s="129" t="s">
        <v>83</v>
      </c>
      <c r="S5" s="129" t="s">
        <v>83</v>
      </c>
      <c r="U5" s="129" t="s">
        <v>83</v>
      </c>
      <c r="W5" s="129" t="s">
        <v>83</v>
      </c>
      <c r="Y5" t="s">
        <v>1201</v>
      </c>
      <c r="Z5" t="s">
        <v>1202</v>
      </c>
      <c r="AB5" t="s">
        <v>1201</v>
      </c>
      <c r="AC5" t="s">
        <v>1265</v>
      </c>
      <c r="AE5" t="s">
        <v>1221</v>
      </c>
      <c r="AG5" t="s">
        <v>1290</v>
      </c>
      <c r="AJ5" s="89" t="s">
        <v>166</v>
      </c>
      <c r="AK5" s="89" t="s">
        <v>182</v>
      </c>
      <c r="AM5" s="89" t="s">
        <v>403</v>
      </c>
      <c r="AN5" s="89" t="s">
        <v>418</v>
      </c>
    </row>
    <row r="6" spans="1:40" x14ac:dyDescent="0.25">
      <c r="A6">
        <v>2020</v>
      </c>
      <c r="F6" s="1" t="s">
        <v>166</v>
      </c>
      <c r="G6" s="1" t="s">
        <v>285</v>
      </c>
      <c r="J6" s="77" t="s">
        <v>403</v>
      </c>
      <c r="K6" s="77" t="s">
        <v>1082</v>
      </c>
      <c r="M6" s="1" t="s">
        <v>173</v>
      </c>
      <c r="O6" s="129" t="s">
        <v>84</v>
      </c>
      <c r="Q6" s="129" t="s">
        <v>84</v>
      </c>
      <c r="S6" s="129" t="s">
        <v>84</v>
      </c>
      <c r="U6" s="129" t="s">
        <v>84</v>
      </c>
      <c r="W6" s="129" t="s">
        <v>84</v>
      </c>
      <c r="Y6" t="s">
        <v>1201</v>
      </c>
      <c r="Z6" t="s">
        <v>1203</v>
      </c>
      <c r="AB6" t="s">
        <v>1201</v>
      </c>
      <c r="AC6" t="s">
        <v>1266</v>
      </c>
      <c r="AE6" t="s">
        <v>85</v>
      </c>
      <c r="AG6" t="s">
        <v>1221</v>
      </c>
      <c r="AJ6" s="89" t="s">
        <v>166</v>
      </c>
      <c r="AK6" s="89" t="s">
        <v>183</v>
      </c>
      <c r="AM6" s="89" t="s">
        <v>403</v>
      </c>
      <c r="AN6" s="89" t="s">
        <v>166</v>
      </c>
    </row>
    <row r="7" spans="1:40" x14ac:dyDescent="0.25">
      <c r="A7">
        <v>2021</v>
      </c>
      <c r="C7" s="69" t="s">
        <v>247</v>
      </c>
      <c r="F7" s="1" t="s">
        <v>166</v>
      </c>
      <c r="G7" s="1" t="s">
        <v>185</v>
      </c>
      <c r="J7" s="77" t="s">
        <v>403</v>
      </c>
      <c r="K7" s="77" t="s">
        <v>1083</v>
      </c>
      <c r="M7" s="1" t="s">
        <v>174</v>
      </c>
      <c r="O7" s="129" t="s">
        <v>81</v>
      </c>
      <c r="Q7" s="129" t="s">
        <v>81</v>
      </c>
      <c r="S7" s="129" t="s">
        <v>81</v>
      </c>
      <c r="U7" s="129" t="s">
        <v>81</v>
      </c>
      <c r="W7" s="129" t="s">
        <v>81</v>
      </c>
      <c r="Y7" t="s">
        <v>1201</v>
      </c>
      <c r="Z7" t="s">
        <v>1204</v>
      </c>
      <c r="AB7" t="s">
        <v>1218</v>
      </c>
      <c r="AC7" t="s">
        <v>1267</v>
      </c>
      <c r="AE7" t="s">
        <v>1234</v>
      </c>
      <c r="AG7" t="s">
        <v>85</v>
      </c>
      <c r="AJ7" s="89" t="s">
        <v>166</v>
      </c>
      <c r="AK7" s="89" t="s">
        <v>285</v>
      </c>
      <c r="AM7" s="89" t="s">
        <v>403</v>
      </c>
      <c r="AN7" s="89" t="s">
        <v>1082</v>
      </c>
    </row>
    <row r="8" spans="1:40" x14ac:dyDescent="0.25">
      <c r="A8">
        <v>2022</v>
      </c>
      <c r="C8" t="s">
        <v>5</v>
      </c>
      <c r="F8" s="1" t="s">
        <v>166</v>
      </c>
      <c r="G8" s="1" t="s">
        <v>189</v>
      </c>
      <c r="J8" s="77" t="s">
        <v>403</v>
      </c>
      <c r="K8" s="77" t="s">
        <v>1088</v>
      </c>
      <c r="M8" s="1" t="s">
        <v>1110</v>
      </c>
      <c r="O8" s="129" t="s">
        <v>85</v>
      </c>
      <c r="Q8" s="129" t="s">
        <v>85</v>
      </c>
      <c r="S8" s="129" t="s">
        <v>85</v>
      </c>
      <c r="U8" s="129" t="s">
        <v>85</v>
      </c>
      <c r="W8" s="129" t="s">
        <v>85</v>
      </c>
      <c r="Y8" t="s">
        <v>1201</v>
      </c>
      <c r="Z8" t="s">
        <v>1205</v>
      </c>
      <c r="AB8" t="s">
        <v>1218</v>
      </c>
      <c r="AC8" t="s">
        <v>1268</v>
      </c>
      <c r="AE8" t="s">
        <v>1235</v>
      </c>
      <c r="AG8" t="s">
        <v>1303</v>
      </c>
      <c r="AJ8" s="89" t="s">
        <v>166</v>
      </c>
      <c r="AK8" s="89" t="s">
        <v>185</v>
      </c>
      <c r="AM8" s="89" t="s">
        <v>403</v>
      </c>
      <c r="AN8" s="89" t="s">
        <v>1083</v>
      </c>
    </row>
    <row r="9" spans="1:40" x14ac:dyDescent="0.25">
      <c r="A9">
        <v>2023</v>
      </c>
      <c r="C9" t="s">
        <v>6</v>
      </c>
      <c r="F9" s="1" t="s">
        <v>166</v>
      </c>
      <c r="G9" s="1" t="s">
        <v>191</v>
      </c>
      <c r="J9" s="77" t="s">
        <v>321</v>
      </c>
      <c r="K9" s="77" t="s">
        <v>321</v>
      </c>
      <c r="M9" s="1" t="s">
        <v>170</v>
      </c>
      <c r="O9" s="129" t="s">
        <v>86</v>
      </c>
      <c r="Q9" s="129" t="s">
        <v>86</v>
      </c>
      <c r="S9" s="129" t="s">
        <v>86</v>
      </c>
      <c r="U9" s="129" t="s">
        <v>86</v>
      </c>
      <c r="W9" s="129" t="s">
        <v>86</v>
      </c>
      <c r="Y9" t="s">
        <v>1218</v>
      </c>
      <c r="Z9" t="s">
        <v>1206</v>
      </c>
      <c r="AB9" t="s">
        <v>1218</v>
      </c>
      <c r="AC9" t="s">
        <v>1269</v>
      </c>
      <c r="AE9" t="s">
        <v>1232</v>
      </c>
      <c r="AG9" t="s">
        <v>1234</v>
      </c>
      <c r="AJ9" s="89" t="s">
        <v>166</v>
      </c>
      <c r="AK9" s="89" t="s">
        <v>189</v>
      </c>
      <c r="AM9" s="89" t="s">
        <v>403</v>
      </c>
      <c r="AN9" s="89" t="s">
        <v>1088</v>
      </c>
    </row>
    <row r="10" spans="1:40" x14ac:dyDescent="0.25">
      <c r="A10">
        <v>2024</v>
      </c>
      <c r="C10" t="s">
        <v>7</v>
      </c>
      <c r="F10" s="1"/>
      <c r="G10" s="1"/>
      <c r="J10" s="77" t="s">
        <v>321</v>
      </c>
      <c r="K10" s="77" t="s">
        <v>1016</v>
      </c>
      <c r="M10" s="1" t="s">
        <v>171</v>
      </c>
      <c r="O10" s="129" t="s">
        <v>87</v>
      </c>
      <c r="Q10" s="129" t="s">
        <v>87</v>
      </c>
      <c r="S10" s="129" t="s">
        <v>87</v>
      </c>
      <c r="U10" s="129" t="s">
        <v>87</v>
      </c>
      <c r="W10" s="129" t="s">
        <v>87</v>
      </c>
      <c r="Y10" t="s">
        <v>1218</v>
      </c>
      <c r="Z10" t="s">
        <v>1207</v>
      </c>
      <c r="AB10" t="s">
        <v>1218</v>
      </c>
      <c r="AC10" t="s">
        <v>1271</v>
      </c>
      <c r="AE10" t="s">
        <v>1233</v>
      </c>
      <c r="AG10" t="s">
        <v>1314</v>
      </c>
      <c r="AJ10" s="89" t="s">
        <v>166</v>
      </c>
      <c r="AK10" s="89" t="s">
        <v>191</v>
      </c>
      <c r="AM10" s="89" t="s">
        <v>403</v>
      </c>
      <c r="AN10" s="89" t="s">
        <v>1088</v>
      </c>
    </row>
    <row r="11" spans="1:40" x14ac:dyDescent="0.25">
      <c r="A11">
        <v>2025</v>
      </c>
      <c r="F11" s="1" t="s">
        <v>167</v>
      </c>
      <c r="G11" s="1" t="s">
        <v>167</v>
      </c>
      <c r="J11" s="77" t="s">
        <v>321</v>
      </c>
      <c r="K11" s="77" t="s">
        <v>1017</v>
      </c>
      <c r="M11" s="1" t="s">
        <v>175</v>
      </c>
      <c r="O11" s="129" t="s">
        <v>1184</v>
      </c>
      <c r="Q11" s="129" t="s">
        <v>88</v>
      </c>
      <c r="S11" s="129" t="s">
        <v>1190</v>
      </c>
      <c r="U11" s="129" t="s">
        <v>1192</v>
      </c>
      <c r="W11" s="129" t="s">
        <v>1184</v>
      </c>
      <c r="Y11" t="s">
        <v>1218</v>
      </c>
      <c r="Z11" t="s">
        <v>1208</v>
      </c>
      <c r="AB11" t="s">
        <v>1218</v>
      </c>
      <c r="AC11" t="s">
        <v>1270</v>
      </c>
      <c r="AE11" t="s">
        <v>1238</v>
      </c>
      <c r="AG11" t="s">
        <v>1332</v>
      </c>
      <c r="AJ11" s="89"/>
      <c r="AK11" s="89"/>
      <c r="AM11" s="89" t="s">
        <v>321</v>
      </c>
      <c r="AN11" s="89" t="s">
        <v>321</v>
      </c>
    </row>
    <row r="12" spans="1:40" x14ac:dyDescent="0.25">
      <c r="F12" s="1" t="s">
        <v>167</v>
      </c>
      <c r="G12" s="1" t="s">
        <v>194</v>
      </c>
      <c r="J12" s="77" t="s">
        <v>321</v>
      </c>
      <c r="K12" s="77" t="s">
        <v>1023</v>
      </c>
      <c r="M12" s="1" t="s">
        <v>176</v>
      </c>
      <c r="O12" s="129" t="s">
        <v>80</v>
      </c>
      <c r="Q12" s="129" t="s">
        <v>89</v>
      </c>
      <c r="S12" s="129" t="s">
        <v>90</v>
      </c>
      <c r="U12" s="129" t="s">
        <v>1193</v>
      </c>
      <c r="W12" s="129" t="s">
        <v>80</v>
      </c>
      <c r="Y12" t="s">
        <v>1218</v>
      </c>
      <c r="Z12" t="s">
        <v>1209</v>
      </c>
      <c r="AB12" t="s">
        <v>1219</v>
      </c>
      <c r="AC12" t="s">
        <v>1272</v>
      </c>
      <c r="AE12" t="s">
        <v>1239</v>
      </c>
      <c r="AG12" t="s">
        <v>80</v>
      </c>
      <c r="AJ12" s="89" t="s">
        <v>167</v>
      </c>
      <c r="AK12" s="89" t="s">
        <v>167</v>
      </c>
      <c r="AM12" s="89" t="s">
        <v>321</v>
      </c>
      <c r="AN12" s="89" t="s">
        <v>1016</v>
      </c>
    </row>
    <row r="13" spans="1:40" x14ac:dyDescent="0.25">
      <c r="A13" s="69" t="s">
        <v>262</v>
      </c>
      <c r="C13" s="69" t="s">
        <v>248</v>
      </c>
      <c r="F13" s="1" t="s">
        <v>167</v>
      </c>
      <c r="G13" s="1" t="s">
        <v>192</v>
      </c>
      <c r="J13" s="77" t="s">
        <v>321</v>
      </c>
      <c r="K13" s="77" t="s">
        <v>1027</v>
      </c>
      <c r="M13" s="1" t="s">
        <v>177</v>
      </c>
      <c r="O13" s="129" t="s">
        <v>79</v>
      </c>
      <c r="Q13" s="129" t="s">
        <v>90</v>
      </c>
      <c r="S13" s="129" t="s">
        <v>91</v>
      </c>
      <c r="U13" s="129" t="s">
        <v>1186</v>
      </c>
      <c r="W13" s="129" t="s">
        <v>79</v>
      </c>
      <c r="Y13" t="s">
        <v>1219</v>
      </c>
      <c r="Z13" t="s">
        <v>1210</v>
      </c>
      <c r="AB13" t="s">
        <v>1219</v>
      </c>
      <c r="AC13" t="s">
        <v>1273</v>
      </c>
      <c r="AE13" t="s">
        <v>1240</v>
      </c>
      <c r="AG13" t="s">
        <v>1232</v>
      </c>
      <c r="AJ13" s="89" t="s">
        <v>167</v>
      </c>
      <c r="AK13" s="89" t="s">
        <v>194</v>
      </c>
      <c r="AM13" s="89" t="s">
        <v>321</v>
      </c>
      <c r="AN13" s="89" t="s">
        <v>1017</v>
      </c>
    </row>
    <row r="14" spans="1:40" x14ac:dyDescent="0.25">
      <c r="A14">
        <v>0</v>
      </c>
      <c r="C14" t="s">
        <v>45</v>
      </c>
      <c r="F14" s="1" t="s">
        <v>167</v>
      </c>
      <c r="G14" s="1" t="s">
        <v>195</v>
      </c>
      <c r="J14" s="77" t="s">
        <v>321</v>
      </c>
      <c r="K14" s="77" t="s">
        <v>1029</v>
      </c>
      <c r="M14" s="1" t="s">
        <v>359</v>
      </c>
      <c r="O14" s="129" t="s">
        <v>1185</v>
      </c>
      <c r="Q14" s="129" t="s">
        <v>91</v>
      </c>
      <c r="S14" s="129" t="s">
        <v>1191</v>
      </c>
      <c r="U14" s="129" t="s">
        <v>1194</v>
      </c>
      <c r="W14" s="129" t="s">
        <v>1185</v>
      </c>
      <c r="Y14" t="s">
        <v>1220</v>
      </c>
      <c r="Z14" t="s">
        <v>1211</v>
      </c>
      <c r="AB14" t="s">
        <v>1219</v>
      </c>
      <c r="AC14" t="s">
        <v>1274</v>
      </c>
      <c r="AE14" t="s">
        <v>1241</v>
      </c>
      <c r="AG14" t="s">
        <v>1233</v>
      </c>
      <c r="AJ14" s="89" t="s">
        <v>167</v>
      </c>
      <c r="AK14" s="89" t="s">
        <v>192</v>
      </c>
      <c r="AM14" s="89" t="s">
        <v>321</v>
      </c>
      <c r="AN14" s="89" t="s">
        <v>1023</v>
      </c>
    </row>
    <row r="15" spans="1:40" x14ac:dyDescent="0.25">
      <c r="A15">
        <v>1</v>
      </c>
      <c r="C15" t="s">
        <v>249</v>
      </c>
      <c r="F15" s="1" t="s">
        <v>167</v>
      </c>
      <c r="G15" s="1" t="s">
        <v>197</v>
      </c>
      <c r="J15" s="77" t="s">
        <v>321</v>
      </c>
      <c r="K15" s="77" t="s">
        <v>1033</v>
      </c>
      <c r="M15" s="1" t="s">
        <v>178</v>
      </c>
      <c r="O15" s="129" t="s">
        <v>1186</v>
      </c>
      <c r="Q15" s="129" t="s">
        <v>92</v>
      </c>
      <c r="S15" s="129" t="s">
        <v>1189</v>
      </c>
      <c r="U15" s="129" t="s">
        <v>1195</v>
      </c>
      <c r="W15" s="129" t="s">
        <v>1186</v>
      </c>
      <c r="Y15" t="s">
        <v>1221</v>
      </c>
      <c r="Z15" t="s">
        <v>1212</v>
      </c>
      <c r="AB15" t="s">
        <v>1219</v>
      </c>
      <c r="AC15" t="s">
        <v>1275</v>
      </c>
      <c r="AE15" t="s">
        <v>1250</v>
      </c>
      <c r="AG15" t="s">
        <v>1238</v>
      </c>
      <c r="AJ15" s="89" t="s">
        <v>167</v>
      </c>
      <c r="AK15" s="89" t="s">
        <v>195</v>
      </c>
      <c r="AM15" s="89" t="s">
        <v>321</v>
      </c>
      <c r="AN15" s="89" t="s">
        <v>1027</v>
      </c>
    </row>
    <row r="16" spans="1:40" x14ac:dyDescent="0.25">
      <c r="C16" t="s">
        <v>250</v>
      </c>
      <c r="F16" s="1" t="s">
        <v>167</v>
      </c>
      <c r="G16" s="1" t="s">
        <v>199</v>
      </c>
      <c r="J16" s="77"/>
      <c r="K16" s="77"/>
      <c r="M16" s="1" t="s">
        <v>179</v>
      </c>
      <c r="O16" s="129" t="s">
        <v>1187</v>
      </c>
      <c r="Q16" s="129" t="s">
        <v>1189</v>
      </c>
      <c r="S16" s="86" t="s">
        <v>1187</v>
      </c>
      <c r="U16" s="86" t="s">
        <v>1187</v>
      </c>
      <c r="W16" s="129" t="s">
        <v>1187</v>
      </c>
      <c r="Y16" t="s">
        <v>1221</v>
      </c>
      <c r="Z16" t="s">
        <v>1213</v>
      </c>
      <c r="AB16" t="s">
        <v>1220</v>
      </c>
      <c r="AC16" t="s">
        <v>1220</v>
      </c>
      <c r="AE16" t="s">
        <v>1251</v>
      </c>
      <c r="AG16" t="s">
        <v>1239</v>
      </c>
      <c r="AJ16" s="89" t="s">
        <v>167</v>
      </c>
      <c r="AK16" s="89" t="s">
        <v>197</v>
      </c>
      <c r="AM16" s="89" t="s">
        <v>321</v>
      </c>
      <c r="AN16" s="89" t="s">
        <v>1029</v>
      </c>
    </row>
    <row r="17" spans="1:40" x14ac:dyDescent="0.25">
      <c r="C17" t="s">
        <v>251</v>
      </c>
      <c r="F17" s="1" t="s">
        <v>167</v>
      </c>
      <c r="G17" s="1" t="s">
        <v>201</v>
      </c>
      <c r="J17" s="77" t="s">
        <v>311</v>
      </c>
      <c r="K17" s="77" t="s">
        <v>706</v>
      </c>
      <c r="M17" s="1" t="s">
        <v>180</v>
      </c>
      <c r="O17" s="86" t="s">
        <v>1188</v>
      </c>
      <c r="Q17" s="86" t="s">
        <v>1187</v>
      </c>
      <c r="S17" s="86" t="s">
        <v>1188</v>
      </c>
      <c r="U17" s="86" t="s">
        <v>1188</v>
      </c>
      <c r="W17" s="86" t="s">
        <v>1188</v>
      </c>
      <c r="Y17" t="s">
        <v>1221</v>
      </c>
      <c r="Z17" t="s">
        <v>1214</v>
      </c>
      <c r="AB17" t="s">
        <v>1290</v>
      </c>
      <c r="AC17" t="s">
        <v>1276</v>
      </c>
      <c r="AE17" t="s">
        <v>1254</v>
      </c>
      <c r="AG17" t="s">
        <v>1364</v>
      </c>
      <c r="AJ17" s="89" t="s">
        <v>167</v>
      </c>
      <c r="AK17" s="89" t="s">
        <v>199</v>
      </c>
      <c r="AM17" s="89" t="s">
        <v>321</v>
      </c>
      <c r="AN17" s="89" t="s">
        <v>1033</v>
      </c>
    </row>
    <row r="18" spans="1:40" ht="30" x14ac:dyDescent="0.25">
      <c r="C18" t="s">
        <v>252</v>
      </c>
      <c r="F18" s="1" t="s">
        <v>167</v>
      </c>
      <c r="G18" s="1" t="s">
        <v>203</v>
      </c>
      <c r="J18" s="77" t="s">
        <v>311</v>
      </c>
      <c r="K18" s="77" t="s">
        <v>712</v>
      </c>
      <c r="M18" s="1" t="s">
        <v>181</v>
      </c>
      <c r="O18" s="86" t="s">
        <v>50</v>
      </c>
      <c r="Q18" s="86" t="s">
        <v>1188</v>
      </c>
      <c r="S18" s="129" t="s">
        <v>92</v>
      </c>
      <c r="U18" s="86" t="s">
        <v>50</v>
      </c>
      <c r="W18" s="129" t="s">
        <v>88</v>
      </c>
      <c r="Y18" t="s">
        <v>1221</v>
      </c>
      <c r="Z18" t="s">
        <v>1215</v>
      </c>
      <c r="AB18" t="s">
        <v>1290</v>
      </c>
      <c r="AC18" t="s">
        <v>1277</v>
      </c>
      <c r="AE18" t="s">
        <v>1255</v>
      </c>
      <c r="AG18" t="s">
        <v>1241</v>
      </c>
      <c r="AJ18" s="89" t="s">
        <v>167</v>
      </c>
      <c r="AK18" s="89" t="s">
        <v>201</v>
      </c>
      <c r="AM18" s="89" t="s">
        <v>321</v>
      </c>
      <c r="AN18" s="89" t="s">
        <v>418</v>
      </c>
    </row>
    <row r="19" spans="1:40" x14ac:dyDescent="0.25">
      <c r="C19" t="s">
        <v>253</v>
      </c>
      <c r="F19" s="1" t="s">
        <v>167</v>
      </c>
      <c r="G19" s="1" t="s">
        <v>204</v>
      </c>
      <c r="J19" s="77" t="s">
        <v>311</v>
      </c>
      <c r="K19" s="77" t="s">
        <v>720</v>
      </c>
      <c r="M19" s="1"/>
      <c r="Q19" s="86" t="s">
        <v>50</v>
      </c>
      <c r="S19" s="86" t="s">
        <v>50</v>
      </c>
      <c r="W19" s="129" t="s">
        <v>89</v>
      </c>
      <c r="Y19" t="s">
        <v>1221</v>
      </c>
      <c r="Z19" t="s">
        <v>1216</v>
      </c>
      <c r="AB19" t="s">
        <v>1290</v>
      </c>
      <c r="AC19" t="s">
        <v>1278</v>
      </c>
      <c r="AE19" t="s">
        <v>1258</v>
      </c>
      <c r="AG19" t="s">
        <v>1250</v>
      </c>
      <c r="AJ19" s="89" t="s">
        <v>167</v>
      </c>
      <c r="AK19" s="89" t="s">
        <v>203</v>
      </c>
      <c r="AM19" s="89" t="s">
        <v>311</v>
      </c>
      <c r="AN19" s="89" t="s">
        <v>706</v>
      </c>
    </row>
    <row r="20" spans="1:40" x14ac:dyDescent="0.25">
      <c r="A20" s="72" t="s">
        <v>1120</v>
      </c>
      <c r="C20" t="s">
        <v>254</v>
      </c>
      <c r="F20" s="1" t="s">
        <v>167</v>
      </c>
      <c r="G20" s="1" t="s">
        <v>205</v>
      </c>
      <c r="J20" s="77" t="s">
        <v>311</v>
      </c>
      <c r="K20" s="77" t="s">
        <v>721</v>
      </c>
      <c r="W20" s="129" t="s">
        <v>90</v>
      </c>
      <c r="Y20" t="s">
        <v>1221</v>
      </c>
      <c r="Z20" t="s">
        <v>1217</v>
      </c>
      <c r="AB20" t="s">
        <v>1290</v>
      </c>
      <c r="AC20" t="s">
        <v>1279</v>
      </c>
      <c r="AE20" t="s">
        <v>80</v>
      </c>
      <c r="AG20" t="s">
        <v>1384</v>
      </c>
      <c r="AJ20" s="89" t="s">
        <v>167</v>
      </c>
      <c r="AK20" s="89" t="s">
        <v>204</v>
      </c>
      <c r="AM20" s="89" t="s">
        <v>311</v>
      </c>
      <c r="AN20" s="89" t="s">
        <v>712</v>
      </c>
    </row>
    <row r="21" spans="1:40" x14ac:dyDescent="0.25">
      <c r="A21" s="73" t="s">
        <v>1117</v>
      </c>
      <c r="C21" t="s">
        <v>255</v>
      </c>
      <c r="F21" s="1"/>
      <c r="G21" s="1"/>
      <c r="J21" s="77" t="s">
        <v>311</v>
      </c>
      <c r="K21" s="77" t="s">
        <v>726</v>
      </c>
      <c r="W21" s="129" t="s">
        <v>91</v>
      </c>
      <c r="Y21" t="s">
        <v>1221</v>
      </c>
      <c r="Z21" t="s">
        <v>1222</v>
      </c>
      <c r="AB21" t="s">
        <v>1290</v>
      </c>
      <c r="AC21" t="s">
        <v>1280</v>
      </c>
      <c r="AE21" t="s">
        <v>1261</v>
      </c>
      <c r="AG21" t="s">
        <v>1389</v>
      </c>
      <c r="AJ21" s="89" t="s">
        <v>167</v>
      </c>
      <c r="AK21" s="89" t="s">
        <v>205</v>
      </c>
      <c r="AM21" s="89" t="s">
        <v>311</v>
      </c>
      <c r="AN21" s="89" t="s">
        <v>720</v>
      </c>
    </row>
    <row r="22" spans="1:40" ht="25.5" x14ac:dyDescent="0.25">
      <c r="A22" s="73" t="s">
        <v>1118</v>
      </c>
      <c r="C22" t="s">
        <v>256</v>
      </c>
      <c r="F22" s="1" t="s">
        <v>168</v>
      </c>
      <c r="G22" s="1" t="s">
        <v>371</v>
      </c>
      <c r="J22" s="77" t="s">
        <v>311</v>
      </c>
      <c r="K22" s="77" t="s">
        <v>311</v>
      </c>
      <c r="W22" s="129" t="s">
        <v>92</v>
      </c>
      <c r="Y22" t="s">
        <v>1221</v>
      </c>
      <c r="Z22" t="s">
        <v>1223</v>
      </c>
      <c r="AB22" t="s">
        <v>1290</v>
      </c>
      <c r="AC22" t="s">
        <v>1281</v>
      </c>
      <c r="AG22" t="s">
        <v>1392</v>
      </c>
      <c r="AJ22" s="89"/>
      <c r="AK22" s="89"/>
      <c r="AM22" s="89" t="s">
        <v>311</v>
      </c>
      <c r="AN22" s="89" t="s">
        <v>721</v>
      </c>
    </row>
    <row r="23" spans="1:40" x14ac:dyDescent="0.25">
      <c r="A23" s="73" t="s">
        <v>1182</v>
      </c>
      <c r="C23" t="s">
        <v>257</v>
      </c>
      <c r="F23" s="1" t="s">
        <v>168</v>
      </c>
      <c r="G23" s="1" t="s">
        <v>374</v>
      </c>
      <c r="J23" s="77"/>
      <c r="K23" s="77"/>
      <c r="W23" s="129" t="s">
        <v>1189</v>
      </c>
      <c r="Y23" t="s">
        <v>85</v>
      </c>
      <c r="Z23" t="s">
        <v>1224</v>
      </c>
      <c r="AB23" t="s">
        <v>1290</v>
      </c>
      <c r="AC23" t="s">
        <v>1282</v>
      </c>
      <c r="AG23" t="s">
        <v>1401</v>
      </c>
      <c r="AJ23" s="89" t="s">
        <v>168</v>
      </c>
      <c r="AK23" s="89" t="s">
        <v>371</v>
      </c>
      <c r="AM23" s="89" t="s">
        <v>311</v>
      </c>
      <c r="AN23" s="89" t="s">
        <v>726</v>
      </c>
    </row>
    <row r="24" spans="1:40" x14ac:dyDescent="0.25">
      <c r="A24" s="73" t="s">
        <v>1119</v>
      </c>
      <c r="C24" t="s">
        <v>258</v>
      </c>
      <c r="F24" s="1" t="s">
        <v>168</v>
      </c>
      <c r="G24" s="1" t="s">
        <v>375</v>
      </c>
      <c r="J24" s="77" t="s">
        <v>384</v>
      </c>
      <c r="K24" s="77" t="s">
        <v>741</v>
      </c>
      <c r="W24" s="129" t="s">
        <v>1191</v>
      </c>
      <c r="Y24" t="s">
        <v>1234</v>
      </c>
      <c r="Z24" t="s">
        <v>1225</v>
      </c>
      <c r="AB24" t="s">
        <v>1290</v>
      </c>
      <c r="AC24" t="s">
        <v>1283</v>
      </c>
      <c r="AG24" t="s">
        <v>1254</v>
      </c>
      <c r="AJ24" s="89" t="s">
        <v>168</v>
      </c>
      <c r="AK24" s="89" t="s">
        <v>374</v>
      </c>
      <c r="AM24" s="89" t="s">
        <v>311</v>
      </c>
      <c r="AN24" s="89" t="s">
        <v>311</v>
      </c>
    </row>
    <row r="25" spans="1:40" ht="30" x14ac:dyDescent="0.25">
      <c r="C25" t="s">
        <v>259</v>
      </c>
      <c r="F25" s="1" t="s">
        <v>168</v>
      </c>
      <c r="G25" s="1" t="s">
        <v>376</v>
      </c>
      <c r="J25" s="77" t="s">
        <v>384</v>
      </c>
      <c r="K25" s="77" t="s">
        <v>742</v>
      </c>
      <c r="W25" s="129" t="s">
        <v>1192</v>
      </c>
      <c r="Y25" t="s">
        <v>1235</v>
      </c>
      <c r="Z25" t="s">
        <v>1226</v>
      </c>
      <c r="AB25" t="s">
        <v>1290</v>
      </c>
      <c r="AC25" t="s">
        <v>1284</v>
      </c>
      <c r="AG25" t="s">
        <v>1251</v>
      </c>
      <c r="AJ25" s="89" t="s">
        <v>168</v>
      </c>
      <c r="AK25" s="89" t="s">
        <v>375</v>
      </c>
      <c r="AM25" s="89" t="s">
        <v>311</v>
      </c>
      <c r="AN25" s="89" t="s">
        <v>418</v>
      </c>
    </row>
    <row r="26" spans="1:40" x14ac:dyDescent="0.25">
      <c r="C26" t="s">
        <v>260</v>
      </c>
      <c r="F26" s="1" t="s">
        <v>168</v>
      </c>
      <c r="G26" s="1" t="s">
        <v>377</v>
      </c>
      <c r="J26" s="77" t="s">
        <v>384</v>
      </c>
      <c r="K26" s="77" t="s">
        <v>743</v>
      </c>
      <c r="W26" s="129" t="s">
        <v>1193</v>
      </c>
      <c r="Y26" t="s">
        <v>1235</v>
      </c>
      <c r="Z26" t="s">
        <v>1227</v>
      </c>
      <c r="AB26" t="s">
        <v>1290</v>
      </c>
      <c r="AC26" t="s">
        <v>1285</v>
      </c>
      <c r="AG26" t="s">
        <v>1255</v>
      </c>
      <c r="AJ26" s="89" t="s">
        <v>168</v>
      </c>
      <c r="AK26" s="89" t="s">
        <v>376</v>
      </c>
      <c r="AM26" s="89" t="s">
        <v>384</v>
      </c>
      <c r="AN26" s="89" t="s">
        <v>741</v>
      </c>
    </row>
    <row r="27" spans="1:40" x14ac:dyDescent="0.25">
      <c r="A27" s="74" t="s">
        <v>1121</v>
      </c>
      <c r="C27" t="s">
        <v>261</v>
      </c>
      <c r="F27" s="1" t="s">
        <v>168</v>
      </c>
      <c r="G27" s="1" t="s">
        <v>378</v>
      </c>
      <c r="J27" s="77" t="s">
        <v>384</v>
      </c>
      <c r="K27" s="77" t="s">
        <v>744</v>
      </c>
      <c r="W27" s="129" t="s">
        <v>1194</v>
      </c>
      <c r="Y27" t="s">
        <v>1232</v>
      </c>
      <c r="Z27" t="s">
        <v>1228</v>
      </c>
      <c r="AB27" t="s">
        <v>1290</v>
      </c>
      <c r="AC27" t="s">
        <v>1286</v>
      </c>
      <c r="AG27" t="s">
        <v>1258</v>
      </c>
      <c r="AJ27" s="89" t="s">
        <v>168</v>
      </c>
      <c r="AK27" s="89" t="s">
        <v>377</v>
      </c>
      <c r="AM27" s="89" t="s">
        <v>384</v>
      </c>
      <c r="AN27" s="89" t="s">
        <v>742</v>
      </c>
    </row>
    <row r="28" spans="1:40" ht="25.5" x14ac:dyDescent="0.25">
      <c r="A28" s="73" t="s">
        <v>1434</v>
      </c>
      <c r="F28" s="1" t="s">
        <v>168</v>
      </c>
      <c r="G28" s="1" t="s">
        <v>379</v>
      </c>
      <c r="J28" s="77"/>
      <c r="K28" s="77"/>
      <c r="W28" s="129" t="s">
        <v>1195</v>
      </c>
      <c r="Y28" t="s">
        <v>1233</v>
      </c>
      <c r="Z28" t="s">
        <v>1229</v>
      </c>
      <c r="AB28" t="s">
        <v>1290</v>
      </c>
      <c r="AC28" t="s">
        <v>1287</v>
      </c>
      <c r="AG28" t="s">
        <v>1431</v>
      </c>
      <c r="AJ28" s="89" t="s">
        <v>168</v>
      </c>
      <c r="AK28" s="89" t="s">
        <v>378</v>
      </c>
      <c r="AM28" s="89" t="s">
        <v>384</v>
      </c>
      <c r="AN28" s="89" t="s">
        <v>743</v>
      </c>
    </row>
    <row r="29" spans="1:40" x14ac:dyDescent="0.25">
      <c r="A29" s="73" t="s">
        <v>1122</v>
      </c>
      <c r="F29" s="1" t="s">
        <v>168</v>
      </c>
      <c r="G29" s="1" t="s">
        <v>380</v>
      </c>
      <c r="J29" s="77" t="s">
        <v>182</v>
      </c>
      <c r="K29" s="77" t="s">
        <v>182</v>
      </c>
      <c r="Y29" t="s">
        <v>1233</v>
      </c>
      <c r="Z29" t="s">
        <v>1209</v>
      </c>
      <c r="AB29" t="s">
        <v>1290</v>
      </c>
      <c r="AC29" t="s">
        <v>1288</v>
      </c>
      <c r="AJ29" s="89" t="s">
        <v>168</v>
      </c>
      <c r="AK29" s="89" t="s">
        <v>379</v>
      </c>
      <c r="AM29" s="89" t="s">
        <v>384</v>
      </c>
      <c r="AN29" s="89" t="s">
        <v>744</v>
      </c>
    </row>
    <row r="30" spans="1:40" ht="30" x14ac:dyDescent="0.25">
      <c r="A30" s="73" t="s">
        <v>1123</v>
      </c>
      <c r="C30" s="69" t="s">
        <v>263</v>
      </c>
      <c r="F30" s="1" t="s">
        <v>168</v>
      </c>
      <c r="G30" s="1" t="s">
        <v>381</v>
      </c>
      <c r="J30" s="77" t="s">
        <v>182</v>
      </c>
      <c r="K30" s="77" t="s">
        <v>186</v>
      </c>
      <c r="Y30" t="s">
        <v>1238</v>
      </c>
      <c r="Z30" t="s">
        <v>1236</v>
      </c>
      <c r="AB30" t="s">
        <v>1290</v>
      </c>
      <c r="AC30" t="s">
        <v>1289</v>
      </c>
      <c r="AJ30" s="89" t="s">
        <v>168</v>
      </c>
      <c r="AK30" s="89" t="s">
        <v>380</v>
      </c>
      <c r="AM30" s="89" t="s">
        <v>384</v>
      </c>
      <c r="AN30" s="89" t="s">
        <v>418</v>
      </c>
    </row>
    <row r="31" spans="1:40" x14ac:dyDescent="0.25">
      <c r="A31" s="73" t="s">
        <v>1124</v>
      </c>
      <c r="C31" t="s">
        <v>264</v>
      </c>
      <c r="F31" s="1" t="s">
        <v>168</v>
      </c>
      <c r="G31" s="1" t="s">
        <v>211</v>
      </c>
      <c r="J31" s="77" t="s">
        <v>182</v>
      </c>
      <c r="K31" s="77" t="s">
        <v>209</v>
      </c>
      <c r="Y31" t="s">
        <v>1238</v>
      </c>
      <c r="Z31" t="s">
        <v>1237</v>
      </c>
      <c r="AB31" t="s">
        <v>1221</v>
      </c>
      <c r="AC31" t="s">
        <v>1291</v>
      </c>
      <c r="AJ31" s="89" t="s">
        <v>168</v>
      </c>
      <c r="AK31" s="89" t="s">
        <v>381</v>
      </c>
      <c r="AM31" s="89" t="s">
        <v>182</v>
      </c>
      <c r="AN31" s="89" t="s">
        <v>182</v>
      </c>
    </row>
    <row r="32" spans="1:40" x14ac:dyDescent="0.25">
      <c r="A32" s="73" t="s">
        <v>1116</v>
      </c>
      <c r="C32" t="s">
        <v>265</v>
      </c>
      <c r="F32" s="1"/>
      <c r="G32" s="1"/>
      <c r="J32" s="77"/>
      <c r="K32" s="77"/>
      <c r="Y32" t="s">
        <v>1239</v>
      </c>
      <c r="Z32" t="s">
        <v>1242</v>
      </c>
      <c r="AB32" t="s">
        <v>1221</v>
      </c>
      <c r="AC32" t="s">
        <v>1292</v>
      </c>
      <c r="AJ32" s="89" t="s">
        <v>168</v>
      </c>
      <c r="AK32" s="89" t="s">
        <v>211</v>
      </c>
      <c r="AM32" s="89" t="s">
        <v>182</v>
      </c>
      <c r="AN32" s="89" t="s">
        <v>186</v>
      </c>
    </row>
    <row r="33" spans="1:40" x14ac:dyDescent="0.25">
      <c r="C33" t="s">
        <v>266</v>
      </c>
      <c r="F33" s="1" t="s">
        <v>169</v>
      </c>
      <c r="G33" s="1" t="s">
        <v>235</v>
      </c>
      <c r="J33" s="77"/>
      <c r="K33" s="77"/>
      <c r="Y33" t="s">
        <v>1240</v>
      </c>
      <c r="Z33" t="s">
        <v>1243</v>
      </c>
      <c r="AB33" t="s">
        <v>1221</v>
      </c>
      <c r="AC33" t="s">
        <v>1293</v>
      </c>
      <c r="AJ33" s="89"/>
      <c r="AK33" s="89"/>
      <c r="AM33" s="89" t="s">
        <v>182</v>
      </c>
      <c r="AN33" s="89" t="s">
        <v>209</v>
      </c>
    </row>
    <row r="34" spans="1:40" ht="30" x14ac:dyDescent="0.25">
      <c r="C34" t="s">
        <v>267</v>
      </c>
      <c r="F34" s="1" t="s">
        <v>169</v>
      </c>
      <c r="G34" s="1" t="s">
        <v>369</v>
      </c>
      <c r="J34" s="77" t="s">
        <v>399</v>
      </c>
      <c r="K34" s="77" t="s">
        <v>1077</v>
      </c>
      <c r="Y34" t="s">
        <v>1240</v>
      </c>
      <c r="Z34" t="s">
        <v>1244</v>
      </c>
      <c r="AB34" t="s">
        <v>1221</v>
      </c>
      <c r="AC34" t="s">
        <v>1294</v>
      </c>
      <c r="AJ34" s="89" t="s">
        <v>169</v>
      </c>
      <c r="AK34" s="89" t="s">
        <v>235</v>
      </c>
      <c r="AM34" s="89" t="s">
        <v>182</v>
      </c>
      <c r="AN34" s="89" t="s">
        <v>418</v>
      </c>
    </row>
    <row r="35" spans="1:40" ht="30" x14ac:dyDescent="0.25">
      <c r="A35" s="74" t="s">
        <v>1137</v>
      </c>
      <c r="C35" t="s">
        <v>268</v>
      </c>
      <c r="F35" s="1" t="s">
        <v>169</v>
      </c>
      <c r="G35" s="1" t="s">
        <v>169</v>
      </c>
      <c r="J35" s="77" t="s">
        <v>374</v>
      </c>
      <c r="K35" s="77" t="s">
        <v>517</v>
      </c>
      <c r="Y35" t="s">
        <v>1241</v>
      </c>
      <c r="Z35" t="s">
        <v>1245</v>
      </c>
      <c r="AB35" t="s">
        <v>1221</v>
      </c>
      <c r="AC35" t="s">
        <v>1295</v>
      </c>
      <c r="AJ35" s="89" t="s">
        <v>169</v>
      </c>
      <c r="AK35" s="89" t="s">
        <v>369</v>
      </c>
      <c r="AM35" s="89" t="s">
        <v>399</v>
      </c>
      <c r="AN35" s="89" t="s">
        <v>418</v>
      </c>
    </row>
    <row r="36" spans="1:40" x14ac:dyDescent="0.25">
      <c r="A36" s="15" t="s">
        <v>1138</v>
      </c>
      <c r="B36" s="3"/>
      <c r="C36" t="s">
        <v>269</v>
      </c>
      <c r="F36" s="1" t="s">
        <v>169</v>
      </c>
      <c r="G36" s="1" t="s">
        <v>212</v>
      </c>
      <c r="J36" s="77" t="s">
        <v>374</v>
      </c>
      <c r="K36" s="77" t="s">
        <v>522</v>
      </c>
      <c r="Y36" t="s">
        <v>1241</v>
      </c>
      <c r="Z36" t="s">
        <v>1246</v>
      </c>
      <c r="AB36" t="s">
        <v>1221</v>
      </c>
      <c r="AC36" t="s">
        <v>1296</v>
      </c>
      <c r="AJ36" s="89" t="s">
        <v>169</v>
      </c>
      <c r="AK36" s="89" t="s">
        <v>169</v>
      </c>
      <c r="AM36" s="89" t="s">
        <v>399</v>
      </c>
      <c r="AN36" s="89" t="s">
        <v>1077</v>
      </c>
    </row>
    <row r="37" spans="1:40" x14ac:dyDescent="0.25">
      <c r="A37" s="15" t="s">
        <v>1139</v>
      </c>
      <c r="B37" s="3"/>
      <c r="C37" t="s">
        <v>270</v>
      </c>
      <c r="F37" s="1"/>
      <c r="G37" s="1"/>
      <c r="J37" s="77" t="s">
        <v>374</v>
      </c>
      <c r="K37" s="77" t="s">
        <v>526</v>
      </c>
      <c r="Y37" t="s">
        <v>1241</v>
      </c>
      <c r="Z37" t="s">
        <v>1247</v>
      </c>
      <c r="AB37" t="s">
        <v>1221</v>
      </c>
      <c r="AC37" t="s">
        <v>1297</v>
      </c>
      <c r="AJ37" s="89" t="s">
        <v>169</v>
      </c>
      <c r="AK37" s="89" t="s">
        <v>212</v>
      </c>
      <c r="AM37" s="89" t="s">
        <v>374</v>
      </c>
      <c r="AN37" s="89" t="s">
        <v>517</v>
      </c>
    </row>
    <row r="38" spans="1:40" x14ac:dyDescent="0.25">
      <c r="A38" s="15" t="s">
        <v>1140</v>
      </c>
      <c r="B38" s="3"/>
      <c r="C38" t="s">
        <v>271</v>
      </c>
      <c r="F38" s="1" t="s">
        <v>172</v>
      </c>
      <c r="G38" s="1" t="s">
        <v>292</v>
      </c>
      <c r="J38" s="77" t="s">
        <v>374</v>
      </c>
      <c r="K38" s="77" t="s">
        <v>533</v>
      </c>
      <c r="Y38" t="s">
        <v>1241</v>
      </c>
      <c r="Z38" t="s">
        <v>1248</v>
      </c>
      <c r="AB38" t="s">
        <v>1221</v>
      </c>
      <c r="AC38" t="s">
        <v>1298</v>
      </c>
      <c r="AJ38" s="89"/>
      <c r="AK38" s="89"/>
      <c r="AM38" s="89" t="s">
        <v>374</v>
      </c>
      <c r="AN38" s="89" t="s">
        <v>522</v>
      </c>
    </row>
    <row r="39" spans="1:40" x14ac:dyDescent="0.25">
      <c r="A39" s="15" t="s">
        <v>1141</v>
      </c>
      <c r="B39" s="3"/>
      <c r="F39" s="1" t="s">
        <v>172</v>
      </c>
      <c r="G39" s="1" t="s">
        <v>293</v>
      </c>
      <c r="J39" s="77" t="s">
        <v>374</v>
      </c>
      <c r="K39" s="77" t="s">
        <v>555</v>
      </c>
      <c r="Y39" t="s">
        <v>1250</v>
      </c>
      <c r="Z39" t="s">
        <v>1249</v>
      </c>
      <c r="AB39" t="s">
        <v>85</v>
      </c>
      <c r="AC39" t="s">
        <v>1299</v>
      </c>
      <c r="AJ39" s="89" t="s">
        <v>172</v>
      </c>
      <c r="AK39" s="89" t="s">
        <v>292</v>
      </c>
      <c r="AM39" s="89" t="s">
        <v>374</v>
      </c>
      <c r="AN39" s="89" t="s">
        <v>526</v>
      </c>
    </row>
    <row r="40" spans="1:40" x14ac:dyDescent="0.25">
      <c r="F40" s="1" t="s">
        <v>172</v>
      </c>
      <c r="G40" s="1" t="s">
        <v>294</v>
      </c>
      <c r="J40" s="77"/>
      <c r="K40" s="77"/>
      <c r="Y40" t="s">
        <v>1251</v>
      </c>
      <c r="Z40" t="s">
        <v>1252</v>
      </c>
      <c r="AB40" t="s">
        <v>85</v>
      </c>
      <c r="AC40" t="s">
        <v>1300</v>
      </c>
      <c r="AJ40" s="89" t="s">
        <v>172</v>
      </c>
      <c r="AK40" s="89" t="s">
        <v>293</v>
      </c>
      <c r="AM40" s="89" t="s">
        <v>374</v>
      </c>
      <c r="AN40" s="89" t="s">
        <v>533</v>
      </c>
    </row>
    <row r="41" spans="1:40" x14ac:dyDescent="0.25">
      <c r="A41" s="78" t="s">
        <v>1142</v>
      </c>
      <c r="F41" s="1" t="s">
        <v>172</v>
      </c>
      <c r="G41" s="1" t="s">
        <v>295</v>
      </c>
      <c r="J41" s="77" t="s">
        <v>194</v>
      </c>
      <c r="K41" s="77" t="s">
        <v>194</v>
      </c>
      <c r="Y41" t="s">
        <v>1254</v>
      </c>
      <c r="Z41" t="s">
        <v>1253</v>
      </c>
      <c r="AB41" t="s">
        <v>85</v>
      </c>
      <c r="AC41" t="s">
        <v>1301</v>
      </c>
      <c r="AJ41" s="89" t="s">
        <v>172</v>
      </c>
      <c r="AK41" s="89" t="s">
        <v>294</v>
      </c>
      <c r="AM41" s="89" t="s">
        <v>374</v>
      </c>
      <c r="AN41" s="89" t="s">
        <v>555</v>
      </c>
    </row>
    <row r="42" spans="1:40" ht="30" x14ac:dyDescent="0.25">
      <c r="A42" s="16" t="s">
        <v>1143</v>
      </c>
      <c r="F42" s="1" t="s">
        <v>172</v>
      </c>
      <c r="G42" s="1" t="s">
        <v>296</v>
      </c>
      <c r="J42" s="77" t="s">
        <v>194</v>
      </c>
      <c r="K42" s="77" t="s">
        <v>452</v>
      </c>
      <c r="Y42" t="s">
        <v>1255</v>
      </c>
      <c r="Z42" t="s">
        <v>1256</v>
      </c>
      <c r="AB42" t="s">
        <v>85</v>
      </c>
      <c r="AC42" t="s">
        <v>1302</v>
      </c>
      <c r="AJ42" s="89" t="s">
        <v>172</v>
      </c>
      <c r="AK42" s="89" t="s">
        <v>295</v>
      </c>
      <c r="AM42" s="89" t="s">
        <v>374</v>
      </c>
      <c r="AN42" s="89" t="s">
        <v>418</v>
      </c>
    </row>
    <row r="43" spans="1:40" x14ac:dyDescent="0.25">
      <c r="A43" s="16" t="s">
        <v>1144</v>
      </c>
      <c r="F43" s="1" t="s">
        <v>172</v>
      </c>
      <c r="G43" s="1" t="s">
        <v>225</v>
      </c>
      <c r="J43" s="77" t="s">
        <v>194</v>
      </c>
      <c r="K43" s="77" t="s">
        <v>460</v>
      </c>
      <c r="Y43" t="s">
        <v>1258</v>
      </c>
      <c r="Z43" t="s">
        <v>1257</v>
      </c>
      <c r="AB43" t="s">
        <v>1303</v>
      </c>
      <c r="AC43" t="s">
        <v>1304</v>
      </c>
      <c r="AJ43" s="89" t="s">
        <v>172</v>
      </c>
      <c r="AK43" s="89" t="s">
        <v>296</v>
      </c>
      <c r="AM43" s="89" t="s">
        <v>194</v>
      </c>
      <c r="AN43" s="89" t="s">
        <v>194</v>
      </c>
    </row>
    <row r="44" spans="1:40" x14ac:dyDescent="0.25">
      <c r="A44" s="16" t="s">
        <v>1141</v>
      </c>
      <c r="F44" s="1"/>
      <c r="G44" s="1"/>
      <c r="J44" s="77" t="s">
        <v>194</v>
      </c>
      <c r="K44" s="77" t="s">
        <v>464</v>
      </c>
      <c r="Y44" t="s">
        <v>1255</v>
      </c>
      <c r="Z44" t="s">
        <v>1259</v>
      </c>
      <c r="AB44" t="s">
        <v>1303</v>
      </c>
      <c r="AC44" t="s">
        <v>1305</v>
      </c>
      <c r="AJ44" s="89" t="s">
        <v>172</v>
      </c>
      <c r="AK44" s="89" t="s">
        <v>225</v>
      </c>
      <c r="AM44" s="89" t="s">
        <v>194</v>
      </c>
      <c r="AN44" s="89" t="s">
        <v>452</v>
      </c>
    </row>
    <row r="45" spans="1:40" x14ac:dyDescent="0.25">
      <c r="F45" s="1" t="s">
        <v>173</v>
      </c>
      <c r="G45" s="1" t="s">
        <v>329</v>
      </c>
      <c r="J45" s="77" t="s">
        <v>194</v>
      </c>
      <c r="K45" s="77" t="s">
        <v>467</v>
      </c>
      <c r="Y45" t="s">
        <v>80</v>
      </c>
      <c r="Z45" t="s">
        <v>1260</v>
      </c>
      <c r="AB45" t="s">
        <v>1303</v>
      </c>
      <c r="AC45" t="s">
        <v>1306</v>
      </c>
      <c r="AJ45" s="89"/>
      <c r="AK45" s="89"/>
      <c r="AM45" s="89" t="s">
        <v>194</v>
      </c>
      <c r="AN45" s="89" t="s">
        <v>460</v>
      </c>
    </row>
    <row r="46" spans="1:40" x14ac:dyDescent="0.25">
      <c r="F46" s="1" t="s">
        <v>173</v>
      </c>
      <c r="G46" s="1" t="s">
        <v>330</v>
      </c>
      <c r="J46" s="77" t="s">
        <v>194</v>
      </c>
      <c r="K46" s="77" t="s">
        <v>510</v>
      </c>
      <c r="Y46" t="s">
        <v>1261</v>
      </c>
      <c r="Z46" t="s">
        <v>1262</v>
      </c>
      <c r="AB46" t="s">
        <v>1303</v>
      </c>
      <c r="AC46" t="s">
        <v>1307</v>
      </c>
      <c r="AJ46" s="89" t="s">
        <v>173</v>
      </c>
      <c r="AK46" s="89" t="s">
        <v>329</v>
      </c>
      <c r="AM46" s="89" t="s">
        <v>194</v>
      </c>
      <c r="AN46" s="89" t="s">
        <v>464</v>
      </c>
    </row>
    <row r="47" spans="1:40" x14ac:dyDescent="0.25">
      <c r="A47" s="96" t="s">
        <v>1442</v>
      </c>
      <c r="F47" s="1" t="s">
        <v>173</v>
      </c>
      <c r="G47" s="1" t="s">
        <v>173</v>
      </c>
      <c r="J47" s="77"/>
      <c r="K47" s="77"/>
      <c r="Y47" t="s">
        <v>1261</v>
      </c>
      <c r="Z47" t="s">
        <v>1263</v>
      </c>
      <c r="AB47" t="s">
        <v>1303</v>
      </c>
      <c r="AC47" t="s">
        <v>1308</v>
      </c>
      <c r="AJ47" s="89" t="s">
        <v>173</v>
      </c>
      <c r="AK47" s="89" t="s">
        <v>330</v>
      </c>
      <c r="AM47" s="89" t="s">
        <v>194</v>
      </c>
      <c r="AN47" s="89" t="s">
        <v>467</v>
      </c>
    </row>
    <row r="48" spans="1:40" x14ac:dyDescent="0.25">
      <c r="A48" s="73" t="s">
        <v>1435</v>
      </c>
      <c r="F48" s="1" t="s">
        <v>173</v>
      </c>
      <c r="G48" s="1" t="s">
        <v>331</v>
      </c>
      <c r="J48" s="77" t="s">
        <v>330</v>
      </c>
      <c r="K48" s="77" t="s">
        <v>330</v>
      </c>
      <c r="AB48" t="s">
        <v>1303</v>
      </c>
      <c r="AC48" t="s">
        <v>1309</v>
      </c>
      <c r="AJ48" s="89" t="s">
        <v>173</v>
      </c>
      <c r="AK48" s="89" t="s">
        <v>173</v>
      </c>
      <c r="AM48" s="89" t="s">
        <v>194</v>
      </c>
      <c r="AN48" s="89" t="s">
        <v>510</v>
      </c>
    </row>
    <row r="49" spans="1:40" ht="30" x14ac:dyDescent="0.25">
      <c r="A49" s="73" t="s">
        <v>1436</v>
      </c>
      <c r="F49" s="1" t="s">
        <v>173</v>
      </c>
      <c r="G49" s="1" t="s">
        <v>332</v>
      </c>
      <c r="J49" s="77" t="s">
        <v>330</v>
      </c>
      <c r="K49" s="77" t="s">
        <v>590</v>
      </c>
      <c r="AB49" t="s">
        <v>1303</v>
      </c>
      <c r="AC49" t="s">
        <v>1310</v>
      </c>
      <c r="AJ49" s="89" t="s">
        <v>173</v>
      </c>
      <c r="AK49" s="89" t="s">
        <v>331</v>
      </c>
      <c r="AM49" s="89" t="s">
        <v>194</v>
      </c>
      <c r="AN49" s="89" t="s">
        <v>418</v>
      </c>
    </row>
    <row r="50" spans="1:40" x14ac:dyDescent="0.25">
      <c r="A50" s="73" t="s">
        <v>1434</v>
      </c>
      <c r="F50" s="1" t="s">
        <v>173</v>
      </c>
      <c r="G50" s="1" t="s">
        <v>333</v>
      </c>
      <c r="J50" s="77" t="s">
        <v>330</v>
      </c>
      <c r="K50" s="77" t="s">
        <v>601</v>
      </c>
      <c r="AB50" t="s">
        <v>1234</v>
      </c>
      <c r="AC50" t="s">
        <v>1311</v>
      </c>
      <c r="AJ50" s="89" t="s">
        <v>173</v>
      </c>
      <c r="AK50" s="89" t="s">
        <v>332</v>
      </c>
      <c r="AM50" s="89" t="s">
        <v>330</v>
      </c>
      <c r="AN50" s="89" t="s">
        <v>330</v>
      </c>
    </row>
    <row r="51" spans="1:40" x14ac:dyDescent="0.25">
      <c r="A51" s="73" t="s">
        <v>1437</v>
      </c>
      <c r="F51" s="1" t="s">
        <v>173</v>
      </c>
      <c r="G51" s="1" t="s">
        <v>334</v>
      </c>
      <c r="J51" s="77" t="s">
        <v>330</v>
      </c>
      <c r="K51" s="77" t="s">
        <v>609</v>
      </c>
      <c r="AB51" t="s">
        <v>1234</v>
      </c>
      <c r="AC51" t="s">
        <v>1312</v>
      </c>
      <c r="AJ51" s="89" t="s">
        <v>173</v>
      </c>
      <c r="AK51" s="89" t="s">
        <v>333</v>
      </c>
      <c r="AM51" s="89" t="s">
        <v>330</v>
      </c>
      <c r="AN51" s="89" t="s">
        <v>590</v>
      </c>
    </row>
    <row r="52" spans="1:40" x14ac:dyDescent="0.25">
      <c r="A52" s="73" t="s">
        <v>1438</v>
      </c>
      <c r="F52" s="1" t="s">
        <v>173</v>
      </c>
      <c r="G52" s="1" t="s">
        <v>335</v>
      </c>
      <c r="J52" s="77" t="s">
        <v>330</v>
      </c>
      <c r="K52" s="77" t="s">
        <v>610</v>
      </c>
      <c r="AB52" t="s">
        <v>1234</v>
      </c>
      <c r="AC52" t="s">
        <v>1313</v>
      </c>
      <c r="AJ52" s="89" t="s">
        <v>173</v>
      </c>
      <c r="AK52" s="89" t="s">
        <v>334</v>
      </c>
      <c r="AM52" s="89" t="s">
        <v>330</v>
      </c>
      <c r="AN52" s="89" t="s">
        <v>601</v>
      </c>
    </row>
    <row r="53" spans="1:40" x14ac:dyDescent="0.25">
      <c r="A53" s="73" t="s">
        <v>1456</v>
      </c>
      <c r="F53" s="1" t="s">
        <v>173</v>
      </c>
      <c r="G53" s="1" t="s">
        <v>336</v>
      </c>
      <c r="J53" s="77"/>
      <c r="K53" s="77"/>
      <c r="AB53" t="s">
        <v>1314</v>
      </c>
      <c r="AC53" t="s">
        <v>1315</v>
      </c>
      <c r="AJ53" s="89" t="s">
        <v>173</v>
      </c>
      <c r="AK53" s="89" t="s">
        <v>335</v>
      </c>
      <c r="AM53" s="89" t="s">
        <v>330</v>
      </c>
      <c r="AN53" s="89" t="s">
        <v>609</v>
      </c>
    </row>
    <row r="54" spans="1:40" x14ac:dyDescent="0.25">
      <c r="A54" s="73" t="s">
        <v>1457</v>
      </c>
      <c r="F54" s="1" t="s">
        <v>173</v>
      </c>
      <c r="G54" s="1" t="s">
        <v>337</v>
      </c>
      <c r="J54" s="77" t="s">
        <v>192</v>
      </c>
      <c r="K54" s="77" t="s">
        <v>192</v>
      </c>
      <c r="AB54" t="s">
        <v>1314</v>
      </c>
      <c r="AC54" t="s">
        <v>1230</v>
      </c>
      <c r="AJ54" s="89" t="s">
        <v>173</v>
      </c>
      <c r="AK54" s="89" t="s">
        <v>336</v>
      </c>
      <c r="AM54" s="89" t="s">
        <v>330</v>
      </c>
      <c r="AN54" s="89" t="s">
        <v>610</v>
      </c>
    </row>
    <row r="55" spans="1:40" ht="30" x14ac:dyDescent="0.25">
      <c r="A55" s="73" t="s">
        <v>1439</v>
      </c>
      <c r="F55" s="1" t="s">
        <v>173</v>
      </c>
      <c r="G55" s="1" t="s">
        <v>382</v>
      </c>
      <c r="J55" s="77" t="s">
        <v>192</v>
      </c>
      <c r="K55" s="77" t="s">
        <v>455</v>
      </c>
      <c r="AB55" t="s">
        <v>1314</v>
      </c>
      <c r="AC55" t="s">
        <v>1316</v>
      </c>
      <c r="AJ55" s="89" t="s">
        <v>173</v>
      </c>
      <c r="AK55" s="89" t="s">
        <v>337</v>
      </c>
      <c r="AM55" s="89" t="s">
        <v>330</v>
      </c>
      <c r="AN55" s="89" t="s">
        <v>418</v>
      </c>
    </row>
    <row r="56" spans="1:40" x14ac:dyDescent="0.25">
      <c r="A56" s="73" t="s">
        <v>1440</v>
      </c>
      <c r="F56" s="1" t="s">
        <v>173</v>
      </c>
      <c r="G56" s="1" t="s">
        <v>383</v>
      </c>
      <c r="J56" s="77" t="s">
        <v>192</v>
      </c>
      <c r="K56" s="77" t="s">
        <v>456</v>
      </c>
      <c r="AB56" t="s">
        <v>1314</v>
      </c>
      <c r="AC56" t="s">
        <v>1317</v>
      </c>
      <c r="AJ56" s="89" t="s">
        <v>173</v>
      </c>
      <c r="AK56" s="89" t="s">
        <v>382</v>
      </c>
      <c r="AM56" s="89" t="s">
        <v>192</v>
      </c>
      <c r="AN56" s="89" t="s">
        <v>192</v>
      </c>
    </row>
    <row r="57" spans="1:40" x14ac:dyDescent="0.25">
      <c r="A57" s="73" t="s">
        <v>1458</v>
      </c>
      <c r="F57" s="1"/>
      <c r="G57" s="1"/>
      <c r="J57" s="77" t="s">
        <v>192</v>
      </c>
      <c r="K57" s="77" t="s">
        <v>474</v>
      </c>
      <c r="AB57" t="s">
        <v>1314</v>
      </c>
      <c r="AC57" t="s">
        <v>1318</v>
      </c>
      <c r="AJ57" s="89" t="s">
        <v>173</v>
      </c>
      <c r="AK57" s="89" t="s">
        <v>383</v>
      </c>
      <c r="AM57" s="89" t="s">
        <v>192</v>
      </c>
      <c r="AN57" s="89" t="s">
        <v>455</v>
      </c>
    </row>
    <row r="58" spans="1:40" x14ac:dyDescent="0.25">
      <c r="A58" s="73" t="s">
        <v>1441</v>
      </c>
      <c r="F58" s="1" t="s">
        <v>174</v>
      </c>
      <c r="G58" s="1" t="s">
        <v>297</v>
      </c>
      <c r="J58" s="77" t="s">
        <v>192</v>
      </c>
      <c r="K58" s="77" t="s">
        <v>510</v>
      </c>
      <c r="AB58" t="s">
        <v>1314</v>
      </c>
      <c r="AC58" t="s">
        <v>1231</v>
      </c>
      <c r="AJ58" s="89"/>
      <c r="AK58" s="89"/>
      <c r="AM58" s="89" t="s">
        <v>192</v>
      </c>
      <c r="AN58" s="89" t="s">
        <v>456</v>
      </c>
    </row>
    <row r="59" spans="1:40" x14ac:dyDescent="0.25">
      <c r="F59" s="1" t="s">
        <v>174</v>
      </c>
      <c r="G59" s="1" t="s">
        <v>298</v>
      </c>
      <c r="J59" s="77"/>
      <c r="K59" s="77"/>
      <c r="AB59" t="s">
        <v>1314</v>
      </c>
      <c r="AC59" t="s">
        <v>1319</v>
      </c>
      <c r="AJ59" s="89" t="s">
        <v>174</v>
      </c>
      <c r="AK59" s="89" t="s">
        <v>297</v>
      </c>
      <c r="AM59" s="89" t="s">
        <v>192</v>
      </c>
      <c r="AN59" s="89" t="s">
        <v>474</v>
      </c>
    </row>
    <row r="60" spans="1:40" x14ac:dyDescent="0.25">
      <c r="F60" s="1" t="s">
        <v>174</v>
      </c>
      <c r="G60" s="1" t="s">
        <v>299</v>
      </c>
      <c r="J60" s="77" t="s">
        <v>310</v>
      </c>
      <c r="K60" s="77" t="s">
        <v>705</v>
      </c>
      <c r="AB60" t="s">
        <v>1314</v>
      </c>
      <c r="AC60" t="s">
        <v>1320</v>
      </c>
      <c r="AJ60" s="89" t="s">
        <v>174</v>
      </c>
      <c r="AK60" s="89" t="s">
        <v>298</v>
      </c>
      <c r="AM60" s="89" t="s">
        <v>192</v>
      </c>
      <c r="AN60" s="89" t="s">
        <v>510</v>
      </c>
    </row>
    <row r="61" spans="1:40" ht="30" x14ac:dyDescent="0.25">
      <c r="A61" s="74" t="s">
        <v>1446</v>
      </c>
      <c r="F61" s="1" t="s">
        <v>174</v>
      </c>
      <c r="G61" s="1" t="s">
        <v>300</v>
      </c>
      <c r="J61" s="77" t="s">
        <v>310</v>
      </c>
      <c r="K61" s="77" t="s">
        <v>310</v>
      </c>
      <c r="AB61" t="s">
        <v>1314</v>
      </c>
      <c r="AC61" t="s">
        <v>1321</v>
      </c>
      <c r="AJ61" s="89" t="s">
        <v>174</v>
      </c>
      <c r="AK61" s="89" t="s">
        <v>299</v>
      </c>
      <c r="AM61" s="89" t="s">
        <v>192</v>
      </c>
      <c r="AN61" s="89" t="s">
        <v>418</v>
      </c>
    </row>
    <row r="62" spans="1:40" x14ac:dyDescent="0.25">
      <c r="A62">
        <v>0</v>
      </c>
      <c r="F62" s="1" t="s">
        <v>174</v>
      </c>
      <c r="G62" s="1" t="s">
        <v>301</v>
      </c>
      <c r="J62" s="77" t="s">
        <v>310</v>
      </c>
      <c r="K62" s="77" t="s">
        <v>711</v>
      </c>
      <c r="AB62" t="s">
        <v>1314</v>
      </c>
      <c r="AC62" t="s">
        <v>1322</v>
      </c>
      <c r="AJ62" s="89" t="s">
        <v>174</v>
      </c>
      <c r="AK62" s="89" t="s">
        <v>300</v>
      </c>
      <c r="AM62" s="89" t="s">
        <v>310</v>
      </c>
      <c r="AN62" s="89" t="s">
        <v>705</v>
      </c>
    </row>
    <row r="63" spans="1:40" x14ac:dyDescent="0.25">
      <c r="A63">
        <v>1</v>
      </c>
      <c r="F63" s="1" t="s">
        <v>174</v>
      </c>
      <c r="G63" s="1" t="s">
        <v>226</v>
      </c>
      <c r="J63" s="77" t="s">
        <v>310</v>
      </c>
      <c r="K63" s="77" t="s">
        <v>715</v>
      </c>
      <c r="AB63" t="s">
        <v>1314</v>
      </c>
      <c r="AC63" t="s">
        <v>1323</v>
      </c>
      <c r="AJ63" s="89" t="s">
        <v>174</v>
      </c>
      <c r="AK63" s="89" t="s">
        <v>301</v>
      </c>
      <c r="AM63" s="89" t="s">
        <v>310</v>
      </c>
      <c r="AN63" s="89" t="s">
        <v>310</v>
      </c>
    </row>
    <row r="64" spans="1:40" x14ac:dyDescent="0.25">
      <c r="F64" s="1" t="s">
        <v>174</v>
      </c>
      <c r="G64" s="1" t="s">
        <v>302</v>
      </c>
      <c r="J64" s="77"/>
      <c r="K64" s="77"/>
      <c r="AB64" t="s">
        <v>1314</v>
      </c>
      <c r="AC64" t="s">
        <v>1324</v>
      </c>
      <c r="AJ64" s="89" t="s">
        <v>174</v>
      </c>
      <c r="AK64" s="89" t="s">
        <v>226</v>
      </c>
      <c r="AM64" s="89" t="s">
        <v>310</v>
      </c>
      <c r="AN64" s="89" t="s">
        <v>711</v>
      </c>
    </row>
    <row r="65" spans="6:40" x14ac:dyDescent="0.25">
      <c r="F65" s="1" t="s">
        <v>174</v>
      </c>
      <c r="G65" s="1" t="s">
        <v>303</v>
      </c>
      <c r="J65" s="77" t="s">
        <v>344</v>
      </c>
      <c r="K65" s="77" t="s">
        <v>803</v>
      </c>
      <c r="AB65" t="s">
        <v>1314</v>
      </c>
      <c r="AC65" t="s">
        <v>1325</v>
      </c>
      <c r="AJ65" s="89" t="s">
        <v>174</v>
      </c>
      <c r="AK65" s="89" t="s">
        <v>302</v>
      </c>
      <c r="AM65" s="89" t="s">
        <v>310</v>
      </c>
      <c r="AN65" s="89" t="s">
        <v>715</v>
      </c>
    </row>
    <row r="66" spans="6:40" ht="30" x14ac:dyDescent="0.25">
      <c r="F66" s="1" t="s">
        <v>174</v>
      </c>
      <c r="G66" s="1" t="s">
        <v>304</v>
      </c>
      <c r="J66" s="77" t="s">
        <v>344</v>
      </c>
      <c r="K66" s="77" t="s">
        <v>804</v>
      </c>
      <c r="AB66" t="s">
        <v>1314</v>
      </c>
      <c r="AC66" t="s">
        <v>1326</v>
      </c>
      <c r="AJ66" s="89" t="s">
        <v>174</v>
      </c>
      <c r="AK66" s="89" t="s">
        <v>303</v>
      </c>
      <c r="AM66" s="89" t="s">
        <v>310</v>
      </c>
      <c r="AN66" s="89" t="s">
        <v>418</v>
      </c>
    </row>
    <row r="67" spans="6:40" x14ac:dyDescent="0.25">
      <c r="F67" s="1" t="s">
        <v>174</v>
      </c>
      <c r="G67" s="1" t="s">
        <v>305</v>
      </c>
      <c r="J67" s="77" t="s">
        <v>344</v>
      </c>
      <c r="K67" s="77" t="s">
        <v>806</v>
      </c>
      <c r="AB67" t="s">
        <v>1314</v>
      </c>
      <c r="AC67" t="s">
        <v>1327</v>
      </c>
      <c r="AJ67" s="89" t="s">
        <v>174</v>
      </c>
      <c r="AK67" s="89" t="s">
        <v>304</v>
      </c>
      <c r="AM67" s="89" t="s">
        <v>344</v>
      </c>
      <c r="AN67" s="89" t="s">
        <v>803</v>
      </c>
    </row>
    <row r="68" spans="6:40" x14ac:dyDescent="0.25">
      <c r="F68" s="1" t="s">
        <v>174</v>
      </c>
      <c r="G68" s="1" t="s">
        <v>306</v>
      </c>
      <c r="J68" s="77" t="s">
        <v>344</v>
      </c>
      <c r="K68" s="77" t="s">
        <v>808</v>
      </c>
      <c r="AB68" t="s">
        <v>1314</v>
      </c>
      <c r="AC68" t="s">
        <v>1328</v>
      </c>
      <c r="AJ68" s="89" t="s">
        <v>174</v>
      </c>
      <c r="AK68" s="89" t="s">
        <v>305</v>
      </c>
      <c r="AM68" s="89" t="s">
        <v>344</v>
      </c>
      <c r="AN68" s="89" t="s">
        <v>804</v>
      </c>
    </row>
    <row r="69" spans="6:40" x14ac:dyDescent="0.25">
      <c r="F69" s="1" t="s">
        <v>174</v>
      </c>
      <c r="G69" s="1" t="s">
        <v>307</v>
      </c>
      <c r="J69" s="77" t="s">
        <v>344</v>
      </c>
      <c r="K69" s="77" t="s">
        <v>810</v>
      </c>
      <c r="AB69" t="s">
        <v>1314</v>
      </c>
      <c r="AC69" t="s">
        <v>1329</v>
      </c>
      <c r="AJ69" s="89" t="s">
        <v>174</v>
      </c>
      <c r="AK69" s="89" t="s">
        <v>306</v>
      </c>
      <c r="AM69" s="89" t="s">
        <v>344</v>
      </c>
      <c r="AN69" s="89" t="s">
        <v>806</v>
      </c>
    </row>
    <row r="70" spans="6:40" x14ac:dyDescent="0.25">
      <c r="F70" s="1" t="s">
        <v>174</v>
      </c>
      <c r="G70" s="1" t="s">
        <v>308</v>
      </c>
      <c r="J70" s="77" t="s">
        <v>344</v>
      </c>
      <c r="K70" s="77" t="s">
        <v>813</v>
      </c>
      <c r="AB70" t="s">
        <v>1314</v>
      </c>
      <c r="AC70" t="s">
        <v>1330</v>
      </c>
      <c r="AJ70" s="89" t="s">
        <v>174</v>
      </c>
      <c r="AK70" s="89" t="s">
        <v>307</v>
      </c>
      <c r="AM70" s="89" t="s">
        <v>344</v>
      </c>
      <c r="AN70" s="89" t="s">
        <v>808</v>
      </c>
    </row>
    <row r="71" spans="6:40" x14ac:dyDescent="0.25">
      <c r="F71" s="1" t="s">
        <v>174</v>
      </c>
      <c r="G71" s="1" t="s">
        <v>309</v>
      </c>
      <c r="J71" s="77" t="s">
        <v>344</v>
      </c>
      <c r="K71" s="77" t="s">
        <v>815</v>
      </c>
      <c r="AB71" t="s">
        <v>1314</v>
      </c>
      <c r="AC71" t="s">
        <v>1331</v>
      </c>
      <c r="AJ71" s="89" t="s">
        <v>174</v>
      </c>
      <c r="AK71" s="89" t="s">
        <v>308</v>
      </c>
      <c r="AM71" s="89" t="s">
        <v>344</v>
      </c>
      <c r="AN71" s="89" t="s">
        <v>810</v>
      </c>
    </row>
    <row r="72" spans="6:40" x14ac:dyDescent="0.25">
      <c r="F72" s="1"/>
      <c r="G72" s="1"/>
      <c r="J72" s="77" t="s">
        <v>344</v>
      </c>
      <c r="K72" s="77" t="s">
        <v>817</v>
      </c>
      <c r="AB72" t="s">
        <v>1332</v>
      </c>
      <c r="AC72" t="s">
        <v>1333</v>
      </c>
      <c r="AJ72" s="89" t="s">
        <v>174</v>
      </c>
      <c r="AK72" s="89" t="s">
        <v>309</v>
      </c>
      <c r="AM72" s="89" t="s">
        <v>344</v>
      </c>
      <c r="AN72" s="89" t="s">
        <v>813</v>
      </c>
    </row>
    <row r="73" spans="6:40" x14ac:dyDescent="0.25">
      <c r="F73" s="1" t="s">
        <v>1110</v>
      </c>
      <c r="G73" s="1" t="s">
        <v>219</v>
      </c>
      <c r="J73" s="77"/>
      <c r="K73" s="77"/>
      <c r="AB73" t="s">
        <v>1332</v>
      </c>
      <c r="AC73" t="s">
        <v>1334</v>
      </c>
      <c r="AJ73" s="89"/>
      <c r="AK73" s="89"/>
      <c r="AM73" s="89" t="s">
        <v>344</v>
      </c>
      <c r="AN73" s="89" t="s">
        <v>815</v>
      </c>
    </row>
    <row r="74" spans="6:40" x14ac:dyDescent="0.25">
      <c r="F74" s="1" t="s">
        <v>1110</v>
      </c>
      <c r="G74" s="1" t="s">
        <v>213</v>
      </c>
      <c r="J74" s="77" t="s">
        <v>235</v>
      </c>
      <c r="K74" s="77" t="s">
        <v>235</v>
      </c>
      <c r="AB74" t="s">
        <v>80</v>
      </c>
      <c r="AC74" t="s">
        <v>1335</v>
      </c>
      <c r="AJ74" s="89" t="s">
        <v>1110</v>
      </c>
      <c r="AK74" s="89" t="s">
        <v>219</v>
      </c>
      <c r="AM74" s="89" t="s">
        <v>344</v>
      </c>
      <c r="AN74" s="89" t="s">
        <v>817</v>
      </c>
    </row>
    <row r="75" spans="6:40" ht="30" x14ac:dyDescent="0.25">
      <c r="F75" s="1" t="s">
        <v>1110</v>
      </c>
      <c r="G75" s="1" t="s">
        <v>214</v>
      </c>
      <c r="J75" s="77" t="s">
        <v>235</v>
      </c>
      <c r="K75" s="77" t="s">
        <v>559</v>
      </c>
      <c r="AB75" t="s">
        <v>80</v>
      </c>
      <c r="AC75" t="s">
        <v>1336</v>
      </c>
      <c r="AJ75" s="89" t="s">
        <v>1110</v>
      </c>
      <c r="AK75" s="89" t="s">
        <v>213</v>
      </c>
      <c r="AM75" s="89" t="s">
        <v>344</v>
      </c>
      <c r="AN75" s="89" t="s">
        <v>418</v>
      </c>
    </row>
    <row r="76" spans="6:40" x14ac:dyDescent="0.25">
      <c r="F76" s="1" t="s">
        <v>1110</v>
      </c>
      <c r="G76" s="1" t="s">
        <v>215</v>
      </c>
      <c r="J76" s="77" t="s">
        <v>235</v>
      </c>
      <c r="K76" s="77" t="s">
        <v>560</v>
      </c>
      <c r="AB76" t="s">
        <v>80</v>
      </c>
      <c r="AC76" t="s">
        <v>1337</v>
      </c>
      <c r="AJ76" s="89" t="s">
        <v>1110</v>
      </c>
      <c r="AK76" s="89" t="s">
        <v>214</v>
      </c>
      <c r="AM76" s="89" t="s">
        <v>235</v>
      </c>
      <c r="AN76" s="89" t="s">
        <v>235</v>
      </c>
    </row>
    <row r="77" spans="6:40" x14ac:dyDescent="0.25">
      <c r="F77" s="1" t="s">
        <v>1110</v>
      </c>
      <c r="G77" s="1" t="s">
        <v>216</v>
      </c>
      <c r="J77" s="77"/>
      <c r="K77" s="77"/>
      <c r="AB77" t="s">
        <v>80</v>
      </c>
      <c r="AC77" t="s">
        <v>1338</v>
      </c>
      <c r="AJ77" s="89" t="s">
        <v>1110</v>
      </c>
      <c r="AK77" s="89" t="s">
        <v>215</v>
      </c>
      <c r="AM77" s="89" t="s">
        <v>235</v>
      </c>
      <c r="AN77" s="89" t="s">
        <v>559</v>
      </c>
    </row>
    <row r="78" spans="6:40" x14ac:dyDescent="0.25">
      <c r="F78" s="1" t="s">
        <v>1110</v>
      </c>
      <c r="G78" s="1" t="s">
        <v>217</v>
      </c>
      <c r="J78" s="77"/>
      <c r="K78" s="77"/>
      <c r="AB78" t="s">
        <v>80</v>
      </c>
      <c r="AC78" t="s">
        <v>1339</v>
      </c>
      <c r="AJ78" s="89" t="s">
        <v>1110</v>
      </c>
      <c r="AK78" s="89" t="s">
        <v>216</v>
      </c>
      <c r="AM78" s="89" t="s">
        <v>235</v>
      </c>
      <c r="AN78" s="89" t="s">
        <v>560</v>
      </c>
    </row>
    <row r="79" spans="6:40" ht="30" x14ac:dyDescent="0.25">
      <c r="F79" s="1" t="s">
        <v>1110</v>
      </c>
      <c r="G79" s="1" t="s">
        <v>218</v>
      </c>
      <c r="J79" s="77" t="s">
        <v>400</v>
      </c>
      <c r="K79" s="77" t="s">
        <v>1068</v>
      </c>
      <c r="AB79" t="s">
        <v>1232</v>
      </c>
      <c r="AC79" t="s">
        <v>1340</v>
      </c>
      <c r="AJ79" s="89" t="s">
        <v>1110</v>
      </c>
      <c r="AK79" s="89" t="s">
        <v>217</v>
      </c>
      <c r="AM79" s="89" t="s">
        <v>235</v>
      </c>
      <c r="AN79" s="89" t="s">
        <v>418</v>
      </c>
    </row>
    <row r="80" spans="6:40" ht="30" x14ac:dyDescent="0.25">
      <c r="F80" s="1" t="s">
        <v>1110</v>
      </c>
      <c r="G80" s="1" t="s">
        <v>220</v>
      </c>
      <c r="J80" s="77" t="s">
        <v>400</v>
      </c>
      <c r="K80" s="77" t="s">
        <v>1075</v>
      </c>
      <c r="AB80" t="s">
        <v>1232</v>
      </c>
      <c r="AC80" t="s">
        <v>1341</v>
      </c>
      <c r="AJ80" s="89" t="s">
        <v>1110</v>
      </c>
      <c r="AK80" s="89" t="s">
        <v>218</v>
      </c>
      <c r="AM80" s="89" t="s">
        <v>400</v>
      </c>
      <c r="AN80" s="89" t="s">
        <v>418</v>
      </c>
    </row>
    <row r="81" spans="6:40" x14ac:dyDescent="0.25">
      <c r="F81" s="1" t="s">
        <v>1110</v>
      </c>
      <c r="G81" s="1" t="s">
        <v>221</v>
      </c>
      <c r="J81" s="77" t="s">
        <v>167</v>
      </c>
      <c r="K81" s="77" t="s">
        <v>434</v>
      </c>
      <c r="AB81" t="s">
        <v>1232</v>
      </c>
      <c r="AC81" t="s">
        <v>1342</v>
      </c>
      <c r="AJ81" s="89" t="s">
        <v>1110</v>
      </c>
      <c r="AK81" s="89" t="s">
        <v>220</v>
      </c>
      <c r="AM81" s="89" t="s">
        <v>400</v>
      </c>
      <c r="AN81" s="89" t="s">
        <v>1068</v>
      </c>
    </row>
    <row r="82" spans="6:40" x14ac:dyDescent="0.25">
      <c r="F82" s="1"/>
      <c r="G82" s="1"/>
      <c r="J82" s="77" t="s">
        <v>167</v>
      </c>
      <c r="K82" s="77" t="s">
        <v>435</v>
      </c>
      <c r="AB82" t="s">
        <v>1232</v>
      </c>
      <c r="AC82" t="s">
        <v>1343</v>
      </c>
      <c r="AJ82" s="89" t="s">
        <v>1110</v>
      </c>
      <c r="AK82" s="89" t="s">
        <v>221</v>
      </c>
      <c r="AM82" s="89" t="s">
        <v>400</v>
      </c>
      <c r="AN82" s="89" t="s">
        <v>1075</v>
      </c>
    </row>
    <row r="83" spans="6:40" x14ac:dyDescent="0.25">
      <c r="F83" s="1" t="s">
        <v>170</v>
      </c>
      <c r="G83" s="1" t="s">
        <v>310</v>
      </c>
      <c r="J83" s="77" t="s">
        <v>167</v>
      </c>
      <c r="K83" s="77" t="s">
        <v>436</v>
      </c>
      <c r="AB83" t="s">
        <v>1232</v>
      </c>
      <c r="AC83" t="s">
        <v>1344</v>
      </c>
      <c r="AJ83" s="89"/>
      <c r="AK83" s="89"/>
      <c r="AM83" s="89" t="s">
        <v>167</v>
      </c>
      <c r="AN83" s="89" t="s">
        <v>434</v>
      </c>
    </row>
    <row r="84" spans="6:40" x14ac:dyDescent="0.25">
      <c r="F84" s="1" t="s">
        <v>170</v>
      </c>
      <c r="G84" s="1" t="s">
        <v>311</v>
      </c>
      <c r="J84" s="77" t="s">
        <v>167</v>
      </c>
      <c r="K84" s="77" t="s">
        <v>437</v>
      </c>
      <c r="AB84" t="s">
        <v>1232</v>
      </c>
      <c r="AC84" t="s">
        <v>1345</v>
      </c>
      <c r="AJ84" s="89" t="s">
        <v>170</v>
      </c>
      <c r="AK84" s="89" t="s">
        <v>310</v>
      </c>
      <c r="AM84" s="89" t="s">
        <v>167</v>
      </c>
      <c r="AN84" s="89" t="s">
        <v>435</v>
      </c>
    </row>
    <row r="85" spans="6:40" x14ac:dyDescent="0.25">
      <c r="F85" s="1" t="s">
        <v>170</v>
      </c>
      <c r="G85" s="1" t="s">
        <v>312</v>
      </c>
      <c r="J85" s="77" t="s">
        <v>167</v>
      </c>
      <c r="K85" s="77" t="s">
        <v>438</v>
      </c>
      <c r="AB85" t="s">
        <v>1232</v>
      </c>
      <c r="AC85" t="s">
        <v>1346</v>
      </c>
      <c r="AJ85" s="89" t="s">
        <v>170</v>
      </c>
      <c r="AK85" s="89" t="s">
        <v>311</v>
      </c>
      <c r="AM85" s="89" t="s">
        <v>167</v>
      </c>
      <c r="AN85" s="89" t="s">
        <v>436</v>
      </c>
    </row>
    <row r="86" spans="6:40" x14ac:dyDescent="0.25">
      <c r="F86" s="1" t="s">
        <v>170</v>
      </c>
      <c r="G86" s="1" t="s">
        <v>183</v>
      </c>
      <c r="J86" s="77" t="s">
        <v>167</v>
      </c>
      <c r="K86" s="77" t="s">
        <v>439</v>
      </c>
      <c r="AB86" t="s">
        <v>1232</v>
      </c>
      <c r="AC86" t="s">
        <v>1347</v>
      </c>
      <c r="AJ86" s="89" t="s">
        <v>170</v>
      </c>
      <c r="AK86" s="89" t="s">
        <v>312</v>
      </c>
      <c r="AM86" s="89" t="s">
        <v>167</v>
      </c>
      <c r="AN86" s="89" t="s">
        <v>437</v>
      </c>
    </row>
    <row r="87" spans="6:40" x14ac:dyDescent="0.25">
      <c r="F87" s="1" t="s">
        <v>170</v>
      </c>
      <c r="G87" s="1" t="s">
        <v>313</v>
      </c>
      <c r="J87" s="77" t="s">
        <v>167</v>
      </c>
      <c r="K87" s="77" t="s">
        <v>440</v>
      </c>
      <c r="AB87" t="s">
        <v>1232</v>
      </c>
      <c r="AC87" t="s">
        <v>1348</v>
      </c>
      <c r="AJ87" s="89" t="s">
        <v>170</v>
      </c>
      <c r="AK87" s="89" t="s">
        <v>313</v>
      </c>
      <c r="AM87" s="89" t="s">
        <v>167</v>
      </c>
      <c r="AN87" s="89" t="s">
        <v>438</v>
      </c>
    </row>
    <row r="88" spans="6:40" x14ac:dyDescent="0.25">
      <c r="F88" s="1" t="s">
        <v>170</v>
      </c>
      <c r="G88" s="1" t="s">
        <v>314</v>
      </c>
      <c r="J88" s="77" t="s">
        <v>167</v>
      </c>
      <c r="K88" s="77" t="s">
        <v>167</v>
      </c>
      <c r="AB88" t="s">
        <v>1232</v>
      </c>
      <c r="AC88" t="s">
        <v>1349</v>
      </c>
      <c r="AJ88" s="89" t="s">
        <v>170</v>
      </c>
      <c r="AK88" s="89" t="s">
        <v>314</v>
      </c>
      <c r="AM88" s="89" t="s">
        <v>167</v>
      </c>
      <c r="AN88" s="89" t="s">
        <v>439</v>
      </c>
    </row>
    <row r="89" spans="6:40" x14ac:dyDescent="0.25">
      <c r="F89" s="1" t="s">
        <v>170</v>
      </c>
      <c r="G89" s="1" t="s">
        <v>315</v>
      </c>
      <c r="J89" s="77" t="s">
        <v>167</v>
      </c>
      <c r="K89" s="77" t="s">
        <v>441</v>
      </c>
      <c r="AB89" t="s">
        <v>1232</v>
      </c>
      <c r="AC89" t="s">
        <v>1350</v>
      </c>
      <c r="AJ89" s="89" t="s">
        <v>170</v>
      </c>
      <c r="AK89" s="89" t="s">
        <v>315</v>
      </c>
      <c r="AM89" s="89" t="s">
        <v>167</v>
      </c>
      <c r="AN89" s="89" t="s">
        <v>440</v>
      </c>
    </row>
    <row r="90" spans="6:40" x14ac:dyDescent="0.25">
      <c r="F90" s="1" t="s">
        <v>170</v>
      </c>
      <c r="G90" s="1" t="s">
        <v>316</v>
      </c>
      <c r="J90" s="77" t="s">
        <v>167</v>
      </c>
      <c r="K90" s="77" t="s">
        <v>442</v>
      </c>
      <c r="AB90" t="s">
        <v>1232</v>
      </c>
      <c r="AC90" t="s">
        <v>1351</v>
      </c>
      <c r="AJ90" s="89" t="s">
        <v>170</v>
      </c>
      <c r="AK90" s="89" t="s">
        <v>316</v>
      </c>
      <c r="AM90" s="89" t="s">
        <v>167</v>
      </c>
      <c r="AN90" s="89" t="s">
        <v>167</v>
      </c>
    </row>
    <row r="91" spans="6:40" x14ac:dyDescent="0.25">
      <c r="F91" s="1" t="s">
        <v>170</v>
      </c>
      <c r="G91" s="1" t="s">
        <v>317</v>
      </c>
      <c r="J91" s="77" t="s">
        <v>167</v>
      </c>
      <c r="K91" s="77" t="s">
        <v>443</v>
      </c>
      <c r="AB91" t="s">
        <v>1232</v>
      </c>
      <c r="AC91" t="s">
        <v>1352</v>
      </c>
      <c r="AJ91" s="89" t="s">
        <v>170</v>
      </c>
      <c r="AK91" s="89" t="s">
        <v>318</v>
      </c>
      <c r="AM91" s="89" t="s">
        <v>167</v>
      </c>
      <c r="AN91" s="89" t="s">
        <v>441</v>
      </c>
    </row>
    <row r="92" spans="6:40" x14ac:dyDescent="0.25">
      <c r="F92" s="1" t="s">
        <v>170</v>
      </c>
      <c r="G92" s="1" t="s">
        <v>318</v>
      </c>
      <c r="J92" s="77" t="s">
        <v>167</v>
      </c>
      <c r="K92" s="77" t="s">
        <v>444</v>
      </c>
      <c r="AB92" t="s">
        <v>1232</v>
      </c>
      <c r="AC92" t="s">
        <v>1353</v>
      </c>
      <c r="AJ92" s="89" t="s">
        <v>170</v>
      </c>
      <c r="AK92" s="89" t="s">
        <v>319</v>
      </c>
      <c r="AM92" s="89" t="s">
        <v>167</v>
      </c>
      <c r="AN92" s="89" t="s">
        <v>442</v>
      </c>
    </row>
    <row r="93" spans="6:40" x14ac:dyDescent="0.25">
      <c r="F93" s="1" t="s">
        <v>170</v>
      </c>
      <c r="G93" s="1" t="s">
        <v>187</v>
      </c>
      <c r="J93" s="77" t="s">
        <v>167</v>
      </c>
      <c r="K93" s="77" t="s">
        <v>445</v>
      </c>
      <c r="AB93" t="s">
        <v>1233</v>
      </c>
      <c r="AC93" t="s">
        <v>1354</v>
      </c>
      <c r="AJ93" s="89" t="s">
        <v>170</v>
      </c>
      <c r="AK93" s="89" t="s">
        <v>222</v>
      </c>
      <c r="AM93" s="89" t="s">
        <v>167</v>
      </c>
      <c r="AN93" s="89" t="s">
        <v>443</v>
      </c>
    </row>
    <row r="94" spans="6:40" x14ac:dyDescent="0.25">
      <c r="F94" s="1" t="s">
        <v>170</v>
      </c>
      <c r="G94" s="1" t="s">
        <v>319</v>
      </c>
      <c r="J94" s="77" t="s">
        <v>167</v>
      </c>
      <c r="K94" s="77" t="s">
        <v>446</v>
      </c>
      <c r="AB94" t="s">
        <v>1233</v>
      </c>
      <c r="AC94" t="s">
        <v>1355</v>
      </c>
      <c r="AJ94" s="89"/>
      <c r="AK94" s="89"/>
      <c r="AM94" s="89" t="s">
        <v>167</v>
      </c>
      <c r="AN94" s="89" t="s">
        <v>444</v>
      </c>
    </row>
    <row r="95" spans="6:40" x14ac:dyDescent="0.25">
      <c r="F95" s="1" t="s">
        <v>170</v>
      </c>
      <c r="G95" s="1" t="s">
        <v>222</v>
      </c>
      <c r="J95" s="77" t="s">
        <v>167</v>
      </c>
      <c r="K95" s="77" t="s">
        <v>447</v>
      </c>
      <c r="AB95" t="s">
        <v>1233</v>
      </c>
      <c r="AC95" t="s">
        <v>1356</v>
      </c>
      <c r="AJ95" s="89" t="s">
        <v>171</v>
      </c>
      <c r="AK95" s="89" t="s">
        <v>384</v>
      </c>
      <c r="AM95" s="89" t="s">
        <v>167</v>
      </c>
      <c r="AN95" s="89" t="s">
        <v>445</v>
      </c>
    </row>
    <row r="96" spans="6:40" x14ac:dyDescent="0.25">
      <c r="F96" s="1"/>
      <c r="G96" s="1"/>
      <c r="J96" s="77" t="s">
        <v>167</v>
      </c>
      <c r="K96" s="77" t="s">
        <v>448</v>
      </c>
      <c r="AB96" t="s">
        <v>1233</v>
      </c>
      <c r="AC96" t="s">
        <v>1358</v>
      </c>
      <c r="AJ96" s="89" t="s">
        <v>171</v>
      </c>
      <c r="AK96" s="89" t="s">
        <v>385</v>
      </c>
      <c r="AM96" s="89" t="s">
        <v>167</v>
      </c>
      <c r="AN96" s="89" t="s">
        <v>446</v>
      </c>
    </row>
    <row r="97" spans="6:40" x14ac:dyDescent="0.25">
      <c r="F97" s="1" t="s">
        <v>171</v>
      </c>
      <c r="G97" s="1" t="s">
        <v>223</v>
      </c>
      <c r="J97" s="77" t="s">
        <v>167</v>
      </c>
      <c r="K97" s="77" t="s">
        <v>449</v>
      </c>
      <c r="AB97" t="s">
        <v>1238</v>
      </c>
      <c r="AC97" t="s">
        <v>1357</v>
      </c>
      <c r="AJ97" s="89" t="s">
        <v>171</v>
      </c>
      <c r="AK97" s="89" t="s">
        <v>386</v>
      </c>
      <c r="AM97" s="89" t="s">
        <v>167</v>
      </c>
      <c r="AN97" s="89" t="s">
        <v>447</v>
      </c>
    </row>
    <row r="98" spans="6:40" x14ac:dyDescent="0.25">
      <c r="F98" s="1" t="s">
        <v>171</v>
      </c>
      <c r="G98" s="1" t="s">
        <v>384</v>
      </c>
      <c r="J98" s="77" t="s">
        <v>167</v>
      </c>
      <c r="K98" s="77" t="s">
        <v>450</v>
      </c>
      <c r="AB98" t="s">
        <v>1238</v>
      </c>
      <c r="AC98" t="s">
        <v>1359</v>
      </c>
      <c r="AJ98" s="89" t="s">
        <v>171</v>
      </c>
      <c r="AK98" s="89" t="s">
        <v>387</v>
      </c>
      <c r="AM98" s="89" t="s">
        <v>167</v>
      </c>
      <c r="AN98" s="89" t="s">
        <v>448</v>
      </c>
    </row>
    <row r="99" spans="6:40" x14ac:dyDescent="0.25">
      <c r="F99" s="1" t="s">
        <v>171</v>
      </c>
      <c r="G99" s="1" t="s">
        <v>385</v>
      </c>
      <c r="J99" s="77" t="s">
        <v>167</v>
      </c>
      <c r="K99" s="77" t="s">
        <v>451</v>
      </c>
      <c r="AB99" t="s">
        <v>1238</v>
      </c>
      <c r="AC99" t="s">
        <v>1360</v>
      </c>
      <c r="AJ99" s="89" t="s">
        <v>171</v>
      </c>
      <c r="AK99" s="89" t="s">
        <v>388</v>
      </c>
      <c r="AM99" s="89" t="s">
        <v>167</v>
      </c>
      <c r="AN99" s="89" t="s">
        <v>449</v>
      </c>
    </row>
    <row r="100" spans="6:40" x14ac:dyDescent="0.25">
      <c r="F100" s="1" t="s">
        <v>171</v>
      </c>
      <c r="G100" s="1" t="s">
        <v>386</v>
      </c>
      <c r="J100" s="77" t="s">
        <v>167</v>
      </c>
      <c r="K100" s="77" t="s">
        <v>199</v>
      </c>
      <c r="AB100" t="s">
        <v>1238</v>
      </c>
      <c r="AC100" t="s">
        <v>1361</v>
      </c>
      <c r="AJ100" s="89" t="s">
        <v>171</v>
      </c>
      <c r="AK100" s="89" t="s">
        <v>389</v>
      </c>
      <c r="AM100" s="89" t="s">
        <v>167</v>
      </c>
      <c r="AN100" s="89" t="s">
        <v>450</v>
      </c>
    </row>
    <row r="101" spans="6:40" x14ac:dyDescent="0.25">
      <c r="F101" s="1" t="s">
        <v>171</v>
      </c>
      <c r="G101" s="1" t="s">
        <v>387</v>
      </c>
      <c r="J101" s="77" t="s">
        <v>167</v>
      </c>
      <c r="K101" s="77" t="s">
        <v>452</v>
      </c>
      <c r="AB101" t="s">
        <v>1239</v>
      </c>
      <c r="AC101" t="s">
        <v>1362</v>
      </c>
      <c r="AJ101" s="89" t="s">
        <v>171</v>
      </c>
      <c r="AK101" s="89" t="s">
        <v>390</v>
      </c>
      <c r="AM101" s="89" t="s">
        <v>167</v>
      </c>
      <c r="AN101" s="89" t="s">
        <v>451</v>
      </c>
    </row>
    <row r="102" spans="6:40" x14ac:dyDescent="0.25">
      <c r="F102" s="1" t="s">
        <v>171</v>
      </c>
      <c r="G102" s="1" t="s">
        <v>388</v>
      </c>
      <c r="J102" s="77" t="s">
        <v>167</v>
      </c>
      <c r="K102" s="77" t="s">
        <v>453</v>
      </c>
      <c r="AB102" t="s">
        <v>1239</v>
      </c>
      <c r="AC102" t="s">
        <v>1363</v>
      </c>
      <c r="AJ102" s="89" t="s">
        <v>171</v>
      </c>
      <c r="AK102" s="89" t="s">
        <v>391</v>
      </c>
      <c r="AM102" s="89" t="s">
        <v>167</v>
      </c>
      <c r="AN102" s="89" t="s">
        <v>199</v>
      </c>
    </row>
    <row r="103" spans="6:40" x14ac:dyDescent="0.25">
      <c r="F103" s="1" t="s">
        <v>171</v>
      </c>
      <c r="G103" s="1" t="s">
        <v>389</v>
      </c>
      <c r="J103" s="77" t="s">
        <v>167</v>
      </c>
      <c r="K103" s="77" t="s">
        <v>454</v>
      </c>
      <c r="AB103" t="s">
        <v>1364</v>
      </c>
      <c r="AC103" t="s">
        <v>1365</v>
      </c>
      <c r="AJ103" s="89" t="s">
        <v>171</v>
      </c>
      <c r="AK103" s="89" t="s">
        <v>392</v>
      </c>
      <c r="AM103" s="89" t="s">
        <v>167</v>
      </c>
      <c r="AN103" s="89" t="s">
        <v>452</v>
      </c>
    </row>
    <row r="104" spans="6:40" x14ac:dyDescent="0.25">
      <c r="F104" s="1" t="s">
        <v>171</v>
      </c>
      <c r="G104" s="1" t="s">
        <v>390</v>
      </c>
      <c r="J104" s="77" t="s">
        <v>167</v>
      </c>
      <c r="K104" s="77" t="s">
        <v>455</v>
      </c>
      <c r="AB104" t="s">
        <v>1364</v>
      </c>
      <c r="AC104" t="s">
        <v>1366</v>
      </c>
      <c r="AJ104" s="89" t="s">
        <v>171</v>
      </c>
      <c r="AK104" s="89" t="s">
        <v>393</v>
      </c>
      <c r="AM104" s="89" t="s">
        <v>167</v>
      </c>
      <c r="AN104" s="89" t="s">
        <v>453</v>
      </c>
    </row>
    <row r="105" spans="6:40" x14ac:dyDescent="0.25">
      <c r="F105" s="1" t="s">
        <v>171</v>
      </c>
      <c r="G105" s="1" t="s">
        <v>391</v>
      </c>
      <c r="J105" s="77" t="s">
        <v>167</v>
      </c>
      <c r="K105" s="77" t="s">
        <v>456</v>
      </c>
      <c r="AB105" t="s">
        <v>1364</v>
      </c>
      <c r="AC105" t="s">
        <v>1367</v>
      </c>
      <c r="AJ105" s="89" t="s">
        <v>171</v>
      </c>
      <c r="AK105" s="89" t="s">
        <v>394</v>
      </c>
      <c r="AM105" s="89" t="s">
        <v>167</v>
      </c>
      <c r="AN105" s="89" t="s">
        <v>454</v>
      </c>
    </row>
    <row r="106" spans="6:40" x14ac:dyDescent="0.25">
      <c r="F106" s="1" t="s">
        <v>171</v>
      </c>
      <c r="G106" s="1" t="s">
        <v>392</v>
      </c>
      <c r="J106" s="77" t="s">
        <v>167</v>
      </c>
      <c r="K106" s="77" t="s">
        <v>457</v>
      </c>
      <c r="AB106" t="s">
        <v>1364</v>
      </c>
      <c r="AC106" t="s">
        <v>1368</v>
      </c>
      <c r="AJ106" s="89" t="s">
        <v>171</v>
      </c>
      <c r="AK106" s="89" t="s">
        <v>223</v>
      </c>
      <c r="AM106" s="89" t="s">
        <v>167</v>
      </c>
      <c r="AN106" s="89" t="s">
        <v>455</v>
      </c>
    </row>
    <row r="107" spans="6:40" ht="30" x14ac:dyDescent="0.25">
      <c r="F107" s="1" t="s">
        <v>171</v>
      </c>
      <c r="G107" s="1" t="s">
        <v>393</v>
      </c>
      <c r="J107" s="77" t="s">
        <v>167</v>
      </c>
      <c r="K107" s="77" t="s">
        <v>458</v>
      </c>
      <c r="AB107" t="s">
        <v>1364</v>
      </c>
      <c r="AC107" t="s">
        <v>1369</v>
      </c>
      <c r="AJ107" s="89" t="s">
        <v>175</v>
      </c>
      <c r="AK107" s="89" t="s">
        <v>338</v>
      </c>
      <c r="AM107" s="89" t="s">
        <v>167</v>
      </c>
      <c r="AN107" s="89" t="s">
        <v>456</v>
      </c>
    </row>
    <row r="108" spans="6:40" ht="30" x14ac:dyDescent="0.25">
      <c r="F108" s="1" t="s">
        <v>171</v>
      </c>
      <c r="G108" s="1" t="s">
        <v>394</v>
      </c>
      <c r="J108" s="77" t="s">
        <v>167</v>
      </c>
      <c r="K108" s="77" t="s">
        <v>459</v>
      </c>
      <c r="AB108" t="s">
        <v>1364</v>
      </c>
      <c r="AC108" t="s">
        <v>1370</v>
      </c>
      <c r="AJ108" s="89" t="s">
        <v>175</v>
      </c>
      <c r="AK108" s="89" t="s">
        <v>339</v>
      </c>
      <c r="AM108" s="89" t="s">
        <v>167</v>
      </c>
      <c r="AN108" s="89" t="s">
        <v>457</v>
      </c>
    </row>
    <row r="109" spans="6:40" ht="30" x14ac:dyDescent="0.25">
      <c r="F109" s="1"/>
      <c r="G109" s="1"/>
      <c r="J109" s="77" t="s">
        <v>167</v>
      </c>
      <c r="K109" s="77" t="s">
        <v>460</v>
      </c>
      <c r="AB109" t="s">
        <v>1364</v>
      </c>
      <c r="AC109" t="s">
        <v>1371</v>
      </c>
      <c r="AJ109" s="89" t="s">
        <v>175</v>
      </c>
      <c r="AK109" s="89" t="s">
        <v>340</v>
      </c>
      <c r="AM109" s="89" t="s">
        <v>167</v>
      </c>
      <c r="AN109" s="89" t="s">
        <v>458</v>
      </c>
    </row>
    <row r="110" spans="6:40" ht="30" x14ac:dyDescent="0.25">
      <c r="F110" s="1" t="s">
        <v>175</v>
      </c>
      <c r="G110" s="1" t="s">
        <v>338</v>
      </c>
      <c r="J110" s="77" t="s">
        <v>167</v>
      </c>
      <c r="K110" s="77" t="s">
        <v>461</v>
      </c>
      <c r="AB110" t="s">
        <v>1364</v>
      </c>
      <c r="AC110" t="s">
        <v>1372</v>
      </c>
      <c r="AJ110" s="89" t="s">
        <v>175</v>
      </c>
      <c r="AK110" s="89" t="s">
        <v>341</v>
      </c>
      <c r="AM110" s="89" t="s">
        <v>167</v>
      </c>
      <c r="AN110" s="89" t="s">
        <v>459</v>
      </c>
    </row>
    <row r="111" spans="6:40" ht="30" x14ac:dyDescent="0.25">
      <c r="F111" s="1" t="s">
        <v>175</v>
      </c>
      <c r="G111" s="1" t="s">
        <v>339</v>
      </c>
      <c r="J111" s="77" t="s">
        <v>167</v>
      </c>
      <c r="K111" s="77" t="s">
        <v>462</v>
      </c>
      <c r="AB111" t="s">
        <v>1364</v>
      </c>
      <c r="AC111" t="s">
        <v>1240</v>
      </c>
      <c r="AJ111" s="89" t="s">
        <v>175</v>
      </c>
      <c r="AK111" s="89" t="s">
        <v>342</v>
      </c>
      <c r="AM111" s="89" t="s">
        <v>167</v>
      </c>
      <c r="AN111" s="89" t="s">
        <v>460</v>
      </c>
    </row>
    <row r="112" spans="6:40" ht="30" x14ac:dyDescent="0.25">
      <c r="F112" s="1" t="s">
        <v>175</v>
      </c>
      <c r="G112" s="1" t="s">
        <v>340</v>
      </c>
      <c r="J112" s="77" t="s">
        <v>167</v>
      </c>
      <c r="K112" s="77" t="s">
        <v>224</v>
      </c>
      <c r="AB112" t="s">
        <v>1364</v>
      </c>
      <c r="AC112" t="s">
        <v>1373</v>
      </c>
      <c r="AJ112" s="89" t="s">
        <v>175</v>
      </c>
      <c r="AK112" s="89" t="s">
        <v>343</v>
      </c>
      <c r="AM112" s="89" t="s">
        <v>167</v>
      </c>
      <c r="AN112" s="89" t="s">
        <v>461</v>
      </c>
    </row>
    <row r="113" spans="6:40" ht="30" x14ac:dyDescent="0.25">
      <c r="F113" s="1" t="s">
        <v>175</v>
      </c>
      <c r="G113" s="1" t="s">
        <v>341</v>
      </c>
      <c r="J113" s="77" t="s">
        <v>167</v>
      </c>
      <c r="K113" s="77" t="s">
        <v>463</v>
      </c>
      <c r="AB113" t="s">
        <v>1241</v>
      </c>
      <c r="AC113" t="s">
        <v>1374</v>
      </c>
      <c r="AJ113" s="89" t="s">
        <v>175</v>
      </c>
      <c r="AK113" s="89" t="s">
        <v>344</v>
      </c>
      <c r="AM113" s="89" t="s">
        <v>167</v>
      </c>
      <c r="AN113" s="89" t="s">
        <v>462</v>
      </c>
    </row>
    <row r="114" spans="6:40" ht="30" x14ac:dyDescent="0.25">
      <c r="F114" s="1" t="s">
        <v>175</v>
      </c>
      <c r="G114" s="1" t="s">
        <v>342</v>
      </c>
      <c r="J114" s="77" t="s">
        <v>167</v>
      </c>
      <c r="K114" s="77" t="s">
        <v>464</v>
      </c>
      <c r="AB114" t="s">
        <v>1241</v>
      </c>
      <c r="AC114" t="s">
        <v>1375</v>
      </c>
      <c r="AJ114" s="89" t="s">
        <v>175</v>
      </c>
      <c r="AK114" s="89" t="s">
        <v>345</v>
      </c>
      <c r="AM114" s="89" t="s">
        <v>167</v>
      </c>
      <c r="AN114" s="89" t="s">
        <v>224</v>
      </c>
    </row>
    <row r="115" spans="6:40" ht="30" x14ac:dyDescent="0.25">
      <c r="F115" s="1" t="s">
        <v>175</v>
      </c>
      <c r="G115" s="1" t="s">
        <v>343</v>
      </c>
      <c r="J115" s="77" t="s">
        <v>167</v>
      </c>
      <c r="K115" s="77" t="s">
        <v>465</v>
      </c>
      <c r="AB115" t="s">
        <v>1241</v>
      </c>
      <c r="AC115" t="s">
        <v>1376</v>
      </c>
      <c r="AJ115" s="89" t="s">
        <v>175</v>
      </c>
      <c r="AK115" s="89" t="s">
        <v>227</v>
      </c>
      <c r="AM115" s="89" t="s">
        <v>167</v>
      </c>
      <c r="AN115" s="89" t="s">
        <v>463</v>
      </c>
    </row>
    <row r="116" spans="6:40" x14ac:dyDescent="0.25">
      <c r="F116" s="1" t="s">
        <v>175</v>
      </c>
      <c r="G116" s="1" t="s">
        <v>344</v>
      </c>
      <c r="J116" s="77" t="s">
        <v>167</v>
      </c>
      <c r="K116" s="77" t="s">
        <v>466</v>
      </c>
      <c r="AB116" t="s">
        <v>1241</v>
      </c>
      <c r="AC116" t="s">
        <v>1377</v>
      </c>
      <c r="AJ116" s="89" t="s">
        <v>175</v>
      </c>
      <c r="AK116" s="89" t="s">
        <v>346</v>
      </c>
      <c r="AM116" s="89" t="s">
        <v>167</v>
      </c>
      <c r="AN116" s="89" t="s">
        <v>464</v>
      </c>
    </row>
    <row r="117" spans="6:40" x14ac:dyDescent="0.25">
      <c r="F117" s="1" t="s">
        <v>175</v>
      </c>
      <c r="G117" s="1" t="s">
        <v>345</v>
      </c>
      <c r="J117" s="77" t="s">
        <v>167</v>
      </c>
      <c r="K117" s="77" t="s">
        <v>467</v>
      </c>
      <c r="AB117" t="s">
        <v>1241</v>
      </c>
      <c r="AC117" t="s">
        <v>1378</v>
      </c>
      <c r="AJ117" s="89" t="s">
        <v>175</v>
      </c>
      <c r="AK117" s="89" t="s">
        <v>372</v>
      </c>
      <c r="AM117" s="89" t="s">
        <v>167</v>
      </c>
      <c r="AN117" s="89" t="s">
        <v>465</v>
      </c>
    </row>
    <row r="118" spans="6:40" x14ac:dyDescent="0.25">
      <c r="F118" s="1" t="s">
        <v>175</v>
      </c>
      <c r="G118" s="1" t="s">
        <v>227</v>
      </c>
      <c r="J118" s="77" t="s">
        <v>167</v>
      </c>
      <c r="K118" s="77" t="s">
        <v>468</v>
      </c>
      <c r="AB118" t="s">
        <v>1241</v>
      </c>
      <c r="AC118" t="s">
        <v>1379</v>
      </c>
      <c r="AJ118" s="89" t="s">
        <v>175</v>
      </c>
      <c r="AK118" s="89" t="s">
        <v>373</v>
      </c>
      <c r="AM118" s="89" t="s">
        <v>167</v>
      </c>
      <c r="AN118" s="89" t="s">
        <v>466</v>
      </c>
    </row>
    <row r="119" spans="6:40" x14ac:dyDescent="0.25">
      <c r="F119" s="1" t="s">
        <v>175</v>
      </c>
      <c r="G119" s="1" t="s">
        <v>346</v>
      </c>
      <c r="J119" s="77" t="s">
        <v>167</v>
      </c>
      <c r="K119" s="77" t="s">
        <v>469</v>
      </c>
      <c r="AB119" t="s">
        <v>1241</v>
      </c>
      <c r="AC119" t="s">
        <v>1380</v>
      </c>
      <c r="AJ119" s="89" t="s">
        <v>175</v>
      </c>
      <c r="AK119" s="89" t="s">
        <v>175</v>
      </c>
      <c r="AM119" s="89" t="s">
        <v>167</v>
      </c>
      <c r="AN119" s="89" t="s">
        <v>467</v>
      </c>
    </row>
    <row r="120" spans="6:40" x14ac:dyDescent="0.25">
      <c r="F120" s="1" t="s">
        <v>175</v>
      </c>
      <c r="G120" s="1" t="s">
        <v>175</v>
      </c>
      <c r="J120" s="77" t="s">
        <v>167</v>
      </c>
      <c r="K120" s="77" t="s">
        <v>470</v>
      </c>
      <c r="AB120" t="s">
        <v>1250</v>
      </c>
      <c r="AC120" t="s">
        <v>1381</v>
      </c>
      <c r="AJ120" s="89"/>
      <c r="AK120" s="89"/>
      <c r="AM120" s="89" t="s">
        <v>167</v>
      </c>
      <c r="AN120" s="89" t="s">
        <v>468</v>
      </c>
    </row>
    <row r="121" spans="6:40" x14ac:dyDescent="0.25">
      <c r="F121" s="1" t="s">
        <v>175</v>
      </c>
      <c r="G121" s="1" t="s">
        <v>372</v>
      </c>
      <c r="J121" s="77" t="s">
        <v>167</v>
      </c>
      <c r="K121" s="77" t="s">
        <v>471</v>
      </c>
      <c r="AB121" t="s">
        <v>1250</v>
      </c>
      <c r="AC121" t="s">
        <v>1382</v>
      </c>
      <c r="AJ121" s="89" t="s">
        <v>176</v>
      </c>
      <c r="AK121" s="89" t="s">
        <v>347</v>
      </c>
      <c r="AM121" s="89" t="s">
        <v>167</v>
      </c>
      <c r="AN121" s="89" t="s">
        <v>469</v>
      </c>
    </row>
    <row r="122" spans="6:40" x14ac:dyDescent="0.25">
      <c r="F122" s="1" t="s">
        <v>175</v>
      </c>
      <c r="G122" s="1" t="s">
        <v>373</v>
      </c>
      <c r="J122" s="77" t="s">
        <v>167</v>
      </c>
      <c r="K122" s="77" t="s">
        <v>472</v>
      </c>
      <c r="AB122" t="s">
        <v>1250</v>
      </c>
      <c r="AC122" t="s">
        <v>1383</v>
      </c>
      <c r="AJ122" s="89" t="s">
        <v>176</v>
      </c>
      <c r="AK122" s="89" t="s">
        <v>348</v>
      </c>
      <c r="AM122" s="89" t="s">
        <v>167</v>
      </c>
      <c r="AN122" s="89" t="s">
        <v>470</v>
      </c>
    </row>
    <row r="123" spans="6:40" x14ac:dyDescent="0.25">
      <c r="F123" s="1"/>
      <c r="G123" s="1"/>
      <c r="J123" s="77" t="s">
        <v>167</v>
      </c>
      <c r="K123" s="77" t="s">
        <v>473</v>
      </c>
      <c r="AB123" t="s">
        <v>1384</v>
      </c>
      <c r="AC123" t="s">
        <v>1385</v>
      </c>
      <c r="AJ123" s="89" t="s">
        <v>176</v>
      </c>
      <c r="AK123" s="89" t="s">
        <v>349</v>
      </c>
      <c r="AM123" s="89" t="s">
        <v>167</v>
      </c>
      <c r="AN123" s="89" t="s">
        <v>471</v>
      </c>
    </row>
    <row r="124" spans="6:40" x14ac:dyDescent="0.25">
      <c r="F124" s="1" t="s">
        <v>176</v>
      </c>
      <c r="G124" s="1" t="s">
        <v>347</v>
      </c>
      <c r="J124" s="77" t="s">
        <v>167</v>
      </c>
      <c r="K124" s="77" t="s">
        <v>474</v>
      </c>
      <c r="AB124" t="s">
        <v>1384</v>
      </c>
      <c r="AC124" t="s">
        <v>1386</v>
      </c>
      <c r="AJ124" s="89" t="s">
        <v>176</v>
      </c>
      <c r="AK124" s="89" t="s">
        <v>350</v>
      </c>
      <c r="AM124" s="89" t="s">
        <v>167</v>
      </c>
      <c r="AN124" s="89" t="s">
        <v>472</v>
      </c>
    </row>
    <row r="125" spans="6:40" x14ac:dyDescent="0.25">
      <c r="F125" s="1" t="s">
        <v>176</v>
      </c>
      <c r="G125" s="1" t="s">
        <v>348</v>
      </c>
      <c r="J125" s="77" t="s">
        <v>167</v>
      </c>
      <c r="K125" s="77" t="s">
        <v>475</v>
      </c>
      <c r="AB125" t="s">
        <v>1384</v>
      </c>
      <c r="AC125" t="s">
        <v>1387</v>
      </c>
      <c r="AJ125" s="89" t="s">
        <v>176</v>
      </c>
      <c r="AK125" s="89" t="s">
        <v>351</v>
      </c>
      <c r="AM125" s="89" t="s">
        <v>167</v>
      </c>
      <c r="AN125" s="89" t="s">
        <v>473</v>
      </c>
    </row>
    <row r="126" spans="6:40" ht="30" x14ac:dyDescent="0.25">
      <c r="F126" s="1" t="s">
        <v>176</v>
      </c>
      <c r="G126" s="1" t="s">
        <v>349</v>
      </c>
      <c r="J126" s="77" t="s">
        <v>167</v>
      </c>
      <c r="K126" s="77" t="s">
        <v>476</v>
      </c>
      <c r="AB126" t="s">
        <v>1389</v>
      </c>
      <c r="AC126" t="s">
        <v>1388</v>
      </c>
      <c r="AJ126" s="89" t="s">
        <v>176</v>
      </c>
      <c r="AK126" s="89" t="s">
        <v>352</v>
      </c>
      <c r="AM126" s="89" t="s">
        <v>167</v>
      </c>
      <c r="AN126" s="89" t="s">
        <v>474</v>
      </c>
    </row>
    <row r="127" spans="6:40" x14ac:dyDescent="0.25">
      <c r="F127" s="1" t="s">
        <v>176</v>
      </c>
      <c r="G127" s="1" t="s">
        <v>350</v>
      </c>
      <c r="J127" s="77" t="s">
        <v>167</v>
      </c>
      <c r="K127" s="77" t="s">
        <v>477</v>
      </c>
      <c r="AB127" t="s">
        <v>1389</v>
      </c>
      <c r="AC127" t="s">
        <v>1390</v>
      </c>
      <c r="AJ127" s="89" t="s">
        <v>176</v>
      </c>
      <c r="AK127" s="89" t="s">
        <v>353</v>
      </c>
      <c r="AM127" s="89" t="s">
        <v>167</v>
      </c>
      <c r="AN127" s="89" t="s">
        <v>475</v>
      </c>
    </row>
    <row r="128" spans="6:40" x14ac:dyDescent="0.25">
      <c r="F128" s="1" t="s">
        <v>176</v>
      </c>
      <c r="G128" s="1" t="s">
        <v>351</v>
      </c>
      <c r="J128" s="77" t="s">
        <v>167</v>
      </c>
      <c r="K128" s="77" t="s">
        <v>478</v>
      </c>
      <c r="AB128" t="s">
        <v>1389</v>
      </c>
      <c r="AC128" t="s">
        <v>1391</v>
      </c>
      <c r="AJ128" s="89" t="s">
        <v>176</v>
      </c>
      <c r="AK128" s="89" t="s">
        <v>354</v>
      </c>
      <c r="AM128" s="89" t="s">
        <v>167</v>
      </c>
      <c r="AN128" s="89" t="s">
        <v>476</v>
      </c>
    </row>
    <row r="129" spans="6:40" ht="30" x14ac:dyDescent="0.25">
      <c r="F129" s="1" t="s">
        <v>176</v>
      </c>
      <c r="G129" s="1" t="s">
        <v>352</v>
      </c>
      <c r="J129" s="77" t="s">
        <v>167</v>
      </c>
      <c r="K129" s="77" t="s">
        <v>479</v>
      </c>
      <c r="AB129" t="s">
        <v>1392</v>
      </c>
      <c r="AC129" t="s">
        <v>1393</v>
      </c>
      <c r="AJ129" s="89" t="s">
        <v>176</v>
      </c>
      <c r="AK129" s="89" t="s">
        <v>355</v>
      </c>
      <c r="AM129" s="89" t="s">
        <v>167</v>
      </c>
      <c r="AN129" s="89" t="s">
        <v>477</v>
      </c>
    </row>
    <row r="130" spans="6:40" x14ac:dyDescent="0.25">
      <c r="F130" s="1" t="s">
        <v>176</v>
      </c>
      <c r="G130" s="1" t="s">
        <v>353</v>
      </c>
      <c r="J130" s="77" t="s">
        <v>167</v>
      </c>
      <c r="K130" s="77" t="s">
        <v>411</v>
      </c>
      <c r="AB130" t="s">
        <v>1392</v>
      </c>
      <c r="AC130" t="s">
        <v>1394</v>
      </c>
      <c r="AJ130" s="89" t="s">
        <v>176</v>
      </c>
      <c r="AK130" s="89" t="s">
        <v>370</v>
      </c>
      <c r="AM130" s="89" t="s">
        <v>167</v>
      </c>
      <c r="AN130" s="89" t="s">
        <v>478</v>
      </c>
    </row>
    <row r="131" spans="6:40" x14ac:dyDescent="0.25">
      <c r="F131" s="1" t="s">
        <v>176</v>
      </c>
      <c r="G131" s="1" t="s">
        <v>354</v>
      </c>
      <c r="J131" s="77" t="s">
        <v>167</v>
      </c>
      <c r="K131" s="77" t="s">
        <v>480</v>
      </c>
      <c r="AB131" t="s">
        <v>1392</v>
      </c>
      <c r="AC131" t="s">
        <v>1395</v>
      </c>
      <c r="AJ131" s="89" t="s">
        <v>176</v>
      </c>
      <c r="AK131" s="89" t="s">
        <v>417</v>
      </c>
      <c r="AM131" s="89" t="s">
        <v>167</v>
      </c>
      <c r="AN131" s="89" t="s">
        <v>479</v>
      </c>
    </row>
    <row r="132" spans="6:40" x14ac:dyDescent="0.25">
      <c r="F132" s="1" t="s">
        <v>176</v>
      </c>
      <c r="G132" s="1" t="s">
        <v>355</v>
      </c>
      <c r="J132" s="77" t="s">
        <v>167</v>
      </c>
      <c r="K132" s="77" t="s">
        <v>481</v>
      </c>
      <c r="AB132" t="s">
        <v>1392</v>
      </c>
      <c r="AC132" t="s">
        <v>1396</v>
      </c>
      <c r="AJ132" s="89"/>
      <c r="AK132" s="89"/>
      <c r="AM132" s="89" t="s">
        <v>167</v>
      </c>
      <c r="AN132" s="89" t="s">
        <v>411</v>
      </c>
    </row>
    <row r="133" spans="6:40" x14ac:dyDescent="0.25">
      <c r="F133" s="1" t="s">
        <v>176</v>
      </c>
      <c r="G133" s="1" t="s">
        <v>370</v>
      </c>
      <c r="J133" s="77" t="s">
        <v>167</v>
      </c>
      <c r="K133" s="77" t="s">
        <v>482</v>
      </c>
      <c r="AB133" t="s">
        <v>1392</v>
      </c>
      <c r="AC133" t="s">
        <v>1397</v>
      </c>
      <c r="AJ133" s="89" t="s">
        <v>177</v>
      </c>
      <c r="AK133" s="89" t="s">
        <v>228</v>
      </c>
      <c r="AM133" s="89" t="s">
        <v>167</v>
      </c>
      <c r="AN133" s="89" t="s">
        <v>480</v>
      </c>
    </row>
    <row r="134" spans="6:40" x14ac:dyDescent="0.25">
      <c r="F134" s="1"/>
      <c r="G134" s="1"/>
      <c r="J134" s="77" t="s">
        <v>167</v>
      </c>
      <c r="K134" s="77" t="s">
        <v>483</v>
      </c>
      <c r="AB134" t="s">
        <v>1392</v>
      </c>
      <c r="AC134" t="s">
        <v>1398</v>
      </c>
      <c r="AJ134" s="89" t="s">
        <v>177</v>
      </c>
      <c r="AK134" s="89" t="s">
        <v>395</v>
      </c>
      <c r="AM134" s="89" t="s">
        <v>167</v>
      </c>
      <c r="AN134" s="89" t="s">
        <v>481</v>
      </c>
    </row>
    <row r="135" spans="6:40" x14ac:dyDescent="0.25">
      <c r="F135" s="1" t="s">
        <v>176</v>
      </c>
      <c r="G135" s="1" t="s">
        <v>417</v>
      </c>
      <c r="J135" s="77" t="s">
        <v>167</v>
      </c>
      <c r="K135" s="77" t="s">
        <v>484</v>
      </c>
      <c r="AB135" t="s">
        <v>1392</v>
      </c>
      <c r="AC135" t="s">
        <v>1399</v>
      </c>
      <c r="AJ135" s="89" t="s">
        <v>177</v>
      </c>
      <c r="AK135" s="89" t="s">
        <v>396</v>
      </c>
      <c r="AM135" s="89" t="s">
        <v>167</v>
      </c>
      <c r="AN135" s="89" t="s">
        <v>482</v>
      </c>
    </row>
    <row r="136" spans="6:40" x14ac:dyDescent="0.25">
      <c r="F136" s="1" t="s">
        <v>177</v>
      </c>
      <c r="G136" s="1" t="s">
        <v>228</v>
      </c>
      <c r="J136" s="77" t="s">
        <v>167</v>
      </c>
      <c r="K136" s="77" t="s">
        <v>485</v>
      </c>
      <c r="AB136" t="s">
        <v>1392</v>
      </c>
      <c r="AC136" t="s">
        <v>1400</v>
      </c>
      <c r="AJ136" s="89" t="s">
        <v>177</v>
      </c>
      <c r="AK136" s="89" t="s">
        <v>397</v>
      </c>
      <c r="AM136" s="89" t="s">
        <v>167</v>
      </c>
      <c r="AN136" s="89" t="s">
        <v>483</v>
      </c>
    </row>
    <row r="137" spans="6:40" x14ac:dyDescent="0.25">
      <c r="F137" s="1" t="s">
        <v>177</v>
      </c>
      <c r="G137" s="1" t="s">
        <v>395</v>
      </c>
      <c r="J137" s="77" t="s">
        <v>167</v>
      </c>
      <c r="K137" s="77" t="s">
        <v>486</v>
      </c>
      <c r="AB137" t="s">
        <v>1401</v>
      </c>
      <c r="AC137" t="s">
        <v>1401</v>
      </c>
      <c r="AJ137" s="89"/>
      <c r="AK137" s="89"/>
      <c r="AM137" s="89" t="s">
        <v>167</v>
      </c>
      <c r="AN137" s="89" t="s">
        <v>484</v>
      </c>
    </row>
    <row r="138" spans="6:40" x14ac:dyDescent="0.25">
      <c r="F138" s="1" t="s">
        <v>177</v>
      </c>
      <c r="G138" s="1" t="s">
        <v>396</v>
      </c>
      <c r="J138" s="77" t="s">
        <v>167</v>
      </c>
      <c r="K138" s="77" t="s">
        <v>487</v>
      </c>
      <c r="AB138" t="s">
        <v>1401</v>
      </c>
      <c r="AC138" t="s">
        <v>1402</v>
      </c>
      <c r="AJ138" s="89" t="s">
        <v>359</v>
      </c>
      <c r="AK138" s="89" t="s">
        <v>356</v>
      </c>
      <c r="AM138" s="89" t="s">
        <v>167</v>
      </c>
      <c r="AN138" s="89" t="s">
        <v>485</v>
      </c>
    </row>
    <row r="139" spans="6:40" x14ac:dyDescent="0.25">
      <c r="F139" s="1" t="s">
        <v>177</v>
      </c>
      <c r="G139" s="1" t="s">
        <v>397</v>
      </c>
      <c r="J139" s="77" t="s">
        <v>167</v>
      </c>
      <c r="K139" s="77" t="s">
        <v>488</v>
      </c>
      <c r="AB139" t="s">
        <v>1401</v>
      </c>
      <c r="AC139" t="s">
        <v>1403</v>
      </c>
      <c r="AJ139" s="89" t="s">
        <v>359</v>
      </c>
      <c r="AK139" s="89" t="s">
        <v>357</v>
      </c>
      <c r="AM139" s="89" t="s">
        <v>167</v>
      </c>
      <c r="AN139" s="89" t="s">
        <v>486</v>
      </c>
    </row>
    <row r="140" spans="6:40" x14ac:dyDescent="0.25">
      <c r="F140" s="1"/>
      <c r="G140" s="1"/>
      <c r="J140" s="77" t="s">
        <v>167</v>
      </c>
      <c r="K140" s="77" t="s">
        <v>489</v>
      </c>
      <c r="AB140" t="s">
        <v>1401</v>
      </c>
      <c r="AC140" t="s">
        <v>1404</v>
      </c>
      <c r="AJ140" s="89" t="s">
        <v>359</v>
      </c>
      <c r="AK140" s="89" t="s">
        <v>398</v>
      </c>
      <c r="AM140" s="89" t="s">
        <v>167</v>
      </c>
      <c r="AN140" s="89" t="s">
        <v>487</v>
      </c>
    </row>
    <row r="141" spans="6:40" x14ac:dyDescent="0.25">
      <c r="F141" s="1" t="s">
        <v>359</v>
      </c>
      <c r="G141" s="1" t="s">
        <v>356</v>
      </c>
      <c r="J141" s="77" t="s">
        <v>167</v>
      </c>
      <c r="K141" s="77" t="s">
        <v>490</v>
      </c>
      <c r="AB141" t="s">
        <v>1401</v>
      </c>
      <c r="AC141" t="s">
        <v>1405</v>
      </c>
      <c r="AJ141" s="89" t="s">
        <v>359</v>
      </c>
      <c r="AK141" s="89" t="s">
        <v>229</v>
      </c>
      <c r="AM141" s="89" t="s">
        <v>167</v>
      </c>
      <c r="AN141" s="89" t="s">
        <v>488</v>
      </c>
    </row>
    <row r="142" spans="6:40" x14ac:dyDescent="0.25">
      <c r="F142" s="1" t="s">
        <v>359</v>
      </c>
      <c r="G142" s="1" t="s">
        <v>357</v>
      </c>
      <c r="J142" s="77" t="s">
        <v>167</v>
      </c>
      <c r="K142" s="77" t="s">
        <v>491</v>
      </c>
      <c r="AB142" t="s">
        <v>1254</v>
      </c>
      <c r="AC142" t="s">
        <v>1406</v>
      </c>
      <c r="AJ142" s="89" t="s">
        <v>359</v>
      </c>
      <c r="AK142" s="89" t="s">
        <v>359</v>
      </c>
      <c r="AM142" s="89" t="s">
        <v>167</v>
      </c>
      <c r="AN142" s="89" t="s">
        <v>489</v>
      </c>
    </row>
    <row r="143" spans="6:40" x14ac:dyDescent="0.25">
      <c r="F143" s="1"/>
      <c r="G143" s="1"/>
      <c r="J143" s="77" t="s">
        <v>167</v>
      </c>
      <c r="K143" s="77" t="s">
        <v>492</v>
      </c>
      <c r="AB143" t="s">
        <v>1254</v>
      </c>
      <c r="AC143" t="s">
        <v>1407</v>
      </c>
      <c r="AJ143" s="89" t="s">
        <v>359</v>
      </c>
      <c r="AK143" s="89" t="s">
        <v>360</v>
      </c>
      <c r="AM143" s="89" t="s">
        <v>167</v>
      </c>
      <c r="AN143" s="89" t="s">
        <v>490</v>
      </c>
    </row>
    <row r="144" spans="6:40" x14ac:dyDescent="0.25">
      <c r="F144" s="1" t="s">
        <v>359</v>
      </c>
      <c r="G144" s="1" t="s">
        <v>229</v>
      </c>
      <c r="J144" s="77" t="s">
        <v>167</v>
      </c>
      <c r="K144" s="77" t="s">
        <v>493</v>
      </c>
      <c r="AB144" t="s">
        <v>1254</v>
      </c>
      <c r="AC144" t="s">
        <v>1408</v>
      </c>
      <c r="AJ144" s="89" t="s">
        <v>359</v>
      </c>
      <c r="AK144" s="89" t="s">
        <v>361</v>
      </c>
      <c r="AM144" s="89" t="s">
        <v>167</v>
      </c>
      <c r="AN144" s="89" t="s">
        <v>491</v>
      </c>
    </row>
    <row r="145" spans="6:40" x14ac:dyDescent="0.25">
      <c r="F145" s="1" t="s">
        <v>359</v>
      </c>
      <c r="G145" s="1" t="s">
        <v>359</v>
      </c>
      <c r="J145" s="77" t="s">
        <v>167</v>
      </c>
      <c r="K145" s="77" t="s">
        <v>494</v>
      </c>
      <c r="AB145" t="s">
        <v>1254</v>
      </c>
      <c r="AC145" t="s">
        <v>1409</v>
      </c>
      <c r="AJ145" s="89" t="s">
        <v>359</v>
      </c>
      <c r="AK145" s="89" t="s">
        <v>362</v>
      </c>
      <c r="AM145" s="89" t="s">
        <v>167</v>
      </c>
      <c r="AN145" s="89" t="s">
        <v>492</v>
      </c>
    </row>
    <row r="146" spans="6:40" ht="30" x14ac:dyDescent="0.25">
      <c r="F146" s="1" t="s">
        <v>359</v>
      </c>
      <c r="G146" s="1" t="s">
        <v>360</v>
      </c>
      <c r="J146" s="77" t="s">
        <v>167</v>
      </c>
      <c r="K146" s="77" t="s">
        <v>495</v>
      </c>
      <c r="AB146" t="s">
        <v>1254</v>
      </c>
      <c r="AC146" t="s">
        <v>1410</v>
      </c>
      <c r="AJ146" s="89" t="s">
        <v>359</v>
      </c>
      <c r="AK146" s="89" t="s">
        <v>363</v>
      </c>
      <c r="AM146" s="89" t="s">
        <v>167</v>
      </c>
      <c r="AN146" s="89" t="s">
        <v>493</v>
      </c>
    </row>
    <row r="147" spans="6:40" x14ac:dyDescent="0.25">
      <c r="F147" s="1" t="s">
        <v>359</v>
      </c>
      <c r="G147" s="1" t="s">
        <v>361</v>
      </c>
      <c r="J147" s="77" t="s">
        <v>167</v>
      </c>
      <c r="K147" s="77" t="s">
        <v>496</v>
      </c>
      <c r="AB147" t="s">
        <v>1254</v>
      </c>
      <c r="AC147" t="s">
        <v>1411</v>
      </c>
      <c r="AJ147" s="89" t="s">
        <v>359</v>
      </c>
      <c r="AK147" s="89" t="s">
        <v>364</v>
      </c>
      <c r="AM147" s="89" t="s">
        <v>167</v>
      </c>
      <c r="AN147" s="89" t="s">
        <v>494</v>
      </c>
    </row>
    <row r="148" spans="6:40" x14ac:dyDescent="0.25">
      <c r="F148" s="1" t="s">
        <v>359</v>
      </c>
      <c r="G148" s="1" t="s">
        <v>362</v>
      </c>
      <c r="J148" s="77" t="s">
        <v>167</v>
      </c>
      <c r="K148" s="77" t="s">
        <v>497</v>
      </c>
      <c r="AB148" t="s">
        <v>1251</v>
      </c>
      <c r="AC148" t="s">
        <v>1412</v>
      </c>
      <c r="AJ148" s="89" t="s">
        <v>359</v>
      </c>
      <c r="AK148" s="89" t="s">
        <v>365</v>
      </c>
      <c r="AM148" s="89" t="s">
        <v>167</v>
      </c>
      <c r="AN148" s="89" t="s">
        <v>495</v>
      </c>
    </row>
    <row r="149" spans="6:40" ht="30" x14ac:dyDescent="0.25">
      <c r="F149" s="1" t="s">
        <v>359</v>
      </c>
      <c r="G149" s="1" t="s">
        <v>363</v>
      </c>
      <c r="J149" s="77" t="s">
        <v>167</v>
      </c>
      <c r="K149" s="77" t="s">
        <v>498</v>
      </c>
      <c r="AB149" t="s">
        <v>1251</v>
      </c>
      <c r="AC149" t="s">
        <v>1413</v>
      </c>
      <c r="AJ149" s="89" t="s">
        <v>359</v>
      </c>
      <c r="AK149" s="89" t="s">
        <v>366</v>
      </c>
      <c r="AM149" s="89" t="s">
        <v>167</v>
      </c>
      <c r="AN149" s="89" t="s">
        <v>496</v>
      </c>
    </row>
    <row r="150" spans="6:40" x14ac:dyDescent="0.25">
      <c r="F150" s="1" t="s">
        <v>359</v>
      </c>
      <c r="G150" s="1" t="s">
        <v>364</v>
      </c>
      <c r="J150" s="77" t="s">
        <v>167</v>
      </c>
      <c r="K150" s="77" t="s">
        <v>499</v>
      </c>
      <c r="AB150" t="s">
        <v>1251</v>
      </c>
      <c r="AC150" t="s">
        <v>1414</v>
      </c>
      <c r="AJ150" s="89" t="s">
        <v>359</v>
      </c>
      <c r="AK150" s="89" t="s">
        <v>367</v>
      </c>
      <c r="AM150" s="89" t="s">
        <v>167</v>
      </c>
      <c r="AN150" s="89" t="s">
        <v>497</v>
      </c>
    </row>
    <row r="151" spans="6:40" x14ac:dyDescent="0.25">
      <c r="F151" s="1" t="s">
        <v>359</v>
      </c>
      <c r="G151" s="1" t="s">
        <v>365</v>
      </c>
      <c r="J151" s="77" t="s">
        <v>167</v>
      </c>
      <c r="K151" s="77" t="s">
        <v>500</v>
      </c>
      <c r="AB151" t="s">
        <v>1251</v>
      </c>
      <c r="AC151" t="s">
        <v>1415</v>
      </c>
      <c r="AJ151" s="89" t="s">
        <v>359</v>
      </c>
      <c r="AK151" s="89" t="s">
        <v>368</v>
      </c>
      <c r="AM151" s="89" t="s">
        <v>167</v>
      </c>
      <c r="AN151" s="89" t="s">
        <v>498</v>
      </c>
    </row>
    <row r="152" spans="6:40" x14ac:dyDescent="0.25">
      <c r="F152" s="1" t="s">
        <v>359</v>
      </c>
      <c r="G152" s="1" t="s">
        <v>366</v>
      </c>
      <c r="J152" s="77" t="s">
        <v>167</v>
      </c>
      <c r="K152" s="77" t="s">
        <v>501</v>
      </c>
      <c r="AB152" t="s">
        <v>1255</v>
      </c>
      <c r="AC152" t="s">
        <v>1416</v>
      </c>
      <c r="AJ152" s="89"/>
      <c r="AK152" s="89"/>
      <c r="AM152" s="89" t="s">
        <v>167</v>
      </c>
      <c r="AN152" s="89" t="s">
        <v>499</v>
      </c>
    </row>
    <row r="153" spans="6:40" x14ac:dyDescent="0.25">
      <c r="F153" s="1" t="s">
        <v>359</v>
      </c>
      <c r="G153" s="1" t="s">
        <v>367</v>
      </c>
      <c r="J153" s="77" t="s">
        <v>167</v>
      </c>
      <c r="K153" s="77" t="s">
        <v>502</v>
      </c>
      <c r="AB153" t="s">
        <v>1255</v>
      </c>
      <c r="AC153" t="s">
        <v>1417</v>
      </c>
      <c r="AJ153" s="89"/>
      <c r="AK153" s="89"/>
      <c r="AM153" s="89" t="s">
        <v>167</v>
      </c>
      <c r="AN153" s="89" t="s">
        <v>500</v>
      </c>
    </row>
    <row r="154" spans="6:40" x14ac:dyDescent="0.25">
      <c r="F154" s="1" t="s">
        <v>359</v>
      </c>
      <c r="G154" s="1" t="s">
        <v>368</v>
      </c>
      <c r="J154" s="77" t="s">
        <v>167</v>
      </c>
      <c r="K154" s="77" t="s">
        <v>503</v>
      </c>
      <c r="AB154" t="s">
        <v>1255</v>
      </c>
      <c r="AC154" t="s">
        <v>1418</v>
      </c>
      <c r="AJ154" s="89" t="s">
        <v>178</v>
      </c>
      <c r="AK154" s="89" t="s">
        <v>321</v>
      </c>
      <c r="AM154" s="89" t="s">
        <v>167</v>
      </c>
      <c r="AN154" s="89" t="s">
        <v>501</v>
      </c>
    </row>
    <row r="155" spans="6:40" x14ac:dyDescent="0.25">
      <c r="F155" s="1" t="s">
        <v>359</v>
      </c>
      <c r="G155" s="1" t="s">
        <v>398</v>
      </c>
      <c r="J155" s="77" t="s">
        <v>167</v>
      </c>
      <c r="K155" s="77" t="s">
        <v>504</v>
      </c>
      <c r="AB155" t="s">
        <v>1255</v>
      </c>
      <c r="AC155" t="s">
        <v>1419</v>
      </c>
      <c r="AJ155" s="89" t="s">
        <v>178</v>
      </c>
      <c r="AK155" s="89" t="s">
        <v>322</v>
      </c>
      <c r="AM155" s="89" t="s">
        <v>167</v>
      </c>
      <c r="AN155" s="89" t="s">
        <v>502</v>
      </c>
    </row>
    <row r="156" spans="6:40" x14ac:dyDescent="0.25">
      <c r="F156" s="1"/>
      <c r="G156" s="1"/>
      <c r="J156" s="77" t="s">
        <v>167</v>
      </c>
      <c r="K156" s="77" t="s">
        <v>505</v>
      </c>
      <c r="AB156" t="s">
        <v>1255</v>
      </c>
      <c r="AC156" t="s">
        <v>1420</v>
      </c>
      <c r="AJ156" s="89" t="s">
        <v>178</v>
      </c>
      <c r="AK156" s="89" t="s">
        <v>323</v>
      </c>
      <c r="AM156" s="89" t="s">
        <v>167</v>
      </c>
      <c r="AN156" s="89" t="s">
        <v>503</v>
      </c>
    </row>
    <row r="157" spans="6:40" x14ac:dyDescent="0.25">
      <c r="F157" s="1" t="s">
        <v>178</v>
      </c>
      <c r="G157" s="1" t="s">
        <v>321</v>
      </c>
      <c r="J157" s="77" t="s">
        <v>167</v>
      </c>
      <c r="K157" s="77" t="s">
        <v>506</v>
      </c>
      <c r="AB157" t="s">
        <v>1255</v>
      </c>
      <c r="AC157" t="s">
        <v>1421</v>
      </c>
      <c r="AJ157" s="89" t="s">
        <v>178</v>
      </c>
      <c r="AK157" s="89" t="s">
        <v>324</v>
      </c>
      <c r="AM157" s="89" t="s">
        <v>167</v>
      </c>
      <c r="AN157" s="89" t="s">
        <v>504</v>
      </c>
    </row>
    <row r="158" spans="6:40" x14ac:dyDescent="0.25">
      <c r="F158" s="1" t="s">
        <v>178</v>
      </c>
      <c r="G158" s="1" t="s">
        <v>322</v>
      </c>
      <c r="J158" s="77" t="s">
        <v>167</v>
      </c>
      <c r="K158" s="77" t="s">
        <v>507</v>
      </c>
      <c r="AB158" t="s">
        <v>1255</v>
      </c>
      <c r="AC158" t="s">
        <v>1422</v>
      </c>
      <c r="AJ158" s="89" t="s">
        <v>178</v>
      </c>
      <c r="AK158" s="89" t="s">
        <v>325</v>
      </c>
      <c r="AM158" s="89" t="s">
        <v>167</v>
      </c>
      <c r="AN158" s="89" t="s">
        <v>505</v>
      </c>
    </row>
    <row r="159" spans="6:40" x14ac:dyDescent="0.25">
      <c r="F159" s="1" t="s">
        <v>178</v>
      </c>
      <c r="G159" s="1" t="s">
        <v>323</v>
      </c>
      <c r="J159" s="77" t="s">
        <v>167</v>
      </c>
      <c r="K159" s="77" t="s">
        <v>508</v>
      </c>
      <c r="AB159" t="s">
        <v>1258</v>
      </c>
      <c r="AC159" t="s">
        <v>1423</v>
      </c>
      <c r="AJ159" s="89" t="s">
        <v>178</v>
      </c>
      <c r="AK159" s="89" t="s">
        <v>178</v>
      </c>
      <c r="AM159" s="89" t="s">
        <v>167</v>
      </c>
      <c r="AN159" s="89" t="s">
        <v>506</v>
      </c>
    </row>
    <row r="160" spans="6:40" x14ac:dyDescent="0.25">
      <c r="F160" s="1" t="s">
        <v>178</v>
      </c>
      <c r="G160" s="1" t="s">
        <v>324</v>
      </c>
      <c r="J160" s="77" t="s">
        <v>167</v>
      </c>
      <c r="K160" s="77" t="s">
        <v>509</v>
      </c>
      <c r="AB160" t="s">
        <v>1258</v>
      </c>
      <c r="AC160" t="s">
        <v>1424</v>
      </c>
      <c r="AJ160" s="89" t="s">
        <v>178</v>
      </c>
      <c r="AK160" s="89" t="s">
        <v>326</v>
      </c>
      <c r="AM160" s="89" t="s">
        <v>167</v>
      </c>
      <c r="AN160" s="89" t="s">
        <v>507</v>
      </c>
    </row>
    <row r="161" spans="6:40" x14ac:dyDescent="0.25">
      <c r="F161" s="1" t="s">
        <v>178</v>
      </c>
      <c r="G161" s="1" t="s">
        <v>325</v>
      </c>
      <c r="J161" s="77" t="s">
        <v>167</v>
      </c>
      <c r="K161" s="77" t="s">
        <v>510</v>
      </c>
      <c r="AB161" t="s">
        <v>1258</v>
      </c>
      <c r="AC161" t="s">
        <v>1425</v>
      </c>
      <c r="AJ161" s="89" t="s">
        <v>178</v>
      </c>
      <c r="AK161" s="89" t="s">
        <v>327</v>
      </c>
      <c r="AM161" s="89" t="s">
        <v>167</v>
      </c>
      <c r="AN161" s="89" t="s">
        <v>508</v>
      </c>
    </row>
    <row r="162" spans="6:40" x14ac:dyDescent="0.25">
      <c r="F162" s="1" t="s">
        <v>178</v>
      </c>
      <c r="G162" s="1" t="s">
        <v>178</v>
      </c>
      <c r="J162" s="77"/>
      <c r="K162" s="77"/>
      <c r="AB162" t="s">
        <v>1431</v>
      </c>
      <c r="AC162" t="s">
        <v>1426</v>
      </c>
      <c r="AJ162" s="89" t="s">
        <v>178</v>
      </c>
      <c r="AK162" s="89" t="s">
        <v>328</v>
      </c>
      <c r="AM162" s="89" t="s">
        <v>167</v>
      </c>
      <c r="AN162" s="89" t="s">
        <v>509</v>
      </c>
    </row>
    <row r="163" spans="6:40" x14ac:dyDescent="0.25">
      <c r="F163" s="1" t="s">
        <v>178</v>
      </c>
      <c r="G163" s="1" t="s">
        <v>326</v>
      </c>
      <c r="J163" s="77" t="s">
        <v>231</v>
      </c>
      <c r="K163" s="77" t="s">
        <v>1041</v>
      </c>
      <c r="AB163" t="s">
        <v>1431</v>
      </c>
      <c r="AC163" t="s">
        <v>1427</v>
      </c>
      <c r="AJ163" s="89" t="s">
        <v>178</v>
      </c>
      <c r="AK163" s="89" t="s">
        <v>414</v>
      </c>
      <c r="AM163" s="89" t="s">
        <v>167</v>
      </c>
      <c r="AN163" s="89" t="s">
        <v>510</v>
      </c>
    </row>
    <row r="164" spans="6:40" ht="30" x14ac:dyDescent="0.25">
      <c r="F164" s="1" t="s">
        <v>178</v>
      </c>
      <c r="G164" s="1" t="s">
        <v>327</v>
      </c>
      <c r="J164" s="77" t="s">
        <v>231</v>
      </c>
      <c r="K164" s="77" t="s">
        <v>1043</v>
      </c>
      <c r="AB164" t="s">
        <v>1431</v>
      </c>
      <c r="AC164" t="s">
        <v>1428</v>
      </c>
      <c r="AJ164" s="89"/>
      <c r="AK164" s="89"/>
      <c r="AM164" s="89" t="s">
        <v>167</v>
      </c>
      <c r="AN164" s="89" t="s">
        <v>418</v>
      </c>
    </row>
    <row r="165" spans="6:40" x14ac:dyDescent="0.25">
      <c r="F165" s="1" t="s">
        <v>178</v>
      </c>
      <c r="G165" s="1" t="s">
        <v>328</v>
      </c>
      <c r="J165" s="77" t="s">
        <v>231</v>
      </c>
      <c r="K165" s="77" t="s">
        <v>1045</v>
      </c>
      <c r="AB165" t="s">
        <v>1431</v>
      </c>
      <c r="AC165" t="s">
        <v>1429</v>
      </c>
      <c r="AJ165" s="89" t="s">
        <v>179</v>
      </c>
      <c r="AK165" s="89" t="s">
        <v>179</v>
      </c>
      <c r="AM165" s="89" t="s">
        <v>231</v>
      </c>
      <c r="AN165" s="89" t="s">
        <v>1041</v>
      </c>
    </row>
    <row r="166" spans="6:40" x14ac:dyDescent="0.25">
      <c r="F166" s="1" t="s">
        <v>178</v>
      </c>
      <c r="G166" s="1" t="s">
        <v>414</v>
      </c>
      <c r="J166" s="77" t="s">
        <v>231</v>
      </c>
      <c r="K166" s="77" t="s">
        <v>1047</v>
      </c>
      <c r="AB166" t="s">
        <v>1431</v>
      </c>
      <c r="AC166" t="s">
        <v>1430</v>
      </c>
      <c r="AJ166" s="89" t="s">
        <v>179</v>
      </c>
      <c r="AK166" s="89" t="s">
        <v>231</v>
      </c>
      <c r="AM166" s="89" t="s">
        <v>231</v>
      </c>
      <c r="AN166" s="89" t="s">
        <v>1043</v>
      </c>
    </row>
    <row r="167" spans="6:40" x14ac:dyDescent="0.25">
      <c r="F167" s="1"/>
      <c r="G167" s="1"/>
      <c r="J167" s="77" t="s">
        <v>231</v>
      </c>
      <c r="K167" s="77" t="s">
        <v>1048</v>
      </c>
      <c r="AJ167" s="89" t="s">
        <v>179</v>
      </c>
      <c r="AK167" s="89" t="s">
        <v>234</v>
      </c>
      <c r="AM167" s="89" t="s">
        <v>231</v>
      </c>
      <c r="AN167" s="89" t="s">
        <v>1045</v>
      </c>
    </row>
    <row r="168" spans="6:40" x14ac:dyDescent="0.25">
      <c r="F168" s="1" t="s">
        <v>179</v>
      </c>
      <c r="G168" s="1" t="s">
        <v>179</v>
      </c>
      <c r="J168" s="77"/>
      <c r="K168" s="77"/>
      <c r="AJ168" s="89" t="s">
        <v>179</v>
      </c>
      <c r="AK168" s="89" t="s">
        <v>232</v>
      </c>
      <c r="AM168" s="89" t="s">
        <v>231</v>
      </c>
      <c r="AN168" s="89" t="s">
        <v>1047</v>
      </c>
    </row>
    <row r="169" spans="6:40" x14ac:dyDescent="0.25">
      <c r="F169" s="1" t="s">
        <v>179</v>
      </c>
      <c r="G169" s="1" t="s">
        <v>231</v>
      </c>
      <c r="J169" s="77" t="s">
        <v>195</v>
      </c>
      <c r="K169" s="77" t="s">
        <v>454</v>
      </c>
      <c r="AJ169" s="89" t="s">
        <v>179</v>
      </c>
      <c r="AK169" s="89" t="s">
        <v>233</v>
      </c>
      <c r="AM169" s="89" t="s">
        <v>231</v>
      </c>
      <c r="AN169" s="89" t="s">
        <v>1048</v>
      </c>
    </row>
    <row r="170" spans="6:40" ht="30" x14ac:dyDescent="0.25">
      <c r="F170" s="1" t="s">
        <v>179</v>
      </c>
      <c r="G170" s="1" t="s">
        <v>234</v>
      </c>
      <c r="J170" s="77" t="s">
        <v>195</v>
      </c>
      <c r="K170" s="77" t="s">
        <v>511</v>
      </c>
      <c r="AJ170" s="89"/>
      <c r="AK170" s="89"/>
      <c r="AM170" s="89" t="s">
        <v>231</v>
      </c>
      <c r="AN170" s="89" t="s">
        <v>418</v>
      </c>
    </row>
    <row r="171" spans="6:40" x14ac:dyDescent="0.25">
      <c r="F171" s="1" t="s">
        <v>179</v>
      </c>
      <c r="G171" s="1" t="s">
        <v>232</v>
      </c>
      <c r="J171" s="77" t="s">
        <v>195</v>
      </c>
      <c r="K171" s="77" t="s">
        <v>476</v>
      </c>
      <c r="AJ171" s="89"/>
      <c r="AK171" s="89"/>
      <c r="AM171" s="89" t="s">
        <v>195</v>
      </c>
      <c r="AN171" s="89" t="s">
        <v>454</v>
      </c>
    </row>
    <row r="172" spans="6:40" x14ac:dyDescent="0.25">
      <c r="F172" s="1" t="s">
        <v>179</v>
      </c>
      <c r="G172" s="1" t="s">
        <v>233</v>
      </c>
      <c r="J172" s="77" t="s">
        <v>195</v>
      </c>
      <c r="K172" s="77" t="s">
        <v>478</v>
      </c>
      <c r="AJ172" s="89" t="s">
        <v>180</v>
      </c>
      <c r="AK172" s="89" t="s">
        <v>180</v>
      </c>
      <c r="AM172" s="89" t="s">
        <v>195</v>
      </c>
      <c r="AN172" s="89" t="s">
        <v>511</v>
      </c>
    </row>
    <row r="173" spans="6:40" x14ac:dyDescent="0.25">
      <c r="F173" s="1"/>
      <c r="G173" s="1"/>
      <c r="J173" s="77" t="s">
        <v>195</v>
      </c>
      <c r="K173" s="77" t="s">
        <v>510</v>
      </c>
      <c r="AJ173" s="89" t="s">
        <v>180</v>
      </c>
      <c r="AK173" s="89" t="s">
        <v>399</v>
      </c>
      <c r="AM173" s="89" t="s">
        <v>195</v>
      </c>
      <c r="AN173" s="89" t="s">
        <v>476</v>
      </c>
    </row>
    <row r="174" spans="6:40" x14ac:dyDescent="0.25">
      <c r="F174" s="1"/>
      <c r="G174" s="1"/>
      <c r="J174" s="77"/>
      <c r="K174" s="77"/>
      <c r="AJ174" s="89" t="s">
        <v>180</v>
      </c>
      <c r="AK174" s="89" t="s">
        <v>400</v>
      </c>
      <c r="AM174" s="89" t="s">
        <v>195</v>
      </c>
      <c r="AN174" s="89" t="s">
        <v>478</v>
      </c>
    </row>
    <row r="175" spans="6:40" x14ac:dyDescent="0.25">
      <c r="F175" s="1" t="s">
        <v>180</v>
      </c>
      <c r="G175" s="1" t="s">
        <v>180</v>
      </c>
      <c r="J175" s="77" t="s">
        <v>312</v>
      </c>
      <c r="K175" s="77" t="s">
        <v>312</v>
      </c>
      <c r="AJ175" s="89" t="s">
        <v>180</v>
      </c>
      <c r="AK175" s="89" t="s">
        <v>401</v>
      </c>
      <c r="AM175" s="89" t="s">
        <v>195</v>
      </c>
      <c r="AN175" s="89" t="s">
        <v>510</v>
      </c>
    </row>
    <row r="176" spans="6:40" ht="30" x14ac:dyDescent="0.25">
      <c r="F176" s="1" t="s">
        <v>180</v>
      </c>
      <c r="G176" s="1" t="s">
        <v>399</v>
      </c>
      <c r="J176" s="77" t="s">
        <v>312</v>
      </c>
      <c r="K176" s="77" t="s">
        <v>718</v>
      </c>
      <c r="AJ176" s="89" t="s">
        <v>180</v>
      </c>
      <c r="AK176" s="89" t="s">
        <v>402</v>
      </c>
      <c r="AM176" s="89" t="s">
        <v>195</v>
      </c>
      <c r="AN176" s="89" t="s">
        <v>418</v>
      </c>
    </row>
    <row r="177" spans="6:40" x14ac:dyDescent="0.25">
      <c r="F177" s="1" t="s">
        <v>180</v>
      </c>
      <c r="G177" s="1" t="s">
        <v>400</v>
      </c>
      <c r="J177" s="77" t="s">
        <v>312</v>
      </c>
      <c r="K177" s="77" t="s">
        <v>727</v>
      </c>
      <c r="AJ177" s="89" t="s">
        <v>180</v>
      </c>
      <c r="AK177" s="89" t="s">
        <v>403</v>
      </c>
      <c r="AM177" s="89" t="s">
        <v>312</v>
      </c>
      <c r="AN177" s="89" t="s">
        <v>312</v>
      </c>
    </row>
    <row r="178" spans="6:40" x14ac:dyDescent="0.25">
      <c r="F178" s="1" t="s">
        <v>180</v>
      </c>
      <c r="G178" s="1" t="s">
        <v>401</v>
      </c>
      <c r="J178" s="77"/>
      <c r="K178" s="77"/>
      <c r="AJ178" s="89" t="s">
        <v>180</v>
      </c>
      <c r="AK178" s="89" t="s">
        <v>404</v>
      </c>
      <c r="AM178" s="89" t="s">
        <v>312</v>
      </c>
      <c r="AN178" s="89" t="s">
        <v>718</v>
      </c>
    </row>
    <row r="179" spans="6:40" x14ac:dyDescent="0.25">
      <c r="F179" s="1" t="s">
        <v>180</v>
      </c>
      <c r="G179" s="1" t="s">
        <v>402</v>
      </c>
      <c r="J179" s="77" t="s">
        <v>369</v>
      </c>
      <c r="K179" s="77" t="s">
        <v>369</v>
      </c>
      <c r="AJ179" s="89" t="s">
        <v>180</v>
      </c>
      <c r="AK179" s="89" t="s">
        <v>405</v>
      </c>
      <c r="AM179" s="89" t="s">
        <v>312</v>
      </c>
      <c r="AN179" s="89" t="s">
        <v>727</v>
      </c>
    </row>
    <row r="180" spans="6:40" ht="30" x14ac:dyDescent="0.25">
      <c r="F180" s="1" t="s">
        <v>180</v>
      </c>
      <c r="G180" s="1" t="s">
        <v>403</v>
      </c>
      <c r="J180" s="77" t="s">
        <v>369</v>
      </c>
      <c r="K180" s="77" t="s">
        <v>561</v>
      </c>
      <c r="AJ180" s="89" t="s">
        <v>180</v>
      </c>
      <c r="AK180" s="89" t="s">
        <v>406</v>
      </c>
      <c r="AM180" s="89" t="s">
        <v>312</v>
      </c>
      <c r="AN180" s="89" t="s">
        <v>418</v>
      </c>
    </row>
    <row r="181" spans="6:40" x14ac:dyDescent="0.25">
      <c r="F181" s="1" t="s">
        <v>180</v>
      </c>
      <c r="G181" s="1" t="s">
        <v>404</v>
      </c>
      <c r="J181" s="77" t="s">
        <v>369</v>
      </c>
      <c r="K181" s="77" t="s">
        <v>562</v>
      </c>
      <c r="AJ181" s="89" t="s">
        <v>180</v>
      </c>
      <c r="AK181" s="89" t="s">
        <v>407</v>
      </c>
      <c r="AM181" s="89" t="s">
        <v>369</v>
      </c>
      <c r="AN181" s="89" t="s">
        <v>369</v>
      </c>
    </row>
    <row r="182" spans="6:40" x14ac:dyDescent="0.25">
      <c r="F182" s="1" t="s">
        <v>180</v>
      </c>
      <c r="G182" s="1" t="s">
        <v>405</v>
      </c>
      <c r="J182" s="77"/>
      <c r="K182" s="77"/>
      <c r="AJ182" s="89" t="s">
        <v>180</v>
      </c>
      <c r="AK182" s="89" t="s">
        <v>408</v>
      </c>
      <c r="AM182" s="89" t="s">
        <v>369</v>
      </c>
      <c r="AN182" s="89" t="s">
        <v>561</v>
      </c>
    </row>
    <row r="183" spans="6:40" x14ac:dyDescent="0.25">
      <c r="F183" s="1" t="s">
        <v>180</v>
      </c>
      <c r="G183" s="1" t="s">
        <v>406</v>
      </c>
      <c r="J183" s="77"/>
      <c r="K183" s="77"/>
      <c r="AJ183" s="89" t="s">
        <v>180</v>
      </c>
      <c r="AK183" s="89" t="s">
        <v>409</v>
      </c>
      <c r="AM183" s="89" t="s">
        <v>369</v>
      </c>
      <c r="AN183" s="89" t="s">
        <v>562</v>
      </c>
    </row>
    <row r="184" spans="6:40" ht="30" x14ac:dyDescent="0.25">
      <c r="F184" s="1" t="s">
        <v>180</v>
      </c>
      <c r="G184" s="1" t="s">
        <v>407</v>
      </c>
      <c r="J184" s="77" t="s">
        <v>401</v>
      </c>
      <c r="K184" s="77" t="s">
        <v>1058</v>
      </c>
      <c r="AJ184" s="89" t="s">
        <v>180</v>
      </c>
      <c r="AK184" s="89" t="s">
        <v>410</v>
      </c>
      <c r="AM184" s="89" t="s">
        <v>369</v>
      </c>
      <c r="AN184" s="89" t="s">
        <v>418</v>
      </c>
    </row>
    <row r="185" spans="6:40" ht="30" x14ac:dyDescent="0.25">
      <c r="F185" s="1" t="s">
        <v>180</v>
      </c>
      <c r="G185" s="1" t="s">
        <v>408</v>
      </c>
      <c r="J185" s="77" t="s">
        <v>401</v>
      </c>
      <c r="K185" s="77" t="s">
        <v>1061</v>
      </c>
      <c r="AJ185" s="89" t="s">
        <v>180</v>
      </c>
      <c r="AK185" s="89" t="s">
        <v>411</v>
      </c>
      <c r="AM185" s="89" t="s">
        <v>401</v>
      </c>
      <c r="AN185" s="89" t="s">
        <v>418</v>
      </c>
    </row>
    <row r="186" spans="6:40" x14ac:dyDescent="0.25">
      <c r="F186" s="1" t="s">
        <v>180</v>
      </c>
      <c r="G186" s="1" t="s">
        <v>409</v>
      </c>
      <c r="J186" s="77" t="s">
        <v>401</v>
      </c>
      <c r="K186" s="77" t="s">
        <v>1091</v>
      </c>
      <c r="AJ186" s="89" t="s">
        <v>180</v>
      </c>
      <c r="AK186" s="89" t="s">
        <v>412</v>
      </c>
      <c r="AM186" s="89" t="s">
        <v>401</v>
      </c>
      <c r="AN186" s="89" t="s">
        <v>1058</v>
      </c>
    </row>
    <row r="187" spans="6:40" x14ac:dyDescent="0.25">
      <c r="F187" s="1" t="s">
        <v>180</v>
      </c>
      <c r="G187" s="1" t="s">
        <v>410</v>
      </c>
      <c r="J187" s="77" t="s">
        <v>183</v>
      </c>
      <c r="K187" s="77" t="s">
        <v>183</v>
      </c>
      <c r="AJ187" s="89" t="s">
        <v>180</v>
      </c>
      <c r="AK187" s="89" t="s">
        <v>413</v>
      </c>
      <c r="AM187" s="89" t="s">
        <v>401</v>
      </c>
      <c r="AN187" s="89" t="s">
        <v>1061</v>
      </c>
    </row>
    <row r="188" spans="6:40" x14ac:dyDescent="0.25">
      <c r="F188" s="1" t="s">
        <v>180</v>
      </c>
      <c r="G188" s="1" t="s">
        <v>411</v>
      </c>
      <c r="J188" s="77" t="s">
        <v>183</v>
      </c>
      <c r="K188" s="77" t="s">
        <v>419</v>
      </c>
      <c r="AJ188" s="89"/>
      <c r="AK188" s="89"/>
      <c r="AM188" s="89" t="s">
        <v>401</v>
      </c>
      <c r="AN188" s="89" t="s">
        <v>1091</v>
      </c>
    </row>
    <row r="189" spans="6:40" x14ac:dyDescent="0.25">
      <c r="F189" s="1" t="s">
        <v>180</v>
      </c>
      <c r="G189" s="1" t="s">
        <v>412</v>
      </c>
      <c r="J189" s="77" t="s">
        <v>183</v>
      </c>
      <c r="K189" s="77" t="s">
        <v>420</v>
      </c>
      <c r="AJ189" s="89" t="s">
        <v>180</v>
      </c>
      <c r="AK189" s="89" t="s">
        <v>416</v>
      </c>
      <c r="AM189" s="89" t="s">
        <v>183</v>
      </c>
      <c r="AN189" s="89" t="s">
        <v>183</v>
      </c>
    </row>
    <row r="190" spans="6:40" x14ac:dyDescent="0.25">
      <c r="F190" s="1" t="s">
        <v>180</v>
      </c>
      <c r="G190" s="1" t="s">
        <v>413</v>
      </c>
      <c r="J190" s="77" t="s">
        <v>183</v>
      </c>
      <c r="K190" s="77" t="s">
        <v>188</v>
      </c>
      <c r="AJ190" s="89" t="s">
        <v>181</v>
      </c>
      <c r="AK190" s="89" t="s">
        <v>286</v>
      </c>
      <c r="AM190" s="89" t="s">
        <v>183</v>
      </c>
      <c r="AN190" s="89" t="s">
        <v>419</v>
      </c>
    </row>
    <row r="191" spans="6:40" ht="30" x14ac:dyDescent="0.25">
      <c r="F191" s="1" t="s">
        <v>180</v>
      </c>
      <c r="G191" s="1" t="s">
        <v>415</v>
      </c>
      <c r="J191" s="77" t="s">
        <v>183</v>
      </c>
      <c r="K191" s="77" t="s">
        <v>198</v>
      </c>
      <c r="AJ191" s="89" t="s">
        <v>181</v>
      </c>
      <c r="AK191" s="89" t="s">
        <v>287</v>
      </c>
      <c r="AM191" s="89" t="s">
        <v>183</v>
      </c>
      <c r="AN191" s="89" t="s">
        <v>420</v>
      </c>
    </row>
    <row r="192" spans="6:40" ht="30" x14ac:dyDescent="0.25">
      <c r="F192" s="1" t="s">
        <v>180</v>
      </c>
      <c r="G192" s="1" t="s">
        <v>416</v>
      </c>
      <c r="J192" s="77"/>
      <c r="K192" s="77"/>
      <c r="AJ192" s="89" t="s">
        <v>181</v>
      </c>
      <c r="AK192" s="89" t="s">
        <v>288</v>
      </c>
      <c r="AM192" s="89" t="s">
        <v>183</v>
      </c>
      <c r="AN192" s="89" t="s">
        <v>418</v>
      </c>
    </row>
    <row r="193" spans="6:40" x14ac:dyDescent="0.25">
      <c r="F193" s="1" t="s">
        <v>181</v>
      </c>
      <c r="G193" s="1" t="s">
        <v>286</v>
      </c>
      <c r="J193" s="77" t="s">
        <v>324</v>
      </c>
      <c r="K193" s="77" t="s">
        <v>1020</v>
      </c>
      <c r="AJ193" s="89" t="s">
        <v>181</v>
      </c>
      <c r="AK193" s="89" t="s">
        <v>289</v>
      </c>
      <c r="AM193" s="89" t="s">
        <v>324</v>
      </c>
      <c r="AN193" s="89" t="s">
        <v>1020</v>
      </c>
    </row>
    <row r="194" spans="6:40" x14ac:dyDescent="0.25">
      <c r="F194" s="1" t="s">
        <v>181</v>
      </c>
      <c r="G194" s="1" t="s">
        <v>287</v>
      </c>
      <c r="J194" s="77" t="s">
        <v>324</v>
      </c>
      <c r="K194" s="77" t="s">
        <v>1030</v>
      </c>
      <c r="AJ194" s="89" t="s">
        <v>181</v>
      </c>
      <c r="AK194" s="89" t="s">
        <v>290</v>
      </c>
      <c r="AM194" s="89" t="s">
        <v>324</v>
      </c>
      <c r="AN194" s="89" t="s">
        <v>1030</v>
      </c>
    </row>
    <row r="195" spans="6:40" x14ac:dyDescent="0.25">
      <c r="F195" s="1" t="s">
        <v>181</v>
      </c>
      <c r="G195" s="1" t="s">
        <v>288</v>
      </c>
      <c r="J195" s="77" t="s">
        <v>324</v>
      </c>
      <c r="K195" s="77" t="s">
        <v>1031</v>
      </c>
      <c r="AJ195" s="89" t="s">
        <v>181</v>
      </c>
      <c r="AK195" s="89" t="s">
        <v>291</v>
      </c>
      <c r="AM195" s="89" t="s">
        <v>324</v>
      </c>
      <c r="AN195" s="89" t="s">
        <v>1031</v>
      </c>
    </row>
    <row r="196" spans="6:40" x14ac:dyDescent="0.25">
      <c r="F196" s="1" t="s">
        <v>181</v>
      </c>
      <c r="G196" s="1" t="s">
        <v>289</v>
      </c>
      <c r="J196" s="77" t="s">
        <v>324</v>
      </c>
      <c r="K196" s="77" t="s">
        <v>1032</v>
      </c>
      <c r="AJ196" s="89"/>
      <c r="AK196" s="89"/>
      <c r="AM196" s="89" t="s">
        <v>324</v>
      </c>
      <c r="AN196" s="89" t="s">
        <v>1032</v>
      </c>
    </row>
    <row r="197" spans="6:40" x14ac:dyDescent="0.25">
      <c r="F197" s="1" t="s">
        <v>181</v>
      </c>
      <c r="G197" s="1" t="s">
        <v>290</v>
      </c>
      <c r="J197" s="77" t="s">
        <v>324</v>
      </c>
      <c r="K197" s="77" t="s">
        <v>1035</v>
      </c>
      <c r="AM197" s="89" t="s">
        <v>324</v>
      </c>
      <c r="AN197" s="89" t="s">
        <v>1035</v>
      </c>
    </row>
    <row r="198" spans="6:40" x14ac:dyDescent="0.25">
      <c r="F198" s="1" t="s">
        <v>181</v>
      </c>
      <c r="G198" s="1" t="s">
        <v>291</v>
      </c>
      <c r="J198" s="77" t="s">
        <v>324</v>
      </c>
      <c r="K198" s="77" t="s">
        <v>1036</v>
      </c>
      <c r="AM198" s="89" t="s">
        <v>324</v>
      </c>
      <c r="AN198" s="89" t="s">
        <v>1036</v>
      </c>
    </row>
    <row r="199" spans="6:40" x14ac:dyDescent="0.25">
      <c r="F199" s="1"/>
      <c r="G199" s="1"/>
      <c r="J199" s="77" t="s">
        <v>324</v>
      </c>
      <c r="K199" s="77" t="s">
        <v>1037</v>
      </c>
      <c r="AM199" s="89" t="s">
        <v>324</v>
      </c>
      <c r="AN199" s="89" t="s">
        <v>1037</v>
      </c>
    </row>
    <row r="200" spans="6:40" ht="30" x14ac:dyDescent="0.25">
      <c r="J200" s="77"/>
      <c r="K200" s="77"/>
      <c r="AM200" s="89" t="s">
        <v>324</v>
      </c>
      <c r="AN200" s="89" t="s">
        <v>418</v>
      </c>
    </row>
    <row r="201" spans="6:40" ht="30" x14ac:dyDescent="0.25">
      <c r="J201" s="77"/>
      <c r="K201" s="77"/>
      <c r="AM201" s="89" t="s">
        <v>402</v>
      </c>
      <c r="AN201" s="89" t="s">
        <v>418</v>
      </c>
    </row>
    <row r="202" spans="6:40" x14ac:dyDescent="0.25">
      <c r="J202" s="77" t="s">
        <v>331</v>
      </c>
      <c r="K202" s="77" t="s">
        <v>591</v>
      </c>
      <c r="AM202" s="89" t="s">
        <v>331</v>
      </c>
      <c r="AN202" s="89" t="s">
        <v>591</v>
      </c>
    </row>
    <row r="203" spans="6:40" x14ac:dyDescent="0.25">
      <c r="J203" s="77" t="s">
        <v>331</v>
      </c>
      <c r="K203" s="77" t="s">
        <v>599</v>
      </c>
      <c r="AM203" s="89" t="s">
        <v>331</v>
      </c>
      <c r="AN203" s="89" t="s">
        <v>599</v>
      </c>
    </row>
    <row r="204" spans="6:40" x14ac:dyDescent="0.25">
      <c r="J204" s="77" t="s">
        <v>331</v>
      </c>
      <c r="K204" s="77" t="s">
        <v>604</v>
      </c>
      <c r="AM204" s="89" t="s">
        <v>331</v>
      </c>
      <c r="AN204" s="89" t="s">
        <v>604</v>
      </c>
    </row>
    <row r="205" spans="6:40" x14ac:dyDescent="0.25">
      <c r="J205" s="77" t="s">
        <v>331</v>
      </c>
      <c r="K205" s="77" t="s">
        <v>606</v>
      </c>
      <c r="AM205" s="89" t="s">
        <v>331</v>
      </c>
      <c r="AN205" s="89" t="s">
        <v>606</v>
      </c>
    </row>
    <row r="206" spans="6:40" ht="30" x14ac:dyDescent="0.25">
      <c r="J206" s="77"/>
      <c r="K206" s="77"/>
      <c r="AM206" s="89" t="s">
        <v>331</v>
      </c>
      <c r="AN206" s="89" t="s">
        <v>418</v>
      </c>
    </row>
    <row r="207" spans="6:40" x14ac:dyDescent="0.25">
      <c r="J207" s="77" t="s">
        <v>169</v>
      </c>
      <c r="K207" s="77" t="s">
        <v>563</v>
      </c>
      <c r="AM207" s="89" t="s">
        <v>169</v>
      </c>
      <c r="AN207" s="89" t="s">
        <v>563</v>
      </c>
    </row>
    <row r="208" spans="6:40" x14ac:dyDescent="0.25">
      <c r="J208" s="77" t="s">
        <v>169</v>
      </c>
      <c r="K208" s="77" t="s">
        <v>564</v>
      </c>
      <c r="AM208" s="89" t="s">
        <v>169</v>
      </c>
      <c r="AN208" s="89" t="s">
        <v>564</v>
      </c>
    </row>
    <row r="209" spans="10:40" x14ac:dyDescent="0.25">
      <c r="J209" s="77" t="s">
        <v>169</v>
      </c>
      <c r="K209" s="77" t="s">
        <v>169</v>
      </c>
      <c r="AM209" s="89" t="s">
        <v>169</v>
      </c>
      <c r="AN209" s="89" t="s">
        <v>169</v>
      </c>
    </row>
    <row r="210" spans="10:40" ht="30" x14ac:dyDescent="0.25">
      <c r="J210" s="77"/>
      <c r="K210" s="77"/>
      <c r="AM210" s="89" t="s">
        <v>169</v>
      </c>
      <c r="AN210" s="89" t="s">
        <v>418</v>
      </c>
    </row>
    <row r="211" spans="10:40" x14ac:dyDescent="0.25">
      <c r="J211" s="77" t="s">
        <v>383</v>
      </c>
      <c r="K211" s="77" t="s">
        <v>595</v>
      </c>
      <c r="AM211" s="89" t="s">
        <v>383</v>
      </c>
      <c r="AN211" s="89" t="s">
        <v>595</v>
      </c>
    </row>
    <row r="212" spans="10:40" x14ac:dyDescent="0.25">
      <c r="J212" s="77" t="s">
        <v>383</v>
      </c>
      <c r="K212" s="77" t="s">
        <v>598</v>
      </c>
      <c r="AM212" s="89" t="s">
        <v>383</v>
      </c>
      <c r="AN212" s="89" t="s">
        <v>598</v>
      </c>
    </row>
    <row r="213" spans="10:40" x14ac:dyDescent="0.25">
      <c r="J213" s="77" t="s">
        <v>383</v>
      </c>
      <c r="K213" s="77" t="s">
        <v>510</v>
      </c>
      <c r="AM213" s="89" t="s">
        <v>383</v>
      </c>
      <c r="AN213" s="89" t="s">
        <v>510</v>
      </c>
    </row>
    <row r="214" spans="10:40" ht="30" x14ac:dyDescent="0.25">
      <c r="J214" s="77"/>
      <c r="K214" s="77"/>
      <c r="AM214" s="89" t="s">
        <v>383</v>
      </c>
      <c r="AN214" s="89" t="s">
        <v>418</v>
      </c>
    </row>
    <row r="215" spans="10:40" ht="30" x14ac:dyDescent="0.25">
      <c r="J215" s="77"/>
      <c r="K215" s="77"/>
      <c r="AM215" s="89" t="s">
        <v>395</v>
      </c>
      <c r="AN215" s="89" t="s">
        <v>418</v>
      </c>
    </row>
    <row r="216" spans="10:40" x14ac:dyDescent="0.25">
      <c r="J216" s="77" t="s">
        <v>395</v>
      </c>
      <c r="K216" s="77" t="s">
        <v>965</v>
      </c>
      <c r="AM216" s="89" t="s">
        <v>395</v>
      </c>
      <c r="AN216" s="89" t="s">
        <v>965</v>
      </c>
    </row>
    <row r="217" spans="10:40" x14ac:dyDescent="0.25">
      <c r="J217" s="77" t="s">
        <v>395</v>
      </c>
      <c r="K217" s="77" t="s">
        <v>966</v>
      </c>
      <c r="AM217" s="89" t="s">
        <v>395</v>
      </c>
      <c r="AN217" s="89" t="s">
        <v>966</v>
      </c>
    </row>
    <row r="218" spans="10:40" x14ac:dyDescent="0.25">
      <c r="J218" s="77" t="s">
        <v>395</v>
      </c>
      <c r="K218" s="77" t="s">
        <v>967</v>
      </c>
      <c r="AM218" s="89" t="s">
        <v>395</v>
      </c>
      <c r="AN218" s="89" t="s">
        <v>967</v>
      </c>
    </row>
    <row r="219" spans="10:40" x14ac:dyDescent="0.25">
      <c r="J219" s="77" t="s">
        <v>395</v>
      </c>
      <c r="K219" s="77" t="s">
        <v>968</v>
      </c>
      <c r="AM219" s="89" t="s">
        <v>395</v>
      </c>
      <c r="AN219" s="89" t="s">
        <v>968</v>
      </c>
    </row>
    <row r="220" spans="10:40" x14ac:dyDescent="0.25">
      <c r="J220" s="77" t="s">
        <v>300</v>
      </c>
      <c r="K220" s="77" t="s">
        <v>627</v>
      </c>
      <c r="AM220" s="89" t="s">
        <v>300</v>
      </c>
      <c r="AN220" s="89" t="s">
        <v>627</v>
      </c>
    </row>
    <row r="221" spans="10:40" x14ac:dyDescent="0.25">
      <c r="J221" s="77" t="s">
        <v>300</v>
      </c>
      <c r="K221" s="77" t="s">
        <v>643</v>
      </c>
      <c r="AM221" s="89" t="s">
        <v>300</v>
      </c>
      <c r="AN221" s="89" t="s">
        <v>643</v>
      </c>
    </row>
    <row r="222" spans="10:40" x14ac:dyDescent="0.25">
      <c r="J222" s="77" t="s">
        <v>300</v>
      </c>
      <c r="K222" s="77" t="s">
        <v>649</v>
      </c>
      <c r="AM222" s="89" t="s">
        <v>300</v>
      </c>
      <c r="AN222" s="89" t="s">
        <v>649</v>
      </c>
    </row>
    <row r="223" spans="10:40" x14ac:dyDescent="0.25">
      <c r="J223" s="77" t="s">
        <v>300</v>
      </c>
      <c r="K223" s="77" t="s">
        <v>672</v>
      </c>
      <c r="AM223" s="89" t="s">
        <v>300</v>
      </c>
      <c r="AN223" s="89" t="s">
        <v>672</v>
      </c>
    </row>
    <row r="224" spans="10:40" ht="30" x14ac:dyDescent="0.25">
      <c r="J224" s="77"/>
      <c r="K224" s="77"/>
      <c r="AM224" s="89" t="s">
        <v>300</v>
      </c>
      <c r="AN224" s="89" t="s">
        <v>418</v>
      </c>
    </row>
    <row r="225" spans="10:40" x14ac:dyDescent="0.25">
      <c r="J225" s="77" t="s">
        <v>212</v>
      </c>
      <c r="K225" s="77" t="s">
        <v>212</v>
      </c>
      <c r="AM225" s="89" t="s">
        <v>212</v>
      </c>
      <c r="AN225" s="89" t="s">
        <v>212</v>
      </c>
    </row>
    <row r="226" spans="10:40" x14ac:dyDescent="0.25">
      <c r="J226" s="77" t="s">
        <v>212</v>
      </c>
      <c r="K226" s="77" t="s">
        <v>565</v>
      </c>
      <c r="AM226" s="89" t="s">
        <v>212</v>
      </c>
      <c r="AN226" s="89" t="s">
        <v>565</v>
      </c>
    </row>
    <row r="227" spans="10:40" x14ac:dyDescent="0.25">
      <c r="J227" s="77" t="s">
        <v>212</v>
      </c>
      <c r="K227" s="77" t="s">
        <v>566</v>
      </c>
      <c r="AM227" s="89" t="s">
        <v>212</v>
      </c>
      <c r="AN227" s="89" t="s">
        <v>566</v>
      </c>
    </row>
    <row r="228" spans="10:40" ht="30" x14ac:dyDescent="0.25">
      <c r="J228" s="77"/>
      <c r="K228" s="77"/>
      <c r="AM228" s="89" t="s">
        <v>212</v>
      </c>
      <c r="AN228" s="89" t="s">
        <v>418</v>
      </c>
    </row>
    <row r="229" spans="10:40" x14ac:dyDescent="0.25">
      <c r="J229" s="77" t="s">
        <v>372</v>
      </c>
      <c r="K229" s="77" t="s">
        <v>372</v>
      </c>
      <c r="AM229" s="89" t="s">
        <v>372</v>
      </c>
      <c r="AN229" s="89" t="s">
        <v>372</v>
      </c>
    </row>
    <row r="230" spans="10:40" ht="30" x14ac:dyDescent="0.25">
      <c r="J230" s="77"/>
      <c r="K230" s="77"/>
      <c r="AM230" s="89" t="s">
        <v>372</v>
      </c>
      <c r="AN230" s="89" t="s">
        <v>418</v>
      </c>
    </row>
    <row r="231" spans="10:40" x14ac:dyDescent="0.25">
      <c r="J231" s="77" t="s">
        <v>301</v>
      </c>
      <c r="K231" s="77" t="s">
        <v>628</v>
      </c>
      <c r="AM231" s="89" t="s">
        <v>301</v>
      </c>
      <c r="AN231" s="89" t="s">
        <v>628</v>
      </c>
    </row>
    <row r="232" spans="10:40" x14ac:dyDescent="0.25">
      <c r="J232" s="77" t="s">
        <v>301</v>
      </c>
      <c r="K232" s="77" t="s">
        <v>639</v>
      </c>
      <c r="AM232" s="89" t="s">
        <v>301</v>
      </c>
      <c r="AN232" s="89" t="s">
        <v>639</v>
      </c>
    </row>
    <row r="233" spans="10:40" x14ac:dyDescent="0.25">
      <c r="J233" s="77" t="s">
        <v>301</v>
      </c>
      <c r="K233" s="77" t="s">
        <v>642</v>
      </c>
      <c r="AM233" s="89" t="s">
        <v>301</v>
      </c>
      <c r="AN233" s="89" t="s">
        <v>642</v>
      </c>
    </row>
    <row r="234" spans="10:40" x14ac:dyDescent="0.25">
      <c r="J234" s="77" t="s">
        <v>301</v>
      </c>
      <c r="K234" s="77" t="s">
        <v>671</v>
      </c>
      <c r="AM234" s="89" t="s">
        <v>301</v>
      </c>
      <c r="AN234" s="89" t="s">
        <v>671</v>
      </c>
    </row>
    <row r="235" spans="10:40" ht="30" x14ac:dyDescent="0.25">
      <c r="J235" s="77"/>
      <c r="K235" s="77"/>
      <c r="AM235" s="89" t="s">
        <v>301</v>
      </c>
      <c r="AN235" s="89" t="s">
        <v>418</v>
      </c>
    </row>
    <row r="236" spans="10:40" x14ac:dyDescent="0.25">
      <c r="J236" s="77" t="s">
        <v>398</v>
      </c>
      <c r="K236" s="77" t="s">
        <v>358</v>
      </c>
      <c r="AM236" s="89" t="s">
        <v>358</v>
      </c>
      <c r="AN236" s="89" t="s">
        <v>358</v>
      </c>
    </row>
    <row r="237" spans="10:40" x14ac:dyDescent="0.25">
      <c r="J237" s="77" t="s">
        <v>398</v>
      </c>
      <c r="K237" s="77" t="s">
        <v>978</v>
      </c>
      <c r="AM237" s="89" t="s">
        <v>358</v>
      </c>
      <c r="AN237" s="89" t="s">
        <v>978</v>
      </c>
    </row>
    <row r="238" spans="10:40" x14ac:dyDescent="0.25">
      <c r="J238" s="77" t="s">
        <v>398</v>
      </c>
      <c r="K238" s="77" t="s">
        <v>1004</v>
      </c>
      <c r="AM238" s="89" t="s">
        <v>358</v>
      </c>
      <c r="AN238" s="89" t="s">
        <v>1004</v>
      </c>
    </row>
    <row r="239" spans="10:40" ht="30" x14ac:dyDescent="0.25">
      <c r="J239" s="77"/>
      <c r="K239" s="77"/>
      <c r="AM239" s="89" t="s">
        <v>358</v>
      </c>
      <c r="AN239" s="89" t="s">
        <v>418</v>
      </c>
    </row>
    <row r="240" spans="10:40" x14ac:dyDescent="0.25">
      <c r="J240" s="77" t="s">
        <v>229</v>
      </c>
      <c r="K240" s="77" t="s">
        <v>973</v>
      </c>
      <c r="AM240" s="89" t="s">
        <v>229</v>
      </c>
      <c r="AN240" s="89" t="s">
        <v>973</v>
      </c>
    </row>
    <row r="241" spans="10:40" x14ac:dyDescent="0.25">
      <c r="J241" s="77" t="s">
        <v>229</v>
      </c>
      <c r="K241" s="77" t="s">
        <v>994</v>
      </c>
      <c r="AM241" s="89" t="s">
        <v>229</v>
      </c>
      <c r="AN241" s="89" t="s">
        <v>994</v>
      </c>
    </row>
    <row r="242" spans="10:40" x14ac:dyDescent="0.25">
      <c r="J242" s="77" t="s">
        <v>229</v>
      </c>
      <c r="K242" s="77" t="s">
        <v>1006</v>
      </c>
      <c r="AM242" s="89" t="s">
        <v>229</v>
      </c>
      <c r="AN242" s="89" t="s">
        <v>1006</v>
      </c>
    </row>
    <row r="243" spans="10:40" x14ac:dyDescent="0.25">
      <c r="J243" s="77" t="s">
        <v>229</v>
      </c>
      <c r="K243" s="77" t="s">
        <v>1011</v>
      </c>
      <c r="AM243" s="89" t="s">
        <v>229</v>
      </c>
      <c r="AN243" s="89" t="s">
        <v>1011</v>
      </c>
    </row>
    <row r="244" spans="10:40" x14ac:dyDescent="0.25">
      <c r="J244" s="77" t="s">
        <v>229</v>
      </c>
      <c r="K244" s="77" t="s">
        <v>1014</v>
      </c>
      <c r="AM244" s="89" t="s">
        <v>229</v>
      </c>
      <c r="AN244" s="89" t="s">
        <v>1014</v>
      </c>
    </row>
    <row r="245" spans="10:40" ht="30" x14ac:dyDescent="0.25">
      <c r="J245" s="77"/>
      <c r="K245" s="77"/>
      <c r="AM245" s="89" t="s">
        <v>229</v>
      </c>
      <c r="AN245" s="89" t="s">
        <v>418</v>
      </c>
    </row>
    <row r="246" spans="10:40" x14ac:dyDescent="0.25">
      <c r="J246" s="77" t="s">
        <v>292</v>
      </c>
      <c r="K246" s="77" t="s">
        <v>292</v>
      </c>
      <c r="AM246" s="89" t="s">
        <v>292</v>
      </c>
      <c r="AN246" s="89" t="s">
        <v>292</v>
      </c>
    </row>
    <row r="247" spans="10:40" x14ac:dyDescent="0.25">
      <c r="J247" s="77" t="s">
        <v>292</v>
      </c>
      <c r="K247" s="77" t="s">
        <v>586</v>
      </c>
      <c r="AM247" s="89" t="s">
        <v>292</v>
      </c>
      <c r="AN247" s="89" t="s">
        <v>586</v>
      </c>
    </row>
    <row r="248" spans="10:40" ht="30" x14ac:dyDescent="0.25">
      <c r="J248" s="77"/>
      <c r="K248" s="77"/>
      <c r="AM248" s="89" t="s">
        <v>292</v>
      </c>
      <c r="AN248" s="89" t="s">
        <v>418</v>
      </c>
    </row>
    <row r="249" spans="10:40" x14ac:dyDescent="0.25">
      <c r="J249" s="77" t="s">
        <v>356</v>
      </c>
      <c r="K249" s="77" t="s">
        <v>971</v>
      </c>
      <c r="AM249" s="89" t="s">
        <v>356</v>
      </c>
      <c r="AN249" s="89" t="s">
        <v>971</v>
      </c>
    </row>
    <row r="250" spans="10:40" x14ac:dyDescent="0.25">
      <c r="J250" s="77" t="s">
        <v>356</v>
      </c>
      <c r="K250" s="77" t="s">
        <v>974</v>
      </c>
      <c r="AM250" s="89" t="s">
        <v>356</v>
      </c>
      <c r="AN250" s="89" t="s">
        <v>974</v>
      </c>
    </row>
    <row r="251" spans="10:40" x14ac:dyDescent="0.25">
      <c r="J251" s="77" t="s">
        <v>356</v>
      </c>
      <c r="K251" s="77" t="s">
        <v>976</v>
      </c>
      <c r="AM251" s="89" t="s">
        <v>356</v>
      </c>
      <c r="AN251" s="89" t="s">
        <v>976</v>
      </c>
    </row>
    <row r="252" spans="10:40" x14ac:dyDescent="0.25">
      <c r="J252" s="77" t="s">
        <v>356</v>
      </c>
      <c r="K252" s="77" t="s">
        <v>999</v>
      </c>
      <c r="AM252" s="89" t="s">
        <v>356</v>
      </c>
      <c r="AN252" s="89" t="s">
        <v>999</v>
      </c>
    </row>
    <row r="253" spans="10:40" ht="30" x14ac:dyDescent="0.25">
      <c r="J253" s="77"/>
      <c r="K253" s="77"/>
      <c r="AM253" s="89" t="s">
        <v>356</v>
      </c>
      <c r="AN253" s="89" t="s">
        <v>418</v>
      </c>
    </row>
    <row r="254" spans="10:40" x14ac:dyDescent="0.25">
      <c r="J254" s="77" t="s">
        <v>197</v>
      </c>
      <c r="K254" s="77" t="s">
        <v>448</v>
      </c>
      <c r="AM254" s="89" t="s">
        <v>197</v>
      </c>
      <c r="AN254" s="89" t="s">
        <v>448</v>
      </c>
    </row>
    <row r="255" spans="10:40" x14ac:dyDescent="0.25">
      <c r="J255" s="77" t="s">
        <v>197</v>
      </c>
      <c r="K255" s="77" t="s">
        <v>451</v>
      </c>
      <c r="AM255" s="89" t="s">
        <v>197</v>
      </c>
      <c r="AN255" s="89" t="s">
        <v>451</v>
      </c>
    </row>
    <row r="256" spans="10:40" x14ac:dyDescent="0.25">
      <c r="J256" s="77" t="s">
        <v>197</v>
      </c>
      <c r="K256" s="77" t="s">
        <v>471</v>
      </c>
      <c r="AM256" s="89" t="s">
        <v>197</v>
      </c>
      <c r="AN256" s="89" t="s">
        <v>471</v>
      </c>
    </row>
    <row r="257" spans="10:40" x14ac:dyDescent="0.25">
      <c r="J257" s="77" t="s">
        <v>197</v>
      </c>
      <c r="K257" s="77" t="s">
        <v>482</v>
      </c>
      <c r="AM257" s="89" t="s">
        <v>197</v>
      </c>
      <c r="AN257" s="89" t="s">
        <v>482</v>
      </c>
    </row>
    <row r="258" spans="10:40" x14ac:dyDescent="0.25">
      <c r="J258" s="77" t="s">
        <v>197</v>
      </c>
      <c r="K258" s="77" t="s">
        <v>510</v>
      </c>
      <c r="AM258" s="89" t="s">
        <v>197</v>
      </c>
      <c r="AN258" s="89" t="s">
        <v>510</v>
      </c>
    </row>
    <row r="259" spans="10:40" ht="30" x14ac:dyDescent="0.25">
      <c r="J259" s="77"/>
      <c r="K259" s="77"/>
      <c r="AM259" s="89" t="s">
        <v>197</v>
      </c>
      <c r="AN259" s="89" t="s">
        <v>418</v>
      </c>
    </row>
    <row r="260" spans="10:40" ht="30" x14ac:dyDescent="0.25">
      <c r="J260" s="77"/>
      <c r="K260" s="77"/>
      <c r="AM260" s="89" t="s">
        <v>213</v>
      </c>
      <c r="AN260" s="89" t="s">
        <v>418</v>
      </c>
    </row>
    <row r="261" spans="10:40" x14ac:dyDescent="0.25">
      <c r="J261" s="77" t="s">
        <v>213</v>
      </c>
      <c r="K261" s="77" t="s">
        <v>673</v>
      </c>
      <c r="AM261" s="89" t="s">
        <v>213</v>
      </c>
      <c r="AN261" s="89" t="s">
        <v>673</v>
      </c>
    </row>
    <row r="262" spans="10:40" x14ac:dyDescent="0.25">
      <c r="J262" s="77" t="s">
        <v>213</v>
      </c>
      <c r="K262" s="77" t="s">
        <v>674</v>
      </c>
      <c r="AM262" s="89" t="s">
        <v>213</v>
      </c>
      <c r="AN262" s="89" t="s">
        <v>674</v>
      </c>
    </row>
    <row r="263" spans="10:40" x14ac:dyDescent="0.25">
      <c r="J263" s="77" t="s">
        <v>213</v>
      </c>
      <c r="K263" s="77" t="s">
        <v>675</v>
      </c>
      <c r="AM263" s="89" t="s">
        <v>213</v>
      </c>
      <c r="AN263" s="89" t="s">
        <v>675</v>
      </c>
    </row>
    <row r="264" spans="10:40" x14ac:dyDescent="0.25">
      <c r="J264" s="77" t="s">
        <v>302</v>
      </c>
      <c r="K264" s="77" t="s">
        <v>630</v>
      </c>
      <c r="AM264" s="89" t="s">
        <v>302</v>
      </c>
      <c r="AN264" s="89" t="s">
        <v>630</v>
      </c>
    </row>
    <row r="265" spans="10:40" x14ac:dyDescent="0.25">
      <c r="J265" s="77" t="s">
        <v>302</v>
      </c>
      <c r="K265" s="77" t="s">
        <v>631</v>
      </c>
      <c r="AM265" s="89" t="s">
        <v>302</v>
      </c>
      <c r="AN265" s="89" t="s">
        <v>631</v>
      </c>
    </row>
    <row r="266" spans="10:40" x14ac:dyDescent="0.25">
      <c r="J266" s="77" t="s">
        <v>302</v>
      </c>
      <c r="K266" s="77" t="s">
        <v>662</v>
      </c>
      <c r="AM266" s="89" t="s">
        <v>302</v>
      </c>
      <c r="AN266" s="89" t="s">
        <v>662</v>
      </c>
    </row>
    <row r="267" spans="10:40" ht="30" x14ac:dyDescent="0.25">
      <c r="J267" s="77"/>
      <c r="K267" s="77"/>
      <c r="AM267" s="89" t="s">
        <v>302</v>
      </c>
      <c r="AN267" s="89" t="s">
        <v>418</v>
      </c>
    </row>
    <row r="268" spans="10:40" x14ac:dyDescent="0.25">
      <c r="J268" s="77" t="s">
        <v>379</v>
      </c>
      <c r="K268" s="77" t="s">
        <v>523</v>
      </c>
      <c r="AM268" s="89" t="s">
        <v>379</v>
      </c>
      <c r="AN268" s="89" t="s">
        <v>523</v>
      </c>
    </row>
    <row r="269" spans="10:40" x14ac:dyDescent="0.25">
      <c r="J269" s="77" t="s">
        <v>379</v>
      </c>
      <c r="K269" s="77" t="s">
        <v>540</v>
      </c>
      <c r="AM269" s="89" t="s">
        <v>379</v>
      </c>
      <c r="AN269" s="89" t="s">
        <v>540</v>
      </c>
    </row>
    <row r="270" spans="10:40" x14ac:dyDescent="0.25">
      <c r="J270" s="77" t="s">
        <v>379</v>
      </c>
      <c r="K270" s="77" t="s">
        <v>544</v>
      </c>
      <c r="AM270" s="89" t="s">
        <v>379</v>
      </c>
      <c r="AN270" s="89" t="s">
        <v>544</v>
      </c>
    </row>
    <row r="271" spans="10:40" x14ac:dyDescent="0.25">
      <c r="J271" s="77" t="s">
        <v>379</v>
      </c>
      <c r="K271" s="77" t="s">
        <v>549</v>
      </c>
      <c r="AM271" s="89" t="s">
        <v>379</v>
      </c>
      <c r="AN271" s="89" t="s">
        <v>549</v>
      </c>
    </row>
    <row r="272" spans="10:40" x14ac:dyDescent="0.25">
      <c r="J272" s="77" t="s">
        <v>379</v>
      </c>
      <c r="K272" s="77" t="s">
        <v>554</v>
      </c>
      <c r="AM272" s="89" t="s">
        <v>379</v>
      </c>
      <c r="AN272" s="89" t="s">
        <v>554</v>
      </c>
    </row>
    <row r="273" spans="10:40" ht="30" x14ac:dyDescent="0.25">
      <c r="J273" s="77"/>
      <c r="K273" s="77"/>
      <c r="AM273" s="89" t="s">
        <v>379</v>
      </c>
      <c r="AN273" s="89" t="s">
        <v>418</v>
      </c>
    </row>
    <row r="274" spans="10:40" x14ac:dyDescent="0.25">
      <c r="J274" s="77" t="s">
        <v>322</v>
      </c>
      <c r="K274" s="77" t="s">
        <v>322</v>
      </c>
      <c r="AM274" s="89" t="s">
        <v>322</v>
      </c>
      <c r="AN274" s="89" t="s">
        <v>322</v>
      </c>
    </row>
    <row r="275" spans="10:40" ht="30" x14ac:dyDescent="0.25">
      <c r="J275" s="77"/>
      <c r="K275" s="77"/>
      <c r="AM275" s="89" t="s">
        <v>322</v>
      </c>
      <c r="AN275" s="89" t="s">
        <v>418</v>
      </c>
    </row>
    <row r="276" spans="10:40" x14ac:dyDescent="0.25">
      <c r="J276" s="77" t="s">
        <v>315</v>
      </c>
      <c r="K276" s="77" t="s">
        <v>709</v>
      </c>
      <c r="AM276" s="89" t="s">
        <v>315</v>
      </c>
      <c r="AN276" s="89" t="s">
        <v>709</v>
      </c>
    </row>
    <row r="277" spans="10:40" x14ac:dyDescent="0.25">
      <c r="J277" s="77" t="s">
        <v>315</v>
      </c>
      <c r="K277" s="77" t="s">
        <v>710</v>
      </c>
      <c r="AM277" s="89" t="s">
        <v>315</v>
      </c>
      <c r="AN277" s="89" t="s">
        <v>710</v>
      </c>
    </row>
    <row r="278" spans="10:40" x14ac:dyDescent="0.25">
      <c r="J278" s="77" t="s">
        <v>315</v>
      </c>
      <c r="K278" s="77" t="s">
        <v>724</v>
      </c>
      <c r="AM278" s="89" t="s">
        <v>315</v>
      </c>
      <c r="AN278" s="89" t="s">
        <v>724</v>
      </c>
    </row>
    <row r="279" spans="10:40" x14ac:dyDescent="0.25">
      <c r="J279" s="77" t="s">
        <v>315</v>
      </c>
      <c r="K279" s="77" t="s">
        <v>728</v>
      </c>
      <c r="AM279" s="89" t="s">
        <v>315</v>
      </c>
      <c r="AN279" s="89" t="s">
        <v>728</v>
      </c>
    </row>
    <row r="280" spans="10:40" x14ac:dyDescent="0.25">
      <c r="J280" s="77" t="s">
        <v>315</v>
      </c>
      <c r="K280" s="77" t="s">
        <v>315</v>
      </c>
      <c r="AM280" s="89" t="s">
        <v>315</v>
      </c>
      <c r="AN280" s="89" t="s">
        <v>315</v>
      </c>
    </row>
    <row r="281" spans="10:40" x14ac:dyDescent="0.25">
      <c r="J281" s="77" t="s">
        <v>315</v>
      </c>
      <c r="K281" s="77" t="s">
        <v>731</v>
      </c>
      <c r="AM281" s="89" t="s">
        <v>315</v>
      </c>
      <c r="AN281" s="89" t="s">
        <v>734</v>
      </c>
    </row>
    <row r="282" spans="10:40" ht="30" x14ac:dyDescent="0.25">
      <c r="J282" s="77" t="s">
        <v>315</v>
      </c>
      <c r="K282" s="77" t="s">
        <v>733</v>
      </c>
      <c r="AM282" s="89" t="s">
        <v>315</v>
      </c>
      <c r="AN282" s="89" t="s">
        <v>418</v>
      </c>
    </row>
    <row r="283" spans="10:40" x14ac:dyDescent="0.25">
      <c r="J283" s="77" t="s">
        <v>315</v>
      </c>
      <c r="K283" s="77" t="s">
        <v>734</v>
      </c>
      <c r="AM283" s="89" t="s">
        <v>354</v>
      </c>
      <c r="AN283" s="89" t="s">
        <v>835</v>
      </c>
    </row>
    <row r="284" spans="10:40" x14ac:dyDescent="0.25">
      <c r="J284" s="77" t="s">
        <v>315</v>
      </c>
      <c r="K284" s="77" t="s">
        <v>735</v>
      </c>
      <c r="AM284" s="89" t="s">
        <v>354</v>
      </c>
      <c r="AN284" s="89" t="s">
        <v>838</v>
      </c>
    </row>
    <row r="285" spans="10:40" x14ac:dyDescent="0.25">
      <c r="J285" s="77"/>
      <c r="K285" s="77"/>
      <c r="AM285" s="89" t="s">
        <v>354</v>
      </c>
      <c r="AN285" s="89" t="s">
        <v>839</v>
      </c>
    </row>
    <row r="286" spans="10:40" ht="30" x14ac:dyDescent="0.25">
      <c r="J286" s="77" t="s">
        <v>354</v>
      </c>
      <c r="K286" s="77" t="s">
        <v>835</v>
      </c>
      <c r="AM286" s="89" t="s">
        <v>354</v>
      </c>
      <c r="AN286" s="89" t="s">
        <v>841</v>
      </c>
    </row>
    <row r="287" spans="10:40" x14ac:dyDescent="0.25">
      <c r="J287" s="77" t="s">
        <v>354</v>
      </c>
      <c r="K287" s="77" t="s">
        <v>838</v>
      </c>
      <c r="AM287" s="89" t="s">
        <v>354</v>
      </c>
      <c r="AN287" s="89" t="s">
        <v>844</v>
      </c>
    </row>
    <row r="288" spans="10:40" x14ac:dyDescent="0.25">
      <c r="J288" s="77" t="s">
        <v>354</v>
      </c>
      <c r="K288" s="77" t="s">
        <v>839</v>
      </c>
      <c r="AM288" s="89" t="s">
        <v>354</v>
      </c>
      <c r="AN288" s="89" t="s">
        <v>849</v>
      </c>
    </row>
    <row r="289" spans="10:40" ht="30" x14ac:dyDescent="0.25">
      <c r="J289" s="77" t="s">
        <v>354</v>
      </c>
      <c r="K289" s="77" t="s">
        <v>841</v>
      </c>
      <c r="AM289" s="89" t="s">
        <v>354</v>
      </c>
      <c r="AN289" s="89" t="s">
        <v>851</v>
      </c>
    </row>
    <row r="290" spans="10:40" x14ac:dyDescent="0.25">
      <c r="J290" s="77" t="s">
        <v>354</v>
      </c>
      <c r="K290" s="77" t="s">
        <v>844</v>
      </c>
      <c r="AM290" s="89" t="s">
        <v>354</v>
      </c>
      <c r="AN290" s="89" t="s">
        <v>861</v>
      </c>
    </row>
    <row r="291" spans="10:40" x14ac:dyDescent="0.25">
      <c r="J291" s="77" t="s">
        <v>354</v>
      </c>
      <c r="K291" s="77" t="s">
        <v>849</v>
      </c>
      <c r="AM291" s="89" t="s">
        <v>354</v>
      </c>
      <c r="AN291" s="89" t="s">
        <v>868</v>
      </c>
    </row>
    <row r="292" spans="10:40" x14ac:dyDescent="0.25">
      <c r="J292" s="77" t="s">
        <v>354</v>
      </c>
      <c r="K292" s="77" t="s">
        <v>851</v>
      </c>
      <c r="AM292" s="89" t="s">
        <v>354</v>
      </c>
      <c r="AN292" s="89" t="s">
        <v>886</v>
      </c>
    </row>
    <row r="293" spans="10:40" ht="30" x14ac:dyDescent="0.25">
      <c r="J293" s="77" t="s">
        <v>354</v>
      </c>
      <c r="K293" s="77" t="s">
        <v>861</v>
      </c>
      <c r="AM293" s="89" t="s">
        <v>354</v>
      </c>
      <c r="AN293" s="89" t="s">
        <v>892</v>
      </c>
    </row>
    <row r="294" spans="10:40" x14ac:dyDescent="0.25">
      <c r="J294" s="77" t="s">
        <v>354</v>
      </c>
      <c r="K294" s="77" t="s">
        <v>868</v>
      </c>
      <c r="AM294" s="89" t="s">
        <v>354</v>
      </c>
      <c r="AN294" s="89" t="s">
        <v>894</v>
      </c>
    </row>
    <row r="295" spans="10:40" x14ac:dyDescent="0.25">
      <c r="J295" s="77" t="s">
        <v>354</v>
      </c>
      <c r="K295" s="77" t="s">
        <v>886</v>
      </c>
      <c r="AM295" s="89" t="s">
        <v>354</v>
      </c>
      <c r="AN295" s="89" t="s">
        <v>897</v>
      </c>
    </row>
    <row r="296" spans="10:40" ht="30" x14ac:dyDescent="0.25">
      <c r="J296" s="77" t="s">
        <v>354</v>
      </c>
      <c r="K296" s="77" t="s">
        <v>892</v>
      </c>
      <c r="AM296" s="89" t="s">
        <v>354</v>
      </c>
      <c r="AN296" s="89" t="s">
        <v>907</v>
      </c>
    </row>
    <row r="297" spans="10:40" x14ac:dyDescent="0.25">
      <c r="J297" s="77" t="s">
        <v>354</v>
      </c>
      <c r="K297" s="77" t="s">
        <v>894</v>
      </c>
      <c r="AM297" s="89" t="s">
        <v>354</v>
      </c>
      <c r="AN297" s="89" t="s">
        <v>919</v>
      </c>
    </row>
    <row r="298" spans="10:40" x14ac:dyDescent="0.25">
      <c r="J298" s="77" t="s">
        <v>354</v>
      </c>
      <c r="K298" s="77" t="s">
        <v>897</v>
      </c>
      <c r="AM298" s="89" t="s">
        <v>354</v>
      </c>
      <c r="AN298" s="89" t="s">
        <v>931</v>
      </c>
    </row>
    <row r="299" spans="10:40" x14ac:dyDescent="0.25">
      <c r="J299" s="77" t="s">
        <v>354</v>
      </c>
      <c r="K299" s="77" t="s">
        <v>907</v>
      </c>
      <c r="AM299" s="89" t="s">
        <v>354</v>
      </c>
      <c r="AN299" s="89" t="s">
        <v>932</v>
      </c>
    </row>
    <row r="300" spans="10:40" x14ac:dyDescent="0.25">
      <c r="J300" s="77" t="s">
        <v>354</v>
      </c>
      <c r="K300" s="77" t="s">
        <v>919</v>
      </c>
      <c r="AM300" s="89" t="s">
        <v>354</v>
      </c>
      <c r="AN300" s="89" t="s">
        <v>933</v>
      </c>
    </row>
    <row r="301" spans="10:40" ht="30" x14ac:dyDescent="0.25">
      <c r="J301" s="77" t="s">
        <v>354</v>
      </c>
      <c r="K301" s="77" t="s">
        <v>931</v>
      </c>
      <c r="AM301" s="89" t="s">
        <v>354</v>
      </c>
      <c r="AN301" s="89" t="s">
        <v>418</v>
      </c>
    </row>
    <row r="302" spans="10:40" x14ac:dyDescent="0.25">
      <c r="J302" s="77" t="s">
        <v>354</v>
      </c>
      <c r="K302" s="77" t="s">
        <v>932</v>
      </c>
      <c r="AM302" s="89" t="s">
        <v>325</v>
      </c>
      <c r="AN302" s="89" t="s">
        <v>1021</v>
      </c>
    </row>
    <row r="303" spans="10:40" ht="30" x14ac:dyDescent="0.25">
      <c r="J303" s="77" t="s">
        <v>354</v>
      </c>
      <c r="K303" s="77" t="s">
        <v>933</v>
      </c>
      <c r="AM303" s="89" t="s">
        <v>325</v>
      </c>
      <c r="AN303" s="89" t="s">
        <v>418</v>
      </c>
    </row>
    <row r="304" spans="10:40" x14ac:dyDescent="0.25">
      <c r="J304" s="77"/>
      <c r="K304" s="77"/>
      <c r="AM304" s="89" t="s">
        <v>232</v>
      </c>
      <c r="AN304" s="89" t="s">
        <v>1044</v>
      </c>
    </row>
    <row r="305" spans="10:40" x14ac:dyDescent="0.25">
      <c r="J305" s="77" t="s">
        <v>325</v>
      </c>
      <c r="K305" s="77" t="s">
        <v>1021</v>
      </c>
      <c r="AM305" s="89" t="s">
        <v>232</v>
      </c>
      <c r="AN305" s="89" t="s">
        <v>1046</v>
      </c>
    </row>
    <row r="306" spans="10:40" x14ac:dyDescent="0.25">
      <c r="J306" s="77"/>
      <c r="K306" s="77"/>
      <c r="AM306" s="89" t="s">
        <v>232</v>
      </c>
      <c r="AN306" s="89" t="s">
        <v>1049</v>
      </c>
    </row>
    <row r="307" spans="10:40" ht="30" x14ac:dyDescent="0.25">
      <c r="J307" s="77" t="s">
        <v>232</v>
      </c>
      <c r="K307" s="77" t="s">
        <v>1044</v>
      </c>
      <c r="AM307" s="89" t="s">
        <v>232</v>
      </c>
      <c r="AN307" s="89" t="s">
        <v>418</v>
      </c>
    </row>
    <row r="308" spans="10:40" ht="30" x14ac:dyDescent="0.25">
      <c r="J308" s="77" t="s">
        <v>232</v>
      </c>
      <c r="K308" s="77" t="s">
        <v>1046</v>
      </c>
      <c r="AM308" s="89" t="s">
        <v>352</v>
      </c>
      <c r="AN308" s="89" t="s">
        <v>828</v>
      </c>
    </row>
    <row r="309" spans="10:40" ht="30" x14ac:dyDescent="0.25">
      <c r="J309" s="77" t="s">
        <v>232</v>
      </c>
      <c r="K309" s="77" t="s">
        <v>1049</v>
      </c>
      <c r="AM309" s="89" t="s">
        <v>352</v>
      </c>
      <c r="AN309" s="89" t="s">
        <v>842</v>
      </c>
    </row>
    <row r="310" spans="10:40" ht="30" x14ac:dyDescent="0.25">
      <c r="J310" s="77"/>
      <c r="K310" s="77"/>
      <c r="AM310" s="89" t="s">
        <v>352</v>
      </c>
      <c r="AN310" s="89" t="s">
        <v>852</v>
      </c>
    </row>
    <row r="311" spans="10:40" ht="30" x14ac:dyDescent="0.25">
      <c r="J311" s="77" t="s">
        <v>352</v>
      </c>
      <c r="K311" s="77" t="s">
        <v>828</v>
      </c>
      <c r="AM311" s="89" t="s">
        <v>352</v>
      </c>
      <c r="AN311" s="89" t="s">
        <v>854</v>
      </c>
    </row>
    <row r="312" spans="10:40" ht="30" x14ac:dyDescent="0.25">
      <c r="J312" s="77" t="s">
        <v>352</v>
      </c>
      <c r="K312" s="77" t="s">
        <v>842</v>
      </c>
      <c r="AM312" s="89" t="s">
        <v>352</v>
      </c>
      <c r="AN312" s="89" t="s">
        <v>855</v>
      </c>
    </row>
    <row r="313" spans="10:40" ht="30" x14ac:dyDescent="0.25">
      <c r="J313" s="77" t="s">
        <v>352</v>
      </c>
      <c r="K313" s="77" t="s">
        <v>852</v>
      </c>
      <c r="AM313" s="89" t="s">
        <v>352</v>
      </c>
      <c r="AN313" s="89" t="s">
        <v>859</v>
      </c>
    </row>
    <row r="314" spans="10:40" ht="30" x14ac:dyDescent="0.25">
      <c r="J314" s="77" t="s">
        <v>352</v>
      </c>
      <c r="K314" s="77" t="s">
        <v>854</v>
      </c>
      <c r="AM314" s="89" t="s">
        <v>352</v>
      </c>
      <c r="AN314" s="89" t="s">
        <v>891</v>
      </c>
    </row>
    <row r="315" spans="10:40" ht="30" x14ac:dyDescent="0.25">
      <c r="J315" s="77" t="s">
        <v>352</v>
      </c>
      <c r="K315" s="77" t="s">
        <v>855</v>
      </c>
      <c r="AM315" s="89" t="s">
        <v>352</v>
      </c>
      <c r="AN315" s="89" t="s">
        <v>905</v>
      </c>
    </row>
    <row r="316" spans="10:40" ht="30" x14ac:dyDescent="0.25">
      <c r="J316" s="77" t="s">
        <v>352</v>
      </c>
      <c r="K316" s="77" t="s">
        <v>859</v>
      </c>
      <c r="AM316" s="89" t="s">
        <v>352</v>
      </c>
      <c r="AN316" s="89" t="s">
        <v>910</v>
      </c>
    </row>
    <row r="317" spans="10:40" ht="30" x14ac:dyDescent="0.25">
      <c r="J317" s="77" t="s">
        <v>352</v>
      </c>
      <c r="K317" s="77" t="s">
        <v>891</v>
      </c>
      <c r="AM317" s="89" t="s">
        <v>352</v>
      </c>
      <c r="AN317" s="89" t="s">
        <v>911</v>
      </c>
    </row>
    <row r="318" spans="10:40" ht="30" x14ac:dyDescent="0.25">
      <c r="J318" s="77" t="s">
        <v>352</v>
      </c>
      <c r="K318" s="77" t="s">
        <v>905</v>
      </c>
      <c r="AM318" s="89" t="s">
        <v>352</v>
      </c>
      <c r="AN318" s="89" t="s">
        <v>914</v>
      </c>
    </row>
    <row r="319" spans="10:40" ht="30" x14ac:dyDescent="0.25">
      <c r="J319" s="77" t="s">
        <v>352</v>
      </c>
      <c r="K319" s="77" t="s">
        <v>910</v>
      </c>
      <c r="AM319" s="89" t="s">
        <v>352</v>
      </c>
      <c r="AN319" s="89" t="s">
        <v>23</v>
      </c>
    </row>
    <row r="320" spans="10:40" ht="30" x14ac:dyDescent="0.25">
      <c r="J320" s="77" t="s">
        <v>352</v>
      </c>
      <c r="K320" s="77" t="s">
        <v>911</v>
      </c>
      <c r="AM320" s="89" t="s">
        <v>352</v>
      </c>
      <c r="AN320" s="89" t="s">
        <v>949</v>
      </c>
    </row>
    <row r="321" spans="10:40" ht="30" x14ac:dyDescent="0.25">
      <c r="J321" s="77" t="s">
        <v>352</v>
      </c>
      <c r="K321" s="77" t="s">
        <v>914</v>
      </c>
      <c r="AM321" s="89" t="s">
        <v>352</v>
      </c>
      <c r="AN321" s="89" t="s">
        <v>952</v>
      </c>
    </row>
    <row r="322" spans="10:40" ht="30" x14ac:dyDescent="0.25">
      <c r="J322" s="77" t="s">
        <v>352</v>
      </c>
      <c r="K322" s="77" t="s">
        <v>23</v>
      </c>
      <c r="AM322" s="89" t="s">
        <v>352</v>
      </c>
      <c r="AN322" s="89" t="s">
        <v>953</v>
      </c>
    </row>
    <row r="323" spans="10:40" ht="30" x14ac:dyDescent="0.25">
      <c r="J323" s="77" t="s">
        <v>352</v>
      </c>
      <c r="K323" s="77" t="s">
        <v>949</v>
      </c>
      <c r="AM323" s="89" t="s">
        <v>352</v>
      </c>
      <c r="AN323" s="89" t="s">
        <v>418</v>
      </c>
    </row>
    <row r="324" spans="10:40" ht="30" x14ac:dyDescent="0.25">
      <c r="J324" s="77" t="s">
        <v>352</v>
      </c>
      <c r="K324" s="77" t="s">
        <v>952</v>
      </c>
      <c r="AM324" s="89" t="s">
        <v>385</v>
      </c>
      <c r="AN324" s="89" t="s">
        <v>745</v>
      </c>
    </row>
    <row r="325" spans="10:40" ht="30" x14ac:dyDescent="0.25">
      <c r="J325" s="77" t="s">
        <v>352</v>
      </c>
      <c r="K325" s="77" t="s">
        <v>953</v>
      </c>
      <c r="AM325" s="89" t="s">
        <v>385</v>
      </c>
      <c r="AN325" s="89" t="s">
        <v>746</v>
      </c>
    </row>
    <row r="326" spans="10:40" x14ac:dyDescent="0.25">
      <c r="J326" s="77"/>
      <c r="K326" s="77"/>
      <c r="AM326" s="89" t="s">
        <v>385</v>
      </c>
      <c r="AN326" s="89" t="s">
        <v>747</v>
      </c>
    </row>
    <row r="327" spans="10:40" x14ac:dyDescent="0.25">
      <c r="J327" s="77" t="s">
        <v>385</v>
      </c>
      <c r="K327" s="77" t="s">
        <v>745</v>
      </c>
      <c r="AM327" s="89" t="s">
        <v>385</v>
      </c>
      <c r="AN327" s="89" t="s">
        <v>748</v>
      </c>
    </row>
    <row r="328" spans="10:40" ht="30" x14ac:dyDescent="0.25">
      <c r="J328" s="77" t="s">
        <v>385</v>
      </c>
      <c r="K328" s="77" t="s">
        <v>746</v>
      </c>
      <c r="AM328" s="89" t="s">
        <v>385</v>
      </c>
      <c r="AN328" s="89" t="s">
        <v>418</v>
      </c>
    </row>
    <row r="329" spans="10:40" x14ac:dyDescent="0.25">
      <c r="J329" s="77" t="s">
        <v>385</v>
      </c>
      <c r="K329" s="77" t="s">
        <v>747</v>
      </c>
      <c r="AM329" s="89" t="s">
        <v>378</v>
      </c>
      <c r="AN329" s="89" t="s">
        <v>521</v>
      </c>
    </row>
    <row r="330" spans="10:40" x14ac:dyDescent="0.25">
      <c r="J330" s="77" t="s">
        <v>385</v>
      </c>
      <c r="K330" s="77" t="s">
        <v>748</v>
      </c>
      <c r="AM330" s="89" t="s">
        <v>378</v>
      </c>
      <c r="AN330" s="89" t="s">
        <v>527</v>
      </c>
    </row>
    <row r="331" spans="10:40" x14ac:dyDescent="0.25">
      <c r="J331" s="77"/>
      <c r="K331" s="77"/>
      <c r="AM331" s="89" t="s">
        <v>378</v>
      </c>
      <c r="AN331" s="89" t="s">
        <v>530</v>
      </c>
    </row>
    <row r="332" spans="10:40" x14ac:dyDescent="0.25">
      <c r="J332" s="77" t="s">
        <v>378</v>
      </c>
      <c r="K332" s="77" t="s">
        <v>521</v>
      </c>
      <c r="AM332" s="89" t="s">
        <v>378</v>
      </c>
      <c r="AN332" s="89" t="s">
        <v>532</v>
      </c>
    </row>
    <row r="333" spans="10:40" x14ac:dyDescent="0.25">
      <c r="J333" s="77" t="s">
        <v>378</v>
      </c>
      <c r="K333" s="77" t="s">
        <v>527</v>
      </c>
      <c r="AM333" s="89" t="s">
        <v>378</v>
      </c>
      <c r="AN333" s="89" t="s">
        <v>551</v>
      </c>
    </row>
    <row r="334" spans="10:40" x14ac:dyDescent="0.25">
      <c r="J334" s="77" t="s">
        <v>378</v>
      </c>
      <c r="K334" s="77" t="s">
        <v>530</v>
      </c>
      <c r="AM334" s="89" t="s">
        <v>378</v>
      </c>
      <c r="AN334" s="89" t="s">
        <v>558</v>
      </c>
    </row>
    <row r="335" spans="10:40" ht="30" x14ac:dyDescent="0.25">
      <c r="J335" s="77" t="s">
        <v>378</v>
      </c>
      <c r="K335" s="77" t="s">
        <v>532</v>
      </c>
      <c r="AM335" s="89" t="s">
        <v>378</v>
      </c>
      <c r="AN335" s="89" t="s">
        <v>418</v>
      </c>
    </row>
    <row r="336" spans="10:40" x14ac:dyDescent="0.25">
      <c r="J336" s="77" t="s">
        <v>378</v>
      </c>
      <c r="K336" s="77" t="s">
        <v>551</v>
      </c>
      <c r="AM336" s="89" t="s">
        <v>333</v>
      </c>
      <c r="AN336" s="89" t="s">
        <v>595</v>
      </c>
    </row>
    <row r="337" spans="10:40" x14ac:dyDescent="0.25">
      <c r="J337" s="77" t="s">
        <v>378</v>
      </c>
      <c r="K337" s="77" t="s">
        <v>558</v>
      </c>
      <c r="AM337" s="89" t="s">
        <v>333</v>
      </c>
      <c r="AN337" s="89" t="s">
        <v>598</v>
      </c>
    </row>
    <row r="338" spans="10:40" x14ac:dyDescent="0.25">
      <c r="J338" s="77"/>
      <c r="K338" s="77"/>
      <c r="AM338" s="89" t="s">
        <v>333</v>
      </c>
      <c r="AN338" s="89" t="s">
        <v>602</v>
      </c>
    </row>
    <row r="339" spans="10:40" ht="30" x14ac:dyDescent="0.25">
      <c r="J339" s="77" t="s">
        <v>333</v>
      </c>
      <c r="K339" s="77" t="s">
        <v>595</v>
      </c>
      <c r="AM339" s="89" t="s">
        <v>333</v>
      </c>
      <c r="AN339" s="89" t="s">
        <v>418</v>
      </c>
    </row>
    <row r="340" spans="10:40" x14ac:dyDescent="0.25">
      <c r="J340" s="77" t="s">
        <v>333</v>
      </c>
      <c r="K340" s="77" t="s">
        <v>598</v>
      </c>
      <c r="AM340" s="89" t="s">
        <v>199</v>
      </c>
      <c r="AN340" s="89" t="s">
        <v>512</v>
      </c>
    </row>
    <row r="341" spans="10:40" x14ac:dyDescent="0.25">
      <c r="J341" s="77" t="s">
        <v>333</v>
      </c>
      <c r="K341" s="77" t="s">
        <v>602</v>
      </c>
      <c r="AM341" s="89" t="s">
        <v>199</v>
      </c>
      <c r="AN341" s="89" t="s">
        <v>199</v>
      </c>
    </row>
    <row r="342" spans="10:40" x14ac:dyDescent="0.25">
      <c r="J342" s="77"/>
      <c r="K342" s="77"/>
      <c r="AM342" s="89" t="s">
        <v>199</v>
      </c>
      <c r="AN342" s="89" t="s">
        <v>465</v>
      </c>
    </row>
    <row r="343" spans="10:40" x14ac:dyDescent="0.25">
      <c r="J343" s="77" t="s">
        <v>199</v>
      </c>
      <c r="K343" s="77" t="s">
        <v>512</v>
      </c>
      <c r="AM343" s="89" t="s">
        <v>199</v>
      </c>
      <c r="AN343" s="89" t="s">
        <v>513</v>
      </c>
    </row>
    <row r="344" spans="10:40" x14ac:dyDescent="0.25">
      <c r="J344" s="77" t="s">
        <v>199</v>
      </c>
      <c r="K344" s="77" t="s">
        <v>199</v>
      </c>
      <c r="AM344" s="89" t="s">
        <v>199</v>
      </c>
      <c r="AN344" s="89" t="s">
        <v>514</v>
      </c>
    </row>
    <row r="345" spans="10:40" x14ac:dyDescent="0.25">
      <c r="J345" s="77" t="s">
        <v>199</v>
      </c>
      <c r="K345" s="77" t="s">
        <v>465</v>
      </c>
      <c r="AM345" s="89" t="s">
        <v>199</v>
      </c>
      <c r="AN345" s="89" t="s">
        <v>411</v>
      </c>
    </row>
    <row r="346" spans="10:40" x14ac:dyDescent="0.25">
      <c r="J346" s="77" t="s">
        <v>199</v>
      </c>
      <c r="K346" s="77" t="s">
        <v>513</v>
      </c>
      <c r="AM346" s="89" t="s">
        <v>199</v>
      </c>
      <c r="AN346" s="89" t="s">
        <v>510</v>
      </c>
    </row>
    <row r="347" spans="10:40" ht="30" x14ac:dyDescent="0.25">
      <c r="J347" s="77" t="s">
        <v>199</v>
      </c>
      <c r="K347" s="77" t="s">
        <v>514</v>
      </c>
      <c r="AM347" s="89" t="s">
        <v>199</v>
      </c>
      <c r="AN347" s="89" t="s">
        <v>418</v>
      </c>
    </row>
    <row r="348" spans="10:40" x14ac:dyDescent="0.25">
      <c r="J348" s="77" t="s">
        <v>199</v>
      </c>
      <c r="K348" s="77" t="s">
        <v>411</v>
      </c>
      <c r="AM348" s="89" t="s">
        <v>348</v>
      </c>
      <c r="AN348" s="89" t="s">
        <v>23</v>
      </c>
    </row>
    <row r="349" spans="10:40" x14ac:dyDescent="0.25">
      <c r="J349" s="77" t="s">
        <v>199</v>
      </c>
      <c r="K349" s="77" t="s">
        <v>510</v>
      </c>
      <c r="AM349" s="89" t="s">
        <v>348</v>
      </c>
      <c r="AN349" s="89" t="s">
        <v>858</v>
      </c>
    </row>
    <row r="350" spans="10:40" x14ac:dyDescent="0.25">
      <c r="J350" s="77"/>
      <c r="K350" s="77"/>
      <c r="AM350" s="89" t="s">
        <v>348</v>
      </c>
      <c r="AN350" s="89" t="s">
        <v>874</v>
      </c>
    </row>
    <row r="351" spans="10:40" x14ac:dyDescent="0.25">
      <c r="J351" s="77" t="s">
        <v>348</v>
      </c>
      <c r="K351" s="77" t="s">
        <v>23</v>
      </c>
      <c r="AM351" s="89" t="s">
        <v>348</v>
      </c>
      <c r="AN351" s="89" t="s">
        <v>904</v>
      </c>
    </row>
    <row r="352" spans="10:40" x14ac:dyDescent="0.25">
      <c r="J352" s="77" t="s">
        <v>348</v>
      </c>
      <c r="K352" s="77" t="s">
        <v>858</v>
      </c>
      <c r="AM352" s="89" t="s">
        <v>348</v>
      </c>
      <c r="AN352" s="89" t="s">
        <v>935</v>
      </c>
    </row>
    <row r="353" spans="10:40" ht="30" x14ac:dyDescent="0.25">
      <c r="J353" s="77" t="s">
        <v>348</v>
      </c>
      <c r="K353" s="77" t="s">
        <v>874</v>
      </c>
      <c r="AM353" s="89" t="s">
        <v>348</v>
      </c>
      <c r="AN353" s="89" t="s">
        <v>936</v>
      </c>
    </row>
    <row r="354" spans="10:40" x14ac:dyDescent="0.25">
      <c r="J354" s="77" t="s">
        <v>348</v>
      </c>
      <c r="K354" s="77" t="s">
        <v>904</v>
      </c>
      <c r="AM354" s="89" t="s">
        <v>348</v>
      </c>
      <c r="AN354" s="89" t="s">
        <v>941</v>
      </c>
    </row>
    <row r="355" spans="10:40" x14ac:dyDescent="0.25">
      <c r="J355" s="77" t="s">
        <v>348</v>
      </c>
      <c r="K355" s="77" t="s">
        <v>935</v>
      </c>
      <c r="AM355" s="89" t="s">
        <v>348</v>
      </c>
      <c r="AN355" s="89" t="s">
        <v>947</v>
      </c>
    </row>
    <row r="356" spans="10:40" ht="30" x14ac:dyDescent="0.25">
      <c r="J356" s="77" t="s">
        <v>348</v>
      </c>
      <c r="K356" s="77" t="s">
        <v>936</v>
      </c>
      <c r="AM356" s="89" t="s">
        <v>348</v>
      </c>
      <c r="AN356" s="89" t="s">
        <v>418</v>
      </c>
    </row>
    <row r="357" spans="10:40" x14ac:dyDescent="0.25">
      <c r="J357" s="77" t="s">
        <v>348</v>
      </c>
      <c r="K357" s="77" t="s">
        <v>941</v>
      </c>
      <c r="AM357" s="89" t="s">
        <v>346</v>
      </c>
      <c r="AN357" s="89" t="s">
        <v>346</v>
      </c>
    </row>
    <row r="358" spans="10:40" x14ac:dyDescent="0.25">
      <c r="J358" s="77" t="s">
        <v>348</v>
      </c>
      <c r="K358" s="77" t="s">
        <v>947</v>
      </c>
      <c r="AM358" s="89" t="s">
        <v>346</v>
      </c>
      <c r="AN358" s="89" t="s">
        <v>809</v>
      </c>
    </row>
    <row r="359" spans="10:40" x14ac:dyDescent="0.25">
      <c r="J359" s="77"/>
      <c r="K359" s="77"/>
      <c r="AM359" s="89" t="s">
        <v>346</v>
      </c>
      <c r="AN359" s="89" t="s">
        <v>816</v>
      </c>
    </row>
    <row r="360" spans="10:40" ht="30" x14ac:dyDescent="0.25">
      <c r="J360" s="77" t="s">
        <v>346</v>
      </c>
      <c r="K360" s="77" t="s">
        <v>346</v>
      </c>
      <c r="AM360" s="89" t="s">
        <v>346</v>
      </c>
      <c r="AN360" s="89" t="s">
        <v>418</v>
      </c>
    </row>
    <row r="361" spans="10:40" x14ac:dyDescent="0.25">
      <c r="J361" s="77" t="s">
        <v>346</v>
      </c>
      <c r="K361" s="77" t="s">
        <v>809</v>
      </c>
      <c r="AM361" s="89" t="s">
        <v>316</v>
      </c>
      <c r="AN361" s="89" t="s">
        <v>714</v>
      </c>
    </row>
    <row r="362" spans="10:40" x14ac:dyDescent="0.25">
      <c r="J362" s="77" t="s">
        <v>346</v>
      </c>
      <c r="K362" s="77" t="s">
        <v>816</v>
      </c>
      <c r="AM362" s="89" t="s">
        <v>316</v>
      </c>
      <c r="AN362" s="89" t="s">
        <v>722</v>
      </c>
    </row>
    <row r="363" spans="10:40" x14ac:dyDescent="0.25">
      <c r="J363" s="77"/>
      <c r="K363" s="77"/>
      <c r="AM363" s="89" t="s">
        <v>316</v>
      </c>
      <c r="AN363" s="89" t="s">
        <v>510</v>
      </c>
    </row>
    <row r="364" spans="10:40" x14ac:dyDescent="0.25">
      <c r="J364" s="77" t="s">
        <v>316</v>
      </c>
      <c r="K364" s="77" t="s">
        <v>714</v>
      </c>
      <c r="AM364" s="89" t="s">
        <v>316</v>
      </c>
      <c r="AN364" s="89" t="s">
        <v>740</v>
      </c>
    </row>
    <row r="365" spans="10:40" ht="30" x14ac:dyDescent="0.25">
      <c r="J365" s="77" t="s">
        <v>316</v>
      </c>
      <c r="K365" s="77" t="s">
        <v>722</v>
      </c>
      <c r="AM365" s="89" t="s">
        <v>316</v>
      </c>
      <c r="AN365" s="89" t="s">
        <v>418</v>
      </c>
    </row>
    <row r="366" spans="10:40" x14ac:dyDescent="0.25">
      <c r="J366" s="77" t="s">
        <v>316</v>
      </c>
      <c r="K366" s="77" t="s">
        <v>510</v>
      </c>
      <c r="AM366" s="89" t="s">
        <v>386</v>
      </c>
      <c r="AN366" s="89" t="s">
        <v>749</v>
      </c>
    </row>
    <row r="367" spans="10:40" x14ac:dyDescent="0.25">
      <c r="J367" s="77" t="s">
        <v>316</v>
      </c>
      <c r="K367" s="77" t="s">
        <v>740</v>
      </c>
      <c r="AM367" s="89" t="s">
        <v>386</v>
      </c>
      <c r="AN367" s="89" t="s">
        <v>750</v>
      </c>
    </row>
    <row r="368" spans="10:40" x14ac:dyDescent="0.25">
      <c r="J368" s="77"/>
      <c r="K368" s="77"/>
      <c r="AM368" s="89" t="s">
        <v>386</v>
      </c>
      <c r="AN368" s="89" t="s">
        <v>751</v>
      </c>
    </row>
    <row r="369" spans="10:40" ht="30" x14ac:dyDescent="0.25">
      <c r="J369" s="77" t="s">
        <v>386</v>
      </c>
      <c r="K369" s="77" t="s">
        <v>749</v>
      </c>
      <c r="AM369" s="89" t="s">
        <v>386</v>
      </c>
      <c r="AN369" s="89" t="s">
        <v>418</v>
      </c>
    </row>
    <row r="370" spans="10:40" x14ac:dyDescent="0.25">
      <c r="J370" s="77" t="s">
        <v>386</v>
      </c>
      <c r="K370" s="77" t="s">
        <v>750</v>
      </c>
      <c r="AM370" s="89" t="s">
        <v>306</v>
      </c>
      <c r="AN370" s="89" t="s">
        <v>636</v>
      </c>
    </row>
    <row r="371" spans="10:40" x14ac:dyDescent="0.25">
      <c r="J371" s="77" t="s">
        <v>386</v>
      </c>
      <c r="K371" s="77" t="s">
        <v>751</v>
      </c>
      <c r="AM371" s="89" t="s">
        <v>306</v>
      </c>
      <c r="AN371" s="89" t="s">
        <v>655</v>
      </c>
    </row>
    <row r="372" spans="10:40" x14ac:dyDescent="0.25">
      <c r="J372" s="77"/>
      <c r="K372" s="77"/>
      <c r="AM372" s="89" t="s">
        <v>306</v>
      </c>
      <c r="AN372" s="89" t="s">
        <v>657</v>
      </c>
    </row>
    <row r="373" spans="10:40" x14ac:dyDescent="0.25">
      <c r="J373" s="77" t="s">
        <v>306</v>
      </c>
      <c r="K373" s="77" t="s">
        <v>636</v>
      </c>
      <c r="AM373" s="89" t="s">
        <v>306</v>
      </c>
      <c r="AN373" s="89" t="s">
        <v>666</v>
      </c>
    </row>
    <row r="374" spans="10:40" ht="30" x14ac:dyDescent="0.25">
      <c r="J374" s="77" t="s">
        <v>306</v>
      </c>
      <c r="K374" s="77" t="s">
        <v>655</v>
      </c>
      <c r="AM374" s="89" t="s">
        <v>306</v>
      </c>
      <c r="AN374" s="89" t="s">
        <v>418</v>
      </c>
    </row>
    <row r="375" spans="10:40" x14ac:dyDescent="0.25">
      <c r="J375" s="77" t="s">
        <v>306</v>
      </c>
      <c r="K375" s="77" t="s">
        <v>657</v>
      </c>
      <c r="AM375" s="89" t="s">
        <v>307</v>
      </c>
      <c r="AN375" s="89" t="s">
        <v>637</v>
      </c>
    </row>
    <row r="376" spans="10:40" x14ac:dyDescent="0.25">
      <c r="J376" s="77" t="s">
        <v>306</v>
      </c>
      <c r="K376" s="77" t="s">
        <v>666</v>
      </c>
      <c r="AM376" s="89" t="s">
        <v>307</v>
      </c>
      <c r="AN376" s="89" t="s">
        <v>644</v>
      </c>
    </row>
    <row r="377" spans="10:40" x14ac:dyDescent="0.25">
      <c r="J377" s="77"/>
      <c r="K377" s="77"/>
      <c r="AM377" s="89" t="s">
        <v>307</v>
      </c>
      <c r="AN377" s="89" t="s">
        <v>658</v>
      </c>
    </row>
    <row r="378" spans="10:40" x14ac:dyDescent="0.25">
      <c r="J378" s="77" t="s">
        <v>307</v>
      </c>
      <c r="K378" s="77" t="s">
        <v>637</v>
      </c>
      <c r="AM378" s="89" t="s">
        <v>307</v>
      </c>
      <c r="AN378" s="89" t="s">
        <v>665</v>
      </c>
    </row>
    <row r="379" spans="10:40" ht="30" x14ac:dyDescent="0.25">
      <c r="J379" s="77" t="s">
        <v>307</v>
      </c>
      <c r="K379" s="77" t="s">
        <v>644</v>
      </c>
      <c r="AM379" s="89" t="s">
        <v>307</v>
      </c>
      <c r="AN379" s="89" t="s">
        <v>418</v>
      </c>
    </row>
    <row r="380" spans="10:40" x14ac:dyDescent="0.25">
      <c r="J380" s="77" t="s">
        <v>307</v>
      </c>
      <c r="K380" s="77" t="s">
        <v>658</v>
      </c>
      <c r="AM380" s="89" t="s">
        <v>380</v>
      </c>
      <c r="AN380" s="89" t="s">
        <v>525</v>
      </c>
    </row>
    <row r="381" spans="10:40" x14ac:dyDescent="0.25">
      <c r="J381" s="77" t="s">
        <v>307</v>
      </c>
      <c r="K381" s="77" t="s">
        <v>665</v>
      </c>
      <c r="AM381" s="89" t="s">
        <v>380</v>
      </c>
      <c r="AN381" s="89" t="s">
        <v>529</v>
      </c>
    </row>
    <row r="382" spans="10:40" x14ac:dyDescent="0.25">
      <c r="J382" s="77"/>
      <c r="K382" s="77"/>
      <c r="AM382" s="89" t="s">
        <v>380</v>
      </c>
      <c r="AN382" s="89" t="s">
        <v>537</v>
      </c>
    </row>
    <row r="383" spans="10:40" ht="30" x14ac:dyDescent="0.25">
      <c r="J383" s="77" t="s">
        <v>380</v>
      </c>
      <c r="K383" s="77" t="s">
        <v>525</v>
      </c>
      <c r="AM383" s="89" t="s">
        <v>380</v>
      </c>
      <c r="AN383" s="89" t="s">
        <v>418</v>
      </c>
    </row>
    <row r="384" spans="10:40" x14ac:dyDescent="0.25">
      <c r="J384" s="77" t="s">
        <v>380</v>
      </c>
      <c r="K384" s="77" t="s">
        <v>529</v>
      </c>
      <c r="AM384" s="89" t="s">
        <v>298</v>
      </c>
      <c r="AN384" s="89" t="s">
        <v>624</v>
      </c>
    </row>
    <row r="385" spans="10:40" x14ac:dyDescent="0.25">
      <c r="J385" s="77" t="s">
        <v>380</v>
      </c>
      <c r="K385" s="77" t="s">
        <v>537</v>
      </c>
      <c r="AM385" s="89" t="s">
        <v>298</v>
      </c>
      <c r="AN385" s="89" t="s">
        <v>626</v>
      </c>
    </row>
    <row r="386" spans="10:40" x14ac:dyDescent="0.25">
      <c r="J386" s="77"/>
      <c r="K386" s="77"/>
      <c r="AM386" s="89" t="s">
        <v>298</v>
      </c>
      <c r="AN386" s="89" t="s">
        <v>641</v>
      </c>
    </row>
    <row r="387" spans="10:40" ht="30" x14ac:dyDescent="0.25">
      <c r="J387" s="77" t="s">
        <v>298</v>
      </c>
      <c r="K387" s="77" t="s">
        <v>624</v>
      </c>
      <c r="AM387" s="89" t="s">
        <v>298</v>
      </c>
      <c r="AN387" s="89" t="s">
        <v>418</v>
      </c>
    </row>
    <row r="388" spans="10:40" x14ac:dyDescent="0.25">
      <c r="J388" s="77" t="s">
        <v>298</v>
      </c>
      <c r="K388" s="77" t="s">
        <v>626</v>
      </c>
      <c r="AM388" s="89" t="s">
        <v>350</v>
      </c>
      <c r="AN388" s="89" t="s">
        <v>826</v>
      </c>
    </row>
    <row r="389" spans="10:40" x14ac:dyDescent="0.25">
      <c r="J389" s="77" t="s">
        <v>298</v>
      </c>
      <c r="K389" s="77" t="s">
        <v>641</v>
      </c>
      <c r="AM389" s="89" t="s">
        <v>350</v>
      </c>
      <c r="AN389" s="89" t="s">
        <v>829</v>
      </c>
    </row>
    <row r="390" spans="10:40" x14ac:dyDescent="0.25">
      <c r="J390" s="77"/>
      <c r="K390" s="77"/>
      <c r="AM390" s="89" t="s">
        <v>350</v>
      </c>
      <c r="AN390" s="89" t="s">
        <v>830</v>
      </c>
    </row>
    <row r="391" spans="10:40" ht="30" x14ac:dyDescent="0.25">
      <c r="J391" s="77" t="s">
        <v>350</v>
      </c>
      <c r="K391" s="77" t="s">
        <v>826</v>
      </c>
      <c r="AM391" s="89" t="s">
        <v>350</v>
      </c>
      <c r="AN391" s="89" t="s">
        <v>834</v>
      </c>
    </row>
    <row r="392" spans="10:40" x14ac:dyDescent="0.25">
      <c r="J392" s="77" t="s">
        <v>350</v>
      </c>
      <c r="K392" s="77" t="s">
        <v>829</v>
      </c>
      <c r="AM392" s="89" t="s">
        <v>350</v>
      </c>
      <c r="AN392" s="89" t="s">
        <v>856</v>
      </c>
    </row>
    <row r="393" spans="10:40" x14ac:dyDescent="0.25">
      <c r="J393" s="77" t="s">
        <v>350</v>
      </c>
      <c r="K393" s="77" t="s">
        <v>830</v>
      </c>
      <c r="AM393" s="89" t="s">
        <v>350</v>
      </c>
      <c r="AN393" s="89" t="s">
        <v>864</v>
      </c>
    </row>
    <row r="394" spans="10:40" ht="30" x14ac:dyDescent="0.25">
      <c r="J394" s="77" t="s">
        <v>350</v>
      </c>
      <c r="K394" s="77" t="s">
        <v>834</v>
      </c>
      <c r="AM394" s="89" t="s">
        <v>350</v>
      </c>
      <c r="AN394" s="89" t="s">
        <v>865</v>
      </c>
    </row>
    <row r="395" spans="10:40" x14ac:dyDescent="0.25">
      <c r="J395" s="77" t="s">
        <v>350</v>
      </c>
      <c r="K395" s="77" t="s">
        <v>856</v>
      </c>
      <c r="AM395" s="89" t="s">
        <v>350</v>
      </c>
      <c r="AN395" s="89" t="s">
        <v>871</v>
      </c>
    </row>
    <row r="396" spans="10:40" x14ac:dyDescent="0.25">
      <c r="J396" s="77" t="s">
        <v>350</v>
      </c>
      <c r="K396" s="77" t="s">
        <v>864</v>
      </c>
      <c r="AM396" s="89" t="s">
        <v>350</v>
      </c>
      <c r="AN396" s="89" t="s">
        <v>872</v>
      </c>
    </row>
    <row r="397" spans="10:40" x14ac:dyDescent="0.25">
      <c r="J397" s="77" t="s">
        <v>350</v>
      </c>
      <c r="K397" s="77" t="s">
        <v>865</v>
      </c>
      <c r="AM397" s="89" t="s">
        <v>350</v>
      </c>
      <c r="AN397" s="89" t="s">
        <v>873</v>
      </c>
    </row>
    <row r="398" spans="10:40" x14ac:dyDescent="0.25">
      <c r="J398" s="77" t="s">
        <v>350</v>
      </c>
      <c r="K398" s="77" t="s">
        <v>871</v>
      </c>
      <c r="AM398" s="89" t="s">
        <v>350</v>
      </c>
      <c r="AN398" s="89" t="s">
        <v>876</v>
      </c>
    </row>
    <row r="399" spans="10:40" x14ac:dyDescent="0.25">
      <c r="J399" s="77" t="s">
        <v>350</v>
      </c>
      <c r="K399" s="77" t="s">
        <v>872</v>
      </c>
      <c r="AM399" s="89" t="s">
        <v>350</v>
      </c>
      <c r="AN399" s="89" t="s">
        <v>879</v>
      </c>
    </row>
    <row r="400" spans="10:40" x14ac:dyDescent="0.25">
      <c r="J400" s="77" t="s">
        <v>350</v>
      </c>
      <c r="K400" s="77" t="s">
        <v>873</v>
      </c>
      <c r="AM400" s="89" t="s">
        <v>350</v>
      </c>
      <c r="AN400" s="89" t="s">
        <v>883</v>
      </c>
    </row>
    <row r="401" spans="10:40" ht="30" x14ac:dyDescent="0.25">
      <c r="J401" s="77" t="s">
        <v>350</v>
      </c>
      <c r="K401" s="77" t="s">
        <v>876</v>
      </c>
      <c r="AM401" s="89" t="s">
        <v>350</v>
      </c>
      <c r="AN401" s="89" t="s">
        <v>884</v>
      </c>
    </row>
    <row r="402" spans="10:40" x14ac:dyDescent="0.25">
      <c r="J402" s="77" t="s">
        <v>350</v>
      </c>
      <c r="K402" s="77" t="s">
        <v>879</v>
      </c>
      <c r="AM402" s="89" t="s">
        <v>350</v>
      </c>
      <c r="AN402" s="89" t="s">
        <v>887</v>
      </c>
    </row>
    <row r="403" spans="10:40" x14ac:dyDescent="0.25">
      <c r="J403" s="77" t="s">
        <v>350</v>
      </c>
      <c r="K403" s="77" t="s">
        <v>883</v>
      </c>
      <c r="AM403" s="89" t="s">
        <v>350</v>
      </c>
      <c r="AN403" s="89" t="s">
        <v>350</v>
      </c>
    </row>
    <row r="404" spans="10:40" ht="30" x14ac:dyDescent="0.25">
      <c r="J404" s="77" t="s">
        <v>350</v>
      </c>
      <c r="K404" s="77" t="s">
        <v>884</v>
      </c>
      <c r="AM404" s="89" t="s">
        <v>350</v>
      </c>
      <c r="AN404" s="89" t="s">
        <v>888</v>
      </c>
    </row>
    <row r="405" spans="10:40" x14ac:dyDescent="0.25">
      <c r="J405" s="77" t="s">
        <v>350</v>
      </c>
      <c r="K405" s="77" t="s">
        <v>887</v>
      </c>
      <c r="AM405" s="89" t="s">
        <v>350</v>
      </c>
      <c r="AN405" s="89" t="s">
        <v>901</v>
      </c>
    </row>
    <row r="406" spans="10:40" x14ac:dyDescent="0.25">
      <c r="J406" s="77" t="s">
        <v>350</v>
      </c>
      <c r="K406" s="77" t="s">
        <v>350</v>
      </c>
      <c r="AM406" s="89" t="s">
        <v>350</v>
      </c>
      <c r="AN406" s="89" t="s">
        <v>902</v>
      </c>
    </row>
    <row r="407" spans="10:40" x14ac:dyDescent="0.25">
      <c r="J407" s="77" t="s">
        <v>350</v>
      </c>
      <c r="K407" s="77" t="s">
        <v>888</v>
      </c>
      <c r="AM407" s="89" t="s">
        <v>350</v>
      </c>
      <c r="AN407" s="89" t="s">
        <v>901</v>
      </c>
    </row>
    <row r="408" spans="10:40" x14ac:dyDescent="0.25">
      <c r="J408" s="77" t="s">
        <v>350</v>
      </c>
      <c r="K408" s="77" t="s">
        <v>901</v>
      </c>
      <c r="AM408" s="89" t="s">
        <v>350</v>
      </c>
      <c r="AN408" s="89" t="s">
        <v>903</v>
      </c>
    </row>
    <row r="409" spans="10:40" x14ac:dyDescent="0.25">
      <c r="J409" s="77" t="s">
        <v>350</v>
      </c>
      <c r="K409" s="77" t="s">
        <v>902</v>
      </c>
      <c r="AM409" s="89" t="s">
        <v>350</v>
      </c>
      <c r="AN409" s="89" t="s">
        <v>909</v>
      </c>
    </row>
    <row r="410" spans="10:40" x14ac:dyDescent="0.25">
      <c r="J410" s="77" t="s">
        <v>350</v>
      </c>
      <c r="K410" s="77" t="s">
        <v>903</v>
      </c>
      <c r="AM410" s="89" t="s">
        <v>350</v>
      </c>
      <c r="AN410" s="89" t="s">
        <v>912</v>
      </c>
    </row>
    <row r="411" spans="10:40" x14ac:dyDescent="0.25">
      <c r="J411" s="77" t="s">
        <v>350</v>
      </c>
      <c r="K411" s="77" t="s">
        <v>909</v>
      </c>
      <c r="AM411" s="89" t="s">
        <v>350</v>
      </c>
      <c r="AN411" s="89" t="s">
        <v>913</v>
      </c>
    </row>
    <row r="412" spans="10:40" x14ac:dyDescent="0.25">
      <c r="J412" s="77" t="s">
        <v>350</v>
      </c>
      <c r="K412" s="77" t="s">
        <v>912</v>
      </c>
      <c r="AM412" s="89" t="s">
        <v>350</v>
      </c>
      <c r="AN412" s="89" t="s">
        <v>916</v>
      </c>
    </row>
    <row r="413" spans="10:40" x14ac:dyDescent="0.25">
      <c r="J413" s="77" t="s">
        <v>350</v>
      </c>
      <c r="K413" s="77" t="s">
        <v>913</v>
      </c>
      <c r="AM413" s="89" t="s">
        <v>350</v>
      </c>
      <c r="AN413" s="89" t="s">
        <v>921</v>
      </c>
    </row>
    <row r="414" spans="10:40" x14ac:dyDescent="0.25">
      <c r="J414" s="77" t="s">
        <v>350</v>
      </c>
      <c r="K414" s="77" t="s">
        <v>916</v>
      </c>
      <c r="AM414" s="89" t="s">
        <v>350</v>
      </c>
      <c r="AN414" s="89" t="s">
        <v>922</v>
      </c>
    </row>
    <row r="415" spans="10:40" x14ac:dyDescent="0.25">
      <c r="J415" s="77" t="s">
        <v>350</v>
      </c>
      <c r="K415" s="77" t="s">
        <v>921</v>
      </c>
      <c r="AM415" s="89" t="s">
        <v>350</v>
      </c>
      <c r="AN415" s="89" t="s">
        <v>923</v>
      </c>
    </row>
    <row r="416" spans="10:40" x14ac:dyDescent="0.25">
      <c r="J416" s="77" t="s">
        <v>350</v>
      </c>
      <c r="K416" s="77" t="s">
        <v>922</v>
      </c>
      <c r="AM416" s="89" t="s">
        <v>350</v>
      </c>
      <c r="AN416" s="89" t="s">
        <v>924</v>
      </c>
    </row>
    <row r="417" spans="10:40" x14ac:dyDescent="0.25">
      <c r="J417" s="77" t="s">
        <v>350</v>
      </c>
      <c r="K417" s="77" t="s">
        <v>923</v>
      </c>
      <c r="AM417" s="89" t="s">
        <v>350</v>
      </c>
      <c r="AN417" s="89" t="s">
        <v>925</v>
      </c>
    </row>
    <row r="418" spans="10:40" x14ac:dyDescent="0.25">
      <c r="J418" s="77" t="s">
        <v>350</v>
      </c>
      <c r="K418" s="77" t="s">
        <v>924</v>
      </c>
      <c r="AM418" s="89" t="s">
        <v>350</v>
      </c>
      <c r="AN418" s="89" t="s">
        <v>950</v>
      </c>
    </row>
    <row r="419" spans="10:40" x14ac:dyDescent="0.25">
      <c r="J419" s="77" t="s">
        <v>350</v>
      </c>
      <c r="K419" s="77" t="s">
        <v>925</v>
      </c>
      <c r="AM419" s="89" t="s">
        <v>350</v>
      </c>
      <c r="AN419" s="89" t="s">
        <v>951</v>
      </c>
    </row>
    <row r="420" spans="10:40" ht="30" x14ac:dyDescent="0.25">
      <c r="J420" s="77" t="s">
        <v>350</v>
      </c>
      <c r="K420" s="77" t="s">
        <v>950</v>
      </c>
      <c r="AM420" s="89" t="s">
        <v>350</v>
      </c>
      <c r="AN420" s="89" t="s">
        <v>418</v>
      </c>
    </row>
    <row r="421" spans="10:40" x14ac:dyDescent="0.25">
      <c r="J421" s="77" t="s">
        <v>350</v>
      </c>
      <c r="K421" s="77" t="s">
        <v>951</v>
      </c>
      <c r="AM421" s="89" t="s">
        <v>350</v>
      </c>
      <c r="AN421" s="89" t="s">
        <v>957</v>
      </c>
    </row>
    <row r="422" spans="10:40" x14ac:dyDescent="0.25">
      <c r="J422" s="77"/>
      <c r="K422" s="77"/>
      <c r="AM422" s="89" t="s">
        <v>376</v>
      </c>
      <c r="AN422" s="89" t="s">
        <v>519</v>
      </c>
    </row>
    <row r="423" spans="10:40" x14ac:dyDescent="0.25">
      <c r="J423" s="77" t="s">
        <v>350</v>
      </c>
      <c r="K423" s="77" t="s">
        <v>957</v>
      </c>
      <c r="AM423" s="89" t="s">
        <v>376</v>
      </c>
      <c r="AN423" s="89" t="s">
        <v>531</v>
      </c>
    </row>
    <row r="424" spans="10:40" x14ac:dyDescent="0.25">
      <c r="J424" s="77" t="s">
        <v>376</v>
      </c>
      <c r="K424" s="77" t="s">
        <v>519</v>
      </c>
      <c r="AM424" s="89" t="s">
        <v>376</v>
      </c>
      <c r="AN424" s="89" t="s">
        <v>543</v>
      </c>
    </row>
    <row r="425" spans="10:40" x14ac:dyDescent="0.25">
      <c r="J425" s="77" t="s">
        <v>376</v>
      </c>
      <c r="K425" s="77" t="s">
        <v>531</v>
      </c>
      <c r="AM425" s="89" t="s">
        <v>376</v>
      </c>
      <c r="AN425" s="89" t="s">
        <v>545</v>
      </c>
    </row>
    <row r="426" spans="10:40" x14ac:dyDescent="0.25">
      <c r="J426" s="77" t="s">
        <v>376</v>
      </c>
      <c r="K426" s="77" t="s">
        <v>543</v>
      </c>
      <c r="AM426" s="89" t="s">
        <v>376</v>
      </c>
      <c r="AN426" s="89" t="s">
        <v>547</v>
      </c>
    </row>
    <row r="427" spans="10:40" x14ac:dyDescent="0.25">
      <c r="J427" s="77" t="s">
        <v>376</v>
      </c>
      <c r="K427" s="77" t="s">
        <v>545</v>
      </c>
      <c r="AM427" s="89" t="s">
        <v>376</v>
      </c>
      <c r="AN427" s="89" t="s">
        <v>552</v>
      </c>
    </row>
    <row r="428" spans="10:40" ht="30" x14ac:dyDescent="0.25">
      <c r="J428" s="77" t="s">
        <v>376</v>
      </c>
      <c r="K428" s="77" t="s">
        <v>547</v>
      </c>
      <c r="AM428" s="89" t="s">
        <v>376</v>
      </c>
      <c r="AN428" s="89" t="s">
        <v>418</v>
      </c>
    </row>
    <row r="429" spans="10:40" x14ac:dyDescent="0.25">
      <c r="J429" s="77" t="s">
        <v>376</v>
      </c>
      <c r="K429" s="77" t="s">
        <v>552</v>
      </c>
      <c r="AM429" s="89" t="s">
        <v>201</v>
      </c>
      <c r="AN429" s="89" t="s">
        <v>443</v>
      </c>
    </row>
    <row r="430" spans="10:40" x14ac:dyDescent="0.25">
      <c r="J430" s="77"/>
      <c r="K430" s="77"/>
      <c r="AM430" s="89" t="s">
        <v>201</v>
      </c>
      <c r="AN430" s="89" t="s">
        <v>446</v>
      </c>
    </row>
    <row r="431" spans="10:40" x14ac:dyDescent="0.25">
      <c r="J431" s="77" t="s">
        <v>201</v>
      </c>
      <c r="K431" s="77" t="s">
        <v>443</v>
      </c>
      <c r="AM431" s="89" t="s">
        <v>201</v>
      </c>
      <c r="AN431" s="89" t="s">
        <v>510</v>
      </c>
    </row>
    <row r="432" spans="10:40" ht="30" x14ac:dyDescent="0.25">
      <c r="J432" s="77" t="s">
        <v>201</v>
      </c>
      <c r="K432" s="77" t="s">
        <v>446</v>
      </c>
      <c r="AM432" s="89" t="s">
        <v>201</v>
      </c>
      <c r="AN432" s="89" t="s">
        <v>418</v>
      </c>
    </row>
    <row r="433" spans="10:40" x14ac:dyDescent="0.25">
      <c r="J433" s="77" t="s">
        <v>201</v>
      </c>
      <c r="K433" s="77" t="s">
        <v>510</v>
      </c>
      <c r="AM433" s="89" t="s">
        <v>387</v>
      </c>
      <c r="AN433" s="89" t="s">
        <v>752</v>
      </c>
    </row>
    <row r="434" spans="10:40" x14ac:dyDescent="0.25">
      <c r="J434" s="77"/>
      <c r="K434" s="77"/>
      <c r="AM434" s="89" t="s">
        <v>387</v>
      </c>
      <c r="AN434" s="89" t="s">
        <v>753</v>
      </c>
    </row>
    <row r="435" spans="10:40" x14ac:dyDescent="0.25">
      <c r="J435" s="77" t="s">
        <v>387</v>
      </c>
      <c r="K435" s="77" t="s">
        <v>752</v>
      </c>
      <c r="AM435" s="89" t="s">
        <v>387</v>
      </c>
      <c r="AN435" s="89" t="s">
        <v>754</v>
      </c>
    </row>
    <row r="436" spans="10:40" ht="30" x14ac:dyDescent="0.25">
      <c r="J436" s="77" t="s">
        <v>387</v>
      </c>
      <c r="K436" s="77" t="s">
        <v>753</v>
      </c>
      <c r="AM436" s="89" t="s">
        <v>387</v>
      </c>
      <c r="AN436" s="89" t="s">
        <v>418</v>
      </c>
    </row>
    <row r="437" spans="10:40" ht="30" x14ac:dyDescent="0.25">
      <c r="J437" s="77" t="s">
        <v>387</v>
      </c>
      <c r="K437" s="77" t="s">
        <v>754</v>
      </c>
      <c r="AM437" s="89" t="s">
        <v>214</v>
      </c>
      <c r="AN437" s="89" t="s">
        <v>418</v>
      </c>
    </row>
    <row r="438" spans="10:40" x14ac:dyDescent="0.25">
      <c r="J438" s="77"/>
      <c r="K438" s="77"/>
      <c r="AM438" s="89" t="s">
        <v>214</v>
      </c>
      <c r="AN438" s="89" t="s">
        <v>676</v>
      </c>
    </row>
    <row r="439" spans="10:40" x14ac:dyDescent="0.25">
      <c r="J439" s="77"/>
      <c r="K439" s="77"/>
      <c r="AM439" s="89" t="s">
        <v>214</v>
      </c>
      <c r="AN439" s="89" t="s">
        <v>677</v>
      </c>
    </row>
    <row r="440" spans="10:40" x14ac:dyDescent="0.25">
      <c r="J440" s="77" t="s">
        <v>214</v>
      </c>
      <c r="K440" s="77" t="s">
        <v>676</v>
      </c>
      <c r="AM440" s="89" t="s">
        <v>214</v>
      </c>
      <c r="AN440" s="89" t="s">
        <v>678</v>
      </c>
    </row>
    <row r="441" spans="10:40" x14ac:dyDescent="0.25">
      <c r="J441" s="77" t="s">
        <v>214</v>
      </c>
      <c r="K441" s="77" t="s">
        <v>677</v>
      </c>
      <c r="AM441" s="89" t="s">
        <v>214</v>
      </c>
      <c r="AN441" s="89" t="s">
        <v>679</v>
      </c>
    </row>
    <row r="442" spans="10:40" x14ac:dyDescent="0.25">
      <c r="J442" s="77" t="s">
        <v>214</v>
      </c>
      <c r="K442" s="77" t="s">
        <v>678</v>
      </c>
      <c r="AM442" s="89" t="s">
        <v>347</v>
      </c>
      <c r="AN442" s="89" t="s">
        <v>823</v>
      </c>
    </row>
    <row r="443" spans="10:40" x14ac:dyDescent="0.25">
      <c r="J443" s="77" t="s">
        <v>214</v>
      </c>
      <c r="K443" s="77" t="s">
        <v>679</v>
      </c>
      <c r="AM443" s="89" t="s">
        <v>347</v>
      </c>
      <c r="AN443" s="89" t="s">
        <v>824</v>
      </c>
    </row>
    <row r="444" spans="10:40" x14ac:dyDescent="0.25">
      <c r="J444" s="77" t="s">
        <v>347</v>
      </c>
      <c r="K444" s="77" t="s">
        <v>823</v>
      </c>
      <c r="AM444" s="89" t="s">
        <v>347</v>
      </c>
      <c r="AN444" s="89" t="s">
        <v>831</v>
      </c>
    </row>
    <row r="445" spans="10:40" x14ac:dyDescent="0.25">
      <c r="J445" s="77" t="s">
        <v>347</v>
      </c>
      <c r="K445" s="77" t="s">
        <v>824</v>
      </c>
      <c r="AM445" s="89" t="s">
        <v>347</v>
      </c>
      <c r="AN445" s="89" t="s">
        <v>843</v>
      </c>
    </row>
    <row r="446" spans="10:40" x14ac:dyDescent="0.25">
      <c r="J446" s="77" t="s">
        <v>347</v>
      </c>
      <c r="K446" s="77" t="s">
        <v>831</v>
      </c>
      <c r="AM446" s="89" t="s">
        <v>347</v>
      </c>
      <c r="AN446" s="89" t="s">
        <v>845</v>
      </c>
    </row>
    <row r="447" spans="10:40" x14ac:dyDescent="0.25">
      <c r="J447" s="77" t="s">
        <v>347</v>
      </c>
      <c r="K447" s="77" t="s">
        <v>843</v>
      </c>
      <c r="AM447" s="89" t="s">
        <v>347</v>
      </c>
      <c r="AN447" s="89" t="s">
        <v>870</v>
      </c>
    </row>
    <row r="448" spans="10:40" x14ac:dyDescent="0.25">
      <c r="J448" s="77" t="s">
        <v>347</v>
      </c>
      <c r="K448" s="77" t="s">
        <v>845</v>
      </c>
      <c r="AM448" s="89" t="s">
        <v>347</v>
      </c>
      <c r="AN448" s="89" t="s">
        <v>823</v>
      </c>
    </row>
    <row r="449" spans="10:40" x14ac:dyDescent="0.25">
      <c r="J449" s="77" t="s">
        <v>347</v>
      </c>
      <c r="K449" s="77" t="s">
        <v>870</v>
      </c>
      <c r="AM449" s="89" t="s">
        <v>347</v>
      </c>
      <c r="AN449" s="89" t="s">
        <v>875</v>
      </c>
    </row>
    <row r="450" spans="10:40" x14ac:dyDescent="0.25">
      <c r="J450" s="77" t="s">
        <v>347</v>
      </c>
      <c r="K450" s="77" t="s">
        <v>875</v>
      </c>
      <c r="AM450" s="89" t="s">
        <v>347</v>
      </c>
      <c r="AN450" s="89" t="s">
        <v>878</v>
      </c>
    </row>
    <row r="451" spans="10:40" x14ac:dyDescent="0.25">
      <c r="J451" s="77" t="s">
        <v>347</v>
      </c>
      <c r="K451" s="77" t="s">
        <v>878</v>
      </c>
      <c r="AM451" s="89" t="s">
        <v>347</v>
      </c>
      <c r="AN451" s="89" t="s">
        <v>881</v>
      </c>
    </row>
    <row r="452" spans="10:40" x14ac:dyDescent="0.25">
      <c r="J452" s="77" t="s">
        <v>347</v>
      </c>
      <c r="K452" s="77" t="s">
        <v>881</v>
      </c>
      <c r="AM452" s="89" t="s">
        <v>347</v>
      </c>
      <c r="AN452" s="89" t="s">
        <v>885</v>
      </c>
    </row>
    <row r="453" spans="10:40" x14ac:dyDescent="0.25">
      <c r="J453" s="77" t="s">
        <v>347</v>
      </c>
      <c r="K453" s="77" t="s">
        <v>885</v>
      </c>
      <c r="AM453" s="89" t="s">
        <v>347</v>
      </c>
      <c r="AN453" s="89" t="s">
        <v>886</v>
      </c>
    </row>
    <row r="454" spans="10:40" ht="30" x14ac:dyDescent="0.25">
      <c r="J454" s="77" t="s">
        <v>347</v>
      </c>
      <c r="K454" s="77" t="s">
        <v>886</v>
      </c>
      <c r="AM454" s="89" t="s">
        <v>347</v>
      </c>
      <c r="AN454" s="89" t="s">
        <v>895</v>
      </c>
    </row>
    <row r="455" spans="10:40" ht="30" x14ac:dyDescent="0.25">
      <c r="J455" s="77" t="s">
        <v>347</v>
      </c>
      <c r="K455" s="77" t="s">
        <v>895</v>
      </c>
      <c r="AM455" s="89" t="s">
        <v>347</v>
      </c>
      <c r="AN455" s="89" t="s">
        <v>898</v>
      </c>
    </row>
    <row r="456" spans="10:40" ht="30" x14ac:dyDescent="0.25">
      <c r="J456" s="77" t="s">
        <v>347</v>
      </c>
      <c r="K456" s="77" t="s">
        <v>898</v>
      </c>
      <c r="AM456" s="89" t="s">
        <v>347</v>
      </c>
      <c r="AN456" s="89" t="s">
        <v>915</v>
      </c>
    </row>
    <row r="457" spans="10:40" ht="30" x14ac:dyDescent="0.25">
      <c r="J457" s="77" t="s">
        <v>347</v>
      </c>
      <c r="K457" s="77" t="s">
        <v>915</v>
      </c>
      <c r="AM457" s="89" t="s">
        <v>347</v>
      </c>
      <c r="AN457" s="89" t="s">
        <v>917</v>
      </c>
    </row>
    <row r="458" spans="10:40" x14ac:dyDescent="0.25">
      <c r="J458" s="77" t="s">
        <v>347</v>
      </c>
      <c r="K458" s="77" t="s">
        <v>917</v>
      </c>
      <c r="AM458" s="89" t="s">
        <v>347</v>
      </c>
      <c r="AN458" s="89" t="s">
        <v>918</v>
      </c>
    </row>
    <row r="459" spans="10:40" x14ac:dyDescent="0.25">
      <c r="J459" s="77" t="s">
        <v>347</v>
      </c>
      <c r="K459" s="77" t="s">
        <v>918</v>
      </c>
      <c r="AM459" s="89" t="s">
        <v>347</v>
      </c>
      <c r="AN459" s="89" t="s">
        <v>928</v>
      </c>
    </row>
    <row r="460" spans="10:40" x14ac:dyDescent="0.25">
      <c r="J460" s="77" t="s">
        <v>347</v>
      </c>
      <c r="K460" s="77" t="s">
        <v>928</v>
      </c>
      <c r="AM460" s="89" t="s">
        <v>347</v>
      </c>
      <c r="AN460" s="89" t="s">
        <v>934</v>
      </c>
    </row>
    <row r="461" spans="10:40" ht="30" x14ac:dyDescent="0.25">
      <c r="J461" s="77" t="s">
        <v>347</v>
      </c>
      <c r="K461" s="77" t="s">
        <v>934</v>
      </c>
      <c r="AM461" s="89" t="s">
        <v>347</v>
      </c>
      <c r="AN461" s="89" t="s">
        <v>938</v>
      </c>
    </row>
    <row r="462" spans="10:40" ht="30" x14ac:dyDescent="0.25">
      <c r="J462" s="77" t="s">
        <v>347</v>
      </c>
      <c r="K462" s="77" t="s">
        <v>938</v>
      </c>
      <c r="AM462" s="89" t="s">
        <v>347</v>
      </c>
      <c r="AN462" s="89" t="s">
        <v>939</v>
      </c>
    </row>
    <row r="463" spans="10:40" x14ac:dyDescent="0.25">
      <c r="J463" s="77" t="s">
        <v>347</v>
      </c>
      <c r="K463" s="77" t="s">
        <v>939</v>
      </c>
      <c r="AM463" s="89" t="s">
        <v>347</v>
      </c>
      <c r="AN463" s="89" t="s">
        <v>943</v>
      </c>
    </row>
    <row r="464" spans="10:40" x14ac:dyDescent="0.25">
      <c r="J464" s="77" t="s">
        <v>347</v>
      </c>
      <c r="K464" s="77" t="s">
        <v>943</v>
      </c>
      <c r="AM464" s="89" t="s">
        <v>347</v>
      </c>
      <c r="AN464" s="89" t="s">
        <v>945</v>
      </c>
    </row>
    <row r="465" spans="10:40" ht="30" x14ac:dyDescent="0.25">
      <c r="J465" s="77" t="s">
        <v>347</v>
      </c>
      <c r="K465" s="77" t="s">
        <v>945</v>
      </c>
      <c r="AM465" s="89" t="s">
        <v>347</v>
      </c>
      <c r="AN465" s="89" t="s">
        <v>946</v>
      </c>
    </row>
    <row r="466" spans="10:40" ht="30" x14ac:dyDescent="0.25">
      <c r="J466" s="77" t="s">
        <v>347</v>
      </c>
      <c r="K466" s="77" t="s">
        <v>946</v>
      </c>
      <c r="AM466" s="89" t="s">
        <v>347</v>
      </c>
      <c r="AN466" s="89" t="s">
        <v>954</v>
      </c>
    </row>
    <row r="467" spans="10:40" ht="30" x14ac:dyDescent="0.25">
      <c r="J467" s="77" t="s">
        <v>347</v>
      </c>
      <c r="K467" s="77" t="s">
        <v>954</v>
      </c>
      <c r="AM467" s="89" t="s">
        <v>347</v>
      </c>
      <c r="AN467" s="89" t="s">
        <v>418</v>
      </c>
    </row>
    <row r="468" spans="10:40" x14ac:dyDescent="0.25">
      <c r="J468" s="77"/>
      <c r="K468" s="77"/>
      <c r="AM468" s="89" t="s">
        <v>296</v>
      </c>
      <c r="AN468" s="89" t="s">
        <v>571</v>
      </c>
    </row>
    <row r="469" spans="10:40" x14ac:dyDescent="0.25">
      <c r="J469" s="77" t="s">
        <v>296</v>
      </c>
      <c r="K469" s="77" t="s">
        <v>571</v>
      </c>
      <c r="AM469" s="89" t="s">
        <v>296</v>
      </c>
      <c r="AN469" s="89" t="s">
        <v>573</v>
      </c>
    </row>
    <row r="470" spans="10:40" x14ac:dyDescent="0.25">
      <c r="J470" s="77" t="s">
        <v>296</v>
      </c>
      <c r="K470" s="77" t="s">
        <v>573</v>
      </c>
      <c r="AM470" s="89" t="s">
        <v>296</v>
      </c>
      <c r="AN470" s="89" t="s">
        <v>574</v>
      </c>
    </row>
    <row r="471" spans="10:40" x14ac:dyDescent="0.25">
      <c r="J471" s="77" t="s">
        <v>296</v>
      </c>
      <c r="K471" s="77" t="s">
        <v>574</v>
      </c>
      <c r="AM471" s="89" t="s">
        <v>296</v>
      </c>
      <c r="AN471" s="89" t="s">
        <v>581</v>
      </c>
    </row>
    <row r="472" spans="10:40" x14ac:dyDescent="0.25">
      <c r="J472" s="77" t="s">
        <v>296</v>
      </c>
      <c r="K472" s="77" t="s">
        <v>581</v>
      </c>
      <c r="AM472" s="89" t="s">
        <v>296</v>
      </c>
      <c r="AN472" s="89" t="s">
        <v>584</v>
      </c>
    </row>
    <row r="473" spans="10:40" x14ac:dyDescent="0.25">
      <c r="J473" s="77" t="s">
        <v>296</v>
      </c>
      <c r="K473" s="77" t="s">
        <v>584</v>
      </c>
      <c r="AM473" s="89" t="s">
        <v>296</v>
      </c>
      <c r="AN473" s="89" t="s">
        <v>585</v>
      </c>
    </row>
    <row r="474" spans="10:40" ht="30" x14ac:dyDescent="0.25">
      <c r="J474" s="77" t="s">
        <v>296</v>
      </c>
      <c r="K474" s="77" t="s">
        <v>585</v>
      </c>
      <c r="AM474" s="89" t="s">
        <v>296</v>
      </c>
      <c r="AN474" s="89" t="s">
        <v>418</v>
      </c>
    </row>
    <row r="475" spans="10:40" x14ac:dyDescent="0.25">
      <c r="J475" s="77"/>
      <c r="K475" s="77"/>
      <c r="AM475" s="89" t="s">
        <v>203</v>
      </c>
      <c r="AN475" s="89" t="s">
        <v>470</v>
      </c>
    </row>
    <row r="476" spans="10:40" x14ac:dyDescent="0.25">
      <c r="J476" s="77" t="s">
        <v>203</v>
      </c>
      <c r="K476" s="77" t="s">
        <v>470</v>
      </c>
      <c r="AM476" s="89" t="s">
        <v>203</v>
      </c>
      <c r="AN476" s="89" t="s">
        <v>481</v>
      </c>
    </row>
    <row r="477" spans="10:40" x14ac:dyDescent="0.25">
      <c r="J477" s="77" t="s">
        <v>203</v>
      </c>
      <c r="K477" s="77" t="s">
        <v>481</v>
      </c>
      <c r="AM477" s="89" t="s">
        <v>203</v>
      </c>
      <c r="AN477" s="89" t="s">
        <v>510</v>
      </c>
    </row>
    <row r="478" spans="10:40" x14ac:dyDescent="0.25">
      <c r="J478" s="77" t="s">
        <v>203</v>
      </c>
      <c r="K478" s="77" t="s">
        <v>510</v>
      </c>
      <c r="AM478" s="89" t="s">
        <v>203</v>
      </c>
      <c r="AN478" s="89" t="s">
        <v>485</v>
      </c>
    </row>
    <row r="479" spans="10:40" ht="30" x14ac:dyDescent="0.25">
      <c r="J479" s="77" t="s">
        <v>203</v>
      </c>
      <c r="K479" s="77" t="s">
        <v>485</v>
      </c>
      <c r="AM479" s="89" t="s">
        <v>203</v>
      </c>
      <c r="AN479" s="89" t="s">
        <v>418</v>
      </c>
    </row>
    <row r="480" spans="10:40" ht="30" x14ac:dyDescent="0.25">
      <c r="J480" s="77"/>
      <c r="K480" s="77"/>
      <c r="AM480" s="89" t="s">
        <v>215</v>
      </c>
      <c r="AN480" s="89" t="s">
        <v>418</v>
      </c>
    </row>
    <row r="481" spans="10:40" x14ac:dyDescent="0.25">
      <c r="J481" s="77"/>
      <c r="K481" s="77"/>
      <c r="AM481" s="89" t="s">
        <v>215</v>
      </c>
      <c r="AN481" s="89" t="s">
        <v>680</v>
      </c>
    </row>
    <row r="482" spans="10:40" x14ac:dyDescent="0.25">
      <c r="J482" s="77" t="s">
        <v>215</v>
      </c>
      <c r="K482" s="77" t="s">
        <v>680</v>
      </c>
      <c r="AM482" s="89" t="s">
        <v>215</v>
      </c>
      <c r="AN482" s="89" t="s">
        <v>681</v>
      </c>
    </row>
    <row r="483" spans="10:40" x14ac:dyDescent="0.25">
      <c r="J483" s="77" t="s">
        <v>215</v>
      </c>
      <c r="K483" s="77" t="s">
        <v>681</v>
      </c>
      <c r="AM483" s="89" t="s">
        <v>215</v>
      </c>
      <c r="AN483" s="89" t="s">
        <v>682</v>
      </c>
    </row>
    <row r="484" spans="10:40" x14ac:dyDescent="0.25">
      <c r="J484" s="77" t="s">
        <v>215</v>
      </c>
      <c r="K484" s="77" t="s">
        <v>682</v>
      </c>
      <c r="AM484" s="89" t="s">
        <v>215</v>
      </c>
      <c r="AN484" s="89" t="s">
        <v>683</v>
      </c>
    </row>
    <row r="485" spans="10:40" x14ac:dyDescent="0.25">
      <c r="J485" s="77" t="s">
        <v>215</v>
      </c>
      <c r="K485" s="77" t="s">
        <v>683</v>
      </c>
      <c r="AM485" s="89" t="s">
        <v>381</v>
      </c>
      <c r="AN485" s="89" t="s">
        <v>534</v>
      </c>
    </row>
    <row r="486" spans="10:40" x14ac:dyDescent="0.25">
      <c r="J486" s="77" t="s">
        <v>381</v>
      </c>
      <c r="K486" s="77" t="s">
        <v>534</v>
      </c>
      <c r="AM486" s="89" t="s">
        <v>381</v>
      </c>
      <c r="AN486" s="89" t="s">
        <v>541</v>
      </c>
    </row>
    <row r="487" spans="10:40" x14ac:dyDescent="0.25">
      <c r="J487" s="77" t="s">
        <v>381</v>
      </c>
      <c r="K487" s="77" t="s">
        <v>541</v>
      </c>
      <c r="AM487" s="89" t="s">
        <v>381</v>
      </c>
      <c r="AN487" s="89" t="s">
        <v>546</v>
      </c>
    </row>
    <row r="488" spans="10:40" x14ac:dyDescent="0.25">
      <c r="J488" s="77" t="s">
        <v>381</v>
      </c>
      <c r="K488" s="77" t="s">
        <v>546</v>
      </c>
      <c r="AM488" s="89" t="s">
        <v>381</v>
      </c>
      <c r="AN488" s="89" t="s">
        <v>550</v>
      </c>
    </row>
    <row r="489" spans="10:40" x14ac:dyDescent="0.25">
      <c r="J489" s="77" t="s">
        <v>381</v>
      </c>
      <c r="K489" s="77" t="s">
        <v>550</v>
      </c>
      <c r="AM489" s="89" t="s">
        <v>381</v>
      </c>
      <c r="AN489" s="89" t="s">
        <v>556</v>
      </c>
    </row>
    <row r="490" spans="10:40" ht="30" x14ac:dyDescent="0.25">
      <c r="J490" s="77" t="s">
        <v>381</v>
      </c>
      <c r="K490" s="77" t="s">
        <v>556</v>
      </c>
      <c r="AM490" s="89" t="s">
        <v>381</v>
      </c>
      <c r="AN490" s="89" t="s">
        <v>418</v>
      </c>
    </row>
    <row r="491" spans="10:40" x14ac:dyDescent="0.25">
      <c r="J491" s="77"/>
      <c r="K491" s="77"/>
      <c r="AM491" s="89" t="s">
        <v>351</v>
      </c>
      <c r="AN491" s="89" t="s">
        <v>827</v>
      </c>
    </row>
    <row r="492" spans="10:40" ht="30" x14ac:dyDescent="0.25">
      <c r="J492" s="77" t="s">
        <v>351</v>
      </c>
      <c r="K492" s="77" t="s">
        <v>827</v>
      </c>
      <c r="AM492" s="89" t="s">
        <v>351</v>
      </c>
      <c r="AN492" s="89" t="s">
        <v>836</v>
      </c>
    </row>
    <row r="493" spans="10:40" ht="30" x14ac:dyDescent="0.25">
      <c r="J493" s="77" t="s">
        <v>351</v>
      </c>
      <c r="K493" s="77" t="s">
        <v>836</v>
      </c>
      <c r="AM493" s="89" t="s">
        <v>351</v>
      </c>
      <c r="AN493" s="89" t="s">
        <v>847</v>
      </c>
    </row>
    <row r="494" spans="10:40" x14ac:dyDescent="0.25">
      <c r="J494" s="77" t="s">
        <v>351</v>
      </c>
      <c r="K494" s="77" t="s">
        <v>847</v>
      </c>
      <c r="AM494" s="89" t="s">
        <v>351</v>
      </c>
      <c r="AN494" s="89" t="s">
        <v>850</v>
      </c>
    </row>
    <row r="495" spans="10:40" ht="30" x14ac:dyDescent="0.25">
      <c r="J495" s="77" t="s">
        <v>351</v>
      </c>
      <c r="K495" s="77" t="s">
        <v>850</v>
      </c>
      <c r="AM495" s="89" t="s">
        <v>351</v>
      </c>
      <c r="AN495" s="89" t="s">
        <v>853</v>
      </c>
    </row>
    <row r="496" spans="10:40" ht="30" x14ac:dyDescent="0.25">
      <c r="J496" s="77" t="s">
        <v>351</v>
      </c>
      <c r="K496" s="77" t="s">
        <v>853</v>
      </c>
      <c r="AM496" s="89" t="s">
        <v>351</v>
      </c>
      <c r="AN496" s="89" t="s">
        <v>926</v>
      </c>
    </row>
    <row r="497" spans="10:40" x14ac:dyDescent="0.25">
      <c r="J497" s="77" t="s">
        <v>351</v>
      </c>
      <c r="K497" s="77" t="s">
        <v>926</v>
      </c>
      <c r="AM497" s="89" t="s">
        <v>351</v>
      </c>
      <c r="AN497" s="89" t="s">
        <v>927</v>
      </c>
    </row>
    <row r="498" spans="10:40" x14ac:dyDescent="0.25">
      <c r="J498" s="77" t="s">
        <v>351</v>
      </c>
      <c r="K498" s="77" t="s">
        <v>927</v>
      </c>
      <c r="AM498" s="89" t="s">
        <v>351</v>
      </c>
      <c r="AN498" s="89" t="s">
        <v>940</v>
      </c>
    </row>
    <row r="499" spans="10:40" x14ac:dyDescent="0.25">
      <c r="J499" s="77" t="s">
        <v>351</v>
      </c>
      <c r="K499" s="77" t="s">
        <v>940</v>
      </c>
      <c r="AM499" s="89" t="s">
        <v>351</v>
      </c>
      <c r="AN499" s="89" t="s">
        <v>948</v>
      </c>
    </row>
    <row r="500" spans="10:40" ht="30" x14ac:dyDescent="0.25">
      <c r="J500" s="77" t="s">
        <v>351</v>
      </c>
      <c r="K500" s="77" t="s">
        <v>948</v>
      </c>
      <c r="AM500" s="89" t="s">
        <v>351</v>
      </c>
      <c r="AN500" s="89" t="s">
        <v>418</v>
      </c>
    </row>
    <row r="501" spans="10:40" x14ac:dyDescent="0.25">
      <c r="J501" s="77"/>
      <c r="K501" s="77"/>
      <c r="AM501" s="89" t="s">
        <v>371</v>
      </c>
      <c r="AN501" s="89" t="s">
        <v>516</v>
      </c>
    </row>
    <row r="502" spans="10:40" x14ac:dyDescent="0.25">
      <c r="J502" s="77" t="s">
        <v>371</v>
      </c>
      <c r="K502" s="77" t="s">
        <v>516</v>
      </c>
      <c r="AM502" s="89" t="s">
        <v>371</v>
      </c>
      <c r="AN502" s="89" t="s">
        <v>524</v>
      </c>
    </row>
    <row r="503" spans="10:40" x14ac:dyDescent="0.25">
      <c r="J503" s="77" t="s">
        <v>371</v>
      </c>
      <c r="K503" s="77" t="s">
        <v>524</v>
      </c>
      <c r="AM503" s="89" t="s">
        <v>371</v>
      </c>
      <c r="AN503" s="89" t="s">
        <v>528</v>
      </c>
    </row>
    <row r="504" spans="10:40" x14ac:dyDescent="0.25">
      <c r="J504" s="77" t="s">
        <v>371</v>
      </c>
      <c r="K504" s="77" t="s">
        <v>528</v>
      </c>
      <c r="AM504" s="89" t="s">
        <v>371</v>
      </c>
      <c r="AN504" s="89" t="s">
        <v>536</v>
      </c>
    </row>
    <row r="505" spans="10:40" x14ac:dyDescent="0.25">
      <c r="J505" s="77" t="s">
        <v>371</v>
      </c>
      <c r="K505" s="77" t="s">
        <v>536</v>
      </c>
      <c r="AM505" s="89" t="s">
        <v>371</v>
      </c>
      <c r="AN505" s="89" t="s">
        <v>553</v>
      </c>
    </row>
    <row r="506" spans="10:40" x14ac:dyDescent="0.25">
      <c r="J506" s="77" t="s">
        <v>371</v>
      </c>
      <c r="K506" s="77" t="s">
        <v>553</v>
      </c>
      <c r="AM506" s="89" t="s">
        <v>371</v>
      </c>
      <c r="AN506" s="89" t="s">
        <v>557</v>
      </c>
    </row>
    <row r="507" spans="10:40" ht="30" x14ac:dyDescent="0.25">
      <c r="J507" s="77" t="s">
        <v>371</v>
      </c>
      <c r="K507" s="77" t="s">
        <v>557</v>
      </c>
      <c r="AM507" s="89" t="s">
        <v>371</v>
      </c>
      <c r="AN507" s="89" t="s">
        <v>418</v>
      </c>
    </row>
    <row r="508" spans="10:40" ht="30" x14ac:dyDescent="0.25">
      <c r="J508" s="77"/>
      <c r="K508" s="77"/>
      <c r="AM508" s="89" t="s">
        <v>216</v>
      </c>
      <c r="AN508" s="89" t="s">
        <v>418</v>
      </c>
    </row>
    <row r="509" spans="10:40" ht="30" x14ac:dyDescent="0.25">
      <c r="J509" s="77"/>
      <c r="K509" s="77"/>
      <c r="AM509" s="89" t="s">
        <v>216</v>
      </c>
      <c r="AN509" s="89" t="s">
        <v>684</v>
      </c>
    </row>
    <row r="510" spans="10:40" ht="30" x14ac:dyDescent="0.25">
      <c r="J510" s="77" t="s">
        <v>216</v>
      </c>
      <c r="K510" s="77" t="s">
        <v>684</v>
      </c>
      <c r="AM510" s="89" t="s">
        <v>216</v>
      </c>
      <c r="AN510" s="89" t="s">
        <v>685</v>
      </c>
    </row>
    <row r="511" spans="10:40" x14ac:dyDescent="0.25">
      <c r="J511" s="77" t="s">
        <v>216</v>
      </c>
      <c r="K511" s="77" t="s">
        <v>685</v>
      </c>
      <c r="AM511" s="89" t="s">
        <v>216</v>
      </c>
      <c r="AN511" s="89" t="s">
        <v>686</v>
      </c>
    </row>
    <row r="512" spans="10:40" x14ac:dyDescent="0.25">
      <c r="J512" s="77" t="s">
        <v>216</v>
      </c>
      <c r="K512" s="77" t="s">
        <v>686</v>
      </c>
      <c r="AM512" s="89" t="s">
        <v>216</v>
      </c>
      <c r="AN512" s="89" t="s">
        <v>687</v>
      </c>
    </row>
    <row r="513" spans="10:40" x14ac:dyDescent="0.25">
      <c r="J513" s="77" t="s">
        <v>216</v>
      </c>
      <c r="K513" s="77" t="s">
        <v>687</v>
      </c>
      <c r="AM513" s="89" t="s">
        <v>375</v>
      </c>
      <c r="AN513" s="89" t="s">
        <v>518</v>
      </c>
    </row>
    <row r="514" spans="10:40" x14ac:dyDescent="0.25">
      <c r="J514" s="77" t="s">
        <v>375</v>
      </c>
      <c r="K514" s="77" t="s">
        <v>518</v>
      </c>
      <c r="AM514" s="89" t="s">
        <v>375</v>
      </c>
      <c r="AN514" s="89" t="s">
        <v>535</v>
      </c>
    </row>
    <row r="515" spans="10:40" ht="30" x14ac:dyDescent="0.25">
      <c r="J515" s="77" t="s">
        <v>375</v>
      </c>
      <c r="K515" s="77" t="s">
        <v>535</v>
      </c>
      <c r="AM515" s="89" t="s">
        <v>375</v>
      </c>
      <c r="AN515" s="89" t="s">
        <v>418</v>
      </c>
    </row>
    <row r="516" spans="10:40" x14ac:dyDescent="0.25">
      <c r="J516" s="77"/>
      <c r="K516" s="77"/>
      <c r="AM516" s="89" t="s">
        <v>295</v>
      </c>
      <c r="AN516" s="89" t="s">
        <v>569</v>
      </c>
    </row>
    <row r="517" spans="10:40" x14ac:dyDescent="0.25">
      <c r="J517" s="77" t="s">
        <v>295</v>
      </c>
      <c r="K517" s="77" t="s">
        <v>569</v>
      </c>
      <c r="AM517" s="89" t="s">
        <v>295</v>
      </c>
      <c r="AN517" s="89" t="s">
        <v>583</v>
      </c>
    </row>
    <row r="518" spans="10:40" ht="30" x14ac:dyDescent="0.25">
      <c r="J518" s="77" t="s">
        <v>295</v>
      </c>
      <c r="K518" s="77" t="s">
        <v>583</v>
      </c>
      <c r="AM518" s="89" t="s">
        <v>295</v>
      </c>
      <c r="AN518" s="89" t="s">
        <v>418</v>
      </c>
    </row>
    <row r="519" spans="10:40" x14ac:dyDescent="0.25">
      <c r="J519" s="77"/>
      <c r="K519" s="77"/>
      <c r="AM519" s="89" t="s">
        <v>308</v>
      </c>
      <c r="AN519" s="89" t="s">
        <v>645</v>
      </c>
    </row>
    <row r="520" spans="10:40" x14ac:dyDescent="0.25">
      <c r="J520" s="77" t="s">
        <v>308</v>
      </c>
      <c r="K520" s="77" t="s">
        <v>645</v>
      </c>
      <c r="AM520" s="89" t="s">
        <v>308</v>
      </c>
      <c r="AN520" s="89" t="s">
        <v>648</v>
      </c>
    </row>
    <row r="521" spans="10:40" x14ac:dyDescent="0.25">
      <c r="J521" s="77" t="s">
        <v>308</v>
      </c>
      <c r="K521" s="77" t="s">
        <v>648</v>
      </c>
      <c r="AM521" s="89" t="s">
        <v>308</v>
      </c>
      <c r="AN521" s="89" t="s">
        <v>670</v>
      </c>
    </row>
    <row r="522" spans="10:40" ht="30" x14ac:dyDescent="0.25">
      <c r="J522" s="77" t="s">
        <v>308</v>
      </c>
      <c r="K522" s="77" t="s">
        <v>670</v>
      </c>
      <c r="AM522" s="89" t="s">
        <v>308</v>
      </c>
      <c r="AN522" s="89" t="s">
        <v>418</v>
      </c>
    </row>
    <row r="523" spans="10:40" x14ac:dyDescent="0.25">
      <c r="J523" s="77"/>
      <c r="K523" s="77"/>
      <c r="AM523" s="89" t="s">
        <v>293</v>
      </c>
      <c r="AN523" s="89" t="s">
        <v>567</v>
      </c>
    </row>
    <row r="524" spans="10:40" x14ac:dyDescent="0.25">
      <c r="J524" s="77" t="s">
        <v>293</v>
      </c>
      <c r="K524" s="77" t="s">
        <v>567</v>
      </c>
      <c r="AM524" s="89" t="s">
        <v>293</v>
      </c>
      <c r="AN524" s="89" t="s">
        <v>570</v>
      </c>
    </row>
    <row r="525" spans="10:40" x14ac:dyDescent="0.25">
      <c r="J525" s="77" t="s">
        <v>293</v>
      </c>
      <c r="K525" s="77" t="s">
        <v>570</v>
      </c>
      <c r="AM525" s="89" t="s">
        <v>293</v>
      </c>
      <c r="AN525" s="89" t="s">
        <v>293</v>
      </c>
    </row>
    <row r="526" spans="10:40" x14ac:dyDescent="0.25">
      <c r="J526" s="77" t="s">
        <v>293</v>
      </c>
      <c r="K526" s="77" t="s">
        <v>293</v>
      </c>
      <c r="AM526" s="89" t="s">
        <v>293</v>
      </c>
      <c r="AN526" s="89" t="s">
        <v>576</v>
      </c>
    </row>
    <row r="527" spans="10:40" x14ac:dyDescent="0.25">
      <c r="J527" s="77" t="s">
        <v>293</v>
      </c>
      <c r="K527" s="77" t="s">
        <v>576</v>
      </c>
      <c r="AM527" s="89" t="s">
        <v>293</v>
      </c>
      <c r="AN527" s="89" t="s">
        <v>578</v>
      </c>
    </row>
    <row r="528" spans="10:40" ht="30" x14ac:dyDescent="0.25">
      <c r="J528" s="77" t="s">
        <v>293</v>
      </c>
      <c r="K528" s="77" t="s">
        <v>578</v>
      </c>
      <c r="AM528" s="89" t="s">
        <v>293</v>
      </c>
      <c r="AN528" s="89" t="s">
        <v>418</v>
      </c>
    </row>
    <row r="529" spans="10:40" ht="30" x14ac:dyDescent="0.25">
      <c r="J529" s="77"/>
      <c r="K529" s="77"/>
      <c r="AM529" s="89" t="s">
        <v>396</v>
      </c>
      <c r="AN529" s="89" t="s">
        <v>418</v>
      </c>
    </row>
    <row r="530" spans="10:40" x14ac:dyDescent="0.25">
      <c r="J530" s="77"/>
      <c r="K530" s="77"/>
      <c r="AM530" s="89" t="s">
        <v>396</v>
      </c>
      <c r="AN530" s="89" t="s">
        <v>969</v>
      </c>
    </row>
    <row r="531" spans="10:40" x14ac:dyDescent="0.25">
      <c r="J531" s="77" t="s">
        <v>396</v>
      </c>
      <c r="K531" s="77" t="s">
        <v>969</v>
      </c>
      <c r="AM531" s="89" t="s">
        <v>396</v>
      </c>
      <c r="AN531" s="89" t="s">
        <v>241</v>
      </c>
    </row>
    <row r="532" spans="10:40" x14ac:dyDescent="0.25">
      <c r="J532" s="77" t="s">
        <v>396</v>
      </c>
      <c r="K532" s="77" t="s">
        <v>241</v>
      </c>
      <c r="AM532" s="89" t="s">
        <v>396</v>
      </c>
      <c r="AN532" s="89" t="s">
        <v>970</v>
      </c>
    </row>
    <row r="533" spans="10:40" ht="30" x14ac:dyDescent="0.25">
      <c r="J533" s="77" t="s">
        <v>396</v>
      </c>
      <c r="K533" s="77" t="s">
        <v>970</v>
      </c>
      <c r="AM533" s="89" t="s">
        <v>404</v>
      </c>
      <c r="AN533" s="89" t="s">
        <v>418</v>
      </c>
    </row>
    <row r="534" spans="10:40" x14ac:dyDescent="0.25">
      <c r="J534" s="77"/>
      <c r="K534" s="77"/>
      <c r="AM534" s="89" t="s">
        <v>404</v>
      </c>
      <c r="AN534" s="89" t="s">
        <v>1059</v>
      </c>
    </row>
    <row r="535" spans="10:40" x14ac:dyDescent="0.25">
      <c r="J535" s="77" t="s">
        <v>404</v>
      </c>
      <c r="K535" s="77" t="s">
        <v>1059</v>
      </c>
      <c r="AM535" s="89" t="s">
        <v>404</v>
      </c>
      <c r="AN535" s="89" t="s">
        <v>1067</v>
      </c>
    </row>
    <row r="536" spans="10:40" x14ac:dyDescent="0.25">
      <c r="J536" s="77" t="s">
        <v>404</v>
      </c>
      <c r="K536" s="77" t="s">
        <v>1067</v>
      </c>
      <c r="AM536" s="89" t="s">
        <v>404</v>
      </c>
      <c r="AN536" s="89" t="s">
        <v>1072</v>
      </c>
    </row>
    <row r="537" spans="10:40" x14ac:dyDescent="0.25">
      <c r="J537" s="77" t="s">
        <v>404</v>
      </c>
      <c r="K537" s="77" t="s">
        <v>1072</v>
      </c>
      <c r="AM537" s="89" t="s">
        <v>404</v>
      </c>
      <c r="AN537" s="89" t="s">
        <v>1073</v>
      </c>
    </row>
    <row r="538" spans="10:40" x14ac:dyDescent="0.25">
      <c r="J538" s="77" t="s">
        <v>404</v>
      </c>
      <c r="K538" s="77" t="s">
        <v>1073</v>
      </c>
      <c r="AM538" s="89" t="s">
        <v>404</v>
      </c>
      <c r="AN538" s="89" t="s">
        <v>1085</v>
      </c>
    </row>
    <row r="539" spans="10:40" x14ac:dyDescent="0.25">
      <c r="J539" s="77" t="s">
        <v>404</v>
      </c>
      <c r="K539" s="77" t="s">
        <v>1085</v>
      </c>
      <c r="AM539" s="89" t="s">
        <v>185</v>
      </c>
      <c r="AN539" s="89" t="s">
        <v>421</v>
      </c>
    </row>
    <row r="540" spans="10:40" x14ac:dyDescent="0.25">
      <c r="J540" s="77" t="s">
        <v>185</v>
      </c>
      <c r="K540" s="77" t="s">
        <v>421</v>
      </c>
      <c r="AM540" s="89" t="s">
        <v>185</v>
      </c>
      <c r="AN540" s="89" t="s">
        <v>422</v>
      </c>
    </row>
    <row r="541" spans="10:40" x14ac:dyDescent="0.25">
      <c r="J541" s="77" t="s">
        <v>185</v>
      </c>
      <c r="K541" s="77" t="s">
        <v>422</v>
      </c>
      <c r="AM541" s="89" t="s">
        <v>185</v>
      </c>
      <c r="AN541" s="89" t="s">
        <v>423</v>
      </c>
    </row>
    <row r="542" spans="10:40" x14ac:dyDescent="0.25">
      <c r="J542" s="77" t="s">
        <v>185</v>
      </c>
      <c r="K542" s="77" t="s">
        <v>423</v>
      </c>
      <c r="AM542" s="89" t="s">
        <v>185</v>
      </c>
      <c r="AN542" s="89" t="s">
        <v>184</v>
      </c>
    </row>
    <row r="543" spans="10:40" x14ac:dyDescent="0.25">
      <c r="J543" s="77" t="s">
        <v>185</v>
      </c>
      <c r="K543" s="77" t="s">
        <v>184</v>
      </c>
      <c r="AM543" s="89" t="s">
        <v>185</v>
      </c>
      <c r="AN543" s="89" t="s">
        <v>206</v>
      </c>
    </row>
    <row r="544" spans="10:40" x14ac:dyDescent="0.25">
      <c r="J544" s="77" t="s">
        <v>185</v>
      </c>
      <c r="K544" s="77" t="s">
        <v>206</v>
      </c>
      <c r="AM544" s="89" t="s">
        <v>185</v>
      </c>
      <c r="AN544" s="89" t="s">
        <v>424</v>
      </c>
    </row>
    <row r="545" spans="10:40" ht="30" x14ac:dyDescent="0.25">
      <c r="J545" s="77" t="s">
        <v>185</v>
      </c>
      <c r="K545" s="77" t="s">
        <v>424</v>
      </c>
      <c r="AM545" s="89" t="s">
        <v>185</v>
      </c>
      <c r="AN545" s="89" t="s">
        <v>418</v>
      </c>
    </row>
    <row r="546" spans="10:40" x14ac:dyDescent="0.25">
      <c r="J546" s="77"/>
      <c r="K546" s="77"/>
      <c r="AM546" s="89" t="s">
        <v>285</v>
      </c>
      <c r="AN546" s="89" t="s">
        <v>200</v>
      </c>
    </row>
    <row r="547" spans="10:40" x14ac:dyDescent="0.25">
      <c r="J547" s="77" t="s">
        <v>187</v>
      </c>
      <c r="K547" s="77" t="s">
        <v>202</v>
      </c>
      <c r="AM547" s="89" t="s">
        <v>285</v>
      </c>
      <c r="AN547" s="89" t="s">
        <v>208</v>
      </c>
    </row>
    <row r="548" spans="10:40" x14ac:dyDescent="0.25">
      <c r="J548" s="77" t="s">
        <v>187</v>
      </c>
      <c r="K548" s="77" t="s">
        <v>200</v>
      </c>
      <c r="AM548" s="89" t="s">
        <v>285</v>
      </c>
      <c r="AN548" s="89" t="s">
        <v>425</v>
      </c>
    </row>
    <row r="549" spans="10:40" x14ac:dyDescent="0.25">
      <c r="J549" s="77" t="s">
        <v>187</v>
      </c>
      <c r="K549" s="77" t="s">
        <v>208</v>
      </c>
      <c r="AM549" s="89" t="s">
        <v>285</v>
      </c>
      <c r="AN549" s="89" t="s">
        <v>426</v>
      </c>
    </row>
    <row r="550" spans="10:40" ht="30" x14ac:dyDescent="0.25">
      <c r="J550" s="77" t="s">
        <v>187</v>
      </c>
      <c r="K550" s="77" t="s">
        <v>723</v>
      </c>
      <c r="AM550" s="89" t="s">
        <v>285</v>
      </c>
      <c r="AN550" s="89" t="s">
        <v>418</v>
      </c>
    </row>
    <row r="551" spans="10:40" ht="30" x14ac:dyDescent="0.25">
      <c r="J551" s="77"/>
      <c r="K551" s="77"/>
      <c r="AM551" s="89" t="s">
        <v>217</v>
      </c>
      <c r="AN551" s="89" t="s">
        <v>418</v>
      </c>
    </row>
    <row r="552" spans="10:40" x14ac:dyDescent="0.25">
      <c r="J552" s="77" t="s">
        <v>285</v>
      </c>
      <c r="K552" s="77" t="s">
        <v>200</v>
      </c>
      <c r="AM552" s="89" t="s">
        <v>217</v>
      </c>
      <c r="AN552" s="89" t="s">
        <v>688</v>
      </c>
    </row>
    <row r="553" spans="10:40" x14ac:dyDescent="0.25">
      <c r="J553" s="77" t="s">
        <v>285</v>
      </c>
      <c r="K553" s="77" t="s">
        <v>208</v>
      </c>
      <c r="AM553" s="89" t="s">
        <v>217</v>
      </c>
      <c r="AN553" s="89" t="s">
        <v>689</v>
      </c>
    </row>
    <row r="554" spans="10:40" x14ac:dyDescent="0.25">
      <c r="J554" s="77" t="s">
        <v>285</v>
      </c>
      <c r="K554" s="77" t="s">
        <v>425</v>
      </c>
      <c r="AM554" s="89" t="s">
        <v>217</v>
      </c>
      <c r="AN554" s="89" t="s">
        <v>690</v>
      </c>
    </row>
    <row r="555" spans="10:40" x14ac:dyDescent="0.25">
      <c r="J555" s="77" t="s">
        <v>285</v>
      </c>
      <c r="K555" s="77" t="s">
        <v>426</v>
      </c>
      <c r="AM555" s="89" t="s">
        <v>370</v>
      </c>
      <c r="AN555" s="89" t="s">
        <v>370</v>
      </c>
    </row>
    <row r="556" spans="10:40" ht="30" x14ac:dyDescent="0.25">
      <c r="J556" s="77"/>
      <c r="K556" s="77"/>
      <c r="AM556" s="89" t="s">
        <v>370</v>
      </c>
      <c r="AN556" s="89" t="s">
        <v>418</v>
      </c>
    </row>
    <row r="557" spans="10:40" x14ac:dyDescent="0.25">
      <c r="J557" s="77"/>
      <c r="K557" s="77"/>
      <c r="AM557" s="89" t="s">
        <v>388</v>
      </c>
      <c r="AN557" s="89" t="s">
        <v>755</v>
      </c>
    </row>
    <row r="558" spans="10:40" x14ac:dyDescent="0.25">
      <c r="J558" s="77" t="s">
        <v>217</v>
      </c>
      <c r="K558" s="77" t="s">
        <v>688</v>
      </c>
      <c r="AM558" s="89" t="s">
        <v>388</v>
      </c>
      <c r="AN558" s="89" t="s">
        <v>756</v>
      </c>
    </row>
    <row r="559" spans="10:40" x14ac:dyDescent="0.25">
      <c r="J559" s="77" t="s">
        <v>217</v>
      </c>
      <c r="K559" s="77" t="s">
        <v>689</v>
      </c>
      <c r="AM559" s="89" t="s">
        <v>388</v>
      </c>
      <c r="AN559" s="89" t="s">
        <v>757</v>
      </c>
    </row>
    <row r="560" spans="10:40" x14ac:dyDescent="0.25">
      <c r="J560" s="77" t="s">
        <v>217</v>
      </c>
      <c r="K560" s="77" t="s">
        <v>690</v>
      </c>
      <c r="AM560" s="89" t="s">
        <v>388</v>
      </c>
      <c r="AN560" s="89" t="s">
        <v>758</v>
      </c>
    </row>
    <row r="561" spans="10:40" ht="30" x14ac:dyDescent="0.25">
      <c r="J561" s="77" t="s">
        <v>370</v>
      </c>
      <c r="K561" s="77" t="s">
        <v>370</v>
      </c>
      <c r="AM561" s="89" t="s">
        <v>388</v>
      </c>
      <c r="AN561" s="89" t="s">
        <v>418</v>
      </c>
    </row>
    <row r="562" spans="10:40" x14ac:dyDescent="0.25">
      <c r="J562" s="77"/>
      <c r="K562" s="77"/>
      <c r="AM562" s="89" t="s">
        <v>334</v>
      </c>
      <c r="AN562" s="89" t="s">
        <v>334</v>
      </c>
    </row>
    <row r="563" spans="10:40" x14ac:dyDescent="0.25">
      <c r="J563" s="77" t="s">
        <v>388</v>
      </c>
      <c r="K563" s="77" t="s">
        <v>755</v>
      </c>
      <c r="AM563" s="89" t="s">
        <v>334</v>
      </c>
      <c r="AN563" s="89" t="s">
        <v>614</v>
      </c>
    </row>
    <row r="564" spans="10:40" ht="30" x14ac:dyDescent="0.25">
      <c r="J564" s="77" t="s">
        <v>388</v>
      </c>
      <c r="K564" s="77" t="s">
        <v>756</v>
      </c>
      <c r="AM564" s="89" t="s">
        <v>334</v>
      </c>
      <c r="AN564" s="89" t="s">
        <v>418</v>
      </c>
    </row>
    <row r="565" spans="10:40" x14ac:dyDescent="0.25">
      <c r="J565" s="77" t="s">
        <v>388</v>
      </c>
      <c r="K565" s="77" t="s">
        <v>757</v>
      </c>
      <c r="AM565" s="89" t="s">
        <v>305</v>
      </c>
      <c r="AN565" s="89" t="s">
        <v>634</v>
      </c>
    </row>
    <row r="566" spans="10:40" x14ac:dyDescent="0.25">
      <c r="J566" s="77" t="s">
        <v>388</v>
      </c>
      <c r="K566" s="77" t="s">
        <v>758</v>
      </c>
      <c r="AM566" s="89" t="s">
        <v>305</v>
      </c>
      <c r="AN566" s="89" t="s">
        <v>635</v>
      </c>
    </row>
    <row r="567" spans="10:40" ht="30" x14ac:dyDescent="0.25">
      <c r="J567" s="77"/>
      <c r="K567" s="77"/>
      <c r="AM567" s="89" t="s">
        <v>305</v>
      </c>
      <c r="AN567" s="89" t="s">
        <v>418</v>
      </c>
    </row>
    <row r="568" spans="10:40" x14ac:dyDescent="0.25">
      <c r="J568" s="77" t="s">
        <v>334</v>
      </c>
      <c r="K568" s="77" t="s">
        <v>334</v>
      </c>
      <c r="AM568" s="89" t="s">
        <v>204</v>
      </c>
      <c r="AN568" s="89" t="s">
        <v>439</v>
      </c>
    </row>
    <row r="569" spans="10:40" x14ac:dyDescent="0.25">
      <c r="J569" s="77" t="s">
        <v>334</v>
      </c>
      <c r="K569" s="77" t="s">
        <v>614</v>
      </c>
      <c r="AM569" s="89" t="s">
        <v>204</v>
      </c>
      <c r="AN569" s="89" t="s">
        <v>450</v>
      </c>
    </row>
    <row r="570" spans="10:40" x14ac:dyDescent="0.25">
      <c r="J570" s="77"/>
      <c r="K570" s="77"/>
      <c r="AM570" s="89" t="s">
        <v>204</v>
      </c>
      <c r="AN570" s="89" t="s">
        <v>453</v>
      </c>
    </row>
    <row r="571" spans="10:40" x14ac:dyDescent="0.25">
      <c r="J571" s="77" t="s">
        <v>305</v>
      </c>
      <c r="K571" s="77" t="s">
        <v>634</v>
      </c>
      <c r="AM571" s="89" t="s">
        <v>204</v>
      </c>
      <c r="AN571" s="89" t="s">
        <v>224</v>
      </c>
    </row>
    <row r="572" spans="10:40" x14ac:dyDescent="0.25">
      <c r="J572" s="77" t="s">
        <v>305</v>
      </c>
      <c r="K572" s="77" t="s">
        <v>635</v>
      </c>
      <c r="AM572" s="89" t="s">
        <v>204</v>
      </c>
      <c r="AN572" s="89" t="s">
        <v>510</v>
      </c>
    </row>
    <row r="573" spans="10:40" ht="30" x14ac:dyDescent="0.25">
      <c r="J573" s="77"/>
      <c r="K573" s="77"/>
      <c r="AM573" s="89" t="s">
        <v>204</v>
      </c>
      <c r="AN573" s="89" t="s">
        <v>418</v>
      </c>
    </row>
    <row r="574" spans="10:40" x14ac:dyDescent="0.25">
      <c r="J574" s="77" t="s">
        <v>204</v>
      </c>
      <c r="K574" s="77" t="s">
        <v>439</v>
      </c>
      <c r="AM574" s="89" t="s">
        <v>314</v>
      </c>
      <c r="AN574" s="89" t="s">
        <v>708</v>
      </c>
    </row>
    <row r="575" spans="10:40" x14ac:dyDescent="0.25">
      <c r="J575" s="77" t="s">
        <v>204</v>
      </c>
      <c r="K575" s="77" t="s">
        <v>450</v>
      </c>
      <c r="AM575" s="89" t="s">
        <v>314</v>
      </c>
      <c r="AN575" s="89" t="s">
        <v>314</v>
      </c>
    </row>
    <row r="576" spans="10:40" x14ac:dyDescent="0.25">
      <c r="J576" s="77" t="s">
        <v>204</v>
      </c>
      <c r="K576" s="77" t="s">
        <v>453</v>
      </c>
      <c r="AM576" s="89" t="s">
        <v>314</v>
      </c>
      <c r="AN576" s="89" t="s">
        <v>713</v>
      </c>
    </row>
    <row r="577" spans="10:40" x14ac:dyDescent="0.25">
      <c r="J577" s="77" t="s">
        <v>204</v>
      </c>
      <c r="K577" s="77" t="s">
        <v>224</v>
      </c>
      <c r="AM577" s="89" t="s">
        <v>314</v>
      </c>
      <c r="AN577" s="89" t="s">
        <v>236</v>
      </c>
    </row>
    <row r="578" spans="10:40" x14ac:dyDescent="0.25">
      <c r="J578" s="77" t="s">
        <v>204</v>
      </c>
      <c r="K578" s="77" t="s">
        <v>510</v>
      </c>
      <c r="AM578" s="89" t="s">
        <v>314</v>
      </c>
      <c r="AN578" s="89" t="s">
        <v>169</v>
      </c>
    </row>
    <row r="579" spans="10:40" x14ac:dyDescent="0.25">
      <c r="J579" s="77"/>
      <c r="K579" s="77"/>
      <c r="AM579" s="89" t="s">
        <v>314</v>
      </c>
      <c r="AN579" s="89" t="s">
        <v>729</v>
      </c>
    </row>
    <row r="580" spans="10:40" x14ac:dyDescent="0.25">
      <c r="J580" s="77" t="s">
        <v>314</v>
      </c>
      <c r="K580" s="77" t="s">
        <v>708</v>
      </c>
      <c r="AM580" s="89" t="s">
        <v>314</v>
      </c>
      <c r="AN580" s="89" t="s">
        <v>732</v>
      </c>
    </row>
    <row r="581" spans="10:40" ht="30" x14ac:dyDescent="0.25">
      <c r="J581" s="77" t="s">
        <v>314</v>
      </c>
      <c r="K581" s="77" t="s">
        <v>314</v>
      </c>
      <c r="AM581" s="89" t="s">
        <v>314</v>
      </c>
      <c r="AN581" s="89" t="s">
        <v>418</v>
      </c>
    </row>
    <row r="582" spans="10:40" x14ac:dyDescent="0.25">
      <c r="J582" s="77" t="s">
        <v>314</v>
      </c>
      <c r="K582" s="77" t="s">
        <v>713</v>
      </c>
      <c r="AM582" s="89" t="s">
        <v>313</v>
      </c>
      <c r="AN582" s="89" t="s">
        <v>707</v>
      </c>
    </row>
    <row r="583" spans="10:40" x14ac:dyDescent="0.25">
      <c r="J583" s="77" t="s">
        <v>314</v>
      </c>
      <c r="K583" s="77" t="s">
        <v>236</v>
      </c>
      <c r="AM583" s="89" t="s">
        <v>313</v>
      </c>
      <c r="AN583" s="89" t="s">
        <v>730</v>
      </c>
    </row>
    <row r="584" spans="10:40" x14ac:dyDescent="0.25">
      <c r="J584" s="77" t="s">
        <v>314</v>
      </c>
      <c r="K584" s="77" t="s">
        <v>169</v>
      </c>
      <c r="AM584" s="89" t="s">
        <v>313</v>
      </c>
      <c r="AN584" s="89" t="s">
        <v>313</v>
      </c>
    </row>
    <row r="585" spans="10:40" ht="30" x14ac:dyDescent="0.25">
      <c r="J585" s="77" t="s">
        <v>314</v>
      </c>
      <c r="K585" s="77" t="s">
        <v>729</v>
      </c>
      <c r="AM585" s="89" t="s">
        <v>320</v>
      </c>
      <c r="AN585" s="89" t="s">
        <v>418</v>
      </c>
    </row>
    <row r="586" spans="10:40" x14ac:dyDescent="0.25">
      <c r="J586" s="77" t="s">
        <v>314</v>
      </c>
      <c r="K586" s="77" t="s">
        <v>732</v>
      </c>
      <c r="AM586" s="89" t="s">
        <v>173</v>
      </c>
      <c r="AN586" s="89" t="s">
        <v>589</v>
      </c>
    </row>
    <row r="587" spans="10:40" x14ac:dyDescent="0.25">
      <c r="J587" s="77"/>
      <c r="K587" s="77"/>
      <c r="AM587" s="89" t="s">
        <v>173</v>
      </c>
      <c r="AN587" s="89" t="s">
        <v>592</v>
      </c>
    </row>
    <row r="588" spans="10:40" x14ac:dyDescent="0.25">
      <c r="J588" s="77" t="s">
        <v>313</v>
      </c>
      <c r="K588" s="77" t="s">
        <v>707</v>
      </c>
      <c r="AM588" s="89" t="s">
        <v>173</v>
      </c>
      <c r="AN588" s="89" t="s">
        <v>593</v>
      </c>
    </row>
    <row r="589" spans="10:40" ht="30" x14ac:dyDescent="0.25">
      <c r="J589" s="77" t="s">
        <v>320</v>
      </c>
      <c r="K589" s="77" t="s">
        <v>719</v>
      </c>
      <c r="AM589" s="89" t="s">
        <v>173</v>
      </c>
      <c r="AN589" s="89" t="s">
        <v>597</v>
      </c>
    </row>
    <row r="590" spans="10:40" x14ac:dyDescent="0.25">
      <c r="J590" s="77" t="s">
        <v>313</v>
      </c>
      <c r="K590" s="77" t="s">
        <v>730</v>
      </c>
      <c r="AM590" s="89" t="s">
        <v>173</v>
      </c>
      <c r="AN590" s="89" t="s">
        <v>173</v>
      </c>
    </row>
    <row r="591" spans="10:40" x14ac:dyDescent="0.25">
      <c r="J591" s="77" t="s">
        <v>313</v>
      </c>
      <c r="K591" s="77" t="s">
        <v>313</v>
      </c>
      <c r="AM591" s="89" t="s">
        <v>173</v>
      </c>
      <c r="AN591" s="89" t="s">
        <v>617</v>
      </c>
    </row>
    <row r="592" spans="10:40" x14ac:dyDescent="0.25">
      <c r="J592" s="77"/>
      <c r="K592" s="77"/>
      <c r="AM592" s="89" t="s">
        <v>173</v>
      </c>
      <c r="AN592" s="89" t="s">
        <v>618</v>
      </c>
    </row>
    <row r="593" spans="10:40" x14ac:dyDescent="0.25">
      <c r="J593" s="77" t="s">
        <v>173</v>
      </c>
      <c r="K593" s="77" t="s">
        <v>589</v>
      </c>
      <c r="AM593" s="89" t="s">
        <v>173</v>
      </c>
      <c r="AN593" s="89" t="s">
        <v>619</v>
      </c>
    </row>
    <row r="594" spans="10:40" x14ac:dyDescent="0.25">
      <c r="J594" s="77" t="s">
        <v>173</v>
      </c>
      <c r="K594" s="77" t="s">
        <v>592</v>
      </c>
      <c r="AM594" s="89" t="s">
        <v>173</v>
      </c>
      <c r="AN594" s="89" t="s">
        <v>620</v>
      </c>
    </row>
    <row r="595" spans="10:40" ht="30" x14ac:dyDescent="0.25">
      <c r="J595" s="77" t="s">
        <v>173</v>
      </c>
      <c r="K595" s="77" t="s">
        <v>593</v>
      </c>
      <c r="AM595" s="89" t="s">
        <v>173</v>
      </c>
      <c r="AN595" s="89" t="s">
        <v>418</v>
      </c>
    </row>
    <row r="596" spans="10:40" x14ac:dyDescent="0.25">
      <c r="J596" s="77" t="s">
        <v>173</v>
      </c>
      <c r="K596" s="77" t="s">
        <v>597</v>
      </c>
      <c r="AM596" s="89" t="s">
        <v>299</v>
      </c>
      <c r="AN596" s="89" t="s">
        <v>625</v>
      </c>
    </row>
    <row r="597" spans="10:40" x14ac:dyDescent="0.25">
      <c r="J597" s="77" t="s">
        <v>173</v>
      </c>
      <c r="K597" s="77" t="s">
        <v>173</v>
      </c>
      <c r="AM597" s="89" t="s">
        <v>299</v>
      </c>
      <c r="AN597" s="89" t="s">
        <v>652</v>
      </c>
    </row>
    <row r="598" spans="10:40" x14ac:dyDescent="0.25">
      <c r="J598" s="77" t="s">
        <v>173</v>
      </c>
      <c r="K598" s="77" t="s">
        <v>617</v>
      </c>
      <c r="AM598" s="89" t="s">
        <v>299</v>
      </c>
      <c r="AN598" s="89" t="s">
        <v>656</v>
      </c>
    </row>
    <row r="599" spans="10:40" x14ac:dyDescent="0.25">
      <c r="J599" s="77" t="s">
        <v>173</v>
      </c>
      <c r="K599" s="77" t="s">
        <v>618</v>
      </c>
      <c r="AM599" s="89" t="s">
        <v>299</v>
      </c>
      <c r="AN599" s="89" t="s">
        <v>663</v>
      </c>
    </row>
    <row r="600" spans="10:40" x14ac:dyDescent="0.25">
      <c r="J600" s="77" t="s">
        <v>173</v>
      </c>
      <c r="K600" s="77" t="s">
        <v>619</v>
      </c>
      <c r="AM600" s="89" t="s">
        <v>299</v>
      </c>
      <c r="AN600" s="89" t="s">
        <v>664</v>
      </c>
    </row>
    <row r="601" spans="10:40" ht="30" x14ac:dyDescent="0.25">
      <c r="J601" s="77" t="s">
        <v>173</v>
      </c>
      <c r="K601" s="77" t="s">
        <v>620</v>
      </c>
      <c r="AM601" s="89" t="s">
        <v>299</v>
      </c>
      <c r="AN601" s="89" t="s">
        <v>418</v>
      </c>
    </row>
    <row r="602" spans="10:40" x14ac:dyDescent="0.25">
      <c r="J602" s="77"/>
      <c r="K602" s="77"/>
      <c r="AM602" s="89" t="s">
        <v>373</v>
      </c>
      <c r="AN602" s="89" t="s">
        <v>818</v>
      </c>
    </row>
    <row r="603" spans="10:40" x14ac:dyDescent="0.25">
      <c r="J603" s="77" t="s">
        <v>299</v>
      </c>
      <c r="K603" s="77" t="s">
        <v>625</v>
      </c>
      <c r="AM603" s="89" t="s">
        <v>373</v>
      </c>
      <c r="AN603" s="89" t="s">
        <v>819</v>
      </c>
    </row>
    <row r="604" spans="10:40" x14ac:dyDescent="0.25">
      <c r="J604" s="77" t="s">
        <v>299</v>
      </c>
      <c r="K604" s="77" t="s">
        <v>652</v>
      </c>
      <c r="AM604" s="89" t="s">
        <v>373</v>
      </c>
      <c r="AN604" s="89" t="s">
        <v>820</v>
      </c>
    </row>
    <row r="605" spans="10:40" x14ac:dyDescent="0.25">
      <c r="J605" s="77" t="s">
        <v>299</v>
      </c>
      <c r="K605" s="77" t="s">
        <v>656</v>
      </c>
      <c r="AM605" s="89" t="s">
        <v>373</v>
      </c>
      <c r="AN605" s="89" t="s">
        <v>821</v>
      </c>
    </row>
    <row r="606" spans="10:40" x14ac:dyDescent="0.25">
      <c r="J606" s="77" t="s">
        <v>299</v>
      </c>
      <c r="K606" s="77" t="s">
        <v>663</v>
      </c>
      <c r="AM606" s="89" t="s">
        <v>373</v>
      </c>
      <c r="AN606" s="89" t="s">
        <v>822</v>
      </c>
    </row>
    <row r="607" spans="10:40" ht="30" x14ac:dyDescent="0.25">
      <c r="J607" s="77" t="s">
        <v>299</v>
      </c>
      <c r="K607" s="77" t="s">
        <v>664</v>
      </c>
      <c r="AM607" s="89" t="s">
        <v>373</v>
      </c>
      <c r="AN607" s="89" t="s">
        <v>418</v>
      </c>
    </row>
    <row r="608" spans="10:40" x14ac:dyDescent="0.25">
      <c r="J608" s="77"/>
      <c r="K608" s="77"/>
      <c r="AM608" s="89" t="s">
        <v>304</v>
      </c>
      <c r="AN608" s="89" t="s">
        <v>633</v>
      </c>
    </row>
    <row r="609" spans="10:40" x14ac:dyDescent="0.25">
      <c r="J609" s="77" t="s">
        <v>373</v>
      </c>
      <c r="K609" s="77" t="s">
        <v>818</v>
      </c>
      <c r="AM609" s="89" t="s">
        <v>304</v>
      </c>
      <c r="AN609" s="89" t="s">
        <v>647</v>
      </c>
    </row>
    <row r="610" spans="10:40" x14ac:dyDescent="0.25">
      <c r="J610" s="77" t="s">
        <v>373</v>
      </c>
      <c r="K610" s="77" t="s">
        <v>819</v>
      </c>
      <c r="AM610" s="89" t="s">
        <v>304</v>
      </c>
      <c r="AN610" s="89" t="s">
        <v>654</v>
      </c>
    </row>
    <row r="611" spans="10:40" ht="30" x14ac:dyDescent="0.25">
      <c r="J611" s="77" t="s">
        <v>373</v>
      </c>
      <c r="K611" s="77" t="s">
        <v>190</v>
      </c>
      <c r="AM611" s="89" t="s">
        <v>304</v>
      </c>
      <c r="AN611" s="89" t="s">
        <v>418</v>
      </c>
    </row>
    <row r="612" spans="10:40" x14ac:dyDescent="0.25">
      <c r="J612" s="77" t="s">
        <v>373</v>
      </c>
      <c r="K612" s="77" t="s">
        <v>820</v>
      </c>
      <c r="AM612" s="89" t="s">
        <v>360</v>
      </c>
      <c r="AN612" s="89" t="s">
        <v>979</v>
      </c>
    </row>
    <row r="613" spans="10:40" x14ac:dyDescent="0.25">
      <c r="J613" s="77" t="s">
        <v>373</v>
      </c>
      <c r="K613" s="77" t="s">
        <v>821</v>
      </c>
      <c r="AM613" s="89" t="s">
        <v>360</v>
      </c>
      <c r="AN613" s="89" t="s">
        <v>980</v>
      </c>
    </row>
    <row r="614" spans="10:40" x14ac:dyDescent="0.25">
      <c r="J614" s="77" t="s">
        <v>373</v>
      </c>
      <c r="K614" s="77" t="s">
        <v>822</v>
      </c>
      <c r="AM614" s="89" t="s">
        <v>360</v>
      </c>
      <c r="AN614" s="89" t="s">
        <v>984</v>
      </c>
    </row>
    <row r="615" spans="10:40" x14ac:dyDescent="0.25">
      <c r="J615" s="77"/>
      <c r="K615" s="77"/>
      <c r="AM615" s="89" t="s">
        <v>360</v>
      </c>
      <c r="AN615" s="89" t="s">
        <v>988</v>
      </c>
    </row>
    <row r="616" spans="10:40" x14ac:dyDescent="0.25">
      <c r="J616" s="77" t="s">
        <v>304</v>
      </c>
      <c r="K616" s="77" t="s">
        <v>633</v>
      </c>
      <c r="AM616" s="89" t="s">
        <v>360</v>
      </c>
      <c r="AN616" s="89" t="s">
        <v>1009</v>
      </c>
    </row>
    <row r="617" spans="10:40" ht="30" x14ac:dyDescent="0.25">
      <c r="J617" s="77" t="s">
        <v>304</v>
      </c>
      <c r="K617" s="77" t="s">
        <v>647</v>
      </c>
      <c r="AM617" s="89" t="s">
        <v>360</v>
      </c>
      <c r="AN617" s="89" t="s">
        <v>418</v>
      </c>
    </row>
    <row r="618" spans="10:40" ht="30" x14ac:dyDescent="0.25">
      <c r="J618" s="77" t="s">
        <v>304</v>
      </c>
      <c r="K618" s="77" t="s">
        <v>654</v>
      </c>
      <c r="AM618" s="89" t="s">
        <v>363</v>
      </c>
      <c r="AN618" s="89" t="s">
        <v>983</v>
      </c>
    </row>
    <row r="619" spans="10:40" ht="30" x14ac:dyDescent="0.25">
      <c r="J619" s="77"/>
      <c r="K619" s="77"/>
      <c r="AM619" s="89" t="s">
        <v>363</v>
      </c>
      <c r="AN619" s="89" t="s">
        <v>985</v>
      </c>
    </row>
    <row r="620" spans="10:40" ht="30" x14ac:dyDescent="0.25">
      <c r="J620" s="77" t="s">
        <v>360</v>
      </c>
      <c r="K620" s="77" t="s">
        <v>979</v>
      </c>
      <c r="AM620" s="89" t="s">
        <v>363</v>
      </c>
      <c r="AN620" s="89" t="s">
        <v>240</v>
      </c>
    </row>
    <row r="621" spans="10:40" ht="30" x14ac:dyDescent="0.25">
      <c r="J621" s="77" t="s">
        <v>360</v>
      </c>
      <c r="K621" s="77" t="s">
        <v>980</v>
      </c>
      <c r="AM621" s="89" t="s">
        <v>363</v>
      </c>
      <c r="AN621" s="89" t="s">
        <v>1015</v>
      </c>
    </row>
    <row r="622" spans="10:40" ht="30" x14ac:dyDescent="0.25">
      <c r="J622" s="77" t="s">
        <v>360</v>
      </c>
      <c r="K622" s="77" t="s">
        <v>984</v>
      </c>
      <c r="AM622" s="89" t="s">
        <v>363</v>
      </c>
      <c r="AN622" s="89" t="s">
        <v>418</v>
      </c>
    </row>
    <row r="623" spans="10:40" x14ac:dyDescent="0.25">
      <c r="J623" s="77" t="s">
        <v>360</v>
      </c>
      <c r="K623" s="77" t="s">
        <v>988</v>
      </c>
      <c r="AM623" s="89" t="s">
        <v>357</v>
      </c>
      <c r="AN623" s="89" t="s">
        <v>972</v>
      </c>
    </row>
    <row r="624" spans="10:40" x14ac:dyDescent="0.25">
      <c r="J624" s="77" t="s">
        <v>360</v>
      </c>
      <c r="K624" s="77" t="s">
        <v>1009</v>
      </c>
      <c r="AM624" s="89" t="s">
        <v>357</v>
      </c>
      <c r="AN624" s="89" t="s">
        <v>977</v>
      </c>
    </row>
    <row r="625" spans="10:40" x14ac:dyDescent="0.25">
      <c r="J625" s="77"/>
      <c r="K625" s="77"/>
      <c r="AM625" s="89" t="s">
        <v>357</v>
      </c>
      <c r="AN625" s="89" t="s">
        <v>986</v>
      </c>
    </row>
    <row r="626" spans="10:40" ht="30" x14ac:dyDescent="0.25">
      <c r="J626" s="77" t="s">
        <v>363</v>
      </c>
      <c r="K626" s="77" t="s">
        <v>983</v>
      </c>
      <c r="AM626" s="89" t="s">
        <v>357</v>
      </c>
      <c r="AN626" s="89" t="s">
        <v>418</v>
      </c>
    </row>
    <row r="627" spans="10:40" ht="30" x14ac:dyDescent="0.25">
      <c r="J627" s="77" t="s">
        <v>363</v>
      </c>
      <c r="K627" s="77" t="s">
        <v>985</v>
      </c>
      <c r="AM627" s="89" t="s">
        <v>345</v>
      </c>
      <c r="AN627" s="89" t="s">
        <v>805</v>
      </c>
    </row>
    <row r="628" spans="10:40" ht="30" x14ac:dyDescent="0.25">
      <c r="J628" s="77" t="s">
        <v>363</v>
      </c>
      <c r="K628" s="77" t="s">
        <v>240</v>
      </c>
      <c r="AM628" s="89" t="s">
        <v>345</v>
      </c>
      <c r="AN628" s="89" t="s">
        <v>807</v>
      </c>
    </row>
    <row r="629" spans="10:40" ht="30" x14ac:dyDescent="0.25">
      <c r="J629" s="77" t="s">
        <v>363</v>
      </c>
      <c r="K629" s="77" t="s">
        <v>1015</v>
      </c>
      <c r="AM629" s="89" t="s">
        <v>345</v>
      </c>
      <c r="AN629" s="89" t="s">
        <v>811</v>
      </c>
    </row>
    <row r="630" spans="10:40" x14ac:dyDescent="0.25">
      <c r="J630" s="77"/>
      <c r="K630" s="77"/>
      <c r="AM630" s="89" t="s">
        <v>345</v>
      </c>
      <c r="AN630" s="89" t="s">
        <v>812</v>
      </c>
    </row>
    <row r="631" spans="10:40" x14ac:dyDescent="0.25">
      <c r="J631" s="77" t="s">
        <v>357</v>
      </c>
      <c r="K631" s="77" t="s">
        <v>972</v>
      </c>
      <c r="AM631" s="89" t="s">
        <v>345</v>
      </c>
      <c r="AN631" s="89" t="s">
        <v>814</v>
      </c>
    </row>
    <row r="632" spans="10:40" ht="30" x14ac:dyDescent="0.25">
      <c r="J632" s="77" t="s">
        <v>357</v>
      </c>
      <c r="K632" s="77" t="s">
        <v>977</v>
      </c>
      <c r="AM632" s="89" t="s">
        <v>345</v>
      </c>
      <c r="AN632" s="89" t="s">
        <v>418</v>
      </c>
    </row>
    <row r="633" spans="10:40" x14ac:dyDescent="0.25">
      <c r="J633" s="77" t="s">
        <v>357</v>
      </c>
      <c r="K633" s="77" t="s">
        <v>986</v>
      </c>
      <c r="AM633" s="89" t="s">
        <v>365</v>
      </c>
      <c r="AN633" s="89" t="s">
        <v>991</v>
      </c>
    </row>
    <row r="634" spans="10:40" x14ac:dyDescent="0.25">
      <c r="J634" s="77"/>
      <c r="K634" s="77"/>
      <c r="AM634" s="89" t="s">
        <v>365</v>
      </c>
      <c r="AN634" s="89" t="s">
        <v>1003</v>
      </c>
    </row>
    <row r="635" spans="10:40" ht="30" x14ac:dyDescent="0.25">
      <c r="J635" s="77" t="s">
        <v>345</v>
      </c>
      <c r="K635" s="77" t="s">
        <v>805</v>
      </c>
      <c r="AM635" s="89" t="s">
        <v>365</v>
      </c>
      <c r="AN635" s="89" t="s">
        <v>418</v>
      </c>
    </row>
    <row r="636" spans="10:40" x14ac:dyDescent="0.25">
      <c r="J636" s="77" t="s">
        <v>345</v>
      </c>
      <c r="K636" s="77" t="s">
        <v>807</v>
      </c>
      <c r="AM636" s="89" t="s">
        <v>286</v>
      </c>
      <c r="AN636" s="89" t="s">
        <v>1092</v>
      </c>
    </row>
    <row r="637" spans="10:40" x14ac:dyDescent="0.25">
      <c r="J637" s="77" t="s">
        <v>345</v>
      </c>
      <c r="K637" s="77" t="s">
        <v>811</v>
      </c>
      <c r="AM637" s="89" t="s">
        <v>286</v>
      </c>
      <c r="AN637" s="89" t="s">
        <v>286</v>
      </c>
    </row>
    <row r="638" spans="10:40" x14ac:dyDescent="0.25">
      <c r="J638" s="77" t="s">
        <v>345</v>
      </c>
      <c r="K638" s="77" t="s">
        <v>812</v>
      </c>
      <c r="AM638" s="89" t="s">
        <v>286</v>
      </c>
      <c r="AN638" s="89" t="s">
        <v>1099</v>
      </c>
    </row>
    <row r="639" spans="10:40" x14ac:dyDescent="0.25">
      <c r="J639" s="77" t="s">
        <v>345</v>
      </c>
      <c r="K639" s="77" t="s">
        <v>814</v>
      </c>
      <c r="AM639" s="89" t="s">
        <v>286</v>
      </c>
      <c r="AN639" s="89" t="s">
        <v>1108</v>
      </c>
    </row>
    <row r="640" spans="10:40" ht="30" x14ac:dyDescent="0.25">
      <c r="J640" s="77"/>
      <c r="K640" s="77"/>
      <c r="AM640" s="89" t="s">
        <v>286</v>
      </c>
      <c r="AN640" s="89" t="s">
        <v>418</v>
      </c>
    </row>
    <row r="641" spans="10:40" ht="30" x14ac:dyDescent="0.25">
      <c r="J641" s="77" t="s">
        <v>365</v>
      </c>
      <c r="K641" s="77" t="s">
        <v>991</v>
      </c>
      <c r="AM641" s="89" t="s">
        <v>366</v>
      </c>
      <c r="AN641" s="89" t="s">
        <v>992</v>
      </c>
    </row>
    <row r="642" spans="10:40" x14ac:dyDescent="0.25">
      <c r="J642" s="77" t="s">
        <v>365</v>
      </c>
      <c r="K642" s="77" t="s">
        <v>1003</v>
      </c>
      <c r="AM642" s="89" t="s">
        <v>366</v>
      </c>
      <c r="AN642" s="89" t="s">
        <v>993</v>
      </c>
    </row>
    <row r="643" spans="10:40" x14ac:dyDescent="0.25">
      <c r="J643" s="77"/>
      <c r="K643" s="77"/>
      <c r="AM643" s="89" t="s">
        <v>366</v>
      </c>
      <c r="AN643" s="89" t="s">
        <v>1000</v>
      </c>
    </row>
    <row r="644" spans="10:40" ht="30" x14ac:dyDescent="0.25">
      <c r="J644" s="77" t="s">
        <v>286</v>
      </c>
      <c r="K644" s="77" t="s">
        <v>1092</v>
      </c>
      <c r="AM644" s="89" t="s">
        <v>366</v>
      </c>
      <c r="AN644" s="89" t="s">
        <v>418</v>
      </c>
    </row>
    <row r="645" spans="10:40" x14ac:dyDescent="0.25">
      <c r="J645" s="77" t="s">
        <v>286</v>
      </c>
      <c r="K645" s="77" t="s">
        <v>286</v>
      </c>
      <c r="AM645" s="89" t="s">
        <v>327</v>
      </c>
      <c r="AN645" s="89" t="s">
        <v>1025</v>
      </c>
    </row>
    <row r="646" spans="10:40" x14ac:dyDescent="0.25">
      <c r="J646" s="77" t="s">
        <v>286</v>
      </c>
      <c r="K646" s="77" t="s">
        <v>1099</v>
      </c>
      <c r="AM646" s="89" t="s">
        <v>327</v>
      </c>
      <c r="AN646" s="89" t="s">
        <v>1026</v>
      </c>
    </row>
    <row r="647" spans="10:40" ht="30" x14ac:dyDescent="0.25">
      <c r="J647" s="77" t="s">
        <v>286</v>
      </c>
      <c r="K647" s="77" t="s">
        <v>1108</v>
      </c>
      <c r="AM647" s="89" t="s">
        <v>327</v>
      </c>
      <c r="AN647" s="89" t="s">
        <v>418</v>
      </c>
    </row>
    <row r="648" spans="10:40" x14ac:dyDescent="0.25">
      <c r="J648" s="77"/>
      <c r="K648" s="77"/>
      <c r="AM648" s="89" t="s">
        <v>391</v>
      </c>
      <c r="AN648" s="89" t="s">
        <v>765</v>
      </c>
    </row>
    <row r="649" spans="10:40" ht="30" x14ac:dyDescent="0.25">
      <c r="J649" s="77" t="s">
        <v>366</v>
      </c>
      <c r="K649" s="77" t="s">
        <v>992</v>
      </c>
      <c r="AM649" s="89" t="s">
        <v>391</v>
      </c>
      <c r="AN649" s="89" t="s">
        <v>766</v>
      </c>
    </row>
    <row r="650" spans="10:40" x14ac:dyDescent="0.25">
      <c r="J650" s="77" t="s">
        <v>366</v>
      </c>
      <c r="K650" s="77" t="s">
        <v>993</v>
      </c>
      <c r="AM650" s="89" t="s">
        <v>391</v>
      </c>
      <c r="AN650" s="89" t="s">
        <v>767</v>
      </c>
    </row>
    <row r="651" spans="10:40" x14ac:dyDescent="0.25">
      <c r="J651" s="77" t="s">
        <v>366</v>
      </c>
      <c r="K651" s="77" t="s">
        <v>1000</v>
      </c>
      <c r="AM651" s="89" t="s">
        <v>391</v>
      </c>
      <c r="AN651" s="89" t="s">
        <v>768</v>
      </c>
    </row>
    <row r="652" spans="10:40" ht="30" x14ac:dyDescent="0.25">
      <c r="J652" s="77"/>
      <c r="K652" s="77"/>
      <c r="AM652" s="89" t="s">
        <v>391</v>
      </c>
      <c r="AN652" s="89" t="s">
        <v>418</v>
      </c>
    </row>
    <row r="653" spans="10:40" x14ac:dyDescent="0.25">
      <c r="J653" s="77" t="s">
        <v>327</v>
      </c>
      <c r="K653" s="77" t="s">
        <v>1025</v>
      </c>
      <c r="AM653" s="89" t="s">
        <v>205</v>
      </c>
      <c r="AN653" s="89" t="s">
        <v>510</v>
      </c>
    </row>
    <row r="654" spans="10:40" x14ac:dyDescent="0.25">
      <c r="J654" s="77" t="s">
        <v>327</v>
      </c>
      <c r="K654" s="77" t="s">
        <v>1026</v>
      </c>
      <c r="AM654" s="89" t="s">
        <v>205</v>
      </c>
      <c r="AN654" s="89" t="s">
        <v>449</v>
      </c>
    </row>
    <row r="655" spans="10:40" x14ac:dyDescent="0.25">
      <c r="J655" s="77"/>
      <c r="K655" s="77"/>
      <c r="AM655" s="89" t="s">
        <v>205</v>
      </c>
      <c r="AN655" s="89" t="s">
        <v>459</v>
      </c>
    </row>
    <row r="656" spans="10:40" x14ac:dyDescent="0.25">
      <c r="J656" s="77" t="s">
        <v>391</v>
      </c>
      <c r="K656" s="77" t="s">
        <v>765</v>
      </c>
      <c r="AM656" s="89" t="s">
        <v>205</v>
      </c>
      <c r="AN656" s="89" t="s">
        <v>515</v>
      </c>
    </row>
    <row r="657" spans="10:40" ht="30" x14ac:dyDescent="0.25">
      <c r="J657" s="77" t="s">
        <v>391</v>
      </c>
      <c r="K657" s="77" t="s">
        <v>766</v>
      </c>
      <c r="AM657" s="89" t="s">
        <v>205</v>
      </c>
      <c r="AN657" s="89" t="s">
        <v>418</v>
      </c>
    </row>
    <row r="658" spans="10:40" x14ac:dyDescent="0.25">
      <c r="J658" s="77" t="s">
        <v>391</v>
      </c>
      <c r="K658" s="77" t="s">
        <v>767</v>
      </c>
      <c r="AM658" s="89" t="s">
        <v>329</v>
      </c>
      <c r="AN658" s="89" t="s">
        <v>588</v>
      </c>
    </row>
    <row r="659" spans="10:40" x14ac:dyDescent="0.25">
      <c r="J659" s="77" t="s">
        <v>391</v>
      </c>
      <c r="K659" s="77" t="s">
        <v>768</v>
      </c>
      <c r="AM659" s="89" t="s">
        <v>329</v>
      </c>
      <c r="AN659" s="89" t="s">
        <v>600</v>
      </c>
    </row>
    <row r="660" spans="10:40" x14ac:dyDescent="0.25">
      <c r="J660" s="77"/>
      <c r="K660" s="77"/>
      <c r="AM660" s="89" t="s">
        <v>329</v>
      </c>
      <c r="AN660" s="89" t="s">
        <v>607</v>
      </c>
    </row>
    <row r="661" spans="10:40" x14ac:dyDescent="0.25">
      <c r="J661" s="77" t="s">
        <v>205</v>
      </c>
      <c r="K661" s="77" t="s">
        <v>510</v>
      </c>
      <c r="AM661" s="89" t="s">
        <v>329</v>
      </c>
      <c r="AN661" s="89" t="s">
        <v>608</v>
      </c>
    </row>
    <row r="662" spans="10:40" x14ac:dyDescent="0.25">
      <c r="J662" s="77" t="s">
        <v>205</v>
      </c>
      <c r="K662" s="77" t="s">
        <v>449</v>
      </c>
      <c r="AM662" s="89" t="s">
        <v>329</v>
      </c>
      <c r="AN662" s="89" t="s">
        <v>616</v>
      </c>
    </row>
    <row r="663" spans="10:40" ht="30" x14ac:dyDescent="0.25">
      <c r="J663" s="77" t="s">
        <v>205</v>
      </c>
      <c r="K663" s="77" t="s">
        <v>459</v>
      </c>
      <c r="AM663" s="89" t="s">
        <v>329</v>
      </c>
      <c r="AN663" s="89" t="s">
        <v>418</v>
      </c>
    </row>
    <row r="664" spans="10:40" x14ac:dyDescent="0.25">
      <c r="J664" s="77" t="s">
        <v>205</v>
      </c>
      <c r="K664" s="77" t="s">
        <v>515</v>
      </c>
      <c r="AM664" s="89" t="s">
        <v>382</v>
      </c>
      <c r="AN664" s="89" t="s">
        <v>621</v>
      </c>
    </row>
    <row r="665" spans="10:40" x14ac:dyDescent="0.25">
      <c r="J665" s="77"/>
      <c r="K665" s="77"/>
      <c r="AM665" s="89" t="s">
        <v>382</v>
      </c>
      <c r="AN665" s="89" t="s">
        <v>510</v>
      </c>
    </row>
    <row r="666" spans="10:40" x14ac:dyDescent="0.25">
      <c r="J666" s="77" t="s">
        <v>329</v>
      </c>
      <c r="K666" s="77" t="s">
        <v>588</v>
      </c>
      <c r="AM666" s="89" t="s">
        <v>382</v>
      </c>
      <c r="AN666" s="89" t="s">
        <v>378</v>
      </c>
    </row>
    <row r="667" spans="10:40" x14ac:dyDescent="0.25">
      <c r="J667" s="77" t="s">
        <v>329</v>
      </c>
      <c r="K667" s="77" t="s">
        <v>600</v>
      </c>
      <c r="AM667" s="89" t="s">
        <v>382</v>
      </c>
      <c r="AN667" s="89" t="s">
        <v>622</v>
      </c>
    </row>
    <row r="668" spans="10:40" ht="30" x14ac:dyDescent="0.25">
      <c r="J668" s="77" t="s">
        <v>329</v>
      </c>
      <c r="K668" s="77" t="s">
        <v>607</v>
      </c>
      <c r="AM668" s="89" t="s">
        <v>382</v>
      </c>
      <c r="AN668" s="89" t="s">
        <v>418</v>
      </c>
    </row>
    <row r="669" spans="10:40" ht="30" x14ac:dyDescent="0.25">
      <c r="J669" s="77" t="s">
        <v>329</v>
      </c>
      <c r="K669" s="77" t="s">
        <v>608</v>
      </c>
      <c r="AM669" s="89" t="s">
        <v>417</v>
      </c>
      <c r="AN669" s="89" t="s">
        <v>955</v>
      </c>
    </row>
    <row r="670" spans="10:40" ht="30" x14ac:dyDescent="0.25">
      <c r="J670" s="77" t="s">
        <v>329</v>
      </c>
      <c r="K670" s="77" t="s">
        <v>616</v>
      </c>
      <c r="AM670" s="89" t="s">
        <v>417</v>
      </c>
      <c r="AN670" s="89" t="s">
        <v>955</v>
      </c>
    </row>
    <row r="671" spans="10:40" x14ac:dyDescent="0.25">
      <c r="J671" s="77"/>
      <c r="K671" s="77"/>
      <c r="AM671" s="89" t="s">
        <v>417</v>
      </c>
      <c r="AN671" s="89" t="s">
        <v>956</v>
      </c>
    </row>
    <row r="672" spans="10:40" x14ac:dyDescent="0.25">
      <c r="J672" s="77" t="s">
        <v>382</v>
      </c>
      <c r="K672" s="77" t="s">
        <v>621</v>
      </c>
      <c r="AM672" s="89" t="s">
        <v>326</v>
      </c>
      <c r="AN672" s="89" t="s">
        <v>1024</v>
      </c>
    </row>
    <row r="673" spans="10:40" x14ac:dyDescent="0.25">
      <c r="J673" s="77" t="s">
        <v>382</v>
      </c>
      <c r="K673" s="77" t="s">
        <v>510</v>
      </c>
      <c r="AM673" s="89" t="s">
        <v>326</v>
      </c>
      <c r="AN673" s="89" t="s">
        <v>326</v>
      </c>
    </row>
    <row r="674" spans="10:40" ht="30" x14ac:dyDescent="0.25">
      <c r="J674" s="77" t="s">
        <v>382</v>
      </c>
      <c r="K674" s="77" t="s">
        <v>378</v>
      </c>
      <c r="AM674" s="89" t="s">
        <v>326</v>
      </c>
      <c r="AN674" s="89" t="s">
        <v>418</v>
      </c>
    </row>
    <row r="675" spans="10:40" ht="30" x14ac:dyDescent="0.25">
      <c r="J675" s="77" t="s">
        <v>382</v>
      </c>
      <c r="K675" s="77" t="s">
        <v>622</v>
      </c>
      <c r="AM675" s="89" t="s">
        <v>175</v>
      </c>
      <c r="AN675" s="89" t="s">
        <v>418</v>
      </c>
    </row>
    <row r="676" spans="10:40" ht="30" x14ac:dyDescent="0.25">
      <c r="J676" s="77"/>
      <c r="K676" s="77"/>
      <c r="AM676" s="89" t="s">
        <v>339</v>
      </c>
      <c r="AN676" s="89" t="s">
        <v>783</v>
      </c>
    </row>
    <row r="677" spans="10:40" ht="30" x14ac:dyDescent="0.25">
      <c r="J677" s="77" t="s">
        <v>417</v>
      </c>
      <c r="K677" s="77" t="s">
        <v>955</v>
      </c>
      <c r="AM677" s="89" t="s">
        <v>339</v>
      </c>
      <c r="AN677" s="89" t="s">
        <v>784</v>
      </c>
    </row>
    <row r="678" spans="10:40" ht="30" x14ac:dyDescent="0.25">
      <c r="J678" s="77" t="s">
        <v>417</v>
      </c>
      <c r="K678" s="77" t="s">
        <v>956</v>
      </c>
      <c r="AM678" s="89" t="s">
        <v>339</v>
      </c>
      <c r="AN678" s="89" t="s">
        <v>791</v>
      </c>
    </row>
    <row r="679" spans="10:40" ht="30" x14ac:dyDescent="0.25">
      <c r="J679" s="77" t="s">
        <v>326</v>
      </c>
      <c r="K679" s="77" t="s">
        <v>1024</v>
      </c>
      <c r="AM679" s="89" t="s">
        <v>339</v>
      </c>
      <c r="AN679" s="89" t="s">
        <v>793</v>
      </c>
    </row>
    <row r="680" spans="10:40" ht="30" x14ac:dyDescent="0.25">
      <c r="J680" s="77" t="s">
        <v>326</v>
      </c>
      <c r="K680" s="77" t="s">
        <v>326</v>
      </c>
      <c r="AM680" s="89" t="s">
        <v>339</v>
      </c>
      <c r="AN680" s="89" t="s">
        <v>797</v>
      </c>
    </row>
    <row r="681" spans="10:40" ht="30" x14ac:dyDescent="0.25">
      <c r="J681" s="77"/>
      <c r="K681" s="77"/>
      <c r="AM681" s="89" t="s">
        <v>339</v>
      </c>
      <c r="AN681" s="89" t="s">
        <v>418</v>
      </c>
    </row>
    <row r="682" spans="10:40" ht="30" x14ac:dyDescent="0.25">
      <c r="J682" s="77" t="s">
        <v>175</v>
      </c>
      <c r="K682" s="77" t="s">
        <v>175</v>
      </c>
      <c r="AM682" s="89" t="s">
        <v>340</v>
      </c>
      <c r="AN682" s="89" t="s">
        <v>785</v>
      </c>
    </row>
    <row r="683" spans="10:40" ht="30" x14ac:dyDescent="0.25">
      <c r="J683" s="77"/>
      <c r="K683" s="77"/>
      <c r="AM683" s="89" t="s">
        <v>340</v>
      </c>
      <c r="AN683" s="89" t="s">
        <v>788</v>
      </c>
    </row>
    <row r="684" spans="10:40" ht="30" x14ac:dyDescent="0.25">
      <c r="J684" s="77" t="s">
        <v>339</v>
      </c>
      <c r="K684" s="77" t="s">
        <v>783</v>
      </c>
      <c r="AM684" s="89" t="s">
        <v>340</v>
      </c>
      <c r="AN684" s="89" t="s">
        <v>792</v>
      </c>
    </row>
    <row r="685" spans="10:40" ht="30" x14ac:dyDescent="0.25">
      <c r="J685" s="77" t="s">
        <v>339</v>
      </c>
      <c r="K685" s="77" t="s">
        <v>784</v>
      </c>
      <c r="AM685" s="89" t="s">
        <v>340</v>
      </c>
      <c r="AN685" s="89" t="s">
        <v>418</v>
      </c>
    </row>
    <row r="686" spans="10:40" ht="30" x14ac:dyDescent="0.25">
      <c r="J686" s="77" t="s">
        <v>339</v>
      </c>
      <c r="K686" s="77" t="s">
        <v>791</v>
      </c>
      <c r="AM686" s="89" t="s">
        <v>338</v>
      </c>
      <c r="AN686" s="89" t="s">
        <v>782</v>
      </c>
    </row>
    <row r="687" spans="10:40" ht="30" x14ac:dyDescent="0.25">
      <c r="J687" s="77" t="s">
        <v>339</v>
      </c>
      <c r="K687" s="77" t="s">
        <v>793</v>
      </c>
      <c r="AM687" s="89" t="s">
        <v>338</v>
      </c>
      <c r="AN687" s="89" t="s">
        <v>786</v>
      </c>
    </row>
    <row r="688" spans="10:40" ht="30" x14ac:dyDescent="0.25">
      <c r="J688" s="77" t="s">
        <v>339</v>
      </c>
      <c r="K688" s="77" t="s">
        <v>797</v>
      </c>
      <c r="AM688" s="89" t="s">
        <v>338</v>
      </c>
      <c r="AN688" s="89" t="s">
        <v>794</v>
      </c>
    </row>
    <row r="689" spans="10:40" ht="30" x14ac:dyDescent="0.25">
      <c r="J689" s="77"/>
      <c r="K689" s="77"/>
      <c r="AM689" s="89" t="s">
        <v>338</v>
      </c>
      <c r="AN689" s="89" t="s">
        <v>802</v>
      </c>
    </row>
    <row r="690" spans="10:40" ht="30" x14ac:dyDescent="0.25">
      <c r="J690" s="77" t="s">
        <v>340</v>
      </c>
      <c r="K690" s="77" t="s">
        <v>785</v>
      </c>
      <c r="AM690" s="89" t="s">
        <v>338</v>
      </c>
      <c r="AN690" s="89" t="s">
        <v>418</v>
      </c>
    </row>
    <row r="691" spans="10:40" ht="30" x14ac:dyDescent="0.25">
      <c r="J691" s="77" t="s">
        <v>340</v>
      </c>
      <c r="K691" s="77" t="s">
        <v>788</v>
      </c>
      <c r="AM691" s="89" t="s">
        <v>342</v>
      </c>
      <c r="AN691" s="89" t="s">
        <v>789</v>
      </c>
    </row>
    <row r="692" spans="10:40" ht="30" x14ac:dyDescent="0.25">
      <c r="J692" s="77" t="s">
        <v>340</v>
      </c>
      <c r="K692" s="77" t="s">
        <v>792</v>
      </c>
      <c r="AM692" s="89" t="s">
        <v>342</v>
      </c>
      <c r="AN692" s="89" t="s">
        <v>796</v>
      </c>
    </row>
    <row r="693" spans="10:40" ht="30" x14ac:dyDescent="0.25">
      <c r="J693" s="77"/>
      <c r="K693" s="77"/>
      <c r="AM693" s="89" t="s">
        <v>342</v>
      </c>
      <c r="AN693" s="89" t="s">
        <v>800</v>
      </c>
    </row>
    <row r="694" spans="10:40" ht="30" x14ac:dyDescent="0.25">
      <c r="J694" s="77" t="s">
        <v>338</v>
      </c>
      <c r="K694" s="77" t="s">
        <v>782</v>
      </c>
      <c r="AM694" s="89" t="s">
        <v>342</v>
      </c>
      <c r="AN694" s="89" t="s">
        <v>801</v>
      </c>
    </row>
    <row r="695" spans="10:40" ht="30" x14ac:dyDescent="0.25">
      <c r="J695" s="77" t="s">
        <v>338</v>
      </c>
      <c r="K695" s="77" t="s">
        <v>786</v>
      </c>
      <c r="AM695" s="89" t="s">
        <v>342</v>
      </c>
      <c r="AN695" s="89" t="s">
        <v>418</v>
      </c>
    </row>
    <row r="696" spans="10:40" ht="30" x14ac:dyDescent="0.25">
      <c r="J696" s="77" t="s">
        <v>338</v>
      </c>
      <c r="K696" s="77" t="s">
        <v>794</v>
      </c>
      <c r="AM696" s="89" t="s">
        <v>341</v>
      </c>
      <c r="AN696" s="89" t="s">
        <v>787</v>
      </c>
    </row>
    <row r="697" spans="10:40" ht="30" x14ac:dyDescent="0.25">
      <c r="J697" s="77" t="s">
        <v>338</v>
      </c>
      <c r="K697" s="77" t="s">
        <v>802</v>
      </c>
      <c r="AM697" s="89" t="s">
        <v>341</v>
      </c>
      <c r="AN697" s="89" t="s">
        <v>798</v>
      </c>
    </row>
    <row r="698" spans="10:40" ht="30" x14ac:dyDescent="0.25">
      <c r="J698" s="77"/>
      <c r="K698" s="77"/>
      <c r="AM698" s="89" t="s">
        <v>341</v>
      </c>
      <c r="AN698" s="89" t="s">
        <v>418</v>
      </c>
    </row>
    <row r="699" spans="10:40" ht="30" x14ac:dyDescent="0.25">
      <c r="J699" s="77" t="s">
        <v>342</v>
      </c>
      <c r="K699" s="77" t="s">
        <v>789</v>
      </c>
      <c r="AM699" s="89" t="s">
        <v>343</v>
      </c>
      <c r="AN699" s="89" t="s">
        <v>790</v>
      </c>
    </row>
    <row r="700" spans="10:40" ht="30" x14ac:dyDescent="0.25">
      <c r="J700" s="77" t="s">
        <v>342</v>
      </c>
      <c r="K700" s="77" t="s">
        <v>796</v>
      </c>
      <c r="AM700" s="89" t="s">
        <v>343</v>
      </c>
      <c r="AN700" s="89" t="s">
        <v>795</v>
      </c>
    </row>
    <row r="701" spans="10:40" ht="30" x14ac:dyDescent="0.25">
      <c r="J701" s="77" t="s">
        <v>342</v>
      </c>
      <c r="K701" s="77" t="s">
        <v>800</v>
      </c>
      <c r="AM701" s="89" t="s">
        <v>343</v>
      </c>
      <c r="AN701" s="89" t="s">
        <v>799</v>
      </c>
    </row>
    <row r="702" spans="10:40" ht="30" x14ac:dyDescent="0.25">
      <c r="J702" s="77" t="s">
        <v>342</v>
      </c>
      <c r="K702" s="77" t="s">
        <v>801</v>
      </c>
      <c r="AM702" s="89" t="s">
        <v>343</v>
      </c>
      <c r="AN702" s="89" t="s">
        <v>418</v>
      </c>
    </row>
    <row r="703" spans="10:40" x14ac:dyDescent="0.25">
      <c r="J703" s="77"/>
      <c r="K703" s="77"/>
      <c r="AM703" s="89" t="s">
        <v>328</v>
      </c>
      <c r="AN703" s="89" t="s">
        <v>328</v>
      </c>
    </row>
    <row r="704" spans="10:40" ht="30" x14ac:dyDescent="0.25">
      <c r="J704" s="77" t="s">
        <v>341</v>
      </c>
      <c r="K704" s="77" t="s">
        <v>787</v>
      </c>
      <c r="AM704" s="89" t="s">
        <v>328</v>
      </c>
      <c r="AN704" s="89" t="s">
        <v>418</v>
      </c>
    </row>
    <row r="705" spans="10:40" ht="30" x14ac:dyDescent="0.25">
      <c r="J705" s="77" t="s">
        <v>341</v>
      </c>
      <c r="K705" s="77" t="s">
        <v>798</v>
      </c>
      <c r="AM705" s="89" t="s">
        <v>353</v>
      </c>
      <c r="AN705" s="89" t="s">
        <v>832</v>
      </c>
    </row>
    <row r="706" spans="10:40" x14ac:dyDescent="0.25">
      <c r="J706" s="77"/>
      <c r="K706" s="77"/>
      <c r="AM706" s="89" t="s">
        <v>353</v>
      </c>
      <c r="AN706" s="89" t="s">
        <v>848</v>
      </c>
    </row>
    <row r="707" spans="10:40" ht="30" x14ac:dyDescent="0.25">
      <c r="J707" s="77" t="s">
        <v>343</v>
      </c>
      <c r="K707" s="77" t="s">
        <v>790</v>
      </c>
      <c r="AM707" s="89" t="s">
        <v>353</v>
      </c>
      <c r="AN707" s="89" t="s">
        <v>857</v>
      </c>
    </row>
    <row r="708" spans="10:40" ht="30" x14ac:dyDescent="0.25">
      <c r="J708" s="77" t="s">
        <v>343</v>
      </c>
      <c r="K708" s="77" t="s">
        <v>795</v>
      </c>
      <c r="AM708" s="89" t="s">
        <v>353</v>
      </c>
      <c r="AN708" s="89" t="s">
        <v>863</v>
      </c>
    </row>
    <row r="709" spans="10:40" ht="30" x14ac:dyDescent="0.25">
      <c r="J709" s="77" t="s">
        <v>343</v>
      </c>
      <c r="K709" s="77" t="s">
        <v>799</v>
      </c>
      <c r="AM709" s="89" t="s">
        <v>353</v>
      </c>
      <c r="AN709" s="89" t="s">
        <v>889</v>
      </c>
    </row>
    <row r="710" spans="10:40" x14ac:dyDescent="0.25">
      <c r="J710" s="77"/>
      <c r="K710" s="77"/>
      <c r="AM710" s="89" t="s">
        <v>353</v>
      </c>
      <c r="AN710" s="89" t="s">
        <v>906</v>
      </c>
    </row>
    <row r="711" spans="10:40" x14ac:dyDescent="0.25">
      <c r="J711" s="77" t="s">
        <v>328</v>
      </c>
      <c r="K711" s="77" t="s">
        <v>328</v>
      </c>
      <c r="AM711" s="89" t="s">
        <v>353</v>
      </c>
      <c r="AN711" s="89" t="s">
        <v>353</v>
      </c>
    </row>
    <row r="712" spans="10:40" ht="30" x14ac:dyDescent="0.25">
      <c r="J712" s="77"/>
      <c r="K712" s="77"/>
      <c r="AM712" s="89" t="s">
        <v>353</v>
      </c>
      <c r="AN712" s="89" t="s">
        <v>418</v>
      </c>
    </row>
    <row r="713" spans="10:40" x14ac:dyDescent="0.25">
      <c r="J713" s="77" t="s">
        <v>353</v>
      </c>
      <c r="K713" s="77" t="s">
        <v>832</v>
      </c>
      <c r="AM713" s="89" t="s">
        <v>297</v>
      </c>
      <c r="AN713" s="89" t="s">
        <v>623</v>
      </c>
    </row>
    <row r="714" spans="10:40" x14ac:dyDescent="0.25">
      <c r="J714" s="77" t="s">
        <v>353</v>
      </c>
      <c r="K714" s="77" t="s">
        <v>848</v>
      </c>
      <c r="AM714" s="89" t="s">
        <v>297</v>
      </c>
      <c r="AN714" s="89" t="s">
        <v>651</v>
      </c>
    </row>
    <row r="715" spans="10:40" x14ac:dyDescent="0.25">
      <c r="J715" s="77" t="s">
        <v>353</v>
      </c>
      <c r="K715" s="77" t="s">
        <v>857</v>
      </c>
      <c r="AM715" s="89" t="s">
        <v>297</v>
      </c>
      <c r="AN715" s="89" t="s">
        <v>174</v>
      </c>
    </row>
    <row r="716" spans="10:40" x14ac:dyDescent="0.25">
      <c r="J716" s="77" t="s">
        <v>353</v>
      </c>
      <c r="K716" s="77" t="s">
        <v>863</v>
      </c>
      <c r="AM716" s="89" t="s">
        <v>297</v>
      </c>
      <c r="AN716" s="89" t="s">
        <v>659</v>
      </c>
    </row>
    <row r="717" spans="10:40" ht="30" x14ac:dyDescent="0.25">
      <c r="J717" s="77" t="s">
        <v>353</v>
      </c>
      <c r="K717" s="77" t="s">
        <v>889</v>
      </c>
      <c r="AM717" s="89" t="s">
        <v>297</v>
      </c>
      <c r="AN717" s="89" t="s">
        <v>667</v>
      </c>
    </row>
    <row r="718" spans="10:40" ht="30" x14ac:dyDescent="0.25">
      <c r="J718" s="77" t="s">
        <v>353</v>
      </c>
      <c r="K718" s="77" t="s">
        <v>906</v>
      </c>
      <c r="AM718" s="89" t="s">
        <v>297</v>
      </c>
      <c r="AN718" s="89" t="s">
        <v>418</v>
      </c>
    </row>
    <row r="719" spans="10:40" x14ac:dyDescent="0.25">
      <c r="J719" s="77" t="s">
        <v>353</v>
      </c>
      <c r="K719" s="77" t="s">
        <v>353</v>
      </c>
      <c r="AM719" s="89" t="s">
        <v>318</v>
      </c>
      <c r="AN719" s="89" t="s">
        <v>716</v>
      </c>
    </row>
    <row r="720" spans="10:40" x14ac:dyDescent="0.25">
      <c r="J720" s="77" t="s">
        <v>353</v>
      </c>
      <c r="K720" s="77" t="s">
        <v>1473</v>
      </c>
      <c r="AM720" s="89" t="s">
        <v>318</v>
      </c>
      <c r="AN720" s="89" t="s">
        <v>318</v>
      </c>
    </row>
    <row r="721" spans="10:40" ht="30" x14ac:dyDescent="0.25">
      <c r="J721" s="77" t="s">
        <v>297</v>
      </c>
      <c r="K721" s="77" t="s">
        <v>623</v>
      </c>
      <c r="AM721" s="89" t="s">
        <v>318</v>
      </c>
      <c r="AN721" s="89" t="s">
        <v>418</v>
      </c>
    </row>
    <row r="722" spans="10:40" x14ac:dyDescent="0.25">
      <c r="J722" s="77" t="s">
        <v>297</v>
      </c>
      <c r="K722" s="77" t="s">
        <v>651</v>
      </c>
      <c r="AM722" s="89" t="s">
        <v>355</v>
      </c>
      <c r="AN722" s="89" t="s">
        <v>837</v>
      </c>
    </row>
    <row r="723" spans="10:40" x14ac:dyDescent="0.25">
      <c r="J723" s="77" t="s">
        <v>297</v>
      </c>
      <c r="K723" s="77" t="s">
        <v>174</v>
      </c>
      <c r="AM723" s="89" t="s">
        <v>355</v>
      </c>
      <c r="AN723" s="89" t="s">
        <v>860</v>
      </c>
    </row>
    <row r="724" spans="10:40" x14ac:dyDescent="0.25">
      <c r="J724" s="77" t="s">
        <v>297</v>
      </c>
      <c r="K724" s="77" t="s">
        <v>659</v>
      </c>
      <c r="AM724" s="89" t="s">
        <v>355</v>
      </c>
      <c r="AN724" s="89" t="s">
        <v>862</v>
      </c>
    </row>
    <row r="725" spans="10:40" x14ac:dyDescent="0.25">
      <c r="J725" s="77" t="s">
        <v>297</v>
      </c>
      <c r="K725" s="77" t="s">
        <v>667</v>
      </c>
      <c r="AM725" s="89" t="s">
        <v>355</v>
      </c>
      <c r="AN725" s="89" t="s">
        <v>866</v>
      </c>
    </row>
    <row r="726" spans="10:40" x14ac:dyDescent="0.25">
      <c r="J726" s="77"/>
      <c r="K726" s="77"/>
      <c r="AM726" s="89" t="s">
        <v>355</v>
      </c>
      <c r="AN726" s="89" t="s">
        <v>877</v>
      </c>
    </row>
    <row r="727" spans="10:40" x14ac:dyDescent="0.25">
      <c r="J727" s="77" t="s">
        <v>318</v>
      </c>
      <c r="K727" s="77" t="s">
        <v>716</v>
      </c>
      <c r="AM727" s="89" t="s">
        <v>355</v>
      </c>
      <c r="AN727" s="89" t="s">
        <v>882</v>
      </c>
    </row>
    <row r="728" spans="10:40" x14ac:dyDescent="0.25">
      <c r="J728" s="77" t="s">
        <v>318</v>
      </c>
      <c r="K728" s="77" t="s">
        <v>318</v>
      </c>
      <c r="AM728" s="89" t="s">
        <v>355</v>
      </c>
      <c r="AN728" s="89" t="s">
        <v>886</v>
      </c>
    </row>
    <row r="729" spans="10:40" ht="30" x14ac:dyDescent="0.25">
      <c r="J729" s="77"/>
      <c r="K729" s="77"/>
      <c r="AM729" s="89" t="s">
        <v>355</v>
      </c>
      <c r="AN729" s="89" t="s">
        <v>890</v>
      </c>
    </row>
    <row r="730" spans="10:40" ht="30" x14ac:dyDescent="0.25">
      <c r="J730" s="77" t="s">
        <v>355</v>
      </c>
      <c r="K730" s="77" t="s">
        <v>837</v>
      </c>
      <c r="AM730" s="89" t="s">
        <v>355</v>
      </c>
      <c r="AN730" s="89" t="s">
        <v>893</v>
      </c>
    </row>
    <row r="731" spans="10:40" x14ac:dyDescent="0.25">
      <c r="J731" s="77" t="s">
        <v>355</v>
      </c>
      <c r="K731" s="77" t="s">
        <v>860</v>
      </c>
      <c r="AM731" s="89" t="s">
        <v>355</v>
      </c>
      <c r="AN731" s="89" t="s">
        <v>896</v>
      </c>
    </row>
    <row r="732" spans="10:40" x14ac:dyDescent="0.25">
      <c r="J732" s="77" t="s">
        <v>355</v>
      </c>
      <c r="K732" s="77" t="s">
        <v>862</v>
      </c>
      <c r="AM732" s="89" t="s">
        <v>355</v>
      </c>
      <c r="AN732" s="89" t="s">
        <v>355</v>
      </c>
    </row>
    <row r="733" spans="10:40" x14ac:dyDescent="0.25">
      <c r="J733" s="77" t="s">
        <v>355</v>
      </c>
      <c r="K733" s="77" t="s">
        <v>866</v>
      </c>
      <c r="AM733" s="89" t="s">
        <v>355</v>
      </c>
      <c r="AN733" s="89" t="s">
        <v>908</v>
      </c>
    </row>
    <row r="734" spans="10:40" x14ac:dyDescent="0.25">
      <c r="J734" s="77" t="s">
        <v>355</v>
      </c>
      <c r="K734" s="77" t="s">
        <v>877</v>
      </c>
      <c r="AM734" s="89" t="s">
        <v>355</v>
      </c>
      <c r="AN734" s="89" t="s">
        <v>920</v>
      </c>
    </row>
    <row r="735" spans="10:40" x14ac:dyDescent="0.25">
      <c r="J735" s="77" t="s">
        <v>355</v>
      </c>
      <c r="K735" s="77" t="s">
        <v>882</v>
      </c>
      <c r="AM735" s="89" t="s">
        <v>355</v>
      </c>
      <c r="AN735" s="89" t="s">
        <v>929</v>
      </c>
    </row>
    <row r="736" spans="10:40" x14ac:dyDescent="0.25">
      <c r="J736" s="77" t="s">
        <v>355</v>
      </c>
      <c r="K736" s="77" t="s">
        <v>886</v>
      </c>
      <c r="AM736" s="89" t="s">
        <v>355</v>
      </c>
      <c r="AN736" s="89" t="s">
        <v>942</v>
      </c>
    </row>
    <row r="737" spans="10:40" ht="30" x14ac:dyDescent="0.25">
      <c r="J737" s="77" t="s">
        <v>355</v>
      </c>
      <c r="K737" s="77" t="s">
        <v>890</v>
      </c>
      <c r="AM737" s="89" t="s">
        <v>355</v>
      </c>
      <c r="AN737" s="89" t="s">
        <v>944</v>
      </c>
    </row>
    <row r="738" spans="10:40" ht="30" x14ac:dyDescent="0.25">
      <c r="J738" s="77" t="s">
        <v>355</v>
      </c>
      <c r="K738" s="77" t="s">
        <v>893</v>
      </c>
      <c r="AM738" s="89" t="s">
        <v>355</v>
      </c>
      <c r="AN738" s="89" t="s">
        <v>418</v>
      </c>
    </row>
    <row r="739" spans="10:40" x14ac:dyDescent="0.25">
      <c r="J739" s="77" t="s">
        <v>355</v>
      </c>
      <c r="K739" s="77" t="s">
        <v>896</v>
      </c>
      <c r="AM739" s="89" t="s">
        <v>323</v>
      </c>
      <c r="AN739" s="89" t="s">
        <v>1018</v>
      </c>
    </row>
    <row r="740" spans="10:40" x14ac:dyDescent="0.25">
      <c r="J740" s="77" t="s">
        <v>355</v>
      </c>
      <c r="K740" s="77" t="s">
        <v>355</v>
      </c>
      <c r="AM740" s="89" t="s">
        <v>323</v>
      </c>
      <c r="AN740" s="89" t="s">
        <v>1019</v>
      </c>
    </row>
    <row r="741" spans="10:40" x14ac:dyDescent="0.25">
      <c r="J741" s="77" t="s">
        <v>355</v>
      </c>
      <c r="K741" s="77" t="s">
        <v>908</v>
      </c>
      <c r="AM741" s="89" t="s">
        <v>323</v>
      </c>
      <c r="AN741" s="89" t="s">
        <v>1034</v>
      </c>
    </row>
    <row r="742" spans="10:40" x14ac:dyDescent="0.25">
      <c r="J742" s="77" t="s">
        <v>355</v>
      </c>
      <c r="K742" s="77" t="s">
        <v>920</v>
      </c>
      <c r="AM742" s="89" t="s">
        <v>323</v>
      </c>
      <c r="AN742" s="89" t="s">
        <v>1038</v>
      </c>
    </row>
    <row r="743" spans="10:40" x14ac:dyDescent="0.25">
      <c r="J743" s="77" t="s">
        <v>355</v>
      </c>
      <c r="K743" s="77" t="s">
        <v>929</v>
      </c>
      <c r="AM743" s="89" t="s">
        <v>323</v>
      </c>
      <c r="AN743" s="89" t="s">
        <v>1039</v>
      </c>
    </row>
    <row r="744" spans="10:40" x14ac:dyDescent="0.25">
      <c r="J744" s="77" t="s">
        <v>355</v>
      </c>
      <c r="K744" s="77" t="s">
        <v>942</v>
      </c>
      <c r="AM744" s="89" t="s">
        <v>362</v>
      </c>
      <c r="AN744" s="89" t="s">
        <v>982</v>
      </c>
    </row>
    <row r="745" spans="10:40" x14ac:dyDescent="0.25">
      <c r="J745" s="77" t="s">
        <v>355</v>
      </c>
      <c r="K745" s="77" t="s">
        <v>944</v>
      </c>
      <c r="AM745" s="89" t="s">
        <v>362</v>
      </c>
      <c r="AN745" s="89" t="s">
        <v>987</v>
      </c>
    </row>
    <row r="746" spans="10:40" x14ac:dyDescent="0.25">
      <c r="J746" s="77"/>
      <c r="K746" s="77"/>
      <c r="AM746" s="89" t="s">
        <v>362</v>
      </c>
      <c r="AN746" s="89" t="s">
        <v>995</v>
      </c>
    </row>
    <row r="747" spans="10:40" x14ac:dyDescent="0.25">
      <c r="J747" s="77" t="s">
        <v>323</v>
      </c>
      <c r="K747" s="77" t="s">
        <v>1018</v>
      </c>
      <c r="AM747" s="89" t="s">
        <v>362</v>
      </c>
      <c r="AN747" s="89" t="s">
        <v>1008</v>
      </c>
    </row>
    <row r="748" spans="10:40" x14ac:dyDescent="0.25">
      <c r="J748" s="77" t="s">
        <v>323</v>
      </c>
      <c r="K748" s="77" t="s">
        <v>1019</v>
      </c>
      <c r="AM748" s="89" t="s">
        <v>362</v>
      </c>
      <c r="AN748" s="89" t="s">
        <v>1012</v>
      </c>
    </row>
    <row r="749" spans="10:40" ht="30" x14ac:dyDescent="0.25">
      <c r="J749" s="77" t="s">
        <v>323</v>
      </c>
      <c r="K749" s="77" t="s">
        <v>1034</v>
      </c>
      <c r="AM749" s="89" t="s">
        <v>362</v>
      </c>
      <c r="AN749" s="89" t="s">
        <v>418</v>
      </c>
    </row>
    <row r="750" spans="10:40" x14ac:dyDescent="0.25">
      <c r="J750" s="77" t="s">
        <v>323</v>
      </c>
      <c r="K750" s="77" t="s">
        <v>1038</v>
      </c>
      <c r="AM750" s="89" t="s">
        <v>359</v>
      </c>
      <c r="AN750" s="89" t="s">
        <v>975</v>
      </c>
    </row>
    <row r="751" spans="10:40" x14ac:dyDescent="0.25">
      <c r="J751" s="77" t="s">
        <v>323</v>
      </c>
      <c r="K751" s="77" t="s">
        <v>1039</v>
      </c>
      <c r="AM751" s="89" t="s">
        <v>359</v>
      </c>
      <c r="AN751" s="89" t="s">
        <v>1472</v>
      </c>
    </row>
    <row r="752" spans="10:40" x14ac:dyDescent="0.25">
      <c r="J752" s="77" t="s">
        <v>362</v>
      </c>
      <c r="K752" s="77" t="s">
        <v>982</v>
      </c>
      <c r="AM752" s="89" t="s">
        <v>359</v>
      </c>
      <c r="AN752" s="89" t="s">
        <v>1005</v>
      </c>
    </row>
    <row r="753" spans="10:40" ht="30" x14ac:dyDescent="0.25">
      <c r="J753" s="77" t="s">
        <v>362</v>
      </c>
      <c r="K753" s="77" t="s">
        <v>987</v>
      </c>
      <c r="AM753" s="89" t="s">
        <v>359</v>
      </c>
      <c r="AN753" s="89" t="s">
        <v>418</v>
      </c>
    </row>
    <row r="754" spans="10:40" ht="30" x14ac:dyDescent="0.25">
      <c r="J754" s="77" t="s">
        <v>362</v>
      </c>
      <c r="K754" s="77" t="s">
        <v>995</v>
      </c>
      <c r="AM754" s="89" t="s">
        <v>405</v>
      </c>
      <c r="AN754" s="89" t="s">
        <v>418</v>
      </c>
    </row>
    <row r="755" spans="10:40" x14ac:dyDescent="0.25">
      <c r="J755" s="77" t="s">
        <v>362</v>
      </c>
      <c r="K755" s="77" t="s">
        <v>1008</v>
      </c>
      <c r="AM755" s="89" t="s">
        <v>405</v>
      </c>
      <c r="AN755" s="89" t="s">
        <v>1057</v>
      </c>
    </row>
    <row r="756" spans="10:40" x14ac:dyDescent="0.25">
      <c r="J756" s="77" t="s">
        <v>362</v>
      </c>
      <c r="K756" s="77" t="s">
        <v>1012</v>
      </c>
      <c r="AM756" s="89" t="s">
        <v>405</v>
      </c>
      <c r="AN756" s="89" t="s">
        <v>1062</v>
      </c>
    </row>
    <row r="757" spans="10:40" x14ac:dyDescent="0.25">
      <c r="J757" s="77"/>
      <c r="K757" s="77"/>
      <c r="AM757" s="89" t="s">
        <v>405</v>
      </c>
      <c r="AN757" s="89" t="s">
        <v>1074</v>
      </c>
    </row>
    <row r="758" spans="10:40" x14ac:dyDescent="0.25">
      <c r="J758" s="77" t="s">
        <v>359</v>
      </c>
      <c r="K758" s="77" t="s">
        <v>975</v>
      </c>
      <c r="AM758" s="89" t="s">
        <v>405</v>
      </c>
      <c r="AN758" s="89" t="s">
        <v>1078</v>
      </c>
    </row>
    <row r="759" spans="10:40" ht="30" x14ac:dyDescent="0.25">
      <c r="J759" s="77" t="s">
        <v>359</v>
      </c>
      <c r="K759" s="77" t="s">
        <v>1472</v>
      </c>
      <c r="AM759" s="89" t="s">
        <v>405</v>
      </c>
      <c r="AN759" s="89" t="s">
        <v>1086</v>
      </c>
    </row>
    <row r="760" spans="10:40" x14ac:dyDescent="0.25">
      <c r="J760" s="77" t="s">
        <v>359</v>
      </c>
      <c r="K760" s="77" t="s">
        <v>1005</v>
      </c>
      <c r="AM760" s="89" t="s">
        <v>361</v>
      </c>
      <c r="AN760" s="89" t="s">
        <v>981</v>
      </c>
    </row>
    <row r="761" spans="10:40" x14ac:dyDescent="0.25">
      <c r="J761" s="77"/>
      <c r="K761" s="77"/>
      <c r="AM761" s="89" t="s">
        <v>361</v>
      </c>
      <c r="AN761" s="89" t="s">
        <v>996</v>
      </c>
    </row>
    <row r="762" spans="10:40" x14ac:dyDescent="0.25">
      <c r="J762" s="77"/>
      <c r="K762" s="77"/>
      <c r="AM762" s="89" t="s">
        <v>361</v>
      </c>
      <c r="AN762" s="89" t="s">
        <v>997</v>
      </c>
    </row>
    <row r="763" spans="10:40" ht="30" x14ac:dyDescent="0.25">
      <c r="J763" s="77" t="s">
        <v>405</v>
      </c>
      <c r="K763" s="77" t="s">
        <v>1057</v>
      </c>
      <c r="AM763" s="89" t="s">
        <v>361</v>
      </c>
      <c r="AN763" s="89" t="s">
        <v>418</v>
      </c>
    </row>
    <row r="764" spans="10:40" x14ac:dyDescent="0.25">
      <c r="J764" s="77" t="s">
        <v>405</v>
      </c>
      <c r="K764" s="77" t="s">
        <v>1062</v>
      </c>
      <c r="AM764" s="89" t="s">
        <v>364</v>
      </c>
      <c r="AN764" s="89" t="s">
        <v>989</v>
      </c>
    </row>
    <row r="765" spans="10:40" x14ac:dyDescent="0.25">
      <c r="J765" s="77" t="s">
        <v>405</v>
      </c>
      <c r="K765" s="77" t="s">
        <v>1074</v>
      </c>
      <c r="AM765" s="89" t="s">
        <v>364</v>
      </c>
      <c r="AN765" s="89" t="s">
        <v>990</v>
      </c>
    </row>
    <row r="766" spans="10:40" x14ac:dyDescent="0.25">
      <c r="J766" s="77" t="s">
        <v>405</v>
      </c>
      <c r="K766" s="77" t="s">
        <v>1078</v>
      </c>
      <c r="AM766" s="89" t="s">
        <v>364</v>
      </c>
      <c r="AN766" s="89" t="s">
        <v>998</v>
      </c>
    </row>
    <row r="767" spans="10:40" ht="30" x14ac:dyDescent="0.25">
      <c r="J767" s="77" t="s">
        <v>405</v>
      </c>
      <c r="K767" s="77" t="s">
        <v>1086</v>
      </c>
      <c r="AM767" s="89" t="s">
        <v>364</v>
      </c>
      <c r="AN767" s="89" t="s">
        <v>418</v>
      </c>
    </row>
    <row r="768" spans="10:40" x14ac:dyDescent="0.25">
      <c r="J768" s="77" t="s">
        <v>361</v>
      </c>
      <c r="K768" s="77" t="s">
        <v>981</v>
      </c>
      <c r="AM768" s="89" t="s">
        <v>303</v>
      </c>
      <c r="AN768" s="89" t="s">
        <v>632</v>
      </c>
    </row>
    <row r="769" spans="10:40" x14ac:dyDescent="0.25">
      <c r="J769" s="77" t="s">
        <v>361</v>
      </c>
      <c r="K769" s="77" t="s">
        <v>996</v>
      </c>
      <c r="AM769" s="89" t="s">
        <v>303</v>
      </c>
      <c r="AN769" s="89" t="s">
        <v>660</v>
      </c>
    </row>
    <row r="770" spans="10:40" x14ac:dyDescent="0.25">
      <c r="J770" s="77" t="s">
        <v>361</v>
      </c>
      <c r="K770" s="77" t="s">
        <v>997</v>
      </c>
      <c r="AM770" s="89" t="s">
        <v>303</v>
      </c>
      <c r="AN770" s="89" t="s">
        <v>661</v>
      </c>
    </row>
    <row r="771" spans="10:40" x14ac:dyDescent="0.25">
      <c r="J771" s="77"/>
      <c r="K771" s="77"/>
      <c r="AM771" s="89" t="s">
        <v>303</v>
      </c>
      <c r="AN771" s="89" t="s">
        <v>238</v>
      </c>
    </row>
    <row r="772" spans="10:40" ht="30" x14ac:dyDescent="0.25">
      <c r="J772" s="77" t="s">
        <v>364</v>
      </c>
      <c r="K772" s="77" t="s">
        <v>989</v>
      </c>
      <c r="AM772" s="89" t="s">
        <v>303</v>
      </c>
      <c r="AN772" s="89" t="s">
        <v>418</v>
      </c>
    </row>
    <row r="773" spans="10:40" ht="30" x14ac:dyDescent="0.25">
      <c r="J773" s="77" t="s">
        <v>364</v>
      </c>
      <c r="K773" s="77" t="s">
        <v>990</v>
      </c>
      <c r="AM773" s="89" t="s">
        <v>218</v>
      </c>
      <c r="AN773" s="89" t="s">
        <v>418</v>
      </c>
    </row>
    <row r="774" spans="10:40" x14ac:dyDescent="0.25">
      <c r="J774" s="77" t="s">
        <v>364</v>
      </c>
      <c r="K774" s="77" t="s">
        <v>998</v>
      </c>
      <c r="AM774" s="89" t="s">
        <v>218</v>
      </c>
      <c r="AN774" s="89" t="s">
        <v>691</v>
      </c>
    </row>
    <row r="775" spans="10:40" x14ac:dyDescent="0.25">
      <c r="J775" s="77"/>
      <c r="K775" s="77"/>
      <c r="AM775" s="89" t="s">
        <v>218</v>
      </c>
      <c r="AN775" s="89" t="s">
        <v>692</v>
      </c>
    </row>
    <row r="776" spans="10:40" x14ac:dyDescent="0.25">
      <c r="J776" s="77" t="s">
        <v>303</v>
      </c>
      <c r="K776" s="77" t="s">
        <v>632</v>
      </c>
      <c r="AM776" s="89" t="s">
        <v>218</v>
      </c>
      <c r="AN776" s="89" t="s">
        <v>693</v>
      </c>
    </row>
    <row r="777" spans="10:40" x14ac:dyDescent="0.25">
      <c r="J777" s="77" t="s">
        <v>303</v>
      </c>
      <c r="K777" s="77" t="s">
        <v>660</v>
      </c>
      <c r="AM777" s="89" t="s">
        <v>218</v>
      </c>
      <c r="AN777" s="89" t="s">
        <v>694</v>
      </c>
    </row>
    <row r="778" spans="10:40" x14ac:dyDescent="0.25">
      <c r="J778" s="77" t="s">
        <v>303</v>
      </c>
      <c r="K778" s="77" t="s">
        <v>661</v>
      </c>
      <c r="AM778" s="89" t="s">
        <v>287</v>
      </c>
      <c r="AN778" s="89" t="s">
        <v>1093</v>
      </c>
    </row>
    <row r="779" spans="10:40" x14ac:dyDescent="0.25">
      <c r="J779" s="77" t="s">
        <v>303</v>
      </c>
      <c r="K779" s="77" t="s">
        <v>238</v>
      </c>
      <c r="AM779" s="89" t="s">
        <v>287</v>
      </c>
      <c r="AN779" s="89" t="s">
        <v>1094</v>
      </c>
    </row>
    <row r="780" spans="10:40" x14ac:dyDescent="0.25">
      <c r="J780" s="77"/>
      <c r="K780" s="77"/>
      <c r="AM780" s="89" t="s">
        <v>287</v>
      </c>
      <c r="AN780" s="89" t="s">
        <v>1100</v>
      </c>
    </row>
    <row r="781" spans="10:40" x14ac:dyDescent="0.25">
      <c r="J781" s="77"/>
      <c r="K781" s="77"/>
      <c r="AM781" s="89" t="s">
        <v>287</v>
      </c>
      <c r="AN781" s="89" t="s">
        <v>1101</v>
      </c>
    </row>
    <row r="782" spans="10:40" x14ac:dyDescent="0.25">
      <c r="J782" s="77" t="s">
        <v>218</v>
      </c>
      <c r="K782" s="77" t="s">
        <v>691</v>
      </c>
      <c r="AM782" s="89" t="s">
        <v>287</v>
      </c>
      <c r="AN782" s="89" t="s">
        <v>287</v>
      </c>
    </row>
    <row r="783" spans="10:40" x14ac:dyDescent="0.25">
      <c r="J783" s="77" t="s">
        <v>218</v>
      </c>
      <c r="K783" s="77" t="s">
        <v>692</v>
      </c>
      <c r="AM783" s="89" t="s">
        <v>287</v>
      </c>
      <c r="AN783" s="89" t="s">
        <v>1105</v>
      </c>
    </row>
    <row r="784" spans="10:40" ht="30" x14ac:dyDescent="0.25">
      <c r="J784" s="77" t="s">
        <v>218</v>
      </c>
      <c r="K784" s="77" t="s">
        <v>693</v>
      </c>
      <c r="AM784" s="89" t="s">
        <v>287</v>
      </c>
      <c r="AN784" s="89" t="s">
        <v>418</v>
      </c>
    </row>
    <row r="785" spans="10:40" x14ac:dyDescent="0.25">
      <c r="J785" s="77" t="s">
        <v>218</v>
      </c>
      <c r="K785" s="77" t="s">
        <v>694</v>
      </c>
      <c r="AM785" s="89" t="s">
        <v>219</v>
      </c>
      <c r="AN785" s="89" t="s">
        <v>219</v>
      </c>
    </row>
    <row r="786" spans="10:40" ht="30" x14ac:dyDescent="0.25">
      <c r="J786" s="77" t="s">
        <v>287</v>
      </c>
      <c r="K786" s="77" t="s">
        <v>1093</v>
      </c>
      <c r="AM786" s="89" t="s">
        <v>219</v>
      </c>
      <c r="AN786" s="89" t="s">
        <v>418</v>
      </c>
    </row>
    <row r="787" spans="10:40" x14ac:dyDescent="0.25">
      <c r="J787" s="77" t="s">
        <v>287</v>
      </c>
      <c r="K787" s="77" t="s">
        <v>1094</v>
      </c>
      <c r="AM787" s="89" t="s">
        <v>219</v>
      </c>
      <c r="AN787" s="89" t="s">
        <v>695</v>
      </c>
    </row>
    <row r="788" spans="10:40" x14ac:dyDescent="0.25">
      <c r="J788" s="77" t="s">
        <v>287</v>
      </c>
      <c r="K788" s="77" t="s">
        <v>1100</v>
      </c>
      <c r="AM788" s="89" t="s">
        <v>219</v>
      </c>
      <c r="AN788" s="89" t="s">
        <v>696</v>
      </c>
    </row>
    <row r="789" spans="10:40" x14ac:dyDescent="0.25">
      <c r="J789" s="77" t="s">
        <v>287</v>
      </c>
      <c r="K789" s="77" t="s">
        <v>1101</v>
      </c>
      <c r="AM789" s="89" t="s">
        <v>219</v>
      </c>
      <c r="AN789" s="89" t="s">
        <v>697</v>
      </c>
    </row>
    <row r="790" spans="10:40" x14ac:dyDescent="0.25">
      <c r="J790" s="77" t="s">
        <v>287</v>
      </c>
      <c r="K790" s="77" t="s">
        <v>287</v>
      </c>
      <c r="AM790" s="89" t="s">
        <v>219</v>
      </c>
      <c r="AN790" s="89" t="s">
        <v>698</v>
      </c>
    </row>
    <row r="791" spans="10:40" x14ac:dyDescent="0.25">
      <c r="J791" s="77" t="s">
        <v>287</v>
      </c>
      <c r="K791" s="77" t="s">
        <v>1105</v>
      </c>
      <c r="AM791" s="89" t="s">
        <v>416</v>
      </c>
      <c r="AN791" s="89" t="s">
        <v>1069</v>
      </c>
    </row>
    <row r="792" spans="10:40" x14ac:dyDescent="0.25">
      <c r="J792" s="77"/>
      <c r="K792" s="77"/>
      <c r="AM792" s="89" t="s">
        <v>416</v>
      </c>
      <c r="AN792" s="89" t="s">
        <v>1070</v>
      </c>
    </row>
    <row r="793" spans="10:40" x14ac:dyDescent="0.25">
      <c r="J793" s="77" t="s">
        <v>219</v>
      </c>
      <c r="K793" s="77" t="s">
        <v>219</v>
      </c>
      <c r="AM793" s="89" t="s">
        <v>416</v>
      </c>
      <c r="AN793" s="89" t="s">
        <v>1071</v>
      </c>
    </row>
    <row r="794" spans="10:40" ht="30" x14ac:dyDescent="0.25">
      <c r="J794" s="77"/>
      <c r="K794" s="77"/>
      <c r="AM794" s="89" t="s">
        <v>416</v>
      </c>
      <c r="AN794" s="89" t="s">
        <v>418</v>
      </c>
    </row>
    <row r="795" spans="10:40" x14ac:dyDescent="0.25">
      <c r="J795" s="77" t="s">
        <v>219</v>
      </c>
      <c r="K795" s="77" t="s">
        <v>695</v>
      </c>
      <c r="AM795" s="89" t="s">
        <v>416</v>
      </c>
      <c r="AN795" s="89" t="s">
        <v>1090</v>
      </c>
    </row>
    <row r="796" spans="10:40" x14ac:dyDescent="0.25">
      <c r="J796" s="77" t="s">
        <v>219</v>
      </c>
      <c r="K796" s="77" t="s">
        <v>696</v>
      </c>
      <c r="AM796" s="89" t="s">
        <v>178</v>
      </c>
      <c r="AN796" s="89" t="s">
        <v>1022</v>
      </c>
    </row>
    <row r="797" spans="10:40" x14ac:dyDescent="0.25">
      <c r="J797" s="77" t="s">
        <v>219</v>
      </c>
      <c r="K797" s="77" t="s">
        <v>697</v>
      </c>
      <c r="AM797" s="89" t="s">
        <v>178</v>
      </c>
      <c r="AN797" s="89" t="s">
        <v>1028</v>
      </c>
    </row>
    <row r="798" spans="10:40" x14ac:dyDescent="0.25">
      <c r="J798" s="77" t="s">
        <v>219</v>
      </c>
      <c r="K798" s="77" t="s">
        <v>698</v>
      </c>
      <c r="AM798" s="89" t="s">
        <v>178</v>
      </c>
      <c r="AN798" s="89" t="s">
        <v>230</v>
      </c>
    </row>
    <row r="799" spans="10:40" ht="30" x14ac:dyDescent="0.25">
      <c r="J799" s="77" t="s">
        <v>416</v>
      </c>
      <c r="K799" s="77" t="s">
        <v>1069</v>
      </c>
      <c r="AM799" s="89" t="s">
        <v>178</v>
      </c>
      <c r="AN799" s="89" t="s">
        <v>418</v>
      </c>
    </row>
    <row r="800" spans="10:40" ht="30" x14ac:dyDescent="0.25">
      <c r="J800" s="77" t="s">
        <v>416</v>
      </c>
      <c r="K800" s="77" t="s">
        <v>1070</v>
      </c>
      <c r="AM800" s="89" t="s">
        <v>414</v>
      </c>
      <c r="AN800" s="89" t="s">
        <v>418</v>
      </c>
    </row>
    <row r="801" spans="10:40" ht="30" x14ac:dyDescent="0.25">
      <c r="J801" s="77" t="s">
        <v>416</v>
      </c>
      <c r="K801" s="77" t="s">
        <v>1071</v>
      </c>
      <c r="AM801" s="89" t="s">
        <v>406</v>
      </c>
      <c r="AN801" s="89" t="s">
        <v>418</v>
      </c>
    </row>
    <row r="802" spans="10:40" x14ac:dyDescent="0.25">
      <c r="J802" s="77"/>
      <c r="K802" s="77"/>
      <c r="AM802" s="89" t="s">
        <v>406</v>
      </c>
      <c r="AN802" s="89" t="s">
        <v>1080</v>
      </c>
    </row>
    <row r="803" spans="10:40" ht="30" x14ac:dyDescent="0.25">
      <c r="J803" s="77" t="s">
        <v>416</v>
      </c>
      <c r="K803" s="77" t="s">
        <v>1090</v>
      </c>
      <c r="AM803" s="89" t="s">
        <v>398</v>
      </c>
      <c r="AN803" s="89" t="s">
        <v>418</v>
      </c>
    </row>
    <row r="804" spans="10:40" ht="30" x14ac:dyDescent="0.25">
      <c r="J804" s="77" t="s">
        <v>178</v>
      </c>
      <c r="K804" s="77" t="s">
        <v>1022</v>
      </c>
      <c r="AM804" s="89" t="s">
        <v>397</v>
      </c>
      <c r="AN804" s="89" t="s">
        <v>418</v>
      </c>
    </row>
    <row r="805" spans="10:40" x14ac:dyDescent="0.25">
      <c r="J805" s="77" t="s">
        <v>178</v>
      </c>
      <c r="K805" s="77" t="s">
        <v>1028</v>
      </c>
      <c r="AM805" s="89" t="s">
        <v>397</v>
      </c>
      <c r="AN805" s="89" t="s">
        <v>961</v>
      </c>
    </row>
    <row r="806" spans="10:40" x14ac:dyDescent="0.25">
      <c r="J806" s="77" t="s">
        <v>178</v>
      </c>
      <c r="K806" s="77" t="s">
        <v>230</v>
      </c>
      <c r="AM806" s="89" t="s">
        <v>397</v>
      </c>
      <c r="AN806" s="89" t="s">
        <v>962</v>
      </c>
    </row>
    <row r="807" spans="10:40" x14ac:dyDescent="0.25">
      <c r="J807" s="77"/>
      <c r="K807" s="77"/>
      <c r="AM807" s="89" t="s">
        <v>397</v>
      </c>
      <c r="AN807" s="89" t="s">
        <v>963</v>
      </c>
    </row>
    <row r="808" spans="10:40" x14ac:dyDescent="0.25">
      <c r="J808" s="77"/>
      <c r="K808" s="77"/>
      <c r="AM808" s="89" t="s">
        <v>397</v>
      </c>
      <c r="AN808" s="89" t="s">
        <v>964</v>
      </c>
    </row>
    <row r="809" spans="10:40" x14ac:dyDescent="0.25">
      <c r="J809" s="77"/>
      <c r="K809" s="77"/>
      <c r="AM809" s="89" t="s">
        <v>336</v>
      </c>
      <c r="AN809" s="89" t="s">
        <v>605</v>
      </c>
    </row>
    <row r="810" spans="10:40" x14ac:dyDescent="0.25">
      <c r="J810" s="77" t="s">
        <v>406</v>
      </c>
      <c r="K810" s="77" t="s">
        <v>1080</v>
      </c>
      <c r="AM810" s="89" t="s">
        <v>336</v>
      </c>
      <c r="AN810" s="89" t="s">
        <v>336</v>
      </c>
    </row>
    <row r="811" spans="10:40" ht="30" x14ac:dyDescent="0.25">
      <c r="J811" s="77"/>
      <c r="K811" s="77"/>
      <c r="AM811" s="89" t="s">
        <v>336</v>
      </c>
      <c r="AN811" s="89" t="s">
        <v>418</v>
      </c>
    </row>
    <row r="812" spans="10:40" x14ac:dyDescent="0.25">
      <c r="J812" s="77"/>
      <c r="K812" s="77"/>
      <c r="AM812" s="89" t="s">
        <v>392</v>
      </c>
      <c r="AN812" s="89" t="s">
        <v>769</v>
      </c>
    </row>
    <row r="813" spans="10:40" x14ac:dyDescent="0.25">
      <c r="J813" s="77" t="s">
        <v>397</v>
      </c>
      <c r="K813" s="77" t="s">
        <v>961</v>
      </c>
      <c r="AM813" s="89" t="s">
        <v>392</v>
      </c>
      <c r="AN813" s="89" t="s">
        <v>770</v>
      </c>
    </row>
    <row r="814" spans="10:40" x14ac:dyDescent="0.25">
      <c r="J814" s="77" t="s">
        <v>397</v>
      </c>
      <c r="K814" s="77" t="s">
        <v>962</v>
      </c>
      <c r="AM814" s="89" t="s">
        <v>392</v>
      </c>
      <c r="AN814" s="89" t="s">
        <v>771</v>
      </c>
    </row>
    <row r="815" spans="10:40" ht="30" x14ac:dyDescent="0.25">
      <c r="J815" s="77" t="s">
        <v>397</v>
      </c>
      <c r="K815" s="77" t="s">
        <v>963</v>
      </c>
      <c r="AM815" s="89" t="s">
        <v>392</v>
      </c>
      <c r="AN815" s="89" t="s">
        <v>418</v>
      </c>
    </row>
    <row r="816" spans="10:40" x14ac:dyDescent="0.25">
      <c r="J816" s="77" t="s">
        <v>397</v>
      </c>
      <c r="K816" s="77" t="s">
        <v>964</v>
      </c>
      <c r="AM816" s="89" t="s">
        <v>294</v>
      </c>
      <c r="AN816" s="89" t="s">
        <v>568</v>
      </c>
    </row>
    <row r="817" spans="10:40" x14ac:dyDescent="0.25">
      <c r="J817" s="77" t="s">
        <v>336</v>
      </c>
      <c r="K817" s="77" t="s">
        <v>605</v>
      </c>
      <c r="AM817" s="89" t="s">
        <v>294</v>
      </c>
      <c r="AN817" s="89" t="s">
        <v>579</v>
      </c>
    </row>
    <row r="818" spans="10:40" ht="30" x14ac:dyDescent="0.25">
      <c r="J818" s="77" t="s">
        <v>336</v>
      </c>
      <c r="K818" s="77" t="s">
        <v>336</v>
      </c>
      <c r="AM818" s="89" t="s">
        <v>294</v>
      </c>
      <c r="AN818" s="89" t="s">
        <v>418</v>
      </c>
    </row>
    <row r="819" spans="10:40" x14ac:dyDescent="0.25">
      <c r="J819" s="77"/>
      <c r="K819" s="77"/>
      <c r="AM819" s="89" t="s">
        <v>189</v>
      </c>
      <c r="AN819" s="89" t="s">
        <v>427</v>
      </c>
    </row>
    <row r="820" spans="10:40" x14ac:dyDescent="0.25">
      <c r="J820" s="77" t="s">
        <v>392</v>
      </c>
      <c r="K820" s="77" t="s">
        <v>769</v>
      </c>
      <c r="AM820" s="89" t="s">
        <v>189</v>
      </c>
      <c r="AN820" s="89" t="s">
        <v>210</v>
      </c>
    </row>
    <row r="821" spans="10:40" x14ac:dyDescent="0.25">
      <c r="J821" s="77" t="s">
        <v>392</v>
      </c>
      <c r="K821" s="77" t="s">
        <v>770</v>
      </c>
      <c r="AM821" s="89" t="s">
        <v>189</v>
      </c>
      <c r="AN821" s="89" t="s">
        <v>428</v>
      </c>
    </row>
    <row r="822" spans="10:40" x14ac:dyDescent="0.25">
      <c r="J822" s="77" t="s">
        <v>392</v>
      </c>
      <c r="K822" s="77" t="s">
        <v>771</v>
      </c>
      <c r="AM822" s="89" t="s">
        <v>189</v>
      </c>
      <c r="AN822" s="89" t="s">
        <v>429</v>
      </c>
    </row>
    <row r="823" spans="10:40" x14ac:dyDescent="0.25">
      <c r="J823" s="77"/>
      <c r="K823" s="77"/>
      <c r="AM823" s="89" t="s">
        <v>189</v>
      </c>
      <c r="AN823" s="89" t="s">
        <v>193</v>
      </c>
    </row>
    <row r="824" spans="10:40" x14ac:dyDescent="0.25">
      <c r="J824" s="77" t="s">
        <v>294</v>
      </c>
      <c r="K824" s="77" t="s">
        <v>568</v>
      </c>
      <c r="AM824" s="89" t="s">
        <v>189</v>
      </c>
      <c r="AN824" s="89" t="s">
        <v>430</v>
      </c>
    </row>
    <row r="825" spans="10:40" x14ac:dyDescent="0.25">
      <c r="J825" s="77" t="s">
        <v>294</v>
      </c>
      <c r="K825" s="77" t="s">
        <v>579</v>
      </c>
      <c r="AM825" s="89" t="s">
        <v>189</v>
      </c>
      <c r="AN825" s="89" t="s">
        <v>431</v>
      </c>
    </row>
    <row r="826" spans="10:40" ht="30" x14ac:dyDescent="0.25">
      <c r="J826" s="77"/>
      <c r="K826" s="77"/>
      <c r="AM826" s="89" t="s">
        <v>189</v>
      </c>
      <c r="AN826" s="89" t="s">
        <v>418</v>
      </c>
    </row>
    <row r="827" spans="10:40" x14ac:dyDescent="0.25">
      <c r="J827" s="77" t="s">
        <v>189</v>
      </c>
      <c r="K827" s="77" t="s">
        <v>427</v>
      </c>
      <c r="AM827" s="89" t="s">
        <v>179</v>
      </c>
      <c r="AN827" s="89" t="s">
        <v>1040</v>
      </c>
    </row>
    <row r="828" spans="10:40" x14ac:dyDescent="0.25">
      <c r="J828" s="77" t="s">
        <v>189</v>
      </c>
      <c r="K828" s="77" t="s">
        <v>210</v>
      </c>
      <c r="AM828" s="89" t="s">
        <v>179</v>
      </c>
      <c r="AN828" s="89" t="s">
        <v>243</v>
      </c>
    </row>
    <row r="829" spans="10:40" x14ac:dyDescent="0.25">
      <c r="J829" s="77" t="s">
        <v>189</v>
      </c>
      <c r="K829" s="77" t="s">
        <v>428</v>
      </c>
      <c r="AM829" s="89" t="s">
        <v>179</v>
      </c>
      <c r="AN829" s="89" t="s">
        <v>1050</v>
      </c>
    </row>
    <row r="830" spans="10:40" x14ac:dyDescent="0.25">
      <c r="J830" s="77" t="s">
        <v>189</v>
      </c>
      <c r="K830" s="77" t="s">
        <v>429</v>
      </c>
      <c r="AM830" s="89" t="s">
        <v>179</v>
      </c>
      <c r="AN830" s="89" t="s">
        <v>179</v>
      </c>
    </row>
    <row r="831" spans="10:40" ht="30" x14ac:dyDescent="0.25">
      <c r="J831" s="77" t="s">
        <v>189</v>
      </c>
      <c r="K831" s="77" t="s">
        <v>193</v>
      </c>
      <c r="AM831" s="89" t="s">
        <v>179</v>
      </c>
      <c r="AN831" s="89" t="s">
        <v>418</v>
      </c>
    </row>
    <row r="832" spans="10:40" ht="30" x14ac:dyDescent="0.25">
      <c r="J832" s="77" t="s">
        <v>189</v>
      </c>
      <c r="K832" s="77" t="s">
        <v>430</v>
      </c>
      <c r="AM832" s="89" t="s">
        <v>220</v>
      </c>
      <c r="AN832" s="89" t="s">
        <v>418</v>
      </c>
    </row>
    <row r="833" spans="10:40" x14ac:dyDescent="0.25">
      <c r="J833" s="77" t="s">
        <v>189</v>
      </c>
      <c r="K833" s="77" t="s">
        <v>431</v>
      </c>
      <c r="AM833" s="89" t="s">
        <v>220</v>
      </c>
      <c r="AN833" s="89" t="s">
        <v>699</v>
      </c>
    </row>
    <row r="834" spans="10:40" x14ac:dyDescent="0.25">
      <c r="J834" s="77"/>
      <c r="K834" s="77"/>
      <c r="AM834" s="89" t="s">
        <v>220</v>
      </c>
      <c r="AN834" s="89" t="s">
        <v>700</v>
      </c>
    </row>
    <row r="835" spans="10:40" ht="30" x14ac:dyDescent="0.25">
      <c r="J835" s="77" t="s">
        <v>179</v>
      </c>
      <c r="K835" s="77" t="s">
        <v>1040</v>
      </c>
      <c r="AM835" s="89" t="s">
        <v>407</v>
      </c>
      <c r="AN835" s="89" t="s">
        <v>418</v>
      </c>
    </row>
    <row r="836" spans="10:40" x14ac:dyDescent="0.25">
      <c r="J836" s="77" t="s">
        <v>179</v>
      </c>
      <c r="K836" s="77" t="s">
        <v>243</v>
      </c>
      <c r="AM836" s="89" t="s">
        <v>407</v>
      </c>
      <c r="AN836" s="89" t="s">
        <v>1064</v>
      </c>
    </row>
    <row r="837" spans="10:40" x14ac:dyDescent="0.25">
      <c r="J837" s="77" t="s">
        <v>179</v>
      </c>
      <c r="K837" s="77" t="s">
        <v>1050</v>
      </c>
      <c r="AM837" s="89" t="s">
        <v>407</v>
      </c>
      <c r="AN837" s="89" t="s">
        <v>1066</v>
      </c>
    </row>
    <row r="838" spans="10:40" x14ac:dyDescent="0.25">
      <c r="J838" s="77" t="s">
        <v>179</v>
      </c>
      <c r="K838" s="77" t="s">
        <v>179</v>
      </c>
      <c r="AM838" s="89" t="s">
        <v>377</v>
      </c>
      <c r="AN838" s="89" t="s">
        <v>520</v>
      </c>
    </row>
    <row r="839" spans="10:40" x14ac:dyDescent="0.25">
      <c r="J839" s="77"/>
      <c r="K839" s="77"/>
      <c r="AM839" s="89" t="s">
        <v>377</v>
      </c>
      <c r="AN839" s="89" t="s">
        <v>538</v>
      </c>
    </row>
    <row r="840" spans="10:40" x14ac:dyDescent="0.25">
      <c r="J840" s="77"/>
      <c r="K840" s="77"/>
      <c r="AM840" s="89" t="s">
        <v>377</v>
      </c>
      <c r="AN840" s="89" t="s">
        <v>539</v>
      </c>
    </row>
    <row r="841" spans="10:40" x14ac:dyDescent="0.25">
      <c r="J841" s="77" t="s">
        <v>220</v>
      </c>
      <c r="K841" s="77" t="s">
        <v>699</v>
      </c>
      <c r="AM841" s="89" t="s">
        <v>377</v>
      </c>
      <c r="AN841" s="89" t="s">
        <v>542</v>
      </c>
    </row>
    <row r="842" spans="10:40" x14ac:dyDescent="0.25">
      <c r="J842" s="77" t="s">
        <v>220</v>
      </c>
      <c r="K842" s="77" t="s">
        <v>700</v>
      </c>
      <c r="AM842" s="89" t="s">
        <v>377</v>
      </c>
      <c r="AN842" s="89" t="s">
        <v>548</v>
      </c>
    </row>
    <row r="843" spans="10:40" ht="30" x14ac:dyDescent="0.25">
      <c r="J843" s="77"/>
      <c r="K843" s="77"/>
      <c r="AM843" s="89" t="s">
        <v>377</v>
      </c>
      <c r="AN843" s="89" t="s">
        <v>418</v>
      </c>
    </row>
    <row r="844" spans="10:40" ht="30" x14ac:dyDescent="0.25">
      <c r="J844" s="77" t="s">
        <v>407</v>
      </c>
      <c r="K844" s="77" t="s">
        <v>1064</v>
      </c>
      <c r="AM844" s="89" t="s">
        <v>211</v>
      </c>
      <c r="AN844" s="89" t="s">
        <v>418</v>
      </c>
    </row>
    <row r="845" spans="10:40" x14ac:dyDescent="0.25">
      <c r="J845" s="77" t="s">
        <v>407</v>
      </c>
      <c r="K845" s="77" t="s">
        <v>1066</v>
      </c>
      <c r="AM845" s="89" t="s">
        <v>290</v>
      </c>
      <c r="AN845" s="89" t="s">
        <v>1098</v>
      </c>
    </row>
    <row r="846" spans="10:40" x14ac:dyDescent="0.25">
      <c r="J846" s="77" t="s">
        <v>377</v>
      </c>
      <c r="K846" s="77" t="s">
        <v>520</v>
      </c>
      <c r="AM846" s="89" t="s">
        <v>290</v>
      </c>
      <c r="AN846" s="89" t="s">
        <v>1103</v>
      </c>
    </row>
    <row r="847" spans="10:40" x14ac:dyDescent="0.25">
      <c r="J847" s="77" t="s">
        <v>377</v>
      </c>
      <c r="K847" s="77" t="s">
        <v>538</v>
      </c>
      <c r="AM847" s="89" t="s">
        <v>290</v>
      </c>
      <c r="AN847" s="89" t="s">
        <v>290</v>
      </c>
    </row>
    <row r="848" spans="10:40" ht="30" x14ac:dyDescent="0.25">
      <c r="J848" s="77" t="s">
        <v>377</v>
      </c>
      <c r="K848" s="77" t="s">
        <v>539</v>
      </c>
      <c r="AM848" s="89" t="s">
        <v>290</v>
      </c>
      <c r="AN848" s="89" t="s">
        <v>418</v>
      </c>
    </row>
    <row r="849" spans="10:40" x14ac:dyDescent="0.25">
      <c r="J849" s="77" t="s">
        <v>377</v>
      </c>
      <c r="K849" s="77" t="s">
        <v>542</v>
      </c>
      <c r="AM849" s="89" t="s">
        <v>288</v>
      </c>
      <c r="AN849" s="89" t="s">
        <v>1095</v>
      </c>
    </row>
    <row r="850" spans="10:40" x14ac:dyDescent="0.25">
      <c r="J850" s="77" t="s">
        <v>377</v>
      </c>
      <c r="K850" s="77" t="s">
        <v>548</v>
      </c>
      <c r="AM850" s="89" t="s">
        <v>288</v>
      </c>
      <c r="AN850" s="89" t="s">
        <v>1096</v>
      </c>
    </row>
    <row r="851" spans="10:40" x14ac:dyDescent="0.25">
      <c r="J851" s="77"/>
      <c r="K851" s="77"/>
      <c r="AM851" s="89" t="s">
        <v>288</v>
      </c>
      <c r="AN851" s="89" t="s">
        <v>1104</v>
      </c>
    </row>
    <row r="852" spans="10:40" x14ac:dyDescent="0.25">
      <c r="J852" s="77"/>
      <c r="K852" s="77"/>
      <c r="AM852" s="89" t="s">
        <v>288</v>
      </c>
      <c r="AN852" s="89" t="s">
        <v>288</v>
      </c>
    </row>
    <row r="853" spans="10:40" ht="30" x14ac:dyDescent="0.25">
      <c r="J853" s="77" t="s">
        <v>290</v>
      </c>
      <c r="K853" s="77" t="s">
        <v>1098</v>
      </c>
      <c r="AM853" s="89" t="s">
        <v>288</v>
      </c>
      <c r="AN853" s="89" t="s">
        <v>418</v>
      </c>
    </row>
    <row r="854" spans="10:40" x14ac:dyDescent="0.25">
      <c r="J854" s="77" t="s">
        <v>290</v>
      </c>
      <c r="K854" s="77" t="s">
        <v>1103</v>
      </c>
      <c r="AM854" s="89" t="s">
        <v>225</v>
      </c>
      <c r="AN854" s="89" t="s">
        <v>572</v>
      </c>
    </row>
    <row r="855" spans="10:40" x14ac:dyDescent="0.25">
      <c r="J855" s="77" t="s">
        <v>290</v>
      </c>
      <c r="K855" s="77" t="s">
        <v>290</v>
      </c>
      <c r="AM855" s="89" t="s">
        <v>225</v>
      </c>
      <c r="AN855" s="89" t="s">
        <v>575</v>
      </c>
    </row>
    <row r="856" spans="10:40" x14ac:dyDescent="0.25">
      <c r="J856" s="77"/>
      <c r="K856" s="77"/>
      <c r="AM856" s="89" t="s">
        <v>225</v>
      </c>
      <c r="AN856" s="89" t="s">
        <v>577</v>
      </c>
    </row>
    <row r="857" spans="10:40" x14ac:dyDescent="0.25">
      <c r="J857" s="77" t="s">
        <v>288</v>
      </c>
      <c r="K857" s="77" t="s">
        <v>1095</v>
      </c>
      <c r="AM857" s="89" t="s">
        <v>225</v>
      </c>
      <c r="AN857" s="89" t="s">
        <v>580</v>
      </c>
    </row>
    <row r="858" spans="10:40" x14ac:dyDescent="0.25">
      <c r="J858" s="77" t="s">
        <v>288</v>
      </c>
      <c r="K858" s="77" t="s">
        <v>1096</v>
      </c>
      <c r="AM858" s="89" t="s">
        <v>225</v>
      </c>
      <c r="AN858" s="89" t="s">
        <v>582</v>
      </c>
    </row>
    <row r="859" spans="10:40" x14ac:dyDescent="0.25">
      <c r="J859" s="77" t="s">
        <v>288</v>
      </c>
      <c r="K859" s="77" t="s">
        <v>1104</v>
      </c>
      <c r="AM859" s="89" t="s">
        <v>225</v>
      </c>
      <c r="AN859" s="89" t="s">
        <v>587</v>
      </c>
    </row>
    <row r="860" spans="10:40" ht="30" x14ac:dyDescent="0.25">
      <c r="J860" s="77" t="s">
        <v>288</v>
      </c>
      <c r="K860" s="77" t="s">
        <v>288</v>
      </c>
      <c r="AM860" s="89" t="s">
        <v>225</v>
      </c>
      <c r="AN860" s="89" t="s">
        <v>418</v>
      </c>
    </row>
    <row r="861" spans="10:40" x14ac:dyDescent="0.25">
      <c r="J861" s="77"/>
      <c r="K861" s="77"/>
      <c r="AM861" s="89" t="s">
        <v>191</v>
      </c>
      <c r="AN861" s="89" t="s">
        <v>432</v>
      </c>
    </row>
    <row r="862" spans="10:40" x14ac:dyDescent="0.25">
      <c r="J862" s="77" t="s">
        <v>225</v>
      </c>
      <c r="K862" s="77" t="s">
        <v>572</v>
      </c>
      <c r="AM862" s="89" t="s">
        <v>191</v>
      </c>
      <c r="AN862" s="89" t="s">
        <v>433</v>
      </c>
    </row>
    <row r="863" spans="10:40" ht="30" x14ac:dyDescent="0.25">
      <c r="J863" s="77" t="s">
        <v>225</v>
      </c>
      <c r="K863" s="77" t="s">
        <v>575</v>
      </c>
      <c r="AM863" s="89" t="s">
        <v>191</v>
      </c>
      <c r="AN863" s="89" t="s">
        <v>418</v>
      </c>
    </row>
    <row r="864" spans="10:40" x14ac:dyDescent="0.25">
      <c r="J864" s="77" t="s">
        <v>225</v>
      </c>
      <c r="K864" s="77" t="s">
        <v>577</v>
      </c>
      <c r="AM864" s="89" t="s">
        <v>393</v>
      </c>
      <c r="AN864" s="89" t="s">
        <v>772</v>
      </c>
    </row>
    <row r="865" spans="10:40" x14ac:dyDescent="0.25">
      <c r="J865" s="77" t="s">
        <v>225</v>
      </c>
      <c r="K865" s="77" t="s">
        <v>580</v>
      </c>
      <c r="AM865" s="89" t="s">
        <v>393</v>
      </c>
      <c r="AN865" s="89" t="s">
        <v>773</v>
      </c>
    </row>
    <row r="866" spans="10:40" ht="30" x14ac:dyDescent="0.25">
      <c r="J866" s="77" t="s">
        <v>225</v>
      </c>
      <c r="K866" s="77" t="s">
        <v>582</v>
      </c>
      <c r="AM866" s="89" t="s">
        <v>393</v>
      </c>
      <c r="AN866" s="89" t="s">
        <v>774</v>
      </c>
    </row>
    <row r="867" spans="10:40" ht="30" x14ac:dyDescent="0.25">
      <c r="J867" s="77" t="s">
        <v>225</v>
      </c>
      <c r="K867" s="77" t="s">
        <v>587</v>
      </c>
      <c r="AM867" s="89" t="s">
        <v>393</v>
      </c>
      <c r="AN867" s="89" t="s">
        <v>418</v>
      </c>
    </row>
    <row r="868" spans="10:40" ht="30" x14ac:dyDescent="0.25">
      <c r="J868" s="77"/>
      <c r="K868" s="77"/>
      <c r="AM868" s="89" t="s">
        <v>408</v>
      </c>
      <c r="AN868" s="89" t="s">
        <v>418</v>
      </c>
    </row>
    <row r="869" spans="10:40" ht="30" x14ac:dyDescent="0.25">
      <c r="J869" s="77" t="s">
        <v>191</v>
      </c>
      <c r="K869" s="77" t="s">
        <v>432</v>
      </c>
      <c r="AM869" s="89" t="s">
        <v>367</v>
      </c>
      <c r="AN869" s="89" t="s">
        <v>1001</v>
      </c>
    </row>
    <row r="870" spans="10:40" x14ac:dyDescent="0.25">
      <c r="J870" s="77" t="s">
        <v>191</v>
      </c>
      <c r="K870" s="77" t="s">
        <v>433</v>
      </c>
      <c r="AM870" s="89" t="s">
        <v>367</v>
      </c>
      <c r="AN870" s="89" t="s">
        <v>1002</v>
      </c>
    </row>
    <row r="871" spans="10:40" x14ac:dyDescent="0.25">
      <c r="J871" s="77"/>
      <c r="K871" s="77"/>
      <c r="AM871" s="89" t="s">
        <v>367</v>
      </c>
      <c r="AN871" s="89" t="s">
        <v>1007</v>
      </c>
    </row>
    <row r="872" spans="10:40" x14ac:dyDescent="0.25">
      <c r="J872" s="77" t="s">
        <v>317</v>
      </c>
      <c r="K872" s="77" t="s">
        <v>196</v>
      </c>
      <c r="AM872" s="89" t="s">
        <v>367</v>
      </c>
      <c r="AN872" s="89" t="s">
        <v>242</v>
      </c>
    </row>
    <row r="873" spans="10:40" ht="30" x14ac:dyDescent="0.25">
      <c r="J873" s="77" t="s">
        <v>317</v>
      </c>
      <c r="K873" s="77" t="s">
        <v>207</v>
      </c>
      <c r="AM873" s="89" t="s">
        <v>367</v>
      </c>
      <c r="AN873" s="89" t="s">
        <v>418</v>
      </c>
    </row>
    <row r="874" spans="10:40" x14ac:dyDescent="0.25">
      <c r="J874" s="77"/>
      <c r="K874" s="77"/>
      <c r="AM874" s="89" t="s">
        <v>389</v>
      </c>
      <c r="AN874" s="89" t="s">
        <v>759</v>
      </c>
    </row>
    <row r="875" spans="10:40" x14ac:dyDescent="0.25">
      <c r="J875" s="77" t="s">
        <v>393</v>
      </c>
      <c r="K875" s="77" t="s">
        <v>772</v>
      </c>
      <c r="AM875" s="89" t="s">
        <v>389</v>
      </c>
      <c r="AN875" s="89" t="s">
        <v>760</v>
      </c>
    </row>
    <row r="876" spans="10:40" x14ac:dyDescent="0.25">
      <c r="J876" s="77" t="s">
        <v>393</v>
      </c>
      <c r="K876" s="77" t="s">
        <v>773</v>
      </c>
      <c r="AM876" s="89" t="s">
        <v>389</v>
      </c>
      <c r="AN876" s="89" t="s">
        <v>761</v>
      </c>
    </row>
    <row r="877" spans="10:40" ht="30" x14ac:dyDescent="0.25">
      <c r="J877" s="77" t="s">
        <v>393</v>
      </c>
      <c r="K877" s="77" t="s">
        <v>774</v>
      </c>
      <c r="AM877" s="89" t="s">
        <v>389</v>
      </c>
      <c r="AN877" s="89" t="s">
        <v>418</v>
      </c>
    </row>
    <row r="878" spans="10:40" x14ac:dyDescent="0.25">
      <c r="J878" s="77"/>
      <c r="K878" s="77"/>
      <c r="AM878" s="89" t="s">
        <v>319</v>
      </c>
      <c r="AN878" s="89" t="s">
        <v>717</v>
      </c>
    </row>
    <row r="879" spans="10:40" ht="30" x14ac:dyDescent="0.25">
      <c r="J879" s="77"/>
      <c r="K879" s="77"/>
      <c r="AM879" s="89" t="s">
        <v>319</v>
      </c>
      <c r="AN879" s="89" t="s">
        <v>418</v>
      </c>
    </row>
    <row r="880" spans="10:40" ht="30" x14ac:dyDescent="0.25">
      <c r="J880" s="77" t="s">
        <v>367</v>
      </c>
      <c r="K880" s="77" t="s">
        <v>1001</v>
      </c>
      <c r="AM880" s="89" t="s">
        <v>390</v>
      </c>
      <c r="AN880" s="89" t="s">
        <v>762</v>
      </c>
    </row>
    <row r="881" spans="10:40" x14ac:dyDescent="0.25">
      <c r="J881" s="77" t="s">
        <v>367</v>
      </c>
      <c r="K881" s="77" t="s">
        <v>1002</v>
      </c>
      <c r="AM881" s="89" t="s">
        <v>390</v>
      </c>
      <c r="AN881" s="89" t="s">
        <v>763</v>
      </c>
    </row>
    <row r="882" spans="10:40" x14ac:dyDescent="0.25">
      <c r="J882" s="77" t="s">
        <v>367</v>
      </c>
      <c r="K882" s="77" t="s">
        <v>1007</v>
      </c>
      <c r="AM882" s="89" t="s">
        <v>390</v>
      </c>
      <c r="AN882" s="89" t="s">
        <v>764</v>
      </c>
    </row>
    <row r="883" spans="10:40" ht="30" x14ac:dyDescent="0.25">
      <c r="J883" s="77" t="s">
        <v>367</v>
      </c>
      <c r="K883" s="77" t="s">
        <v>242</v>
      </c>
      <c r="AM883" s="89" t="s">
        <v>390</v>
      </c>
      <c r="AN883" s="89" t="s">
        <v>418</v>
      </c>
    </row>
    <row r="884" spans="10:40" x14ac:dyDescent="0.25">
      <c r="J884" s="77"/>
      <c r="K884" s="77"/>
      <c r="AM884" s="89" t="s">
        <v>309</v>
      </c>
      <c r="AN884" s="89" t="s">
        <v>646</v>
      </c>
    </row>
    <row r="885" spans="10:40" x14ac:dyDescent="0.25">
      <c r="J885" s="77" t="s">
        <v>389</v>
      </c>
      <c r="K885" s="77" t="s">
        <v>759</v>
      </c>
      <c r="AM885" s="89" t="s">
        <v>309</v>
      </c>
      <c r="AN885" s="89" t="s">
        <v>653</v>
      </c>
    </row>
    <row r="886" spans="10:40" x14ac:dyDescent="0.25">
      <c r="J886" s="77" t="s">
        <v>389</v>
      </c>
      <c r="K886" s="77" t="s">
        <v>760</v>
      </c>
      <c r="AM886" s="89" t="s">
        <v>309</v>
      </c>
      <c r="AN886" s="89" t="s">
        <v>668</v>
      </c>
    </row>
    <row r="887" spans="10:40" ht="30" x14ac:dyDescent="0.25">
      <c r="J887" s="77" t="s">
        <v>389</v>
      </c>
      <c r="K887" s="77" t="s">
        <v>761</v>
      </c>
      <c r="AM887" s="89" t="s">
        <v>309</v>
      </c>
      <c r="AN887" s="89" t="s">
        <v>418</v>
      </c>
    </row>
    <row r="888" spans="10:40" ht="30" x14ac:dyDescent="0.25">
      <c r="J888" s="77"/>
      <c r="K888" s="77"/>
      <c r="AM888" s="89" t="s">
        <v>409</v>
      </c>
      <c r="AN888" s="89" t="s">
        <v>418</v>
      </c>
    </row>
    <row r="889" spans="10:40" x14ac:dyDescent="0.25">
      <c r="J889" s="77" t="s">
        <v>319</v>
      </c>
      <c r="K889" s="77" t="s">
        <v>717</v>
      </c>
      <c r="AM889" s="89" t="s">
        <v>409</v>
      </c>
      <c r="AN889" s="89" t="s">
        <v>1056</v>
      </c>
    </row>
    <row r="890" spans="10:40" x14ac:dyDescent="0.25">
      <c r="J890" s="77"/>
      <c r="K890" s="77"/>
      <c r="AM890" s="89" t="s">
        <v>409</v>
      </c>
      <c r="AN890" s="89" t="s">
        <v>347</v>
      </c>
    </row>
    <row r="891" spans="10:40" x14ac:dyDescent="0.25">
      <c r="J891" s="77" t="s">
        <v>390</v>
      </c>
      <c r="K891" s="77" t="s">
        <v>762</v>
      </c>
      <c r="AM891" s="89" t="s">
        <v>409</v>
      </c>
      <c r="AN891" s="89" t="s">
        <v>1065</v>
      </c>
    </row>
    <row r="892" spans="10:40" x14ac:dyDescent="0.25">
      <c r="J892" s="77" t="s">
        <v>390</v>
      </c>
      <c r="K892" s="77" t="s">
        <v>763</v>
      </c>
      <c r="AM892" s="89" t="s">
        <v>409</v>
      </c>
      <c r="AN892" s="89" t="s">
        <v>1089</v>
      </c>
    </row>
    <row r="893" spans="10:40" x14ac:dyDescent="0.25">
      <c r="J893" s="77" t="s">
        <v>390</v>
      </c>
      <c r="K893" s="77" t="s">
        <v>764</v>
      </c>
      <c r="AM893" s="89" t="s">
        <v>226</v>
      </c>
      <c r="AN893" s="89" t="s">
        <v>629</v>
      </c>
    </row>
    <row r="894" spans="10:40" x14ac:dyDescent="0.25">
      <c r="J894" s="77"/>
      <c r="K894" s="77"/>
      <c r="AM894" s="89" t="s">
        <v>226</v>
      </c>
      <c r="AN894" s="89" t="s">
        <v>638</v>
      </c>
    </row>
    <row r="895" spans="10:40" x14ac:dyDescent="0.25">
      <c r="J895" s="77" t="s">
        <v>309</v>
      </c>
      <c r="K895" s="77" t="s">
        <v>646</v>
      </c>
      <c r="AM895" s="89" t="s">
        <v>226</v>
      </c>
      <c r="AN895" s="89" t="s">
        <v>640</v>
      </c>
    </row>
    <row r="896" spans="10:40" x14ac:dyDescent="0.25">
      <c r="J896" s="77" t="s">
        <v>309</v>
      </c>
      <c r="K896" s="77" t="s">
        <v>653</v>
      </c>
      <c r="AM896" s="89" t="s">
        <v>226</v>
      </c>
      <c r="AN896" s="89" t="s">
        <v>650</v>
      </c>
    </row>
    <row r="897" spans="10:40" x14ac:dyDescent="0.25">
      <c r="J897" s="77" t="s">
        <v>309</v>
      </c>
      <c r="K897" s="77" t="s">
        <v>668</v>
      </c>
      <c r="AM897" s="89" t="s">
        <v>226</v>
      </c>
      <c r="AN897" s="89" t="s">
        <v>669</v>
      </c>
    </row>
    <row r="898" spans="10:40" ht="30" x14ac:dyDescent="0.25">
      <c r="J898" s="77"/>
      <c r="K898" s="77"/>
      <c r="AM898" s="89" t="s">
        <v>226</v>
      </c>
      <c r="AN898" s="89" t="s">
        <v>418</v>
      </c>
    </row>
    <row r="899" spans="10:40" x14ac:dyDescent="0.25">
      <c r="J899" s="77"/>
      <c r="K899" s="77"/>
      <c r="AM899" s="89" t="s">
        <v>368</v>
      </c>
      <c r="AN899" s="89" t="s">
        <v>1010</v>
      </c>
    </row>
    <row r="900" spans="10:40" x14ac:dyDescent="0.25">
      <c r="J900" s="77" t="s">
        <v>409</v>
      </c>
      <c r="K900" s="77" t="s">
        <v>1056</v>
      </c>
      <c r="AM900" s="89" t="s">
        <v>368</v>
      </c>
      <c r="AN900" s="89" t="s">
        <v>1013</v>
      </c>
    </row>
    <row r="901" spans="10:40" ht="30" x14ac:dyDescent="0.25">
      <c r="J901" s="77" t="s">
        <v>409</v>
      </c>
      <c r="K901" s="77" t="s">
        <v>347</v>
      </c>
      <c r="AM901" s="89" t="s">
        <v>368</v>
      </c>
      <c r="AN901" s="89" t="s">
        <v>418</v>
      </c>
    </row>
    <row r="902" spans="10:40" ht="30" x14ac:dyDescent="0.25">
      <c r="J902" s="77" t="s">
        <v>409</v>
      </c>
      <c r="K902" s="77" t="s">
        <v>1065</v>
      </c>
      <c r="AM902" s="89" t="s">
        <v>410</v>
      </c>
      <c r="AN902" s="89" t="s">
        <v>418</v>
      </c>
    </row>
    <row r="903" spans="10:40" x14ac:dyDescent="0.25">
      <c r="J903" s="77" t="s">
        <v>409</v>
      </c>
      <c r="K903" s="77" t="s">
        <v>1089</v>
      </c>
      <c r="AM903" s="89" t="s">
        <v>410</v>
      </c>
      <c r="AN903" s="89" t="s">
        <v>1054</v>
      </c>
    </row>
    <row r="904" spans="10:40" x14ac:dyDescent="0.25">
      <c r="J904" s="77" t="s">
        <v>226</v>
      </c>
      <c r="K904" s="77" t="s">
        <v>629</v>
      </c>
      <c r="AM904" s="89" t="s">
        <v>410</v>
      </c>
      <c r="AN904" s="89" t="s">
        <v>1060</v>
      </c>
    </row>
    <row r="905" spans="10:40" x14ac:dyDescent="0.25">
      <c r="J905" s="77" t="s">
        <v>226</v>
      </c>
      <c r="K905" s="77" t="s">
        <v>638</v>
      </c>
      <c r="AM905" s="89" t="s">
        <v>410</v>
      </c>
      <c r="AN905" s="89" t="s">
        <v>1081</v>
      </c>
    </row>
    <row r="906" spans="10:40" ht="30" x14ac:dyDescent="0.25">
      <c r="J906" s="77" t="s">
        <v>226</v>
      </c>
      <c r="K906" s="77" t="s">
        <v>640</v>
      </c>
      <c r="AM906" s="89" t="s">
        <v>221</v>
      </c>
      <c r="AN906" s="89" t="s">
        <v>418</v>
      </c>
    </row>
    <row r="907" spans="10:40" x14ac:dyDescent="0.25">
      <c r="J907" s="77" t="s">
        <v>226</v>
      </c>
      <c r="K907" s="77" t="s">
        <v>650</v>
      </c>
      <c r="AM907" s="89" t="s">
        <v>221</v>
      </c>
      <c r="AN907" s="89" t="s">
        <v>701</v>
      </c>
    </row>
    <row r="908" spans="10:40" x14ac:dyDescent="0.25">
      <c r="J908" s="77" t="s">
        <v>226</v>
      </c>
      <c r="K908" s="77" t="s">
        <v>669</v>
      </c>
      <c r="AM908" s="89" t="s">
        <v>221</v>
      </c>
      <c r="AN908" s="89" t="s">
        <v>702</v>
      </c>
    </row>
    <row r="909" spans="10:40" x14ac:dyDescent="0.25">
      <c r="J909" s="77"/>
      <c r="K909" s="77"/>
      <c r="AM909" s="89" t="s">
        <v>221</v>
      </c>
      <c r="AN909" s="89" t="s">
        <v>703</v>
      </c>
    </row>
    <row r="910" spans="10:40" x14ac:dyDescent="0.25">
      <c r="J910" s="77" t="s">
        <v>368</v>
      </c>
      <c r="K910" s="77" t="s">
        <v>1010</v>
      </c>
      <c r="AM910" s="89" t="s">
        <v>221</v>
      </c>
      <c r="AN910" s="89" t="s">
        <v>704</v>
      </c>
    </row>
    <row r="911" spans="10:40" x14ac:dyDescent="0.25">
      <c r="J911" s="77" t="s">
        <v>368</v>
      </c>
      <c r="K911" s="77" t="s">
        <v>1013</v>
      </c>
      <c r="AM911" s="89" t="s">
        <v>222</v>
      </c>
      <c r="AN911" s="89" t="s">
        <v>222</v>
      </c>
    </row>
    <row r="912" spans="10:40" x14ac:dyDescent="0.25">
      <c r="J912" s="77"/>
      <c r="K912" s="77"/>
      <c r="AM912" s="89" t="s">
        <v>222</v>
      </c>
      <c r="AN912" s="89" t="s">
        <v>725</v>
      </c>
    </row>
    <row r="913" spans="10:40" x14ac:dyDescent="0.25">
      <c r="J913" s="77"/>
      <c r="K913" s="77"/>
      <c r="AM913" s="89" t="s">
        <v>222</v>
      </c>
      <c r="AN913" s="89" t="s">
        <v>736</v>
      </c>
    </row>
    <row r="914" spans="10:40" x14ac:dyDescent="0.25">
      <c r="J914" s="77" t="s">
        <v>410</v>
      </c>
      <c r="K914" s="77" t="s">
        <v>1054</v>
      </c>
      <c r="AM914" s="89" t="s">
        <v>222</v>
      </c>
      <c r="AN914" s="89" t="s">
        <v>737</v>
      </c>
    </row>
    <row r="915" spans="10:40" x14ac:dyDescent="0.25">
      <c r="J915" s="77" t="s">
        <v>410</v>
      </c>
      <c r="K915" s="77" t="s">
        <v>1060</v>
      </c>
      <c r="AM915" s="89" t="s">
        <v>222</v>
      </c>
      <c r="AN915" s="89" t="s">
        <v>738</v>
      </c>
    </row>
    <row r="916" spans="10:40" ht="30" x14ac:dyDescent="0.25">
      <c r="J916" s="77" t="s">
        <v>410</v>
      </c>
      <c r="K916" s="77" t="s">
        <v>1081</v>
      </c>
      <c r="AM916" s="89" t="s">
        <v>222</v>
      </c>
      <c r="AN916" s="89" t="s">
        <v>739</v>
      </c>
    </row>
    <row r="917" spans="10:40" ht="30" x14ac:dyDescent="0.25">
      <c r="J917" s="77"/>
      <c r="K917" s="77"/>
      <c r="AM917" s="89" t="s">
        <v>222</v>
      </c>
      <c r="AN917" s="89" t="s">
        <v>418</v>
      </c>
    </row>
    <row r="918" spans="10:40" ht="30" x14ac:dyDescent="0.25">
      <c r="J918" s="77" t="s">
        <v>221</v>
      </c>
      <c r="K918" s="77" t="s">
        <v>701</v>
      </c>
      <c r="AM918" s="89" t="s">
        <v>411</v>
      </c>
      <c r="AN918" s="89" t="s">
        <v>418</v>
      </c>
    </row>
    <row r="919" spans="10:40" ht="30" x14ac:dyDescent="0.25">
      <c r="J919" s="77" t="s">
        <v>221</v>
      </c>
      <c r="K919" s="77" t="s">
        <v>702</v>
      </c>
      <c r="AM919" s="89" t="s">
        <v>412</v>
      </c>
      <c r="AN919" s="89" t="s">
        <v>418</v>
      </c>
    </row>
    <row r="920" spans="10:40" x14ac:dyDescent="0.25">
      <c r="J920" s="77" t="s">
        <v>221</v>
      </c>
      <c r="K920" s="77" t="s">
        <v>703</v>
      </c>
      <c r="AM920" s="89" t="s">
        <v>412</v>
      </c>
      <c r="AN920" s="89" t="s">
        <v>1055</v>
      </c>
    </row>
    <row r="921" spans="10:40" x14ac:dyDescent="0.25">
      <c r="J921" s="77" t="s">
        <v>221</v>
      </c>
      <c r="K921" s="77" t="s">
        <v>704</v>
      </c>
      <c r="AM921" s="89" t="s">
        <v>412</v>
      </c>
      <c r="AN921" s="89" t="s">
        <v>1063</v>
      </c>
    </row>
    <row r="922" spans="10:40" x14ac:dyDescent="0.25">
      <c r="J922" s="77" t="s">
        <v>222</v>
      </c>
      <c r="K922" s="77" t="s">
        <v>222</v>
      </c>
      <c r="AM922" s="89" t="s">
        <v>412</v>
      </c>
      <c r="AN922" s="89" t="s">
        <v>1079</v>
      </c>
    </row>
    <row r="923" spans="10:40" x14ac:dyDescent="0.25">
      <c r="J923" s="77" t="s">
        <v>222</v>
      </c>
      <c r="K923" s="77" t="s">
        <v>725</v>
      </c>
      <c r="AM923" s="89" t="s">
        <v>412</v>
      </c>
      <c r="AN923" s="89" t="s">
        <v>1087</v>
      </c>
    </row>
    <row r="924" spans="10:40" x14ac:dyDescent="0.25">
      <c r="J924" s="77" t="s">
        <v>222</v>
      </c>
      <c r="K924" s="77" t="s">
        <v>736</v>
      </c>
      <c r="AM924" s="89" t="s">
        <v>228</v>
      </c>
      <c r="AN924" s="89" t="s">
        <v>228</v>
      </c>
    </row>
    <row r="925" spans="10:40" ht="30" x14ac:dyDescent="0.25">
      <c r="J925" s="77" t="s">
        <v>222</v>
      </c>
      <c r="K925" s="77" t="s">
        <v>737</v>
      </c>
      <c r="AM925" s="89" t="s">
        <v>228</v>
      </c>
      <c r="AN925" s="89" t="s">
        <v>418</v>
      </c>
    </row>
    <row r="926" spans="10:40" x14ac:dyDescent="0.25">
      <c r="J926" s="77" t="s">
        <v>222</v>
      </c>
      <c r="K926" s="77" t="s">
        <v>738</v>
      </c>
      <c r="AM926" s="89" t="s">
        <v>228</v>
      </c>
      <c r="AN926" s="89" t="s">
        <v>958</v>
      </c>
    </row>
    <row r="927" spans="10:40" ht="30" x14ac:dyDescent="0.25">
      <c r="J927" s="77" t="s">
        <v>222</v>
      </c>
      <c r="K927" s="77" t="s">
        <v>739</v>
      </c>
      <c r="AM927" s="89" t="s">
        <v>228</v>
      </c>
      <c r="AN927" s="89" t="s">
        <v>959</v>
      </c>
    </row>
    <row r="928" spans="10:40" x14ac:dyDescent="0.25">
      <c r="J928" s="77"/>
      <c r="K928" s="77"/>
      <c r="AM928" s="89" t="s">
        <v>228</v>
      </c>
      <c r="AN928" s="89" t="s">
        <v>960</v>
      </c>
    </row>
    <row r="929" spans="10:40" x14ac:dyDescent="0.25">
      <c r="J929" s="77"/>
      <c r="K929" s="77"/>
      <c r="AM929" s="89" t="s">
        <v>394</v>
      </c>
      <c r="AN929" s="89" t="s">
        <v>775</v>
      </c>
    </row>
    <row r="930" spans="10:40" x14ac:dyDescent="0.25">
      <c r="J930" s="77"/>
      <c r="K930" s="77"/>
      <c r="AM930" s="89" t="s">
        <v>394</v>
      </c>
      <c r="AN930" s="89" t="s">
        <v>776</v>
      </c>
    </row>
    <row r="931" spans="10:40" x14ac:dyDescent="0.25">
      <c r="J931" s="77" t="s">
        <v>412</v>
      </c>
      <c r="K931" s="77" t="s">
        <v>1055</v>
      </c>
      <c r="AM931" s="89" t="s">
        <v>394</v>
      </c>
      <c r="AN931" s="89" t="s">
        <v>777</v>
      </c>
    </row>
    <row r="932" spans="10:40" ht="30" x14ac:dyDescent="0.25">
      <c r="J932" s="77" t="s">
        <v>412</v>
      </c>
      <c r="K932" s="77" t="s">
        <v>1063</v>
      </c>
      <c r="AM932" s="89" t="s">
        <v>394</v>
      </c>
      <c r="AN932" s="89" t="s">
        <v>418</v>
      </c>
    </row>
    <row r="933" spans="10:40" ht="30" x14ac:dyDescent="0.25">
      <c r="J933" s="77" t="s">
        <v>412</v>
      </c>
      <c r="K933" s="77" t="s">
        <v>1079</v>
      </c>
      <c r="AM933" s="89" t="s">
        <v>413</v>
      </c>
      <c r="AN933" s="89" t="s">
        <v>418</v>
      </c>
    </row>
    <row r="934" spans="10:40" x14ac:dyDescent="0.25">
      <c r="J934" s="77" t="s">
        <v>412</v>
      </c>
      <c r="K934" s="77" t="s">
        <v>1087</v>
      </c>
      <c r="AM934" s="89" t="s">
        <v>413</v>
      </c>
      <c r="AN934" s="89" t="s">
        <v>1076</v>
      </c>
    </row>
    <row r="935" spans="10:40" x14ac:dyDescent="0.25">
      <c r="J935" s="77" t="s">
        <v>228</v>
      </c>
      <c r="K935" s="77" t="s">
        <v>228</v>
      </c>
      <c r="AM935" s="89" t="s">
        <v>291</v>
      </c>
      <c r="AN935" s="89" t="s">
        <v>1102</v>
      </c>
    </row>
    <row r="936" spans="10:40" x14ac:dyDescent="0.25">
      <c r="J936" s="77"/>
      <c r="K936" s="77"/>
      <c r="AM936" s="89" t="s">
        <v>291</v>
      </c>
      <c r="AN936" s="89" t="s">
        <v>1106</v>
      </c>
    </row>
    <row r="937" spans="10:40" x14ac:dyDescent="0.25">
      <c r="J937" s="77" t="s">
        <v>228</v>
      </c>
      <c r="K937" s="77" t="s">
        <v>958</v>
      </c>
      <c r="AM937" s="89" t="s">
        <v>291</v>
      </c>
      <c r="AN937" s="89" t="s">
        <v>1107</v>
      </c>
    </row>
    <row r="938" spans="10:40" x14ac:dyDescent="0.25">
      <c r="J938" s="77" t="s">
        <v>228</v>
      </c>
      <c r="K938" s="77" t="s">
        <v>959</v>
      </c>
      <c r="AM938" s="89" t="s">
        <v>291</v>
      </c>
      <c r="AN938" s="89" t="s">
        <v>291</v>
      </c>
    </row>
    <row r="939" spans="10:40" x14ac:dyDescent="0.25">
      <c r="J939" s="77" t="s">
        <v>228</v>
      </c>
      <c r="K939" s="77" t="s">
        <v>960</v>
      </c>
      <c r="AM939" s="89" t="s">
        <v>291</v>
      </c>
      <c r="AN939" s="89" t="s">
        <v>1109</v>
      </c>
    </row>
    <row r="940" spans="10:40" ht="30" x14ac:dyDescent="0.25">
      <c r="J940" s="77" t="s">
        <v>394</v>
      </c>
      <c r="K940" s="77" t="s">
        <v>775</v>
      </c>
      <c r="AM940" s="89" t="s">
        <v>291</v>
      </c>
      <c r="AN940" s="89" t="s">
        <v>418</v>
      </c>
    </row>
    <row r="941" spans="10:40" ht="30" x14ac:dyDescent="0.25">
      <c r="J941" s="77" t="s">
        <v>394</v>
      </c>
      <c r="K941" s="77" t="s">
        <v>776</v>
      </c>
      <c r="AM941" s="89" t="s">
        <v>415</v>
      </c>
      <c r="AN941" s="89" t="s">
        <v>418</v>
      </c>
    </row>
    <row r="942" spans="10:40" ht="30" x14ac:dyDescent="0.25">
      <c r="J942" s="77" t="s">
        <v>394</v>
      </c>
      <c r="K942" s="77" t="s">
        <v>777</v>
      </c>
      <c r="AM942" s="89" t="s">
        <v>415</v>
      </c>
      <c r="AN942" s="89" t="s">
        <v>418</v>
      </c>
    </row>
    <row r="943" spans="10:40" ht="30" x14ac:dyDescent="0.25">
      <c r="J943" s="77"/>
      <c r="K943" s="77"/>
      <c r="AM943" s="89" t="s">
        <v>415</v>
      </c>
      <c r="AN943" s="89" t="s">
        <v>418</v>
      </c>
    </row>
    <row r="944" spans="10:40" ht="30" x14ac:dyDescent="0.25">
      <c r="J944" s="77"/>
      <c r="K944" s="77"/>
      <c r="AM944" s="89" t="s">
        <v>415</v>
      </c>
      <c r="AN944" s="89" t="s">
        <v>418</v>
      </c>
    </row>
    <row r="945" spans="10:40" ht="30" x14ac:dyDescent="0.25">
      <c r="J945" s="77" t="s">
        <v>413</v>
      </c>
      <c r="K945" s="77" t="s">
        <v>1076</v>
      </c>
      <c r="AM945" s="89" t="s">
        <v>415</v>
      </c>
      <c r="AN945" s="89" t="s">
        <v>418</v>
      </c>
    </row>
    <row r="946" spans="10:40" ht="30" x14ac:dyDescent="0.25">
      <c r="J946" s="77" t="s">
        <v>291</v>
      </c>
      <c r="K946" s="77" t="s">
        <v>1102</v>
      </c>
      <c r="AM946" s="89" t="s">
        <v>415</v>
      </c>
      <c r="AN946" s="89" t="s">
        <v>418</v>
      </c>
    </row>
    <row r="947" spans="10:40" ht="30" x14ac:dyDescent="0.25">
      <c r="J947" s="77" t="s">
        <v>291</v>
      </c>
      <c r="K947" s="77" t="s">
        <v>1106</v>
      </c>
      <c r="AM947" s="89" t="s">
        <v>415</v>
      </c>
      <c r="AN947" s="89" t="s">
        <v>418</v>
      </c>
    </row>
    <row r="948" spans="10:40" ht="30" x14ac:dyDescent="0.25">
      <c r="J948" s="77" t="s">
        <v>291</v>
      </c>
      <c r="K948" s="77" t="s">
        <v>1107</v>
      </c>
      <c r="AM948" s="89" t="s">
        <v>415</v>
      </c>
      <c r="AN948" s="89" t="s">
        <v>418</v>
      </c>
    </row>
    <row r="949" spans="10:40" ht="30" x14ac:dyDescent="0.25">
      <c r="J949" s="77" t="s">
        <v>291</v>
      </c>
      <c r="K949" s="77" t="s">
        <v>291</v>
      </c>
      <c r="AM949" s="89" t="s">
        <v>415</v>
      </c>
      <c r="AN949" s="89" t="s">
        <v>418</v>
      </c>
    </row>
    <row r="950" spans="10:40" ht="30" x14ac:dyDescent="0.25">
      <c r="J950" s="77" t="s">
        <v>291</v>
      </c>
      <c r="K950" s="77" t="s">
        <v>1109</v>
      </c>
      <c r="AM950" s="89" t="s">
        <v>415</v>
      </c>
      <c r="AN950" s="89" t="s">
        <v>418</v>
      </c>
    </row>
    <row r="951" spans="10:40" ht="30" x14ac:dyDescent="0.25">
      <c r="J951" s="77"/>
      <c r="K951" s="77"/>
      <c r="AM951" s="89" t="s">
        <v>415</v>
      </c>
      <c r="AN951" s="89" t="s">
        <v>418</v>
      </c>
    </row>
    <row r="952" spans="10:40" ht="30" x14ac:dyDescent="0.25">
      <c r="J952" s="77"/>
      <c r="K952" s="77"/>
      <c r="AM952" s="89" t="s">
        <v>415</v>
      </c>
      <c r="AN952" s="89" t="s">
        <v>418</v>
      </c>
    </row>
    <row r="953" spans="10:40" ht="30" x14ac:dyDescent="0.25">
      <c r="J953" s="77" t="s">
        <v>223</v>
      </c>
      <c r="K953" s="77" t="s">
        <v>223</v>
      </c>
      <c r="AM953" s="89" t="s">
        <v>415</v>
      </c>
      <c r="AN953" s="89" t="s">
        <v>418</v>
      </c>
    </row>
    <row r="954" spans="10:40" ht="30" x14ac:dyDescent="0.25">
      <c r="J954" s="77" t="s">
        <v>223</v>
      </c>
      <c r="K954" s="77" t="s">
        <v>778</v>
      </c>
      <c r="AM954" s="89" t="s">
        <v>415</v>
      </c>
      <c r="AN954" s="89" t="s">
        <v>418</v>
      </c>
    </row>
    <row r="955" spans="10:40" ht="30" x14ac:dyDescent="0.25">
      <c r="J955" s="77" t="s">
        <v>223</v>
      </c>
      <c r="K955" s="77" t="s">
        <v>779</v>
      </c>
      <c r="AM955" s="89" t="s">
        <v>415</v>
      </c>
      <c r="AN955" s="89" t="s">
        <v>418</v>
      </c>
    </row>
    <row r="956" spans="10:40" ht="30" x14ac:dyDescent="0.25">
      <c r="J956" s="77" t="s">
        <v>223</v>
      </c>
      <c r="K956" s="77" t="s">
        <v>780</v>
      </c>
      <c r="AM956" s="89" t="s">
        <v>415</v>
      </c>
      <c r="AN956" s="89" t="s">
        <v>418</v>
      </c>
    </row>
    <row r="957" spans="10:40" ht="30" x14ac:dyDescent="0.25">
      <c r="J957" s="77" t="s">
        <v>223</v>
      </c>
      <c r="K957" s="77" t="s">
        <v>781</v>
      </c>
      <c r="AM957" s="89" t="s">
        <v>415</v>
      </c>
      <c r="AN957" s="89" t="s">
        <v>418</v>
      </c>
    </row>
    <row r="958" spans="10:40" ht="30" x14ac:dyDescent="0.25">
      <c r="J958" s="77"/>
      <c r="K958" s="77"/>
      <c r="AM958" s="89" t="s">
        <v>415</v>
      </c>
      <c r="AN958" s="89" t="s">
        <v>418</v>
      </c>
    </row>
    <row r="959" spans="10:40" x14ac:dyDescent="0.25">
      <c r="J959" s="77" t="s">
        <v>337</v>
      </c>
      <c r="K959" s="77" t="s">
        <v>611</v>
      </c>
      <c r="AM959" s="89" t="s">
        <v>223</v>
      </c>
      <c r="AN959" s="89" t="s">
        <v>778</v>
      </c>
    </row>
    <row r="960" spans="10:40" x14ac:dyDescent="0.25">
      <c r="J960" s="77" t="s">
        <v>337</v>
      </c>
      <c r="K960" s="77" t="s">
        <v>612</v>
      </c>
      <c r="AM960" s="89" t="s">
        <v>223</v>
      </c>
      <c r="AN960" s="89" t="s">
        <v>779</v>
      </c>
    </row>
    <row r="961" spans="10:40" x14ac:dyDescent="0.25">
      <c r="J961" s="77" t="s">
        <v>337</v>
      </c>
      <c r="K961" s="77" t="s">
        <v>613</v>
      </c>
      <c r="AM961" s="89" t="s">
        <v>223</v>
      </c>
      <c r="AN961" s="89" t="s">
        <v>780</v>
      </c>
    </row>
    <row r="962" spans="10:40" x14ac:dyDescent="0.25">
      <c r="J962" s="77" t="s">
        <v>337</v>
      </c>
      <c r="K962" s="77" t="s">
        <v>615</v>
      </c>
      <c r="AM962" s="89" t="s">
        <v>223</v>
      </c>
      <c r="AN962" s="89" t="s">
        <v>781</v>
      </c>
    </row>
    <row r="963" spans="10:40" ht="30" x14ac:dyDescent="0.25">
      <c r="J963" s="77" t="s">
        <v>337</v>
      </c>
      <c r="K963" s="77" t="s">
        <v>337</v>
      </c>
      <c r="AM963" s="89" t="s">
        <v>223</v>
      </c>
      <c r="AN963" s="89" t="s">
        <v>418</v>
      </c>
    </row>
    <row r="964" spans="10:40" x14ac:dyDescent="0.25">
      <c r="J964" s="77"/>
      <c r="K964" s="77"/>
      <c r="AM964" s="89" t="s">
        <v>337</v>
      </c>
      <c r="AN964" s="89" t="s">
        <v>611</v>
      </c>
    </row>
    <row r="965" spans="10:40" x14ac:dyDescent="0.25">
      <c r="J965" s="77" t="s">
        <v>332</v>
      </c>
      <c r="K965" s="77" t="s">
        <v>594</v>
      </c>
      <c r="AM965" s="89" t="s">
        <v>337</v>
      </c>
      <c r="AN965" s="89" t="s">
        <v>612</v>
      </c>
    </row>
    <row r="966" spans="10:40" x14ac:dyDescent="0.25">
      <c r="J966" s="77" t="s">
        <v>332</v>
      </c>
      <c r="K966" s="77" t="s">
        <v>596</v>
      </c>
      <c r="AM966" s="89" t="s">
        <v>337</v>
      </c>
      <c r="AN966" s="89" t="s">
        <v>613</v>
      </c>
    </row>
    <row r="967" spans="10:40" x14ac:dyDescent="0.25">
      <c r="J967" s="77"/>
      <c r="K967" s="77"/>
      <c r="AM967" s="89" t="s">
        <v>337</v>
      </c>
      <c r="AN967" s="89" t="s">
        <v>615</v>
      </c>
    </row>
    <row r="968" spans="10:40" x14ac:dyDescent="0.25">
      <c r="J968" s="77" t="s">
        <v>289</v>
      </c>
      <c r="K968" s="77" t="s">
        <v>1097</v>
      </c>
      <c r="AM968" s="89" t="s">
        <v>337</v>
      </c>
      <c r="AN968" s="89" t="s">
        <v>337</v>
      </c>
    </row>
    <row r="969" spans="10:40" ht="30" x14ac:dyDescent="0.25">
      <c r="J969" s="77" t="s">
        <v>289</v>
      </c>
      <c r="K969" s="77" t="s">
        <v>244</v>
      </c>
      <c r="AM969" s="89" t="s">
        <v>337</v>
      </c>
      <c r="AN969" s="89" t="s">
        <v>418</v>
      </c>
    </row>
    <row r="970" spans="10:40" x14ac:dyDescent="0.25">
      <c r="J970" s="77" t="s">
        <v>289</v>
      </c>
      <c r="K970" s="77" t="s">
        <v>289</v>
      </c>
      <c r="AM970" s="89" t="s">
        <v>332</v>
      </c>
      <c r="AN970" s="89" t="s">
        <v>594</v>
      </c>
    </row>
    <row r="971" spans="10:40" x14ac:dyDescent="0.25">
      <c r="J971" s="77"/>
      <c r="K971" s="77"/>
      <c r="AM971" s="89" t="s">
        <v>332</v>
      </c>
      <c r="AN971" s="89" t="s">
        <v>596</v>
      </c>
    </row>
    <row r="972" spans="10:40" ht="30" x14ac:dyDescent="0.25">
      <c r="J972" s="77" t="s">
        <v>233</v>
      </c>
      <c r="K972" s="77" t="s">
        <v>1051</v>
      </c>
      <c r="AM972" s="89" t="s">
        <v>332</v>
      </c>
      <c r="AN972" s="89" t="s">
        <v>418</v>
      </c>
    </row>
    <row r="973" spans="10:40" x14ac:dyDescent="0.25">
      <c r="J973" s="77" t="s">
        <v>233</v>
      </c>
      <c r="K973" s="77" t="s">
        <v>1053</v>
      </c>
      <c r="AM973" s="89" t="s">
        <v>289</v>
      </c>
      <c r="AN973" s="89" t="s">
        <v>1097</v>
      </c>
    </row>
    <row r="974" spans="10:40" x14ac:dyDescent="0.25">
      <c r="J974" s="77"/>
      <c r="K974" s="77"/>
      <c r="AM974" s="89" t="s">
        <v>289</v>
      </c>
      <c r="AN974" s="89" t="s">
        <v>244</v>
      </c>
    </row>
    <row r="975" spans="10:40" x14ac:dyDescent="0.25">
      <c r="J975" s="77" t="s">
        <v>180</v>
      </c>
      <c r="K975" s="77" t="s">
        <v>180</v>
      </c>
      <c r="AM975" s="89" t="s">
        <v>289</v>
      </c>
      <c r="AN975" s="89" t="s">
        <v>289</v>
      </c>
    </row>
    <row r="976" spans="10:40" ht="30" x14ac:dyDescent="0.25">
      <c r="J976" s="77"/>
      <c r="K976" s="77"/>
      <c r="AM976" s="89" t="s">
        <v>289</v>
      </c>
      <c r="AN976" s="89" t="s">
        <v>418</v>
      </c>
    </row>
    <row r="977" spans="10:40" x14ac:dyDescent="0.25">
      <c r="J977" s="77" t="s">
        <v>180</v>
      </c>
      <c r="K977" s="77" t="s">
        <v>1084</v>
      </c>
      <c r="AM977" s="89" t="s">
        <v>233</v>
      </c>
      <c r="AN977" s="89" t="s">
        <v>1051</v>
      </c>
    </row>
    <row r="978" spans="10:40" x14ac:dyDescent="0.25">
      <c r="J978" s="77" t="s">
        <v>335</v>
      </c>
      <c r="K978" s="77" t="s">
        <v>603</v>
      </c>
      <c r="AM978" s="89" t="s">
        <v>233</v>
      </c>
      <c r="AN978" s="89" t="s">
        <v>1053</v>
      </c>
    </row>
    <row r="979" spans="10:40" ht="30" x14ac:dyDescent="0.25">
      <c r="J979" s="77" t="s">
        <v>335</v>
      </c>
      <c r="K979" s="77" t="s">
        <v>237</v>
      </c>
      <c r="AM979" s="89" t="s">
        <v>233</v>
      </c>
      <c r="AN979" s="89" t="s">
        <v>418</v>
      </c>
    </row>
    <row r="980" spans="10:40" x14ac:dyDescent="0.25">
      <c r="J980" s="77" t="s">
        <v>335</v>
      </c>
      <c r="K980" s="77" t="s">
        <v>335</v>
      </c>
      <c r="AM980" s="89" t="s">
        <v>180</v>
      </c>
      <c r="AN980" s="89" t="s">
        <v>180</v>
      </c>
    </row>
    <row r="981" spans="10:40" ht="30" x14ac:dyDescent="0.25">
      <c r="J981" s="77"/>
      <c r="K981" s="77"/>
      <c r="AM981" s="89" t="s">
        <v>180</v>
      </c>
      <c r="AN981" s="89" t="s">
        <v>418</v>
      </c>
    </row>
    <row r="982" spans="10:40" x14ac:dyDescent="0.25">
      <c r="J982" s="77" t="s">
        <v>227</v>
      </c>
      <c r="K982" s="77" t="s">
        <v>239</v>
      </c>
      <c r="AM982" s="89" t="s">
        <v>180</v>
      </c>
      <c r="AN982" s="89" t="s">
        <v>1084</v>
      </c>
    </row>
    <row r="983" spans="10:40" x14ac:dyDescent="0.25">
      <c r="J983" s="77"/>
      <c r="K983" s="77"/>
      <c r="AM983" s="89" t="s">
        <v>180</v>
      </c>
      <c r="AN983" s="89" t="s">
        <v>1084</v>
      </c>
    </row>
    <row r="984" spans="10:40" x14ac:dyDescent="0.25">
      <c r="J984" s="77" t="s">
        <v>234</v>
      </c>
      <c r="K984" s="77" t="s">
        <v>1042</v>
      </c>
      <c r="AM984" s="89" t="s">
        <v>335</v>
      </c>
      <c r="AN984" s="89" t="s">
        <v>603</v>
      </c>
    </row>
    <row r="985" spans="10:40" x14ac:dyDescent="0.25">
      <c r="J985" s="77" t="s">
        <v>234</v>
      </c>
      <c r="K985" s="77" t="s">
        <v>1052</v>
      </c>
      <c r="AM985" s="89" t="s">
        <v>335</v>
      </c>
      <c r="AN985" s="89" t="s">
        <v>237</v>
      </c>
    </row>
    <row r="986" spans="10:40" x14ac:dyDescent="0.25">
      <c r="J986" s="77"/>
      <c r="K986" s="77"/>
      <c r="AM986" s="89" t="s">
        <v>335</v>
      </c>
      <c r="AN986" s="89" t="s">
        <v>335</v>
      </c>
    </row>
    <row r="987" spans="10:40" ht="30" x14ac:dyDescent="0.25">
      <c r="J987" s="77" t="s">
        <v>349</v>
      </c>
      <c r="K987" s="77" t="s">
        <v>825</v>
      </c>
      <c r="AM987" s="89" t="s">
        <v>335</v>
      </c>
      <c r="AN987" s="89" t="s">
        <v>418</v>
      </c>
    </row>
    <row r="988" spans="10:40" x14ac:dyDescent="0.25">
      <c r="J988" s="77" t="s">
        <v>349</v>
      </c>
      <c r="K988" s="77" t="s">
        <v>833</v>
      </c>
      <c r="AM988" s="89" t="s">
        <v>227</v>
      </c>
      <c r="AN988" s="89" t="s">
        <v>239</v>
      </c>
    </row>
    <row r="989" spans="10:40" ht="30" x14ac:dyDescent="0.25">
      <c r="J989" s="77" t="s">
        <v>349</v>
      </c>
      <c r="K989" s="77" t="s">
        <v>840</v>
      </c>
      <c r="AM989" s="89" t="s">
        <v>227</v>
      </c>
      <c r="AN989" s="89" t="s">
        <v>418</v>
      </c>
    </row>
    <row r="990" spans="10:40" x14ac:dyDescent="0.25">
      <c r="J990" s="77" t="s">
        <v>349</v>
      </c>
      <c r="K990" s="77" t="s">
        <v>846</v>
      </c>
      <c r="AM990" s="89" t="s">
        <v>234</v>
      </c>
      <c r="AN990" s="89" t="s">
        <v>1042</v>
      </c>
    </row>
    <row r="991" spans="10:40" x14ac:dyDescent="0.25">
      <c r="J991" s="77" t="s">
        <v>349</v>
      </c>
      <c r="K991" s="77" t="s">
        <v>867</v>
      </c>
      <c r="AM991" s="89" t="s">
        <v>234</v>
      </c>
      <c r="AN991" s="89" t="s">
        <v>1052</v>
      </c>
    </row>
    <row r="992" spans="10:40" ht="30" x14ac:dyDescent="0.25">
      <c r="J992" s="77" t="s">
        <v>349</v>
      </c>
      <c r="K992" s="77" t="s">
        <v>869</v>
      </c>
      <c r="AM992" s="89" t="s">
        <v>234</v>
      </c>
      <c r="AN992" s="89" t="s">
        <v>418</v>
      </c>
    </row>
    <row r="993" spans="10:40" x14ac:dyDescent="0.25">
      <c r="J993" s="77" t="s">
        <v>349</v>
      </c>
      <c r="K993" s="77" t="s">
        <v>880</v>
      </c>
      <c r="AM993" s="89" t="s">
        <v>349</v>
      </c>
      <c r="AN993" s="89" t="s">
        <v>825</v>
      </c>
    </row>
    <row r="994" spans="10:40" x14ac:dyDescent="0.25">
      <c r="J994" s="77" t="s">
        <v>349</v>
      </c>
      <c r="K994" s="77" t="s">
        <v>886</v>
      </c>
      <c r="AM994" s="89" t="s">
        <v>349</v>
      </c>
      <c r="AN994" s="89" t="s">
        <v>840</v>
      </c>
    </row>
    <row r="995" spans="10:40" x14ac:dyDescent="0.25">
      <c r="J995" s="77" t="s">
        <v>349</v>
      </c>
      <c r="K995" s="77" t="s">
        <v>899</v>
      </c>
      <c r="AM995" s="89" t="s">
        <v>349</v>
      </c>
      <c r="AN995" s="89" t="s">
        <v>846</v>
      </c>
    </row>
    <row r="996" spans="10:40" x14ac:dyDescent="0.25">
      <c r="J996" s="77" t="s">
        <v>349</v>
      </c>
      <c r="K996" s="77" t="s">
        <v>900</v>
      </c>
      <c r="AM996" s="89" t="s">
        <v>349</v>
      </c>
      <c r="AN996" s="89" t="s">
        <v>867</v>
      </c>
    </row>
    <row r="997" spans="10:40" x14ac:dyDescent="0.25">
      <c r="J997" s="77" t="s">
        <v>349</v>
      </c>
      <c r="K997" s="77" t="s">
        <v>930</v>
      </c>
      <c r="AM997" s="89" t="s">
        <v>349</v>
      </c>
      <c r="AN997" s="89" t="s">
        <v>869</v>
      </c>
    </row>
    <row r="998" spans="10:40" ht="30" x14ac:dyDescent="0.25">
      <c r="J998" s="77" t="s">
        <v>349</v>
      </c>
      <c r="K998" s="77" t="s">
        <v>937</v>
      </c>
      <c r="AM998" s="89" t="s">
        <v>349</v>
      </c>
      <c r="AN998" s="89" t="s">
        <v>880</v>
      </c>
    </row>
    <row r="999" spans="10:40" x14ac:dyDescent="0.25">
      <c r="J999" s="77" t="s">
        <v>349</v>
      </c>
      <c r="K999" s="77" t="s">
        <v>947</v>
      </c>
      <c r="AM999" s="89" t="s">
        <v>349</v>
      </c>
      <c r="AN999" s="89" t="s">
        <v>886</v>
      </c>
    </row>
    <row r="1000" spans="10:40" x14ac:dyDescent="0.25">
      <c r="J1000" s="77"/>
      <c r="K1000" s="77"/>
      <c r="AM1000" s="89" t="s">
        <v>349</v>
      </c>
      <c r="AN1000" s="89" t="s">
        <v>899</v>
      </c>
    </row>
    <row r="1001" spans="10:40" x14ac:dyDescent="0.25">
      <c r="AM1001" s="89" t="s">
        <v>349</v>
      </c>
      <c r="AN1001" s="89" t="s">
        <v>900</v>
      </c>
    </row>
    <row r="1002" spans="10:40" x14ac:dyDescent="0.25">
      <c r="AM1002" s="89" t="s">
        <v>349</v>
      </c>
      <c r="AN1002" s="89" t="s">
        <v>930</v>
      </c>
    </row>
    <row r="1003" spans="10:40" ht="30" x14ac:dyDescent="0.25">
      <c r="AM1003" s="89" t="s">
        <v>349</v>
      </c>
      <c r="AN1003" s="89" t="s">
        <v>937</v>
      </c>
    </row>
    <row r="1004" spans="10:40" x14ac:dyDescent="0.25">
      <c r="AM1004" s="89" t="s">
        <v>349</v>
      </c>
      <c r="AN1004" s="89" t="s">
        <v>947</v>
      </c>
    </row>
    <row r="1005" spans="10:40" ht="30" x14ac:dyDescent="0.25">
      <c r="AM1005" s="89" t="s">
        <v>349</v>
      </c>
      <c r="AN1005" s="89" t="s">
        <v>418</v>
      </c>
    </row>
  </sheetData>
  <sortState xmlns:xlrd2="http://schemas.microsoft.com/office/spreadsheetml/2017/richdata2" ref="AM5:AN1005">
    <sortCondition ref="AM5"/>
  </sortState>
  <mergeCells count="2">
    <mergeCell ref="Y3:Z3"/>
    <mergeCell ref="AB3:AC3"/>
  </mergeCells>
  <dataValidations count="4">
    <dataValidation type="list" allowBlank="1" showInputMessage="1" showErrorMessage="1" sqref="H1" xr:uid="{00000000-0002-0000-0000-000000000000}">
      <formula1>OFFSET(MunicipioStart3,MATCH(I1,MunicipioColumn3,0),1,COUNTIF(MunicipioColumn3,I1),1)</formula1>
    </dataValidation>
    <dataValidation type="list" allowBlank="1" showInputMessage="1" showErrorMessage="1" sqref="J1" xr:uid="{00000000-0002-0000-0000-000001000000}">
      <formula1>OFFSET(ComunaStart3,MATCH(I1,ComunaColumn3,0),1,COUNTIF(ComunaColumn3,I1),1)</formula1>
    </dataValidation>
    <dataValidation type="list" allowBlank="1" showInputMessage="1" showErrorMessage="1" sqref="X2" xr:uid="{00000000-0002-0000-0000-000002000000}">
      <formula1>OFFSET(AreasTPIStart,MATCH(X1,AreasTPI,0),1,COUNTIF(AreasTPI,X1),1)</formula1>
    </dataValidation>
    <dataValidation type="list" allowBlank="1" showInputMessage="1" showErrorMessage="1" sqref="AB2" xr:uid="{00000000-0002-0000-0000-000003000000}">
      <formula1>OFFSET(AreasTPIIStart,MATCH(AB1,AreasTPII,0),1,COUNTIF(AreasTPII,AB1),1)</formula1>
    </dataValidation>
  </dataValidations>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79"/>
  <sheetViews>
    <sheetView showGridLines="0" workbookViewId="0">
      <selection activeCell="AQ16" sqref="AQ16"/>
    </sheetView>
  </sheetViews>
  <sheetFormatPr defaultColWidth="9.140625" defaultRowHeight="15" x14ac:dyDescent="0.25"/>
  <cols>
    <col min="1" max="3" width="4.85546875" style="3" customWidth="1"/>
    <col min="4" max="4" width="6.7109375" style="3" bestFit="1" customWidth="1"/>
    <col min="5" max="6" width="5.85546875" style="3" customWidth="1"/>
    <col min="7" max="7" width="2.7109375" style="3" customWidth="1"/>
    <col min="8" max="9" width="4.7109375" style="3" customWidth="1"/>
    <col min="10" max="11" width="4.28515625" style="3" customWidth="1"/>
    <col min="12" max="12" width="3.7109375" style="3" customWidth="1"/>
    <col min="13" max="13" width="3.85546875" style="3" customWidth="1"/>
    <col min="14" max="14" width="4.85546875" style="3" customWidth="1"/>
    <col min="15" max="16" width="3.28515625" style="3" customWidth="1"/>
    <col min="17" max="17" width="4.7109375" style="3" customWidth="1"/>
    <col min="18" max="18" width="6.42578125" style="3" customWidth="1"/>
    <col min="19" max="19" width="3.85546875" style="3" customWidth="1"/>
    <col min="20" max="20" width="3.7109375" style="3" customWidth="1"/>
    <col min="21" max="21" width="6.42578125" style="3" customWidth="1"/>
    <col min="22" max="22" width="5.28515625" style="3" customWidth="1"/>
    <col min="23" max="23" width="4.7109375" style="3" customWidth="1"/>
    <col min="24" max="24" width="4" style="3" customWidth="1"/>
    <col min="25" max="25" width="4.28515625" style="3" customWidth="1"/>
    <col min="26" max="26" width="5" style="3" customWidth="1"/>
    <col min="27" max="27" width="4.28515625" style="3" customWidth="1"/>
    <col min="28" max="28" width="4.140625" style="3" customWidth="1"/>
    <col min="29" max="29" width="4.5703125" style="3" customWidth="1"/>
    <col min="30" max="30" width="2" style="3" customWidth="1"/>
    <col min="31" max="31" width="4.5703125" style="3" customWidth="1"/>
    <col min="32" max="32" width="4.7109375" style="3" customWidth="1"/>
    <col min="33" max="33" width="4.5703125" style="3" customWidth="1"/>
    <col min="34" max="34" width="4.28515625" style="3" customWidth="1"/>
    <col min="35" max="35" width="5" style="3" customWidth="1"/>
    <col min="36" max="36" width="4.28515625" style="3" customWidth="1"/>
    <col min="37" max="37" width="3.28515625" style="3" customWidth="1"/>
    <col min="38" max="38" width="4.140625" style="3" customWidth="1"/>
    <col min="39" max="39" width="5.42578125" style="3" customWidth="1"/>
    <col min="40" max="40" width="3.28515625" style="3" customWidth="1"/>
    <col min="41" max="41" width="4" style="3" customWidth="1"/>
    <col min="42" max="43" width="3.28515625" style="3" customWidth="1"/>
    <col min="44" max="44" width="4.42578125" style="3" customWidth="1"/>
    <col min="45" max="47" width="3.28515625" style="3" customWidth="1"/>
    <col min="48" max="48" width="14.85546875" style="3" customWidth="1"/>
    <col min="49" max="49" width="10.28515625" style="3" bestFit="1" customWidth="1"/>
    <col min="50" max="50" width="11" style="3" bestFit="1" customWidth="1"/>
    <col min="51" max="51" width="13.140625" style="3" bestFit="1" customWidth="1"/>
    <col min="52" max="52" width="5.5703125" style="3" bestFit="1" customWidth="1"/>
    <col min="53" max="69" width="3.28515625" style="3" customWidth="1"/>
    <col min="70" max="16384" width="9.140625" style="3"/>
  </cols>
  <sheetData>
    <row r="1" spans="1:44" ht="6" customHeight="1" x14ac:dyDescent="0.25">
      <c r="A1" s="2">
        <v>1</v>
      </c>
    </row>
    <row r="2" spans="1:44" ht="3.75" customHeight="1" x14ac:dyDescent="0.25">
      <c r="A2" s="4">
        <v>1</v>
      </c>
      <c r="B2" s="5"/>
      <c r="C2" s="5"/>
      <c r="D2" s="5"/>
      <c r="E2" s="5"/>
      <c r="F2" s="5"/>
      <c r="G2" s="5"/>
      <c r="H2" s="5"/>
      <c r="I2" s="5"/>
      <c r="J2" s="5"/>
      <c r="K2" s="5"/>
      <c r="L2" s="5"/>
      <c r="M2" s="5"/>
      <c r="N2" s="5"/>
      <c r="O2" s="5"/>
      <c r="P2" s="5"/>
      <c r="Q2" s="5"/>
      <c r="R2" s="5"/>
      <c r="S2" s="26"/>
    </row>
    <row r="3" spans="1:44" ht="12" customHeight="1" x14ac:dyDescent="0.25">
      <c r="A3" s="7">
        <v>1</v>
      </c>
      <c r="F3" s="254" t="s">
        <v>0</v>
      </c>
      <c r="G3" s="254"/>
      <c r="H3" s="254"/>
      <c r="I3" s="254"/>
      <c r="J3" s="254"/>
      <c r="K3" s="254"/>
      <c r="L3" s="254"/>
      <c r="M3" s="254"/>
      <c r="N3" s="254"/>
      <c r="O3" s="254"/>
      <c r="P3" s="254"/>
      <c r="Q3" s="254"/>
      <c r="R3" s="254"/>
      <c r="S3" s="255"/>
      <c r="U3" s="218" t="s">
        <v>101</v>
      </c>
      <c r="V3" s="219"/>
      <c r="W3" s="219"/>
      <c r="X3" s="219"/>
      <c r="Y3" s="219"/>
      <c r="Z3" s="219"/>
      <c r="AA3" s="219"/>
      <c r="AB3" s="219"/>
      <c r="AC3" s="220"/>
      <c r="AD3" s="6"/>
    </row>
    <row r="4" spans="1:44" x14ac:dyDescent="0.25">
      <c r="A4" s="7">
        <v>1</v>
      </c>
      <c r="F4" s="254" t="s">
        <v>1</v>
      </c>
      <c r="G4" s="254"/>
      <c r="H4" s="254"/>
      <c r="I4" s="254"/>
      <c r="J4" s="254"/>
      <c r="K4" s="254"/>
      <c r="L4" s="254"/>
      <c r="M4" s="254"/>
      <c r="N4" s="254"/>
      <c r="O4" s="254"/>
      <c r="P4" s="254"/>
      <c r="Q4" s="254"/>
      <c r="R4" s="254"/>
      <c r="S4" s="255"/>
      <c r="U4" s="232" t="s">
        <v>151</v>
      </c>
      <c r="V4" s="233"/>
      <c r="W4" s="233"/>
      <c r="X4" s="234"/>
      <c r="Y4" s="204"/>
      <c r="Z4" s="205"/>
      <c r="AA4" s="205"/>
      <c r="AB4" s="205"/>
      <c r="AC4" s="206"/>
      <c r="AD4" s="6"/>
    </row>
    <row r="5" spans="1:44" x14ac:dyDescent="0.25">
      <c r="A5" s="7">
        <v>1</v>
      </c>
      <c r="F5" s="228" t="s">
        <v>2</v>
      </c>
      <c r="G5" s="228"/>
      <c r="H5" s="228"/>
      <c r="I5" s="228"/>
      <c r="J5" s="228"/>
      <c r="K5" s="228"/>
      <c r="L5" s="228"/>
      <c r="M5" s="228"/>
      <c r="N5" s="228"/>
      <c r="O5" s="228"/>
      <c r="P5" s="228"/>
      <c r="Q5" s="228"/>
      <c r="R5" s="228"/>
      <c r="S5" s="229"/>
      <c r="U5" s="232" t="s">
        <v>152</v>
      </c>
      <c r="V5" s="233"/>
      <c r="W5" s="233"/>
      <c r="X5" s="234"/>
      <c r="Y5" s="204"/>
      <c r="Z5" s="205"/>
      <c r="AA5" s="205"/>
      <c r="AB5" s="205"/>
      <c r="AC5" s="206"/>
      <c r="AD5" s="6"/>
    </row>
    <row r="6" spans="1:44" ht="18" customHeight="1" x14ac:dyDescent="0.25">
      <c r="A6" s="7">
        <v>1</v>
      </c>
      <c r="F6" s="228" t="s">
        <v>4</v>
      </c>
      <c r="G6" s="228"/>
      <c r="H6" s="228"/>
      <c r="I6" s="228"/>
      <c r="J6" s="228"/>
      <c r="K6" s="228"/>
      <c r="L6" s="228"/>
      <c r="M6" s="228"/>
      <c r="N6" s="228"/>
      <c r="O6" s="228"/>
      <c r="P6" s="228"/>
      <c r="Q6" s="228"/>
      <c r="R6" s="228"/>
      <c r="S6" s="229"/>
      <c r="U6" s="232" t="s">
        <v>153</v>
      </c>
      <c r="V6" s="233"/>
      <c r="W6" s="233"/>
      <c r="X6" s="234"/>
      <c r="Y6" s="204"/>
      <c r="Z6" s="205"/>
      <c r="AA6" s="205"/>
      <c r="AB6" s="205"/>
      <c r="AC6" s="206"/>
      <c r="AD6" s="6"/>
      <c r="AG6" s="89"/>
    </row>
    <row r="7" spans="1:44" ht="16.5" customHeight="1" x14ac:dyDescent="0.25">
      <c r="A7" s="7">
        <v>1</v>
      </c>
      <c r="F7" s="230" t="s">
        <v>31</v>
      </c>
      <c r="G7" s="230"/>
      <c r="H7" s="230"/>
      <c r="I7" s="230"/>
      <c r="J7" s="230"/>
      <c r="K7" s="230"/>
      <c r="L7" s="230"/>
      <c r="M7" s="230"/>
      <c r="N7" s="230"/>
      <c r="O7" s="230"/>
      <c r="P7" s="230"/>
      <c r="Q7" s="230"/>
      <c r="R7" s="230"/>
      <c r="S7" s="231"/>
      <c r="U7" s="232" t="s">
        <v>154</v>
      </c>
      <c r="V7" s="233"/>
      <c r="W7" s="233"/>
      <c r="X7" s="233"/>
      <c r="Y7" s="204"/>
      <c r="Z7" s="205"/>
      <c r="AA7" s="205"/>
      <c r="AB7" s="205"/>
      <c r="AC7" s="206"/>
      <c r="AD7" s="6"/>
      <c r="AG7" s="89"/>
    </row>
    <row r="8" spans="1:44" ht="17.25" customHeight="1" x14ac:dyDescent="0.25">
      <c r="A8" s="146" t="s">
        <v>1467</v>
      </c>
      <c r="B8" s="147"/>
      <c r="C8" s="148"/>
      <c r="D8" s="149" t="s">
        <v>1466</v>
      </c>
      <c r="E8" s="150">
        <v>3</v>
      </c>
      <c r="F8" s="8"/>
      <c r="G8" s="8"/>
      <c r="H8" s="8"/>
      <c r="I8" s="225" t="s">
        <v>163</v>
      </c>
      <c r="J8" s="225"/>
      <c r="K8" s="225"/>
      <c r="L8" s="225"/>
      <c r="M8" s="225"/>
      <c r="N8" s="239"/>
      <c r="O8" s="240"/>
      <c r="P8" s="240"/>
      <c r="Q8" s="241"/>
      <c r="R8" s="145"/>
      <c r="S8" s="144"/>
      <c r="U8" s="6"/>
      <c r="V8" s="6"/>
      <c r="W8" s="6"/>
      <c r="X8" s="6"/>
      <c r="Y8" s="6"/>
      <c r="Z8" s="6"/>
      <c r="AA8" s="6"/>
      <c r="AB8" s="6"/>
      <c r="AC8" s="6"/>
      <c r="AD8" s="6"/>
      <c r="AG8" s="89"/>
    </row>
    <row r="9" spans="1:44" ht="12.75" customHeight="1" x14ac:dyDescent="0.25">
      <c r="A9" s="104">
        <v>1</v>
      </c>
      <c r="B9" s="6"/>
      <c r="C9" s="6"/>
      <c r="D9" s="6"/>
      <c r="E9" s="6"/>
      <c r="F9" s="6"/>
      <c r="G9" s="6"/>
      <c r="H9" s="6"/>
      <c r="I9" s="6"/>
      <c r="J9" s="6"/>
      <c r="K9" s="6"/>
      <c r="L9" s="6"/>
      <c r="M9" s="6"/>
      <c r="N9" s="6"/>
      <c r="O9" s="6"/>
      <c r="P9" s="6"/>
      <c r="Q9" s="6"/>
      <c r="R9" s="6"/>
      <c r="S9" s="6"/>
      <c r="T9" s="6"/>
      <c r="U9" s="218" t="s">
        <v>39</v>
      </c>
      <c r="V9" s="219"/>
      <c r="W9" s="219"/>
      <c r="X9" s="219"/>
      <c r="Y9" s="219"/>
      <c r="Z9" s="219"/>
      <c r="AA9" s="219"/>
      <c r="AB9" s="219"/>
      <c r="AC9" s="220"/>
      <c r="AD9" s="6"/>
      <c r="AG9" s="89"/>
      <c r="AR9" s="6"/>
    </row>
    <row r="10" spans="1:44" ht="12.75" customHeight="1" x14ac:dyDescent="0.25">
      <c r="A10" s="218" t="s">
        <v>103</v>
      </c>
      <c r="B10" s="219"/>
      <c r="C10" s="219"/>
      <c r="D10" s="219"/>
      <c r="E10" s="219"/>
      <c r="F10" s="219"/>
      <c r="G10" s="220"/>
      <c r="H10" s="224"/>
      <c r="I10" s="224"/>
      <c r="J10" s="224"/>
      <c r="K10" s="224"/>
      <c r="L10" s="224"/>
      <c r="M10" s="224"/>
      <c r="N10" s="224"/>
      <c r="O10" s="224"/>
      <c r="P10" s="224"/>
      <c r="Q10" s="224"/>
      <c r="R10" s="224"/>
      <c r="S10" s="224"/>
      <c r="T10" s="6"/>
      <c r="U10" s="232" t="s">
        <v>97</v>
      </c>
      <c r="V10" s="233"/>
      <c r="W10" s="233"/>
      <c r="X10" s="234"/>
      <c r="Y10" s="201"/>
      <c r="Z10" s="202"/>
      <c r="AA10" s="202"/>
      <c r="AB10" s="202"/>
      <c r="AC10" s="203"/>
      <c r="AD10" s="6"/>
      <c r="AG10" s="89"/>
      <c r="AR10" s="6"/>
    </row>
    <row r="11" spans="1:44" ht="12.75" customHeight="1" x14ac:dyDescent="0.25">
      <c r="A11" s="218" t="s">
        <v>1111</v>
      </c>
      <c r="B11" s="219"/>
      <c r="C11" s="219"/>
      <c r="D11" s="219"/>
      <c r="E11" s="219"/>
      <c r="F11" s="219"/>
      <c r="G11" s="220"/>
      <c r="H11" s="226"/>
      <c r="I11" s="226"/>
      <c r="J11" s="226"/>
      <c r="K11" s="226"/>
      <c r="L11" s="226"/>
      <c r="M11" s="226"/>
      <c r="N11" s="226"/>
      <c r="O11" s="226"/>
      <c r="P11" s="226"/>
      <c r="Q11" s="226"/>
      <c r="R11" s="226"/>
      <c r="S11" s="226"/>
      <c r="T11" s="6"/>
      <c r="U11" s="232" t="s">
        <v>98</v>
      </c>
      <c r="V11" s="233"/>
      <c r="W11" s="233"/>
      <c r="X11" s="234"/>
      <c r="Y11" s="201"/>
      <c r="Z11" s="202"/>
      <c r="AA11" s="202"/>
      <c r="AB11" s="202"/>
      <c r="AC11" s="203"/>
      <c r="AD11" s="6"/>
      <c r="AG11" s="89"/>
      <c r="AR11" s="6"/>
    </row>
    <row r="12" spans="1:44" ht="12.75" customHeight="1" x14ac:dyDescent="0.25">
      <c r="A12" s="218" t="s">
        <v>127</v>
      </c>
      <c r="B12" s="219"/>
      <c r="C12" s="219"/>
      <c r="D12" s="219"/>
      <c r="E12" s="219"/>
      <c r="F12" s="219"/>
      <c r="G12" s="220"/>
      <c r="H12" s="226"/>
      <c r="I12" s="226"/>
      <c r="J12" s="226"/>
      <c r="K12" s="226"/>
      <c r="L12" s="226"/>
      <c r="M12" s="226"/>
      <c r="N12" s="226"/>
      <c r="O12" s="226"/>
      <c r="P12" s="226"/>
      <c r="Q12" s="226"/>
      <c r="R12" s="226"/>
      <c r="S12" s="226"/>
      <c r="T12" s="6"/>
      <c r="U12" s="6"/>
      <c r="V12" s="6"/>
      <c r="W12" s="6"/>
      <c r="X12" s="6"/>
      <c r="Y12" s="6"/>
      <c r="Z12" s="6"/>
      <c r="AA12" s="6"/>
      <c r="AB12" s="6"/>
      <c r="AC12" s="6"/>
      <c r="AD12" s="6"/>
      <c r="AG12" s="89"/>
      <c r="AR12" s="6"/>
    </row>
    <row r="13" spans="1:44" ht="12.75" customHeight="1" x14ac:dyDescent="0.25">
      <c r="A13" s="10">
        <v>1</v>
      </c>
      <c r="B13" s="6"/>
      <c r="C13" s="6"/>
      <c r="D13" s="6"/>
      <c r="E13" s="6"/>
      <c r="F13" s="6"/>
      <c r="G13" s="6"/>
      <c r="H13" s="6"/>
      <c r="I13" s="6"/>
      <c r="J13" s="6"/>
      <c r="K13" s="6"/>
      <c r="L13" s="6"/>
      <c r="M13" s="6"/>
      <c r="N13" s="6"/>
      <c r="O13" s="6"/>
      <c r="P13" s="6"/>
      <c r="Q13" s="6"/>
      <c r="R13" s="6"/>
      <c r="S13" s="6"/>
      <c r="T13" s="6"/>
      <c r="U13" s="256" t="s">
        <v>94</v>
      </c>
      <c r="V13" s="257"/>
      <c r="W13" s="257"/>
      <c r="X13" s="258"/>
      <c r="Y13" s="259"/>
      <c r="Z13" s="260"/>
      <c r="AA13" s="260"/>
      <c r="AB13" s="260"/>
      <c r="AC13" s="261"/>
      <c r="AD13" s="6"/>
      <c r="AG13" s="89"/>
      <c r="AR13" s="6"/>
    </row>
    <row r="14" spans="1:44" ht="12.75" customHeight="1" x14ac:dyDescent="0.25">
      <c r="A14" s="236" t="s">
        <v>95</v>
      </c>
      <c r="B14" s="237"/>
      <c r="C14" s="237"/>
      <c r="D14" s="237"/>
      <c r="E14" s="237"/>
      <c r="F14" s="238"/>
      <c r="G14" s="235" t="s">
        <v>96</v>
      </c>
      <c r="H14" s="235"/>
      <c r="I14" s="235"/>
      <c r="J14" s="235"/>
      <c r="K14" s="235"/>
      <c r="L14" s="235"/>
      <c r="M14" s="235"/>
      <c r="N14" s="235" t="s">
        <v>1164</v>
      </c>
      <c r="O14" s="235"/>
      <c r="P14" s="235"/>
      <c r="Q14" s="235"/>
      <c r="R14" s="235"/>
      <c r="S14" s="235"/>
      <c r="T14" s="6"/>
      <c r="U14" s="6"/>
      <c r="V14" s="6"/>
      <c r="W14" s="6"/>
      <c r="X14" s="6"/>
      <c r="Y14" s="6"/>
      <c r="Z14" s="6"/>
      <c r="AA14" s="6"/>
      <c r="AB14" s="6"/>
      <c r="AC14" s="6"/>
      <c r="AD14" s="6"/>
      <c r="AG14" s="89"/>
      <c r="AR14" s="6"/>
    </row>
    <row r="15" spans="1:44" ht="12.75" customHeight="1" x14ac:dyDescent="0.25">
      <c r="A15" s="227" t="s">
        <v>155</v>
      </c>
      <c r="B15" s="227"/>
      <c r="C15" s="227"/>
      <c r="D15" s="227"/>
      <c r="E15" s="227"/>
      <c r="F15" s="227"/>
      <c r="G15" s="224"/>
      <c r="H15" s="224"/>
      <c r="I15" s="224"/>
      <c r="J15" s="224"/>
      <c r="K15" s="224"/>
      <c r="L15" s="224"/>
      <c r="M15" s="224"/>
      <c r="N15" s="201"/>
      <c r="O15" s="202"/>
      <c r="P15" s="202"/>
      <c r="Q15" s="202"/>
      <c r="R15" s="202"/>
      <c r="S15" s="203"/>
      <c r="T15" s="6"/>
      <c r="U15" s="262" t="s">
        <v>112</v>
      </c>
      <c r="V15" s="262"/>
      <c r="W15" s="262"/>
      <c r="X15" s="262"/>
      <c r="Y15" s="262"/>
      <c r="Z15" s="262"/>
      <c r="AA15" s="262"/>
      <c r="AB15" s="235" t="s">
        <v>99</v>
      </c>
      <c r="AC15" s="235"/>
      <c r="AD15" s="6"/>
      <c r="AR15" s="6"/>
    </row>
    <row r="16" spans="1:44" ht="12.75" customHeight="1" x14ac:dyDescent="0.25">
      <c r="A16" s="227" t="s">
        <v>156</v>
      </c>
      <c r="B16" s="227"/>
      <c r="C16" s="227"/>
      <c r="D16" s="227"/>
      <c r="E16" s="227"/>
      <c r="F16" s="227"/>
      <c r="G16" s="224"/>
      <c r="H16" s="224"/>
      <c r="I16" s="224"/>
      <c r="J16" s="224"/>
      <c r="K16" s="224"/>
      <c r="L16" s="224"/>
      <c r="M16" s="224"/>
      <c r="N16" s="201"/>
      <c r="O16" s="202"/>
      <c r="P16" s="202"/>
      <c r="Q16" s="202"/>
      <c r="R16" s="202"/>
      <c r="S16" s="203"/>
      <c r="T16" s="6"/>
      <c r="U16" s="232" t="s">
        <v>114</v>
      </c>
      <c r="V16" s="233"/>
      <c r="W16" s="233"/>
      <c r="X16" s="233"/>
      <c r="Y16" s="233"/>
      <c r="Z16" s="233"/>
      <c r="AA16" s="234"/>
      <c r="AB16" s="204"/>
      <c r="AC16" s="206"/>
      <c r="AD16" s="6"/>
      <c r="AR16" s="6"/>
    </row>
    <row r="17" spans="1:44" ht="12.75" customHeight="1" x14ac:dyDescent="0.25">
      <c r="A17" s="227" t="s">
        <v>157</v>
      </c>
      <c r="B17" s="227"/>
      <c r="C17" s="227"/>
      <c r="D17" s="227"/>
      <c r="E17" s="227"/>
      <c r="F17" s="227"/>
      <c r="G17" s="224"/>
      <c r="H17" s="224"/>
      <c r="I17" s="224"/>
      <c r="J17" s="224"/>
      <c r="K17" s="224"/>
      <c r="L17" s="224"/>
      <c r="M17" s="224"/>
      <c r="N17" s="201"/>
      <c r="O17" s="202"/>
      <c r="P17" s="202"/>
      <c r="Q17" s="202"/>
      <c r="R17" s="202"/>
      <c r="S17" s="203"/>
      <c r="T17" s="13"/>
      <c r="U17" s="232" t="s">
        <v>113</v>
      </c>
      <c r="V17" s="233"/>
      <c r="W17" s="233"/>
      <c r="X17" s="233"/>
      <c r="Y17" s="233"/>
      <c r="Z17" s="233"/>
      <c r="AA17" s="234"/>
      <c r="AB17" s="207">
        <f>Q34+AB34</f>
        <v>0</v>
      </c>
      <c r="AC17" s="209"/>
      <c r="AD17" s="6"/>
      <c r="AH17" s="89"/>
      <c r="AR17" s="6"/>
    </row>
    <row r="18" spans="1:44" ht="12.75" customHeight="1" x14ac:dyDescent="0.25">
      <c r="A18" s="227" t="s">
        <v>158</v>
      </c>
      <c r="B18" s="227"/>
      <c r="C18" s="227"/>
      <c r="D18" s="227"/>
      <c r="E18" s="227"/>
      <c r="F18" s="227"/>
      <c r="G18" s="226"/>
      <c r="H18" s="226"/>
      <c r="I18" s="226"/>
      <c r="J18" s="226"/>
      <c r="K18" s="226"/>
      <c r="L18" s="226"/>
      <c r="M18" s="226"/>
      <c r="N18" s="201"/>
      <c r="O18" s="202"/>
      <c r="P18" s="202"/>
      <c r="Q18" s="202"/>
      <c r="R18" s="202"/>
      <c r="S18" s="203"/>
      <c r="T18" s="6"/>
      <c r="U18" s="14"/>
      <c r="V18" s="14"/>
      <c r="W18" s="14"/>
      <c r="X18" s="14"/>
      <c r="Y18" s="14"/>
      <c r="Z18" s="14"/>
      <c r="AA18" s="14"/>
      <c r="AB18" s="9"/>
      <c r="AC18" s="9"/>
      <c r="AD18" s="6"/>
      <c r="AH18" s="89"/>
      <c r="AR18" s="6"/>
    </row>
    <row r="19" spans="1:44" ht="12.75" customHeight="1" x14ac:dyDescent="0.25">
      <c r="A19" s="227" t="s">
        <v>159</v>
      </c>
      <c r="B19" s="227"/>
      <c r="C19" s="227"/>
      <c r="D19" s="227"/>
      <c r="E19" s="227"/>
      <c r="F19" s="227"/>
      <c r="G19" s="226"/>
      <c r="H19" s="226"/>
      <c r="I19" s="226"/>
      <c r="J19" s="226"/>
      <c r="K19" s="226"/>
      <c r="L19" s="226"/>
      <c r="M19" s="226"/>
      <c r="N19" s="201"/>
      <c r="O19" s="202"/>
      <c r="P19" s="202"/>
      <c r="Q19" s="202"/>
      <c r="R19" s="202"/>
      <c r="S19" s="203"/>
      <c r="T19" s="6"/>
      <c r="U19" s="232" t="s">
        <v>130</v>
      </c>
      <c r="V19" s="233"/>
      <c r="W19" s="233"/>
      <c r="X19" s="233"/>
      <c r="Y19" s="233"/>
      <c r="Z19" s="233"/>
      <c r="AA19" s="234"/>
      <c r="AB19" s="204"/>
      <c r="AC19" s="206"/>
      <c r="AD19" s="6"/>
      <c r="AH19" s="89"/>
      <c r="AR19" s="6"/>
    </row>
    <row r="20" spans="1:44" ht="12.75" customHeight="1" x14ac:dyDescent="0.25">
      <c r="A20" s="227" t="s">
        <v>160</v>
      </c>
      <c r="B20" s="227"/>
      <c r="C20" s="227"/>
      <c r="D20" s="227"/>
      <c r="E20" s="227"/>
      <c r="F20" s="227"/>
      <c r="G20" s="226"/>
      <c r="H20" s="226"/>
      <c r="I20" s="226"/>
      <c r="J20" s="226"/>
      <c r="K20" s="226"/>
      <c r="L20" s="226"/>
      <c r="M20" s="226"/>
      <c r="N20" s="201"/>
      <c r="O20" s="202"/>
      <c r="P20" s="202"/>
      <c r="Q20" s="202"/>
      <c r="R20" s="202"/>
      <c r="S20" s="203"/>
      <c r="T20" s="6"/>
      <c r="U20" s="232" t="s">
        <v>109</v>
      </c>
      <c r="V20" s="233"/>
      <c r="W20" s="233"/>
      <c r="X20" s="233"/>
      <c r="Y20" s="233"/>
      <c r="Z20" s="233"/>
      <c r="AA20" s="234"/>
      <c r="AB20" s="204"/>
      <c r="AC20" s="206"/>
      <c r="AD20" s="6"/>
      <c r="AH20" s="89"/>
      <c r="AR20" s="6"/>
    </row>
    <row r="21" spans="1:44" ht="12.75" customHeight="1" x14ac:dyDescent="0.25">
      <c r="A21" s="227" t="s">
        <v>161</v>
      </c>
      <c r="B21" s="227"/>
      <c r="C21" s="227"/>
      <c r="D21" s="227"/>
      <c r="E21" s="227"/>
      <c r="F21" s="227"/>
      <c r="G21" s="224"/>
      <c r="H21" s="224"/>
      <c r="I21" s="224"/>
      <c r="J21" s="224"/>
      <c r="K21" s="224"/>
      <c r="L21" s="224"/>
      <c r="M21" s="224"/>
      <c r="N21" s="201"/>
      <c r="O21" s="202"/>
      <c r="P21" s="202"/>
      <c r="Q21" s="202"/>
      <c r="R21" s="202"/>
      <c r="S21" s="203"/>
      <c r="T21" s="6"/>
      <c r="U21" s="232" t="s">
        <v>102</v>
      </c>
      <c r="V21" s="233"/>
      <c r="W21" s="233"/>
      <c r="X21" s="233"/>
      <c r="Y21" s="233"/>
      <c r="Z21" s="233"/>
      <c r="AA21" s="234"/>
      <c r="AB21" s="204"/>
      <c r="AC21" s="206"/>
      <c r="AD21" s="6"/>
      <c r="AH21" s="89"/>
      <c r="AR21" s="6"/>
    </row>
    <row r="22" spans="1:44" ht="12.75" customHeight="1" x14ac:dyDescent="0.25">
      <c r="A22" s="227" t="s">
        <v>162</v>
      </c>
      <c r="B22" s="227"/>
      <c r="C22" s="227"/>
      <c r="D22" s="227"/>
      <c r="E22" s="227"/>
      <c r="F22" s="227"/>
      <c r="G22" s="224"/>
      <c r="H22" s="224"/>
      <c r="I22" s="224"/>
      <c r="J22" s="224"/>
      <c r="K22" s="224"/>
      <c r="L22" s="224"/>
      <c r="M22" s="224"/>
      <c r="N22" s="201"/>
      <c r="O22" s="202"/>
      <c r="P22" s="202"/>
      <c r="Q22" s="202"/>
      <c r="R22" s="202"/>
      <c r="S22" s="203"/>
      <c r="T22" s="6"/>
      <c r="U22" s="232" t="s">
        <v>143</v>
      </c>
      <c r="V22" s="233"/>
      <c r="W22" s="233"/>
      <c r="X22" s="233"/>
      <c r="Y22" s="233"/>
      <c r="Z22" s="233"/>
      <c r="AA22" s="234"/>
      <c r="AB22" s="204"/>
      <c r="AC22" s="206"/>
      <c r="AD22" s="6"/>
      <c r="AH22" s="89"/>
      <c r="AR22" s="6"/>
    </row>
    <row r="23" spans="1:44" ht="12.75" customHeight="1" x14ac:dyDescent="0.25">
      <c r="A23" s="10">
        <v>1</v>
      </c>
      <c r="B23" s="6"/>
      <c r="C23" s="6"/>
      <c r="D23" s="6"/>
      <c r="E23" s="6"/>
      <c r="F23" s="6"/>
      <c r="G23" s="6"/>
      <c r="H23" s="6"/>
      <c r="I23" s="6"/>
      <c r="J23" s="6"/>
      <c r="K23" s="6"/>
      <c r="L23" s="6"/>
      <c r="M23" s="6"/>
      <c r="N23" s="6"/>
      <c r="O23" s="6"/>
      <c r="P23" s="6"/>
      <c r="Q23" s="6"/>
      <c r="R23" s="6"/>
      <c r="S23" s="6"/>
      <c r="T23" s="118"/>
      <c r="U23" s="6"/>
      <c r="V23" s="6"/>
      <c r="W23" s="6"/>
      <c r="X23" s="6"/>
      <c r="Y23" s="6"/>
      <c r="Z23" s="6"/>
      <c r="AA23" s="6"/>
      <c r="AB23" s="6"/>
      <c r="AC23" s="6"/>
      <c r="AD23" s="6"/>
      <c r="AH23" s="89"/>
      <c r="AR23" s="6"/>
    </row>
    <row r="24" spans="1:44" x14ac:dyDescent="0.25">
      <c r="A24" s="21" t="s">
        <v>135</v>
      </c>
      <c r="B24" s="22"/>
      <c r="C24" s="22"/>
      <c r="D24" s="22"/>
      <c r="E24" s="22"/>
      <c r="F24" s="22"/>
      <c r="G24" s="22"/>
      <c r="H24" s="22"/>
      <c r="I24" s="22"/>
      <c r="J24" s="23"/>
      <c r="K24" s="218" t="s">
        <v>99</v>
      </c>
      <c r="L24" s="219"/>
      <c r="M24" s="220"/>
      <c r="U24" s="232" t="s">
        <v>18</v>
      </c>
      <c r="V24" s="233"/>
      <c r="W24" s="233"/>
      <c r="X24" s="233"/>
      <c r="Y24" s="233"/>
      <c r="Z24" s="233"/>
      <c r="AA24" s="234"/>
      <c r="AB24" s="204"/>
      <c r="AC24" s="206"/>
      <c r="AD24" s="6"/>
      <c r="AH24" s="89"/>
      <c r="AR24" s="6"/>
    </row>
    <row r="25" spans="1:44" ht="13.5" customHeight="1" x14ac:dyDescent="0.25">
      <c r="A25" s="232" t="s">
        <v>106</v>
      </c>
      <c r="B25" s="233"/>
      <c r="C25" s="233"/>
      <c r="D25" s="233"/>
      <c r="E25" s="233"/>
      <c r="F25" s="233"/>
      <c r="G25" s="233"/>
      <c r="H25" s="233"/>
      <c r="I25" s="233"/>
      <c r="J25" s="234"/>
      <c r="K25" s="201"/>
      <c r="L25" s="202"/>
      <c r="M25" s="203"/>
      <c r="U25" s="232" t="s">
        <v>110</v>
      </c>
      <c r="V25" s="233"/>
      <c r="W25" s="233"/>
      <c r="X25" s="233"/>
      <c r="Y25" s="233"/>
      <c r="Z25" s="233"/>
      <c r="AA25" s="234"/>
      <c r="AB25" s="204"/>
      <c r="AC25" s="206"/>
      <c r="AD25" s="143"/>
      <c r="AR25" s="6"/>
    </row>
    <row r="26" spans="1:44" ht="13.5" customHeight="1" x14ac:dyDescent="0.25">
      <c r="A26" s="232" t="s">
        <v>107</v>
      </c>
      <c r="B26" s="233"/>
      <c r="C26" s="233"/>
      <c r="D26" s="233"/>
      <c r="E26" s="233"/>
      <c r="F26" s="233"/>
      <c r="G26" s="233"/>
      <c r="H26" s="233"/>
      <c r="I26" s="233"/>
      <c r="J26" s="234"/>
      <c r="K26" s="201"/>
      <c r="L26" s="202"/>
      <c r="M26" s="203"/>
      <c r="U26" s="232" t="s">
        <v>131</v>
      </c>
      <c r="V26" s="233"/>
      <c r="W26" s="233"/>
      <c r="X26" s="233"/>
      <c r="Y26" s="233"/>
      <c r="Z26" s="233"/>
      <c r="AA26" s="234"/>
      <c r="AB26" s="204"/>
      <c r="AC26" s="206"/>
      <c r="AD26" s="6"/>
      <c r="AR26" s="6"/>
    </row>
    <row r="27" spans="1:44" ht="13.5" customHeight="1" x14ac:dyDescent="0.25">
      <c r="A27" s="232" t="s">
        <v>1136</v>
      </c>
      <c r="B27" s="233"/>
      <c r="C27" s="233"/>
      <c r="D27" s="233"/>
      <c r="E27" s="233"/>
      <c r="F27" s="233"/>
      <c r="G27" s="233"/>
      <c r="H27" s="233"/>
      <c r="I27" s="233"/>
      <c r="J27" s="234"/>
      <c r="K27" s="201"/>
      <c r="L27" s="202"/>
      <c r="M27" s="203"/>
      <c r="U27" s="6"/>
      <c r="V27" s="6"/>
      <c r="W27" s="6"/>
      <c r="X27" s="6"/>
      <c r="Y27" s="6"/>
      <c r="Z27" s="6"/>
      <c r="AA27" s="6"/>
      <c r="AB27" s="6"/>
      <c r="AC27" s="6"/>
      <c r="AD27" s="6"/>
      <c r="AR27" s="6"/>
    </row>
    <row r="28" spans="1:44" ht="13.5" customHeight="1" x14ac:dyDescent="0.25">
      <c r="A28" s="2" t="s">
        <v>1115</v>
      </c>
      <c r="AD28" s="6"/>
      <c r="AR28" s="6"/>
    </row>
    <row r="29" spans="1:44" ht="13.5" customHeight="1" x14ac:dyDescent="0.25">
      <c r="A29" s="27" t="s">
        <v>1115</v>
      </c>
      <c r="B29" s="19"/>
      <c r="C29" s="19"/>
      <c r="D29" s="19"/>
      <c r="E29" s="19"/>
      <c r="F29" s="20"/>
      <c r="G29" s="218" t="s">
        <v>272</v>
      </c>
      <c r="H29" s="219"/>
      <c r="I29" s="219"/>
      <c r="J29" s="219"/>
      <c r="K29" s="219"/>
      <c r="L29" s="219"/>
      <c r="M29" s="219"/>
      <c r="N29" s="219"/>
      <c r="O29" s="219"/>
      <c r="P29" s="219"/>
      <c r="Q29" s="219"/>
      <c r="R29" s="220"/>
      <c r="S29" s="218" t="s">
        <v>117</v>
      </c>
      <c r="T29" s="219"/>
      <c r="U29" s="219"/>
      <c r="V29" s="219"/>
      <c r="W29" s="219"/>
      <c r="X29" s="219"/>
      <c r="Y29" s="219"/>
      <c r="Z29" s="219"/>
      <c r="AA29" s="219"/>
      <c r="AB29" s="219"/>
      <c r="AC29" s="220"/>
      <c r="AD29" s="6"/>
      <c r="AR29" s="6"/>
    </row>
    <row r="30" spans="1:44" ht="13.5" customHeight="1" x14ac:dyDescent="0.25">
      <c r="A30" s="28" t="s">
        <v>1115</v>
      </c>
      <c r="B30" s="24"/>
      <c r="C30" s="24"/>
      <c r="D30" s="24"/>
      <c r="E30" s="24"/>
      <c r="F30" s="25"/>
      <c r="G30" s="263" t="s">
        <v>22</v>
      </c>
      <c r="H30" s="264"/>
      <c r="I30" s="265"/>
      <c r="J30" s="242" t="s">
        <v>23</v>
      </c>
      <c r="K30" s="243"/>
      <c r="L30" s="244"/>
      <c r="M30" s="242" t="s">
        <v>24</v>
      </c>
      <c r="N30" s="243"/>
      <c r="O30" s="243"/>
      <c r="P30" s="244"/>
      <c r="Q30" s="245" t="s">
        <v>15</v>
      </c>
      <c r="R30" s="246"/>
      <c r="S30" s="242" t="s">
        <v>22</v>
      </c>
      <c r="T30" s="243"/>
      <c r="U30" s="244"/>
      <c r="V30" s="242" t="s">
        <v>23</v>
      </c>
      <c r="W30" s="243"/>
      <c r="X30" s="244"/>
      <c r="Y30" s="242" t="s">
        <v>24</v>
      </c>
      <c r="Z30" s="243"/>
      <c r="AA30" s="244"/>
      <c r="AB30" s="245" t="s">
        <v>15</v>
      </c>
      <c r="AC30" s="246"/>
      <c r="AD30" s="6"/>
      <c r="AR30" s="6"/>
    </row>
    <row r="31" spans="1:44" ht="13.5" customHeight="1" x14ac:dyDescent="0.25">
      <c r="A31" s="248" t="s">
        <v>1455</v>
      </c>
      <c r="B31" s="249"/>
      <c r="C31" s="249"/>
      <c r="D31" s="249"/>
      <c r="E31" s="249"/>
      <c r="F31" s="250"/>
      <c r="G31" s="204"/>
      <c r="H31" s="205"/>
      <c r="I31" s="206"/>
      <c r="J31" s="204"/>
      <c r="K31" s="205"/>
      <c r="L31" s="206"/>
      <c r="M31" s="204"/>
      <c r="N31" s="205"/>
      <c r="O31" s="205"/>
      <c r="P31" s="206"/>
      <c r="Q31" s="211">
        <f>SUM(G31:P31)</f>
        <v>0</v>
      </c>
      <c r="R31" s="213"/>
      <c r="S31" s="204"/>
      <c r="T31" s="205"/>
      <c r="U31" s="206"/>
      <c r="V31" s="204"/>
      <c r="W31" s="205"/>
      <c r="X31" s="206"/>
      <c r="Y31" s="204"/>
      <c r="Z31" s="205"/>
      <c r="AA31" s="206"/>
      <c r="AB31" s="211">
        <f>SUM(S31:AA31)</f>
        <v>0</v>
      </c>
      <c r="AC31" s="213"/>
      <c r="AD31" s="6"/>
      <c r="AR31" s="6"/>
    </row>
    <row r="32" spans="1:44" ht="13.5" customHeight="1" x14ac:dyDescent="0.25">
      <c r="A32" s="248" t="s">
        <v>25</v>
      </c>
      <c r="B32" s="249"/>
      <c r="C32" s="249"/>
      <c r="D32" s="249"/>
      <c r="E32" s="249"/>
      <c r="F32" s="250"/>
      <c r="G32" s="204"/>
      <c r="H32" s="205"/>
      <c r="I32" s="206"/>
      <c r="J32" s="204"/>
      <c r="K32" s="205"/>
      <c r="L32" s="206"/>
      <c r="M32" s="204"/>
      <c r="N32" s="205"/>
      <c r="O32" s="205"/>
      <c r="P32" s="206"/>
      <c r="Q32" s="211">
        <f>SUM(G32:P32)</f>
        <v>0</v>
      </c>
      <c r="R32" s="213"/>
      <c r="S32" s="204"/>
      <c r="T32" s="205"/>
      <c r="U32" s="206"/>
      <c r="V32" s="204"/>
      <c r="W32" s="205"/>
      <c r="X32" s="206"/>
      <c r="Y32" s="204"/>
      <c r="Z32" s="205"/>
      <c r="AA32" s="206"/>
      <c r="AB32" s="211">
        <f>SUM(S32:AA32)</f>
        <v>0</v>
      </c>
      <c r="AC32" s="213"/>
      <c r="AD32" s="6"/>
      <c r="AR32" s="6"/>
    </row>
    <row r="33" spans="1:44" ht="13.5" customHeight="1" x14ac:dyDescent="0.25">
      <c r="A33" s="248" t="s">
        <v>26</v>
      </c>
      <c r="B33" s="249"/>
      <c r="C33" s="249"/>
      <c r="D33" s="249"/>
      <c r="E33" s="249"/>
      <c r="F33" s="250"/>
      <c r="G33" s="204"/>
      <c r="H33" s="205"/>
      <c r="I33" s="206"/>
      <c r="J33" s="204"/>
      <c r="K33" s="205"/>
      <c r="L33" s="206"/>
      <c r="M33" s="204"/>
      <c r="N33" s="205"/>
      <c r="O33" s="205"/>
      <c r="P33" s="206"/>
      <c r="Q33" s="211">
        <f>SUM(G33:P33)</f>
        <v>0</v>
      </c>
      <c r="R33" s="213"/>
      <c r="S33" s="204"/>
      <c r="T33" s="205"/>
      <c r="U33" s="206"/>
      <c r="V33" s="204"/>
      <c r="W33" s="205"/>
      <c r="X33" s="206"/>
      <c r="Y33" s="204"/>
      <c r="Z33" s="205"/>
      <c r="AA33" s="206"/>
      <c r="AB33" s="211">
        <f>SUM(S33:AA33)</f>
        <v>0</v>
      </c>
      <c r="AC33" s="213"/>
      <c r="AD33" s="6"/>
      <c r="AR33" s="6"/>
    </row>
    <row r="34" spans="1:44" ht="13.5" customHeight="1" x14ac:dyDescent="0.25">
      <c r="A34" s="266" t="s">
        <v>15</v>
      </c>
      <c r="B34" s="267"/>
      <c r="C34" s="267"/>
      <c r="D34" s="267"/>
      <c r="E34" s="267"/>
      <c r="F34" s="268"/>
      <c r="G34" s="211">
        <f>SUM(G31:I33)</f>
        <v>0</v>
      </c>
      <c r="H34" s="212"/>
      <c r="I34" s="213"/>
      <c r="J34" s="211">
        <f>SUM(J31:L33)</f>
        <v>0</v>
      </c>
      <c r="K34" s="212"/>
      <c r="L34" s="213"/>
      <c r="M34" s="211">
        <f>SUM(M31:P33)</f>
        <v>0</v>
      </c>
      <c r="N34" s="212"/>
      <c r="O34" s="212"/>
      <c r="P34" s="213"/>
      <c r="Q34" s="211">
        <f>SUM(Q31:R33)</f>
        <v>0</v>
      </c>
      <c r="R34" s="213"/>
      <c r="S34" s="211">
        <f>SUM(S31:U33)</f>
        <v>0</v>
      </c>
      <c r="T34" s="212"/>
      <c r="U34" s="213"/>
      <c r="V34" s="211">
        <f>SUM(V31:X33)</f>
        <v>0</v>
      </c>
      <c r="W34" s="212"/>
      <c r="X34" s="213"/>
      <c r="Y34" s="211">
        <f>SUM(Y31:AA33)</f>
        <v>0</v>
      </c>
      <c r="Z34" s="212"/>
      <c r="AA34" s="213"/>
      <c r="AB34" s="211">
        <f>SUM(AB31:AC33)</f>
        <v>0</v>
      </c>
      <c r="AC34" s="213"/>
      <c r="AD34" s="6"/>
      <c r="AR34" s="6"/>
    </row>
    <row r="35" spans="1:44" ht="13.5" customHeight="1" x14ac:dyDescent="0.25">
      <c r="A35" s="2" t="s">
        <v>1115</v>
      </c>
      <c r="AD35" s="6"/>
      <c r="AR35" s="6"/>
    </row>
    <row r="36" spans="1:44" ht="13.5" customHeight="1" x14ac:dyDescent="0.25">
      <c r="A36" s="251" t="s">
        <v>16</v>
      </c>
      <c r="B36" s="251"/>
      <c r="C36" s="251"/>
      <c r="D36" s="251"/>
      <c r="E36" s="251"/>
      <c r="F36" s="251"/>
      <c r="G36" s="251"/>
      <c r="H36" s="235" t="s">
        <v>9</v>
      </c>
      <c r="I36" s="235"/>
      <c r="J36" s="235" t="s">
        <v>10</v>
      </c>
      <c r="K36" s="235"/>
      <c r="M36" s="218" t="s">
        <v>1112</v>
      </c>
      <c r="N36" s="219"/>
      <c r="O36" s="219"/>
      <c r="P36" s="219"/>
      <c r="Q36" s="219"/>
      <c r="R36" s="219"/>
      <c r="S36" s="219"/>
      <c r="T36" s="219"/>
      <c r="U36" s="219"/>
      <c r="V36" s="219"/>
      <c r="W36" s="220"/>
      <c r="X36" s="235" t="s">
        <v>19</v>
      </c>
      <c r="Y36" s="235"/>
      <c r="Z36" s="235"/>
      <c r="AA36" s="214" t="s">
        <v>20</v>
      </c>
      <c r="AB36" s="214"/>
      <c r="AC36" s="214"/>
      <c r="AD36" s="214"/>
      <c r="AE36" s="235" t="s">
        <v>30</v>
      </c>
      <c r="AF36" s="235"/>
      <c r="AR36" s="6"/>
    </row>
    <row r="37" spans="1:44" ht="13.5" customHeight="1" x14ac:dyDescent="0.25">
      <c r="A37" s="232" t="s">
        <v>17</v>
      </c>
      <c r="B37" s="233"/>
      <c r="C37" s="233"/>
      <c r="D37" s="233"/>
      <c r="E37" s="233"/>
      <c r="F37" s="233"/>
      <c r="G37" s="234"/>
      <c r="H37" s="204"/>
      <c r="I37" s="206"/>
      <c r="J37" s="204"/>
      <c r="K37" s="206"/>
      <c r="M37" s="253" t="s">
        <v>21</v>
      </c>
      <c r="N37" s="253"/>
      <c r="O37" s="253"/>
      <c r="P37" s="253"/>
      <c r="Q37" s="253"/>
      <c r="R37" s="253"/>
      <c r="S37" s="253"/>
      <c r="T37" s="253"/>
      <c r="U37" s="253"/>
      <c r="V37" s="253"/>
      <c r="W37" s="253"/>
      <c r="X37" s="224"/>
      <c r="Y37" s="224"/>
      <c r="Z37" s="224"/>
      <c r="AA37" s="204"/>
      <c r="AB37" s="205"/>
      <c r="AC37" s="205"/>
      <c r="AD37" s="206"/>
      <c r="AE37" s="210">
        <f>SUM(X37:AD37)</f>
        <v>0</v>
      </c>
      <c r="AF37" s="210"/>
      <c r="AR37" s="6"/>
    </row>
    <row r="38" spans="1:44" ht="13.5" customHeight="1" x14ac:dyDescent="0.25">
      <c r="A38" s="252" t="s">
        <v>11</v>
      </c>
      <c r="B38" s="252"/>
      <c r="C38" s="252"/>
      <c r="D38" s="252"/>
      <c r="E38" s="252"/>
      <c r="F38" s="252"/>
      <c r="G38" s="252"/>
      <c r="H38" s="204"/>
      <c r="I38" s="206"/>
      <c r="J38" s="204"/>
      <c r="K38" s="206"/>
      <c r="M38" s="253" t="s">
        <v>104</v>
      </c>
      <c r="N38" s="253"/>
      <c r="O38" s="253"/>
      <c r="P38" s="253"/>
      <c r="Q38" s="253"/>
      <c r="R38" s="253"/>
      <c r="S38" s="253"/>
      <c r="T38" s="253"/>
      <c r="U38" s="253"/>
      <c r="V38" s="253"/>
      <c r="W38" s="253"/>
      <c r="X38" s="224"/>
      <c r="Y38" s="224"/>
      <c r="Z38" s="224"/>
      <c r="AA38" s="204"/>
      <c r="AB38" s="205"/>
      <c r="AC38" s="205"/>
      <c r="AD38" s="206"/>
      <c r="AE38" s="210">
        <f>SUM(X38:AD38)</f>
        <v>0</v>
      </c>
      <c r="AF38" s="210"/>
      <c r="AR38" s="6"/>
    </row>
    <row r="39" spans="1:44" ht="13.5" customHeight="1" x14ac:dyDescent="0.25">
      <c r="A39" s="252" t="s">
        <v>12</v>
      </c>
      <c r="B39" s="252"/>
      <c r="C39" s="252"/>
      <c r="D39" s="252"/>
      <c r="E39" s="252"/>
      <c r="F39" s="252"/>
      <c r="G39" s="252"/>
      <c r="H39" s="204"/>
      <c r="I39" s="206"/>
      <c r="J39" s="204"/>
      <c r="K39" s="206"/>
      <c r="M39" s="247" t="s">
        <v>15</v>
      </c>
      <c r="N39" s="247"/>
      <c r="O39" s="247"/>
      <c r="P39" s="247"/>
      <c r="Q39" s="247"/>
      <c r="R39" s="247"/>
      <c r="S39" s="247"/>
      <c r="T39" s="247"/>
      <c r="U39" s="247"/>
      <c r="V39" s="247"/>
      <c r="W39" s="247"/>
      <c r="X39" s="210">
        <f>SUM(X37:Z38)</f>
        <v>0</v>
      </c>
      <c r="Y39" s="210"/>
      <c r="Z39" s="210"/>
      <c r="AA39" s="211">
        <f>SUM(AA37:AD38)</f>
        <v>0</v>
      </c>
      <c r="AB39" s="212"/>
      <c r="AC39" s="212"/>
      <c r="AD39" s="213"/>
      <c r="AE39" s="210">
        <f>SUM(AE37:AF38)</f>
        <v>0</v>
      </c>
      <c r="AF39" s="210"/>
      <c r="AR39" s="6"/>
    </row>
    <row r="40" spans="1:44" ht="13.5" customHeight="1" x14ac:dyDescent="0.25">
      <c r="A40" s="232" t="s">
        <v>13</v>
      </c>
      <c r="B40" s="233"/>
      <c r="C40" s="233"/>
      <c r="D40" s="233"/>
      <c r="E40" s="233"/>
      <c r="F40" s="233"/>
      <c r="G40" s="234"/>
      <c r="H40" s="204"/>
      <c r="I40" s="206"/>
      <c r="J40" s="204"/>
      <c r="K40" s="206"/>
      <c r="M40" s="253" t="s">
        <v>111</v>
      </c>
      <c r="N40" s="253"/>
      <c r="O40" s="253"/>
      <c r="P40" s="253"/>
      <c r="Q40" s="253"/>
      <c r="R40" s="253"/>
      <c r="S40" s="253"/>
      <c r="T40" s="253"/>
      <c r="U40" s="253"/>
      <c r="V40" s="253"/>
      <c r="W40" s="253"/>
      <c r="X40" s="204"/>
      <c r="Y40" s="205"/>
      <c r="Z40" s="206"/>
      <c r="AA40" s="204"/>
      <c r="AB40" s="205"/>
      <c r="AC40" s="205"/>
      <c r="AD40" s="206"/>
      <c r="AE40" s="210">
        <f>SUM(X40,AA40)</f>
        <v>0</v>
      </c>
      <c r="AF40" s="210"/>
      <c r="AR40" s="6"/>
    </row>
    <row r="41" spans="1:44" ht="13.5" customHeight="1" x14ac:dyDescent="0.25">
      <c r="A41" s="252" t="s">
        <v>14</v>
      </c>
      <c r="B41" s="252"/>
      <c r="C41" s="252"/>
      <c r="D41" s="252"/>
      <c r="E41" s="252"/>
      <c r="F41" s="252"/>
      <c r="G41" s="252"/>
      <c r="H41" s="204"/>
      <c r="I41" s="206"/>
      <c r="J41" s="204"/>
      <c r="K41" s="206"/>
      <c r="AR41" s="6"/>
    </row>
    <row r="42" spans="1:44" ht="13.5" customHeight="1" x14ac:dyDescent="0.25">
      <c r="A42" s="269" t="s">
        <v>15</v>
      </c>
      <c r="B42" s="269"/>
      <c r="C42" s="269"/>
      <c r="D42" s="269"/>
      <c r="E42" s="269"/>
      <c r="F42" s="269"/>
      <c r="G42" s="269"/>
      <c r="H42" s="211">
        <f>SUM(H37:I41)</f>
        <v>0</v>
      </c>
      <c r="I42" s="213"/>
      <c r="J42" s="211">
        <f>SUM(J37:K41)</f>
        <v>0</v>
      </c>
      <c r="K42" s="213"/>
      <c r="AR42" s="6"/>
    </row>
    <row r="43" spans="1:44" ht="13.5" customHeight="1" x14ac:dyDescent="0.25">
      <c r="A43" s="2" t="s">
        <v>1115</v>
      </c>
      <c r="AR43" s="6"/>
    </row>
    <row r="44" spans="1:44" ht="13.5" customHeight="1" x14ac:dyDescent="0.25">
      <c r="A44" s="2" t="s">
        <v>1115</v>
      </c>
      <c r="AR44" s="6"/>
    </row>
    <row r="45" spans="1:44" ht="13.5" customHeight="1" x14ac:dyDescent="0.25">
      <c r="A45" s="2" t="s">
        <v>1115</v>
      </c>
      <c r="AR45" s="6"/>
    </row>
    <row r="46" spans="1:44" x14ac:dyDescent="0.25">
      <c r="A46" s="2" t="s">
        <v>1115</v>
      </c>
    </row>
    <row r="47" spans="1:44" ht="15" customHeight="1" x14ac:dyDescent="0.25">
      <c r="A47" s="221" t="s">
        <v>29</v>
      </c>
      <c r="B47" s="222"/>
      <c r="C47" s="222"/>
      <c r="D47" s="222"/>
      <c r="E47" s="222"/>
      <c r="F47" s="222"/>
      <c r="G47" s="222"/>
      <c r="H47" s="222"/>
      <c r="I47" s="222"/>
      <c r="J47" s="223"/>
      <c r="K47" s="218" t="s">
        <v>99</v>
      </c>
      <c r="L47" s="219"/>
      <c r="M47" s="219"/>
      <c r="N47" s="219"/>
      <c r="O47" s="219"/>
      <c r="P47" s="220"/>
      <c r="T47" s="221" t="s">
        <v>93</v>
      </c>
      <c r="U47" s="222"/>
      <c r="V47" s="222"/>
      <c r="W47" s="222"/>
      <c r="X47" s="222"/>
      <c r="Y47" s="222"/>
      <c r="Z47" s="222"/>
      <c r="AA47" s="222"/>
      <c r="AB47" s="222"/>
      <c r="AC47" s="222"/>
      <c r="AD47" s="222"/>
      <c r="AE47" s="222"/>
      <c r="AF47" s="223"/>
    </row>
    <row r="48" spans="1:44" x14ac:dyDescent="0.25">
      <c r="A48" s="192" t="s">
        <v>27</v>
      </c>
      <c r="B48" s="193"/>
      <c r="C48" s="193"/>
      <c r="D48" s="193"/>
      <c r="E48" s="193"/>
      <c r="F48" s="193"/>
      <c r="G48" s="193"/>
      <c r="H48" s="193"/>
      <c r="I48" s="193"/>
      <c r="J48" s="194"/>
      <c r="K48" s="204"/>
      <c r="L48" s="205"/>
      <c r="M48" s="205"/>
      <c r="N48" s="205"/>
      <c r="O48" s="205"/>
      <c r="P48" s="206"/>
      <c r="T48" s="192" t="s">
        <v>144</v>
      </c>
      <c r="U48" s="193"/>
      <c r="V48" s="193"/>
      <c r="W48" s="193"/>
      <c r="X48" s="193"/>
      <c r="Y48" s="193"/>
      <c r="Z48" s="193"/>
      <c r="AA48" s="193"/>
      <c r="AB48" s="194"/>
      <c r="AC48" s="201"/>
      <c r="AD48" s="202"/>
      <c r="AE48" s="202"/>
      <c r="AF48" s="203"/>
    </row>
    <row r="49" spans="1:37" x14ac:dyDescent="0.25">
      <c r="A49" s="192" t="s">
        <v>28</v>
      </c>
      <c r="B49" s="193"/>
      <c r="C49" s="193"/>
      <c r="D49" s="193"/>
      <c r="E49" s="193"/>
      <c r="F49" s="193"/>
      <c r="G49" s="193"/>
      <c r="H49" s="193"/>
      <c r="I49" s="193"/>
      <c r="J49" s="194"/>
      <c r="K49" s="204"/>
      <c r="L49" s="205"/>
      <c r="M49" s="205"/>
      <c r="N49" s="205"/>
      <c r="O49" s="205"/>
      <c r="P49" s="206"/>
      <c r="T49" s="192" t="s">
        <v>118</v>
      </c>
      <c r="U49" s="193"/>
      <c r="V49" s="193"/>
      <c r="W49" s="193"/>
      <c r="X49" s="193"/>
      <c r="Y49" s="193"/>
      <c r="Z49" s="193"/>
      <c r="AA49" s="193"/>
      <c r="AB49" s="194"/>
      <c r="AC49" s="201"/>
      <c r="AD49" s="202"/>
      <c r="AE49" s="202"/>
      <c r="AF49" s="203"/>
    </row>
    <row r="50" spans="1:37" x14ac:dyDescent="0.25">
      <c r="A50" s="192" t="s">
        <v>139</v>
      </c>
      <c r="B50" s="193"/>
      <c r="C50" s="193"/>
      <c r="D50" s="193"/>
      <c r="E50" s="193"/>
      <c r="F50" s="193"/>
      <c r="G50" s="193"/>
      <c r="H50" s="193"/>
      <c r="I50" s="193"/>
      <c r="J50" s="194"/>
      <c r="K50" s="207">
        <f>K51+K52</f>
        <v>0</v>
      </c>
      <c r="L50" s="208"/>
      <c r="M50" s="208"/>
      <c r="N50" s="208"/>
      <c r="O50" s="208"/>
      <c r="P50" s="209"/>
      <c r="T50" s="192" t="s">
        <v>3</v>
      </c>
      <c r="U50" s="193"/>
      <c r="V50" s="193"/>
      <c r="W50" s="193"/>
      <c r="X50" s="193"/>
      <c r="Y50" s="193"/>
      <c r="Z50" s="193"/>
      <c r="AA50" s="193"/>
      <c r="AB50" s="194"/>
      <c r="AC50" s="201"/>
      <c r="AD50" s="202"/>
      <c r="AE50" s="202"/>
      <c r="AF50" s="203"/>
      <c r="AJ50" s="6"/>
      <c r="AK50" s="6"/>
    </row>
    <row r="51" spans="1:37" x14ac:dyDescent="0.25">
      <c r="A51" s="192" t="s">
        <v>33</v>
      </c>
      <c r="B51" s="193"/>
      <c r="C51" s="193"/>
      <c r="D51" s="193"/>
      <c r="E51" s="193"/>
      <c r="F51" s="193"/>
      <c r="G51" s="193"/>
      <c r="H51" s="193"/>
      <c r="I51" s="193"/>
      <c r="J51" s="194"/>
      <c r="K51" s="204"/>
      <c r="L51" s="205"/>
      <c r="M51" s="205"/>
      <c r="N51" s="205"/>
      <c r="O51" s="205"/>
      <c r="P51" s="206"/>
      <c r="T51" s="192" t="s">
        <v>8</v>
      </c>
      <c r="U51" s="193"/>
      <c r="V51" s="193"/>
      <c r="W51" s="193"/>
      <c r="X51" s="193"/>
      <c r="Y51" s="193"/>
      <c r="Z51" s="193"/>
      <c r="AA51" s="193"/>
      <c r="AB51" s="194"/>
      <c r="AC51" s="204"/>
      <c r="AD51" s="205"/>
      <c r="AE51" s="205"/>
      <c r="AF51" s="206"/>
      <c r="AJ51" s="6"/>
      <c r="AK51" s="6"/>
    </row>
    <row r="52" spans="1:37" x14ac:dyDescent="0.25">
      <c r="A52" s="192" t="s">
        <v>34</v>
      </c>
      <c r="B52" s="193"/>
      <c r="C52" s="193"/>
      <c r="D52" s="193"/>
      <c r="E52" s="193"/>
      <c r="F52" s="193"/>
      <c r="G52" s="193"/>
      <c r="H52" s="193"/>
      <c r="I52" s="193"/>
      <c r="J52" s="194"/>
      <c r="K52" s="204"/>
      <c r="L52" s="205"/>
      <c r="M52" s="205"/>
      <c r="N52" s="205"/>
      <c r="O52" s="205"/>
      <c r="P52" s="206"/>
      <c r="T52" s="192" t="s">
        <v>273</v>
      </c>
      <c r="U52" s="193"/>
      <c r="V52" s="193"/>
      <c r="W52" s="193"/>
      <c r="X52" s="193"/>
      <c r="Y52" s="193"/>
      <c r="Z52" s="193"/>
      <c r="AA52" s="193"/>
      <c r="AB52" s="194"/>
      <c r="AC52" s="215"/>
      <c r="AD52" s="216"/>
      <c r="AE52" s="216"/>
      <c r="AF52" s="217"/>
      <c r="AJ52" s="6"/>
      <c r="AK52" s="6"/>
    </row>
    <row r="53" spans="1:37" ht="15" customHeight="1" x14ac:dyDescent="0.25">
      <c r="A53" s="192" t="s">
        <v>140</v>
      </c>
      <c r="B53" s="193"/>
      <c r="C53" s="193"/>
      <c r="D53" s="193"/>
      <c r="E53" s="193"/>
      <c r="F53" s="193"/>
      <c r="G53" s="193"/>
      <c r="H53" s="193"/>
      <c r="I53" s="193"/>
      <c r="J53" s="194"/>
      <c r="K53" s="207">
        <f>K54+K55</f>
        <v>0</v>
      </c>
      <c r="L53" s="208"/>
      <c r="M53" s="208"/>
      <c r="N53" s="208"/>
      <c r="O53" s="208"/>
      <c r="P53" s="209"/>
      <c r="T53" s="6"/>
      <c r="U53" s="6"/>
      <c r="V53" s="6"/>
      <c r="W53" s="6"/>
      <c r="X53" s="6"/>
      <c r="Y53" s="6"/>
      <c r="Z53" s="6"/>
      <c r="AA53" s="6"/>
      <c r="AB53" s="6"/>
      <c r="AC53" s="6"/>
      <c r="AD53" s="6"/>
      <c r="AE53" s="6"/>
      <c r="AF53" s="6"/>
      <c r="AJ53" s="6"/>
      <c r="AK53" s="6"/>
    </row>
    <row r="54" spans="1:37" ht="15" customHeight="1" x14ac:dyDescent="0.25">
      <c r="A54" s="192" t="s">
        <v>35</v>
      </c>
      <c r="B54" s="193"/>
      <c r="C54" s="193"/>
      <c r="D54" s="193"/>
      <c r="E54" s="193"/>
      <c r="F54" s="193"/>
      <c r="G54" s="193"/>
      <c r="H54" s="193"/>
      <c r="I54" s="193"/>
      <c r="J54" s="194"/>
      <c r="K54" s="204"/>
      <c r="L54" s="205"/>
      <c r="M54" s="205"/>
      <c r="N54" s="205"/>
      <c r="O54" s="205"/>
      <c r="P54" s="206"/>
      <c r="T54" s="192" t="s">
        <v>40</v>
      </c>
      <c r="U54" s="193"/>
      <c r="V54" s="193"/>
      <c r="W54" s="193"/>
      <c r="X54" s="193"/>
      <c r="Y54" s="193"/>
      <c r="Z54" s="193"/>
      <c r="AA54" s="193"/>
      <c r="AB54" s="194"/>
      <c r="AC54" s="201"/>
      <c r="AD54" s="202"/>
      <c r="AE54" s="203"/>
      <c r="AF54" s="17" t="s">
        <v>105</v>
      </c>
    </row>
    <row r="55" spans="1:37" x14ac:dyDescent="0.25">
      <c r="A55" s="192" t="s">
        <v>141</v>
      </c>
      <c r="B55" s="193"/>
      <c r="C55" s="193"/>
      <c r="D55" s="193"/>
      <c r="E55" s="193"/>
      <c r="F55" s="193"/>
      <c r="G55" s="193"/>
      <c r="H55" s="193"/>
      <c r="I55" s="193"/>
      <c r="J55" s="194"/>
      <c r="K55" s="204"/>
      <c r="L55" s="205"/>
      <c r="M55" s="205"/>
      <c r="N55" s="205"/>
      <c r="O55" s="205"/>
      <c r="P55" s="206"/>
      <c r="T55" s="192" t="s">
        <v>1461</v>
      </c>
      <c r="U55" s="193"/>
      <c r="V55" s="193"/>
      <c r="W55" s="193"/>
      <c r="X55" s="193"/>
      <c r="Y55" s="193"/>
      <c r="Z55" s="193"/>
      <c r="AA55" s="193"/>
      <c r="AB55" s="194"/>
      <c r="AC55" s="204"/>
      <c r="AD55" s="205"/>
      <c r="AE55" s="206"/>
      <c r="AF55" s="18" t="s">
        <v>105</v>
      </c>
    </row>
    <row r="56" spans="1:37" x14ac:dyDescent="0.25">
      <c r="A56" s="192" t="s">
        <v>132</v>
      </c>
      <c r="B56" s="193"/>
      <c r="C56" s="193"/>
      <c r="D56" s="193"/>
      <c r="E56" s="193"/>
      <c r="F56" s="193"/>
      <c r="G56" s="193"/>
      <c r="H56" s="193"/>
      <c r="I56" s="193"/>
      <c r="J56" s="194"/>
      <c r="K56" s="204"/>
      <c r="L56" s="205"/>
      <c r="M56" s="205"/>
      <c r="N56" s="205"/>
      <c r="O56" s="205"/>
      <c r="P56" s="206"/>
      <c r="T56" s="192" t="s">
        <v>41</v>
      </c>
      <c r="U56" s="193"/>
      <c r="V56" s="193"/>
      <c r="W56" s="193"/>
      <c r="X56" s="193"/>
      <c r="Y56" s="193"/>
      <c r="Z56" s="193"/>
      <c r="AA56" s="193"/>
      <c r="AB56" s="194"/>
      <c r="AC56" s="201"/>
      <c r="AD56" s="202"/>
      <c r="AE56" s="203"/>
      <c r="AF56" s="18" t="s">
        <v>105</v>
      </c>
    </row>
    <row r="57" spans="1:37" x14ac:dyDescent="0.25">
      <c r="A57" s="192" t="s">
        <v>133</v>
      </c>
      <c r="B57" s="193"/>
      <c r="C57" s="193"/>
      <c r="D57" s="193"/>
      <c r="E57" s="193"/>
      <c r="F57" s="193"/>
      <c r="G57" s="193"/>
      <c r="H57" s="193"/>
      <c r="I57" s="193"/>
      <c r="J57" s="194"/>
      <c r="K57" s="204"/>
      <c r="L57" s="205"/>
      <c r="M57" s="205"/>
      <c r="N57" s="205"/>
      <c r="O57" s="205"/>
      <c r="P57" s="206"/>
      <c r="T57" s="11"/>
      <c r="U57" s="11"/>
      <c r="V57" s="11"/>
      <c r="W57" s="11"/>
      <c r="X57" s="11"/>
      <c r="Y57" s="11"/>
      <c r="Z57" s="11"/>
      <c r="AA57" s="11"/>
      <c r="AB57" s="11"/>
      <c r="AC57" s="12"/>
      <c r="AD57" s="12"/>
      <c r="AE57" s="12"/>
      <c r="AF57" s="12"/>
    </row>
    <row r="58" spans="1:37" x14ac:dyDescent="0.25">
      <c r="A58" s="192" t="s">
        <v>134</v>
      </c>
      <c r="B58" s="193"/>
      <c r="C58" s="193"/>
      <c r="D58" s="193"/>
      <c r="E58" s="193"/>
      <c r="F58" s="193"/>
      <c r="G58" s="193"/>
      <c r="H58" s="193"/>
      <c r="I58" s="193"/>
      <c r="J58" s="194"/>
      <c r="K58" s="201"/>
      <c r="L58" s="202"/>
      <c r="M58" s="202"/>
      <c r="N58" s="202"/>
      <c r="O58" s="202"/>
      <c r="P58" s="203"/>
      <c r="T58" s="192" t="s">
        <v>1126</v>
      </c>
      <c r="U58" s="193"/>
      <c r="V58" s="193"/>
      <c r="W58" s="193"/>
      <c r="X58" s="193"/>
      <c r="Y58" s="193"/>
      <c r="Z58" s="193"/>
      <c r="AA58" s="193"/>
      <c r="AB58" s="194"/>
      <c r="AC58" s="204"/>
      <c r="AD58" s="205"/>
      <c r="AE58" s="205"/>
      <c r="AF58" s="206"/>
    </row>
    <row r="59" spans="1:37" x14ac:dyDescent="0.25">
      <c r="A59" s="192" t="s">
        <v>100</v>
      </c>
      <c r="B59" s="193"/>
      <c r="C59" s="193"/>
      <c r="D59" s="193"/>
      <c r="E59" s="193"/>
      <c r="F59" s="193"/>
      <c r="G59" s="193"/>
      <c r="H59" s="193"/>
      <c r="I59" s="193"/>
      <c r="J59" s="194"/>
      <c r="K59" s="207">
        <f>K60+K61</f>
        <v>0</v>
      </c>
      <c r="L59" s="208"/>
      <c r="M59" s="208"/>
      <c r="N59" s="208"/>
      <c r="O59" s="208"/>
      <c r="P59" s="209"/>
      <c r="T59" s="192" t="s">
        <v>128</v>
      </c>
      <c r="U59" s="193"/>
      <c r="V59" s="193"/>
      <c r="W59" s="193"/>
      <c r="X59" s="193"/>
      <c r="Y59" s="193"/>
      <c r="Z59" s="193"/>
      <c r="AA59" s="193"/>
      <c r="AB59" s="194"/>
      <c r="AC59" s="201"/>
      <c r="AD59" s="202"/>
      <c r="AE59" s="202"/>
      <c r="AF59" s="203"/>
    </row>
    <row r="60" spans="1:37" x14ac:dyDescent="0.25">
      <c r="A60" s="192" t="s">
        <v>35</v>
      </c>
      <c r="B60" s="193"/>
      <c r="C60" s="193"/>
      <c r="D60" s="193"/>
      <c r="E60" s="193"/>
      <c r="F60" s="193"/>
      <c r="G60" s="193"/>
      <c r="H60" s="193"/>
      <c r="I60" s="193"/>
      <c r="J60" s="194"/>
      <c r="K60" s="204"/>
      <c r="L60" s="205"/>
      <c r="M60" s="205"/>
      <c r="N60" s="205"/>
      <c r="O60" s="205"/>
      <c r="P60" s="206"/>
      <c r="T60" s="192" t="s">
        <v>1127</v>
      </c>
      <c r="U60" s="193"/>
      <c r="V60" s="193"/>
      <c r="W60" s="193"/>
      <c r="X60" s="193"/>
      <c r="Y60" s="193"/>
      <c r="Z60" s="193"/>
      <c r="AA60" s="193"/>
      <c r="AB60" s="194"/>
      <c r="AC60" s="201"/>
      <c r="AD60" s="202"/>
      <c r="AE60" s="202"/>
      <c r="AF60" s="203"/>
    </row>
    <row r="61" spans="1:37" ht="15" customHeight="1" x14ac:dyDescent="0.25">
      <c r="A61" s="192" t="s">
        <v>37</v>
      </c>
      <c r="B61" s="193"/>
      <c r="C61" s="193"/>
      <c r="D61" s="193"/>
      <c r="E61" s="193"/>
      <c r="F61" s="193"/>
      <c r="G61" s="193"/>
      <c r="H61" s="193"/>
      <c r="I61" s="193"/>
      <c r="J61" s="194"/>
      <c r="K61" s="204"/>
      <c r="L61" s="205"/>
      <c r="M61" s="205"/>
      <c r="N61" s="205"/>
      <c r="O61" s="205"/>
      <c r="P61" s="206"/>
      <c r="T61" s="192" t="s">
        <v>129</v>
      </c>
      <c r="U61" s="193"/>
      <c r="V61" s="193"/>
      <c r="W61" s="193"/>
      <c r="X61" s="193"/>
      <c r="Y61" s="193"/>
      <c r="Z61" s="193"/>
      <c r="AA61" s="193"/>
      <c r="AB61" s="194"/>
      <c r="AC61" s="201"/>
      <c r="AD61" s="202"/>
      <c r="AE61" s="202"/>
      <c r="AF61" s="203"/>
    </row>
    <row r="62" spans="1:37" x14ac:dyDescent="0.25">
      <c r="A62" s="192" t="s">
        <v>1125</v>
      </c>
      <c r="B62" s="193"/>
      <c r="C62" s="193"/>
      <c r="D62" s="193"/>
      <c r="E62" s="193"/>
      <c r="F62" s="193"/>
      <c r="G62" s="193"/>
      <c r="H62" s="193"/>
      <c r="I62" s="193"/>
      <c r="J62" s="194"/>
      <c r="K62" s="204"/>
      <c r="L62" s="205"/>
      <c r="M62" s="205"/>
      <c r="N62" s="205"/>
      <c r="O62" s="205"/>
      <c r="P62" s="206"/>
    </row>
    <row r="63" spans="1:37" x14ac:dyDescent="0.25">
      <c r="A63" s="192" t="s">
        <v>32</v>
      </c>
      <c r="B63" s="193"/>
      <c r="C63" s="193"/>
      <c r="D63" s="193"/>
      <c r="E63" s="193"/>
      <c r="F63" s="193"/>
      <c r="G63" s="193"/>
      <c r="H63" s="193"/>
      <c r="I63" s="193"/>
      <c r="J63" s="194"/>
      <c r="K63" s="201"/>
      <c r="L63" s="202"/>
      <c r="M63" s="202"/>
      <c r="N63" s="202"/>
      <c r="O63" s="202"/>
      <c r="P63" s="203"/>
    </row>
    <row r="64" spans="1:37" x14ac:dyDescent="0.25">
      <c r="A64" s="192" t="s">
        <v>38</v>
      </c>
      <c r="B64" s="193"/>
      <c r="C64" s="193"/>
      <c r="D64" s="193"/>
      <c r="E64" s="193"/>
      <c r="F64" s="193"/>
      <c r="G64" s="193"/>
      <c r="H64" s="193"/>
      <c r="I64" s="193"/>
      <c r="J64" s="194"/>
      <c r="K64" s="201"/>
      <c r="L64" s="202"/>
      <c r="M64" s="202"/>
      <c r="N64" s="202"/>
      <c r="O64" s="202"/>
      <c r="P64" s="203"/>
    </row>
    <row r="65" spans="1:35" x14ac:dyDescent="0.25">
      <c r="A65" s="192" t="s">
        <v>136</v>
      </c>
      <c r="B65" s="193"/>
      <c r="C65" s="193"/>
      <c r="D65" s="193"/>
      <c r="E65" s="193"/>
      <c r="F65" s="193"/>
      <c r="G65" s="193"/>
      <c r="H65" s="193"/>
      <c r="I65" s="193"/>
      <c r="J65" s="194"/>
      <c r="K65" s="207">
        <f>K66+K67</f>
        <v>0</v>
      </c>
      <c r="L65" s="208"/>
      <c r="M65" s="208"/>
      <c r="N65" s="208"/>
      <c r="O65" s="208"/>
      <c r="P65" s="209"/>
    </row>
    <row r="66" spans="1:35" x14ac:dyDescent="0.25">
      <c r="A66" s="192" t="s">
        <v>35</v>
      </c>
      <c r="B66" s="193"/>
      <c r="C66" s="193"/>
      <c r="D66" s="193"/>
      <c r="E66" s="193"/>
      <c r="F66" s="193"/>
      <c r="G66" s="193"/>
      <c r="H66" s="193"/>
      <c r="I66" s="193"/>
      <c r="J66" s="194"/>
      <c r="K66" s="201"/>
      <c r="L66" s="202"/>
      <c r="M66" s="202"/>
      <c r="N66" s="202"/>
      <c r="O66" s="202"/>
      <c r="P66" s="203"/>
    </row>
    <row r="67" spans="1:35" x14ac:dyDescent="0.25">
      <c r="A67" s="192" t="s">
        <v>36</v>
      </c>
      <c r="B67" s="193"/>
      <c r="C67" s="193"/>
      <c r="D67" s="193"/>
      <c r="E67" s="193"/>
      <c r="F67" s="193"/>
      <c r="G67" s="193"/>
      <c r="H67" s="193"/>
      <c r="I67" s="193"/>
      <c r="J67" s="194"/>
      <c r="K67" s="201"/>
      <c r="L67" s="202"/>
      <c r="M67" s="202"/>
      <c r="N67" s="202"/>
      <c r="O67" s="202"/>
      <c r="P67" s="203"/>
    </row>
    <row r="68" spans="1:35" x14ac:dyDescent="0.25">
      <c r="A68" s="192" t="s">
        <v>108</v>
      </c>
      <c r="B68" s="193"/>
      <c r="C68" s="193"/>
      <c r="D68" s="193"/>
      <c r="E68" s="193"/>
      <c r="F68" s="193"/>
      <c r="G68" s="193"/>
      <c r="H68" s="193"/>
      <c r="I68" s="193"/>
      <c r="J68" s="194"/>
      <c r="K68" s="204"/>
      <c r="L68" s="205"/>
      <c r="M68" s="205"/>
      <c r="N68" s="205"/>
      <c r="O68" s="205"/>
      <c r="P68" s="206"/>
    </row>
    <row r="69" spans="1:35" x14ac:dyDescent="0.25">
      <c r="A69" s="192" t="s">
        <v>142</v>
      </c>
      <c r="B69" s="193"/>
      <c r="C69" s="193"/>
      <c r="D69" s="193"/>
      <c r="E69" s="193"/>
      <c r="F69" s="193"/>
      <c r="G69" s="193"/>
      <c r="H69" s="193"/>
      <c r="I69" s="193"/>
      <c r="J69" s="194"/>
      <c r="K69" s="204"/>
      <c r="L69" s="205"/>
      <c r="M69" s="205"/>
      <c r="N69" s="205"/>
      <c r="O69" s="205"/>
      <c r="P69" s="206"/>
    </row>
    <row r="70" spans="1:35" x14ac:dyDescent="0.25">
      <c r="A70" s="192" t="s">
        <v>137</v>
      </c>
      <c r="B70" s="193"/>
      <c r="C70" s="193"/>
      <c r="D70" s="193"/>
      <c r="E70" s="193"/>
      <c r="F70" s="193"/>
      <c r="G70" s="193"/>
      <c r="H70" s="193"/>
      <c r="I70" s="193"/>
      <c r="J70" s="194"/>
      <c r="K70" s="201"/>
      <c r="L70" s="202"/>
      <c r="M70" s="202"/>
      <c r="N70" s="202"/>
      <c r="O70" s="202"/>
      <c r="P70" s="203"/>
    </row>
    <row r="71" spans="1:35" x14ac:dyDescent="0.25">
      <c r="A71" s="192" t="s">
        <v>138</v>
      </c>
      <c r="B71" s="193"/>
      <c r="C71" s="193"/>
      <c r="D71" s="193"/>
      <c r="E71" s="193"/>
      <c r="F71" s="193"/>
      <c r="G71" s="193"/>
      <c r="H71" s="193"/>
      <c r="I71" s="193"/>
      <c r="J71" s="194"/>
      <c r="K71" s="201"/>
      <c r="L71" s="202"/>
      <c r="M71" s="202"/>
      <c r="N71" s="202"/>
      <c r="O71" s="202"/>
      <c r="P71" s="203"/>
    </row>
    <row r="72" spans="1:35" x14ac:dyDescent="0.25">
      <c r="A72" s="192" t="s">
        <v>115</v>
      </c>
      <c r="B72" s="193"/>
      <c r="C72" s="193"/>
      <c r="D72" s="193"/>
      <c r="E72" s="193"/>
      <c r="F72" s="193"/>
      <c r="G72" s="193"/>
      <c r="H72" s="193"/>
      <c r="I72" s="193"/>
      <c r="J72" s="194"/>
      <c r="K72" s="201"/>
      <c r="L72" s="202"/>
      <c r="M72" s="202"/>
      <c r="N72" s="202"/>
      <c r="O72" s="202"/>
      <c r="P72" s="203"/>
      <c r="T72" s="195" t="s">
        <v>1471</v>
      </c>
      <c r="U72" s="196"/>
      <c r="V72" s="196"/>
      <c r="W72" s="196"/>
      <c r="X72" s="196"/>
      <c r="Y72" s="196"/>
      <c r="Z72" s="196"/>
      <c r="AA72" s="196"/>
      <c r="AB72" s="196"/>
      <c r="AC72" s="196"/>
      <c r="AD72" s="196"/>
      <c r="AE72" s="196"/>
      <c r="AF72" s="196"/>
      <c r="AG72" s="196"/>
      <c r="AH72" s="196"/>
      <c r="AI72" s="197"/>
    </row>
    <row r="73" spans="1:35" x14ac:dyDescent="0.25">
      <c r="A73" s="192" t="s">
        <v>116</v>
      </c>
      <c r="B73" s="193"/>
      <c r="C73" s="193"/>
      <c r="D73" s="193"/>
      <c r="E73" s="193"/>
      <c r="F73" s="193"/>
      <c r="G73" s="193"/>
      <c r="H73" s="193"/>
      <c r="I73" s="193"/>
      <c r="J73" s="194"/>
      <c r="K73" s="201"/>
      <c r="L73" s="202"/>
      <c r="M73" s="202"/>
      <c r="N73" s="202"/>
      <c r="O73" s="202"/>
      <c r="P73" s="203"/>
      <c r="T73" s="198" t="s">
        <v>1462</v>
      </c>
      <c r="U73" s="199"/>
      <c r="V73" s="199"/>
      <c r="W73" s="199"/>
      <c r="X73" s="199"/>
      <c r="Y73" s="199"/>
      <c r="Z73" s="199"/>
      <c r="AA73" s="199"/>
      <c r="AB73" s="199"/>
      <c r="AC73" s="199"/>
      <c r="AD73" s="199"/>
      <c r="AE73" s="199"/>
      <c r="AF73" s="199"/>
      <c r="AG73" s="199"/>
      <c r="AH73" s="199"/>
      <c r="AI73" s="200"/>
    </row>
    <row r="74" spans="1:35" x14ac:dyDescent="0.25">
      <c r="A74" s="2" t="s">
        <v>1115</v>
      </c>
    </row>
    <row r="75" spans="1:35" ht="14.45" customHeight="1" x14ac:dyDescent="0.25">
      <c r="A75" s="2" t="s">
        <v>1115</v>
      </c>
    </row>
    <row r="79" spans="1:35" x14ac:dyDescent="0.25">
      <c r="L79" s="142"/>
    </row>
  </sheetData>
  <sheetProtection algorithmName="SHA-512" hashValue="+JH/JHHnDjbFPbunRJl7vODl3UBdGuCT+5BaTS392UufhkKUQP7+dhrvlRQPonY5eOmbo69wQKOVK5gtzi+fbA==" saltValue="1syQNgJWJcvip1weC5BdDw==" spinCount="100000" sheet="1" objects="1" scenarios="1"/>
  <mergeCells count="251">
    <mergeCell ref="A47:J47"/>
    <mergeCell ref="H41:I41"/>
    <mergeCell ref="A34:F34"/>
    <mergeCell ref="M40:W40"/>
    <mergeCell ref="S32:U32"/>
    <mergeCell ref="S33:U33"/>
    <mergeCell ref="V33:X33"/>
    <mergeCell ref="X39:Z39"/>
    <mergeCell ref="A41:G41"/>
    <mergeCell ref="H42:I42"/>
    <mergeCell ref="J37:K37"/>
    <mergeCell ref="G32:I32"/>
    <mergeCell ref="G33:I33"/>
    <mergeCell ref="A33:F33"/>
    <mergeCell ref="J40:K40"/>
    <mergeCell ref="Q32:R32"/>
    <mergeCell ref="A40:G40"/>
    <mergeCell ref="A42:G42"/>
    <mergeCell ref="J38:K38"/>
    <mergeCell ref="Q34:R34"/>
    <mergeCell ref="H40:I40"/>
    <mergeCell ref="AB26:AC26"/>
    <mergeCell ref="AB25:AC25"/>
    <mergeCell ref="K26:M26"/>
    <mergeCell ref="K27:M27"/>
    <mergeCell ref="A25:J25"/>
    <mergeCell ref="A26:J26"/>
    <mergeCell ref="K25:M25"/>
    <mergeCell ref="AB30:AC30"/>
    <mergeCell ref="H39:I39"/>
    <mergeCell ref="J39:K39"/>
    <mergeCell ref="H36:I36"/>
    <mergeCell ref="J36:K36"/>
    <mergeCell ref="H37:I37"/>
    <mergeCell ref="G34:I34"/>
    <mergeCell ref="G30:I30"/>
    <mergeCell ref="Y31:AA31"/>
    <mergeCell ref="Y30:AA30"/>
    <mergeCell ref="AB31:AC31"/>
    <mergeCell ref="X36:Z36"/>
    <mergeCell ref="X38:Z38"/>
    <mergeCell ref="AA39:AD39"/>
    <mergeCell ref="G31:I31"/>
    <mergeCell ref="AB34:AC34"/>
    <mergeCell ref="F3:S3"/>
    <mergeCell ref="F4:S4"/>
    <mergeCell ref="F5:S5"/>
    <mergeCell ref="G14:M14"/>
    <mergeCell ref="G16:M16"/>
    <mergeCell ref="A22:F22"/>
    <mergeCell ref="G22:M22"/>
    <mergeCell ref="U13:X13"/>
    <mergeCell ref="Y13:AC13"/>
    <mergeCell ref="Y6:AC6"/>
    <mergeCell ref="U3:AC3"/>
    <mergeCell ref="Y10:AC10"/>
    <mergeCell ref="Y11:AC11"/>
    <mergeCell ref="U9:AC9"/>
    <mergeCell ref="AB21:AC21"/>
    <mergeCell ref="AB16:AC16"/>
    <mergeCell ref="U20:AA20"/>
    <mergeCell ref="U21:AA21"/>
    <mergeCell ref="U19:AA19"/>
    <mergeCell ref="AB19:AC19"/>
    <mergeCell ref="U15:AA15"/>
    <mergeCell ref="U17:AA17"/>
    <mergeCell ref="AB17:AC17"/>
    <mergeCell ref="AB20:AC20"/>
    <mergeCell ref="AE37:AF37"/>
    <mergeCell ref="AE38:AF38"/>
    <mergeCell ref="AE36:AF36"/>
    <mergeCell ref="M39:W39"/>
    <mergeCell ref="X37:Z37"/>
    <mergeCell ref="A31:F31"/>
    <mergeCell ref="A32:F32"/>
    <mergeCell ref="A36:G36"/>
    <mergeCell ref="A37:G37"/>
    <mergeCell ref="A38:G38"/>
    <mergeCell ref="A39:G39"/>
    <mergeCell ref="M37:W37"/>
    <mergeCell ref="M38:W38"/>
    <mergeCell ref="M36:W36"/>
    <mergeCell ref="Y33:AA33"/>
    <mergeCell ref="Q33:R33"/>
    <mergeCell ref="Y32:AA32"/>
    <mergeCell ref="Q31:R31"/>
    <mergeCell ref="J34:L34"/>
    <mergeCell ref="M34:P34"/>
    <mergeCell ref="S34:U34"/>
    <mergeCell ref="H38:I38"/>
    <mergeCell ref="J33:L33"/>
    <mergeCell ref="M33:P33"/>
    <mergeCell ref="AB24:AC24"/>
    <mergeCell ref="AB22:AC22"/>
    <mergeCell ref="N22:S22"/>
    <mergeCell ref="J30:L30"/>
    <mergeCell ref="M30:P30"/>
    <mergeCell ref="J32:L32"/>
    <mergeCell ref="M32:P32"/>
    <mergeCell ref="S30:U30"/>
    <mergeCell ref="V30:X30"/>
    <mergeCell ref="U22:AA22"/>
    <mergeCell ref="S31:U31"/>
    <mergeCell ref="V31:X31"/>
    <mergeCell ref="V32:X32"/>
    <mergeCell ref="U24:AA24"/>
    <mergeCell ref="K24:M24"/>
    <mergeCell ref="U26:AA26"/>
    <mergeCell ref="Q30:R30"/>
    <mergeCell ref="A27:J27"/>
    <mergeCell ref="M31:P31"/>
    <mergeCell ref="S29:AC29"/>
    <mergeCell ref="G29:R29"/>
    <mergeCell ref="AB32:AC32"/>
    <mergeCell ref="U25:AA25"/>
    <mergeCell ref="J31:L31"/>
    <mergeCell ref="F6:S6"/>
    <mergeCell ref="F7:S7"/>
    <mergeCell ref="U4:X4"/>
    <mergeCell ref="U5:X5"/>
    <mergeCell ref="U6:X6"/>
    <mergeCell ref="U7:X7"/>
    <mergeCell ref="U16:AA16"/>
    <mergeCell ref="U11:X11"/>
    <mergeCell ref="Y7:AC7"/>
    <mergeCell ref="Y5:AC5"/>
    <mergeCell ref="Y4:AC4"/>
    <mergeCell ref="AB15:AC15"/>
    <mergeCell ref="A14:F14"/>
    <mergeCell ref="A15:F15"/>
    <mergeCell ref="A16:F16"/>
    <mergeCell ref="U10:X10"/>
    <mergeCell ref="N8:Q8"/>
    <mergeCell ref="A10:G10"/>
    <mergeCell ref="A11:G11"/>
    <mergeCell ref="H11:S11"/>
    <mergeCell ref="H10:S10"/>
    <mergeCell ref="A12:G12"/>
    <mergeCell ref="H12:S12"/>
    <mergeCell ref="N14:S14"/>
    <mergeCell ref="G15:M15"/>
    <mergeCell ref="I8:M8"/>
    <mergeCell ref="G20:M20"/>
    <mergeCell ref="G21:M21"/>
    <mergeCell ref="G18:M18"/>
    <mergeCell ref="A18:F18"/>
    <mergeCell ref="N15:S15"/>
    <mergeCell ref="N16:S16"/>
    <mergeCell ref="N17:S17"/>
    <mergeCell ref="N18:S18"/>
    <mergeCell ref="N19:S19"/>
    <mergeCell ref="N20:S20"/>
    <mergeCell ref="N21:S21"/>
    <mergeCell ref="A19:F19"/>
    <mergeCell ref="A20:F20"/>
    <mergeCell ref="A21:F21"/>
    <mergeCell ref="G19:M19"/>
    <mergeCell ref="G17:M17"/>
    <mergeCell ref="A17:F17"/>
    <mergeCell ref="K53:P53"/>
    <mergeCell ref="AC49:AF49"/>
    <mergeCell ref="AC50:AF50"/>
    <mergeCell ref="AC51:AF51"/>
    <mergeCell ref="AC52:AF52"/>
    <mergeCell ref="K47:P47"/>
    <mergeCell ref="K48:P48"/>
    <mergeCell ref="K49:P49"/>
    <mergeCell ref="K50:P50"/>
    <mergeCell ref="K51:P51"/>
    <mergeCell ref="K52:P52"/>
    <mergeCell ref="T47:AF47"/>
    <mergeCell ref="T48:AB48"/>
    <mergeCell ref="T49:AB49"/>
    <mergeCell ref="A72:J72"/>
    <mergeCell ref="AE40:AF40"/>
    <mergeCell ref="V34:X34"/>
    <mergeCell ref="Y34:AA34"/>
    <mergeCell ref="AB33:AC33"/>
    <mergeCell ref="T50:AB50"/>
    <mergeCell ref="T51:AB51"/>
    <mergeCell ref="T52:AB52"/>
    <mergeCell ref="AE39:AF39"/>
    <mergeCell ref="K64:P64"/>
    <mergeCell ref="T58:AB58"/>
    <mergeCell ref="T59:AB59"/>
    <mergeCell ref="T60:AB60"/>
    <mergeCell ref="T61:AB61"/>
    <mergeCell ref="K56:P56"/>
    <mergeCell ref="K57:P57"/>
    <mergeCell ref="AC48:AF48"/>
    <mergeCell ref="J42:K42"/>
    <mergeCell ref="J41:K41"/>
    <mergeCell ref="X40:Z40"/>
    <mergeCell ref="AA40:AD40"/>
    <mergeCell ref="AA36:AD36"/>
    <mergeCell ref="AA37:AD37"/>
    <mergeCell ref="AA38:AD38"/>
    <mergeCell ref="AC54:AE54"/>
    <mergeCell ref="AC55:AE55"/>
    <mergeCell ref="AC56:AE56"/>
    <mergeCell ref="K65:P65"/>
    <mergeCell ref="K66:P66"/>
    <mergeCell ref="K67:P67"/>
    <mergeCell ref="K68:P68"/>
    <mergeCell ref="K69:P69"/>
    <mergeCell ref="K70:P70"/>
    <mergeCell ref="T54:AB54"/>
    <mergeCell ref="T55:AB55"/>
    <mergeCell ref="T56:AB56"/>
    <mergeCell ref="K58:P58"/>
    <mergeCell ref="K59:P59"/>
    <mergeCell ref="K60:P60"/>
    <mergeCell ref="K61:P61"/>
    <mergeCell ref="K62:P62"/>
    <mergeCell ref="K63:P63"/>
    <mergeCell ref="K54:P54"/>
    <mergeCell ref="K55:P55"/>
    <mergeCell ref="A58:J58"/>
    <mergeCell ref="A59:J59"/>
    <mergeCell ref="A60:J60"/>
    <mergeCell ref="A61:J61"/>
    <mergeCell ref="A62:J62"/>
    <mergeCell ref="A63:J63"/>
    <mergeCell ref="A64:J64"/>
    <mergeCell ref="T72:AI72"/>
    <mergeCell ref="T73:AI73"/>
    <mergeCell ref="K71:P71"/>
    <mergeCell ref="K72:P72"/>
    <mergeCell ref="K73:P73"/>
    <mergeCell ref="AC58:AF58"/>
    <mergeCell ref="AC59:AF59"/>
    <mergeCell ref="AC60:AF60"/>
    <mergeCell ref="AC61:AF61"/>
    <mergeCell ref="A66:J66"/>
    <mergeCell ref="A67:J67"/>
    <mergeCell ref="A68:J68"/>
    <mergeCell ref="A69:J69"/>
    <mergeCell ref="A70:J70"/>
    <mergeCell ref="A73:J73"/>
    <mergeCell ref="A65:J65"/>
    <mergeCell ref="A71:J71"/>
    <mergeCell ref="A57:J57"/>
    <mergeCell ref="A48:J48"/>
    <mergeCell ref="A49:J49"/>
    <mergeCell ref="A50:J50"/>
    <mergeCell ref="A51:J51"/>
    <mergeCell ref="A52:J52"/>
    <mergeCell ref="A53:J53"/>
    <mergeCell ref="A54:J54"/>
    <mergeCell ref="A55:J55"/>
    <mergeCell ref="A56:J56"/>
  </mergeCells>
  <phoneticPr fontId="26" type="noConversion"/>
  <dataValidations count="23">
    <dataValidation type="list" allowBlank="1" showInputMessage="1" showErrorMessage="1" sqref="N8:Q8" xr:uid="{00000000-0002-0000-0100-000000000000}">
      <formula1>Ano</formula1>
    </dataValidation>
    <dataValidation type="list" allowBlank="1" showInputMessage="1" showErrorMessage="1" sqref="AC50:AF50 AC58:AF61 K56:M58 K62:M62 K70:M71 K27" xr:uid="{00000000-0002-0000-0100-000001000000}">
      <formula1>SimNao</formula1>
    </dataValidation>
    <dataValidation type="list" allowBlank="1" showInputMessage="1" showErrorMessage="1" sqref="Y4:AC4" xr:uid="{00000000-0002-0000-0100-000002000000}">
      <formula1>Provincias</formula1>
    </dataValidation>
    <dataValidation type="list" allowBlank="1" showInputMessage="1" showErrorMessage="1" sqref="Y6:AC6" xr:uid="{00000000-0002-0000-0100-000003000000}">
      <formula1>OFFSET(ComunaStart3,MATCH(Y5,ComunaColumn3,0),1,COUNTIF(ComunaColumn3,Y5),1)</formula1>
    </dataValidation>
    <dataValidation type="list" allowBlank="1" showInputMessage="1" showErrorMessage="1" sqref="Y13" xr:uid="{00000000-0002-0000-0100-000004000000}">
      <formula1>Natureza</formula1>
    </dataValidation>
    <dataValidation type="list" allowBlank="1" showInputMessage="1" showErrorMessage="1" sqref="AC51:AF51" xr:uid="{00000000-0002-0000-0100-000005000000}">
      <formula1>UltimaClasse</formula1>
    </dataValidation>
    <dataValidation type="list" allowBlank="1" showInputMessage="1" showErrorMessage="1" sqref="G17:S17" xr:uid="{00000000-0002-0000-0100-000006000000}">
      <formula1>NivelAcademico</formula1>
    </dataValidation>
    <dataValidation type="list" allowBlank="1" showInputMessage="1" showErrorMessage="1" sqref="Y5:AC5" xr:uid="{00000000-0002-0000-0100-000007000000}">
      <formula1>OFFSET(MunicipioStart4,MATCH(Y4,MunicipioColumn4,0),1,COUNTIF(MunicipioColumn4,Y4),1)</formula1>
    </dataValidation>
    <dataValidation type="whole" operator="lessThan" allowBlank="1" showInputMessage="1" showErrorMessage="1" errorTitle="Erro" error="Tem que introduzir um valor númerico inteiro" sqref="AB17:AC17 AB22:AC22 AB20:AC20" xr:uid="{00000000-0002-0000-0100-000008000000}">
      <formula1>1000000000000</formula1>
    </dataValidation>
    <dataValidation type="whole" allowBlank="1" showInputMessage="1" showErrorMessage="1" errorTitle="Erro" error="Tem que introduzir um valor númerico inteiro" sqref="N21:S22 G19:S19 K25:M26 S31:AA33 X37:AD38 AC54:AE56 H11:S11 K73:M73 K59:P61 K48:P55 K63:P67 G31:P33 AC48:AF49" xr:uid="{00000000-0002-0000-0100-000009000000}">
      <formula1>0</formula1>
      <formula2>10000000000</formula2>
    </dataValidation>
    <dataValidation type="whole" allowBlank="1" showInputMessage="1" showErrorMessage="1" errorTitle="Erro" error="Tem que introduzir um valor númerico inteiro" sqref="X40:AE40" xr:uid="{00000000-0002-0000-0100-00000A000000}">
      <formula1>0</formula1>
      <formula2>100000000000000</formula2>
    </dataValidation>
    <dataValidation type="list" allowBlank="1" showInputMessage="1" showErrorMessage="1" sqref="K68:M68" xr:uid="{00000000-0002-0000-0100-00000B000000}">
      <formula1>AguasResiduais</formula1>
    </dataValidation>
    <dataValidation type="list" allowBlank="1" showInputMessage="1" showErrorMessage="1" sqref="K69:M69" xr:uid="{00000000-0002-0000-0100-00000C000000}">
      <formula1>ResiduosSolidos</formula1>
    </dataValidation>
    <dataValidation type="whole" showInputMessage="1" showErrorMessage="1" sqref="H37:I41" xr:uid="{00000000-0002-0000-0100-00000D000000}">
      <formula1>0</formula1>
      <formula2>10000000000</formula2>
    </dataValidation>
    <dataValidation type="custom" showInputMessage="1" showErrorMessage="1" errorTitle="Erro" error="O valor de &quot;F&quot; não pode ser superior ao valor de &quot;MF&quot;" sqref="J37:K41" xr:uid="{00000000-0002-0000-0100-00000E000000}">
      <formula1>H37&gt;=J37</formula1>
    </dataValidation>
    <dataValidation type="whole" allowBlank="1" showInputMessage="1" showErrorMessage="1" errorTitle="Erro" error="Tem que introduzir um Ano. _x000a_Exemplo: 2017" sqref="AC52:AF52" xr:uid="{00000000-0002-0000-0100-00000F000000}">
      <formula1>1800</formula1>
      <formula2>YEAR(TODAY())</formula2>
    </dataValidation>
    <dataValidation type="list" operator="lessThan" allowBlank="1" showInputMessage="1" showErrorMessage="1" errorTitle="Erro" error="Tem que introduzir um valor númerico inteiro" sqref="AB16:AC16" xr:uid="{00000000-0002-0000-0100-000010000000}">
      <formula1>NumTurnos</formula1>
    </dataValidation>
    <dataValidation type="whole" allowBlank="1" showInputMessage="1" showErrorMessage="1" errorTitle="Erro" error="Tem que introduzir um valor númerico inteiro" sqref="G21:M22" xr:uid="{00000000-0002-0000-0100-000011000000}">
      <formula1>0</formula1>
      <formula2>1000</formula2>
    </dataValidation>
    <dataValidation type="whole" operator="greaterThanOrEqual" allowBlank="1" showInputMessage="1" showErrorMessage="1" errorTitle="Erro" error="O número de Assentos tem de ser maior ou igual ao número de Carteiras" sqref="AB25:AC25" xr:uid="{00000000-0002-0000-0100-000012000000}">
      <formula1>AB26</formula1>
    </dataValidation>
    <dataValidation type="whole" operator="lessThanOrEqual" allowBlank="1" showInputMessage="1" showErrorMessage="1" errorTitle="Erro" error="O número de Carteiras tem de ser menor ou igual ao número de Assentos" sqref="AB26:AC26" xr:uid="{00000000-0002-0000-0100-000013000000}">
      <formula1>AB25</formula1>
    </dataValidation>
    <dataValidation type="whole" allowBlank="1" showInputMessage="1" showErrorMessage="1" errorTitle="Erro" error="Tem que introduzir uma idade válida (valor númerico inteiro) superior ou igual a 18" sqref="G16:S16" xr:uid="{00000000-0002-0000-0100-000014000000}">
      <formula1>18</formula1>
      <formula2>150</formula2>
    </dataValidation>
    <dataValidation type="whole" operator="lessThan" allowBlank="1" showInputMessage="1" showErrorMessage="1" errorTitle="Erro" error="Tem que introduzir um valor númerico inteiro menor que 1000" sqref="AB19:AC19" xr:uid="{00000000-0002-0000-0100-000015000000}">
      <formula1>1000</formula1>
    </dataValidation>
    <dataValidation type="whole" operator="lessThan" allowBlank="1" showInputMessage="1" showErrorMessage="1" errorTitle="Erro" error="Tem que introduzir um valor númerico inteiro menor que 100" sqref="AB21:AC21 AB24:AC24" xr:uid="{00000000-0002-0000-0100-000016000000}">
      <formula1>100</formula1>
    </dataValidation>
  </dataValidations>
  <pageMargins left="0.16" right="0.09" top="0.21" bottom="0.12" header="0.19" footer="0.09"/>
  <pageSetup paperSize="9" orientation="landscape" r:id="rId1"/>
  <ignoredErrors>
    <ignoredError sqref="K50 K53 AB17" unlockedFormula="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H112"/>
  <sheetViews>
    <sheetView showGridLines="0" workbookViewId="0">
      <selection activeCell="J4" sqref="J4:N4"/>
    </sheetView>
  </sheetViews>
  <sheetFormatPr defaultColWidth="9.140625" defaultRowHeight="15" x14ac:dyDescent="0.25"/>
  <cols>
    <col min="1" max="1" width="12.140625" style="33" customWidth="1"/>
    <col min="2" max="2" width="9.42578125" style="33" customWidth="1"/>
    <col min="3" max="3" width="8.42578125" style="33" customWidth="1"/>
    <col min="4" max="13" width="6.85546875" style="33" customWidth="1"/>
    <col min="14" max="14" width="7.85546875" style="33" customWidth="1"/>
    <col min="15" max="15" width="7.28515625" style="33" customWidth="1"/>
    <col min="16" max="16" width="8.140625" style="33" customWidth="1"/>
    <col min="17" max="17" width="8" style="33" customWidth="1"/>
    <col min="18" max="19" width="6.28515625" style="33" customWidth="1"/>
    <col min="20" max="20" width="6.42578125" style="33" customWidth="1"/>
    <col min="21" max="21" width="7" style="33" customWidth="1"/>
    <col min="22" max="22" width="3.28515625" style="33" customWidth="1"/>
    <col min="23" max="23" width="5.5703125" style="33" customWidth="1"/>
    <col min="24" max="24" width="5.42578125" style="33" customWidth="1"/>
    <col min="25" max="27" width="6.28515625" style="33" customWidth="1"/>
    <col min="28" max="16384" width="9.140625" style="33"/>
  </cols>
  <sheetData>
    <row r="1" spans="1:28" ht="8.4499999999999993" customHeight="1" x14ac:dyDescent="0.25">
      <c r="A1" s="35">
        <v>1</v>
      </c>
    </row>
    <row r="2" spans="1:28" ht="17.25" customHeight="1" x14ac:dyDescent="0.35">
      <c r="A2" s="347" t="s">
        <v>126</v>
      </c>
      <c r="B2" s="347"/>
      <c r="C2" s="347"/>
      <c r="D2" s="347"/>
      <c r="E2" s="347"/>
      <c r="F2" s="347"/>
      <c r="G2" s="347"/>
      <c r="H2" s="347"/>
      <c r="I2" s="32"/>
      <c r="P2" s="352" t="s">
        <v>124</v>
      </c>
      <c r="Q2" s="352"/>
      <c r="R2" s="352"/>
      <c r="S2" s="352"/>
      <c r="AB2" s="36"/>
    </row>
    <row r="3" spans="1:28" ht="12" customHeight="1" x14ac:dyDescent="0.25">
      <c r="A3" s="35">
        <v>1</v>
      </c>
      <c r="AB3" s="36"/>
    </row>
    <row r="4" spans="1:28" ht="15.75" customHeight="1" x14ac:dyDescent="0.25">
      <c r="A4" s="13" t="s">
        <v>1432</v>
      </c>
      <c r="B4" s="88"/>
      <c r="C4" s="349"/>
      <c r="D4" s="350"/>
      <c r="E4" s="350"/>
      <c r="F4" s="351"/>
      <c r="H4" s="254" t="s">
        <v>284</v>
      </c>
      <c r="I4" s="255"/>
      <c r="J4" s="349"/>
      <c r="K4" s="350"/>
      <c r="L4" s="350"/>
      <c r="M4" s="350"/>
      <c r="N4" s="351"/>
      <c r="P4" s="353" t="s">
        <v>1470</v>
      </c>
      <c r="Q4" s="353"/>
      <c r="R4" s="353"/>
      <c r="S4" s="353"/>
      <c r="T4" s="353"/>
      <c r="U4" s="353"/>
      <c r="V4" s="353"/>
      <c r="W4" s="353"/>
      <c r="X4" s="353"/>
      <c r="Y4" s="353"/>
      <c r="Z4" s="353"/>
      <c r="AB4" s="36"/>
    </row>
    <row r="5" spans="1:28" ht="12" customHeight="1" x14ac:dyDescent="0.25">
      <c r="A5" s="35" t="s">
        <v>1115</v>
      </c>
      <c r="D5" s="34"/>
      <c r="T5" s="6"/>
      <c r="U5" s="6"/>
      <c r="AB5" s="36"/>
    </row>
    <row r="6" spans="1:28" ht="5.25" customHeight="1" thickBot="1" x14ac:dyDescent="0.3">
      <c r="A6" s="45">
        <v>1</v>
      </c>
      <c r="B6" s="46"/>
      <c r="C6" s="46"/>
      <c r="D6" s="46"/>
      <c r="E6" s="46"/>
      <c r="F6" s="46"/>
      <c r="G6" s="46"/>
      <c r="H6" s="46"/>
      <c r="I6" s="46"/>
      <c r="J6" s="46"/>
      <c r="K6" s="46"/>
      <c r="L6" s="46"/>
      <c r="M6" s="46"/>
      <c r="N6" s="46"/>
      <c r="O6" s="46"/>
      <c r="P6" s="46"/>
      <c r="Q6" s="46"/>
      <c r="R6" s="46"/>
      <c r="S6" s="46"/>
      <c r="T6" s="6"/>
      <c r="U6" s="6"/>
      <c r="V6" s="6"/>
      <c r="W6" s="6"/>
      <c r="X6" s="6"/>
      <c r="Y6" s="6"/>
      <c r="Z6" s="36"/>
      <c r="AA6" s="36"/>
      <c r="AB6" s="36"/>
    </row>
    <row r="7" spans="1:28" ht="15.75" thickTop="1" x14ac:dyDescent="0.25">
      <c r="A7" s="335" t="s">
        <v>150</v>
      </c>
      <c r="B7" s="336"/>
      <c r="C7" s="336"/>
      <c r="D7" s="336"/>
      <c r="E7" s="336"/>
      <c r="F7" s="336"/>
      <c r="G7" s="336"/>
      <c r="H7" s="336"/>
      <c r="I7" s="336"/>
      <c r="J7" s="336"/>
      <c r="K7" s="336"/>
      <c r="L7" s="336"/>
      <c r="M7" s="336"/>
      <c r="N7" s="336"/>
      <c r="O7" s="336"/>
      <c r="P7" s="336"/>
      <c r="Q7" s="336"/>
      <c r="R7" s="336"/>
      <c r="S7" s="337"/>
      <c r="T7" s="6"/>
      <c r="U7" s="6"/>
      <c r="Z7" s="36"/>
      <c r="AA7" s="36"/>
      <c r="AB7" s="47"/>
    </row>
    <row r="8" spans="1:28" x14ac:dyDescent="0.25">
      <c r="A8" s="37">
        <v>1</v>
      </c>
      <c r="B8" s="348" t="s">
        <v>146</v>
      </c>
      <c r="C8" s="348"/>
      <c r="D8" s="348"/>
      <c r="E8" s="348"/>
      <c r="F8" s="348"/>
      <c r="G8" s="348"/>
      <c r="H8" s="348"/>
      <c r="I8" s="348"/>
      <c r="J8" s="348"/>
      <c r="K8" s="348"/>
      <c r="L8" s="348"/>
      <c r="M8" s="348"/>
      <c r="N8" s="348"/>
      <c r="O8" s="348"/>
      <c r="P8" s="348"/>
      <c r="Q8" s="348"/>
      <c r="R8" s="269" t="s">
        <v>15</v>
      </c>
      <c r="S8" s="320"/>
      <c r="T8" s="6"/>
      <c r="U8" s="6"/>
      <c r="Z8" s="36"/>
      <c r="AA8" s="36"/>
      <c r="AB8" s="48"/>
    </row>
    <row r="9" spans="1:28" ht="15" customHeight="1" x14ac:dyDescent="0.25">
      <c r="A9" s="38" t="s">
        <v>42</v>
      </c>
      <c r="B9" s="346" t="s">
        <v>281</v>
      </c>
      <c r="C9" s="346"/>
      <c r="D9" s="346" t="s">
        <v>274</v>
      </c>
      <c r="E9" s="346"/>
      <c r="F9" s="346" t="s">
        <v>275</v>
      </c>
      <c r="G9" s="346"/>
      <c r="H9" s="346" t="s">
        <v>276</v>
      </c>
      <c r="I9" s="346"/>
      <c r="J9" s="346" t="s">
        <v>277</v>
      </c>
      <c r="K9" s="346"/>
      <c r="L9" s="346" t="s">
        <v>278</v>
      </c>
      <c r="M9" s="346"/>
      <c r="N9" s="344" t="s">
        <v>279</v>
      </c>
      <c r="O9" s="344"/>
      <c r="P9" s="344" t="s">
        <v>280</v>
      </c>
      <c r="Q9" s="344"/>
      <c r="R9" s="269"/>
      <c r="S9" s="320"/>
      <c r="T9" s="36"/>
      <c r="Z9" s="36"/>
      <c r="AA9" s="36"/>
      <c r="AB9" s="48"/>
    </row>
    <row r="10" spans="1:28" x14ac:dyDescent="0.25">
      <c r="A10" s="57" t="s">
        <v>43</v>
      </c>
      <c r="B10" s="97" t="s">
        <v>9</v>
      </c>
      <c r="C10" s="97" t="s">
        <v>10</v>
      </c>
      <c r="D10" s="97" t="s">
        <v>9</v>
      </c>
      <c r="E10" s="97" t="s">
        <v>10</v>
      </c>
      <c r="F10" s="97"/>
      <c r="G10" s="97"/>
      <c r="H10" s="97"/>
      <c r="I10" s="97"/>
      <c r="J10" s="97"/>
      <c r="K10" s="97"/>
      <c r="L10" s="97"/>
      <c r="M10" s="97"/>
      <c r="N10" s="97"/>
      <c r="O10" s="97"/>
      <c r="P10" s="97" t="s">
        <v>9</v>
      </c>
      <c r="Q10" s="97" t="s">
        <v>10</v>
      </c>
      <c r="R10" s="121" t="s">
        <v>9</v>
      </c>
      <c r="S10" s="122" t="s">
        <v>10</v>
      </c>
      <c r="T10" s="36"/>
      <c r="Z10" s="36"/>
      <c r="AA10" s="36"/>
      <c r="AB10" s="48"/>
    </row>
    <row r="11" spans="1:28" s="59" customFormat="1" ht="12.75" x14ac:dyDescent="0.2">
      <c r="A11" s="99" t="s">
        <v>68</v>
      </c>
      <c r="B11" s="157"/>
      <c r="C11" s="157"/>
      <c r="D11" s="155"/>
      <c r="E11" s="155"/>
      <c r="F11" s="157"/>
      <c r="G11" s="157"/>
      <c r="H11" s="157"/>
      <c r="I11" s="157"/>
      <c r="J11" s="157"/>
      <c r="K11" s="157"/>
      <c r="L11" s="157"/>
      <c r="M11" s="157"/>
      <c r="N11" s="157"/>
      <c r="O11" s="157"/>
      <c r="P11" s="157"/>
      <c r="Q11" s="157"/>
      <c r="R11" s="130">
        <f>P11+N11+L11+J11+H11+F11+D11+B11</f>
        <v>0</v>
      </c>
      <c r="S11" s="131">
        <f>Q11+O11+M11+K11+I11+G11+E11+C11</f>
        <v>0</v>
      </c>
      <c r="T11" s="61"/>
      <c r="Z11" s="61"/>
      <c r="AA11" s="61"/>
      <c r="AB11" s="60"/>
    </row>
    <row r="12" spans="1:28" s="59" customFormat="1" ht="12.75" x14ac:dyDescent="0.2">
      <c r="A12" s="99" t="s">
        <v>69</v>
      </c>
      <c r="B12" s="157"/>
      <c r="C12" s="157"/>
      <c r="D12" s="157"/>
      <c r="E12" s="157"/>
      <c r="F12" s="155"/>
      <c r="G12" s="155"/>
      <c r="H12" s="157"/>
      <c r="I12" s="157"/>
      <c r="J12" s="157"/>
      <c r="K12" s="157"/>
      <c r="L12" s="157"/>
      <c r="M12" s="157"/>
      <c r="N12" s="157"/>
      <c r="O12" s="157"/>
      <c r="P12" s="157"/>
      <c r="Q12" s="157"/>
      <c r="R12" s="130">
        <f t="shared" ref="R12:S14" si="0">P12+N12+L12+J12+H12+F12+D12+B12</f>
        <v>0</v>
      </c>
      <c r="S12" s="131">
        <f t="shared" si="0"/>
        <v>0</v>
      </c>
      <c r="T12" s="61"/>
      <c r="Z12" s="61"/>
      <c r="AA12" s="61"/>
      <c r="AB12" s="61"/>
    </row>
    <row r="13" spans="1:28" s="59" customFormat="1" ht="12.75" x14ac:dyDescent="0.2">
      <c r="A13" s="99" t="s">
        <v>70</v>
      </c>
      <c r="B13" s="157"/>
      <c r="C13" s="157"/>
      <c r="D13" s="157"/>
      <c r="E13" s="157"/>
      <c r="F13" s="157"/>
      <c r="G13" s="157"/>
      <c r="H13" s="155"/>
      <c r="I13" s="155"/>
      <c r="J13" s="157"/>
      <c r="K13" s="157"/>
      <c r="L13" s="157"/>
      <c r="M13" s="157"/>
      <c r="N13" s="157"/>
      <c r="O13" s="157"/>
      <c r="P13" s="157"/>
      <c r="Q13" s="157"/>
      <c r="R13" s="130">
        <f t="shared" si="0"/>
        <v>0</v>
      </c>
      <c r="S13" s="131">
        <f t="shared" si="0"/>
        <v>0</v>
      </c>
      <c r="T13" s="61"/>
      <c r="Z13" s="61"/>
      <c r="AA13" s="61"/>
      <c r="AB13" s="61"/>
    </row>
    <row r="14" spans="1:28" s="59" customFormat="1" ht="12.75" x14ac:dyDescent="0.2">
      <c r="A14" s="99" t="s">
        <v>71</v>
      </c>
      <c r="B14" s="157"/>
      <c r="C14" s="157"/>
      <c r="D14" s="157"/>
      <c r="E14" s="157"/>
      <c r="F14" s="157"/>
      <c r="G14" s="157"/>
      <c r="H14" s="157"/>
      <c r="I14" s="157"/>
      <c r="J14" s="155"/>
      <c r="K14" s="155"/>
      <c r="L14" s="157"/>
      <c r="M14" s="157"/>
      <c r="N14" s="157"/>
      <c r="O14" s="157"/>
      <c r="P14" s="157"/>
      <c r="Q14" s="157"/>
      <c r="R14" s="130">
        <f t="shared" si="0"/>
        <v>0</v>
      </c>
      <c r="S14" s="131">
        <f t="shared" si="0"/>
        <v>0</v>
      </c>
      <c r="T14" s="61"/>
      <c r="Z14" s="61"/>
      <c r="AA14" s="61"/>
      <c r="AB14" s="61"/>
    </row>
    <row r="15" spans="1:28" s="59" customFormat="1" ht="13.5" thickBot="1" x14ac:dyDescent="0.25">
      <c r="A15" s="65" t="s">
        <v>15</v>
      </c>
      <c r="B15" s="132">
        <f>SUM(B11:B14)</f>
        <v>0</v>
      </c>
      <c r="C15" s="132">
        <f t="shared" ref="C15:S15" si="1">SUM(C11:C14)</f>
        <v>0</v>
      </c>
      <c r="D15" s="132">
        <f t="shared" si="1"/>
        <v>0</v>
      </c>
      <c r="E15" s="132">
        <f t="shared" si="1"/>
        <v>0</v>
      </c>
      <c r="F15" s="132">
        <f t="shared" si="1"/>
        <v>0</v>
      </c>
      <c r="G15" s="132">
        <f t="shared" si="1"/>
        <v>0</v>
      </c>
      <c r="H15" s="132">
        <f t="shared" si="1"/>
        <v>0</v>
      </c>
      <c r="I15" s="132">
        <f t="shared" si="1"/>
        <v>0</v>
      </c>
      <c r="J15" s="132">
        <f t="shared" si="1"/>
        <v>0</v>
      </c>
      <c r="K15" s="132">
        <f t="shared" si="1"/>
        <v>0</v>
      </c>
      <c r="L15" s="132">
        <f t="shared" si="1"/>
        <v>0</v>
      </c>
      <c r="M15" s="132">
        <f t="shared" si="1"/>
        <v>0</v>
      </c>
      <c r="N15" s="132">
        <f t="shared" si="1"/>
        <v>0</v>
      </c>
      <c r="O15" s="132">
        <f t="shared" si="1"/>
        <v>0</v>
      </c>
      <c r="P15" s="132">
        <f t="shared" si="1"/>
        <v>0</v>
      </c>
      <c r="Q15" s="132">
        <f t="shared" si="1"/>
        <v>0</v>
      </c>
      <c r="R15" s="132">
        <f t="shared" si="1"/>
        <v>0</v>
      </c>
      <c r="S15" s="133">
        <f t="shared" si="1"/>
        <v>0</v>
      </c>
      <c r="T15" s="61"/>
      <c r="Z15" s="61"/>
      <c r="AA15" s="61"/>
      <c r="AB15" s="61"/>
    </row>
    <row r="16" spans="1:28" ht="4.5" customHeight="1" thickTop="1" x14ac:dyDescent="0.25">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28" ht="10.5" customHeight="1" thickBot="1" x14ac:dyDescent="0.3">
      <c r="A17" s="10" t="s">
        <v>1115</v>
      </c>
      <c r="B17" s="36"/>
      <c r="C17" s="36"/>
      <c r="D17" s="36"/>
      <c r="E17" s="36"/>
      <c r="F17" s="36"/>
      <c r="G17" s="36"/>
      <c r="H17" s="36"/>
      <c r="I17" s="36"/>
      <c r="J17" s="36"/>
      <c r="K17" s="36"/>
      <c r="L17" s="36"/>
      <c r="M17" s="36"/>
      <c r="N17" s="36"/>
      <c r="O17" s="36"/>
      <c r="P17" s="36"/>
      <c r="Q17" s="36"/>
      <c r="R17" s="36"/>
      <c r="S17" s="36"/>
      <c r="T17" s="36"/>
      <c r="U17" s="6"/>
      <c r="V17" s="6"/>
      <c r="W17" s="6"/>
      <c r="X17" s="36"/>
      <c r="Y17" s="36"/>
      <c r="Z17" s="36"/>
      <c r="AA17" s="36"/>
      <c r="AB17" s="36"/>
    </row>
    <row r="18" spans="1:28" ht="18.75" customHeight="1" thickTop="1" x14ac:dyDescent="0.25">
      <c r="A18" s="354" t="s">
        <v>1179</v>
      </c>
      <c r="B18" s="355"/>
      <c r="C18" s="355"/>
      <c r="D18" s="355"/>
      <c r="E18" s="355"/>
      <c r="F18" s="355"/>
      <c r="G18" s="355"/>
      <c r="H18" s="355"/>
      <c r="I18" s="356"/>
      <c r="J18" s="36"/>
      <c r="K18" s="36"/>
      <c r="L18" s="36"/>
      <c r="M18" s="36"/>
      <c r="N18" s="36"/>
      <c r="O18" s="36"/>
      <c r="P18" s="36"/>
      <c r="Q18" s="36"/>
      <c r="R18" s="36"/>
      <c r="S18" s="36"/>
      <c r="T18" s="36"/>
      <c r="U18" s="6"/>
      <c r="V18" s="6"/>
      <c r="W18" s="6"/>
      <c r="X18" s="36"/>
      <c r="Y18" s="36"/>
      <c r="Z18" s="36"/>
      <c r="AA18" s="36"/>
      <c r="AB18" s="36"/>
    </row>
    <row r="19" spans="1:28" x14ac:dyDescent="0.25">
      <c r="A19" s="375" t="s">
        <v>1115</v>
      </c>
      <c r="B19" s="376"/>
      <c r="C19" s="376"/>
      <c r="D19" s="376"/>
      <c r="E19" s="377"/>
      <c r="F19" s="378" t="s">
        <v>9</v>
      </c>
      <c r="G19" s="379"/>
      <c r="H19" s="378" t="s">
        <v>10</v>
      </c>
      <c r="I19" s="380"/>
      <c r="J19" s="36"/>
      <c r="K19" s="36"/>
      <c r="L19" s="36"/>
      <c r="M19" s="36"/>
      <c r="N19" s="36"/>
      <c r="O19" s="36"/>
      <c r="P19" s="36"/>
      <c r="Q19" s="36"/>
      <c r="R19" s="36"/>
      <c r="S19" s="36"/>
      <c r="T19" s="36"/>
      <c r="U19" s="6"/>
      <c r="V19" s="6"/>
      <c r="W19" s="6"/>
      <c r="X19" s="36"/>
      <c r="Y19" s="36"/>
      <c r="Z19" s="36"/>
      <c r="AA19" s="36"/>
      <c r="AB19" s="36"/>
    </row>
    <row r="20" spans="1:28" x14ac:dyDescent="0.25">
      <c r="A20" s="363" t="s">
        <v>148</v>
      </c>
      <c r="B20" s="364"/>
      <c r="C20" s="364"/>
      <c r="D20" s="364"/>
      <c r="E20" s="365"/>
      <c r="F20" s="366"/>
      <c r="G20" s="367"/>
      <c r="H20" s="381"/>
      <c r="I20" s="382"/>
      <c r="J20" s="36"/>
      <c r="K20" s="36"/>
      <c r="L20" s="36"/>
      <c r="M20" s="36"/>
      <c r="N20" s="36"/>
      <c r="O20" s="36"/>
      <c r="P20" s="36"/>
      <c r="Q20" s="36"/>
      <c r="R20" s="36"/>
      <c r="S20" s="36"/>
      <c r="T20" s="36"/>
      <c r="U20" s="6"/>
      <c r="V20" s="6"/>
      <c r="W20" s="6"/>
      <c r="X20" s="36"/>
      <c r="Y20" s="36"/>
      <c r="Z20" s="36"/>
      <c r="AA20" s="36"/>
      <c r="AB20" s="36"/>
    </row>
    <row r="21" spans="1:28" x14ac:dyDescent="0.25">
      <c r="A21" s="363" t="s">
        <v>1177</v>
      </c>
      <c r="B21" s="364"/>
      <c r="C21" s="364"/>
      <c r="D21" s="364"/>
      <c r="E21" s="365"/>
      <c r="F21" s="366"/>
      <c r="G21" s="367"/>
      <c r="H21" s="366"/>
      <c r="I21" s="368"/>
      <c r="J21" s="36"/>
      <c r="K21" s="36"/>
      <c r="L21" s="36"/>
      <c r="M21" s="36"/>
      <c r="N21" s="36"/>
      <c r="O21" s="36"/>
      <c r="P21" s="36"/>
      <c r="Q21" s="36"/>
      <c r="R21" s="36"/>
      <c r="S21" s="36"/>
      <c r="T21" s="36"/>
      <c r="U21" s="6"/>
      <c r="V21" s="6"/>
      <c r="W21" s="6"/>
      <c r="X21" s="36"/>
      <c r="Y21" s="36"/>
      <c r="Z21" s="36"/>
      <c r="AA21" s="36"/>
      <c r="AB21" s="36"/>
    </row>
    <row r="22" spans="1:28" ht="15.75" customHeight="1" thickBot="1" x14ac:dyDescent="0.3">
      <c r="A22" s="369" t="s">
        <v>1178</v>
      </c>
      <c r="B22" s="370"/>
      <c r="C22" s="370"/>
      <c r="D22" s="370"/>
      <c r="E22" s="371"/>
      <c r="F22" s="372"/>
      <c r="G22" s="373"/>
      <c r="H22" s="372"/>
      <c r="I22" s="374"/>
      <c r="J22" s="36"/>
      <c r="K22" s="36"/>
      <c r="L22" s="36"/>
      <c r="M22" s="36"/>
      <c r="N22" s="36"/>
      <c r="O22" s="36"/>
      <c r="P22" s="36"/>
      <c r="Q22" s="36"/>
      <c r="R22" s="36"/>
      <c r="S22" s="36"/>
      <c r="T22" s="36"/>
      <c r="U22" s="6"/>
      <c r="V22" s="6"/>
      <c r="W22" s="6"/>
      <c r="X22" s="36"/>
      <c r="Y22" s="36"/>
      <c r="Z22" s="36"/>
      <c r="AA22" s="36"/>
      <c r="AB22" s="36"/>
    </row>
    <row r="23" spans="1:28" ht="12" customHeight="1" thickTop="1" thickBot="1" x14ac:dyDescent="0.3">
      <c r="A23" s="10" t="s">
        <v>1115</v>
      </c>
      <c r="B23" s="36"/>
      <c r="C23" s="36"/>
      <c r="D23" s="36"/>
      <c r="E23" s="36"/>
      <c r="F23" s="36"/>
      <c r="G23" s="36"/>
      <c r="H23" s="36"/>
      <c r="I23" s="36"/>
      <c r="J23" s="36"/>
      <c r="K23" s="36"/>
      <c r="L23" s="36"/>
      <c r="M23" s="36"/>
      <c r="N23" s="36"/>
      <c r="O23" s="36"/>
      <c r="P23" s="36"/>
      <c r="Q23" s="36"/>
      <c r="R23" s="36"/>
      <c r="S23" s="36"/>
      <c r="T23" s="36"/>
      <c r="U23" s="6"/>
      <c r="V23" s="6"/>
      <c r="W23" s="6"/>
      <c r="X23" s="36"/>
      <c r="Y23" s="36"/>
      <c r="Z23" s="36"/>
      <c r="AA23" s="36"/>
      <c r="AB23" s="36"/>
    </row>
    <row r="24" spans="1:28" ht="15.75" thickTop="1" x14ac:dyDescent="0.25">
      <c r="A24" s="383" t="s">
        <v>1113</v>
      </c>
      <c r="B24" s="384"/>
      <c r="C24" s="384"/>
      <c r="D24" s="384"/>
      <c r="E24" s="384"/>
      <c r="F24" s="384"/>
      <c r="G24" s="384"/>
      <c r="H24" s="384"/>
      <c r="I24" s="384"/>
      <c r="J24" s="384"/>
      <c r="K24" s="384"/>
      <c r="L24" s="384"/>
      <c r="M24" s="384"/>
      <c r="N24" s="384"/>
      <c r="O24" s="384"/>
      <c r="P24" s="384"/>
      <c r="Q24" s="385"/>
      <c r="R24" s="36"/>
      <c r="AB24" s="36"/>
    </row>
    <row r="25" spans="1:28" x14ac:dyDescent="0.25">
      <c r="A25" s="50">
        <v>1</v>
      </c>
      <c r="B25" s="348" t="s">
        <v>77</v>
      </c>
      <c r="C25" s="348"/>
      <c r="D25" s="348"/>
      <c r="E25" s="348"/>
      <c r="F25" s="348"/>
      <c r="G25" s="348"/>
      <c r="H25" s="348"/>
      <c r="I25" s="348"/>
      <c r="J25" s="348"/>
      <c r="K25" s="348"/>
      <c r="L25" s="348"/>
      <c r="M25" s="348"/>
      <c r="N25" s="348"/>
      <c r="O25" s="348"/>
      <c r="P25" s="269" t="s">
        <v>15</v>
      </c>
      <c r="Q25" s="320"/>
      <c r="R25" s="36"/>
      <c r="AB25" s="36"/>
    </row>
    <row r="26" spans="1:28" x14ac:dyDescent="0.25">
      <c r="A26" s="38" t="s">
        <v>42</v>
      </c>
      <c r="B26" s="346" t="s">
        <v>274</v>
      </c>
      <c r="C26" s="346"/>
      <c r="D26" s="346" t="s">
        <v>275</v>
      </c>
      <c r="E26" s="346"/>
      <c r="F26" s="346" t="s">
        <v>276</v>
      </c>
      <c r="G26" s="346"/>
      <c r="H26" s="346" t="s">
        <v>277</v>
      </c>
      <c r="I26" s="346"/>
      <c r="J26" s="346" t="s">
        <v>278</v>
      </c>
      <c r="K26" s="346"/>
      <c r="L26" s="344" t="s">
        <v>279</v>
      </c>
      <c r="M26" s="344"/>
      <c r="N26" s="344" t="s">
        <v>280</v>
      </c>
      <c r="O26" s="344"/>
      <c r="P26" s="269"/>
      <c r="Q26" s="320"/>
      <c r="R26" s="36"/>
      <c r="AB26" s="36"/>
    </row>
    <row r="27" spans="1:28" x14ac:dyDescent="0.25">
      <c r="A27" s="57" t="s">
        <v>43</v>
      </c>
      <c r="B27" s="97" t="s">
        <v>9</v>
      </c>
      <c r="C27" s="97" t="s">
        <v>10</v>
      </c>
      <c r="D27" s="97" t="s">
        <v>9</v>
      </c>
      <c r="E27" s="97" t="s">
        <v>10</v>
      </c>
      <c r="F27" s="97" t="s">
        <v>9</v>
      </c>
      <c r="G27" s="97" t="s">
        <v>10</v>
      </c>
      <c r="H27" s="97" t="s">
        <v>9</v>
      </c>
      <c r="I27" s="97" t="s">
        <v>10</v>
      </c>
      <c r="J27" s="97" t="s">
        <v>9</v>
      </c>
      <c r="K27" s="97" t="s">
        <v>10</v>
      </c>
      <c r="L27" s="97" t="s">
        <v>9</v>
      </c>
      <c r="M27" s="97" t="s">
        <v>10</v>
      </c>
      <c r="N27" s="97" t="s">
        <v>44</v>
      </c>
      <c r="O27" s="97" t="s">
        <v>10</v>
      </c>
      <c r="P27" s="117" t="s">
        <v>9</v>
      </c>
      <c r="Q27" s="120" t="s">
        <v>10</v>
      </c>
      <c r="R27" s="36"/>
      <c r="AB27" s="36"/>
    </row>
    <row r="28" spans="1:28" s="59" customFormat="1" ht="12.75" x14ac:dyDescent="0.2">
      <c r="A28" s="99" t="s">
        <v>68</v>
      </c>
      <c r="B28" s="157"/>
      <c r="C28" s="157"/>
      <c r="D28" s="155"/>
      <c r="E28" s="155"/>
      <c r="F28" s="157"/>
      <c r="G28" s="157"/>
      <c r="H28" s="157"/>
      <c r="I28" s="157"/>
      <c r="J28" s="157"/>
      <c r="K28" s="157"/>
      <c r="L28" s="157"/>
      <c r="M28" s="157"/>
      <c r="N28" s="157"/>
      <c r="O28" s="157"/>
      <c r="P28" s="134">
        <f>N28+L28+J28+H28+F28+D28+B28</f>
        <v>0</v>
      </c>
      <c r="Q28" s="135">
        <f>O28+M28+K28+I28+G28+E28+C28</f>
        <v>0</v>
      </c>
      <c r="R28" s="61"/>
      <c r="AB28" s="61"/>
    </row>
    <row r="29" spans="1:28" s="59" customFormat="1" ht="12.75" x14ac:dyDescent="0.2">
      <c r="A29" s="99" t="s">
        <v>69</v>
      </c>
      <c r="B29" s="157"/>
      <c r="C29" s="157"/>
      <c r="D29" s="157"/>
      <c r="E29" s="157"/>
      <c r="F29" s="155"/>
      <c r="G29" s="155"/>
      <c r="H29" s="157"/>
      <c r="I29" s="157"/>
      <c r="J29" s="157"/>
      <c r="K29" s="157"/>
      <c r="L29" s="157"/>
      <c r="M29" s="157"/>
      <c r="N29" s="157"/>
      <c r="O29" s="157"/>
      <c r="P29" s="134">
        <f t="shared" ref="P29:Q31" si="2">N29+L29+J29+H29+F29+D29+B29</f>
        <v>0</v>
      </c>
      <c r="Q29" s="135">
        <f t="shared" si="2"/>
        <v>0</v>
      </c>
      <c r="R29" s="61"/>
      <c r="AB29" s="61"/>
    </row>
    <row r="30" spans="1:28" s="59" customFormat="1" ht="12.75" x14ac:dyDescent="0.2">
      <c r="A30" s="99" t="s">
        <v>70</v>
      </c>
      <c r="B30" s="157"/>
      <c r="C30" s="157"/>
      <c r="D30" s="157"/>
      <c r="E30" s="157"/>
      <c r="F30" s="157"/>
      <c r="G30" s="157"/>
      <c r="H30" s="155"/>
      <c r="I30" s="155"/>
      <c r="J30" s="157"/>
      <c r="K30" s="157"/>
      <c r="L30" s="157"/>
      <c r="M30" s="157"/>
      <c r="N30" s="157"/>
      <c r="O30" s="157"/>
      <c r="P30" s="134">
        <f t="shared" si="2"/>
        <v>0</v>
      </c>
      <c r="Q30" s="135">
        <f t="shared" si="2"/>
        <v>0</v>
      </c>
      <c r="R30" s="61"/>
      <c r="AB30" s="61"/>
    </row>
    <row r="31" spans="1:28" s="59" customFormat="1" ht="12.75" x14ac:dyDescent="0.2">
      <c r="A31" s="99" t="s">
        <v>71</v>
      </c>
      <c r="B31" s="157"/>
      <c r="C31" s="157"/>
      <c r="D31" s="157"/>
      <c r="E31" s="157"/>
      <c r="F31" s="157"/>
      <c r="G31" s="157"/>
      <c r="H31" s="157"/>
      <c r="I31" s="157"/>
      <c r="J31" s="155"/>
      <c r="K31" s="155"/>
      <c r="L31" s="157"/>
      <c r="M31" s="157"/>
      <c r="N31" s="157"/>
      <c r="O31" s="157"/>
      <c r="P31" s="134">
        <f t="shared" si="2"/>
        <v>0</v>
      </c>
      <c r="Q31" s="135">
        <f t="shared" si="2"/>
        <v>0</v>
      </c>
      <c r="R31" s="61"/>
      <c r="AB31" s="61"/>
    </row>
    <row r="32" spans="1:28" s="59" customFormat="1" ht="13.5" thickBot="1" x14ac:dyDescent="0.25">
      <c r="A32" s="126" t="s">
        <v>15</v>
      </c>
      <c r="B32" s="132">
        <f>SUM(B28:B31)</f>
        <v>0</v>
      </c>
      <c r="C32" s="132">
        <f t="shared" ref="C32:Q32" si="3">SUM(C28:C31)</f>
        <v>0</v>
      </c>
      <c r="D32" s="132">
        <f t="shared" si="3"/>
        <v>0</v>
      </c>
      <c r="E32" s="132">
        <f t="shared" si="3"/>
        <v>0</v>
      </c>
      <c r="F32" s="132">
        <f t="shared" si="3"/>
        <v>0</v>
      </c>
      <c r="G32" s="132">
        <f t="shared" si="3"/>
        <v>0</v>
      </c>
      <c r="H32" s="132">
        <f t="shared" si="3"/>
        <v>0</v>
      </c>
      <c r="I32" s="132">
        <f t="shared" si="3"/>
        <v>0</v>
      </c>
      <c r="J32" s="132">
        <f t="shared" si="3"/>
        <v>0</v>
      </c>
      <c r="K32" s="132">
        <f t="shared" si="3"/>
        <v>0</v>
      </c>
      <c r="L32" s="132">
        <f t="shared" si="3"/>
        <v>0</v>
      </c>
      <c r="M32" s="132">
        <f t="shared" si="3"/>
        <v>0</v>
      </c>
      <c r="N32" s="132">
        <f t="shared" si="3"/>
        <v>0</v>
      </c>
      <c r="O32" s="132">
        <f t="shared" si="3"/>
        <v>0</v>
      </c>
      <c r="P32" s="132">
        <f t="shared" si="3"/>
        <v>0</v>
      </c>
      <c r="Q32" s="133">
        <f t="shared" si="3"/>
        <v>0</v>
      </c>
      <c r="R32" s="61"/>
      <c r="AB32" s="61"/>
    </row>
    <row r="33" spans="1:28" ht="14.25" customHeight="1" thickTop="1" thickBot="1" x14ac:dyDescent="0.3">
      <c r="A33" s="39">
        <v>1</v>
      </c>
      <c r="B33" s="36"/>
      <c r="C33" s="36"/>
      <c r="D33" s="36"/>
      <c r="E33" s="36"/>
      <c r="F33" s="36"/>
      <c r="G33" s="36"/>
      <c r="H33" s="36"/>
      <c r="I33" s="36"/>
      <c r="J33" s="36"/>
      <c r="K33" s="36"/>
      <c r="L33" s="36"/>
      <c r="M33" s="36"/>
      <c r="N33" s="36"/>
      <c r="O33" s="36"/>
      <c r="P33" s="36"/>
      <c r="Q33" s="36"/>
      <c r="R33" s="36"/>
      <c r="S33" s="36"/>
      <c r="T33" s="36"/>
      <c r="U33" s="36"/>
      <c r="V33" s="36"/>
      <c r="W33" s="36"/>
      <c r="X33" s="36"/>
      <c r="Y33" s="123"/>
      <c r="Z33" s="56"/>
      <c r="AA33" s="56"/>
      <c r="AB33" s="56"/>
    </row>
    <row r="34" spans="1:28" ht="15.75" customHeight="1" thickTop="1" x14ac:dyDescent="0.25">
      <c r="A34" s="386" t="s">
        <v>1114</v>
      </c>
      <c r="B34" s="384"/>
      <c r="C34" s="384"/>
      <c r="D34" s="384"/>
      <c r="E34" s="384"/>
      <c r="F34" s="384"/>
      <c r="G34" s="384"/>
      <c r="H34" s="384"/>
      <c r="I34" s="384"/>
      <c r="J34" s="384"/>
      <c r="K34" s="384"/>
      <c r="L34" s="384"/>
      <c r="M34" s="384"/>
      <c r="N34" s="384"/>
      <c r="O34" s="385"/>
      <c r="P34" s="36"/>
      <c r="Q34" s="36"/>
      <c r="R34" s="36"/>
      <c r="S34" s="36"/>
      <c r="T34" s="59"/>
      <c r="U34" s="59"/>
      <c r="V34" s="59"/>
      <c r="W34" s="59"/>
      <c r="X34" s="59"/>
      <c r="Y34" s="123"/>
      <c r="Z34" s="56"/>
      <c r="AA34" s="56"/>
      <c r="AB34" s="56"/>
    </row>
    <row r="35" spans="1:28" ht="15.75" customHeight="1" x14ac:dyDescent="0.25">
      <c r="A35" s="105">
        <v>1</v>
      </c>
      <c r="B35" s="346" t="s">
        <v>1443</v>
      </c>
      <c r="C35" s="346"/>
      <c r="D35" s="346"/>
      <c r="E35" s="346"/>
      <c r="F35" s="346" t="s">
        <v>1444</v>
      </c>
      <c r="G35" s="346"/>
      <c r="H35" s="346"/>
      <c r="I35" s="346"/>
      <c r="J35" s="346" t="s">
        <v>1445</v>
      </c>
      <c r="K35" s="346"/>
      <c r="L35" s="346"/>
      <c r="M35" s="346"/>
      <c r="N35" s="247" t="s">
        <v>1447</v>
      </c>
      <c r="O35" s="387"/>
      <c r="P35" s="36"/>
      <c r="Q35" s="36"/>
      <c r="R35" s="36"/>
      <c r="S35" s="36"/>
      <c r="T35" s="59"/>
      <c r="U35" s="59"/>
      <c r="V35" s="59"/>
      <c r="W35" s="59"/>
      <c r="X35" s="59"/>
      <c r="Y35" s="123"/>
      <c r="Z35" s="56"/>
      <c r="AA35" s="56"/>
      <c r="AB35" s="56"/>
    </row>
    <row r="36" spans="1:28" ht="15.75" customHeight="1" x14ac:dyDescent="0.25">
      <c r="A36" s="106">
        <v>1</v>
      </c>
      <c r="B36" s="346" t="s">
        <v>1448</v>
      </c>
      <c r="C36" s="346"/>
      <c r="D36" s="346" t="s">
        <v>262</v>
      </c>
      <c r="E36" s="346"/>
      <c r="F36" s="346" t="s">
        <v>1448</v>
      </c>
      <c r="G36" s="346"/>
      <c r="H36" s="346" t="s">
        <v>262</v>
      </c>
      <c r="I36" s="346"/>
      <c r="J36" s="346" t="s">
        <v>1448</v>
      </c>
      <c r="K36" s="346"/>
      <c r="L36" s="346" t="s">
        <v>262</v>
      </c>
      <c r="M36" s="346"/>
      <c r="N36" s="247"/>
      <c r="O36" s="387"/>
      <c r="P36" s="36"/>
      <c r="Q36" s="36"/>
      <c r="R36" s="36"/>
      <c r="S36" s="36"/>
      <c r="T36" s="59"/>
      <c r="U36" s="59"/>
      <c r="V36" s="59"/>
      <c r="W36" s="59"/>
      <c r="X36" s="59"/>
      <c r="Y36" s="123"/>
      <c r="Z36" s="56"/>
      <c r="AA36" s="56"/>
      <c r="AB36" s="56"/>
    </row>
    <row r="37" spans="1:28" ht="15.75" customHeight="1" x14ac:dyDescent="0.25">
      <c r="A37" s="124" t="s">
        <v>68</v>
      </c>
      <c r="B37" s="324"/>
      <c r="C37" s="324"/>
      <c r="D37" s="325"/>
      <c r="E37" s="326"/>
      <c r="F37" s="324"/>
      <c r="G37" s="324"/>
      <c r="H37" s="325"/>
      <c r="I37" s="326"/>
      <c r="J37" s="324"/>
      <c r="K37" s="324"/>
      <c r="L37" s="325"/>
      <c r="M37" s="326"/>
      <c r="N37" s="210">
        <f t="shared" ref="N37:N38" si="4">B37+F37+J37</f>
        <v>0</v>
      </c>
      <c r="O37" s="327"/>
      <c r="P37" s="35">
        <f>D37+H37+L37</f>
        <v>0</v>
      </c>
      <c r="Q37" s="36"/>
      <c r="R37" s="36"/>
      <c r="S37" s="36"/>
      <c r="T37" s="59"/>
      <c r="U37" s="59"/>
      <c r="V37" s="59"/>
      <c r="W37" s="59"/>
      <c r="X37" s="59"/>
      <c r="Y37" s="123"/>
      <c r="Z37" s="56"/>
      <c r="AA37" s="56"/>
      <c r="AB37" s="56"/>
    </row>
    <row r="38" spans="1:28" ht="15.75" customHeight="1" x14ac:dyDescent="0.25">
      <c r="A38" s="124" t="s">
        <v>69</v>
      </c>
      <c r="B38" s="324"/>
      <c r="C38" s="324"/>
      <c r="D38" s="325"/>
      <c r="E38" s="326"/>
      <c r="F38" s="324"/>
      <c r="G38" s="324"/>
      <c r="H38" s="325"/>
      <c r="I38" s="326"/>
      <c r="J38" s="324"/>
      <c r="K38" s="324"/>
      <c r="L38" s="325"/>
      <c r="M38" s="326"/>
      <c r="N38" s="210">
        <f t="shared" si="4"/>
        <v>0</v>
      </c>
      <c r="O38" s="327"/>
      <c r="P38" s="35">
        <f t="shared" ref="P38:P40" si="5">D38+H38+L38</f>
        <v>0</v>
      </c>
      <c r="Q38" s="36"/>
      <c r="R38" s="36"/>
      <c r="S38" s="36"/>
      <c r="T38" s="59"/>
      <c r="U38" s="59"/>
      <c r="V38" s="59"/>
      <c r="W38" s="59"/>
      <c r="X38" s="59"/>
      <c r="Y38" s="123"/>
      <c r="Z38" s="56"/>
      <c r="AA38" s="56"/>
      <c r="AB38" s="56"/>
    </row>
    <row r="39" spans="1:28" ht="15.75" customHeight="1" x14ac:dyDescent="0.25">
      <c r="A39" s="124" t="s">
        <v>70</v>
      </c>
      <c r="B39" s="324"/>
      <c r="C39" s="324"/>
      <c r="D39" s="324"/>
      <c r="E39" s="324"/>
      <c r="F39" s="324"/>
      <c r="G39" s="324"/>
      <c r="H39" s="324"/>
      <c r="I39" s="324"/>
      <c r="J39" s="324"/>
      <c r="K39" s="324"/>
      <c r="L39" s="324"/>
      <c r="M39" s="324"/>
      <c r="N39" s="210">
        <f>B39+F39+J39</f>
        <v>0</v>
      </c>
      <c r="O39" s="327">
        <f>C39+G39+K39</f>
        <v>0</v>
      </c>
      <c r="P39" s="35">
        <f t="shared" si="5"/>
        <v>0</v>
      </c>
      <c r="Q39" s="36"/>
      <c r="R39" s="36"/>
      <c r="S39" s="36"/>
      <c r="T39" s="59"/>
      <c r="U39" s="59"/>
      <c r="V39" s="59"/>
      <c r="W39" s="59"/>
      <c r="X39" s="59"/>
      <c r="Y39" s="123"/>
      <c r="Z39" s="56"/>
      <c r="AA39" s="56"/>
      <c r="AB39" s="56"/>
    </row>
    <row r="40" spans="1:28" ht="14.25" customHeight="1" x14ac:dyDescent="0.25">
      <c r="A40" s="124" t="s">
        <v>71</v>
      </c>
      <c r="B40" s="324"/>
      <c r="C40" s="324"/>
      <c r="D40" s="324"/>
      <c r="E40" s="324"/>
      <c r="F40" s="324"/>
      <c r="G40" s="324"/>
      <c r="H40" s="324"/>
      <c r="I40" s="324"/>
      <c r="J40" s="324"/>
      <c r="K40" s="324"/>
      <c r="L40" s="324"/>
      <c r="M40" s="324"/>
      <c r="N40" s="210">
        <f>B40+F40+J40</f>
        <v>0</v>
      </c>
      <c r="O40" s="327">
        <f>C40+G40+K40</f>
        <v>0</v>
      </c>
      <c r="P40" s="35">
        <f t="shared" si="5"/>
        <v>0</v>
      </c>
      <c r="Q40" s="36"/>
      <c r="R40" s="36"/>
      <c r="S40" s="36"/>
      <c r="T40" s="59"/>
      <c r="U40" s="59"/>
      <c r="V40" s="59"/>
      <c r="W40" s="59"/>
      <c r="X40" s="59"/>
      <c r="Y40" s="123"/>
      <c r="Z40" s="56"/>
      <c r="AA40" s="56"/>
      <c r="AB40" s="56"/>
    </row>
    <row r="41" spans="1:28" ht="15.75" customHeight="1" thickBot="1" x14ac:dyDescent="0.3">
      <c r="A41" s="126" t="s">
        <v>15</v>
      </c>
      <c r="B41" s="328">
        <f>SUM(B37:C40)</f>
        <v>0</v>
      </c>
      <c r="C41" s="328"/>
      <c r="D41" s="329"/>
      <c r="E41" s="329"/>
      <c r="F41" s="328">
        <f>SUM(F37:G40)</f>
        <v>0</v>
      </c>
      <c r="G41" s="328"/>
      <c r="H41" s="329"/>
      <c r="I41" s="329"/>
      <c r="J41" s="328">
        <f>SUM(J37:K40)</f>
        <v>0</v>
      </c>
      <c r="K41" s="328"/>
      <c r="L41" s="329"/>
      <c r="M41" s="329"/>
      <c r="N41" s="328">
        <f>SUM(N37:O40)</f>
        <v>0</v>
      </c>
      <c r="O41" s="345">
        <f>SUM(O37:O40)</f>
        <v>0</v>
      </c>
      <c r="P41" s="36"/>
      <c r="Q41" s="36"/>
      <c r="R41" s="36"/>
      <c r="S41" s="36"/>
      <c r="T41" s="59"/>
      <c r="U41" s="59"/>
      <c r="V41" s="59"/>
      <c r="W41" s="59"/>
      <c r="X41" s="59"/>
      <c r="Y41" s="123"/>
      <c r="Z41" s="56"/>
      <c r="AA41" s="56"/>
      <c r="AB41" s="56"/>
    </row>
    <row r="42" spans="1:28" ht="15.75" customHeight="1" thickTop="1" thickBot="1" x14ac:dyDescent="0.3">
      <c r="A42" s="39" t="s">
        <v>1115</v>
      </c>
      <c r="B42" s="36"/>
      <c r="C42" s="36"/>
      <c r="D42" s="36"/>
      <c r="E42" s="36"/>
      <c r="F42" s="36"/>
      <c r="G42" s="36"/>
      <c r="H42" s="36"/>
      <c r="I42" s="36"/>
      <c r="J42" s="36"/>
      <c r="K42" s="36"/>
      <c r="L42" s="36"/>
      <c r="M42" s="36"/>
      <c r="N42" s="36"/>
      <c r="O42" s="36"/>
      <c r="P42" s="36"/>
      <c r="Q42" s="36"/>
      <c r="R42" s="36"/>
      <c r="S42" s="36"/>
      <c r="T42" s="59"/>
      <c r="U42" s="59"/>
      <c r="V42" s="59"/>
      <c r="W42" s="59"/>
      <c r="X42" s="59"/>
      <c r="Y42" s="123"/>
      <c r="Z42" s="56"/>
      <c r="AA42" s="56"/>
      <c r="AB42" s="56"/>
    </row>
    <row r="43" spans="1:28" ht="15.75" customHeight="1" thickTop="1" x14ac:dyDescent="0.25">
      <c r="A43" s="330" t="s">
        <v>46</v>
      </c>
      <c r="B43" s="331"/>
      <c r="C43" s="331"/>
      <c r="D43" s="331"/>
      <c r="E43" s="331"/>
      <c r="F43" s="331"/>
      <c r="G43" s="331"/>
      <c r="H43" s="331"/>
      <c r="I43" s="331"/>
      <c r="J43" s="331"/>
      <c r="K43" s="332"/>
      <c r="L43" s="36"/>
      <c r="M43" s="36"/>
      <c r="N43" s="36"/>
      <c r="O43" s="36"/>
      <c r="P43" s="36"/>
      <c r="Q43" s="36"/>
      <c r="R43" s="36"/>
      <c r="S43" s="36"/>
      <c r="T43" s="36"/>
      <c r="U43" s="36"/>
      <c r="V43" s="36"/>
      <c r="W43" s="36"/>
      <c r="X43" s="36"/>
      <c r="Y43" s="123"/>
      <c r="Z43" s="56"/>
      <c r="AA43" s="56"/>
      <c r="AB43" s="56"/>
    </row>
    <row r="44" spans="1:28" ht="15.75" customHeight="1" x14ac:dyDescent="0.25">
      <c r="A44" s="101" t="s">
        <v>1115</v>
      </c>
      <c r="B44" s="344" t="s">
        <v>47</v>
      </c>
      <c r="C44" s="344"/>
      <c r="D44" s="344" t="s">
        <v>48</v>
      </c>
      <c r="E44" s="344"/>
      <c r="F44" s="344" t="s">
        <v>49</v>
      </c>
      <c r="G44" s="344"/>
      <c r="H44" s="344" t="s">
        <v>50</v>
      </c>
      <c r="I44" s="344"/>
      <c r="J44" s="269" t="s">
        <v>15</v>
      </c>
      <c r="K44" s="320"/>
      <c r="L44" s="36"/>
      <c r="M44" s="36"/>
      <c r="N44" s="36"/>
      <c r="O44" s="36"/>
      <c r="P44" s="36"/>
      <c r="Q44" s="36"/>
      <c r="R44" s="36"/>
      <c r="S44" s="36"/>
      <c r="T44" s="36"/>
      <c r="U44" s="36"/>
      <c r="V44" s="36"/>
      <c r="W44" s="36"/>
      <c r="X44" s="36"/>
      <c r="Y44" s="123"/>
      <c r="Z44" s="56"/>
      <c r="AA44" s="56"/>
      <c r="AB44" s="56"/>
    </row>
    <row r="45" spans="1:28" ht="15.75" customHeight="1" x14ac:dyDescent="0.25">
      <c r="A45" s="37">
        <v>1</v>
      </c>
      <c r="B45" s="125" t="s">
        <v>9</v>
      </c>
      <c r="C45" s="125" t="s">
        <v>10</v>
      </c>
      <c r="D45" s="125" t="s">
        <v>9</v>
      </c>
      <c r="E45" s="125" t="s">
        <v>10</v>
      </c>
      <c r="F45" s="125" t="s">
        <v>9</v>
      </c>
      <c r="G45" s="125" t="s">
        <v>10</v>
      </c>
      <c r="H45" s="125" t="s">
        <v>9</v>
      </c>
      <c r="I45" s="125" t="s">
        <v>10</v>
      </c>
      <c r="J45" s="117" t="s">
        <v>9</v>
      </c>
      <c r="K45" s="120" t="s">
        <v>10</v>
      </c>
      <c r="L45" s="36"/>
      <c r="M45" s="36"/>
      <c r="N45" s="36"/>
      <c r="O45" s="36"/>
      <c r="P45" s="36"/>
      <c r="Q45" s="36"/>
      <c r="R45" s="36"/>
      <c r="S45" s="36"/>
      <c r="T45" s="36"/>
      <c r="U45" s="36"/>
      <c r="V45" s="36"/>
      <c r="W45" s="36"/>
      <c r="X45" s="36"/>
      <c r="Y45" s="123"/>
      <c r="Z45" s="56"/>
      <c r="AA45" s="56"/>
      <c r="AB45" s="56"/>
    </row>
    <row r="46" spans="1:28" ht="15.75" customHeight="1" x14ac:dyDescent="0.25">
      <c r="A46" s="99" t="s">
        <v>68</v>
      </c>
      <c r="B46" s="155"/>
      <c r="C46" s="155"/>
      <c r="D46" s="155"/>
      <c r="E46" s="155"/>
      <c r="F46" s="155"/>
      <c r="G46" s="155"/>
      <c r="H46" s="155"/>
      <c r="I46" s="155"/>
      <c r="J46" s="130">
        <f>B46+D46+F46+H46</f>
        <v>0</v>
      </c>
      <c r="K46" s="131">
        <f>C46+E46+G46+I46</f>
        <v>0</v>
      </c>
      <c r="L46" s="36"/>
      <c r="M46" s="36"/>
      <c r="N46" s="36"/>
      <c r="O46" s="36"/>
      <c r="P46" s="36"/>
      <c r="Q46" s="36"/>
      <c r="R46" s="36"/>
      <c r="S46" s="36"/>
      <c r="T46" s="36"/>
      <c r="U46" s="36"/>
      <c r="V46" s="36"/>
      <c r="W46" s="36"/>
      <c r="X46" s="36"/>
      <c r="Y46" s="123"/>
      <c r="Z46" s="56"/>
      <c r="AA46" s="56"/>
      <c r="AB46" s="56"/>
    </row>
    <row r="47" spans="1:28" ht="15.75" customHeight="1" x14ac:dyDescent="0.25">
      <c r="A47" s="99" t="s">
        <v>69</v>
      </c>
      <c r="B47" s="155"/>
      <c r="C47" s="155"/>
      <c r="D47" s="155"/>
      <c r="E47" s="155"/>
      <c r="F47" s="155"/>
      <c r="G47" s="155"/>
      <c r="H47" s="155"/>
      <c r="I47" s="155"/>
      <c r="J47" s="130">
        <f t="shared" ref="J47:J50" si="6">B47+D47+F47+H47</f>
        <v>0</v>
      </c>
      <c r="K47" s="131">
        <f t="shared" ref="K47:K50" si="7">C47+E47+G47+I47</f>
        <v>0</v>
      </c>
      <c r="L47" s="36"/>
      <c r="M47" s="36"/>
      <c r="N47" s="36"/>
      <c r="O47" s="36"/>
      <c r="P47" s="36"/>
      <c r="Q47" s="36"/>
      <c r="R47" s="36"/>
      <c r="S47" s="36"/>
      <c r="T47" s="36"/>
      <c r="U47" s="36"/>
      <c r="V47" s="36"/>
      <c r="W47" s="36"/>
      <c r="X47" s="36"/>
      <c r="Y47" s="123"/>
      <c r="Z47" s="56"/>
      <c r="AA47" s="56"/>
      <c r="AB47" s="56"/>
    </row>
    <row r="48" spans="1:28" ht="15.75" customHeight="1" x14ac:dyDescent="0.25">
      <c r="A48" s="99" t="s">
        <v>70</v>
      </c>
      <c r="B48" s="155"/>
      <c r="C48" s="155"/>
      <c r="D48" s="155"/>
      <c r="E48" s="155"/>
      <c r="F48" s="155"/>
      <c r="G48" s="155"/>
      <c r="H48" s="155"/>
      <c r="I48" s="155"/>
      <c r="J48" s="130">
        <f t="shared" si="6"/>
        <v>0</v>
      </c>
      <c r="K48" s="131">
        <f t="shared" si="7"/>
        <v>0</v>
      </c>
      <c r="L48" s="36"/>
      <c r="M48" s="36"/>
      <c r="N48" s="36"/>
      <c r="O48" s="36"/>
      <c r="P48" s="36"/>
      <c r="Q48" s="36"/>
      <c r="R48" s="36"/>
      <c r="S48" s="36"/>
      <c r="T48" s="36"/>
      <c r="U48" s="36"/>
      <c r="V48" s="36"/>
      <c r="W48" s="36"/>
      <c r="X48" s="36"/>
      <c r="Y48" s="123"/>
      <c r="Z48" s="56"/>
      <c r="AA48" s="56"/>
      <c r="AB48" s="56"/>
    </row>
    <row r="49" spans="1:34" ht="15.75" customHeight="1" x14ac:dyDescent="0.25">
      <c r="A49" s="99" t="s">
        <v>71</v>
      </c>
      <c r="B49" s="155"/>
      <c r="C49" s="155"/>
      <c r="D49" s="155"/>
      <c r="E49" s="155"/>
      <c r="F49" s="155"/>
      <c r="G49" s="155"/>
      <c r="H49" s="155"/>
      <c r="I49" s="155"/>
      <c r="J49" s="130">
        <f t="shared" si="6"/>
        <v>0</v>
      </c>
      <c r="K49" s="131">
        <f t="shared" si="7"/>
        <v>0</v>
      </c>
      <c r="L49" s="36"/>
      <c r="M49" s="36"/>
      <c r="N49" s="36"/>
      <c r="O49" s="36"/>
      <c r="P49" s="36"/>
      <c r="Q49" s="36"/>
      <c r="R49" s="36"/>
      <c r="S49" s="36"/>
      <c r="T49" s="36"/>
      <c r="U49" s="36"/>
      <c r="V49" s="36"/>
      <c r="W49" s="36"/>
      <c r="X49" s="36"/>
      <c r="Y49" s="123"/>
      <c r="Z49" s="56"/>
      <c r="AA49" s="56"/>
      <c r="AB49" s="56"/>
    </row>
    <row r="50" spans="1:34" ht="15.75" customHeight="1" thickBot="1" x14ac:dyDescent="0.3">
      <c r="A50" s="126" t="s">
        <v>15</v>
      </c>
      <c r="B50" s="132">
        <f t="shared" ref="B50:I50" si="8">SUM(B46:B49)</f>
        <v>0</v>
      </c>
      <c r="C50" s="132">
        <f t="shared" si="8"/>
        <v>0</v>
      </c>
      <c r="D50" s="132">
        <f t="shared" si="8"/>
        <v>0</v>
      </c>
      <c r="E50" s="132">
        <f t="shared" si="8"/>
        <v>0</v>
      </c>
      <c r="F50" s="132">
        <f t="shared" si="8"/>
        <v>0</v>
      </c>
      <c r="G50" s="132">
        <f t="shared" si="8"/>
        <v>0</v>
      </c>
      <c r="H50" s="132">
        <f t="shared" si="8"/>
        <v>0</v>
      </c>
      <c r="I50" s="132">
        <f t="shared" si="8"/>
        <v>0</v>
      </c>
      <c r="J50" s="132">
        <f t="shared" si="6"/>
        <v>0</v>
      </c>
      <c r="K50" s="133">
        <f t="shared" si="7"/>
        <v>0</v>
      </c>
      <c r="L50" s="36"/>
      <c r="M50" s="36"/>
      <c r="N50" s="36"/>
      <c r="O50" s="36"/>
      <c r="P50" s="36"/>
      <c r="Q50" s="36"/>
      <c r="R50" s="36"/>
      <c r="S50" s="36"/>
      <c r="T50" s="36"/>
      <c r="U50" s="36"/>
      <c r="V50" s="36"/>
      <c r="W50" s="36"/>
      <c r="X50" s="36"/>
      <c r="Y50" s="123"/>
      <c r="Z50" s="56"/>
      <c r="AA50" s="56"/>
      <c r="AB50" s="56"/>
    </row>
    <row r="51" spans="1:34" ht="15.75" customHeight="1" thickTop="1" thickBot="1" x14ac:dyDescent="0.3">
      <c r="A51" s="39" t="s">
        <v>1115</v>
      </c>
      <c r="B51" s="36"/>
      <c r="C51" s="36"/>
      <c r="D51" s="36"/>
      <c r="E51" s="36"/>
      <c r="F51" s="36"/>
      <c r="G51" s="36"/>
      <c r="H51" s="36"/>
      <c r="I51" s="36"/>
      <c r="J51" s="36"/>
      <c r="K51" s="36"/>
      <c r="L51" s="36"/>
      <c r="M51" s="36"/>
      <c r="N51" s="36"/>
      <c r="O51" s="36"/>
      <c r="P51" s="36"/>
      <c r="Q51" s="36"/>
      <c r="R51" s="36"/>
      <c r="S51" s="36"/>
      <c r="T51" s="36"/>
      <c r="U51" s="36"/>
      <c r="V51" s="36"/>
      <c r="W51" s="36"/>
      <c r="X51" s="36"/>
      <c r="Y51" s="123"/>
      <c r="Z51" s="56"/>
      <c r="AA51" s="56"/>
      <c r="AB51" s="56"/>
    </row>
    <row r="52" spans="1:34" ht="15.75" customHeight="1" thickTop="1" x14ac:dyDescent="0.25">
      <c r="A52" s="295" t="s">
        <v>1452</v>
      </c>
      <c r="B52" s="296"/>
      <c r="C52" s="296"/>
      <c r="D52" s="296"/>
      <c r="E52" s="296"/>
      <c r="F52" s="296"/>
      <c r="G52" s="296"/>
      <c r="H52" s="296"/>
      <c r="I52" s="296"/>
      <c r="J52" s="296"/>
      <c r="K52" s="296"/>
      <c r="L52" s="296"/>
      <c r="M52" s="296"/>
      <c r="N52" s="296"/>
      <c r="O52" s="296"/>
      <c r="P52" s="296"/>
      <c r="Q52" s="296"/>
      <c r="R52" s="296"/>
      <c r="S52" s="297"/>
      <c r="AB52" s="59"/>
      <c r="AC52" s="59"/>
      <c r="AD52" s="59"/>
      <c r="AE52" s="59"/>
      <c r="AF52" s="59"/>
      <c r="AG52" s="59"/>
      <c r="AH52" s="59"/>
    </row>
    <row r="53" spans="1:34" ht="15" customHeight="1" x14ac:dyDescent="0.25">
      <c r="A53" s="42">
        <v>1</v>
      </c>
      <c r="B53" s="107"/>
      <c r="C53" s="110"/>
      <c r="D53" s="309" t="s">
        <v>51</v>
      </c>
      <c r="E53" s="310"/>
      <c r="F53" s="310"/>
      <c r="G53" s="310"/>
      <c r="H53" s="310"/>
      <c r="I53" s="310"/>
      <c r="J53" s="310"/>
      <c r="K53" s="310"/>
      <c r="L53" s="310"/>
      <c r="M53" s="310"/>
      <c r="N53" s="310"/>
      <c r="O53" s="310"/>
      <c r="P53" s="310"/>
      <c r="Q53" s="310"/>
      <c r="R53" s="310"/>
      <c r="S53" s="311"/>
      <c r="AB53" s="59"/>
      <c r="AC53" s="59"/>
      <c r="AD53" s="59"/>
      <c r="AE53" s="59"/>
      <c r="AF53" s="59"/>
      <c r="AG53" s="59"/>
      <c r="AH53" s="59"/>
    </row>
    <row r="54" spans="1:34" ht="21.75" customHeight="1" x14ac:dyDescent="0.25">
      <c r="A54" s="42">
        <v>1</v>
      </c>
      <c r="B54" s="107"/>
      <c r="C54" s="110"/>
      <c r="D54" s="312" t="s">
        <v>52</v>
      </c>
      <c r="E54" s="313"/>
      <c r="F54" s="312" t="s">
        <v>53</v>
      </c>
      <c r="G54" s="313"/>
      <c r="H54" s="316" t="s">
        <v>54</v>
      </c>
      <c r="I54" s="317"/>
      <c r="J54" s="312" t="s">
        <v>55</v>
      </c>
      <c r="K54" s="313"/>
      <c r="L54" s="312" t="s">
        <v>56</v>
      </c>
      <c r="M54" s="313"/>
      <c r="N54" s="312" t="s">
        <v>149</v>
      </c>
      <c r="O54" s="313"/>
      <c r="P54" s="312" t="s">
        <v>145</v>
      </c>
      <c r="Q54" s="313"/>
      <c r="R54" s="280" t="s">
        <v>15</v>
      </c>
      <c r="S54" s="281"/>
      <c r="AB54" s="59"/>
      <c r="AC54" s="59"/>
      <c r="AD54" s="59"/>
      <c r="AE54" s="59"/>
      <c r="AF54" s="59"/>
      <c r="AG54" s="59"/>
      <c r="AH54" s="59"/>
    </row>
    <row r="55" spans="1:34" x14ac:dyDescent="0.25">
      <c r="A55" s="42">
        <v>1</v>
      </c>
      <c r="B55" s="107"/>
      <c r="C55" s="110"/>
      <c r="D55" s="314"/>
      <c r="E55" s="315"/>
      <c r="F55" s="314"/>
      <c r="G55" s="315"/>
      <c r="H55" s="318"/>
      <c r="I55" s="319"/>
      <c r="J55" s="314"/>
      <c r="K55" s="315"/>
      <c r="L55" s="314"/>
      <c r="M55" s="315"/>
      <c r="N55" s="314"/>
      <c r="O55" s="315"/>
      <c r="P55" s="314"/>
      <c r="Q55" s="315"/>
      <c r="R55" s="282"/>
      <c r="S55" s="283"/>
      <c r="AB55" s="59"/>
      <c r="AC55" s="59"/>
      <c r="AD55" s="59"/>
      <c r="AE55" s="59"/>
      <c r="AF55" s="59"/>
      <c r="AG55" s="59"/>
      <c r="AH55" s="59"/>
    </row>
    <row r="56" spans="1:34" x14ac:dyDescent="0.25">
      <c r="A56" s="108">
        <v>1</v>
      </c>
      <c r="B56" s="109"/>
      <c r="C56" s="111"/>
      <c r="D56" s="97" t="s">
        <v>9</v>
      </c>
      <c r="E56" s="97" t="s">
        <v>10</v>
      </c>
      <c r="F56" s="97" t="s">
        <v>9</v>
      </c>
      <c r="G56" s="97" t="s">
        <v>10</v>
      </c>
      <c r="H56" s="97" t="s">
        <v>9</v>
      </c>
      <c r="I56" s="97" t="s">
        <v>10</v>
      </c>
      <c r="J56" s="97" t="s">
        <v>9</v>
      </c>
      <c r="K56" s="97" t="s">
        <v>10</v>
      </c>
      <c r="L56" s="97" t="s">
        <v>9</v>
      </c>
      <c r="M56" s="97" t="s">
        <v>10</v>
      </c>
      <c r="N56" s="97" t="s">
        <v>9</v>
      </c>
      <c r="O56" s="97" t="s">
        <v>10</v>
      </c>
      <c r="P56" s="97" t="s">
        <v>9</v>
      </c>
      <c r="Q56" s="97" t="s">
        <v>10</v>
      </c>
      <c r="R56" s="117" t="s">
        <v>9</v>
      </c>
      <c r="S56" s="120" t="s">
        <v>10</v>
      </c>
      <c r="AB56" s="59"/>
      <c r="AC56" s="59"/>
      <c r="AD56" s="59"/>
      <c r="AE56" s="59"/>
      <c r="AF56" s="59"/>
      <c r="AG56" s="59"/>
      <c r="AH56" s="59"/>
    </row>
    <row r="57" spans="1:34" ht="24.75" customHeight="1" x14ac:dyDescent="0.25">
      <c r="A57" s="271" t="s">
        <v>123</v>
      </c>
      <c r="B57" s="249"/>
      <c r="C57" s="250"/>
      <c r="D57" s="155"/>
      <c r="E57" s="155"/>
      <c r="F57" s="155"/>
      <c r="G57" s="155"/>
      <c r="H57" s="155"/>
      <c r="I57" s="155"/>
      <c r="J57" s="155"/>
      <c r="K57" s="155"/>
      <c r="L57" s="155"/>
      <c r="M57" s="155"/>
      <c r="N57" s="155"/>
      <c r="O57" s="155"/>
      <c r="P57" s="155"/>
      <c r="Q57" s="155"/>
      <c r="R57" s="130">
        <f>P57+N57+L57+J57+H57+F57+D57</f>
        <v>0</v>
      </c>
      <c r="S57" s="131">
        <f>Q57+O57+M57+K57+I57+G57+E57</f>
        <v>0</v>
      </c>
      <c r="AB57" s="59"/>
      <c r="AC57" s="59"/>
      <c r="AD57" s="59"/>
      <c r="AE57" s="59"/>
      <c r="AF57" s="59"/>
      <c r="AG57" s="59"/>
      <c r="AH57" s="59"/>
    </row>
    <row r="58" spans="1:34" ht="24.75" customHeight="1" x14ac:dyDescent="0.25">
      <c r="A58" s="271" t="s">
        <v>122</v>
      </c>
      <c r="B58" s="249"/>
      <c r="C58" s="250"/>
      <c r="D58" s="155"/>
      <c r="E58" s="155"/>
      <c r="F58" s="155"/>
      <c r="G58" s="155"/>
      <c r="H58" s="155"/>
      <c r="I58" s="155"/>
      <c r="J58" s="155"/>
      <c r="K58" s="155"/>
      <c r="L58" s="155"/>
      <c r="M58" s="155"/>
      <c r="N58" s="155"/>
      <c r="O58" s="155"/>
      <c r="P58" s="155"/>
      <c r="Q58" s="155"/>
      <c r="R58" s="130">
        <f t="shared" ref="R58:S59" si="9">P58+N58+L58+J58+H58+F58+D58</f>
        <v>0</v>
      </c>
      <c r="S58" s="131">
        <f t="shared" si="9"/>
        <v>0</v>
      </c>
      <c r="T58" s="35">
        <f>D57+D58+F57+F58+H57+H58+J57+J58+L57+L58+N57+N58+P57+P58</f>
        <v>0</v>
      </c>
      <c r="U58" s="35">
        <f>E57+E58+G57+G58+I57+I58+K57+K58+M57+M58+O57+O58+Q57+Q58</f>
        <v>0</v>
      </c>
      <c r="AB58" s="59"/>
      <c r="AC58" s="59"/>
      <c r="AD58" s="59"/>
      <c r="AE58" s="59"/>
      <c r="AF58" s="59"/>
      <c r="AG58" s="59"/>
      <c r="AH58" s="59"/>
    </row>
    <row r="59" spans="1:34" ht="24.75" customHeight="1" x14ac:dyDescent="0.25">
      <c r="A59" s="271" t="s">
        <v>121</v>
      </c>
      <c r="B59" s="249"/>
      <c r="C59" s="250"/>
      <c r="D59" s="155"/>
      <c r="E59" s="155"/>
      <c r="F59" s="155"/>
      <c r="G59" s="155"/>
      <c r="H59" s="155"/>
      <c r="I59" s="155"/>
      <c r="J59" s="155"/>
      <c r="K59" s="155"/>
      <c r="L59" s="155"/>
      <c r="M59" s="155"/>
      <c r="N59" s="155"/>
      <c r="O59" s="155"/>
      <c r="P59" s="155"/>
      <c r="Q59" s="155"/>
      <c r="R59" s="130">
        <f t="shared" si="9"/>
        <v>0</v>
      </c>
      <c r="S59" s="131">
        <f t="shared" si="9"/>
        <v>0</v>
      </c>
      <c r="AB59" s="59"/>
      <c r="AC59" s="59"/>
      <c r="AD59" s="59"/>
      <c r="AE59" s="59"/>
      <c r="AF59" s="59"/>
      <c r="AG59" s="59"/>
      <c r="AH59" s="59"/>
    </row>
    <row r="60" spans="1:34" x14ac:dyDescent="0.25">
      <c r="A60" s="341" t="s">
        <v>15</v>
      </c>
      <c r="B60" s="342"/>
      <c r="C60" s="343"/>
      <c r="D60" s="153" t="str">
        <f>IF(SUM(D57:D59)=0, "", SUM(D57:D59))</f>
        <v/>
      </c>
      <c r="E60" s="153" t="str">
        <f t="shared" ref="E60:Q60" si="10">IF(SUM(E57:E59)=0, "", SUM(E57:E59))</f>
        <v/>
      </c>
      <c r="F60" s="153" t="str">
        <f t="shared" si="10"/>
        <v/>
      </c>
      <c r="G60" s="153" t="str">
        <f t="shared" si="10"/>
        <v/>
      </c>
      <c r="H60" s="153" t="str">
        <f t="shared" si="10"/>
        <v/>
      </c>
      <c r="I60" s="153" t="str">
        <f t="shared" si="10"/>
        <v/>
      </c>
      <c r="J60" s="153" t="str">
        <f t="shared" si="10"/>
        <v/>
      </c>
      <c r="K60" s="153" t="str">
        <f t="shared" si="10"/>
        <v/>
      </c>
      <c r="L60" s="153" t="str">
        <f t="shared" si="10"/>
        <v/>
      </c>
      <c r="M60" s="153" t="str">
        <f t="shared" si="10"/>
        <v/>
      </c>
      <c r="N60" s="153" t="str">
        <f t="shared" si="10"/>
        <v/>
      </c>
      <c r="O60" s="153" t="str">
        <f t="shared" si="10"/>
        <v/>
      </c>
      <c r="P60" s="153" t="str">
        <f t="shared" si="10"/>
        <v/>
      </c>
      <c r="Q60" s="153" t="str">
        <f t="shared" si="10"/>
        <v/>
      </c>
      <c r="R60" s="138">
        <f t="shared" ref="R60:S60" si="11">SUM(R57:R59)</f>
        <v>0</v>
      </c>
      <c r="S60" s="139">
        <f t="shared" si="11"/>
        <v>0</v>
      </c>
      <c r="AB60" s="59"/>
      <c r="AC60" s="59"/>
      <c r="AD60" s="59"/>
      <c r="AE60" s="59"/>
      <c r="AF60" s="59"/>
      <c r="AG60" s="59"/>
      <c r="AH60" s="59"/>
    </row>
    <row r="61" spans="1:34" ht="25.5" customHeight="1" thickBot="1" x14ac:dyDescent="0.3">
      <c r="A61" s="322" t="s">
        <v>147</v>
      </c>
      <c r="B61" s="323"/>
      <c r="C61" s="323"/>
      <c r="D61" s="158"/>
      <c r="E61" s="158"/>
      <c r="F61" s="158"/>
      <c r="G61" s="158"/>
      <c r="H61" s="158"/>
      <c r="I61" s="158"/>
      <c r="J61" s="158"/>
      <c r="K61" s="158"/>
      <c r="L61" s="158"/>
      <c r="M61" s="158"/>
      <c r="N61" s="158"/>
      <c r="O61" s="158"/>
      <c r="P61" s="158"/>
      <c r="Q61" s="158"/>
      <c r="R61" s="132">
        <f>P61+N61+L61+J61+H61+F61+D61</f>
        <v>0</v>
      </c>
      <c r="S61" s="133">
        <f>Q61+O61+M61+K61+I61+G61+E61</f>
        <v>0</v>
      </c>
      <c r="AB61" s="59"/>
      <c r="AC61" s="59"/>
      <c r="AD61" s="59"/>
      <c r="AE61" s="59"/>
      <c r="AF61" s="59"/>
      <c r="AG61" s="59"/>
      <c r="AH61" s="59"/>
    </row>
    <row r="62" spans="1:34" ht="18" customHeight="1" thickTop="1" thickBot="1" x14ac:dyDescent="0.3">
      <c r="A62" s="35" t="s">
        <v>1115</v>
      </c>
      <c r="T62" s="36"/>
      <c r="AB62" s="59"/>
      <c r="AC62" s="59"/>
      <c r="AD62" s="59"/>
      <c r="AE62" s="59"/>
      <c r="AF62" s="59"/>
      <c r="AG62" s="59"/>
      <c r="AH62" s="59"/>
    </row>
    <row r="63" spans="1:34" ht="15.75" customHeight="1" thickTop="1" x14ac:dyDescent="0.25">
      <c r="A63" s="295" t="s">
        <v>1454</v>
      </c>
      <c r="B63" s="296"/>
      <c r="C63" s="296"/>
      <c r="D63" s="296"/>
      <c r="E63" s="296"/>
      <c r="F63" s="296"/>
      <c r="G63" s="296"/>
      <c r="H63" s="297"/>
      <c r="K63" s="335" t="s">
        <v>1450</v>
      </c>
      <c r="L63" s="336"/>
      <c r="M63" s="336"/>
      <c r="N63" s="336"/>
      <c r="O63" s="336"/>
      <c r="P63" s="336"/>
      <c r="Q63" s="337"/>
      <c r="T63" s="36"/>
      <c r="AB63" s="59"/>
      <c r="AC63" s="59"/>
      <c r="AD63" s="59"/>
      <c r="AE63" s="59"/>
      <c r="AF63" s="59"/>
      <c r="AG63" s="59"/>
      <c r="AH63" s="59"/>
    </row>
    <row r="64" spans="1:34" ht="16.5" customHeight="1" x14ac:dyDescent="0.25">
      <c r="A64" s="357" t="s">
        <v>1453</v>
      </c>
      <c r="B64" s="358"/>
      <c r="C64" s="358"/>
      <c r="D64" s="358"/>
      <c r="E64" s="358"/>
      <c r="F64" s="358"/>
      <c r="G64" s="358"/>
      <c r="H64" s="359"/>
      <c r="K64" s="338"/>
      <c r="L64" s="339"/>
      <c r="M64" s="339"/>
      <c r="N64" s="339"/>
      <c r="O64" s="339"/>
      <c r="P64" s="339"/>
      <c r="Q64" s="340"/>
      <c r="T64" s="36"/>
      <c r="AB64" s="59"/>
      <c r="AC64" s="59"/>
      <c r="AD64" s="59"/>
      <c r="AE64" s="59"/>
      <c r="AF64" s="59"/>
      <c r="AG64" s="59"/>
      <c r="AH64" s="59"/>
    </row>
    <row r="65" spans="1:34" ht="28.5" customHeight="1" x14ac:dyDescent="0.25">
      <c r="A65" s="113">
        <v>1</v>
      </c>
      <c r="B65" s="114"/>
      <c r="C65" s="321" t="s">
        <v>119</v>
      </c>
      <c r="D65" s="321"/>
      <c r="E65" s="321" t="s">
        <v>120</v>
      </c>
      <c r="F65" s="321"/>
      <c r="G65" s="333" t="s">
        <v>15</v>
      </c>
      <c r="H65" s="334"/>
      <c r="K65" s="102"/>
      <c r="L65" s="103"/>
      <c r="M65" s="242" t="s">
        <v>1449</v>
      </c>
      <c r="N65" s="244"/>
      <c r="O65" s="242" t="s">
        <v>78</v>
      </c>
      <c r="P65" s="243"/>
      <c r="Q65" s="270"/>
      <c r="T65" s="36"/>
      <c r="AB65" s="59"/>
      <c r="AC65" s="59"/>
      <c r="AD65" s="59"/>
      <c r="AE65" s="59"/>
      <c r="AF65" s="59"/>
      <c r="AG65" s="59"/>
      <c r="AH65" s="59"/>
    </row>
    <row r="66" spans="1:34" x14ac:dyDescent="0.25">
      <c r="A66" s="115">
        <v>1</v>
      </c>
      <c r="B66" s="116"/>
      <c r="C66" s="97" t="s">
        <v>9</v>
      </c>
      <c r="D66" s="64" t="s">
        <v>10</v>
      </c>
      <c r="E66" s="119" t="s">
        <v>9</v>
      </c>
      <c r="F66" s="64" t="s">
        <v>10</v>
      </c>
      <c r="G66" s="117" t="s">
        <v>9</v>
      </c>
      <c r="H66" s="120" t="s">
        <v>10</v>
      </c>
      <c r="K66" s="271" t="s">
        <v>1184</v>
      </c>
      <c r="L66" s="250"/>
      <c r="M66" s="272"/>
      <c r="N66" s="275"/>
      <c r="O66" s="272"/>
      <c r="P66" s="273"/>
      <c r="Q66" s="274"/>
      <c r="T66" s="36"/>
      <c r="AB66" s="59"/>
      <c r="AC66" s="59"/>
      <c r="AD66" s="59"/>
      <c r="AE66" s="59"/>
      <c r="AF66" s="59"/>
      <c r="AG66" s="59"/>
      <c r="AH66" s="59"/>
    </row>
    <row r="67" spans="1:34" ht="15" customHeight="1" x14ac:dyDescent="0.25">
      <c r="A67" s="289" t="s">
        <v>1145</v>
      </c>
      <c r="B67" s="290"/>
      <c r="C67" s="159"/>
      <c r="D67" s="159"/>
      <c r="E67" s="159"/>
      <c r="F67" s="159"/>
      <c r="G67" s="130">
        <f>C67+E67</f>
        <v>0</v>
      </c>
      <c r="H67" s="135">
        <f>D67+F67</f>
        <v>0</v>
      </c>
      <c r="K67" s="271" t="s">
        <v>79</v>
      </c>
      <c r="L67" s="250"/>
      <c r="M67" s="272"/>
      <c r="N67" s="275"/>
      <c r="O67" s="272"/>
      <c r="P67" s="273"/>
      <c r="Q67" s="274"/>
      <c r="T67" s="36"/>
      <c r="AB67" s="59"/>
      <c r="AC67" s="59"/>
      <c r="AD67" s="59"/>
      <c r="AE67" s="59"/>
      <c r="AF67" s="59"/>
      <c r="AG67" s="59"/>
      <c r="AH67" s="59"/>
    </row>
    <row r="68" spans="1:34" ht="15" customHeight="1" x14ac:dyDescent="0.25">
      <c r="A68" s="289" t="s">
        <v>1146</v>
      </c>
      <c r="B68" s="290"/>
      <c r="C68" s="159"/>
      <c r="D68" s="159"/>
      <c r="E68" s="159"/>
      <c r="F68" s="159"/>
      <c r="G68" s="130">
        <f t="shared" ref="G68:G73" si="12">C68+E68</f>
        <v>0</v>
      </c>
      <c r="H68" s="135">
        <f t="shared" ref="H68:H73" si="13">D68+F68</f>
        <v>0</v>
      </c>
      <c r="K68" s="271" t="s">
        <v>80</v>
      </c>
      <c r="L68" s="250"/>
      <c r="M68" s="272"/>
      <c r="N68" s="275"/>
      <c r="O68" s="272"/>
      <c r="P68" s="273"/>
      <c r="Q68" s="274"/>
      <c r="T68" s="36"/>
      <c r="AB68" s="59"/>
      <c r="AC68" s="59"/>
      <c r="AD68" s="59"/>
      <c r="AE68" s="59"/>
      <c r="AF68" s="59"/>
      <c r="AG68" s="59"/>
      <c r="AH68" s="59"/>
    </row>
    <row r="69" spans="1:34" ht="15" customHeight="1" x14ac:dyDescent="0.25">
      <c r="A69" s="289" t="s">
        <v>1147</v>
      </c>
      <c r="B69" s="290"/>
      <c r="C69" s="159"/>
      <c r="D69" s="159"/>
      <c r="E69" s="159"/>
      <c r="F69" s="159"/>
      <c r="G69" s="130">
        <f t="shared" si="12"/>
        <v>0</v>
      </c>
      <c r="H69" s="135">
        <f t="shared" si="13"/>
        <v>0</v>
      </c>
      <c r="K69" s="271" t="s">
        <v>14</v>
      </c>
      <c r="L69" s="250"/>
      <c r="M69" s="272"/>
      <c r="N69" s="275"/>
      <c r="O69" s="272"/>
      <c r="P69" s="273"/>
      <c r="Q69" s="274"/>
      <c r="T69" s="36"/>
      <c r="AB69" s="59"/>
      <c r="AC69" s="59"/>
      <c r="AD69" s="59"/>
      <c r="AE69" s="59"/>
      <c r="AF69" s="59"/>
      <c r="AG69" s="59"/>
      <c r="AH69" s="59"/>
    </row>
    <row r="70" spans="1:34" ht="15.75" customHeight="1" thickBot="1" x14ac:dyDescent="0.3">
      <c r="A70" s="289" t="s">
        <v>1148</v>
      </c>
      <c r="B70" s="290"/>
      <c r="C70" s="159"/>
      <c r="D70" s="159"/>
      <c r="E70" s="159"/>
      <c r="F70" s="159"/>
      <c r="G70" s="130">
        <f t="shared" si="12"/>
        <v>0</v>
      </c>
      <c r="H70" s="135">
        <f t="shared" si="13"/>
        <v>0</v>
      </c>
      <c r="K70" s="293" t="s">
        <v>15</v>
      </c>
      <c r="L70" s="294"/>
      <c r="M70" s="284">
        <f>SUM(M66:N69)</f>
        <v>0</v>
      </c>
      <c r="N70" s="285"/>
      <c r="O70" s="286"/>
      <c r="P70" s="287"/>
      <c r="Q70" s="288"/>
      <c r="T70" s="36"/>
      <c r="AB70" s="59"/>
      <c r="AC70" s="59"/>
      <c r="AD70" s="59"/>
      <c r="AE70" s="59"/>
      <c r="AF70" s="59"/>
      <c r="AG70" s="59"/>
      <c r="AH70" s="59"/>
    </row>
    <row r="71" spans="1:34" ht="15.75" thickTop="1" x14ac:dyDescent="0.25">
      <c r="A71" s="289" t="s">
        <v>1149</v>
      </c>
      <c r="B71" s="290"/>
      <c r="C71" s="159"/>
      <c r="D71" s="159"/>
      <c r="E71" s="159"/>
      <c r="F71" s="159"/>
      <c r="G71" s="130">
        <f t="shared" si="12"/>
        <v>0</v>
      </c>
      <c r="H71" s="135">
        <f t="shared" si="13"/>
        <v>0</v>
      </c>
      <c r="T71" s="36"/>
      <c r="AB71" s="59"/>
      <c r="AC71" s="59"/>
      <c r="AD71" s="59"/>
      <c r="AE71" s="59"/>
      <c r="AF71" s="59"/>
      <c r="AG71" s="59"/>
      <c r="AH71" s="59"/>
    </row>
    <row r="72" spans="1:34" x14ac:dyDescent="0.25">
      <c r="A72" s="289" t="s">
        <v>1150</v>
      </c>
      <c r="B72" s="290"/>
      <c r="C72" s="159"/>
      <c r="D72" s="159"/>
      <c r="E72" s="159"/>
      <c r="F72" s="159"/>
      <c r="G72" s="130">
        <f t="shared" si="12"/>
        <v>0</v>
      </c>
      <c r="H72" s="135">
        <f t="shared" si="13"/>
        <v>0</v>
      </c>
      <c r="T72" s="36"/>
      <c r="AB72" s="59"/>
      <c r="AC72" s="59"/>
      <c r="AD72" s="59"/>
      <c r="AE72" s="59"/>
      <c r="AF72" s="59"/>
      <c r="AG72" s="59"/>
      <c r="AH72" s="59"/>
    </row>
    <row r="73" spans="1:34" ht="15.75" thickBot="1" x14ac:dyDescent="0.3">
      <c r="A73" s="291" t="s">
        <v>15</v>
      </c>
      <c r="B73" s="292"/>
      <c r="C73" s="132">
        <f>SUM(C67:C72)</f>
        <v>0</v>
      </c>
      <c r="D73" s="132">
        <f t="shared" ref="D73:F73" si="14">SUM(D67:D72)</f>
        <v>0</v>
      </c>
      <c r="E73" s="132">
        <f t="shared" si="14"/>
        <v>0</v>
      </c>
      <c r="F73" s="132">
        <f t="shared" si="14"/>
        <v>0</v>
      </c>
      <c r="G73" s="132">
        <f t="shared" si="12"/>
        <v>0</v>
      </c>
      <c r="H73" s="136">
        <f t="shared" si="13"/>
        <v>0</v>
      </c>
      <c r="T73" s="36"/>
      <c r="AB73" s="59"/>
      <c r="AC73" s="59"/>
      <c r="AD73" s="59"/>
      <c r="AE73" s="59"/>
      <c r="AF73" s="59"/>
      <c r="AG73" s="59"/>
      <c r="AH73" s="59"/>
    </row>
    <row r="74" spans="1:34" ht="12.75" customHeight="1" thickTop="1" x14ac:dyDescent="0.25">
      <c r="A74" s="35">
        <v>1</v>
      </c>
      <c r="T74" s="36"/>
      <c r="AB74" s="59"/>
      <c r="AC74" s="59"/>
      <c r="AD74" s="59"/>
      <c r="AE74" s="59"/>
      <c r="AF74" s="59"/>
      <c r="AG74" s="59"/>
      <c r="AH74" s="59"/>
    </row>
    <row r="75" spans="1:34" ht="16.5" customHeight="1" thickBot="1" x14ac:dyDescent="0.3">
      <c r="A75" s="35">
        <v>1</v>
      </c>
      <c r="T75" s="36"/>
      <c r="AB75" s="59"/>
      <c r="AC75" s="59"/>
      <c r="AD75" s="59"/>
      <c r="AE75" s="59"/>
      <c r="AF75" s="59"/>
      <c r="AG75" s="59"/>
      <c r="AH75" s="59"/>
    </row>
    <row r="76" spans="1:34" ht="15.75" thickTop="1" x14ac:dyDescent="0.25">
      <c r="A76" s="295" t="s">
        <v>1197</v>
      </c>
      <c r="B76" s="296"/>
      <c r="C76" s="296"/>
      <c r="D76" s="296"/>
      <c r="E76" s="296"/>
      <c r="F76" s="296"/>
      <c r="G76" s="296"/>
      <c r="H76" s="296"/>
      <c r="I76" s="296"/>
      <c r="J76" s="296"/>
      <c r="K76" s="297"/>
    </row>
    <row r="77" spans="1:34" x14ac:dyDescent="0.25">
      <c r="A77" s="40">
        <v>1</v>
      </c>
      <c r="B77" s="41"/>
      <c r="C77" s="41"/>
      <c r="D77" s="41"/>
      <c r="E77" s="112"/>
      <c r="F77" s="276" t="s">
        <v>119</v>
      </c>
      <c r="G77" s="277"/>
      <c r="H77" s="276" t="s">
        <v>120</v>
      </c>
      <c r="I77" s="277"/>
      <c r="J77" s="280" t="s">
        <v>15</v>
      </c>
      <c r="K77" s="281"/>
    </row>
    <row r="78" spans="1:34" x14ac:dyDescent="0.25">
      <c r="A78" s="360" t="s">
        <v>82</v>
      </c>
      <c r="B78" s="361"/>
      <c r="C78" s="361"/>
      <c r="D78" s="361"/>
      <c r="E78" s="362"/>
      <c r="F78" s="278"/>
      <c r="G78" s="279"/>
      <c r="H78" s="278"/>
      <c r="I78" s="279"/>
      <c r="J78" s="282"/>
      <c r="K78" s="283"/>
    </row>
    <row r="79" spans="1:34" x14ac:dyDescent="0.25">
      <c r="A79" s="40">
        <v>1</v>
      </c>
      <c r="B79" s="41"/>
      <c r="C79" s="41"/>
      <c r="D79" s="41"/>
      <c r="E79" s="112"/>
      <c r="F79" s="119" t="s">
        <v>9</v>
      </c>
      <c r="G79" s="119" t="s">
        <v>10</v>
      </c>
      <c r="H79" s="97" t="s">
        <v>9</v>
      </c>
      <c r="I79" s="97" t="s">
        <v>10</v>
      </c>
      <c r="J79" s="117" t="s">
        <v>9</v>
      </c>
      <c r="K79" s="120" t="s">
        <v>10</v>
      </c>
    </row>
    <row r="80" spans="1:34" ht="15" customHeight="1" x14ac:dyDescent="0.25">
      <c r="A80" s="271" t="s">
        <v>63</v>
      </c>
      <c r="B80" s="249"/>
      <c r="C80" s="249"/>
      <c r="D80" s="249"/>
      <c r="E80" s="250"/>
      <c r="F80" s="159"/>
      <c r="G80" s="159"/>
      <c r="H80" s="159"/>
      <c r="I80" s="159"/>
      <c r="J80" s="130">
        <f>H80+F80</f>
        <v>0</v>
      </c>
      <c r="K80" s="131">
        <f>I80+G80</f>
        <v>0</v>
      </c>
    </row>
    <row r="81" spans="1:11" ht="15" customHeight="1" x14ac:dyDescent="0.25">
      <c r="A81" s="271" t="s">
        <v>1451</v>
      </c>
      <c r="B81" s="249"/>
      <c r="C81" s="249"/>
      <c r="D81" s="249"/>
      <c r="E81" s="250"/>
      <c r="F81" s="159"/>
      <c r="G81" s="159"/>
      <c r="H81" s="159"/>
      <c r="I81" s="159"/>
      <c r="J81" s="130">
        <f t="shared" ref="J81:K103" si="15">H81+F81</f>
        <v>0</v>
      </c>
      <c r="K81" s="131">
        <f t="shared" si="15"/>
        <v>0</v>
      </c>
    </row>
    <row r="82" spans="1:11" x14ac:dyDescent="0.25">
      <c r="A82" s="271" t="s">
        <v>81</v>
      </c>
      <c r="B82" s="249"/>
      <c r="C82" s="249"/>
      <c r="D82" s="249"/>
      <c r="E82" s="250"/>
      <c r="F82" s="159"/>
      <c r="G82" s="159"/>
      <c r="H82" s="159"/>
      <c r="I82" s="159"/>
      <c r="J82" s="130">
        <f t="shared" si="15"/>
        <v>0</v>
      </c>
      <c r="K82" s="131">
        <f t="shared" si="15"/>
        <v>0</v>
      </c>
    </row>
    <row r="83" spans="1:11" x14ac:dyDescent="0.25">
      <c r="A83" s="271" t="s">
        <v>85</v>
      </c>
      <c r="B83" s="249"/>
      <c r="C83" s="249"/>
      <c r="D83" s="249"/>
      <c r="E83" s="250"/>
      <c r="F83" s="159"/>
      <c r="G83" s="159"/>
      <c r="H83" s="159"/>
      <c r="I83" s="159"/>
      <c r="J83" s="130">
        <f t="shared" si="15"/>
        <v>0</v>
      </c>
      <c r="K83" s="131">
        <f t="shared" si="15"/>
        <v>0</v>
      </c>
    </row>
    <row r="84" spans="1:11" ht="15" customHeight="1" x14ac:dyDescent="0.25">
      <c r="A84" s="271" t="s">
        <v>86</v>
      </c>
      <c r="B84" s="249"/>
      <c r="C84" s="249"/>
      <c r="D84" s="249"/>
      <c r="E84" s="250"/>
      <c r="F84" s="159"/>
      <c r="G84" s="159"/>
      <c r="H84" s="159"/>
      <c r="I84" s="159"/>
      <c r="J84" s="130">
        <f t="shared" si="15"/>
        <v>0</v>
      </c>
      <c r="K84" s="131">
        <f t="shared" si="15"/>
        <v>0</v>
      </c>
    </row>
    <row r="85" spans="1:11" x14ac:dyDescent="0.25">
      <c r="A85" s="271" t="s">
        <v>87</v>
      </c>
      <c r="B85" s="249"/>
      <c r="C85" s="249"/>
      <c r="D85" s="249"/>
      <c r="E85" s="250"/>
      <c r="F85" s="159"/>
      <c r="G85" s="159"/>
      <c r="H85" s="159"/>
      <c r="I85" s="159"/>
      <c r="J85" s="130">
        <f t="shared" si="15"/>
        <v>0</v>
      </c>
      <c r="K85" s="131">
        <f t="shared" si="15"/>
        <v>0</v>
      </c>
    </row>
    <row r="86" spans="1:11" x14ac:dyDescent="0.25">
      <c r="A86" s="271" t="s">
        <v>1184</v>
      </c>
      <c r="B86" s="249"/>
      <c r="C86" s="249"/>
      <c r="D86" s="249"/>
      <c r="E86" s="250"/>
      <c r="F86" s="159"/>
      <c r="G86" s="159"/>
      <c r="H86" s="159"/>
      <c r="I86" s="159"/>
      <c r="J86" s="130">
        <f t="shared" si="15"/>
        <v>0</v>
      </c>
      <c r="K86" s="131">
        <f t="shared" si="15"/>
        <v>0</v>
      </c>
    </row>
    <row r="87" spans="1:11" x14ac:dyDescent="0.25">
      <c r="A87" s="271" t="s">
        <v>80</v>
      </c>
      <c r="B87" s="249"/>
      <c r="C87" s="249"/>
      <c r="D87" s="249"/>
      <c r="E87" s="250"/>
      <c r="F87" s="159"/>
      <c r="G87" s="159"/>
      <c r="H87" s="159"/>
      <c r="I87" s="159"/>
      <c r="J87" s="130">
        <f t="shared" si="15"/>
        <v>0</v>
      </c>
      <c r="K87" s="131">
        <f t="shared" si="15"/>
        <v>0</v>
      </c>
    </row>
    <row r="88" spans="1:11" x14ac:dyDescent="0.25">
      <c r="A88" s="271" t="s">
        <v>79</v>
      </c>
      <c r="B88" s="249"/>
      <c r="C88" s="249"/>
      <c r="D88" s="249"/>
      <c r="E88" s="250"/>
      <c r="F88" s="159"/>
      <c r="G88" s="159"/>
      <c r="H88" s="159"/>
      <c r="I88" s="159"/>
      <c r="J88" s="130">
        <f t="shared" si="15"/>
        <v>0</v>
      </c>
      <c r="K88" s="131">
        <f t="shared" si="15"/>
        <v>0</v>
      </c>
    </row>
    <row r="89" spans="1:11" x14ac:dyDescent="0.25">
      <c r="A89" s="271" t="s">
        <v>1185</v>
      </c>
      <c r="B89" s="249"/>
      <c r="C89" s="249"/>
      <c r="D89" s="249"/>
      <c r="E89" s="250"/>
      <c r="F89" s="159"/>
      <c r="G89" s="159"/>
      <c r="H89" s="159"/>
      <c r="I89" s="159"/>
      <c r="J89" s="130">
        <f t="shared" si="15"/>
        <v>0</v>
      </c>
      <c r="K89" s="131">
        <f t="shared" si="15"/>
        <v>0</v>
      </c>
    </row>
    <row r="90" spans="1:11" ht="15" customHeight="1" x14ac:dyDescent="0.25">
      <c r="A90" s="271" t="s">
        <v>1186</v>
      </c>
      <c r="B90" s="249"/>
      <c r="C90" s="249"/>
      <c r="D90" s="249"/>
      <c r="E90" s="250"/>
      <c r="F90" s="159"/>
      <c r="G90" s="159"/>
      <c r="H90" s="159"/>
      <c r="I90" s="159"/>
      <c r="J90" s="130">
        <f t="shared" si="15"/>
        <v>0</v>
      </c>
      <c r="K90" s="131">
        <f t="shared" si="15"/>
        <v>0</v>
      </c>
    </row>
    <row r="91" spans="1:11" x14ac:dyDescent="0.25">
      <c r="A91" s="271" t="s">
        <v>1187</v>
      </c>
      <c r="B91" s="249"/>
      <c r="C91" s="249"/>
      <c r="D91" s="249"/>
      <c r="E91" s="250"/>
      <c r="F91" s="159"/>
      <c r="G91" s="159"/>
      <c r="H91" s="159"/>
      <c r="I91" s="159"/>
      <c r="J91" s="130">
        <f t="shared" si="15"/>
        <v>0</v>
      </c>
      <c r="K91" s="131">
        <f t="shared" si="15"/>
        <v>0</v>
      </c>
    </row>
    <row r="92" spans="1:11" x14ac:dyDescent="0.25">
      <c r="A92" s="271" t="s">
        <v>1188</v>
      </c>
      <c r="B92" s="249"/>
      <c r="C92" s="249"/>
      <c r="D92" s="249"/>
      <c r="E92" s="250"/>
      <c r="F92" s="159"/>
      <c r="G92" s="159"/>
      <c r="H92" s="159"/>
      <c r="I92" s="159"/>
      <c r="J92" s="130">
        <f t="shared" si="15"/>
        <v>0</v>
      </c>
      <c r="K92" s="131">
        <f t="shared" si="15"/>
        <v>0</v>
      </c>
    </row>
    <row r="93" spans="1:11" ht="15" customHeight="1" x14ac:dyDescent="0.25">
      <c r="A93" s="271" t="s">
        <v>88</v>
      </c>
      <c r="B93" s="249"/>
      <c r="C93" s="249"/>
      <c r="D93" s="249"/>
      <c r="E93" s="250"/>
      <c r="F93" s="159"/>
      <c r="G93" s="159"/>
      <c r="H93" s="159"/>
      <c r="I93" s="159"/>
      <c r="J93" s="130">
        <f t="shared" si="15"/>
        <v>0</v>
      </c>
      <c r="K93" s="131">
        <f t="shared" si="15"/>
        <v>0</v>
      </c>
    </row>
    <row r="94" spans="1:11" ht="15" customHeight="1" x14ac:dyDescent="0.25">
      <c r="A94" s="271" t="s">
        <v>89</v>
      </c>
      <c r="B94" s="249"/>
      <c r="C94" s="249"/>
      <c r="D94" s="249"/>
      <c r="E94" s="250"/>
      <c r="F94" s="159"/>
      <c r="G94" s="159"/>
      <c r="H94" s="159"/>
      <c r="I94" s="159"/>
      <c r="J94" s="130">
        <f t="shared" si="15"/>
        <v>0</v>
      </c>
      <c r="K94" s="131">
        <f t="shared" si="15"/>
        <v>0</v>
      </c>
    </row>
    <row r="95" spans="1:11" x14ac:dyDescent="0.25">
      <c r="A95" s="271" t="s">
        <v>90</v>
      </c>
      <c r="B95" s="249"/>
      <c r="C95" s="249"/>
      <c r="D95" s="249"/>
      <c r="E95" s="250"/>
      <c r="F95" s="159"/>
      <c r="G95" s="159"/>
      <c r="H95" s="159"/>
      <c r="I95" s="159"/>
      <c r="J95" s="130">
        <f t="shared" si="15"/>
        <v>0</v>
      </c>
      <c r="K95" s="131">
        <f t="shared" si="15"/>
        <v>0</v>
      </c>
    </row>
    <row r="96" spans="1:11" x14ac:dyDescent="0.25">
      <c r="A96" s="271" t="s">
        <v>91</v>
      </c>
      <c r="B96" s="249"/>
      <c r="C96" s="249"/>
      <c r="D96" s="249"/>
      <c r="E96" s="250"/>
      <c r="F96" s="159"/>
      <c r="G96" s="159"/>
      <c r="H96" s="159"/>
      <c r="I96" s="159"/>
      <c r="J96" s="130">
        <f t="shared" si="15"/>
        <v>0</v>
      </c>
      <c r="K96" s="131">
        <f t="shared" si="15"/>
        <v>0</v>
      </c>
    </row>
    <row r="97" spans="1:26" ht="15" customHeight="1" x14ac:dyDescent="0.25">
      <c r="A97" s="271" t="s">
        <v>92</v>
      </c>
      <c r="B97" s="249"/>
      <c r="C97" s="249"/>
      <c r="D97" s="249"/>
      <c r="E97" s="250"/>
      <c r="F97" s="159"/>
      <c r="G97" s="159"/>
      <c r="H97" s="159"/>
      <c r="I97" s="159"/>
      <c r="J97" s="130">
        <f t="shared" si="15"/>
        <v>0</v>
      </c>
      <c r="K97" s="131">
        <f t="shared" si="15"/>
        <v>0</v>
      </c>
    </row>
    <row r="98" spans="1:26" ht="15" customHeight="1" x14ac:dyDescent="0.25">
      <c r="A98" s="271" t="s">
        <v>1189</v>
      </c>
      <c r="B98" s="249"/>
      <c r="C98" s="249"/>
      <c r="D98" s="249"/>
      <c r="E98" s="250"/>
      <c r="F98" s="159"/>
      <c r="G98" s="159"/>
      <c r="H98" s="159"/>
      <c r="I98" s="159"/>
      <c r="J98" s="130">
        <f t="shared" si="15"/>
        <v>0</v>
      </c>
      <c r="K98" s="131">
        <f t="shared" si="15"/>
        <v>0</v>
      </c>
    </row>
    <row r="99" spans="1:26" x14ac:dyDescent="0.25">
      <c r="A99" s="271" t="s">
        <v>1191</v>
      </c>
      <c r="B99" s="249"/>
      <c r="C99" s="249"/>
      <c r="D99" s="249"/>
      <c r="E99" s="250"/>
      <c r="F99" s="159"/>
      <c r="G99" s="159"/>
      <c r="H99" s="159"/>
      <c r="I99" s="159"/>
      <c r="J99" s="130">
        <f t="shared" si="15"/>
        <v>0</v>
      </c>
      <c r="K99" s="131">
        <f t="shared" si="15"/>
        <v>0</v>
      </c>
    </row>
    <row r="100" spans="1:26" x14ac:dyDescent="0.25">
      <c r="A100" s="271" t="s">
        <v>1192</v>
      </c>
      <c r="B100" s="249"/>
      <c r="C100" s="249"/>
      <c r="D100" s="249"/>
      <c r="E100" s="250"/>
      <c r="F100" s="159"/>
      <c r="G100" s="159"/>
      <c r="H100" s="159"/>
      <c r="I100" s="159"/>
      <c r="J100" s="130">
        <f t="shared" si="15"/>
        <v>0</v>
      </c>
      <c r="K100" s="131">
        <f t="shared" si="15"/>
        <v>0</v>
      </c>
    </row>
    <row r="101" spans="1:26" ht="15" customHeight="1" x14ac:dyDescent="0.25">
      <c r="A101" s="271" t="s">
        <v>1193</v>
      </c>
      <c r="B101" s="249"/>
      <c r="C101" s="249"/>
      <c r="D101" s="249"/>
      <c r="E101" s="250"/>
      <c r="F101" s="159"/>
      <c r="G101" s="159"/>
      <c r="H101" s="159"/>
      <c r="I101" s="159"/>
      <c r="J101" s="130">
        <f t="shared" si="15"/>
        <v>0</v>
      </c>
      <c r="K101" s="131">
        <f t="shared" si="15"/>
        <v>0</v>
      </c>
    </row>
    <row r="102" spans="1:26" ht="15" customHeight="1" x14ac:dyDescent="0.25">
      <c r="A102" s="271" t="s">
        <v>1194</v>
      </c>
      <c r="B102" s="249"/>
      <c r="C102" s="249"/>
      <c r="D102" s="249"/>
      <c r="E102" s="250"/>
      <c r="F102" s="159"/>
      <c r="G102" s="159"/>
      <c r="H102" s="159"/>
      <c r="I102" s="159"/>
      <c r="J102" s="130">
        <f t="shared" si="15"/>
        <v>0</v>
      </c>
      <c r="K102" s="131">
        <f t="shared" si="15"/>
        <v>0</v>
      </c>
      <c r="M102" s="306" t="s">
        <v>1462</v>
      </c>
      <c r="N102" s="307"/>
      <c r="O102" s="307"/>
      <c r="P102" s="307"/>
      <c r="Q102" s="307"/>
      <c r="R102" s="307"/>
      <c r="S102" s="307"/>
      <c r="T102" s="307"/>
      <c r="U102" s="307"/>
      <c r="V102" s="308"/>
    </row>
    <row r="103" spans="1:26" ht="15" customHeight="1" x14ac:dyDescent="0.25">
      <c r="A103" s="271" t="s">
        <v>1195</v>
      </c>
      <c r="B103" s="249"/>
      <c r="C103" s="249"/>
      <c r="D103" s="249"/>
      <c r="E103" s="250"/>
      <c r="F103" s="159"/>
      <c r="G103" s="159"/>
      <c r="H103" s="159"/>
      <c r="I103" s="159"/>
      <c r="J103" s="130">
        <f t="shared" si="15"/>
        <v>0</v>
      </c>
      <c r="K103" s="131">
        <f t="shared" si="15"/>
        <v>0</v>
      </c>
      <c r="M103" s="303" t="s">
        <v>1469</v>
      </c>
      <c r="N103" s="304"/>
      <c r="O103" s="304"/>
      <c r="P103" s="304"/>
      <c r="Q103" s="304"/>
      <c r="R103" s="304"/>
      <c r="S103" s="304"/>
      <c r="T103" s="304"/>
      <c r="U103" s="304"/>
      <c r="V103" s="305"/>
    </row>
    <row r="104" spans="1:26" ht="15.75" thickBot="1" x14ac:dyDescent="0.3">
      <c r="A104" s="293" t="s">
        <v>15</v>
      </c>
      <c r="B104" s="299"/>
      <c r="C104" s="299"/>
      <c r="D104" s="299"/>
      <c r="E104" s="294"/>
      <c r="F104" s="137">
        <f>SUM(F80:F103)</f>
        <v>0</v>
      </c>
      <c r="G104" s="137">
        <f t="shared" ref="G104:J104" si="16">SUM(G80:G103)</f>
        <v>0</v>
      </c>
      <c r="H104" s="137">
        <f t="shared" si="16"/>
        <v>0</v>
      </c>
      <c r="I104" s="137">
        <f t="shared" si="16"/>
        <v>0</v>
      </c>
      <c r="J104" s="137">
        <f t="shared" si="16"/>
        <v>0</v>
      </c>
      <c r="K104" s="133">
        <f>SUM(K80:K103)</f>
        <v>0</v>
      </c>
      <c r="M104" s="300" t="s">
        <v>1469</v>
      </c>
      <c r="N104" s="301"/>
      <c r="O104" s="301"/>
      <c r="P104" s="301"/>
      <c r="Q104" s="301"/>
      <c r="R104" s="301"/>
      <c r="S104" s="301"/>
      <c r="T104" s="301"/>
      <c r="U104" s="301"/>
      <c r="V104" s="302"/>
    </row>
    <row r="105" spans="1:26" ht="11.25" customHeight="1" thickTop="1" x14ac:dyDescent="0.25">
      <c r="A105" s="35" t="s">
        <v>1115</v>
      </c>
    </row>
    <row r="108" spans="1:26" ht="15.75" customHeight="1" x14ac:dyDescent="0.25">
      <c r="A108" s="298" t="s">
        <v>1468</v>
      </c>
      <c r="B108" s="298"/>
      <c r="C108" s="298"/>
      <c r="D108" s="298"/>
      <c r="E108" s="298"/>
      <c r="F108" s="298"/>
      <c r="G108" s="298"/>
      <c r="H108" s="298"/>
      <c r="I108" s="298"/>
      <c r="J108" s="298"/>
      <c r="K108" s="298"/>
      <c r="L108" s="298"/>
      <c r="M108" s="298"/>
      <c r="N108" s="298"/>
      <c r="O108" s="298"/>
      <c r="P108" s="298"/>
      <c r="Q108" s="298"/>
      <c r="R108" s="298"/>
      <c r="S108" s="298"/>
      <c r="T108" s="298"/>
      <c r="U108" s="151"/>
      <c r="V108" s="44"/>
      <c r="W108" s="44"/>
      <c r="X108" s="44"/>
      <c r="Y108" s="44"/>
      <c r="Z108" s="34"/>
    </row>
    <row r="109" spans="1:26" ht="15" customHeight="1" x14ac:dyDescent="0.25">
      <c r="A109" s="298"/>
      <c r="B109" s="298"/>
      <c r="C109" s="298"/>
      <c r="D109" s="298"/>
      <c r="E109" s="298"/>
      <c r="F109" s="298"/>
      <c r="G109" s="298"/>
      <c r="H109" s="298"/>
      <c r="I109" s="298"/>
      <c r="J109" s="298"/>
      <c r="K109" s="298"/>
      <c r="L109" s="298"/>
      <c r="M109" s="298"/>
      <c r="N109" s="298"/>
      <c r="O109" s="298"/>
      <c r="P109" s="298"/>
      <c r="Q109" s="298"/>
      <c r="R109" s="298"/>
      <c r="S109" s="298"/>
      <c r="T109" s="298"/>
      <c r="U109" s="151"/>
      <c r="V109" s="44"/>
      <c r="W109" s="44"/>
      <c r="X109" s="44"/>
      <c r="Y109" s="44"/>
    </row>
    <row r="110" spans="1:26" ht="15" customHeight="1" x14ac:dyDescent="0.25">
      <c r="A110" s="298"/>
      <c r="B110" s="298"/>
      <c r="C110" s="298"/>
      <c r="D110" s="298"/>
      <c r="E110" s="298"/>
      <c r="F110" s="298"/>
      <c r="G110" s="298"/>
      <c r="H110" s="298"/>
      <c r="I110" s="298"/>
      <c r="J110" s="298"/>
      <c r="K110" s="298"/>
      <c r="L110" s="298"/>
      <c r="M110" s="298"/>
      <c r="N110" s="298"/>
      <c r="O110" s="298"/>
      <c r="P110" s="298"/>
      <c r="Q110" s="298"/>
      <c r="R110" s="298"/>
      <c r="S110" s="298"/>
      <c r="T110" s="298"/>
      <c r="U110" s="151"/>
      <c r="V110" s="123"/>
      <c r="W110" s="123"/>
      <c r="X110" s="123"/>
      <c r="Y110" s="123"/>
    </row>
    <row r="111" spans="1:26" ht="20.45" customHeight="1" x14ac:dyDescent="0.25">
      <c r="A111" s="298"/>
      <c r="B111" s="298"/>
      <c r="C111" s="298"/>
      <c r="D111" s="298"/>
      <c r="E111" s="298"/>
      <c r="F111" s="298"/>
      <c r="G111" s="298"/>
      <c r="H111" s="298"/>
      <c r="I111" s="298"/>
      <c r="J111" s="298"/>
      <c r="K111" s="298"/>
      <c r="L111" s="298"/>
      <c r="M111" s="298"/>
      <c r="N111" s="298"/>
      <c r="O111" s="298"/>
      <c r="P111" s="298"/>
      <c r="Q111" s="298"/>
      <c r="R111" s="298"/>
      <c r="S111" s="298"/>
      <c r="T111" s="298"/>
      <c r="U111" s="151"/>
      <c r="V111" s="44"/>
      <c r="W111" s="44"/>
      <c r="X111" s="44"/>
      <c r="Y111" s="44"/>
    </row>
    <row r="112" spans="1:26" x14ac:dyDescent="0.25">
      <c r="V112" s="44"/>
      <c r="W112" s="44"/>
      <c r="X112" s="44"/>
      <c r="Y112" s="44"/>
    </row>
  </sheetData>
  <sheetProtection algorithmName="SHA-512" hashValue="fJnPBB/W3KyFkEAE9PkrMsQlerR5sVPeL0yA9Y3v2IsOni6zZjzImNi7T34myJyaK1f13DSMkx6pG3dclTTmDQ==" saltValue="ZNO1r00m1zAXDnQCuU47YQ==" spinCount="100000" sheet="1" objects="1" scenarios="1" selectLockedCells="1"/>
  <mergeCells count="171">
    <mergeCell ref="F20:G20"/>
    <mergeCell ref="H20:I20"/>
    <mergeCell ref="A24:Q24"/>
    <mergeCell ref="B25:O25"/>
    <mergeCell ref="P25:Q26"/>
    <mergeCell ref="D36:E36"/>
    <mergeCell ref="F36:G36"/>
    <mergeCell ref="H36:I36"/>
    <mergeCell ref="J36:K36"/>
    <mergeCell ref="L36:M36"/>
    <mergeCell ref="L26:M26"/>
    <mergeCell ref="N26:O26"/>
    <mergeCell ref="A34:O34"/>
    <mergeCell ref="B35:E35"/>
    <mergeCell ref="F35:I35"/>
    <mergeCell ref="J35:M35"/>
    <mergeCell ref="N35:O36"/>
    <mergeCell ref="B36:C36"/>
    <mergeCell ref="A18:I18"/>
    <mergeCell ref="A63:H63"/>
    <mergeCell ref="A64:H64"/>
    <mergeCell ref="A78:E78"/>
    <mergeCell ref="B37:C37"/>
    <mergeCell ref="D37:E37"/>
    <mergeCell ref="F37:G37"/>
    <mergeCell ref="H37:I37"/>
    <mergeCell ref="J37:K37"/>
    <mergeCell ref="A21:E21"/>
    <mergeCell ref="F21:G21"/>
    <mergeCell ref="H21:I21"/>
    <mergeCell ref="A22:E22"/>
    <mergeCell ref="F22:G22"/>
    <mergeCell ref="H22:I22"/>
    <mergeCell ref="A19:E19"/>
    <mergeCell ref="F19:G19"/>
    <mergeCell ref="H19:I19"/>
    <mergeCell ref="A20:E20"/>
    <mergeCell ref="B26:C26"/>
    <mergeCell ref="D26:E26"/>
    <mergeCell ref="F26:G26"/>
    <mergeCell ref="H26:I26"/>
    <mergeCell ref="J26:K26"/>
    <mergeCell ref="H9:I9"/>
    <mergeCell ref="J9:K9"/>
    <mergeCell ref="L9:M9"/>
    <mergeCell ref="N9:O9"/>
    <mergeCell ref="P9:Q9"/>
    <mergeCell ref="A2:H2"/>
    <mergeCell ref="A7:S7"/>
    <mergeCell ref="B8:Q8"/>
    <mergeCell ref="R8:S9"/>
    <mergeCell ref="B9:C9"/>
    <mergeCell ref="D9:E9"/>
    <mergeCell ref="F9:G9"/>
    <mergeCell ref="C4:F4"/>
    <mergeCell ref="H4:I4"/>
    <mergeCell ref="J4:N4"/>
    <mergeCell ref="P2:S2"/>
    <mergeCell ref="P4:Z4"/>
    <mergeCell ref="J41:K41"/>
    <mergeCell ref="L41:M41"/>
    <mergeCell ref="N41:O41"/>
    <mergeCell ref="J40:K40"/>
    <mergeCell ref="L40:M40"/>
    <mergeCell ref="N40:O40"/>
    <mergeCell ref="L37:M37"/>
    <mergeCell ref="N37:O37"/>
    <mergeCell ref="J39:K39"/>
    <mergeCell ref="L39:M39"/>
    <mergeCell ref="N39:O39"/>
    <mergeCell ref="B38:C38"/>
    <mergeCell ref="D38:E38"/>
    <mergeCell ref="F38:G38"/>
    <mergeCell ref="H38:I38"/>
    <mergeCell ref="B39:C39"/>
    <mergeCell ref="D39:E39"/>
    <mergeCell ref="F39:G39"/>
    <mergeCell ref="H39:I39"/>
    <mergeCell ref="B40:C40"/>
    <mergeCell ref="D40:E40"/>
    <mergeCell ref="F40:G40"/>
    <mergeCell ref="H40:I40"/>
    <mergeCell ref="J44:K44"/>
    <mergeCell ref="E65:F65"/>
    <mergeCell ref="A67:B67"/>
    <mergeCell ref="A61:C61"/>
    <mergeCell ref="J38:K38"/>
    <mergeCell ref="L38:M38"/>
    <mergeCell ref="N38:O38"/>
    <mergeCell ref="N54:O55"/>
    <mergeCell ref="P54:Q55"/>
    <mergeCell ref="B41:C41"/>
    <mergeCell ref="D41:E41"/>
    <mergeCell ref="F41:G41"/>
    <mergeCell ref="H41:I41"/>
    <mergeCell ref="A43:K43"/>
    <mergeCell ref="G65:H65"/>
    <mergeCell ref="K63:Q64"/>
    <mergeCell ref="K66:L66"/>
    <mergeCell ref="K67:L67"/>
    <mergeCell ref="A60:C60"/>
    <mergeCell ref="C65:D65"/>
    <mergeCell ref="B44:C44"/>
    <mergeCell ref="D44:E44"/>
    <mergeCell ref="F44:G44"/>
    <mergeCell ref="H44:I44"/>
    <mergeCell ref="R54:S55"/>
    <mergeCell ref="A57:C57"/>
    <mergeCell ref="A58:C58"/>
    <mergeCell ref="A59:C59"/>
    <mergeCell ref="A52:S52"/>
    <mergeCell ref="D53:S53"/>
    <mergeCell ref="D54:E55"/>
    <mergeCell ref="F54:G55"/>
    <mergeCell ref="H54:I55"/>
    <mergeCell ref="J54:K55"/>
    <mergeCell ref="L54:M55"/>
    <mergeCell ref="A108:T111"/>
    <mergeCell ref="A89:E89"/>
    <mergeCell ref="A90:E90"/>
    <mergeCell ref="A96:E96"/>
    <mergeCell ref="A99:E99"/>
    <mergeCell ref="A100:E100"/>
    <mergeCell ref="A101:E101"/>
    <mergeCell ref="A102:E102"/>
    <mergeCell ref="A103:E103"/>
    <mergeCell ref="A104:E104"/>
    <mergeCell ref="M104:V104"/>
    <mergeCell ref="M103:V103"/>
    <mergeCell ref="M102:V102"/>
    <mergeCell ref="M66:N66"/>
    <mergeCell ref="H77:I78"/>
    <mergeCell ref="J77:K78"/>
    <mergeCell ref="M70:N70"/>
    <mergeCell ref="O70:Q70"/>
    <mergeCell ref="K69:L69"/>
    <mergeCell ref="A80:E80"/>
    <mergeCell ref="A68:B68"/>
    <mergeCell ref="A69:B69"/>
    <mergeCell ref="A70:B70"/>
    <mergeCell ref="A71:B71"/>
    <mergeCell ref="A72:B72"/>
    <mergeCell ref="A73:B73"/>
    <mergeCell ref="K70:L70"/>
    <mergeCell ref="K68:L68"/>
    <mergeCell ref="A76:K76"/>
    <mergeCell ref="F77:G78"/>
    <mergeCell ref="M65:N65"/>
    <mergeCell ref="O65:Q65"/>
    <mergeCell ref="A97:E97"/>
    <mergeCell ref="A98:E98"/>
    <mergeCell ref="A87:E87"/>
    <mergeCell ref="A91:E91"/>
    <mergeCell ref="A92:E92"/>
    <mergeCell ref="A81:E81"/>
    <mergeCell ref="A82:E82"/>
    <mergeCell ref="A83:E83"/>
    <mergeCell ref="A84:E84"/>
    <mergeCell ref="A85:E85"/>
    <mergeCell ref="A86:E86"/>
    <mergeCell ref="A93:E93"/>
    <mergeCell ref="A94:E94"/>
    <mergeCell ref="A95:E95"/>
    <mergeCell ref="A88:E88"/>
    <mergeCell ref="O66:Q66"/>
    <mergeCell ref="O67:Q67"/>
    <mergeCell ref="O68:Q68"/>
    <mergeCell ref="O69:Q69"/>
    <mergeCell ref="M69:N69"/>
    <mergeCell ref="M68:N68"/>
    <mergeCell ref="M67:N67"/>
  </mergeCells>
  <dataValidations count="79">
    <dataValidation type="whole" allowBlank="1" showInputMessage="1" showErrorMessage="1" errorTitle="Erro" error="Tem que introduzir um valor númerico inteiro" sqref="B17:I17 B23:I23 O70 L71:O75 J17:Q23" xr:uid="{00000000-0002-0000-1200-000000000000}">
      <formula1>0</formula1>
      <formula2>100000000</formula2>
    </dataValidation>
    <dataValidation type="list" allowBlank="1" showInputMessage="1" showErrorMessage="1" sqref="C4:F4" xr:uid="{00000000-0002-0000-1200-000001000000}">
      <formula1>AreasTPII_v1</formula1>
    </dataValidation>
    <dataValidation type="list" allowBlank="1" showInputMessage="1" showErrorMessage="1" sqref="J4:N4" xr:uid="{00000000-0002-0000-1200-000002000000}">
      <formula1>OFFSET(AreasTPIIStart,MATCH(C4,AreasTPII,0),1,COUNTIF(AreasTPII,C4),1)</formula1>
    </dataValidation>
    <dataValidation type="custom" allowBlank="1" showInputMessage="1" showErrorMessage="1" errorTitle="Erro" error="O valor de &quot;F&quot; não pode ser superior ao valor de &quot;MF&quot;" sqref="H20:I20" xr:uid="{00000000-0002-0000-1200-000003000000}">
      <formula1>F20&gt;=H20</formula1>
    </dataValidation>
    <dataValidation type="list" allowBlank="1" showInputMessage="1" showErrorMessage="1" errorTitle="Erro" error="Tem que introduzir um valor númerico inteiro" sqref="O66:O69" xr:uid="{00000000-0002-0000-1200-000004000000}">
      <formula1>SimNao</formula1>
    </dataValidation>
    <dataValidation type="list" allowBlank="1" showInputMessage="1" showErrorMessage="1" sqref="E39:E40 I39:I40 M39:M40 L37:L40 H37:H40 E37 D37:D40" xr:uid="{00000000-0002-0000-1200-000005000000}">
      <formula1>NumTurnos</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00000000-0002-0000-1200-000006000000}">
      <formula1>AND(C11&gt;=0,C11&lt;=B11,MOD(C11,1)=0)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00000000-0002-0000-1200-000007000000}">
      <formula1>AND(B11&gt;=0,B11&gt;=C11,MOD(B11,1)=0)</formula1>
    </dataValidation>
    <dataValidation type="custom" showInputMessage="1" showErrorMessage="1" errorTitle="Erro" error="O valor de &quot;F&quot; não pode ser superior ao valor de &quot;MF&quot;" sqref="E11 G12 I13 K14 Q57:Q59 E57:E59 G57:G59 I57:I59 K57:K59 M57:M59 O57:O59 I61 K61 M61 O61 Q61 E61 G61 D67:D72 F67:F72 G80:G103 I80:I103" xr:uid="{00000000-0002-0000-1200-000008000000}">
      <formula1>AND(D11&gt;=0,D11&lt;=C11,MOD(D11,1)=0)</formula1>
    </dataValidation>
    <dataValidation type="custom" showInputMessage="1" showErrorMessage="1" errorTitle="Erro" error="Tem que introduzir um valor númerico inteiro que seja igual ou superior ao valor de F" sqref="D11 F12 H13 J14" xr:uid="{00000000-0002-0000-1200-000009000000}">
      <formula1>AND(D11&gt;=0,D11&gt;=E11,MOD(D11,1)=0)</formula1>
    </dataValidation>
    <dataValidation type="custom" showInputMessage="1" showErrorMessage="1" errorTitle="Erro" error="Tem que introduzir um valor númerico inteiro que seja igual ou superior ao valor de F" sqref="F21:G22" xr:uid="{00000000-0002-0000-1200-00000A000000}">
      <formula1>AND(F21&gt;=0,F21&gt;=H21,MOD(F21,1)=0)</formula1>
    </dataValidation>
    <dataValidation type="custom" showInputMessage="1" showErrorMessage="1" errorTitle="Erro" error="Tem que introduzir um valor númerico inteiro" sqref="F20:G20 M66:N69" xr:uid="{00000000-0002-0000-1200-00000B000000}">
      <formula1>AND(F20&gt;=0,MOD(F20,1)=0)</formula1>
    </dataValidation>
    <dataValidation type="custom" showInputMessage="1" showErrorMessage="1" errorTitle="Erro" error="O valor de &quot;F&quot; não pode ser superior ao valor de &quot;MF&quot;" sqref="H21:I22" xr:uid="{00000000-0002-0000-1200-00000C000000}">
      <formula1>AND(H21&gt;=0,H21&lt;=F21,MOD(H21,1)=0)</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31" xr:uid="{00000000-0002-0000-1200-00000D000000}">
      <formula1>AND(O31&gt;=0,Q14&gt;=O31,MOD(O31,1)=0,O31&lt;=N31)</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31" xr:uid="{00000000-0002-0000-1200-00000E000000}">
      <formula1>AND(N31&gt;=0,P14&gt;=N31,MOD(N31,1)=0,N31&gt;=O31)</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31" xr:uid="{00000000-0002-0000-1200-00000F000000}">
      <formula1>AND(M31&gt;=0,O14&gt;=M31,MOD(M31,1)=0,M31&lt;=L31)</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31" xr:uid="{00000000-0002-0000-1200-000010000000}">
      <formula1>AND(L31&gt;=0,N14&gt;=L31,MOD(L31,1)=0,L31&gt;=M31)</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31" xr:uid="{00000000-0002-0000-1200-000011000000}">
      <formula1>AND(I31&gt;=0,K14&gt;=I31,MOD(I31,1)=0,I31&lt;=H31)</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31" xr:uid="{00000000-0002-0000-1200-000012000000}">
      <formula1>AND(H31&gt;=0,J14&gt;=H31,MOD(H31,1)=0,H31&gt;=I31)</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31" xr:uid="{00000000-0002-0000-1200-000013000000}">
      <formula1>AND(F31&gt;=0,H14&gt;=F31,MOD(F31,1)=0,F31&gt;=G31)</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31" xr:uid="{00000000-0002-0000-1200-000014000000}">
      <formula1>AND(G31&gt;=0,I14&gt;=G31,MOD(G31,1)=0,G31&lt;=F31)</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31" xr:uid="{00000000-0002-0000-1200-000015000000}">
      <formula1>AND(E31&gt;=0,G14&gt;=E31,MOD(E31,1)=0,E31&lt;=D31)</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31" xr:uid="{00000000-0002-0000-1200-000016000000}">
      <formula1>AND(D31&gt;=0,F14&gt;=D31,MOD(D31,1)=0,D31&gt;=E31)</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30" xr:uid="{00000000-0002-0000-1200-000017000000}">
      <formula1>AND(O30&gt;=0,Q13&gt;=O30,MOD(O30,1)=0,O30&lt;=N30)</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30" xr:uid="{00000000-0002-0000-1200-000018000000}">
      <formula1>AND(N30&gt;=0,P13&gt;=N30,MOD(N30,1)=0,N30&gt;=O30)</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30" xr:uid="{00000000-0002-0000-1200-000019000000}">
      <formula1>AND(M30&gt;=0,O13&gt;=M30,MOD(M30,1)=0,M30&lt;=L30)</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30" xr:uid="{00000000-0002-0000-1200-00001A000000}">
      <formula1>AND(L30&gt;=0,N13&gt;=L30,MOD(L30,1)=0,L30&gt;=M30)</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30" xr:uid="{00000000-0002-0000-1200-00001B000000}">
      <formula1>AND(K30&gt;=0,M13&gt;=K30,MOD(K30,1)=0,K30&lt;=J30)</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30" xr:uid="{00000000-0002-0000-1200-00001C000000}">
      <formula1>AND(J30&gt;=0,L13&gt;=J30,MOD(J30,1)=0,J30&gt;=K30)</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30" xr:uid="{00000000-0002-0000-1200-00001D000000}">
      <formula1>AND(G30&gt;=0,I13&gt;=G30,MOD(G30,1)=0,G30&lt;=F30)</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30" xr:uid="{00000000-0002-0000-1200-00001E000000}">
      <formula1>AND(F30&gt;=0,H13&gt;=F30,MOD(F30,1)=0,F30&gt;=G30)</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30" xr:uid="{00000000-0002-0000-1200-00001F000000}">
      <formula1>AND(E30&gt;=0,G13&gt;=E30,MOD(E30,1)=0,E30&lt;=D30)</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30" xr:uid="{00000000-0002-0000-1200-000020000000}">
      <formula1>AND(D30&gt;=0,F13&gt;=D30,MOD(D30,1)=0,D30&gt;=E30)</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9" xr:uid="{00000000-0002-0000-1200-000021000000}">
      <formula1>AND(O29&gt;=0,Q12&gt;=O29,MOD(O29,1)=0,O29&lt;=N29)</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9" xr:uid="{00000000-0002-0000-1200-000022000000}">
      <formula1>AND(N29&gt;=0,P12&gt;=N29,MOD(N29,1)=0,N29&gt;=O29)</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9" xr:uid="{00000000-0002-0000-1200-000023000000}">
      <formula1>AND(M29&gt;=0,O12&gt;=M29,MOD(M29,1)=0,M29&lt;=L29)</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9" xr:uid="{00000000-0002-0000-1200-000024000000}">
      <formula1>AND(L29&gt;=0,N12&gt;=L29,MOD(L29,1)=0,L29&gt;=M29)</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9" xr:uid="{00000000-0002-0000-1200-000025000000}">
      <formula1>AND(K29&gt;=0,M12&gt;=K29,MOD(K29,1)=0,K29&lt;=J29)</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9" xr:uid="{00000000-0002-0000-1200-000026000000}">
      <formula1>AND(J29&gt;=0,L12&gt;=J29,MOD(J29,1)=0,J29&gt;=K29)</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9" xr:uid="{00000000-0002-0000-1200-000027000000}">
      <formula1>AND(I29&gt;=0,K12&gt;=I29,MOD(I29,1)=0,I29&lt;=H29)</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9" xr:uid="{00000000-0002-0000-1200-000028000000}">
      <formula1>AND(H29&gt;=0,J12&gt;=H29,MOD(H29,1)=0,H29&gt;=I29)</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9" xr:uid="{00000000-0002-0000-1200-000029000000}">
      <formula1>AND(E29&gt;=0,G12&gt;=E29,MOD(E29,1)=0,E29&lt;=D29)</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9" xr:uid="{00000000-0002-0000-1200-00002A000000}">
      <formula1>AND(D29&gt;=0,F12&gt;=D29,MOD(D29,1)=0,D29&gt;=E29)</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31" xr:uid="{00000000-0002-0000-1200-00002B000000}">
      <formula1>AND(C31&gt;=0,E14&gt;=C31,MOD(C31,1)=0,C31&lt;=B31)</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31" xr:uid="{00000000-0002-0000-1200-00002C000000}">
      <formula1>AND(B31&gt;=0,D14&gt;=B31,MOD(B31,1)=0,B31&gt;=C31)</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30" xr:uid="{00000000-0002-0000-1200-00002D000000}">
      <formula1>AND(C30&gt;=0,E13&gt;=C30,MOD(C30,1)=0,C30&lt;=B30)</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30" xr:uid="{00000000-0002-0000-1200-00002E000000}">
      <formula1>AND(B30&gt;=0,D13&gt;=B30,MOD(B30,1)=0,B30&gt;=C30)</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9" xr:uid="{00000000-0002-0000-1200-00002F000000}">
      <formula1>AND(C29&gt;=0,E12&gt;=C29,MOD(C29,1)=0,C29&lt;=B29)</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9" xr:uid="{00000000-0002-0000-1200-000030000000}">
      <formula1>AND(B29&gt;=0,D12&gt;=B29,MOD(B29,1)=0,B29&gt;=C29)</formula1>
    </dataValidation>
    <dataValidation type="custom" showInputMessage="1" showErrorMessage="1" errorTitle="Erro" error="O número de alunos repetentes MF com 19 anos na 13ª classe não deve ser superior ao de matriculados MF com 19 anos na 13ª classe" sqref="J31" xr:uid="{00000000-0002-0000-1200-000031000000}">
      <formula1>AND(J31&gt;=0,L14&gt;=J31,MOD(J31,1)=0,J31&gt;=K31)</formula1>
    </dataValidation>
    <dataValidation type="custom" showInputMessage="1" showErrorMessage="1" errorTitle="Erro" error="O número de alunos repetentes F com 18 anos na 12ª classe não deve ser superior ao de matriculados F com 18 anos na 12ª classe" sqref="I30" xr:uid="{00000000-0002-0000-1200-000032000000}">
      <formula1>AND(I30&gt;=0,K13&gt;=I30,MOD(I30,1)=0,I30&lt;=H30)</formula1>
    </dataValidation>
    <dataValidation type="custom" showInputMessage="1" showErrorMessage="1" errorTitle="Erro" error="O número de alunos repetentes MF com 18 anos na 12ª classe não deve ser superior ao de matriculados MF com 18 anos na 12ª classe" sqref="H30" xr:uid="{00000000-0002-0000-1200-000033000000}">
      <formula1>AND(H30&gt;=0,J13&gt;=H30,MOD(H30,1)=0,H30&gt;=I30)</formula1>
    </dataValidation>
    <dataValidation type="custom" showInputMessage="1" showErrorMessage="1" errorTitle="Erro" error="O número de alunos repetentes F com 16 anos na 10ª classe não deve ser superior ao de matriculados F com 16 anos na 10ª classe" sqref="E28" xr:uid="{00000000-0002-0000-1200-000034000000}">
      <formula1>AND(E28&gt;=0,G11&gt;=E28,MOD(E28,1)=0,E28&lt;=D28)</formula1>
    </dataValidation>
    <dataValidation type="custom" showInputMessage="1" showErrorMessage="1" errorTitle="Erro" error="O número de alunos repetentes F com 17 anos na 11ª classe não deve ser superior ao de matriculados F com 17 anos na 11ª classe" sqref="G29" xr:uid="{00000000-0002-0000-1200-000035000000}">
      <formula1>AND(G29&gt;=0,I12&gt;=G29,MOD(G29,1)=0,G29&lt;=F29)</formula1>
    </dataValidation>
    <dataValidation type="custom" showInputMessage="1" showErrorMessage="1" errorTitle="Erro" error="O número de alunos repetentes MF com 17 anos na 11ª classe não deve ser superior ao de matriculados MF com 17 anos na 11ª classe" sqref="F29" xr:uid="{00000000-0002-0000-1200-000036000000}">
      <formula1>AND(F29&gt;=0,H12&gt;=F29,MOD(F29,1)=0,F29&gt;=G29)</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8" xr:uid="{00000000-0002-0000-1200-000037000000}">
      <formula1>AND(O28&gt;=0,Q11&gt;=O28,MOD(O28,1)=0,O28&lt;=N28)</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8" xr:uid="{00000000-0002-0000-1200-000038000000}">
      <formula1>AND(N28&gt;=0,P11&gt;=N28,MOD(N28,1)=0,N28&gt;=O28)</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8" xr:uid="{00000000-0002-0000-1200-000039000000}">
      <formula1>AND(M28&gt;=0,O11&gt;=M28,MOD(M28,1)=0,M28&lt;=L28)</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8" xr:uid="{00000000-0002-0000-1200-00003A000000}">
      <formula1>AND(L28&gt;=0,N11&gt;=L28,MOD(L28,1)=0,L28&gt;=M28)</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8" xr:uid="{00000000-0002-0000-1200-00003B000000}">
      <formula1>AND(K28&gt;=0,M11&gt;=K28,MOD(K28,1)=0,K28&lt;=J28)</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8" xr:uid="{00000000-0002-0000-1200-00003C000000}">
      <formula1>AND(J28&gt;=0,L11&gt;=J28,MOD(J28,1)=0,J28&gt;=K28)</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8" xr:uid="{00000000-0002-0000-1200-00003D000000}">
      <formula1>AND(I28&gt;=0,K11&gt;=I28,MOD(I28,1)=0,I28&lt;=H28)</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8" xr:uid="{00000000-0002-0000-1200-00003E000000}">
      <formula1>AND(H28&gt;=0,J11&gt;=H28,MOD(H28,1)=0,H28&gt;=I28)</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8" xr:uid="{00000000-0002-0000-1200-00003F000000}">
      <formula1>AND(G28&gt;=0,I11&gt;=G28,MOD(G28,1)=0,G28&lt;=F28)</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8" xr:uid="{00000000-0002-0000-1200-000040000000}">
      <formula1>AND(F28&gt;=0,H11&gt;=F28,MOD(F28,1)=0,F28&gt;=G28)</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8" xr:uid="{00000000-0002-0000-1200-000041000000}">
      <formula1>AND(B28&gt;=0,D11&gt;=B28,MOD(B28,1)=0,B28&gt;=C28)</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8" xr:uid="{00000000-0002-0000-1200-000042000000}">
      <formula1>AND(C28&gt;=0,E11&gt;=C28,MOD(C28,1)=0,C28&lt;=B28)</formula1>
    </dataValidation>
    <dataValidation type="custom" showInputMessage="1" showErrorMessage="1" errorTitle="Erro" error="O número de alunos repetentes MF com 16 anos na 10ª classe não deve ser superior ao de matriculados MF com 16 anos na 10ª classe" sqref="D28" xr:uid="{00000000-0002-0000-1200-000043000000}">
      <formula1>AND(D28&gt;=0,F11&gt;=D28,MOD(D28,1)=0,D28&gt;=E28)</formula1>
    </dataValidation>
    <dataValidation type="custom" showInputMessage="1" showErrorMessage="1" errorTitle="Erro" error="O número de alunos repetentes F com 19 anos na 13ª classe não deve ser superior ao de matriculados F com 19 anos na 13ª classe" sqref="K31" xr:uid="{00000000-0002-0000-1200-000044000000}">
      <formula1>AND(K31&gt;=0,M14&gt;=K31,MOD(K31,1)=0,K31&lt;=J31)</formula1>
    </dataValidation>
    <dataValidation type="custom" showInputMessage="1" showErrorMessage="1" errorTitle="Erro" error="Tem que introduzir um valor numérico inteiro" sqref="B37:C40 F37:G40 J37:K40" xr:uid="{00000000-0002-0000-1200-000045000000}">
      <formula1>AND(B37&gt;=0,MOD(B37,1)=0)</formula1>
    </dataValidation>
    <dataValidation type="custom" showInputMessage="1" showErrorMessage="1" errorTitle="Erro" error="O número de Alunos com deficiências MF na 10ª classe não pode ser superior ao número de matriculados MF na 10ª classe" sqref="B46 D46 F46 H46" xr:uid="{00000000-0002-0000-1200-000046000000}">
      <formula1>AND(B46&gt;=0,B46&gt;=C46,MOD(B46,1)=0,$R11&gt;=B46)</formula1>
    </dataValidation>
    <dataValidation type="custom" showInputMessage="1" showErrorMessage="1" errorTitle="Erro" error="O número de alunos com deficiências F na 10ª classe não deve ser superior ao de matriculados F na 10ª classe" sqref="C46 E46 G46 I46" xr:uid="{00000000-0002-0000-1200-000047000000}">
      <formula1>AND(C46&gt;=0,C46&lt;=B46,MOD(C46,1)=0,$S11&gt;=C46)</formula1>
    </dataValidation>
    <dataValidation type="custom" showInputMessage="1" showErrorMessage="1" errorTitle="Erro" error="O número de Alunos com deficiências MF na 11ª classe não pode ser superior ao número de matriculados MF na 11ª classe" sqref="B47 D47 F47 H47" xr:uid="{00000000-0002-0000-1200-000048000000}">
      <formula1>AND(B47&gt;=0,B47&gt;=C47,MOD(B47,1)=0,$R12&gt;=B47)</formula1>
    </dataValidation>
    <dataValidation type="custom" showInputMessage="1" showErrorMessage="1" errorTitle="Erro" error="O número de alunos com deficiências F na 11ª classe não deve ser superior ao de matriculados F na 11ª classe" sqref="C47 E47 G47 I47" xr:uid="{00000000-0002-0000-1200-000049000000}">
      <formula1>AND(C47&gt;=0,C47&lt;=B47,MOD(C47,1)=0,$S12&gt;=C47)</formula1>
    </dataValidation>
    <dataValidation type="custom" showInputMessage="1" showErrorMessage="1" errorTitle="Erro" error="O número de Alunos com deficiências MF na 12ª classe não pode ser superior ao número de matriculados MF na 12ª classe" sqref="B48 D48 F48 H48" xr:uid="{00000000-0002-0000-1200-00004A000000}">
      <formula1>AND(B48&gt;=0,B48&gt;=C48,MOD(B48,1)=0,$R13&gt;=B48)</formula1>
    </dataValidation>
    <dataValidation type="custom" showInputMessage="1" showErrorMessage="1" errorTitle="Erro" error="O número de alunos com deficiências F na 12ª classe não deve ser superior ao de matriculados F na 12ª classe" sqref="C48 E48 G48 I48" xr:uid="{00000000-0002-0000-1200-00004B000000}">
      <formula1>AND(C48&gt;=0,C48&lt;=B48,MOD(C48,1)=0,$S13&gt;=C48)</formula1>
    </dataValidation>
    <dataValidation type="custom" showInputMessage="1" showErrorMessage="1" errorTitle="Erro" error="O número de Alunos com deficiências MF na 13ª classe não pode ser superior ao número de matriculados MF na 13ª classe" sqref="B49 D49 F49 H49" xr:uid="{00000000-0002-0000-1200-00004C000000}">
      <formula1>AND(B49&gt;=0,B49&gt;=C49,MOD(B49,1)=0,$R14&gt;=B49)</formula1>
    </dataValidation>
    <dataValidation type="custom" showInputMessage="1" showErrorMessage="1" errorTitle="Erro" error="O número de alunos com deficiências F na 13ª classe não deve ser superior ao de matriculados F na 13ª classe" sqref="C49 E49 G49 I49" xr:uid="{00000000-0002-0000-1200-00004D000000}">
      <formula1>AND(C49&gt;=0,C49&lt;=B49,MOD(C49,1)=0,$S14&gt;=C49)</formula1>
    </dataValidation>
    <dataValidation type="custom" showInputMessage="1" showErrorMessage="1" errorTitle="Erro" error="Tem que introduzir um valor númerico inteiro igual ou superior ao valor de &quot;F&quot;" sqref="D57:D59 F57:F59 H57:H59 J57:J59 L57:L59 N57:N59 P57:P59 D61 F61 H61 J61 L61 N61 P61 C67:C72 E67:E72 F80:F103 H80:H103" xr:uid="{00000000-0002-0000-1200-00004E000000}">
      <formula1>AND(C57&gt;=0,C57&gt;=D57,MOD(C57,1)=0)</formula1>
    </dataValidation>
  </dataValidations>
  <pageMargins left="0.13" right="0.13" top="0.25" bottom="0.19" header="0.22" footer="0.16"/>
  <pageSetup paperSize="9" orientation="landscape" r:id="rId1"/>
  <ignoredErrors>
    <ignoredError sqref="R60:S6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locked="0" defaultSize="0" print="0" autoFill="0" autoPict="0" macro="[0]!_xludf.Copy">
                <anchor moveWithCells="1" sizeWithCells="1">
                  <from>
                    <xdr:col>19</xdr:col>
                    <xdr:colOff>104775</xdr:colOff>
                    <xdr:row>1</xdr:row>
                    <xdr:rowOff>19050</xdr:rowOff>
                  </from>
                  <to>
                    <xdr:col>22</xdr:col>
                    <xdr:colOff>352425</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0A04D-CF72-44E2-AA59-5AFF36A46C21}">
  <sheetPr codeName="Sheet22"/>
  <dimension ref="A1:AH112"/>
  <sheetViews>
    <sheetView showGridLines="0" workbookViewId="0">
      <selection activeCell="J4" sqref="J4:N4"/>
    </sheetView>
  </sheetViews>
  <sheetFormatPr defaultColWidth="9.140625" defaultRowHeight="15" x14ac:dyDescent="0.25"/>
  <cols>
    <col min="1" max="1" width="12.140625" style="33" customWidth="1"/>
    <col min="2" max="2" width="9.42578125" style="33" customWidth="1"/>
    <col min="3" max="3" width="8.42578125" style="33" customWidth="1"/>
    <col min="4" max="13" width="6.85546875" style="33" customWidth="1"/>
    <col min="14" max="14" width="7.85546875" style="33" customWidth="1"/>
    <col min="15" max="15" width="7.28515625" style="33" customWidth="1"/>
    <col min="16" max="16" width="8.140625" style="33" customWidth="1"/>
    <col min="17" max="17" width="8" style="33" customWidth="1"/>
    <col min="18" max="19" width="6.28515625" style="33" customWidth="1"/>
    <col min="20" max="20" width="6.42578125" style="33" customWidth="1"/>
    <col min="21" max="21" width="7" style="33" customWidth="1"/>
    <col min="22" max="22" width="3.28515625" style="33" customWidth="1"/>
    <col min="23" max="23" width="5.5703125" style="33" customWidth="1"/>
    <col min="24" max="24" width="5.42578125" style="33" customWidth="1"/>
    <col min="25" max="27" width="6.28515625" style="33" customWidth="1"/>
    <col min="28" max="16384" width="9.140625" style="33"/>
  </cols>
  <sheetData>
    <row r="1" spans="1:28" ht="8.4499999999999993" customHeight="1" x14ac:dyDescent="0.25">
      <c r="A1" s="35">
        <v>1</v>
      </c>
    </row>
    <row r="2" spans="1:28" ht="17.25" customHeight="1" x14ac:dyDescent="0.35">
      <c r="A2" s="347" t="s">
        <v>126</v>
      </c>
      <c r="B2" s="347"/>
      <c r="C2" s="347"/>
      <c r="D2" s="347"/>
      <c r="E2" s="347"/>
      <c r="F2" s="347"/>
      <c r="G2" s="347"/>
      <c r="H2" s="347"/>
      <c r="I2" s="32"/>
      <c r="P2" s="352" t="s">
        <v>124</v>
      </c>
      <c r="Q2" s="352"/>
      <c r="R2" s="352"/>
      <c r="S2" s="352"/>
      <c r="AB2" s="36"/>
    </row>
    <row r="3" spans="1:28" ht="12" customHeight="1" x14ac:dyDescent="0.25">
      <c r="A3" s="35">
        <v>1</v>
      </c>
      <c r="AB3" s="36"/>
    </row>
    <row r="4" spans="1:28" ht="15.75" customHeight="1" x14ac:dyDescent="0.25">
      <c r="A4" s="13" t="s">
        <v>1432</v>
      </c>
      <c r="B4" s="88"/>
      <c r="C4" s="349"/>
      <c r="D4" s="350"/>
      <c r="E4" s="350"/>
      <c r="F4" s="351"/>
      <c r="H4" s="254" t="s">
        <v>284</v>
      </c>
      <c r="I4" s="255"/>
      <c r="J4" s="349"/>
      <c r="K4" s="350"/>
      <c r="L4" s="350"/>
      <c r="M4" s="350"/>
      <c r="N4" s="351"/>
      <c r="P4" s="353" t="s">
        <v>1470</v>
      </c>
      <c r="Q4" s="353"/>
      <c r="R4" s="353"/>
      <c r="S4" s="353"/>
      <c r="T4" s="353"/>
      <c r="U4" s="353"/>
      <c r="V4" s="353"/>
      <c r="W4" s="353"/>
      <c r="X4" s="353"/>
      <c r="Y4" s="353"/>
      <c r="Z4" s="353"/>
      <c r="AB4" s="36"/>
    </row>
    <row r="5" spans="1:28" ht="12" customHeight="1" x14ac:dyDescent="0.25">
      <c r="A5" s="35" t="s">
        <v>1115</v>
      </c>
      <c r="D5" s="34"/>
      <c r="T5" s="6"/>
      <c r="U5" s="6"/>
      <c r="AB5" s="36"/>
    </row>
    <row r="6" spans="1:28" ht="5.25" customHeight="1" thickBot="1" x14ac:dyDescent="0.3">
      <c r="A6" s="45">
        <v>1</v>
      </c>
      <c r="B6" s="46"/>
      <c r="C6" s="46"/>
      <c r="D6" s="46"/>
      <c r="E6" s="46"/>
      <c r="F6" s="46"/>
      <c r="G6" s="46"/>
      <c r="H6" s="46"/>
      <c r="I6" s="46"/>
      <c r="J6" s="46"/>
      <c r="K6" s="46"/>
      <c r="L6" s="46"/>
      <c r="M6" s="46"/>
      <c r="N6" s="46"/>
      <c r="O6" s="46"/>
      <c r="P6" s="46"/>
      <c r="Q6" s="46"/>
      <c r="R6" s="46"/>
      <c r="S6" s="46"/>
      <c r="T6" s="6"/>
      <c r="U6" s="6"/>
      <c r="V6" s="6"/>
      <c r="W6" s="6"/>
      <c r="X6" s="6"/>
      <c r="Y6" s="6"/>
      <c r="Z6" s="36"/>
      <c r="AA6" s="36"/>
      <c r="AB6" s="36"/>
    </row>
    <row r="7" spans="1:28" ht="15.75" thickTop="1" x14ac:dyDescent="0.25">
      <c r="A7" s="335" t="s">
        <v>150</v>
      </c>
      <c r="B7" s="336"/>
      <c r="C7" s="336"/>
      <c r="D7" s="336"/>
      <c r="E7" s="336"/>
      <c r="F7" s="336"/>
      <c r="G7" s="336"/>
      <c r="H7" s="336"/>
      <c r="I7" s="336"/>
      <c r="J7" s="336"/>
      <c r="K7" s="336"/>
      <c r="L7" s="336"/>
      <c r="M7" s="336"/>
      <c r="N7" s="336"/>
      <c r="O7" s="336"/>
      <c r="P7" s="336"/>
      <c r="Q7" s="336"/>
      <c r="R7" s="336"/>
      <c r="S7" s="337"/>
      <c r="T7" s="6"/>
      <c r="U7" s="6"/>
      <c r="Z7" s="36"/>
      <c r="AA7" s="36"/>
      <c r="AB7" s="47"/>
    </row>
    <row r="8" spans="1:28" x14ac:dyDescent="0.25">
      <c r="A8" s="37">
        <v>1</v>
      </c>
      <c r="B8" s="348" t="s">
        <v>146</v>
      </c>
      <c r="C8" s="348"/>
      <c r="D8" s="348"/>
      <c r="E8" s="348"/>
      <c r="F8" s="348"/>
      <c r="G8" s="348"/>
      <c r="H8" s="348"/>
      <c r="I8" s="348"/>
      <c r="J8" s="348"/>
      <c r="K8" s="348"/>
      <c r="L8" s="348"/>
      <c r="M8" s="348"/>
      <c r="N8" s="348"/>
      <c r="O8" s="348"/>
      <c r="P8" s="348"/>
      <c r="Q8" s="348"/>
      <c r="R8" s="269" t="s">
        <v>15</v>
      </c>
      <c r="S8" s="320"/>
      <c r="T8" s="6"/>
      <c r="U8" s="6"/>
      <c r="Z8" s="36"/>
      <c r="AA8" s="36"/>
      <c r="AB8" s="48"/>
    </row>
    <row r="9" spans="1:28" ht="15" customHeight="1" x14ac:dyDescent="0.25">
      <c r="A9" s="38" t="s">
        <v>42</v>
      </c>
      <c r="B9" s="346" t="s">
        <v>281</v>
      </c>
      <c r="C9" s="346"/>
      <c r="D9" s="346" t="s">
        <v>274</v>
      </c>
      <c r="E9" s="346"/>
      <c r="F9" s="346" t="s">
        <v>275</v>
      </c>
      <c r="G9" s="346"/>
      <c r="H9" s="346" t="s">
        <v>276</v>
      </c>
      <c r="I9" s="346"/>
      <c r="J9" s="346" t="s">
        <v>277</v>
      </c>
      <c r="K9" s="346"/>
      <c r="L9" s="346" t="s">
        <v>278</v>
      </c>
      <c r="M9" s="346"/>
      <c r="N9" s="344" t="s">
        <v>279</v>
      </c>
      <c r="O9" s="344"/>
      <c r="P9" s="344" t="s">
        <v>280</v>
      </c>
      <c r="Q9" s="344"/>
      <c r="R9" s="269"/>
      <c r="S9" s="320"/>
      <c r="T9" s="36"/>
      <c r="Z9" s="36"/>
      <c r="AA9" s="36"/>
      <c r="AB9" s="48"/>
    </row>
    <row r="10" spans="1:28" x14ac:dyDescent="0.25">
      <c r="A10" s="57" t="s">
        <v>43</v>
      </c>
      <c r="B10" s="97" t="s">
        <v>9</v>
      </c>
      <c r="C10" s="97" t="s">
        <v>10</v>
      </c>
      <c r="D10" s="97" t="s">
        <v>9</v>
      </c>
      <c r="E10" s="97" t="s">
        <v>10</v>
      </c>
      <c r="F10" s="97"/>
      <c r="G10" s="97"/>
      <c r="H10" s="97"/>
      <c r="I10" s="97"/>
      <c r="J10" s="97"/>
      <c r="K10" s="97"/>
      <c r="L10" s="97"/>
      <c r="M10" s="97"/>
      <c r="N10" s="97"/>
      <c r="O10" s="97"/>
      <c r="P10" s="97" t="s">
        <v>9</v>
      </c>
      <c r="Q10" s="97" t="s">
        <v>10</v>
      </c>
      <c r="R10" s="121" t="s">
        <v>9</v>
      </c>
      <c r="S10" s="122" t="s">
        <v>10</v>
      </c>
      <c r="T10" s="36"/>
      <c r="Z10" s="36"/>
      <c r="AA10" s="36"/>
      <c r="AB10" s="48"/>
    </row>
    <row r="11" spans="1:28" s="59" customFormat="1" ht="12.75" x14ac:dyDescent="0.2">
      <c r="A11" s="99" t="s">
        <v>68</v>
      </c>
      <c r="B11" s="157"/>
      <c r="C11" s="157"/>
      <c r="D11" s="155"/>
      <c r="E11" s="155"/>
      <c r="F11" s="157"/>
      <c r="G11" s="157"/>
      <c r="H11" s="157"/>
      <c r="I11" s="157"/>
      <c r="J11" s="157"/>
      <c r="K11" s="157"/>
      <c r="L11" s="157"/>
      <c r="M11" s="157"/>
      <c r="N11" s="157"/>
      <c r="O11" s="157"/>
      <c r="P11" s="157"/>
      <c r="Q11" s="157"/>
      <c r="R11" s="130">
        <f>P11+N11+L11+J11+H11+F11+D11+B11</f>
        <v>0</v>
      </c>
      <c r="S11" s="131">
        <f>Q11+O11+M11+K11+I11+G11+E11+C11</f>
        <v>0</v>
      </c>
      <c r="T11" s="61"/>
      <c r="Z11" s="61"/>
      <c r="AA11" s="61"/>
      <c r="AB11" s="60"/>
    </row>
    <row r="12" spans="1:28" s="59" customFormat="1" ht="12.75" x14ac:dyDescent="0.2">
      <c r="A12" s="99" t="s">
        <v>69</v>
      </c>
      <c r="B12" s="157"/>
      <c r="C12" s="157"/>
      <c r="D12" s="157"/>
      <c r="E12" s="157"/>
      <c r="F12" s="155"/>
      <c r="G12" s="155"/>
      <c r="H12" s="157"/>
      <c r="I12" s="157"/>
      <c r="J12" s="157"/>
      <c r="K12" s="157"/>
      <c r="L12" s="157"/>
      <c r="M12" s="157"/>
      <c r="N12" s="157"/>
      <c r="O12" s="157"/>
      <c r="P12" s="157"/>
      <c r="Q12" s="157"/>
      <c r="R12" s="130">
        <f t="shared" ref="R12:S14" si="0">P12+N12+L12+J12+H12+F12+D12+B12</f>
        <v>0</v>
      </c>
      <c r="S12" s="131">
        <f t="shared" si="0"/>
        <v>0</v>
      </c>
      <c r="T12" s="61"/>
      <c r="Z12" s="61"/>
      <c r="AA12" s="61"/>
      <c r="AB12" s="61"/>
    </row>
    <row r="13" spans="1:28" s="59" customFormat="1" ht="12.75" x14ac:dyDescent="0.2">
      <c r="A13" s="99" t="s">
        <v>70</v>
      </c>
      <c r="B13" s="157"/>
      <c r="C13" s="157"/>
      <c r="D13" s="157"/>
      <c r="E13" s="157"/>
      <c r="F13" s="157"/>
      <c r="G13" s="157"/>
      <c r="H13" s="155"/>
      <c r="I13" s="155"/>
      <c r="J13" s="157"/>
      <c r="K13" s="157"/>
      <c r="L13" s="157"/>
      <c r="M13" s="157"/>
      <c r="N13" s="157"/>
      <c r="O13" s="157"/>
      <c r="P13" s="157"/>
      <c r="Q13" s="157"/>
      <c r="R13" s="130">
        <f t="shared" si="0"/>
        <v>0</v>
      </c>
      <c r="S13" s="131">
        <f t="shared" si="0"/>
        <v>0</v>
      </c>
      <c r="T13" s="61"/>
      <c r="Z13" s="61"/>
      <c r="AA13" s="61"/>
      <c r="AB13" s="61"/>
    </row>
    <row r="14" spans="1:28" s="59" customFormat="1" ht="12.75" x14ac:dyDescent="0.2">
      <c r="A14" s="99" t="s">
        <v>71</v>
      </c>
      <c r="B14" s="157"/>
      <c r="C14" s="157"/>
      <c r="D14" s="157"/>
      <c r="E14" s="157"/>
      <c r="F14" s="157"/>
      <c r="G14" s="157"/>
      <c r="H14" s="157"/>
      <c r="I14" s="157"/>
      <c r="J14" s="155"/>
      <c r="K14" s="155"/>
      <c r="L14" s="157"/>
      <c r="M14" s="157"/>
      <c r="N14" s="157"/>
      <c r="O14" s="157"/>
      <c r="P14" s="157"/>
      <c r="Q14" s="157"/>
      <c r="R14" s="130">
        <f t="shared" si="0"/>
        <v>0</v>
      </c>
      <c r="S14" s="131">
        <f t="shared" si="0"/>
        <v>0</v>
      </c>
      <c r="T14" s="61"/>
      <c r="Z14" s="61"/>
      <c r="AA14" s="61"/>
      <c r="AB14" s="61"/>
    </row>
    <row r="15" spans="1:28" s="59" customFormat="1" ht="13.5" thickBot="1" x14ac:dyDescent="0.25">
      <c r="A15" s="65" t="s">
        <v>15</v>
      </c>
      <c r="B15" s="132">
        <f>SUM(B11:B14)</f>
        <v>0</v>
      </c>
      <c r="C15" s="132">
        <f t="shared" ref="C15:S15" si="1">SUM(C11:C14)</f>
        <v>0</v>
      </c>
      <c r="D15" s="132">
        <f t="shared" si="1"/>
        <v>0</v>
      </c>
      <c r="E15" s="132">
        <f t="shared" si="1"/>
        <v>0</v>
      </c>
      <c r="F15" s="132">
        <f t="shared" si="1"/>
        <v>0</v>
      </c>
      <c r="G15" s="132">
        <f t="shared" si="1"/>
        <v>0</v>
      </c>
      <c r="H15" s="132">
        <f t="shared" si="1"/>
        <v>0</v>
      </c>
      <c r="I15" s="132">
        <f t="shared" si="1"/>
        <v>0</v>
      </c>
      <c r="J15" s="132">
        <f t="shared" si="1"/>
        <v>0</v>
      </c>
      <c r="K15" s="132">
        <f t="shared" si="1"/>
        <v>0</v>
      </c>
      <c r="L15" s="132">
        <f t="shared" si="1"/>
        <v>0</v>
      </c>
      <c r="M15" s="132">
        <f t="shared" si="1"/>
        <v>0</v>
      </c>
      <c r="N15" s="132">
        <f t="shared" si="1"/>
        <v>0</v>
      </c>
      <c r="O15" s="132">
        <f t="shared" si="1"/>
        <v>0</v>
      </c>
      <c r="P15" s="132">
        <f t="shared" si="1"/>
        <v>0</v>
      </c>
      <c r="Q15" s="132">
        <f t="shared" si="1"/>
        <v>0</v>
      </c>
      <c r="R15" s="132">
        <f t="shared" si="1"/>
        <v>0</v>
      </c>
      <c r="S15" s="133">
        <f t="shared" si="1"/>
        <v>0</v>
      </c>
      <c r="T15" s="61"/>
      <c r="Z15" s="61"/>
      <c r="AA15" s="61"/>
      <c r="AB15" s="61"/>
    </row>
    <row r="16" spans="1:28" ht="4.5" customHeight="1" thickTop="1" x14ac:dyDescent="0.25">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28" ht="10.5" customHeight="1" thickBot="1" x14ac:dyDescent="0.3">
      <c r="A17" s="10" t="s">
        <v>1115</v>
      </c>
      <c r="B17" s="36"/>
      <c r="C17" s="36"/>
      <c r="D17" s="36"/>
      <c r="E17" s="36"/>
      <c r="F17" s="36"/>
      <c r="G17" s="36"/>
      <c r="H17" s="36"/>
      <c r="I17" s="36"/>
      <c r="J17" s="36"/>
      <c r="K17" s="36"/>
      <c r="L17" s="36"/>
      <c r="M17" s="36"/>
      <c r="N17" s="36"/>
      <c r="O17" s="36"/>
      <c r="P17" s="36"/>
      <c r="Q17" s="36"/>
      <c r="R17" s="36"/>
      <c r="S17" s="36"/>
      <c r="T17" s="36"/>
      <c r="U17" s="6"/>
      <c r="V17" s="6"/>
      <c r="W17" s="6"/>
      <c r="X17" s="36"/>
      <c r="Y17" s="36"/>
      <c r="Z17" s="36"/>
      <c r="AA17" s="36"/>
      <c r="AB17" s="36"/>
    </row>
    <row r="18" spans="1:28" ht="18.75" customHeight="1" thickTop="1" x14ac:dyDescent="0.25">
      <c r="A18" s="354" t="s">
        <v>1179</v>
      </c>
      <c r="B18" s="355"/>
      <c r="C18" s="355"/>
      <c r="D18" s="355"/>
      <c r="E18" s="355"/>
      <c r="F18" s="355"/>
      <c r="G18" s="355"/>
      <c r="H18" s="355"/>
      <c r="I18" s="356"/>
      <c r="J18" s="36"/>
      <c r="K18" s="36"/>
      <c r="L18" s="36"/>
      <c r="M18" s="36"/>
      <c r="N18" s="36"/>
      <c r="O18" s="36"/>
      <c r="P18" s="36"/>
      <c r="Q18" s="36"/>
      <c r="R18" s="36"/>
      <c r="S18" s="36"/>
      <c r="T18" s="36"/>
      <c r="U18" s="6"/>
      <c r="V18" s="6"/>
      <c r="W18" s="6"/>
      <c r="X18" s="36"/>
      <c r="Y18" s="36"/>
      <c r="Z18" s="36"/>
      <c r="AA18" s="36"/>
      <c r="AB18" s="36"/>
    </row>
    <row r="19" spans="1:28" x14ac:dyDescent="0.25">
      <c r="A19" s="375" t="s">
        <v>1115</v>
      </c>
      <c r="B19" s="376"/>
      <c r="C19" s="376"/>
      <c r="D19" s="376"/>
      <c r="E19" s="377"/>
      <c r="F19" s="378" t="s">
        <v>9</v>
      </c>
      <c r="G19" s="379"/>
      <c r="H19" s="378" t="s">
        <v>10</v>
      </c>
      <c r="I19" s="380"/>
      <c r="J19" s="36"/>
      <c r="K19" s="36"/>
      <c r="L19" s="36"/>
      <c r="M19" s="36"/>
      <c r="N19" s="36"/>
      <c r="O19" s="36"/>
      <c r="P19" s="36"/>
      <c r="Q19" s="36"/>
      <c r="R19" s="36"/>
      <c r="S19" s="36"/>
      <c r="T19" s="36"/>
      <c r="U19" s="6"/>
      <c r="V19" s="6"/>
      <c r="W19" s="6"/>
      <c r="X19" s="36"/>
      <c r="Y19" s="36"/>
      <c r="Z19" s="36"/>
      <c r="AA19" s="36"/>
      <c r="AB19" s="36"/>
    </row>
    <row r="20" spans="1:28" x14ac:dyDescent="0.25">
      <c r="A20" s="363" t="s">
        <v>148</v>
      </c>
      <c r="B20" s="364"/>
      <c r="C20" s="364"/>
      <c r="D20" s="364"/>
      <c r="E20" s="365"/>
      <c r="F20" s="366"/>
      <c r="G20" s="367"/>
      <c r="H20" s="381"/>
      <c r="I20" s="382"/>
      <c r="J20" s="36"/>
      <c r="K20" s="36"/>
      <c r="L20" s="36"/>
      <c r="M20" s="36"/>
      <c r="N20" s="36"/>
      <c r="O20" s="36"/>
      <c r="P20" s="36"/>
      <c r="Q20" s="36"/>
      <c r="R20" s="36"/>
      <c r="S20" s="36"/>
      <c r="T20" s="36"/>
      <c r="U20" s="6"/>
      <c r="V20" s="6"/>
      <c r="W20" s="6"/>
      <c r="X20" s="36"/>
      <c r="Y20" s="36"/>
      <c r="Z20" s="36"/>
      <c r="AA20" s="36"/>
      <c r="AB20" s="36"/>
    </row>
    <row r="21" spans="1:28" x14ac:dyDescent="0.25">
      <c r="A21" s="363" t="s">
        <v>1177</v>
      </c>
      <c r="B21" s="364"/>
      <c r="C21" s="364"/>
      <c r="D21" s="364"/>
      <c r="E21" s="365"/>
      <c r="F21" s="366"/>
      <c r="G21" s="367"/>
      <c r="H21" s="366"/>
      <c r="I21" s="368"/>
      <c r="J21" s="36"/>
      <c r="K21" s="36"/>
      <c r="L21" s="36"/>
      <c r="M21" s="36"/>
      <c r="N21" s="36"/>
      <c r="O21" s="36"/>
      <c r="P21" s="36"/>
      <c r="Q21" s="36"/>
      <c r="R21" s="36"/>
      <c r="S21" s="36"/>
      <c r="T21" s="36"/>
      <c r="U21" s="6"/>
      <c r="V21" s="6"/>
      <c r="W21" s="6"/>
      <c r="X21" s="36"/>
      <c r="Y21" s="36"/>
      <c r="Z21" s="36"/>
      <c r="AA21" s="36"/>
      <c r="AB21" s="36"/>
    </row>
    <row r="22" spans="1:28" ht="15.75" customHeight="1" thickBot="1" x14ac:dyDescent="0.3">
      <c r="A22" s="369" t="s">
        <v>1178</v>
      </c>
      <c r="B22" s="370"/>
      <c r="C22" s="370"/>
      <c r="D22" s="370"/>
      <c r="E22" s="371"/>
      <c r="F22" s="372"/>
      <c r="G22" s="373"/>
      <c r="H22" s="372"/>
      <c r="I22" s="374"/>
      <c r="J22" s="36"/>
      <c r="K22" s="36"/>
      <c r="L22" s="36"/>
      <c r="M22" s="36"/>
      <c r="N22" s="36"/>
      <c r="O22" s="36"/>
      <c r="P22" s="36"/>
      <c r="Q22" s="36"/>
      <c r="R22" s="36"/>
      <c r="S22" s="36"/>
      <c r="T22" s="36"/>
      <c r="U22" s="6"/>
      <c r="V22" s="6"/>
      <c r="W22" s="6"/>
      <c r="X22" s="36"/>
      <c r="Y22" s="36"/>
      <c r="Z22" s="36"/>
      <c r="AA22" s="36"/>
      <c r="AB22" s="36"/>
    </row>
    <row r="23" spans="1:28" ht="12" customHeight="1" thickTop="1" thickBot="1" x14ac:dyDescent="0.3">
      <c r="A23" s="10" t="s">
        <v>1115</v>
      </c>
      <c r="B23" s="36"/>
      <c r="C23" s="36"/>
      <c r="D23" s="36"/>
      <c r="E23" s="36"/>
      <c r="F23" s="36"/>
      <c r="G23" s="36"/>
      <c r="H23" s="36"/>
      <c r="I23" s="36"/>
      <c r="J23" s="36"/>
      <c r="K23" s="36"/>
      <c r="L23" s="36"/>
      <c r="M23" s="36"/>
      <c r="N23" s="36"/>
      <c r="O23" s="36"/>
      <c r="P23" s="36"/>
      <c r="Q23" s="36"/>
      <c r="R23" s="36"/>
      <c r="S23" s="36"/>
      <c r="T23" s="36"/>
      <c r="U23" s="6"/>
      <c r="V23" s="6"/>
      <c r="W23" s="6"/>
      <c r="X23" s="36"/>
      <c r="Y23" s="36"/>
      <c r="Z23" s="36"/>
      <c r="AA23" s="36"/>
      <c r="AB23" s="36"/>
    </row>
    <row r="24" spans="1:28" ht="15.75" thickTop="1" x14ac:dyDescent="0.25">
      <c r="A24" s="383" t="s">
        <v>1113</v>
      </c>
      <c r="B24" s="384"/>
      <c r="C24" s="384"/>
      <c r="D24" s="384"/>
      <c r="E24" s="384"/>
      <c r="F24" s="384"/>
      <c r="G24" s="384"/>
      <c r="H24" s="384"/>
      <c r="I24" s="384"/>
      <c r="J24" s="384"/>
      <c r="K24" s="384"/>
      <c r="L24" s="384"/>
      <c r="M24" s="384"/>
      <c r="N24" s="384"/>
      <c r="O24" s="384"/>
      <c r="P24" s="384"/>
      <c r="Q24" s="385"/>
      <c r="R24" s="36"/>
      <c r="AB24" s="36"/>
    </row>
    <row r="25" spans="1:28" x14ac:dyDescent="0.25">
      <c r="A25" s="50">
        <v>1</v>
      </c>
      <c r="B25" s="348" t="s">
        <v>77</v>
      </c>
      <c r="C25" s="348"/>
      <c r="D25" s="348"/>
      <c r="E25" s="348"/>
      <c r="F25" s="348"/>
      <c r="G25" s="348"/>
      <c r="H25" s="348"/>
      <c r="I25" s="348"/>
      <c r="J25" s="348"/>
      <c r="K25" s="348"/>
      <c r="L25" s="348"/>
      <c r="M25" s="348"/>
      <c r="N25" s="348"/>
      <c r="O25" s="348"/>
      <c r="P25" s="269" t="s">
        <v>15</v>
      </c>
      <c r="Q25" s="320"/>
      <c r="R25" s="36"/>
      <c r="AB25" s="36"/>
    </row>
    <row r="26" spans="1:28" x14ac:dyDescent="0.25">
      <c r="A26" s="38" t="s">
        <v>42</v>
      </c>
      <c r="B26" s="346" t="s">
        <v>274</v>
      </c>
      <c r="C26" s="346"/>
      <c r="D26" s="346" t="s">
        <v>275</v>
      </c>
      <c r="E26" s="346"/>
      <c r="F26" s="346" t="s">
        <v>276</v>
      </c>
      <c r="G26" s="346"/>
      <c r="H26" s="346" t="s">
        <v>277</v>
      </c>
      <c r="I26" s="346"/>
      <c r="J26" s="346" t="s">
        <v>278</v>
      </c>
      <c r="K26" s="346"/>
      <c r="L26" s="344" t="s">
        <v>279</v>
      </c>
      <c r="M26" s="344"/>
      <c r="N26" s="344" t="s">
        <v>280</v>
      </c>
      <c r="O26" s="344"/>
      <c r="P26" s="269"/>
      <c r="Q26" s="320"/>
      <c r="R26" s="36"/>
      <c r="AB26" s="36"/>
    </row>
    <row r="27" spans="1:28" x14ac:dyDescent="0.25">
      <c r="A27" s="57" t="s">
        <v>43</v>
      </c>
      <c r="B27" s="97" t="s">
        <v>9</v>
      </c>
      <c r="C27" s="97" t="s">
        <v>10</v>
      </c>
      <c r="D27" s="97" t="s">
        <v>9</v>
      </c>
      <c r="E27" s="97" t="s">
        <v>10</v>
      </c>
      <c r="F27" s="97" t="s">
        <v>9</v>
      </c>
      <c r="G27" s="97" t="s">
        <v>10</v>
      </c>
      <c r="H27" s="97" t="s">
        <v>9</v>
      </c>
      <c r="I27" s="97" t="s">
        <v>10</v>
      </c>
      <c r="J27" s="97" t="s">
        <v>9</v>
      </c>
      <c r="K27" s="97" t="s">
        <v>10</v>
      </c>
      <c r="L27" s="97" t="s">
        <v>9</v>
      </c>
      <c r="M27" s="97" t="s">
        <v>10</v>
      </c>
      <c r="N27" s="97" t="s">
        <v>44</v>
      </c>
      <c r="O27" s="97" t="s">
        <v>10</v>
      </c>
      <c r="P27" s="117" t="s">
        <v>9</v>
      </c>
      <c r="Q27" s="120" t="s">
        <v>10</v>
      </c>
      <c r="R27" s="36"/>
      <c r="AB27" s="36"/>
    </row>
    <row r="28" spans="1:28" s="59" customFormat="1" ht="12.75" x14ac:dyDescent="0.2">
      <c r="A28" s="99" t="s">
        <v>68</v>
      </c>
      <c r="B28" s="157"/>
      <c r="C28" s="157"/>
      <c r="D28" s="155"/>
      <c r="E28" s="155"/>
      <c r="F28" s="157"/>
      <c r="G28" s="157"/>
      <c r="H28" s="157"/>
      <c r="I28" s="157"/>
      <c r="J28" s="157"/>
      <c r="K28" s="157"/>
      <c r="L28" s="157"/>
      <c r="M28" s="157"/>
      <c r="N28" s="157"/>
      <c r="O28" s="157"/>
      <c r="P28" s="134">
        <f>N28+L28+J28+H28+F28+D28+B28</f>
        <v>0</v>
      </c>
      <c r="Q28" s="135">
        <f>O28+M28+K28+I28+G28+E28+C28</f>
        <v>0</v>
      </c>
      <c r="R28" s="61"/>
      <c r="AB28" s="61"/>
    </row>
    <row r="29" spans="1:28" s="59" customFormat="1" ht="12.75" x14ac:dyDescent="0.2">
      <c r="A29" s="99" t="s">
        <v>69</v>
      </c>
      <c r="B29" s="157"/>
      <c r="C29" s="157"/>
      <c r="D29" s="157"/>
      <c r="E29" s="157"/>
      <c r="F29" s="155"/>
      <c r="G29" s="155"/>
      <c r="H29" s="157"/>
      <c r="I29" s="157"/>
      <c r="J29" s="157"/>
      <c r="K29" s="157"/>
      <c r="L29" s="157"/>
      <c r="M29" s="157"/>
      <c r="N29" s="157"/>
      <c r="O29" s="157"/>
      <c r="P29" s="134">
        <f t="shared" ref="P29:Q31" si="2">N29+L29+J29+H29+F29+D29+B29</f>
        <v>0</v>
      </c>
      <c r="Q29" s="135">
        <f t="shared" si="2"/>
        <v>0</v>
      </c>
      <c r="R29" s="61"/>
      <c r="AB29" s="61"/>
    </row>
    <row r="30" spans="1:28" s="59" customFormat="1" ht="12.75" x14ac:dyDescent="0.2">
      <c r="A30" s="99" t="s">
        <v>70</v>
      </c>
      <c r="B30" s="157"/>
      <c r="C30" s="157"/>
      <c r="D30" s="157"/>
      <c r="E30" s="157"/>
      <c r="F30" s="157"/>
      <c r="G30" s="157"/>
      <c r="H30" s="155"/>
      <c r="I30" s="155"/>
      <c r="J30" s="157"/>
      <c r="K30" s="157"/>
      <c r="L30" s="157"/>
      <c r="M30" s="157"/>
      <c r="N30" s="157"/>
      <c r="O30" s="157"/>
      <c r="P30" s="134">
        <f t="shared" si="2"/>
        <v>0</v>
      </c>
      <c r="Q30" s="135">
        <f t="shared" si="2"/>
        <v>0</v>
      </c>
      <c r="R30" s="61"/>
      <c r="AB30" s="61"/>
    </row>
    <row r="31" spans="1:28" s="59" customFormat="1" ht="12.75" x14ac:dyDescent="0.2">
      <c r="A31" s="99" t="s">
        <v>71</v>
      </c>
      <c r="B31" s="157"/>
      <c r="C31" s="157"/>
      <c r="D31" s="157"/>
      <c r="E31" s="157"/>
      <c r="F31" s="157"/>
      <c r="G31" s="157"/>
      <c r="H31" s="157"/>
      <c r="I31" s="157"/>
      <c r="J31" s="155"/>
      <c r="K31" s="155"/>
      <c r="L31" s="157"/>
      <c r="M31" s="157"/>
      <c r="N31" s="157"/>
      <c r="O31" s="157"/>
      <c r="P31" s="134">
        <f t="shared" si="2"/>
        <v>0</v>
      </c>
      <c r="Q31" s="135">
        <f t="shared" si="2"/>
        <v>0</v>
      </c>
      <c r="R31" s="61"/>
      <c r="AB31" s="61"/>
    </row>
    <row r="32" spans="1:28" s="59" customFormat="1" ht="13.5" thickBot="1" x14ac:dyDescent="0.25">
      <c r="A32" s="126" t="s">
        <v>15</v>
      </c>
      <c r="B32" s="132">
        <f>SUM(B28:B31)</f>
        <v>0</v>
      </c>
      <c r="C32" s="132">
        <f t="shared" ref="C32:Q32" si="3">SUM(C28:C31)</f>
        <v>0</v>
      </c>
      <c r="D32" s="132">
        <f t="shared" si="3"/>
        <v>0</v>
      </c>
      <c r="E32" s="132">
        <f t="shared" si="3"/>
        <v>0</v>
      </c>
      <c r="F32" s="132">
        <f t="shared" si="3"/>
        <v>0</v>
      </c>
      <c r="G32" s="132">
        <f t="shared" si="3"/>
        <v>0</v>
      </c>
      <c r="H32" s="132">
        <f t="shared" si="3"/>
        <v>0</v>
      </c>
      <c r="I32" s="132">
        <f t="shared" si="3"/>
        <v>0</v>
      </c>
      <c r="J32" s="132">
        <f t="shared" si="3"/>
        <v>0</v>
      </c>
      <c r="K32" s="132">
        <f t="shared" si="3"/>
        <v>0</v>
      </c>
      <c r="L32" s="132">
        <f t="shared" si="3"/>
        <v>0</v>
      </c>
      <c r="M32" s="132">
        <f t="shared" si="3"/>
        <v>0</v>
      </c>
      <c r="N32" s="132">
        <f t="shared" si="3"/>
        <v>0</v>
      </c>
      <c r="O32" s="132">
        <f t="shared" si="3"/>
        <v>0</v>
      </c>
      <c r="P32" s="132">
        <f t="shared" si="3"/>
        <v>0</v>
      </c>
      <c r="Q32" s="133">
        <f t="shared" si="3"/>
        <v>0</v>
      </c>
      <c r="R32" s="61"/>
      <c r="AB32" s="61"/>
    </row>
    <row r="33" spans="1:28" ht="14.25" customHeight="1" thickTop="1" thickBot="1" x14ac:dyDescent="0.3">
      <c r="A33" s="39">
        <v>1</v>
      </c>
      <c r="B33" s="36"/>
      <c r="C33" s="36"/>
      <c r="D33" s="36"/>
      <c r="E33" s="36"/>
      <c r="F33" s="36"/>
      <c r="G33" s="36"/>
      <c r="H33" s="36"/>
      <c r="I33" s="36"/>
      <c r="J33" s="36"/>
      <c r="K33" s="36"/>
      <c r="L33" s="36"/>
      <c r="M33" s="36"/>
      <c r="N33" s="36"/>
      <c r="O33" s="36"/>
      <c r="P33" s="36"/>
      <c r="Q33" s="36"/>
      <c r="R33" s="36"/>
      <c r="S33" s="36"/>
      <c r="T33" s="36"/>
      <c r="U33" s="36"/>
      <c r="V33" s="36"/>
      <c r="W33" s="36"/>
      <c r="X33" s="36"/>
      <c r="Y33" s="123"/>
      <c r="Z33" s="56"/>
      <c r="AA33" s="56"/>
      <c r="AB33" s="56"/>
    </row>
    <row r="34" spans="1:28" ht="15.75" customHeight="1" thickTop="1" x14ac:dyDescent="0.25">
      <c r="A34" s="386" t="s">
        <v>1114</v>
      </c>
      <c r="B34" s="384"/>
      <c r="C34" s="384"/>
      <c r="D34" s="384"/>
      <c r="E34" s="384"/>
      <c r="F34" s="384"/>
      <c r="G34" s="384"/>
      <c r="H34" s="384"/>
      <c r="I34" s="384"/>
      <c r="J34" s="384"/>
      <c r="K34" s="384"/>
      <c r="L34" s="384"/>
      <c r="M34" s="384"/>
      <c r="N34" s="384"/>
      <c r="O34" s="385"/>
      <c r="P34" s="36"/>
      <c r="Q34" s="36"/>
      <c r="R34" s="36"/>
      <c r="S34" s="36"/>
      <c r="T34" s="59"/>
      <c r="U34" s="59"/>
      <c r="V34" s="59"/>
      <c r="W34" s="59"/>
      <c r="X34" s="59"/>
      <c r="Y34" s="123"/>
      <c r="Z34" s="56"/>
      <c r="AA34" s="56"/>
      <c r="AB34" s="56"/>
    </row>
    <row r="35" spans="1:28" ht="15.75" customHeight="1" x14ac:dyDescent="0.25">
      <c r="A35" s="105">
        <v>1</v>
      </c>
      <c r="B35" s="346" t="s">
        <v>1443</v>
      </c>
      <c r="C35" s="346"/>
      <c r="D35" s="346"/>
      <c r="E35" s="346"/>
      <c r="F35" s="346" t="s">
        <v>1444</v>
      </c>
      <c r="G35" s="346"/>
      <c r="H35" s="346"/>
      <c r="I35" s="346"/>
      <c r="J35" s="346" t="s">
        <v>1445</v>
      </c>
      <c r="K35" s="346"/>
      <c r="L35" s="346"/>
      <c r="M35" s="346"/>
      <c r="N35" s="247" t="s">
        <v>1447</v>
      </c>
      <c r="O35" s="387"/>
      <c r="P35" s="36"/>
      <c r="Q35" s="36"/>
      <c r="R35" s="36"/>
      <c r="S35" s="36"/>
      <c r="T35" s="59"/>
      <c r="U35" s="59"/>
      <c r="V35" s="59"/>
      <c r="W35" s="59"/>
      <c r="X35" s="59"/>
      <c r="Y35" s="123"/>
      <c r="Z35" s="56"/>
      <c r="AA35" s="56"/>
      <c r="AB35" s="56"/>
    </row>
    <row r="36" spans="1:28" ht="15.75" customHeight="1" x14ac:dyDescent="0.25">
      <c r="A36" s="106">
        <v>1</v>
      </c>
      <c r="B36" s="346" t="s">
        <v>1448</v>
      </c>
      <c r="C36" s="346"/>
      <c r="D36" s="346" t="s">
        <v>262</v>
      </c>
      <c r="E36" s="346"/>
      <c r="F36" s="346" t="s">
        <v>1448</v>
      </c>
      <c r="G36" s="346"/>
      <c r="H36" s="346" t="s">
        <v>262</v>
      </c>
      <c r="I36" s="346"/>
      <c r="J36" s="346" t="s">
        <v>1448</v>
      </c>
      <c r="K36" s="346"/>
      <c r="L36" s="346" t="s">
        <v>262</v>
      </c>
      <c r="M36" s="346"/>
      <c r="N36" s="247"/>
      <c r="O36" s="387"/>
      <c r="P36" s="36"/>
      <c r="Q36" s="36"/>
      <c r="R36" s="36"/>
      <c r="S36" s="36"/>
      <c r="T36" s="59"/>
      <c r="U36" s="59"/>
      <c r="V36" s="59"/>
      <c r="W36" s="59"/>
      <c r="X36" s="59"/>
      <c r="Y36" s="123"/>
      <c r="Z36" s="56"/>
      <c r="AA36" s="56"/>
      <c r="AB36" s="56"/>
    </row>
    <row r="37" spans="1:28" ht="15.75" customHeight="1" x14ac:dyDescent="0.25">
      <c r="A37" s="124" t="s">
        <v>68</v>
      </c>
      <c r="B37" s="324"/>
      <c r="C37" s="324"/>
      <c r="D37" s="325"/>
      <c r="E37" s="326"/>
      <c r="F37" s="324"/>
      <c r="G37" s="324"/>
      <c r="H37" s="325"/>
      <c r="I37" s="326"/>
      <c r="J37" s="324"/>
      <c r="K37" s="324"/>
      <c r="L37" s="325"/>
      <c r="M37" s="326"/>
      <c r="N37" s="210">
        <f t="shared" ref="N37:N38" si="4">B37+F37+J37</f>
        <v>0</v>
      </c>
      <c r="O37" s="327"/>
      <c r="P37" s="35">
        <f>D37+H37+L37</f>
        <v>0</v>
      </c>
      <c r="Q37" s="36"/>
      <c r="R37" s="36"/>
      <c r="S37" s="36"/>
      <c r="T37" s="59"/>
      <c r="U37" s="59"/>
      <c r="V37" s="59"/>
      <c r="W37" s="59"/>
      <c r="X37" s="59"/>
      <c r="Y37" s="123"/>
      <c r="Z37" s="56"/>
      <c r="AA37" s="56"/>
      <c r="AB37" s="56"/>
    </row>
    <row r="38" spans="1:28" ht="15.75" customHeight="1" x14ac:dyDescent="0.25">
      <c r="A38" s="124" t="s">
        <v>69</v>
      </c>
      <c r="B38" s="324"/>
      <c r="C38" s="324"/>
      <c r="D38" s="325"/>
      <c r="E38" s="326"/>
      <c r="F38" s="324"/>
      <c r="G38" s="324"/>
      <c r="H38" s="325"/>
      <c r="I38" s="326"/>
      <c r="J38" s="324"/>
      <c r="K38" s="324"/>
      <c r="L38" s="325"/>
      <c r="M38" s="326"/>
      <c r="N38" s="210">
        <f t="shared" si="4"/>
        <v>0</v>
      </c>
      <c r="O38" s="327"/>
      <c r="P38" s="35">
        <f t="shared" ref="P38:P40" si="5">D38+H38+L38</f>
        <v>0</v>
      </c>
      <c r="Q38" s="36"/>
      <c r="R38" s="36"/>
      <c r="S38" s="36"/>
      <c r="T38" s="59"/>
      <c r="U38" s="59"/>
      <c r="V38" s="59"/>
      <c r="W38" s="59"/>
      <c r="X38" s="59"/>
      <c r="Y38" s="123"/>
      <c r="Z38" s="56"/>
      <c r="AA38" s="56"/>
      <c r="AB38" s="56"/>
    </row>
    <row r="39" spans="1:28" ht="15.75" customHeight="1" x14ac:dyDescent="0.25">
      <c r="A39" s="124" t="s">
        <v>70</v>
      </c>
      <c r="B39" s="324"/>
      <c r="C39" s="324"/>
      <c r="D39" s="324"/>
      <c r="E39" s="324"/>
      <c r="F39" s="324"/>
      <c r="G39" s="324"/>
      <c r="H39" s="324"/>
      <c r="I39" s="324"/>
      <c r="J39" s="324"/>
      <c r="K39" s="324"/>
      <c r="L39" s="324"/>
      <c r="M39" s="324"/>
      <c r="N39" s="210">
        <f>B39+F39+J39</f>
        <v>0</v>
      </c>
      <c r="O39" s="327">
        <f>C39+G39+K39</f>
        <v>0</v>
      </c>
      <c r="P39" s="35">
        <f t="shared" si="5"/>
        <v>0</v>
      </c>
      <c r="Q39" s="36"/>
      <c r="R39" s="36"/>
      <c r="S39" s="36"/>
      <c r="T39" s="59"/>
      <c r="U39" s="59"/>
      <c r="V39" s="59"/>
      <c r="W39" s="59"/>
      <c r="X39" s="59"/>
      <c r="Y39" s="123"/>
      <c r="Z39" s="56"/>
      <c r="AA39" s="56"/>
      <c r="AB39" s="56"/>
    </row>
    <row r="40" spans="1:28" ht="14.25" customHeight="1" x14ac:dyDescent="0.25">
      <c r="A40" s="124" t="s">
        <v>71</v>
      </c>
      <c r="B40" s="324"/>
      <c r="C40" s="324"/>
      <c r="D40" s="324"/>
      <c r="E40" s="324"/>
      <c r="F40" s="324"/>
      <c r="G40" s="324"/>
      <c r="H40" s="324"/>
      <c r="I40" s="324"/>
      <c r="J40" s="324"/>
      <c r="K40" s="324"/>
      <c r="L40" s="324"/>
      <c r="M40" s="324"/>
      <c r="N40" s="210">
        <f>B40+F40+J40</f>
        <v>0</v>
      </c>
      <c r="O40" s="327">
        <f>C40+G40+K40</f>
        <v>0</v>
      </c>
      <c r="P40" s="35">
        <f t="shared" si="5"/>
        <v>0</v>
      </c>
      <c r="Q40" s="36"/>
      <c r="R40" s="36"/>
      <c r="S40" s="36"/>
      <c r="T40" s="59"/>
      <c r="U40" s="59"/>
      <c r="V40" s="59"/>
      <c r="W40" s="59"/>
      <c r="X40" s="59"/>
      <c r="Y40" s="123"/>
      <c r="Z40" s="56"/>
      <c r="AA40" s="56"/>
      <c r="AB40" s="56"/>
    </row>
    <row r="41" spans="1:28" ht="15.75" customHeight="1" thickBot="1" x14ac:dyDescent="0.3">
      <c r="A41" s="126" t="s">
        <v>15</v>
      </c>
      <c r="B41" s="328">
        <f>SUM(B37:C40)</f>
        <v>0</v>
      </c>
      <c r="C41" s="328"/>
      <c r="D41" s="329"/>
      <c r="E41" s="329"/>
      <c r="F41" s="328">
        <f>SUM(F37:G40)</f>
        <v>0</v>
      </c>
      <c r="G41" s="328"/>
      <c r="H41" s="329"/>
      <c r="I41" s="329"/>
      <c r="J41" s="328">
        <f>SUM(J37:K40)</f>
        <v>0</v>
      </c>
      <c r="K41" s="328"/>
      <c r="L41" s="329"/>
      <c r="M41" s="329"/>
      <c r="N41" s="328">
        <f>SUM(N37:O40)</f>
        <v>0</v>
      </c>
      <c r="O41" s="345">
        <f>SUM(O37:O40)</f>
        <v>0</v>
      </c>
      <c r="P41" s="36"/>
      <c r="Q41" s="36"/>
      <c r="R41" s="36"/>
      <c r="S41" s="36"/>
      <c r="T41" s="59"/>
      <c r="U41" s="59"/>
      <c r="V41" s="59"/>
      <c r="W41" s="59"/>
      <c r="X41" s="59"/>
      <c r="Y41" s="123"/>
      <c r="Z41" s="56"/>
      <c r="AA41" s="56"/>
      <c r="AB41" s="56"/>
    </row>
    <row r="42" spans="1:28" ht="15.75" customHeight="1" thickTop="1" thickBot="1" x14ac:dyDescent="0.3">
      <c r="A42" s="39" t="s">
        <v>1115</v>
      </c>
      <c r="B42" s="36"/>
      <c r="C42" s="36"/>
      <c r="D42" s="36"/>
      <c r="E42" s="36"/>
      <c r="F42" s="36"/>
      <c r="G42" s="36"/>
      <c r="H42" s="36"/>
      <c r="I42" s="36"/>
      <c r="J42" s="36"/>
      <c r="K42" s="36"/>
      <c r="L42" s="36"/>
      <c r="M42" s="36"/>
      <c r="N42" s="36"/>
      <c r="O42" s="36"/>
      <c r="P42" s="36"/>
      <c r="Q42" s="36"/>
      <c r="R42" s="36"/>
      <c r="S42" s="36"/>
      <c r="T42" s="59"/>
      <c r="U42" s="59"/>
      <c r="V42" s="59"/>
      <c r="W42" s="59"/>
      <c r="X42" s="59"/>
      <c r="Y42" s="123"/>
      <c r="Z42" s="56"/>
      <c r="AA42" s="56"/>
      <c r="AB42" s="56"/>
    </row>
    <row r="43" spans="1:28" ht="15.75" customHeight="1" thickTop="1" x14ac:dyDescent="0.25">
      <c r="A43" s="330" t="s">
        <v>46</v>
      </c>
      <c r="B43" s="331"/>
      <c r="C43" s="331"/>
      <c r="D43" s="331"/>
      <c r="E43" s="331"/>
      <c r="F43" s="331"/>
      <c r="G43" s="331"/>
      <c r="H43" s="331"/>
      <c r="I43" s="331"/>
      <c r="J43" s="331"/>
      <c r="K43" s="332"/>
      <c r="L43" s="36"/>
      <c r="M43" s="36"/>
      <c r="N43" s="36"/>
      <c r="O43" s="36"/>
      <c r="P43" s="36"/>
      <c r="Q43" s="36"/>
      <c r="R43" s="36"/>
      <c r="S43" s="36"/>
      <c r="T43" s="36"/>
      <c r="U43" s="36"/>
      <c r="V43" s="36"/>
      <c r="W43" s="36"/>
      <c r="X43" s="36"/>
      <c r="Y43" s="123"/>
      <c r="Z43" s="56"/>
      <c r="AA43" s="56"/>
      <c r="AB43" s="56"/>
    </row>
    <row r="44" spans="1:28" ht="15.75" customHeight="1" x14ac:dyDescent="0.25">
      <c r="A44" s="101" t="s">
        <v>1115</v>
      </c>
      <c r="B44" s="344" t="s">
        <v>47</v>
      </c>
      <c r="C44" s="344"/>
      <c r="D44" s="344" t="s">
        <v>48</v>
      </c>
      <c r="E44" s="344"/>
      <c r="F44" s="344" t="s">
        <v>49</v>
      </c>
      <c r="G44" s="344"/>
      <c r="H44" s="344" t="s">
        <v>50</v>
      </c>
      <c r="I44" s="344"/>
      <c r="J44" s="269" t="s">
        <v>15</v>
      </c>
      <c r="K44" s="320"/>
      <c r="L44" s="36"/>
      <c r="M44" s="36"/>
      <c r="N44" s="36"/>
      <c r="O44" s="36"/>
      <c r="P44" s="36"/>
      <c r="Q44" s="36"/>
      <c r="R44" s="36"/>
      <c r="S44" s="36"/>
      <c r="T44" s="36"/>
      <c r="U44" s="36"/>
      <c r="V44" s="36"/>
      <c r="W44" s="36"/>
      <c r="X44" s="36"/>
      <c r="Y44" s="123"/>
      <c r="Z44" s="56"/>
      <c r="AA44" s="56"/>
      <c r="AB44" s="56"/>
    </row>
    <row r="45" spans="1:28" ht="15.75" customHeight="1" x14ac:dyDescent="0.25">
      <c r="A45" s="37">
        <v>1</v>
      </c>
      <c r="B45" s="125" t="s">
        <v>9</v>
      </c>
      <c r="C45" s="125" t="s">
        <v>10</v>
      </c>
      <c r="D45" s="125" t="s">
        <v>9</v>
      </c>
      <c r="E45" s="125" t="s">
        <v>10</v>
      </c>
      <c r="F45" s="125" t="s">
        <v>9</v>
      </c>
      <c r="G45" s="125" t="s">
        <v>10</v>
      </c>
      <c r="H45" s="125" t="s">
        <v>9</v>
      </c>
      <c r="I45" s="125" t="s">
        <v>10</v>
      </c>
      <c r="J45" s="117" t="s">
        <v>9</v>
      </c>
      <c r="K45" s="120" t="s">
        <v>10</v>
      </c>
      <c r="L45" s="36"/>
      <c r="M45" s="36"/>
      <c r="N45" s="36"/>
      <c r="O45" s="36"/>
      <c r="P45" s="36"/>
      <c r="Q45" s="36"/>
      <c r="R45" s="36"/>
      <c r="S45" s="36"/>
      <c r="T45" s="36"/>
      <c r="U45" s="36"/>
      <c r="V45" s="36"/>
      <c r="W45" s="36"/>
      <c r="X45" s="36"/>
      <c r="Y45" s="123"/>
      <c r="Z45" s="56"/>
      <c r="AA45" s="56"/>
      <c r="AB45" s="56"/>
    </row>
    <row r="46" spans="1:28" ht="15.75" customHeight="1" x14ac:dyDescent="0.25">
      <c r="A46" s="99" t="s">
        <v>68</v>
      </c>
      <c r="B46" s="155"/>
      <c r="C46" s="155"/>
      <c r="D46" s="155"/>
      <c r="E46" s="155"/>
      <c r="F46" s="155"/>
      <c r="G46" s="155"/>
      <c r="H46" s="155"/>
      <c r="I46" s="155"/>
      <c r="J46" s="130">
        <f>B46+D46+F46+H46</f>
        <v>0</v>
      </c>
      <c r="K46" s="131">
        <f>C46+E46+G46+I46</f>
        <v>0</v>
      </c>
      <c r="L46" s="36"/>
      <c r="M46" s="36"/>
      <c r="N46" s="36"/>
      <c r="O46" s="36"/>
      <c r="P46" s="36"/>
      <c r="Q46" s="36"/>
      <c r="R46" s="36"/>
      <c r="S46" s="36"/>
      <c r="T46" s="36"/>
      <c r="U46" s="36"/>
      <c r="V46" s="36"/>
      <c r="W46" s="36"/>
      <c r="X46" s="36"/>
      <c r="Y46" s="123"/>
      <c r="Z46" s="56"/>
      <c r="AA46" s="56"/>
      <c r="AB46" s="56"/>
    </row>
    <row r="47" spans="1:28" ht="15.75" customHeight="1" x14ac:dyDescent="0.25">
      <c r="A47" s="99" t="s">
        <v>69</v>
      </c>
      <c r="B47" s="155"/>
      <c r="C47" s="155"/>
      <c r="D47" s="155"/>
      <c r="E47" s="155"/>
      <c r="F47" s="155"/>
      <c r="G47" s="155"/>
      <c r="H47" s="155"/>
      <c r="I47" s="155"/>
      <c r="J47" s="130">
        <f t="shared" ref="J47:K50" si="6">B47+D47+F47+H47</f>
        <v>0</v>
      </c>
      <c r="K47" s="131">
        <f t="shared" si="6"/>
        <v>0</v>
      </c>
      <c r="L47" s="36"/>
      <c r="M47" s="36"/>
      <c r="N47" s="36"/>
      <c r="O47" s="36"/>
      <c r="P47" s="36"/>
      <c r="Q47" s="36"/>
      <c r="R47" s="36"/>
      <c r="S47" s="36"/>
      <c r="T47" s="36"/>
      <c r="U47" s="36"/>
      <c r="V47" s="36"/>
      <c r="W47" s="36"/>
      <c r="X47" s="36"/>
      <c r="Y47" s="123"/>
      <c r="Z47" s="56"/>
      <c r="AA47" s="56"/>
      <c r="AB47" s="56"/>
    </row>
    <row r="48" spans="1:28" ht="15.75" customHeight="1" x14ac:dyDescent="0.25">
      <c r="A48" s="99" t="s">
        <v>70</v>
      </c>
      <c r="B48" s="155"/>
      <c r="C48" s="155"/>
      <c r="D48" s="155"/>
      <c r="E48" s="155"/>
      <c r="F48" s="155"/>
      <c r="G48" s="155"/>
      <c r="H48" s="155"/>
      <c r="I48" s="155"/>
      <c r="J48" s="130">
        <f t="shared" si="6"/>
        <v>0</v>
      </c>
      <c r="K48" s="131">
        <f t="shared" si="6"/>
        <v>0</v>
      </c>
      <c r="L48" s="36"/>
      <c r="M48" s="36"/>
      <c r="N48" s="36"/>
      <c r="O48" s="36"/>
      <c r="P48" s="36"/>
      <c r="Q48" s="36"/>
      <c r="R48" s="36"/>
      <c r="S48" s="36"/>
      <c r="T48" s="36"/>
      <c r="U48" s="36"/>
      <c r="V48" s="36"/>
      <c r="W48" s="36"/>
      <c r="X48" s="36"/>
      <c r="Y48" s="123"/>
      <c r="Z48" s="56"/>
      <c r="AA48" s="56"/>
      <c r="AB48" s="56"/>
    </row>
    <row r="49" spans="1:34" ht="15.75" customHeight="1" x14ac:dyDescent="0.25">
      <c r="A49" s="99" t="s">
        <v>71</v>
      </c>
      <c r="B49" s="155"/>
      <c r="C49" s="155"/>
      <c r="D49" s="155"/>
      <c r="E49" s="155"/>
      <c r="F49" s="155"/>
      <c r="G49" s="155"/>
      <c r="H49" s="155"/>
      <c r="I49" s="155"/>
      <c r="J49" s="130">
        <f t="shared" si="6"/>
        <v>0</v>
      </c>
      <c r="K49" s="131">
        <f t="shared" si="6"/>
        <v>0</v>
      </c>
      <c r="L49" s="36"/>
      <c r="M49" s="36"/>
      <c r="N49" s="36"/>
      <c r="O49" s="36"/>
      <c r="P49" s="36"/>
      <c r="Q49" s="36"/>
      <c r="R49" s="36"/>
      <c r="S49" s="36"/>
      <c r="T49" s="36"/>
      <c r="U49" s="36"/>
      <c r="V49" s="36"/>
      <c r="W49" s="36"/>
      <c r="X49" s="36"/>
      <c r="Y49" s="123"/>
      <c r="Z49" s="56"/>
      <c r="AA49" s="56"/>
      <c r="AB49" s="56"/>
    </row>
    <row r="50" spans="1:34" ht="15.75" customHeight="1" thickBot="1" x14ac:dyDescent="0.3">
      <c r="A50" s="126" t="s">
        <v>15</v>
      </c>
      <c r="B50" s="132">
        <f t="shared" ref="B50:I50" si="7">SUM(B46:B49)</f>
        <v>0</v>
      </c>
      <c r="C50" s="132">
        <f t="shared" si="7"/>
        <v>0</v>
      </c>
      <c r="D50" s="132">
        <f t="shared" si="7"/>
        <v>0</v>
      </c>
      <c r="E50" s="132">
        <f t="shared" si="7"/>
        <v>0</v>
      </c>
      <c r="F50" s="132">
        <f t="shared" si="7"/>
        <v>0</v>
      </c>
      <c r="G50" s="132">
        <f t="shared" si="7"/>
        <v>0</v>
      </c>
      <c r="H50" s="132">
        <f t="shared" si="7"/>
        <v>0</v>
      </c>
      <c r="I50" s="132">
        <f t="shared" si="7"/>
        <v>0</v>
      </c>
      <c r="J50" s="132">
        <f t="shared" si="6"/>
        <v>0</v>
      </c>
      <c r="K50" s="133">
        <f t="shared" si="6"/>
        <v>0</v>
      </c>
      <c r="L50" s="36"/>
      <c r="M50" s="36"/>
      <c r="N50" s="36"/>
      <c r="O50" s="36"/>
      <c r="P50" s="36"/>
      <c r="Q50" s="36"/>
      <c r="R50" s="36"/>
      <c r="S50" s="36"/>
      <c r="T50" s="36"/>
      <c r="U50" s="36"/>
      <c r="V50" s="36"/>
      <c r="W50" s="36"/>
      <c r="X50" s="36"/>
      <c r="Y50" s="123"/>
      <c r="Z50" s="56"/>
      <c r="AA50" s="56"/>
      <c r="AB50" s="56"/>
    </row>
    <row r="51" spans="1:34" ht="15.75" customHeight="1" thickTop="1" thickBot="1" x14ac:dyDescent="0.3">
      <c r="A51" s="39" t="s">
        <v>1115</v>
      </c>
      <c r="B51" s="36"/>
      <c r="C51" s="36"/>
      <c r="D51" s="36"/>
      <c r="E51" s="36"/>
      <c r="F51" s="36"/>
      <c r="G51" s="36"/>
      <c r="H51" s="36"/>
      <c r="I51" s="36"/>
      <c r="J51" s="36"/>
      <c r="K51" s="36"/>
      <c r="L51" s="36"/>
      <c r="M51" s="36"/>
      <c r="N51" s="36"/>
      <c r="O51" s="36"/>
      <c r="P51" s="36"/>
      <c r="Q51" s="36"/>
      <c r="R51" s="36"/>
      <c r="S51" s="36"/>
      <c r="T51" s="36"/>
      <c r="U51" s="36"/>
      <c r="V51" s="36"/>
      <c r="W51" s="36"/>
      <c r="X51" s="36"/>
      <c r="Y51" s="123"/>
      <c r="Z51" s="56"/>
      <c r="AA51" s="56"/>
      <c r="AB51" s="56"/>
    </row>
    <row r="52" spans="1:34" ht="15.75" customHeight="1" thickTop="1" x14ac:dyDescent="0.25">
      <c r="A52" s="295" t="s">
        <v>1452</v>
      </c>
      <c r="B52" s="296"/>
      <c r="C52" s="296"/>
      <c r="D52" s="296"/>
      <c r="E52" s="296"/>
      <c r="F52" s="296"/>
      <c r="G52" s="296"/>
      <c r="H52" s="296"/>
      <c r="I52" s="296"/>
      <c r="J52" s="296"/>
      <c r="K52" s="296"/>
      <c r="L52" s="296"/>
      <c r="M52" s="296"/>
      <c r="N52" s="296"/>
      <c r="O52" s="296"/>
      <c r="P52" s="296"/>
      <c r="Q52" s="296"/>
      <c r="R52" s="296"/>
      <c r="S52" s="297"/>
      <c r="AB52" s="59"/>
      <c r="AC52" s="59"/>
      <c r="AD52" s="59"/>
      <c r="AE52" s="59"/>
      <c r="AF52" s="59"/>
      <c r="AG52" s="59"/>
      <c r="AH52" s="59"/>
    </row>
    <row r="53" spans="1:34" ht="15" customHeight="1" x14ac:dyDescent="0.25">
      <c r="A53" s="42">
        <v>1</v>
      </c>
      <c r="B53" s="107"/>
      <c r="C53" s="110"/>
      <c r="D53" s="309" t="s">
        <v>51</v>
      </c>
      <c r="E53" s="310"/>
      <c r="F53" s="310"/>
      <c r="G53" s="310"/>
      <c r="H53" s="310"/>
      <c r="I53" s="310"/>
      <c r="J53" s="310"/>
      <c r="K53" s="310"/>
      <c r="L53" s="310"/>
      <c r="M53" s="310"/>
      <c r="N53" s="310"/>
      <c r="O53" s="310"/>
      <c r="P53" s="310"/>
      <c r="Q53" s="310"/>
      <c r="R53" s="310"/>
      <c r="S53" s="311"/>
      <c r="AB53" s="59"/>
      <c r="AC53" s="59"/>
      <c r="AD53" s="59"/>
      <c r="AE53" s="59"/>
      <c r="AF53" s="59"/>
      <c r="AG53" s="59"/>
      <c r="AH53" s="59"/>
    </row>
    <row r="54" spans="1:34" ht="21.75" customHeight="1" x14ac:dyDescent="0.25">
      <c r="A54" s="42">
        <v>1</v>
      </c>
      <c r="B54" s="107"/>
      <c r="C54" s="110"/>
      <c r="D54" s="312" t="s">
        <v>52</v>
      </c>
      <c r="E54" s="313"/>
      <c r="F54" s="312" t="s">
        <v>53</v>
      </c>
      <c r="G54" s="313"/>
      <c r="H54" s="316" t="s">
        <v>54</v>
      </c>
      <c r="I54" s="317"/>
      <c r="J54" s="312" t="s">
        <v>55</v>
      </c>
      <c r="K54" s="313"/>
      <c r="L54" s="312" t="s">
        <v>56</v>
      </c>
      <c r="M54" s="313"/>
      <c r="N54" s="312" t="s">
        <v>149</v>
      </c>
      <c r="O54" s="313"/>
      <c r="P54" s="312" t="s">
        <v>145</v>
      </c>
      <c r="Q54" s="313"/>
      <c r="R54" s="280" t="s">
        <v>15</v>
      </c>
      <c r="S54" s="281"/>
      <c r="AB54" s="59"/>
      <c r="AC54" s="59"/>
      <c r="AD54" s="59"/>
      <c r="AE54" s="59"/>
      <c r="AF54" s="59"/>
      <c r="AG54" s="59"/>
      <c r="AH54" s="59"/>
    </row>
    <row r="55" spans="1:34" x14ac:dyDescent="0.25">
      <c r="A55" s="42">
        <v>1</v>
      </c>
      <c r="B55" s="107"/>
      <c r="C55" s="110"/>
      <c r="D55" s="314"/>
      <c r="E55" s="315"/>
      <c r="F55" s="314"/>
      <c r="G55" s="315"/>
      <c r="H55" s="318"/>
      <c r="I55" s="319"/>
      <c r="J55" s="314"/>
      <c r="K55" s="315"/>
      <c r="L55" s="314"/>
      <c r="M55" s="315"/>
      <c r="N55" s="314"/>
      <c r="O55" s="315"/>
      <c r="P55" s="314"/>
      <c r="Q55" s="315"/>
      <c r="R55" s="282"/>
      <c r="S55" s="283"/>
      <c r="AB55" s="59"/>
      <c r="AC55" s="59"/>
      <c r="AD55" s="59"/>
      <c r="AE55" s="59"/>
      <c r="AF55" s="59"/>
      <c r="AG55" s="59"/>
      <c r="AH55" s="59"/>
    </row>
    <row r="56" spans="1:34" x14ac:dyDescent="0.25">
      <c r="A56" s="108">
        <v>1</v>
      </c>
      <c r="B56" s="109"/>
      <c r="C56" s="111"/>
      <c r="D56" s="97" t="s">
        <v>9</v>
      </c>
      <c r="E56" s="97" t="s">
        <v>10</v>
      </c>
      <c r="F56" s="97" t="s">
        <v>9</v>
      </c>
      <c r="G56" s="97" t="s">
        <v>10</v>
      </c>
      <c r="H56" s="97" t="s">
        <v>9</v>
      </c>
      <c r="I56" s="97" t="s">
        <v>10</v>
      </c>
      <c r="J56" s="97" t="s">
        <v>9</v>
      </c>
      <c r="K56" s="97" t="s">
        <v>10</v>
      </c>
      <c r="L56" s="97" t="s">
        <v>9</v>
      </c>
      <c r="M56" s="97" t="s">
        <v>10</v>
      </c>
      <c r="N56" s="97" t="s">
        <v>9</v>
      </c>
      <c r="O56" s="97" t="s">
        <v>10</v>
      </c>
      <c r="P56" s="97" t="s">
        <v>9</v>
      </c>
      <c r="Q56" s="97" t="s">
        <v>10</v>
      </c>
      <c r="R56" s="117" t="s">
        <v>9</v>
      </c>
      <c r="S56" s="120" t="s">
        <v>10</v>
      </c>
      <c r="AB56" s="59"/>
      <c r="AC56" s="59"/>
      <c r="AD56" s="59"/>
      <c r="AE56" s="59"/>
      <c r="AF56" s="59"/>
      <c r="AG56" s="59"/>
      <c r="AH56" s="59"/>
    </row>
    <row r="57" spans="1:34" ht="24.75" customHeight="1" x14ac:dyDescent="0.25">
      <c r="A57" s="271" t="s">
        <v>123</v>
      </c>
      <c r="B57" s="249"/>
      <c r="C57" s="250"/>
      <c r="D57" s="155"/>
      <c r="E57" s="155"/>
      <c r="F57" s="155"/>
      <c r="G57" s="155"/>
      <c r="H57" s="155"/>
      <c r="I57" s="155"/>
      <c r="J57" s="155"/>
      <c r="K57" s="155"/>
      <c r="L57" s="155"/>
      <c r="M57" s="155"/>
      <c r="N57" s="155"/>
      <c r="O57" s="155"/>
      <c r="P57" s="155"/>
      <c r="Q57" s="155"/>
      <c r="R57" s="130">
        <f>P57+N57+L57+J57+H57+F57+D57</f>
        <v>0</v>
      </c>
      <c r="S57" s="131">
        <f>Q57+O57+M57+K57+I57+G57+E57</f>
        <v>0</v>
      </c>
      <c r="AB57" s="59"/>
      <c r="AC57" s="59"/>
      <c r="AD57" s="59"/>
      <c r="AE57" s="59"/>
      <c r="AF57" s="59"/>
      <c r="AG57" s="59"/>
      <c r="AH57" s="59"/>
    </row>
    <row r="58" spans="1:34" ht="24.75" customHeight="1" x14ac:dyDescent="0.25">
      <c r="A58" s="271" t="s">
        <v>122</v>
      </c>
      <c r="B58" s="249"/>
      <c r="C58" s="250"/>
      <c r="D58" s="155"/>
      <c r="E58" s="155"/>
      <c r="F58" s="155"/>
      <c r="G58" s="155"/>
      <c r="H58" s="155"/>
      <c r="I58" s="155"/>
      <c r="J58" s="155"/>
      <c r="K58" s="155"/>
      <c r="L58" s="155"/>
      <c r="M58" s="155"/>
      <c r="N58" s="155"/>
      <c r="O58" s="155"/>
      <c r="P58" s="155"/>
      <c r="Q58" s="155"/>
      <c r="R58" s="130">
        <f t="shared" ref="R58:S59" si="8">P58+N58+L58+J58+H58+F58+D58</f>
        <v>0</v>
      </c>
      <c r="S58" s="131">
        <f t="shared" si="8"/>
        <v>0</v>
      </c>
      <c r="T58" s="35">
        <f>D57+D58+F57+F58+H57+H58+J57+J58+L57+L58+N57+N58+P57+P58</f>
        <v>0</v>
      </c>
      <c r="U58" s="35">
        <f>E57+E58+G57+G58+I57+I58+K57+K58+M57+M58+O57+O58+Q57+Q58</f>
        <v>0</v>
      </c>
      <c r="AB58" s="59"/>
      <c r="AC58" s="59"/>
      <c r="AD58" s="59"/>
      <c r="AE58" s="59"/>
      <c r="AF58" s="59"/>
      <c r="AG58" s="59"/>
      <c r="AH58" s="59"/>
    </row>
    <row r="59" spans="1:34" ht="24.75" customHeight="1" x14ac:dyDescent="0.25">
      <c r="A59" s="271" t="s">
        <v>121</v>
      </c>
      <c r="B59" s="249"/>
      <c r="C59" s="250"/>
      <c r="D59" s="155"/>
      <c r="E59" s="155"/>
      <c r="F59" s="155"/>
      <c r="G59" s="155"/>
      <c r="H59" s="155"/>
      <c r="I59" s="155"/>
      <c r="J59" s="155"/>
      <c r="K59" s="155"/>
      <c r="L59" s="155"/>
      <c r="M59" s="155"/>
      <c r="N59" s="155"/>
      <c r="O59" s="155"/>
      <c r="P59" s="155"/>
      <c r="Q59" s="155"/>
      <c r="R59" s="130">
        <f t="shared" si="8"/>
        <v>0</v>
      </c>
      <c r="S59" s="131">
        <f t="shared" si="8"/>
        <v>0</v>
      </c>
      <c r="AB59" s="59"/>
      <c r="AC59" s="59"/>
      <c r="AD59" s="59"/>
      <c r="AE59" s="59"/>
      <c r="AF59" s="59"/>
      <c r="AG59" s="59"/>
      <c r="AH59" s="59"/>
    </row>
    <row r="60" spans="1:34" x14ac:dyDescent="0.25">
      <c r="A60" s="341" t="s">
        <v>15</v>
      </c>
      <c r="B60" s="342"/>
      <c r="C60" s="343"/>
      <c r="D60" s="153" t="str">
        <f>IF(SUM(D57:D59)=0, "", SUM(D57:D59))</f>
        <v/>
      </c>
      <c r="E60" s="153" t="str">
        <f t="shared" ref="E60:Q60" si="9">IF(SUM(E57:E59)=0, "", SUM(E57:E59))</f>
        <v/>
      </c>
      <c r="F60" s="153" t="str">
        <f t="shared" si="9"/>
        <v/>
      </c>
      <c r="G60" s="153" t="str">
        <f t="shared" si="9"/>
        <v/>
      </c>
      <c r="H60" s="153" t="str">
        <f t="shared" si="9"/>
        <v/>
      </c>
      <c r="I60" s="153" t="str">
        <f t="shared" si="9"/>
        <v/>
      </c>
      <c r="J60" s="153" t="str">
        <f t="shared" si="9"/>
        <v/>
      </c>
      <c r="K60" s="153" t="str">
        <f t="shared" si="9"/>
        <v/>
      </c>
      <c r="L60" s="153" t="str">
        <f t="shared" si="9"/>
        <v/>
      </c>
      <c r="M60" s="153" t="str">
        <f t="shared" si="9"/>
        <v/>
      </c>
      <c r="N60" s="153" t="str">
        <f t="shared" si="9"/>
        <v/>
      </c>
      <c r="O60" s="153" t="str">
        <f t="shared" si="9"/>
        <v/>
      </c>
      <c r="P60" s="153" t="str">
        <f t="shared" si="9"/>
        <v/>
      </c>
      <c r="Q60" s="153" t="str">
        <f t="shared" si="9"/>
        <v/>
      </c>
      <c r="R60" s="138">
        <f t="shared" ref="R60:S60" si="10">SUM(R57:R59)</f>
        <v>0</v>
      </c>
      <c r="S60" s="139">
        <f t="shared" si="10"/>
        <v>0</v>
      </c>
      <c r="AB60" s="59"/>
      <c r="AC60" s="59"/>
      <c r="AD60" s="59"/>
      <c r="AE60" s="59"/>
      <c r="AF60" s="59"/>
      <c r="AG60" s="59"/>
      <c r="AH60" s="59"/>
    </row>
    <row r="61" spans="1:34" ht="25.5" customHeight="1" thickBot="1" x14ac:dyDescent="0.3">
      <c r="A61" s="322" t="s">
        <v>147</v>
      </c>
      <c r="B61" s="323"/>
      <c r="C61" s="323"/>
      <c r="D61" s="158"/>
      <c r="E61" s="158"/>
      <c r="F61" s="158"/>
      <c r="G61" s="158"/>
      <c r="H61" s="158"/>
      <c r="I61" s="158"/>
      <c r="J61" s="158"/>
      <c r="K61" s="158"/>
      <c r="L61" s="158"/>
      <c r="M61" s="158"/>
      <c r="N61" s="158"/>
      <c r="O61" s="158"/>
      <c r="P61" s="158"/>
      <c r="Q61" s="158"/>
      <c r="R61" s="132">
        <f>P61+N61+L61+J61+H61+F61+D61</f>
        <v>0</v>
      </c>
      <c r="S61" s="133">
        <f>Q61+O61+M61+K61+I61+G61+E61</f>
        <v>0</v>
      </c>
      <c r="AB61" s="59"/>
      <c r="AC61" s="59"/>
      <c r="AD61" s="59"/>
      <c r="AE61" s="59"/>
      <c r="AF61" s="59"/>
      <c r="AG61" s="59"/>
      <c r="AH61" s="59"/>
    </row>
    <row r="62" spans="1:34" ht="18" customHeight="1" thickTop="1" thickBot="1" x14ac:dyDescent="0.3">
      <c r="A62" s="35" t="s">
        <v>1115</v>
      </c>
      <c r="T62" s="36"/>
      <c r="AB62" s="59"/>
      <c r="AC62" s="59"/>
      <c r="AD62" s="59"/>
      <c r="AE62" s="59"/>
      <c r="AF62" s="59"/>
      <c r="AG62" s="59"/>
      <c r="AH62" s="59"/>
    </row>
    <row r="63" spans="1:34" ht="15.75" customHeight="1" thickTop="1" x14ac:dyDescent="0.25">
      <c r="A63" s="295" t="s">
        <v>1454</v>
      </c>
      <c r="B63" s="296"/>
      <c r="C63" s="296"/>
      <c r="D63" s="296"/>
      <c r="E63" s="296"/>
      <c r="F63" s="296"/>
      <c r="G63" s="296"/>
      <c r="H63" s="297"/>
      <c r="K63" s="335" t="s">
        <v>1450</v>
      </c>
      <c r="L63" s="336"/>
      <c r="M63" s="336"/>
      <c r="N63" s="336"/>
      <c r="O63" s="336"/>
      <c r="P63" s="336"/>
      <c r="Q63" s="337"/>
      <c r="T63" s="36"/>
      <c r="AB63" s="59"/>
      <c r="AC63" s="59"/>
      <c r="AD63" s="59"/>
      <c r="AE63" s="59"/>
      <c r="AF63" s="59"/>
      <c r="AG63" s="59"/>
      <c r="AH63" s="59"/>
    </row>
    <row r="64" spans="1:34" ht="16.5" customHeight="1" x14ac:dyDescent="0.25">
      <c r="A64" s="357" t="s">
        <v>1453</v>
      </c>
      <c r="B64" s="358"/>
      <c r="C64" s="358"/>
      <c r="D64" s="358"/>
      <c r="E64" s="358"/>
      <c r="F64" s="358"/>
      <c r="G64" s="358"/>
      <c r="H64" s="359"/>
      <c r="K64" s="338"/>
      <c r="L64" s="339"/>
      <c r="M64" s="339"/>
      <c r="N64" s="339"/>
      <c r="O64" s="339"/>
      <c r="P64" s="339"/>
      <c r="Q64" s="340"/>
      <c r="T64" s="36"/>
      <c r="AB64" s="59"/>
      <c r="AC64" s="59"/>
      <c r="AD64" s="59"/>
      <c r="AE64" s="59"/>
      <c r="AF64" s="59"/>
      <c r="AG64" s="59"/>
      <c r="AH64" s="59"/>
    </row>
    <row r="65" spans="1:34" ht="28.5" customHeight="1" x14ac:dyDescent="0.25">
      <c r="A65" s="113">
        <v>1</v>
      </c>
      <c r="B65" s="114"/>
      <c r="C65" s="321" t="s">
        <v>119</v>
      </c>
      <c r="D65" s="321"/>
      <c r="E65" s="321" t="s">
        <v>120</v>
      </c>
      <c r="F65" s="321"/>
      <c r="G65" s="333" t="s">
        <v>15</v>
      </c>
      <c r="H65" s="334"/>
      <c r="K65" s="102"/>
      <c r="L65" s="103"/>
      <c r="M65" s="242" t="s">
        <v>1449</v>
      </c>
      <c r="N65" s="244"/>
      <c r="O65" s="242" t="s">
        <v>78</v>
      </c>
      <c r="P65" s="243"/>
      <c r="Q65" s="270"/>
      <c r="T65" s="36"/>
      <c r="AB65" s="59"/>
      <c r="AC65" s="59"/>
      <c r="AD65" s="59"/>
      <c r="AE65" s="59"/>
      <c r="AF65" s="59"/>
      <c r="AG65" s="59"/>
      <c r="AH65" s="59"/>
    </row>
    <row r="66" spans="1:34" x14ac:dyDescent="0.25">
      <c r="A66" s="115">
        <v>1</v>
      </c>
      <c r="B66" s="116"/>
      <c r="C66" s="97" t="s">
        <v>9</v>
      </c>
      <c r="D66" s="64" t="s">
        <v>10</v>
      </c>
      <c r="E66" s="119" t="s">
        <v>9</v>
      </c>
      <c r="F66" s="64" t="s">
        <v>10</v>
      </c>
      <c r="G66" s="117" t="s">
        <v>9</v>
      </c>
      <c r="H66" s="120" t="s">
        <v>10</v>
      </c>
      <c r="K66" s="271" t="s">
        <v>1184</v>
      </c>
      <c r="L66" s="250"/>
      <c r="M66" s="272"/>
      <c r="N66" s="275"/>
      <c r="O66" s="272"/>
      <c r="P66" s="273"/>
      <c r="Q66" s="274"/>
      <c r="T66" s="36"/>
      <c r="AB66" s="59"/>
      <c r="AC66" s="59"/>
      <c r="AD66" s="59"/>
      <c r="AE66" s="59"/>
      <c r="AF66" s="59"/>
      <c r="AG66" s="59"/>
      <c r="AH66" s="59"/>
    </row>
    <row r="67" spans="1:34" ht="15" customHeight="1" x14ac:dyDescent="0.25">
      <c r="A67" s="289" t="s">
        <v>1145</v>
      </c>
      <c r="B67" s="290"/>
      <c r="C67" s="159"/>
      <c r="D67" s="159"/>
      <c r="E67" s="159"/>
      <c r="F67" s="159"/>
      <c r="G67" s="130">
        <f>C67+E67</f>
        <v>0</v>
      </c>
      <c r="H67" s="135">
        <f>D67+F67</f>
        <v>0</v>
      </c>
      <c r="K67" s="271" t="s">
        <v>79</v>
      </c>
      <c r="L67" s="250"/>
      <c r="M67" s="272"/>
      <c r="N67" s="275"/>
      <c r="O67" s="272"/>
      <c r="P67" s="273"/>
      <c r="Q67" s="274"/>
      <c r="T67" s="36"/>
      <c r="AB67" s="59"/>
      <c r="AC67" s="59"/>
      <c r="AD67" s="59"/>
      <c r="AE67" s="59"/>
      <c r="AF67" s="59"/>
      <c r="AG67" s="59"/>
      <c r="AH67" s="59"/>
    </row>
    <row r="68" spans="1:34" ht="15" customHeight="1" x14ac:dyDescent="0.25">
      <c r="A68" s="289" t="s">
        <v>1146</v>
      </c>
      <c r="B68" s="290"/>
      <c r="C68" s="159"/>
      <c r="D68" s="159"/>
      <c r="E68" s="159"/>
      <c r="F68" s="159"/>
      <c r="G68" s="130">
        <f t="shared" ref="G68:H73" si="11">C68+E68</f>
        <v>0</v>
      </c>
      <c r="H68" s="135">
        <f t="shared" si="11"/>
        <v>0</v>
      </c>
      <c r="K68" s="271" t="s">
        <v>80</v>
      </c>
      <c r="L68" s="250"/>
      <c r="M68" s="272"/>
      <c r="N68" s="275"/>
      <c r="O68" s="272"/>
      <c r="P68" s="273"/>
      <c r="Q68" s="274"/>
      <c r="T68" s="36"/>
      <c r="AB68" s="59"/>
      <c r="AC68" s="59"/>
      <c r="AD68" s="59"/>
      <c r="AE68" s="59"/>
      <c r="AF68" s="59"/>
      <c r="AG68" s="59"/>
      <c r="AH68" s="59"/>
    </row>
    <row r="69" spans="1:34" ht="15" customHeight="1" x14ac:dyDescent="0.25">
      <c r="A69" s="289" t="s">
        <v>1147</v>
      </c>
      <c r="B69" s="290"/>
      <c r="C69" s="159"/>
      <c r="D69" s="159"/>
      <c r="E69" s="159"/>
      <c r="F69" s="159"/>
      <c r="G69" s="130">
        <f t="shared" si="11"/>
        <v>0</v>
      </c>
      <c r="H69" s="135">
        <f t="shared" si="11"/>
        <v>0</v>
      </c>
      <c r="K69" s="271" t="s">
        <v>14</v>
      </c>
      <c r="L69" s="250"/>
      <c r="M69" s="272"/>
      <c r="N69" s="275"/>
      <c r="O69" s="272"/>
      <c r="P69" s="273"/>
      <c r="Q69" s="274"/>
      <c r="T69" s="36"/>
      <c r="AB69" s="59"/>
      <c r="AC69" s="59"/>
      <c r="AD69" s="59"/>
      <c r="AE69" s="59"/>
      <c r="AF69" s="59"/>
      <c r="AG69" s="59"/>
      <c r="AH69" s="59"/>
    </row>
    <row r="70" spans="1:34" ht="15.75" customHeight="1" thickBot="1" x14ac:dyDescent="0.3">
      <c r="A70" s="289" t="s">
        <v>1148</v>
      </c>
      <c r="B70" s="290"/>
      <c r="C70" s="159"/>
      <c r="D70" s="159"/>
      <c r="E70" s="159"/>
      <c r="F70" s="159"/>
      <c r="G70" s="130">
        <f t="shared" si="11"/>
        <v>0</v>
      </c>
      <c r="H70" s="135">
        <f t="shared" si="11"/>
        <v>0</v>
      </c>
      <c r="K70" s="293" t="s">
        <v>15</v>
      </c>
      <c r="L70" s="294"/>
      <c r="M70" s="284">
        <f>SUM(M66:N69)</f>
        <v>0</v>
      </c>
      <c r="N70" s="285"/>
      <c r="O70" s="286"/>
      <c r="P70" s="287"/>
      <c r="Q70" s="288"/>
      <c r="T70" s="36"/>
      <c r="AB70" s="59"/>
      <c r="AC70" s="59"/>
      <c r="AD70" s="59"/>
      <c r="AE70" s="59"/>
      <c r="AF70" s="59"/>
      <c r="AG70" s="59"/>
      <c r="AH70" s="59"/>
    </row>
    <row r="71" spans="1:34" ht="15.75" thickTop="1" x14ac:dyDescent="0.25">
      <c r="A71" s="289" t="s">
        <v>1149</v>
      </c>
      <c r="B71" s="290"/>
      <c r="C71" s="159"/>
      <c r="D71" s="159"/>
      <c r="E71" s="159"/>
      <c r="F71" s="159"/>
      <c r="G71" s="130">
        <f t="shared" si="11"/>
        <v>0</v>
      </c>
      <c r="H71" s="135">
        <f t="shared" si="11"/>
        <v>0</v>
      </c>
      <c r="T71" s="36"/>
      <c r="AB71" s="59"/>
      <c r="AC71" s="59"/>
      <c r="AD71" s="59"/>
      <c r="AE71" s="59"/>
      <c r="AF71" s="59"/>
      <c r="AG71" s="59"/>
      <c r="AH71" s="59"/>
    </row>
    <row r="72" spans="1:34" x14ac:dyDescent="0.25">
      <c r="A72" s="289" t="s">
        <v>1150</v>
      </c>
      <c r="B72" s="290"/>
      <c r="C72" s="159"/>
      <c r="D72" s="159"/>
      <c r="E72" s="159"/>
      <c r="F72" s="159"/>
      <c r="G72" s="130">
        <f t="shared" si="11"/>
        <v>0</v>
      </c>
      <c r="H72" s="135">
        <f t="shared" si="11"/>
        <v>0</v>
      </c>
      <c r="T72" s="36"/>
      <c r="AB72" s="59"/>
      <c r="AC72" s="59"/>
      <c r="AD72" s="59"/>
      <c r="AE72" s="59"/>
      <c r="AF72" s="59"/>
      <c r="AG72" s="59"/>
      <c r="AH72" s="59"/>
    </row>
    <row r="73" spans="1:34" ht="15.75" thickBot="1" x14ac:dyDescent="0.3">
      <c r="A73" s="291" t="s">
        <v>15</v>
      </c>
      <c r="B73" s="292"/>
      <c r="C73" s="132">
        <f>SUM(C67:C72)</f>
        <v>0</v>
      </c>
      <c r="D73" s="132">
        <f t="shared" ref="D73:F73" si="12">SUM(D67:D72)</f>
        <v>0</v>
      </c>
      <c r="E73" s="132">
        <f t="shared" si="12"/>
        <v>0</v>
      </c>
      <c r="F73" s="132">
        <f t="shared" si="12"/>
        <v>0</v>
      </c>
      <c r="G73" s="132">
        <f t="shared" si="11"/>
        <v>0</v>
      </c>
      <c r="H73" s="136">
        <f t="shared" si="11"/>
        <v>0</v>
      </c>
      <c r="T73" s="36"/>
      <c r="AB73" s="59"/>
      <c r="AC73" s="59"/>
      <c r="AD73" s="59"/>
      <c r="AE73" s="59"/>
      <c r="AF73" s="59"/>
      <c r="AG73" s="59"/>
      <c r="AH73" s="59"/>
    </row>
    <row r="74" spans="1:34" ht="12.75" customHeight="1" thickTop="1" x14ac:dyDescent="0.25">
      <c r="A74" s="35">
        <v>1</v>
      </c>
      <c r="T74" s="36"/>
      <c r="AB74" s="59"/>
      <c r="AC74" s="59"/>
      <c r="AD74" s="59"/>
      <c r="AE74" s="59"/>
      <c r="AF74" s="59"/>
      <c r="AG74" s="59"/>
      <c r="AH74" s="59"/>
    </row>
    <row r="75" spans="1:34" ht="16.5" customHeight="1" thickBot="1" x14ac:dyDescent="0.3">
      <c r="A75" s="35">
        <v>1</v>
      </c>
      <c r="T75" s="36"/>
      <c r="AB75" s="59"/>
      <c r="AC75" s="59"/>
      <c r="AD75" s="59"/>
      <c r="AE75" s="59"/>
      <c r="AF75" s="59"/>
      <c r="AG75" s="59"/>
      <c r="AH75" s="59"/>
    </row>
    <row r="76" spans="1:34" ht="15.75" thickTop="1" x14ac:dyDescent="0.25">
      <c r="A76" s="295" t="s">
        <v>1197</v>
      </c>
      <c r="B76" s="296"/>
      <c r="C76" s="296"/>
      <c r="D76" s="296"/>
      <c r="E76" s="296"/>
      <c r="F76" s="296"/>
      <c r="G76" s="296"/>
      <c r="H76" s="296"/>
      <c r="I76" s="296"/>
      <c r="J76" s="296"/>
      <c r="K76" s="297"/>
    </row>
    <row r="77" spans="1:34" x14ac:dyDescent="0.25">
      <c r="A77" s="40">
        <v>1</v>
      </c>
      <c r="B77" s="41"/>
      <c r="C77" s="41"/>
      <c r="D77" s="41"/>
      <c r="E77" s="112"/>
      <c r="F77" s="276" t="s">
        <v>119</v>
      </c>
      <c r="G77" s="277"/>
      <c r="H77" s="276" t="s">
        <v>120</v>
      </c>
      <c r="I77" s="277"/>
      <c r="J77" s="280" t="s">
        <v>15</v>
      </c>
      <c r="K77" s="281"/>
    </row>
    <row r="78" spans="1:34" x14ac:dyDescent="0.25">
      <c r="A78" s="360" t="s">
        <v>82</v>
      </c>
      <c r="B78" s="361"/>
      <c r="C78" s="361"/>
      <c r="D78" s="361"/>
      <c r="E78" s="362"/>
      <c r="F78" s="278"/>
      <c r="G78" s="279"/>
      <c r="H78" s="278"/>
      <c r="I78" s="279"/>
      <c r="J78" s="282"/>
      <c r="K78" s="283"/>
    </row>
    <row r="79" spans="1:34" x14ac:dyDescent="0.25">
      <c r="A79" s="40">
        <v>1</v>
      </c>
      <c r="B79" s="41"/>
      <c r="C79" s="41"/>
      <c r="D79" s="41"/>
      <c r="E79" s="112"/>
      <c r="F79" s="119" t="s">
        <v>9</v>
      </c>
      <c r="G79" s="119" t="s">
        <v>10</v>
      </c>
      <c r="H79" s="97" t="s">
        <v>9</v>
      </c>
      <c r="I79" s="97" t="s">
        <v>10</v>
      </c>
      <c r="J79" s="117" t="s">
        <v>9</v>
      </c>
      <c r="K79" s="120" t="s">
        <v>10</v>
      </c>
    </row>
    <row r="80" spans="1:34" ht="15" customHeight="1" x14ac:dyDescent="0.25">
      <c r="A80" s="271" t="s">
        <v>63</v>
      </c>
      <c r="B80" s="249"/>
      <c r="C80" s="249"/>
      <c r="D80" s="249"/>
      <c r="E80" s="250"/>
      <c r="F80" s="159"/>
      <c r="G80" s="159"/>
      <c r="H80" s="159"/>
      <c r="I80" s="159"/>
      <c r="J80" s="130">
        <f>H80+F80</f>
        <v>0</v>
      </c>
      <c r="K80" s="131">
        <f>I80+G80</f>
        <v>0</v>
      </c>
    </row>
    <row r="81" spans="1:11" ht="15" customHeight="1" x14ac:dyDescent="0.25">
      <c r="A81" s="271" t="s">
        <v>1451</v>
      </c>
      <c r="B81" s="249"/>
      <c r="C81" s="249"/>
      <c r="D81" s="249"/>
      <c r="E81" s="250"/>
      <c r="F81" s="159"/>
      <c r="G81" s="159"/>
      <c r="H81" s="159"/>
      <c r="I81" s="159"/>
      <c r="J81" s="130">
        <f t="shared" ref="J81:K103" si="13">H81+F81</f>
        <v>0</v>
      </c>
      <c r="K81" s="131">
        <f t="shared" si="13"/>
        <v>0</v>
      </c>
    </row>
    <row r="82" spans="1:11" x14ac:dyDescent="0.25">
      <c r="A82" s="271" t="s">
        <v>81</v>
      </c>
      <c r="B82" s="249"/>
      <c r="C82" s="249"/>
      <c r="D82" s="249"/>
      <c r="E82" s="250"/>
      <c r="F82" s="159"/>
      <c r="G82" s="159"/>
      <c r="H82" s="159"/>
      <c r="I82" s="159"/>
      <c r="J82" s="130">
        <f t="shared" si="13"/>
        <v>0</v>
      </c>
      <c r="K82" s="131">
        <f t="shared" si="13"/>
        <v>0</v>
      </c>
    </row>
    <row r="83" spans="1:11" x14ac:dyDescent="0.25">
      <c r="A83" s="271" t="s">
        <v>85</v>
      </c>
      <c r="B83" s="249"/>
      <c r="C83" s="249"/>
      <c r="D83" s="249"/>
      <c r="E83" s="250"/>
      <c r="F83" s="159"/>
      <c r="G83" s="159"/>
      <c r="H83" s="159"/>
      <c r="I83" s="159"/>
      <c r="J83" s="130">
        <f t="shared" si="13"/>
        <v>0</v>
      </c>
      <c r="K83" s="131">
        <f t="shared" si="13"/>
        <v>0</v>
      </c>
    </row>
    <row r="84" spans="1:11" ht="15" customHeight="1" x14ac:dyDescent="0.25">
      <c r="A84" s="271" t="s">
        <v>86</v>
      </c>
      <c r="B84" s="249"/>
      <c r="C84" s="249"/>
      <c r="D84" s="249"/>
      <c r="E84" s="250"/>
      <c r="F84" s="159"/>
      <c r="G84" s="159"/>
      <c r="H84" s="159"/>
      <c r="I84" s="159"/>
      <c r="J84" s="130">
        <f t="shared" si="13"/>
        <v>0</v>
      </c>
      <c r="K84" s="131">
        <f t="shared" si="13"/>
        <v>0</v>
      </c>
    </row>
    <row r="85" spans="1:11" x14ac:dyDescent="0.25">
      <c r="A85" s="271" t="s">
        <v>87</v>
      </c>
      <c r="B85" s="249"/>
      <c r="C85" s="249"/>
      <c r="D85" s="249"/>
      <c r="E85" s="250"/>
      <c r="F85" s="159"/>
      <c r="G85" s="159"/>
      <c r="H85" s="159"/>
      <c r="I85" s="159"/>
      <c r="J85" s="130">
        <f t="shared" si="13"/>
        <v>0</v>
      </c>
      <c r="K85" s="131">
        <f t="shared" si="13"/>
        <v>0</v>
      </c>
    </row>
    <row r="86" spans="1:11" x14ac:dyDescent="0.25">
      <c r="A86" s="271" t="s">
        <v>1184</v>
      </c>
      <c r="B86" s="249"/>
      <c r="C86" s="249"/>
      <c r="D86" s="249"/>
      <c r="E86" s="250"/>
      <c r="F86" s="159"/>
      <c r="G86" s="159"/>
      <c r="H86" s="159"/>
      <c r="I86" s="159"/>
      <c r="J86" s="130">
        <f t="shared" si="13"/>
        <v>0</v>
      </c>
      <c r="K86" s="131">
        <f t="shared" si="13"/>
        <v>0</v>
      </c>
    </row>
    <row r="87" spans="1:11" x14ac:dyDescent="0.25">
      <c r="A87" s="271" t="s">
        <v>80</v>
      </c>
      <c r="B87" s="249"/>
      <c r="C87" s="249"/>
      <c r="D87" s="249"/>
      <c r="E87" s="250"/>
      <c r="F87" s="159"/>
      <c r="G87" s="159"/>
      <c r="H87" s="159"/>
      <c r="I87" s="159"/>
      <c r="J87" s="130">
        <f t="shared" si="13"/>
        <v>0</v>
      </c>
      <c r="K87" s="131">
        <f t="shared" si="13"/>
        <v>0</v>
      </c>
    </row>
    <row r="88" spans="1:11" x14ac:dyDescent="0.25">
      <c r="A88" s="271" t="s">
        <v>79</v>
      </c>
      <c r="B88" s="249"/>
      <c r="C88" s="249"/>
      <c r="D88" s="249"/>
      <c r="E88" s="250"/>
      <c r="F88" s="159"/>
      <c r="G88" s="159"/>
      <c r="H88" s="159"/>
      <c r="I88" s="159"/>
      <c r="J88" s="130">
        <f t="shared" si="13"/>
        <v>0</v>
      </c>
      <c r="K88" s="131">
        <f t="shared" si="13"/>
        <v>0</v>
      </c>
    </row>
    <row r="89" spans="1:11" x14ac:dyDescent="0.25">
      <c r="A89" s="271" t="s">
        <v>1185</v>
      </c>
      <c r="B89" s="249"/>
      <c r="C89" s="249"/>
      <c r="D89" s="249"/>
      <c r="E89" s="250"/>
      <c r="F89" s="159"/>
      <c r="G89" s="159"/>
      <c r="H89" s="159"/>
      <c r="I89" s="159"/>
      <c r="J89" s="130">
        <f t="shared" si="13"/>
        <v>0</v>
      </c>
      <c r="K89" s="131">
        <f t="shared" si="13"/>
        <v>0</v>
      </c>
    </row>
    <row r="90" spans="1:11" ht="15" customHeight="1" x14ac:dyDescent="0.25">
      <c r="A90" s="271" t="s">
        <v>1186</v>
      </c>
      <c r="B90" s="249"/>
      <c r="C90" s="249"/>
      <c r="D90" s="249"/>
      <c r="E90" s="250"/>
      <c r="F90" s="159"/>
      <c r="G90" s="159"/>
      <c r="H90" s="159"/>
      <c r="I90" s="159"/>
      <c r="J90" s="130">
        <f t="shared" si="13"/>
        <v>0</v>
      </c>
      <c r="K90" s="131">
        <f t="shared" si="13"/>
        <v>0</v>
      </c>
    </row>
    <row r="91" spans="1:11" x14ac:dyDescent="0.25">
      <c r="A91" s="271" t="s">
        <v>1187</v>
      </c>
      <c r="B91" s="249"/>
      <c r="C91" s="249"/>
      <c r="D91" s="249"/>
      <c r="E91" s="250"/>
      <c r="F91" s="159"/>
      <c r="G91" s="159"/>
      <c r="H91" s="159"/>
      <c r="I91" s="159"/>
      <c r="J91" s="130">
        <f t="shared" si="13"/>
        <v>0</v>
      </c>
      <c r="K91" s="131">
        <f t="shared" si="13"/>
        <v>0</v>
      </c>
    </row>
    <row r="92" spans="1:11" x14ac:dyDescent="0.25">
      <c r="A92" s="271" t="s">
        <v>1188</v>
      </c>
      <c r="B92" s="249"/>
      <c r="C92" s="249"/>
      <c r="D92" s="249"/>
      <c r="E92" s="250"/>
      <c r="F92" s="159"/>
      <c r="G92" s="159"/>
      <c r="H92" s="159"/>
      <c r="I92" s="159"/>
      <c r="J92" s="130">
        <f t="shared" si="13"/>
        <v>0</v>
      </c>
      <c r="K92" s="131">
        <f t="shared" si="13"/>
        <v>0</v>
      </c>
    </row>
    <row r="93" spans="1:11" ht="15" customHeight="1" x14ac:dyDescent="0.25">
      <c r="A93" s="271" t="s">
        <v>88</v>
      </c>
      <c r="B93" s="249"/>
      <c r="C93" s="249"/>
      <c r="D93" s="249"/>
      <c r="E93" s="250"/>
      <c r="F93" s="159"/>
      <c r="G93" s="159"/>
      <c r="H93" s="159"/>
      <c r="I93" s="159"/>
      <c r="J93" s="130">
        <f t="shared" si="13"/>
        <v>0</v>
      </c>
      <c r="K93" s="131">
        <f t="shared" si="13"/>
        <v>0</v>
      </c>
    </row>
    <row r="94" spans="1:11" ht="15" customHeight="1" x14ac:dyDescent="0.25">
      <c r="A94" s="271" t="s">
        <v>89</v>
      </c>
      <c r="B94" s="249"/>
      <c r="C94" s="249"/>
      <c r="D94" s="249"/>
      <c r="E94" s="250"/>
      <c r="F94" s="159"/>
      <c r="G94" s="159"/>
      <c r="H94" s="159"/>
      <c r="I94" s="159"/>
      <c r="J94" s="130">
        <f t="shared" si="13"/>
        <v>0</v>
      </c>
      <c r="K94" s="131">
        <f t="shared" si="13"/>
        <v>0</v>
      </c>
    </row>
    <row r="95" spans="1:11" x14ac:dyDescent="0.25">
      <c r="A95" s="271" t="s">
        <v>90</v>
      </c>
      <c r="B95" s="249"/>
      <c r="C95" s="249"/>
      <c r="D95" s="249"/>
      <c r="E95" s="250"/>
      <c r="F95" s="159"/>
      <c r="G95" s="159"/>
      <c r="H95" s="159"/>
      <c r="I95" s="159"/>
      <c r="J95" s="130">
        <f t="shared" si="13"/>
        <v>0</v>
      </c>
      <c r="K95" s="131">
        <f t="shared" si="13"/>
        <v>0</v>
      </c>
    </row>
    <row r="96" spans="1:11" x14ac:dyDescent="0.25">
      <c r="A96" s="271" t="s">
        <v>91</v>
      </c>
      <c r="B96" s="249"/>
      <c r="C96" s="249"/>
      <c r="D96" s="249"/>
      <c r="E96" s="250"/>
      <c r="F96" s="159"/>
      <c r="G96" s="159"/>
      <c r="H96" s="159"/>
      <c r="I96" s="159"/>
      <c r="J96" s="130">
        <f t="shared" si="13"/>
        <v>0</v>
      </c>
      <c r="K96" s="131">
        <f t="shared" si="13"/>
        <v>0</v>
      </c>
    </row>
    <row r="97" spans="1:26" ht="15" customHeight="1" x14ac:dyDescent="0.25">
      <c r="A97" s="271" t="s">
        <v>92</v>
      </c>
      <c r="B97" s="249"/>
      <c r="C97" s="249"/>
      <c r="D97" s="249"/>
      <c r="E97" s="250"/>
      <c r="F97" s="159"/>
      <c r="G97" s="159"/>
      <c r="H97" s="159"/>
      <c r="I97" s="159"/>
      <c r="J97" s="130">
        <f t="shared" si="13"/>
        <v>0</v>
      </c>
      <c r="K97" s="131">
        <f t="shared" si="13"/>
        <v>0</v>
      </c>
    </row>
    <row r="98" spans="1:26" ht="15" customHeight="1" x14ac:dyDescent="0.25">
      <c r="A98" s="271" t="s">
        <v>1189</v>
      </c>
      <c r="B98" s="249"/>
      <c r="C98" s="249"/>
      <c r="D98" s="249"/>
      <c r="E98" s="250"/>
      <c r="F98" s="159"/>
      <c r="G98" s="159"/>
      <c r="H98" s="159"/>
      <c r="I98" s="159"/>
      <c r="J98" s="130">
        <f t="shared" si="13"/>
        <v>0</v>
      </c>
      <c r="K98" s="131">
        <f t="shared" si="13"/>
        <v>0</v>
      </c>
    </row>
    <row r="99" spans="1:26" x14ac:dyDescent="0.25">
      <c r="A99" s="271" t="s">
        <v>1191</v>
      </c>
      <c r="B99" s="249"/>
      <c r="C99" s="249"/>
      <c r="D99" s="249"/>
      <c r="E99" s="250"/>
      <c r="F99" s="159"/>
      <c r="G99" s="159"/>
      <c r="H99" s="159"/>
      <c r="I99" s="159"/>
      <c r="J99" s="130">
        <f t="shared" si="13"/>
        <v>0</v>
      </c>
      <c r="K99" s="131">
        <f t="shared" si="13"/>
        <v>0</v>
      </c>
    </row>
    <row r="100" spans="1:26" x14ac:dyDescent="0.25">
      <c r="A100" s="271" t="s">
        <v>1192</v>
      </c>
      <c r="B100" s="249"/>
      <c r="C100" s="249"/>
      <c r="D100" s="249"/>
      <c r="E100" s="250"/>
      <c r="F100" s="159"/>
      <c r="G100" s="159"/>
      <c r="H100" s="159"/>
      <c r="I100" s="159"/>
      <c r="J100" s="130">
        <f t="shared" si="13"/>
        <v>0</v>
      </c>
      <c r="K100" s="131">
        <f t="shared" si="13"/>
        <v>0</v>
      </c>
    </row>
    <row r="101" spans="1:26" ht="15" customHeight="1" x14ac:dyDescent="0.25">
      <c r="A101" s="271" t="s">
        <v>1193</v>
      </c>
      <c r="B101" s="249"/>
      <c r="C101" s="249"/>
      <c r="D101" s="249"/>
      <c r="E101" s="250"/>
      <c r="F101" s="159"/>
      <c r="G101" s="159"/>
      <c r="H101" s="159"/>
      <c r="I101" s="159"/>
      <c r="J101" s="130">
        <f t="shared" si="13"/>
        <v>0</v>
      </c>
      <c r="K101" s="131">
        <f t="shared" si="13"/>
        <v>0</v>
      </c>
    </row>
    <row r="102" spans="1:26" ht="15" customHeight="1" x14ac:dyDescent="0.25">
      <c r="A102" s="271" t="s">
        <v>1194</v>
      </c>
      <c r="B102" s="249"/>
      <c r="C102" s="249"/>
      <c r="D102" s="249"/>
      <c r="E102" s="250"/>
      <c r="F102" s="159"/>
      <c r="G102" s="159"/>
      <c r="H102" s="159"/>
      <c r="I102" s="159"/>
      <c r="J102" s="130">
        <f t="shared" si="13"/>
        <v>0</v>
      </c>
      <c r="K102" s="131">
        <f t="shared" si="13"/>
        <v>0</v>
      </c>
      <c r="M102" s="306" t="s">
        <v>1462</v>
      </c>
      <c r="N102" s="307"/>
      <c r="O102" s="307"/>
      <c r="P102" s="307"/>
      <c r="Q102" s="307"/>
      <c r="R102" s="307"/>
      <c r="S102" s="307"/>
      <c r="T102" s="307"/>
      <c r="U102" s="307"/>
      <c r="V102" s="308"/>
    </row>
    <row r="103" spans="1:26" ht="15" customHeight="1" x14ac:dyDescent="0.25">
      <c r="A103" s="271" t="s">
        <v>1195</v>
      </c>
      <c r="B103" s="249"/>
      <c r="C103" s="249"/>
      <c r="D103" s="249"/>
      <c r="E103" s="250"/>
      <c r="F103" s="159"/>
      <c r="G103" s="159"/>
      <c r="H103" s="159"/>
      <c r="I103" s="159"/>
      <c r="J103" s="130">
        <f t="shared" si="13"/>
        <v>0</v>
      </c>
      <c r="K103" s="131">
        <f t="shared" si="13"/>
        <v>0</v>
      </c>
      <c r="M103" s="303" t="s">
        <v>1469</v>
      </c>
      <c r="N103" s="304"/>
      <c r="O103" s="304"/>
      <c r="P103" s="304"/>
      <c r="Q103" s="304"/>
      <c r="R103" s="304"/>
      <c r="S103" s="304"/>
      <c r="T103" s="304"/>
      <c r="U103" s="304"/>
      <c r="V103" s="305"/>
    </row>
    <row r="104" spans="1:26" ht="15.75" thickBot="1" x14ac:dyDescent="0.3">
      <c r="A104" s="293" t="s">
        <v>15</v>
      </c>
      <c r="B104" s="299"/>
      <c r="C104" s="299"/>
      <c r="D104" s="299"/>
      <c r="E104" s="294"/>
      <c r="F104" s="137">
        <f>SUM(F80:F103)</f>
        <v>0</v>
      </c>
      <c r="G104" s="137">
        <f t="shared" ref="G104:J104" si="14">SUM(G80:G103)</f>
        <v>0</v>
      </c>
      <c r="H104" s="137">
        <f t="shared" si="14"/>
        <v>0</v>
      </c>
      <c r="I104" s="137">
        <f t="shared" si="14"/>
        <v>0</v>
      </c>
      <c r="J104" s="137">
        <f t="shared" si="14"/>
        <v>0</v>
      </c>
      <c r="K104" s="133">
        <f>SUM(K80:K103)</f>
        <v>0</v>
      </c>
      <c r="M104" s="300" t="s">
        <v>1469</v>
      </c>
      <c r="N104" s="301"/>
      <c r="O104" s="301"/>
      <c r="P104" s="301"/>
      <c r="Q104" s="301"/>
      <c r="R104" s="301"/>
      <c r="S104" s="301"/>
      <c r="T104" s="301"/>
      <c r="U104" s="301"/>
      <c r="V104" s="302"/>
    </row>
    <row r="105" spans="1:26" ht="11.25" customHeight="1" thickTop="1" x14ac:dyDescent="0.25">
      <c r="A105" s="35" t="s">
        <v>1115</v>
      </c>
    </row>
    <row r="108" spans="1:26" ht="15.75" customHeight="1" x14ac:dyDescent="0.25">
      <c r="A108" s="298" t="s">
        <v>1468</v>
      </c>
      <c r="B108" s="298"/>
      <c r="C108" s="298"/>
      <c r="D108" s="298"/>
      <c r="E108" s="298"/>
      <c r="F108" s="298"/>
      <c r="G108" s="298"/>
      <c r="H108" s="298"/>
      <c r="I108" s="298"/>
      <c r="J108" s="298"/>
      <c r="K108" s="298"/>
      <c r="L108" s="298"/>
      <c r="M108" s="298"/>
      <c r="N108" s="298"/>
      <c r="O108" s="298"/>
      <c r="P108" s="298"/>
      <c r="Q108" s="298"/>
      <c r="R108" s="298"/>
      <c r="S108" s="298"/>
      <c r="T108" s="298"/>
      <c r="U108" s="151"/>
      <c r="V108" s="44"/>
      <c r="W108" s="44"/>
      <c r="X108" s="44"/>
      <c r="Y108" s="44"/>
      <c r="Z108" s="34"/>
    </row>
    <row r="109" spans="1:26" ht="15" customHeight="1" x14ac:dyDescent="0.25">
      <c r="A109" s="298"/>
      <c r="B109" s="298"/>
      <c r="C109" s="298"/>
      <c r="D109" s="298"/>
      <c r="E109" s="298"/>
      <c r="F109" s="298"/>
      <c r="G109" s="298"/>
      <c r="H109" s="298"/>
      <c r="I109" s="298"/>
      <c r="J109" s="298"/>
      <c r="K109" s="298"/>
      <c r="L109" s="298"/>
      <c r="M109" s="298"/>
      <c r="N109" s="298"/>
      <c r="O109" s="298"/>
      <c r="P109" s="298"/>
      <c r="Q109" s="298"/>
      <c r="R109" s="298"/>
      <c r="S109" s="298"/>
      <c r="T109" s="298"/>
      <c r="U109" s="151"/>
      <c r="V109" s="44"/>
      <c r="W109" s="44"/>
      <c r="X109" s="44"/>
      <c r="Y109" s="44"/>
    </row>
    <row r="110" spans="1:26" ht="15" customHeight="1" x14ac:dyDescent="0.25">
      <c r="A110" s="298"/>
      <c r="B110" s="298"/>
      <c r="C110" s="298"/>
      <c r="D110" s="298"/>
      <c r="E110" s="298"/>
      <c r="F110" s="298"/>
      <c r="G110" s="298"/>
      <c r="H110" s="298"/>
      <c r="I110" s="298"/>
      <c r="J110" s="298"/>
      <c r="K110" s="298"/>
      <c r="L110" s="298"/>
      <c r="M110" s="298"/>
      <c r="N110" s="298"/>
      <c r="O110" s="298"/>
      <c r="P110" s="298"/>
      <c r="Q110" s="298"/>
      <c r="R110" s="298"/>
      <c r="S110" s="298"/>
      <c r="T110" s="298"/>
      <c r="U110" s="151"/>
      <c r="V110" s="123"/>
      <c r="W110" s="123"/>
      <c r="X110" s="123"/>
      <c r="Y110" s="123"/>
    </row>
    <row r="111" spans="1:26" ht="20.45" customHeight="1" x14ac:dyDescent="0.25">
      <c r="A111" s="298"/>
      <c r="B111" s="298"/>
      <c r="C111" s="298"/>
      <c r="D111" s="298"/>
      <c r="E111" s="298"/>
      <c r="F111" s="298"/>
      <c r="G111" s="298"/>
      <c r="H111" s="298"/>
      <c r="I111" s="298"/>
      <c r="J111" s="298"/>
      <c r="K111" s="298"/>
      <c r="L111" s="298"/>
      <c r="M111" s="298"/>
      <c r="N111" s="298"/>
      <c r="O111" s="298"/>
      <c r="P111" s="298"/>
      <c r="Q111" s="298"/>
      <c r="R111" s="298"/>
      <c r="S111" s="298"/>
      <c r="T111" s="298"/>
      <c r="U111" s="151"/>
      <c r="V111" s="44"/>
      <c r="W111" s="44"/>
      <c r="X111" s="44"/>
      <c r="Y111" s="44"/>
    </row>
    <row r="112" spans="1:26" x14ac:dyDescent="0.25">
      <c r="V112" s="44"/>
      <c r="W112" s="44"/>
      <c r="X112" s="44"/>
      <c r="Y112" s="44"/>
    </row>
  </sheetData>
  <sheetProtection algorithmName="SHA-512" hashValue="HDtv+PFYPY7MViKFkiY1vKaFx2Y1NaAA2UCqHCvb4X2UKoMv1rDKxgfl4jYWUaRUdXVVcX9AkfdXCcGfEnU5Gg==" saltValue="CRfOxkmrnChtZuGqP5gkwA==" spinCount="100000" sheet="1" objects="1" scenarios="1" selectLockedCells="1"/>
  <mergeCells count="171">
    <mergeCell ref="A2:H2"/>
    <mergeCell ref="P2:S2"/>
    <mergeCell ref="C4:F4"/>
    <mergeCell ref="H4:I4"/>
    <mergeCell ref="J4:N4"/>
    <mergeCell ref="P4:Z4"/>
    <mergeCell ref="A7:S7"/>
    <mergeCell ref="B8:Q8"/>
    <mergeCell ref="R8:S9"/>
    <mergeCell ref="B9:C9"/>
    <mergeCell ref="D9:E9"/>
    <mergeCell ref="F9:G9"/>
    <mergeCell ref="H9:I9"/>
    <mergeCell ref="J9:K9"/>
    <mergeCell ref="L9:M9"/>
    <mergeCell ref="N9:O9"/>
    <mergeCell ref="A21:E21"/>
    <mergeCell ref="F21:G21"/>
    <mergeCell ref="H21:I21"/>
    <mergeCell ref="A22:E22"/>
    <mergeCell ref="F22:G22"/>
    <mergeCell ref="H22:I22"/>
    <mergeCell ref="P9:Q9"/>
    <mergeCell ref="A18:I18"/>
    <mergeCell ref="A19:E19"/>
    <mergeCell ref="F19:G19"/>
    <mergeCell ref="H19:I19"/>
    <mergeCell ref="A20:E20"/>
    <mergeCell ref="F20:G20"/>
    <mergeCell ref="H20:I20"/>
    <mergeCell ref="A24:Q24"/>
    <mergeCell ref="B25:O25"/>
    <mergeCell ref="P25:Q26"/>
    <mergeCell ref="B26:C26"/>
    <mergeCell ref="D26:E26"/>
    <mergeCell ref="F26:G26"/>
    <mergeCell ref="H26:I26"/>
    <mergeCell ref="J26:K26"/>
    <mergeCell ref="L26:M26"/>
    <mergeCell ref="N26:O26"/>
    <mergeCell ref="A34:O34"/>
    <mergeCell ref="B35:E35"/>
    <mergeCell ref="F35:I35"/>
    <mergeCell ref="J35:M35"/>
    <mergeCell ref="N35:O36"/>
    <mergeCell ref="B36:C36"/>
    <mergeCell ref="D36:E36"/>
    <mergeCell ref="F36:G36"/>
    <mergeCell ref="H36:I36"/>
    <mergeCell ref="J36:K36"/>
    <mergeCell ref="N37:O37"/>
    <mergeCell ref="B38:C38"/>
    <mergeCell ref="D38:E38"/>
    <mergeCell ref="F38:G38"/>
    <mergeCell ref="H38:I38"/>
    <mergeCell ref="J38:K38"/>
    <mergeCell ref="L38:M38"/>
    <mergeCell ref="N38:O38"/>
    <mergeCell ref="L36:M36"/>
    <mergeCell ref="B37:C37"/>
    <mergeCell ref="D37:E37"/>
    <mergeCell ref="F37:G37"/>
    <mergeCell ref="H37:I37"/>
    <mergeCell ref="J37:K37"/>
    <mergeCell ref="L37:M37"/>
    <mergeCell ref="N39:O39"/>
    <mergeCell ref="B40:C40"/>
    <mergeCell ref="D40:E40"/>
    <mergeCell ref="F40:G40"/>
    <mergeCell ref="H40:I40"/>
    <mergeCell ref="J40:K40"/>
    <mergeCell ref="L40:M40"/>
    <mergeCell ref="N40:O40"/>
    <mergeCell ref="B39:C39"/>
    <mergeCell ref="D39:E39"/>
    <mergeCell ref="F39:G39"/>
    <mergeCell ref="H39:I39"/>
    <mergeCell ref="J39:K39"/>
    <mergeCell ref="L39:M39"/>
    <mergeCell ref="N41:O41"/>
    <mergeCell ref="A43:K43"/>
    <mergeCell ref="B44:C44"/>
    <mergeCell ref="D44:E44"/>
    <mergeCell ref="F44:G44"/>
    <mergeCell ref="H44:I44"/>
    <mergeCell ref="J44:K44"/>
    <mergeCell ref="B41:C41"/>
    <mergeCell ref="D41:E41"/>
    <mergeCell ref="F41:G41"/>
    <mergeCell ref="H41:I41"/>
    <mergeCell ref="J41:K41"/>
    <mergeCell ref="L41:M41"/>
    <mergeCell ref="A57:C57"/>
    <mergeCell ref="A58:C58"/>
    <mergeCell ref="A59:C59"/>
    <mergeCell ref="A60:C60"/>
    <mergeCell ref="A61:C61"/>
    <mergeCell ref="A63:H63"/>
    <mergeCell ref="A52:S52"/>
    <mergeCell ref="D53:S53"/>
    <mergeCell ref="D54:E55"/>
    <mergeCell ref="F54:G55"/>
    <mergeCell ref="H54:I55"/>
    <mergeCell ref="J54:K55"/>
    <mergeCell ref="L54:M55"/>
    <mergeCell ref="N54:O55"/>
    <mergeCell ref="P54:Q55"/>
    <mergeCell ref="R54:S55"/>
    <mergeCell ref="K66:L66"/>
    <mergeCell ref="M66:N66"/>
    <mergeCell ref="O66:Q66"/>
    <mergeCell ref="A67:B67"/>
    <mergeCell ref="K67:L67"/>
    <mergeCell ref="M67:N67"/>
    <mergeCell ref="O67:Q67"/>
    <mergeCell ref="K63:Q64"/>
    <mergeCell ref="A64:H64"/>
    <mergeCell ref="C65:D65"/>
    <mergeCell ref="E65:F65"/>
    <mergeCell ref="G65:H65"/>
    <mergeCell ref="M65:N65"/>
    <mergeCell ref="O65:Q65"/>
    <mergeCell ref="A70:B70"/>
    <mergeCell ref="K70:L70"/>
    <mergeCell ref="M70:N70"/>
    <mergeCell ref="O70:Q70"/>
    <mergeCell ref="A71:B71"/>
    <mergeCell ref="A72:B72"/>
    <mergeCell ref="A68:B68"/>
    <mergeCell ref="K68:L68"/>
    <mergeCell ref="M68:N68"/>
    <mergeCell ref="O68:Q68"/>
    <mergeCell ref="A69:B69"/>
    <mergeCell ref="K69:L69"/>
    <mergeCell ref="M69:N69"/>
    <mergeCell ref="O69:Q69"/>
    <mergeCell ref="A80:E80"/>
    <mergeCell ref="A81:E81"/>
    <mergeCell ref="A82:E82"/>
    <mergeCell ref="A83:E83"/>
    <mergeCell ref="A84:E84"/>
    <mergeCell ref="A85:E85"/>
    <mergeCell ref="A73:B73"/>
    <mergeCell ref="A76:K76"/>
    <mergeCell ref="F77:G78"/>
    <mergeCell ref="H77:I78"/>
    <mergeCell ref="J77:K78"/>
    <mergeCell ref="A78:E78"/>
    <mergeCell ref="A92:E92"/>
    <mergeCell ref="A93:E93"/>
    <mergeCell ref="A94:E94"/>
    <mergeCell ref="A95:E95"/>
    <mergeCell ref="A96:E96"/>
    <mergeCell ref="A97:E97"/>
    <mergeCell ref="A86:E86"/>
    <mergeCell ref="A87:E87"/>
    <mergeCell ref="A88:E88"/>
    <mergeCell ref="A89:E89"/>
    <mergeCell ref="A90:E90"/>
    <mergeCell ref="A91:E91"/>
    <mergeCell ref="A103:E103"/>
    <mergeCell ref="M103:V103"/>
    <mergeCell ref="A104:E104"/>
    <mergeCell ref="M104:V104"/>
    <mergeCell ref="A108:T111"/>
    <mergeCell ref="A98:E98"/>
    <mergeCell ref="A99:E99"/>
    <mergeCell ref="A100:E100"/>
    <mergeCell ref="A101:E101"/>
    <mergeCell ref="A102:E102"/>
    <mergeCell ref="M102:V102"/>
  </mergeCells>
  <dataValidations count="79">
    <dataValidation type="custom" showInputMessage="1" showErrorMessage="1" errorTitle="Erro" error="Tem que introduzir um valor númerico inteiro igual ou superior ao valor de &quot;F&quot;" sqref="D57:D59 F57:F59 H57:H59 J57:J59 L57:L59 N57:N59 P57:P59 D61 F61 H61 J61 L61 N61 P61 C67:C72 E67:E72 F80:F103 H80:H103" xr:uid="{54EDCDA3-38CF-4AD3-8726-248259E1B822}">
      <formula1>AND(C57&gt;=0,C57&gt;=D57,MOD(C57,1)=0)</formula1>
    </dataValidation>
    <dataValidation type="custom" showInputMessage="1" showErrorMessage="1" errorTitle="Erro" error="O número de alunos com deficiências F na 13ª classe não deve ser superior ao de matriculados F na 13ª classe" sqref="C49 E49 G49 I49" xr:uid="{32A4E988-F3A1-437C-AD06-F28A5D573D54}">
      <formula1>AND(C49&gt;=0,C49&lt;=B49,MOD(C49,1)=0,$S14&gt;=C49)</formula1>
    </dataValidation>
    <dataValidation type="custom" showInputMessage="1" showErrorMessage="1" errorTitle="Erro" error="O número de Alunos com deficiências MF na 13ª classe não pode ser superior ao número de matriculados MF na 13ª classe" sqref="B49 D49 F49 H49" xr:uid="{7F6AB5E4-D49F-4BF1-B54F-265DF7D1F8E7}">
      <formula1>AND(B49&gt;=0,B49&gt;=C49,MOD(B49,1)=0,$R14&gt;=B49)</formula1>
    </dataValidation>
    <dataValidation type="custom" showInputMessage="1" showErrorMessage="1" errorTitle="Erro" error="O número de alunos com deficiências F na 12ª classe não deve ser superior ao de matriculados F na 12ª classe" sqref="C48 E48 G48 I48" xr:uid="{331C1E2B-7F80-478E-9A40-5B602B3F80BB}">
      <formula1>AND(C48&gt;=0,C48&lt;=B48,MOD(C48,1)=0,$S13&gt;=C48)</formula1>
    </dataValidation>
    <dataValidation type="custom" showInputMessage="1" showErrorMessage="1" errorTitle="Erro" error="O número de Alunos com deficiências MF na 12ª classe não pode ser superior ao número de matriculados MF na 12ª classe" sqref="B48 D48 F48 H48" xr:uid="{A127620D-649C-4932-8CA6-8A0B059DD687}">
      <formula1>AND(B48&gt;=0,B48&gt;=C48,MOD(B48,1)=0,$R13&gt;=B48)</formula1>
    </dataValidation>
    <dataValidation type="custom" showInputMessage="1" showErrorMessage="1" errorTitle="Erro" error="O número de alunos com deficiências F na 11ª classe não deve ser superior ao de matriculados F na 11ª classe" sqref="C47 E47 G47 I47" xr:uid="{81439B30-4DD8-4E95-80B8-EACB49CB1E45}">
      <formula1>AND(C47&gt;=0,C47&lt;=B47,MOD(C47,1)=0,$S12&gt;=C47)</formula1>
    </dataValidation>
    <dataValidation type="custom" showInputMessage="1" showErrorMessage="1" errorTitle="Erro" error="O número de Alunos com deficiências MF na 11ª classe não pode ser superior ao número de matriculados MF na 11ª classe" sqref="B47 D47 F47 H47" xr:uid="{C4542C9C-051A-4961-9366-DBCD45063750}">
      <formula1>AND(B47&gt;=0,B47&gt;=C47,MOD(B47,1)=0,$R12&gt;=B47)</formula1>
    </dataValidation>
    <dataValidation type="custom" showInputMessage="1" showErrorMessage="1" errorTitle="Erro" error="O número de alunos com deficiências F na 10ª classe não deve ser superior ao de matriculados F na 10ª classe" sqref="C46 E46 G46 I46" xr:uid="{8D6F2D2C-18FC-4242-9A08-BFF1D7917824}">
      <formula1>AND(C46&gt;=0,C46&lt;=B46,MOD(C46,1)=0,$S11&gt;=C46)</formula1>
    </dataValidation>
    <dataValidation type="custom" showInputMessage="1" showErrorMessage="1" errorTitle="Erro" error="O número de Alunos com deficiências MF na 10ª classe não pode ser superior ao número de matriculados MF na 10ª classe" sqref="B46 D46 F46 H46" xr:uid="{3ED5ADA2-1AB2-4E7C-9A3F-AE77E594802C}">
      <formula1>AND(B46&gt;=0,B46&gt;=C46,MOD(B46,1)=0,$R11&gt;=B46)</formula1>
    </dataValidation>
    <dataValidation type="custom" showInputMessage="1" showErrorMessage="1" errorTitle="Erro" error="Tem que introduzir um valor numérico inteiro" sqref="B37:C40 F37:G40 J37:K40" xr:uid="{2DE5736D-13CD-42D9-AC03-98A2447A5E7B}">
      <formula1>AND(B37&gt;=0,MOD(B37,1)=0)</formula1>
    </dataValidation>
    <dataValidation type="custom" showInputMessage="1" showErrorMessage="1" errorTitle="Erro" error="O número de alunos repetentes F com 19 anos na 13ª classe não deve ser superior ao de matriculados F com 19 anos na 13ª classe" sqref="K31" xr:uid="{8001F24C-16C3-4FC5-9E6E-A2FD5BC92F40}">
      <formula1>AND(K31&gt;=0,M14&gt;=K31,MOD(K31,1)=0,K31&lt;=J31)</formula1>
    </dataValidation>
    <dataValidation type="custom" showInputMessage="1" showErrorMessage="1" errorTitle="Erro" error="O número de alunos repetentes MF com 16 anos na 10ª classe não deve ser superior ao de matriculados MF com 16 anos na 10ª classe" sqref="D28" xr:uid="{4AF5FE40-3EBA-4DFD-ADB3-84EBDDB2CFFC}">
      <formula1>AND(D28&gt;=0,F11&gt;=D28,MOD(D28,1)=0,D28&gt;=E28)</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8" xr:uid="{8E51ED7C-994F-459E-8F4A-F7F99D6FAC07}">
      <formula1>AND(C28&gt;=0,E11&gt;=C28,MOD(C28,1)=0,C28&lt;=B28)</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8" xr:uid="{4AB4C378-28BA-4C8E-9767-45143CE34455}">
      <formula1>AND(B28&gt;=0,D11&gt;=B28,MOD(B28,1)=0,B28&gt;=C28)</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8" xr:uid="{BC98F027-2A31-4B10-9BB1-7B37319D3008}">
      <formula1>AND(F28&gt;=0,H11&gt;=F28,MOD(F28,1)=0,F28&gt;=G28)</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8" xr:uid="{B4B4811B-1DBA-4985-965A-01F9C28FA6AB}">
      <formula1>AND(G28&gt;=0,I11&gt;=G28,MOD(G28,1)=0,G28&lt;=F28)</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8" xr:uid="{28E5553C-70B9-479B-840C-2F4F7605E82C}">
      <formula1>AND(H28&gt;=0,J11&gt;=H28,MOD(H28,1)=0,H28&gt;=I28)</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8" xr:uid="{03A29D85-C3EA-4ED0-8386-B877E94B6C76}">
      <formula1>AND(I28&gt;=0,K11&gt;=I28,MOD(I28,1)=0,I28&lt;=H28)</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8" xr:uid="{3086A3FA-A514-4439-868A-AC4009377682}">
      <formula1>AND(J28&gt;=0,L11&gt;=J28,MOD(J28,1)=0,J28&gt;=K28)</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8" xr:uid="{8582F34C-9D86-40A4-BE08-E93A7088E818}">
      <formula1>AND(K28&gt;=0,M11&gt;=K28,MOD(K28,1)=0,K28&lt;=J28)</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8" xr:uid="{07A825F8-EA95-48C6-9CDF-A439796CAE45}">
      <formula1>AND(L28&gt;=0,N11&gt;=L28,MOD(L28,1)=0,L28&gt;=M28)</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8" xr:uid="{0B726684-3D21-4EC4-B112-45181827B870}">
      <formula1>AND(M28&gt;=0,O11&gt;=M28,MOD(M28,1)=0,M28&lt;=L28)</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8" xr:uid="{61E6C9EF-3E6F-4C4A-AC3A-7ED770B0A9A4}">
      <formula1>AND(N28&gt;=0,P11&gt;=N28,MOD(N28,1)=0,N28&gt;=O28)</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8" xr:uid="{948D546A-EC8F-4133-AD07-6C2004E84D20}">
      <formula1>AND(O28&gt;=0,Q11&gt;=O28,MOD(O28,1)=0,O28&lt;=N28)</formula1>
    </dataValidation>
    <dataValidation type="custom" showInputMessage="1" showErrorMessage="1" errorTitle="Erro" error="O número de alunos repetentes MF com 17 anos na 11ª classe não deve ser superior ao de matriculados MF com 17 anos na 11ª classe" sqref="F29" xr:uid="{A93581D2-760A-4392-BA34-E57FA048EBC5}">
      <formula1>AND(F29&gt;=0,H12&gt;=F29,MOD(F29,1)=0,F29&gt;=G29)</formula1>
    </dataValidation>
    <dataValidation type="custom" showInputMessage="1" showErrorMessage="1" errorTitle="Erro" error="O número de alunos repetentes F com 17 anos na 11ª classe não deve ser superior ao de matriculados F com 17 anos na 11ª classe" sqref="G29" xr:uid="{F8700540-3957-4825-B495-00FA1B178D42}">
      <formula1>AND(G29&gt;=0,I12&gt;=G29,MOD(G29,1)=0,G29&lt;=F29)</formula1>
    </dataValidation>
    <dataValidation type="custom" showInputMessage="1" showErrorMessage="1" errorTitle="Erro" error="O número de alunos repetentes F com 16 anos na 10ª classe não deve ser superior ao de matriculados F com 16 anos na 10ª classe" sqref="E28" xr:uid="{75DDAA84-ED95-4D64-ABEB-2BEB9E62B081}">
      <formula1>AND(E28&gt;=0,G11&gt;=E28,MOD(E28,1)=0,E28&lt;=D28)</formula1>
    </dataValidation>
    <dataValidation type="custom" showInputMessage="1" showErrorMessage="1" errorTitle="Erro" error="O número de alunos repetentes MF com 18 anos na 12ª classe não deve ser superior ao de matriculados MF com 18 anos na 12ª classe" sqref="H30" xr:uid="{3B23CC6C-DB78-4DA2-96BF-87672621AD49}">
      <formula1>AND(H30&gt;=0,J13&gt;=H30,MOD(H30,1)=0,H30&gt;=I30)</formula1>
    </dataValidation>
    <dataValidation type="custom" showInputMessage="1" showErrorMessage="1" errorTitle="Erro" error="O número de alunos repetentes F com 18 anos na 12ª classe não deve ser superior ao de matriculados F com 18 anos na 12ª classe" sqref="I30" xr:uid="{6883BEF5-21FC-4E12-9054-75D15CF497DE}">
      <formula1>AND(I30&gt;=0,K13&gt;=I30,MOD(I30,1)=0,I30&lt;=H30)</formula1>
    </dataValidation>
    <dataValidation type="custom" showInputMessage="1" showErrorMessage="1" errorTitle="Erro" error="O número de alunos repetentes MF com 19 anos na 13ª classe não deve ser superior ao de matriculados MF com 19 anos na 13ª classe" sqref="J31" xr:uid="{615F517D-380C-40ED-AA3D-A92172CB21DE}">
      <formula1>AND(J31&gt;=0,L14&gt;=J31,MOD(J31,1)=0,J31&gt;=K31)</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9" xr:uid="{172A2D3C-DFE8-4F93-B830-7F4FE320DF79}">
      <formula1>AND(B29&gt;=0,D12&gt;=B29,MOD(B29,1)=0,B29&gt;=C29)</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9" xr:uid="{96EF6447-0F02-48E1-9560-98E02413DF59}">
      <formula1>AND(C29&gt;=0,E12&gt;=C29,MOD(C29,1)=0,C29&lt;=B29)</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30" xr:uid="{14790C6C-68D6-477D-BCAF-2006F16391E6}">
      <formula1>AND(B30&gt;=0,D13&gt;=B30,MOD(B30,1)=0,B30&gt;=C30)</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30" xr:uid="{EA875727-BF3A-4324-ACD1-411CC17B0DAA}">
      <formula1>AND(C30&gt;=0,E13&gt;=C30,MOD(C30,1)=0,C30&lt;=B30)</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31" xr:uid="{875707F2-2912-43B8-B339-3264DED7B5AC}">
      <formula1>AND(B31&gt;=0,D14&gt;=B31,MOD(B31,1)=0,B31&gt;=C31)</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31" xr:uid="{6A039665-0420-4A83-B69D-DD3E9A025020}">
      <formula1>AND(C31&gt;=0,E14&gt;=C31,MOD(C31,1)=0,C31&lt;=B31)</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9" xr:uid="{A39ED2B0-5585-46AB-B33E-8E34D587C5E5}">
      <formula1>AND(D29&gt;=0,F12&gt;=D29,MOD(D29,1)=0,D29&gt;=E29)</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9" xr:uid="{8B586341-15DD-4982-9714-3DC3BA228DEE}">
      <formula1>AND(E29&gt;=0,G12&gt;=E29,MOD(E29,1)=0,E29&lt;=D29)</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9" xr:uid="{2486853D-5FE0-47F8-9307-265A4E632C90}">
      <formula1>AND(H29&gt;=0,J12&gt;=H29,MOD(H29,1)=0,H29&gt;=I29)</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9" xr:uid="{AB086F3C-5561-409E-92E1-F073D786ED0E}">
      <formula1>AND(I29&gt;=0,K12&gt;=I29,MOD(I29,1)=0,I29&lt;=H29)</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9" xr:uid="{523BB98F-B741-4DCA-9929-729CC62954A9}">
      <formula1>AND(J29&gt;=0,L12&gt;=J29,MOD(J29,1)=0,J29&gt;=K29)</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9" xr:uid="{F4F03A23-8769-4FF6-B159-7C8D78CBD3A2}">
      <formula1>AND(K29&gt;=0,M12&gt;=K29,MOD(K29,1)=0,K29&lt;=J29)</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9" xr:uid="{B013F43A-F195-4343-840D-020858477D26}">
      <formula1>AND(L29&gt;=0,N12&gt;=L29,MOD(L29,1)=0,L29&gt;=M29)</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9" xr:uid="{2A15AFB6-E346-4784-86A8-274325115F0C}">
      <formula1>AND(M29&gt;=0,O12&gt;=M29,MOD(M29,1)=0,M29&lt;=L29)</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9" xr:uid="{DF83F604-0C29-4D6C-BDDC-0B023A6CB13C}">
      <formula1>AND(N29&gt;=0,P12&gt;=N29,MOD(N29,1)=0,N29&gt;=O29)</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9" xr:uid="{049A84E4-7C26-46E1-9994-DB746DC9F4FC}">
      <formula1>AND(O29&gt;=0,Q12&gt;=O29,MOD(O29,1)=0,O29&lt;=N29)</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30" xr:uid="{1156647E-890D-4B2F-873B-ED935BBBE9B4}">
      <formula1>AND(D30&gt;=0,F13&gt;=D30,MOD(D30,1)=0,D30&gt;=E30)</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30" xr:uid="{DFE24BFA-1408-474F-BAAE-FB09AECF2A4E}">
      <formula1>AND(E30&gt;=0,G13&gt;=E30,MOD(E30,1)=0,E30&lt;=D30)</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30" xr:uid="{9AC20E92-7D9A-4B22-A3E1-7E2A6F27AAEE}">
      <formula1>AND(F30&gt;=0,H13&gt;=F30,MOD(F30,1)=0,F30&gt;=G30)</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30" xr:uid="{1C034BAA-7351-4C01-8D47-D160398CBFCA}">
      <formula1>AND(G30&gt;=0,I13&gt;=G30,MOD(G30,1)=0,G30&lt;=F30)</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30" xr:uid="{D2C8C784-BE95-452F-85FB-5550109680C0}">
      <formula1>AND(J30&gt;=0,L13&gt;=J30,MOD(J30,1)=0,J30&gt;=K30)</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30" xr:uid="{FA2E3941-2AC6-47F2-A735-1ED2446EEA24}">
      <formula1>AND(K30&gt;=0,M13&gt;=K30,MOD(K30,1)=0,K30&lt;=J30)</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30" xr:uid="{2BDBD98E-7D09-40B5-94F1-B83D322FC7BF}">
      <formula1>AND(L30&gt;=0,N13&gt;=L30,MOD(L30,1)=0,L30&gt;=M30)</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30" xr:uid="{C1985A92-AD22-4480-B0F0-16FD310AF0EC}">
      <formula1>AND(M30&gt;=0,O13&gt;=M30,MOD(M30,1)=0,M30&lt;=L30)</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30" xr:uid="{E7C9671C-272F-41D9-AC48-707F77B54536}">
      <formula1>AND(N30&gt;=0,P13&gt;=N30,MOD(N30,1)=0,N30&gt;=O30)</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30" xr:uid="{8BBA45F5-3E98-4814-A41A-9FB2581149D6}">
      <formula1>AND(O30&gt;=0,Q13&gt;=O30,MOD(O30,1)=0,O30&lt;=N30)</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31" xr:uid="{44F4F8C0-9A23-42E6-A89D-3029320627E5}">
      <formula1>AND(D31&gt;=0,F14&gt;=D31,MOD(D31,1)=0,D31&gt;=E31)</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31" xr:uid="{94C33577-F938-47C7-96F7-EAC6116B46E1}">
      <formula1>AND(E31&gt;=0,G14&gt;=E31,MOD(E31,1)=0,E31&lt;=D31)</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31" xr:uid="{CC1D409B-594B-4581-BACD-E6D5078F1A49}">
      <formula1>AND(G31&gt;=0,I14&gt;=G31,MOD(G31,1)=0,G31&lt;=F31)</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31" xr:uid="{DCABC350-9E92-436D-B657-42D551D17226}">
      <formula1>AND(F31&gt;=0,H14&gt;=F31,MOD(F31,1)=0,F31&gt;=G31)</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31" xr:uid="{62496EB5-5C59-47A0-BB19-F0E7D4191003}">
      <formula1>AND(H31&gt;=0,J14&gt;=H31,MOD(H31,1)=0,H31&gt;=I31)</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31" xr:uid="{02C8F58E-99A6-48C9-A4F8-3D5148D25134}">
      <formula1>AND(I31&gt;=0,K14&gt;=I31,MOD(I31,1)=0,I31&lt;=H31)</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31" xr:uid="{5455ABDA-2DB2-464A-8156-FF44B7EDF58F}">
      <formula1>AND(L31&gt;=0,N14&gt;=L31,MOD(L31,1)=0,L31&gt;=M31)</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31" xr:uid="{6C14F745-98D3-4B89-A60A-54386B6A549F}">
      <formula1>AND(M31&gt;=0,O14&gt;=M31,MOD(M31,1)=0,M31&lt;=L31)</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31" xr:uid="{C226E917-E850-427E-A499-C38574ADFAE5}">
      <formula1>AND(N31&gt;=0,P14&gt;=N31,MOD(N31,1)=0,N31&gt;=O31)</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31" xr:uid="{E7B625B9-681B-41A3-BE57-09B33B860BB3}">
      <formula1>AND(O31&gt;=0,Q14&gt;=O31,MOD(O31,1)=0,O31&lt;=N31)</formula1>
    </dataValidation>
    <dataValidation type="custom" showInputMessage="1" showErrorMessage="1" errorTitle="Erro" error="O valor de &quot;F&quot; não pode ser superior ao valor de &quot;MF&quot;" sqref="H21:I22" xr:uid="{28C99701-92EB-4C01-97A3-BDBC160B0323}">
      <formula1>AND(H21&gt;=0,H21&lt;=F21,MOD(H21,1)=0)</formula1>
    </dataValidation>
    <dataValidation type="custom" showInputMessage="1" showErrorMessage="1" errorTitle="Erro" error="Tem que introduzir um valor númerico inteiro" sqref="F20:G20 M66:N69" xr:uid="{259C96F1-DB7A-44E6-8CE4-20E37E01490E}">
      <formula1>AND(F20&gt;=0,MOD(F20,1)=0)</formula1>
    </dataValidation>
    <dataValidation type="custom" showInputMessage="1" showErrorMessage="1" errorTitle="Erro" error="Tem que introduzir um valor númerico inteiro que seja igual ou superior ao valor de F" sqref="F21:G22" xr:uid="{B64930A6-4DA8-4FA6-8208-4B3D808DD46C}">
      <formula1>AND(F21&gt;=0,F21&gt;=H21,MOD(F21,1)=0)</formula1>
    </dataValidation>
    <dataValidation type="custom" showInputMessage="1" showErrorMessage="1" errorTitle="Erro" error="Tem que introduzir um valor númerico inteiro que seja igual ou superior ao valor de F" sqref="D11 F12 H13 J14" xr:uid="{347473A0-70E9-48A6-ADFD-E880EB762818}">
      <formula1>AND(D11&gt;=0,D11&gt;=E11,MOD(D11,1)=0)</formula1>
    </dataValidation>
    <dataValidation type="custom" showInputMessage="1" showErrorMessage="1" errorTitle="Erro" error="O valor de &quot;F&quot; não pode ser superior ao valor de &quot;MF&quot;" sqref="E11 G12 I13 K14 Q57:Q59 E57:E59 G57:G59 I57:I59 K57:K59 M57:M59 O57:O59 I61 K61 M61 O61 Q61 E61 G61 D67:D72 F67:F72 G80:G103 I80:I103" xr:uid="{C27AD159-034C-4C57-8E1A-A90288D22FD9}">
      <formula1>AND(D11&gt;=0,D11&lt;=C11,MOD(D11,1)=0)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9DC8280F-DB61-48F2-B6AE-3C3DB36EB708}">
      <formula1>AND(B11&gt;=0,B11&gt;=C11,MOD(B11,1)=0)</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6E37EAE6-368D-4037-9DFC-6879508F3DC5}">
      <formula1>AND(C11&gt;=0,C11&lt;=B11,MOD(C11,1)=0)</formula1>
    </dataValidation>
    <dataValidation type="list" allowBlank="1" showInputMessage="1" showErrorMessage="1" sqref="E39:E40 I39:I40 M39:M40 L37:L40 H37:H40 E37 D37:D40" xr:uid="{BFDA1B5D-4917-403F-8659-1012AFA12A42}">
      <formula1>NumTurnos</formula1>
    </dataValidation>
    <dataValidation type="list" allowBlank="1" showInputMessage="1" showErrorMessage="1" errorTitle="Erro" error="Tem que introduzir um valor númerico inteiro" sqref="O66:O69" xr:uid="{C66395F0-F661-4436-99B2-BE264A6294EF}">
      <formula1>SimNao</formula1>
    </dataValidation>
    <dataValidation type="custom" allowBlank="1" showInputMessage="1" showErrorMessage="1" errorTitle="Erro" error="O valor de &quot;F&quot; não pode ser superior ao valor de &quot;MF&quot;" sqref="H20:I20" xr:uid="{48D8399D-8027-42C6-853D-4E5745CA5913}">
      <formula1>F20&gt;=H20</formula1>
    </dataValidation>
    <dataValidation type="list" allowBlank="1" showInputMessage="1" showErrorMessage="1" sqref="J4:N4" xr:uid="{3B80B299-06A5-4F18-9A03-408405C30AE3}">
      <formula1>OFFSET(AreasTPIIStart,MATCH(C4,AreasTPII,0),1,COUNTIF(AreasTPII,C4),1)</formula1>
    </dataValidation>
    <dataValidation type="list" allowBlank="1" showInputMessage="1" showErrorMessage="1" sqref="C4:F4" xr:uid="{657B4258-4F9F-4220-A0C4-37A4E9E8AE17}">
      <formula1>AreasTPII_v1</formula1>
    </dataValidation>
    <dataValidation type="whole" allowBlank="1" showInputMessage="1" showErrorMessage="1" errorTitle="Erro" error="Tem que introduzir um valor númerico inteiro" sqref="B17:I17 B23:I23 O70 L71:O75 J17:Q23" xr:uid="{07E7CD1A-4717-4100-A9D2-63DAD33619C7}">
      <formula1>0</formula1>
      <formula2>100000000</formula2>
    </dataValidation>
  </dataValidations>
  <pageMargins left="0.13" right="0.13" top="0.25" bottom="0.19" header="0.22" footer="0.16"/>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locked="0" defaultSize="0" print="0" autoFill="0" autoPict="0" macro="[0]!_xludf.Copy">
                <anchor moveWithCells="1" sizeWithCells="1">
                  <from>
                    <xdr:col>19</xdr:col>
                    <xdr:colOff>104775</xdr:colOff>
                    <xdr:row>1</xdr:row>
                    <xdr:rowOff>19050</xdr:rowOff>
                  </from>
                  <to>
                    <xdr:col>22</xdr:col>
                    <xdr:colOff>352425</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5FA8C-DA96-4EAD-ABF5-2E8DB80C96F2}">
  <sheetPr codeName="Sheet23"/>
  <dimension ref="A1:AH112"/>
  <sheetViews>
    <sheetView showGridLines="0" workbookViewId="0">
      <selection activeCell="J4" sqref="J4:N4"/>
    </sheetView>
  </sheetViews>
  <sheetFormatPr defaultColWidth="9.140625" defaultRowHeight="15" x14ac:dyDescent="0.25"/>
  <cols>
    <col min="1" max="1" width="12.140625" style="33" customWidth="1"/>
    <col min="2" max="2" width="9.42578125" style="33" customWidth="1"/>
    <col min="3" max="3" width="8.42578125" style="33" customWidth="1"/>
    <col min="4" max="13" width="6.85546875" style="33" customWidth="1"/>
    <col min="14" max="14" width="7.85546875" style="33" customWidth="1"/>
    <col min="15" max="15" width="7.28515625" style="33" customWidth="1"/>
    <col min="16" max="16" width="8.140625" style="33" customWidth="1"/>
    <col min="17" max="17" width="8" style="33" customWidth="1"/>
    <col min="18" max="19" width="6.28515625" style="33" customWidth="1"/>
    <col min="20" max="20" width="6.42578125" style="33" customWidth="1"/>
    <col min="21" max="21" width="7" style="33" customWidth="1"/>
    <col min="22" max="22" width="3.28515625" style="33" customWidth="1"/>
    <col min="23" max="23" width="5.5703125" style="33" customWidth="1"/>
    <col min="24" max="24" width="5.42578125" style="33" customWidth="1"/>
    <col min="25" max="27" width="6.28515625" style="33" customWidth="1"/>
    <col min="28" max="16384" width="9.140625" style="33"/>
  </cols>
  <sheetData>
    <row r="1" spans="1:28" ht="8.4499999999999993" customHeight="1" x14ac:dyDescent="0.25">
      <c r="A1" s="35">
        <v>1</v>
      </c>
    </row>
    <row r="2" spans="1:28" ht="17.25" customHeight="1" x14ac:dyDescent="0.35">
      <c r="A2" s="347" t="s">
        <v>126</v>
      </c>
      <c r="B2" s="347"/>
      <c r="C2" s="347"/>
      <c r="D2" s="347"/>
      <c r="E2" s="347"/>
      <c r="F2" s="347"/>
      <c r="G2" s="347"/>
      <c r="H2" s="347"/>
      <c r="I2" s="32"/>
      <c r="P2" s="352" t="s">
        <v>124</v>
      </c>
      <c r="Q2" s="352"/>
      <c r="R2" s="352"/>
      <c r="S2" s="352"/>
      <c r="AB2" s="36"/>
    </row>
    <row r="3" spans="1:28" ht="12" customHeight="1" x14ac:dyDescent="0.25">
      <c r="A3" s="35">
        <v>1</v>
      </c>
      <c r="AB3" s="36"/>
    </row>
    <row r="4" spans="1:28" ht="15.75" customHeight="1" x14ac:dyDescent="0.25">
      <c r="A4" s="13" t="s">
        <v>1432</v>
      </c>
      <c r="B4" s="88"/>
      <c r="C4" s="349"/>
      <c r="D4" s="350"/>
      <c r="E4" s="350"/>
      <c r="F4" s="351"/>
      <c r="H4" s="254" t="s">
        <v>284</v>
      </c>
      <c r="I4" s="255"/>
      <c r="J4" s="349"/>
      <c r="K4" s="350"/>
      <c r="L4" s="350"/>
      <c r="M4" s="350"/>
      <c r="N4" s="351"/>
      <c r="P4" s="353" t="s">
        <v>1470</v>
      </c>
      <c r="Q4" s="353"/>
      <c r="R4" s="353"/>
      <c r="S4" s="353"/>
      <c r="T4" s="353"/>
      <c r="U4" s="353"/>
      <c r="V4" s="353"/>
      <c r="W4" s="353"/>
      <c r="X4" s="353"/>
      <c r="Y4" s="353"/>
      <c r="Z4" s="353"/>
      <c r="AB4" s="36"/>
    </row>
    <row r="5" spans="1:28" ht="12" customHeight="1" x14ac:dyDescent="0.25">
      <c r="A5" s="35" t="s">
        <v>1115</v>
      </c>
      <c r="D5" s="34"/>
      <c r="T5" s="6"/>
      <c r="U5" s="6"/>
      <c r="AB5" s="36"/>
    </row>
    <row r="6" spans="1:28" ht="5.25" customHeight="1" thickBot="1" x14ac:dyDescent="0.3">
      <c r="A6" s="45">
        <v>1</v>
      </c>
      <c r="B6" s="46"/>
      <c r="C6" s="46"/>
      <c r="D6" s="46"/>
      <c r="E6" s="46"/>
      <c r="F6" s="46"/>
      <c r="G6" s="46"/>
      <c r="H6" s="46"/>
      <c r="I6" s="46"/>
      <c r="J6" s="46"/>
      <c r="K6" s="46"/>
      <c r="L6" s="46"/>
      <c r="M6" s="46"/>
      <c r="N6" s="46"/>
      <c r="O6" s="46"/>
      <c r="P6" s="46"/>
      <c r="Q6" s="46"/>
      <c r="R6" s="46"/>
      <c r="S6" s="46"/>
      <c r="T6" s="6"/>
      <c r="U6" s="6"/>
      <c r="V6" s="6"/>
      <c r="W6" s="6"/>
      <c r="X6" s="6"/>
      <c r="Y6" s="6"/>
      <c r="Z6" s="36"/>
      <c r="AA6" s="36"/>
      <c r="AB6" s="36"/>
    </row>
    <row r="7" spans="1:28" ht="15.75" thickTop="1" x14ac:dyDescent="0.25">
      <c r="A7" s="335" t="s">
        <v>150</v>
      </c>
      <c r="B7" s="336"/>
      <c r="C7" s="336"/>
      <c r="D7" s="336"/>
      <c r="E7" s="336"/>
      <c r="F7" s="336"/>
      <c r="G7" s="336"/>
      <c r="H7" s="336"/>
      <c r="I7" s="336"/>
      <c r="J7" s="336"/>
      <c r="K7" s="336"/>
      <c r="L7" s="336"/>
      <c r="M7" s="336"/>
      <c r="N7" s="336"/>
      <c r="O7" s="336"/>
      <c r="P7" s="336"/>
      <c r="Q7" s="336"/>
      <c r="R7" s="336"/>
      <c r="S7" s="337"/>
      <c r="T7" s="6"/>
      <c r="U7" s="6"/>
      <c r="Z7" s="36"/>
      <c r="AA7" s="36"/>
      <c r="AB7" s="47"/>
    </row>
    <row r="8" spans="1:28" x14ac:dyDescent="0.25">
      <c r="A8" s="37">
        <v>1</v>
      </c>
      <c r="B8" s="348" t="s">
        <v>146</v>
      </c>
      <c r="C8" s="348"/>
      <c r="D8" s="348"/>
      <c r="E8" s="348"/>
      <c r="F8" s="348"/>
      <c r="G8" s="348"/>
      <c r="H8" s="348"/>
      <c r="I8" s="348"/>
      <c r="J8" s="348"/>
      <c r="K8" s="348"/>
      <c r="L8" s="348"/>
      <c r="M8" s="348"/>
      <c r="N8" s="348"/>
      <c r="O8" s="348"/>
      <c r="P8" s="348"/>
      <c r="Q8" s="348"/>
      <c r="R8" s="269" t="s">
        <v>15</v>
      </c>
      <c r="S8" s="320"/>
      <c r="T8" s="6"/>
      <c r="U8" s="6"/>
      <c r="Z8" s="36"/>
      <c r="AA8" s="36"/>
      <c r="AB8" s="48"/>
    </row>
    <row r="9" spans="1:28" ht="15" customHeight="1" x14ac:dyDescent="0.25">
      <c r="A9" s="38" t="s">
        <v>42</v>
      </c>
      <c r="B9" s="346" t="s">
        <v>281</v>
      </c>
      <c r="C9" s="346"/>
      <c r="D9" s="346" t="s">
        <v>274</v>
      </c>
      <c r="E9" s="346"/>
      <c r="F9" s="346" t="s">
        <v>275</v>
      </c>
      <c r="G9" s="346"/>
      <c r="H9" s="346" t="s">
        <v>276</v>
      </c>
      <c r="I9" s="346"/>
      <c r="J9" s="346" t="s">
        <v>277</v>
      </c>
      <c r="K9" s="346"/>
      <c r="L9" s="346" t="s">
        <v>278</v>
      </c>
      <c r="M9" s="346"/>
      <c r="N9" s="344" t="s">
        <v>279</v>
      </c>
      <c r="O9" s="344"/>
      <c r="P9" s="344" t="s">
        <v>280</v>
      </c>
      <c r="Q9" s="344"/>
      <c r="R9" s="269"/>
      <c r="S9" s="320"/>
      <c r="T9" s="36"/>
      <c r="Z9" s="36"/>
      <c r="AA9" s="36"/>
      <c r="AB9" s="48"/>
    </row>
    <row r="10" spans="1:28" x14ac:dyDescent="0.25">
      <c r="A10" s="57" t="s">
        <v>43</v>
      </c>
      <c r="B10" s="97" t="s">
        <v>9</v>
      </c>
      <c r="C10" s="97" t="s">
        <v>10</v>
      </c>
      <c r="D10" s="97" t="s">
        <v>9</v>
      </c>
      <c r="E10" s="97" t="s">
        <v>10</v>
      </c>
      <c r="F10" s="97"/>
      <c r="G10" s="97"/>
      <c r="H10" s="97"/>
      <c r="I10" s="97"/>
      <c r="J10" s="97"/>
      <c r="K10" s="97"/>
      <c r="L10" s="97"/>
      <c r="M10" s="97"/>
      <c r="N10" s="97"/>
      <c r="O10" s="97"/>
      <c r="P10" s="97" t="s">
        <v>9</v>
      </c>
      <c r="Q10" s="97" t="s">
        <v>10</v>
      </c>
      <c r="R10" s="121" t="s">
        <v>9</v>
      </c>
      <c r="S10" s="122" t="s">
        <v>10</v>
      </c>
      <c r="T10" s="36"/>
      <c r="Z10" s="36"/>
      <c r="AA10" s="36"/>
      <c r="AB10" s="48"/>
    </row>
    <row r="11" spans="1:28" s="59" customFormat="1" ht="12.75" x14ac:dyDescent="0.2">
      <c r="A11" s="99" t="s">
        <v>68</v>
      </c>
      <c r="B11" s="157"/>
      <c r="C11" s="157"/>
      <c r="D11" s="155"/>
      <c r="E11" s="155"/>
      <c r="F11" s="157"/>
      <c r="G11" s="157"/>
      <c r="H11" s="157"/>
      <c r="I11" s="157"/>
      <c r="J11" s="157"/>
      <c r="K11" s="157"/>
      <c r="L11" s="157"/>
      <c r="M11" s="157"/>
      <c r="N11" s="157"/>
      <c r="O11" s="157"/>
      <c r="P11" s="157"/>
      <c r="Q11" s="157"/>
      <c r="R11" s="130">
        <f>P11+N11+L11+J11+H11+F11+D11+B11</f>
        <v>0</v>
      </c>
      <c r="S11" s="131">
        <f>Q11+O11+M11+K11+I11+G11+E11+C11</f>
        <v>0</v>
      </c>
      <c r="T11" s="61"/>
      <c r="Z11" s="61"/>
      <c r="AA11" s="61"/>
      <c r="AB11" s="60"/>
    </row>
    <row r="12" spans="1:28" s="59" customFormat="1" ht="12.75" x14ac:dyDescent="0.2">
      <c r="A12" s="99" t="s">
        <v>69</v>
      </c>
      <c r="B12" s="157"/>
      <c r="C12" s="157"/>
      <c r="D12" s="157"/>
      <c r="E12" s="157"/>
      <c r="F12" s="155"/>
      <c r="G12" s="155"/>
      <c r="H12" s="157"/>
      <c r="I12" s="157"/>
      <c r="J12" s="157"/>
      <c r="K12" s="157"/>
      <c r="L12" s="157"/>
      <c r="M12" s="157"/>
      <c r="N12" s="157"/>
      <c r="O12" s="157"/>
      <c r="P12" s="157"/>
      <c r="Q12" s="157"/>
      <c r="R12" s="130">
        <f t="shared" ref="R12:S14" si="0">P12+N12+L12+J12+H12+F12+D12+B12</f>
        <v>0</v>
      </c>
      <c r="S12" s="131">
        <f t="shared" si="0"/>
        <v>0</v>
      </c>
      <c r="T12" s="61"/>
      <c r="Z12" s="61"/>
      <c r="AA12" s="61"/>
      <c r="AB12" s="61"/>
    </row>
    <row r="13" spans="1:28" s="59" customFormat="1" ht="12.75" x14ac:dyDescent="0.2">
      <c r="A13" s="99" t="s">
        <v>70</v>
      </c>
      <c r="B13" s="157"/>
      <c r="C13" s="157"/>
      <c r="D13" s="157"/>
      <c r="E13" s="157"/>
      <c r="F13" s="157"/>
      <c r="G13" s="157"/>
      <c r="H13" s="155"/>
      <c r="I13" s="155"/>
      <c r="J13" s="157"/>
      <c r="K13" s="157"/>
      <c r="L13" s="157"/>
      <c r="M13" s="157"/>
      <c r="N13" s="157"/>
      <c r="O13" s="157"/>
      <c r="P13" s="157"/>
      <c r="Q13" s="157"/>
      <c r="R13" s="130">
        <f t="shared" si="0"/>
        <v>0</v>
      </c>
      <c r="S13" s="131">
        <f t="shared" si="0"/>
        <v>0</v>
      </c>
      <c r="T13" s="61"/>
      <c r="Z13" s="61"/>
      <c r="AA13" s="61"/>
      <c r="AB13" s="61"/>
    </row>
    <row r="14" spans="1:28" s="59" customFormat="1" ht="12.75" x14ac:dyDescent="0.2">
      <c r="A14" s="99" t="s">
        <v>71</v>
      </c>
      <c r="B14" s="157"/>
      <c r="C14" s="157"/>
      <c r="D14" s="157"/>
      <c r="E14" s="157"/>
      <c r="F14" s="157"/>
      <c r="G14" s="157"/>
      <c r="H14" s="157"/>
      <c r="I14" s="157"/>
      <c r="J14" s="155"/>
      <c r="K14" s="155"/>
      <c r="L14" s="157"/>
      <c r="M14" s="157"/>
      <c r="N14" s="157"/>
      <c r="O14" s="157"/>
      <c r="P14" s="157"/>
      <c r="Q14" s="157"/>
      <c r="R14" s="130">
        <f t="shared" si="0"/>
        <v>0</v>
      </c>
      <c r="S14" s="131">
        <f t="shared" si="0"/>
        <v>0</v>
      </c>
      <c r="T14" s="61"/>
      <c r="Z14" s="61"/>
      <c r="AA14" s="61"/>
      <c r="AB14" s="61"/>
    </row>
    <row r="15" spans="1:28" s="59" customFormat="1" ht="13.5" thickBot="1" x14ac:dyDescent="0.25">
      <c r="A15" s="65" t="s">
        <v>15</v>
      </c>
      <c r="B15" s="132">
        <f>SUM(B11:B14)</f>
        <v>0</v>
      </c>
      <c r="C15" s="132">
        <f t="shared" ref="C15:S15" si="1">SUM(C11:C14)</f>
        <v>0</v>
      </c>
      <c r="D15" s="132">
        <f t="shared" si="1"/>
        <v>0</v>
      </c>
      <c r="E15" s="132">
        <f t="shared" si="1"/>
        <v>0</v>
      </c>
      <c r="F15" s="132">
        <f t="shared" si="1"/>
        <v>0</v>
      </c>
      <c r="G15" s="132">
        <f t="shared" si="1"/>
        <v>0</v>
      </c>
      <c r="H15" s="132">
        <f t="shared" si="1"/>
        <v>0</v>
      </c>
      <c r="I15" s="132">
        <f t="shared" si="1"/>
        <v>0</v>
      </c>
      <c r="J15" s="132">
        <f t="shared" si="1"/>
        <v>0</v>
      </c>
      <c r="K15" s="132">
        <f t="shared" si="1"/>
        <v>0</v>
      </c>
      <c r="L15" s="132">
        <f t="shared" si="1"/>
        <v>0</v>
      </c>
      <c r="M15" s="132">
        <f t="shared" si="1"/>
        <v>0</v>
      </c>
      <c r="N15" s="132">
        <f t="shared" si="1"/>
        <v>0</v>
      </c>
      <c r="O15" s="132">
        <f t="shared" si="1"/>
        <v>0</v>
      </c>
      <c r="P15" s="132">
        <f t="shared" si="1"/>
        <v>0</v>
      </c>
      <c r="Q15" s="132">
        <f t="shared" si="1"/>
        <v>0</v>
      </c>
      <c r="R15" s="132">
        <f t="shared" si="1"/>
        <v>0</v>
      </c>
      <c r="S15" s="133">
        <f t="shared" si="1"/>
        <v>0</v>
      </c>
      <c r="T15" s="61"/>
      <c r="Z15" s="61"/>
      <c r="AA15" s="61"/>
      <c r="AB15" s="61"/>
    </row>
    <row r="16" spans="1:28" ht="4.5" customHeight="1" thickTop="1" x14ac:dyDescent="0.25">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28" ht="10.5" customHeight="1" thickBot="1" x14ac:dyDescent="0.3">
      <c r="A17" s="10" t="s">
        <v>1115</v>
      </c>
      <c r="B17" s="36"/>
      <c r="C17" s="36"/>
      <c r="D17" s="36"/>
      <c r="E17" s="36"/>
      <c r="F17" s="36"/>
      <c r="G17" s="36"/>
      <c r="H17" s="36"/>
      <c r="I17" s="36"/>
      <c r="J17" s="36"/>
      <c r="K17" s="36"/>
      <c r="L17" s="36"/>
      <c r="M17" s="36"/>
      <c r="N17" s="36"/>
      <c r="O17" s="36"/>
      <c r="P17" s="36"/>
      <c r="Q17" s="36"/>
      <c r="R17" s="36"/>
      <c r="S17" s="36"/>
      <c r="T17" s="36"/>
      <c r="U17" s="6"/>
      <c r="V17" s="6"/>
      <c r="W17" s="6"/>
      <c r="X17" s="36"/>
      <c r="Y17" s="36"/>
      <c r="Z17" s="36"/>
      <c r="AA17" s="36"/>
      <c r="AB17" s="36"/>
    </row>
    <row r="18" spans="1:28" ht="18.75" customHeight="1" thickTop="1" x14ac:dyDescent="0.25">
      <c r="A18" s="354" t="s">
        <v>1179</v>
      </c>
      <c r="B18" s="355"/>
      <c r="C18" s="355"/>
      <c r="D18" s="355"/>
      <c r="E18" s="355"/>
      <c r="F18" s="355"/>
      <c r="G18" s="355"/>
      <c r="H18" s="355"/>
      <c r="I18" s="356"/>
      <c r="J18" s="36"/>
      <c r="K18" s="36"/>
      <c r="L18" s="36"/>
      <c r="M18" s="36"/>
      <c r="N18" s="36"/>
      <c r="O18" s="36"/>
      <c r="P18" s="36"/>
      <c r="Q18" s="36"/>
      <c r="R18" s="36"/>
      <c r="S18" s="36"/>
      <c r="T18" s="36"/>
      <c r="U18" s="6"/>
      <c r="V18" s="6"/>
      <c r="W18" s="6"/>
      <c r="X18" s="36"/>
      <c r="Y18" s="36"/>
      <c r="Z18" s="36"/>
      <c r="AA18" s="36"/>
      <c r="AB18" s="36"/>
    </row>
    <row r="19" spans="1:28" x14ac:dyDescent="0.25">
      <c r="A19" s="375" t="s">
        <v>1115</v>
      </c>
      <c r="B19" s="376"/>
      <c r="C19" s="376"/>
      <c r="D19" s="376"/>
      <c r="E19" s="377"/>
      <c r="F19" s="378" t="s">
        <v>9</v>
      </c>
      <c r="G19" s="379"/>
      <c r="H19" s="378" t="s">
        <v>10</v>
      </c>
      <c r="I19" s="380"/>
      <c r="J19" s="36"/>
      <c r="K19" s="36"/>
      <c r="L19" s="36"/>
      <c r="M19" s="36"/>
      <c r="N19" s="36"/>
      <c r="O19" s="36"/>
      <c r="P19" s="36"/>
      <c r="Q19" s="36"/>
      <c r="R19" s="36"/>
      <c r="S19" s="36"/>
      <c r="T19" s="36"/>
      <c r="U19" s="6"/>
      <c r="V19" s="6"/>
      <c r="W19" s="6"/>
      <c r="X19" s="36"/>
      <c r="Y19" s="36"/>
      <c r="Z19" s="36"/>
      <c r="AA19" s="36"/>
      <c r="AB19" s="36"/>
    </row>
    <row r="20" spans="1:28" x14ac:dyDescent="0.25">
      <c r="A20" s="363" t="s">
        <v>148</v>
      </c>
      <c r="B20" s="364"/>
      <c r="C20" s="364"/>
      <c r="D20" s="364"/>
      <c r="E20" s="365"/>
      <c r="F20" s="366"/>
      <c r="G20" s="367"/>
      <c r="H20" s="381"/>
      <c r="I20" s="382"/>
      <c r="J20" s="36"/>
      <c r="K20" s="36"/>
      <c r="L20" s="36"/>
      <c r="M20" s="36"/>
      <c r="N20" s="36"/>
      <c r="O20" s="36"/>
      <c r="P20" s="36"/>
      <c r="Q20" s="36"/>
      <c r="R20" s="36"/>
      <c r="S20" s="36"/>
      <c r="T20" s="36"/>
      <c r="U20" s="6"/>
      <c r="V20" s="6"/>
      <c r="W20" s="6"/>
      <c r="X20" s="36"/>
      <c r="Y20" s="36"/>
      <c r="Z20" s="36"/>
      <c r="AA20" s="36"/>
      <c r="AB20" s="36"/>
    </row>
    <row r="21" spans="1:28" x14ac:dyDescent="0.25">
      <c r="A21" s="363" t="s">
        <v>1177</v>
      </c>
      <c r="B21" s="364"/>
      <c r="C21" s="364"/>
      <c r="D21" s="364"/>
      <c r="E21" s="365"/>
      <c r="F21" s="366"/>
      <c r="G21" s="367"/>
      <c r="H21" s="366"/>
      <c r="I21" s="368"/>
      <c r="J21" s="36"/>
      <c r="K21" s="36"/>
      <c r="L21" s="36"/>
      <c r="M21" s="36"/>
      <c r="N21" s="36"/>
      <c r="O21" s="36"/>
      <c r="P21" s="36"/>
      <c r="Q21" s="36"/>
      <c r="R21" s="36"/>
      <c r="S21" s="36"/>
      <c r="T21" s="36"/>
      <c r="U21" s="6"/>
      <c r="V21" s="6"/>
      <c r="W21" s="6"/>
      <c r="X21" s="36"/>
      <c r="Y21" s="36"/>
      <c r="Z21" s="36"/>
      <c r="AA21" s="36"/>
      <c r="AB21" s="36"/>
    </row>
    <row r="22" spans="1:28" ht="15.75" customHeight="1" thickBot="1" x14ac:dyDescent="0.3">
      <c r="A22" s="369" t="s">
        <v>1178</v>
      </c>
      <c r="B22" s="370"/>
      <c r="C22" s="370"/>
      <c r="D22" s="370"/>
      <c r="E22" s="371"/>
      <c r="F22" s="372"/>
      <c r="G22" s="373"/>
      <c r="H22" s="372"/>
      <c r="I22" s="374"/>
      <c r="J22" s="36"/>
      <c r="K22" s="36"/>
      <c r="L22" s="36"/>
      <c r="M22" s="36"/>
      <c r="N22" s="36"/>
      <c r="O22" s="36"/>
      <c r="P22" s="36"/>
      <c r="Q22" s="36"/>
      <c r="R22" s="36"/>
      <c r="S22" s="36"/>
      <c r="T22" s="36"/>
      <c r="U22" s="6"/>
      <c r="V22" s="6"/>
      <c r="W22" s="6"/>
      <c r="X22" s="36"/>
      <c r="Y22" s="36"/>
      <c r="Z22" s="36"/>
      <c r="AA22" s="36"/>
      <c r="AB22" s="36"/>
    </row>
    <row r="23" spans="1:28" ht="12" customHeight="1" thickTop="1" thickBot="1" x14ac:dyDescent="0.3">
      <c r="A23" s="10" t="s">
        <v>1115</v>
      </c>
      <c r="B23" s="36"/>
      <c r="C23" s="36"/>
      <c r="D23" s="36"/>
      <c r="E23" s="36"/>
      <c r="F23" s="36"/>
      <c r="G23" s="36"/>
      <c r="H23" s="36"/>
      <c r="I23" s="36"/>
      <c r="J23" s="36"/>
      <c r="K23" s="36"/>
      <c r="L23" s="36"/>
      <c r="M23" s="36"/>
      <c r="N23" s="36"/>
      <c r="O23" s="36"/>
      <c r="P23" s="36"/>
      <c r="Q23" s="36"/>
      <c r="R23" s="36"/>
      <c r="S23" s="36"/>
      <c r="T23" s="36"/>
      <c r="U23" s="6"/>
      <c r="V23" s="6"/>
      <c r="W23" s="6"/>
      <c r="X23" s="36"/>
      <c r="Y23" s="36"/>
      <c r="Z23" s="36"/>
      <c r="AA23" s="36"/>
      <c r="AB23" s="36"/>
    </row>
    <row r="24" spans="1:28" ht="15.75" thickTop="1" x14ac:dyDescent="0.25">
      <c r="A24" s="383" t="s">
        <v>1113</v>
      </c>
      <c r="B24" s="384"/>
      <c r="C24" s="384"/>
      <c r="D24" s="384"/>
      <c r="E24" s="384"/>
      <c r="F24" s="384"/>
      <c r="G24" s="384"/>
      <c r="H24" s="384"/>
      <c r="I24" s="384"/>
      <c r="J24" s="384"/>
      <c r="K24" s="384"/>
      <c r="L24" s="384"/>
      <c r="M24" s="384"/>
      <c r="N24" s="384"/>
      <c r="O24" s="384"/>
      <c r="P24" s="384"/>
      <c r="Q24" s="385"/>
      <c r="R24" s="36"/>
      <c r="AB24" s="36"/>
    </row>
    <row r="25" spans="1:28" x14ac:dyDescent="0.25">
      <c r="A25" s="50">
        <v>1</v>
      </c>
      <c r="B25" s="348" t="s">
        <v>77</v>
      </c>
      <c r="C25" s="348"/>
      <c r="D25" s="348"/>
      <c r="E25" s="348"/>
      <c r="F25" s="348"/>
      <c r="G25" s="348"/>
      <c r="H25" s="348"/>
      <c r="I25" s="348"/>
      <c r="J25" s="348"/>
      <c r="K25" s="348"/>
      <c r="L25" s="348"/>
      <c r="M25" s="348"/>
      <c r="N25" s="348"/>
      <c r="O25" s="348"/>
      <c r="P25" s="269" t="s">
        <v>15</v>
      </c>
      <c r="Q25" s="320"/>
      <c r="R25" s="36"/>
      <c r="AB25" s="36"/>
    </row>
    <row r="26" spans="1:28" x14ac:dyDescent="0.25">
      <c r="A26" s="38" t="s">
        <v>42</v>
      </c>
      <c r="B26" s="346" t="s">
        <v>274</v>
      </c>
      <c r="C26" s="346"/>
      <c r="D26" s="346" t="s">
        <v>275</v>
      </c>
      <c r="E26" s="346"/>
      <c r="F26" s="346" t="s">
        <v>276</v>
      </c>
      <c r="G26" s="346"/>
      <c r="H26" s="346" t="s">
        <v>277</v>
      </c>
      <c r="I26" s="346"/>
      <c r="J26" s="346" t="s">
        <v>278</v>
      </c>
      <c r="K26" s="346"/>
      <c r="L26" s="344" t="s">
        <v>279</v>
      </c>
      <c r="M26" s="344"/>
      <c r="N26" s="344" t="s">
        <v>280</v>
      </c>
      <c r="O26" s="344"/>
      <c r="P26" s="269"/>
      <c r="Q26" s="320"/>
      <c r="R26" s="36"/>
      <c r="AB26" s="36"/>
    </row>
    <row r="27" spans="1:28" x14ac:dyDescent="0.25">
      <c r="A27" s="57" t="s">
        <v>43</v>
      </c>
      <c r="B27" s="97" t="s">
        <v>9</v>
      </c>
      <c r="C27" s="97" t="s">
        <v>10</v>
      </c>
      <c r="D27" s="97" t="s">
        <v>9</v>
      </c>
      <c r="E27" s="97" t="s">
        <v>10</v>
      </c>
      <c r="F27" s="97" t="s">
        <v>9</v>
      </c>
      <c r="G27" s="97" t="s">
        <v>10</v>
      </c>
      <c r="H27" s="97" t="s">
        <v>9</v>
      </c>
      <c r="I27" s="97" t="s">
        <v>10</v>
      </c>
      <c r="J27" s="97" t="s">
        <v>9</v>
      </c>
      <c r="K27" s="97" t="s">
        <v>10</v>
      </c>
      <c r="L27" s="97" t="s">
        <v>9</v>
      </c>
      <c r="M27" s="97" t="s">
        <v>10</v>
      </c>
      <c r="N27" s="97" t="s">
        <v>44</v>
      </c>
      <c r="O27" s="97" t="s">
        <v>10</v>
      </c>
      <c r="P27" s="117" t="s">
        <v>9</v>
      </c>
      <c r="Q27" s="120" t="s">
        <v>10</v>
      </c>
      <c r="R27" s="36"/>
      <c r="AB27" s="36"/>
    </row>
    <row r="28" spans="1:28" s="59" customFormat="1" ht="12.75" x14ac:dyDescent="0.2">
      <c r="A28" s="99" t="s">
        <v>68</v>
      </c>
      <c r="B28" s="157"/>
      <c r="C28" s="157"/>
      <c r="D28" s="155"/>
      <c r="E28" s="155"/>
      <c r="F28" s="157"/>
      <c r="G28" s="157"/>
      <c r="H28" s="157"/>
      <c r="I28" s="157"/>
      <c r="J28" s="157"/>
      <c r="K28" s="157"/>
      <c r="L28" s="157"/>
      <c r="M28" s="157"/>
      <c r="N28" s="157"/>
      <c r="O28" s="157"/>
      <c r="P28" s="134">
        <f>N28+L28+J28+H28+F28+D28+B28</f>
        <v>0</v>
      </c>
      <c r="Q28" s="135">
        <f>O28+M28+K28+I28+G28+E28+C28</f>
        <v>0</v>
      </c>
      <c r="R28" s="61"/>
      <c r="AB28" s="61"/>
    </row>
    <row r="29" spans="1:28" s="59" customFormat="1" ht="12.75" x14ac:dyDescent="0.2">
      <c r="A29" s="99" t="s">
        <v>69</v>
      </c>
      <c r="B29" s="157"/>
      <c r="C29" s="157"/>
      <c r="D29" s="157"/>
      <c r="E29" s="157"/>
      <c r="F29" s="155"/>
      <c r="G29" s="155"/>
      <c r="H29" s="157"/>
      <c r="I29" s="157"/>
      <c r="J29" s="157"/>
      <c r="K29" s="157"/>
      <c r="L29" s="157"/>
      <c r="M29" s="157"/>
      <c r="N29" s="157"/>
      <c r="O29" s="157"/>
      <c r="P29" s="134">
        <f t="shared" ref="P29:Q31" si="2">N29+L29+J29+H29+F29+D29+B29</f>
        <v>0</v>
      </c>
      <c r="Q29" s="135">
        <f t="shared" si="2"/>
        <v>0</v>
      </c>
      <c r="R29" s="61"/>
      <c r="AB29" s="61"/>
    </row>
    <row r="30" spans="1:28" s="59" customFormat="1" ht="12.75" x14ac:dyDescent="0.2">
      <c r="A30" s="99" t="s">
        <v>70</v>
      </c>
      <c r="B30" s="157"/>
      <c r="C30" s="157"/>
      <c r="D30" s="157"/>
      <c r="E30" s="157"/>
      <c r="F30" s="157"/>
      <c r="G30" s="157"/>
      <c r="H30" s="155"/>
      <c r="I30" s="155"/>
      <c r="J30" s="157"/>
      <c r="K30" s="157"/>
      <c r="L30" s="157"/>
      <c r="M30" s="157"/>
      <c r="N30" s="157"/>
      <c r="O30" s="157"/>
      <c r="P30" s="134">
        <f t="shared" si="2"/>
        <v>0</v>
      </c>
      <c r="Q30" s="135">
        <f t="shared" si="2"/>
        <v>0</v>
      </c>
      <c r="R30" s="61"/>
      <c r="AB30" s="61"/>
    </row>
    <row r="31" spans="1:28" s="59" customFormat="1" ht="12.75" x14ac:dyDescent="0.2">
      <c r="A31" s="99" t="s">
        <v>71</v>
      </c>
      <c r="B31" s="157"/>
      <c r="C31" s="157"/>
      <c r="D31" s="157"/>
      <c r="E31" s="157"/>
      <c r="F31" s="157"/>
      <c r="G31" s="157"/>
      <c r="H31" s="157"/>
      <c r="I31" s="157"/>
      <c r="J31" s="155"/>
      <c r="K31" s="155"/>
      <c r="L31" s="157"/>
      <c r="M31" s="157"/>
      <c r="N31" s="157"/>
      <c r="O31" s="157"/>
      <c r="P31" s="134">
        <f t="shared" si="2"/>
        <v>0</v>
      </c>
      <c r="Q31" s="135">
        <f t="shared" si="2"/>
        <v>0</v>
      </c>
      <c r="R31" s="61"/>
      <c r="AB31" s="61"/>
    </row>
    <row r="32" spans="1:28" s="59" customFormat="1" ht="13.5" thickBot="1" x14ac:dyDescent="0.25">
      <c r="A32" s="126" t="s">
        <v>15</v>
      </c>
      <c r="B32" s="132">
        <f>SUM(B28:B31)</f>
        <v>0</v>
      </c>
      <c r="C32" s="132">
        <f t="shared" ref="C32:Q32" si="3">SUM(C28:C31)</f>
        <v>0</v>
      </c>
      <c r="D32" s="132">
        <f t="shared" si="3"/>
        <v>0</v>
      </c>
      <c r="E32" s="132">
        <f t="shared" si="3"/>
        <v>0</v>
      </c>
      <c r="F32" s="132">
        <f t="shared" si="3"/>
        <v>0</v>
      </c>
      <c r="G32" s="132">
        <f t="shared" si="3"/>
        <v>0</v>
      </c>
      <c r="H32" s="132">
        <f t="shared" si="3"/>
        <v>0</v>
      </c>
      <c r="I32" s="132">
        <f t="shared" si="3"/>
        <v>0</v>
      </c>
      <c r="J32" s="132">
        <f t="shared" si="3"/>
        <v>0</v>
      </c>
      <c r="K32" s="132">
        <f t="shared" si="3"/>
        <v>0</v>
      </c>
      <c r="L32" s="132">
        <f t="shared" si="3"/>
        <v>0</v>
      </c>
      <c r="M32" s="132">
        <f t="shared" si="3"/>
        <v>0</v>
      </c>
      <c r="N32" s="132">
        <f t="shared" si="3"/>
        <v>0</v>
      </c>
      <c r="O32" s="132">
        <f t="shared" si="3"/>
        <v>0</v>
      </c>
      <c r="P32" s="132">
        <f t="shared" si="3"/>
        <v>0</v>
      </c>
      <c r="Q32" s="133">
        <f t="shared" si="3"/>
        <v>0</v>
      </c>
      <c r="R32" s="61"/>
      <c r="AB32" s="61"/>
    </row>
    <row r="33" spans="1:28" ht="14.25" customHeight="1" thickTop="1" thickBot="1" x14ac:dyDescent="0.3">
      <c r="A33" s="39">
        <v>1</v>
      </c>
      <c r="B33" s="36"/>
      <c r="C33" s="36"/>
      <c r="D33" s="36"/>
      <c r="E33" s="36"/>
      <c r="F33" s="36"/>
      <c r="G33" s="36"/>
      <c r="H33" s="36"/>
      <c r="I33" s="36"/>
      <c r="J33" s="36"/>
      <c r="K33" s="36"/>
      <c r="L33" s="36"/>
      <c r="M33" s="36"/>
      <c r="N33" s="36"/>
      <c r="O33" s="36"/>
      <c r="P33" s="36"/>
      <c r="Q33" s="36"/>
      <c r="R33" s="36"/>
      <c r="S33" s="36"/>
      <c r="T33" s="36"/>
      <c r="U33" s="36"/>
      <c r="V33" s="36"/>
      <c r="W33" s="36"/>
      <c r="X33" s="36"/>
      <c r="Y33" s="123"/>
      <c r="Z33" s="56"/>
      <c r="AA33" s="56"/>
      <c r="AB33" s="56"/>
    </row>
    <row r="34" spans="1:28" ht="15.75" customHeight="1" thickTop="1" x14ac:dyDescent="0.25">
      <c r="A34" s="386" t="s">
        <v>1114</v>
      </c>
      <c r="B34" s="384"/>
      <c r="C34" s="384"/>
      <c r="D34" s="384"/>
      <c r="E34" s="384"/>
      <c r="F34" s="384"/>
      <c r="G34" s="384"/>
      <c r="H34" s="384"/>
      <c r="I34" s="384"/>
      <c r="J34" s="384"/>
      <c r="K34" s="384"/>
      <c r="L34" s="384"/>
      <c r="M34" s="384"/>
      <c r="N34" s="384"/>
      <c r="O34" s="385"/>
      <c r="P34" s="36"/>
      <c r="Q34" s="36"/>
      <c r="R34" s="36"/>
      <c r="S34" s="36"/>
      <c r="T34" s="59"/>
      <c r="U34" s="59"/>
      <c r="V34" s="59"/>
      <c r="W34" s="59"/>
      <c r="X34" s="59"/>
      <c r="Y34" s="123"/>
      <c r="Z34" s="56"/>
      <c r="AA34" s="56"/>
      <c r="AB34" s="56"/>
    </row>
    <row r="35" spans="1:28" ht="15.75" customHeight="1" x14ac:dyDescent="0.25">
      <c r="A35" s="105">
        <v>1</v>
      </c>
      <c r="B35" s="346" t="s">
        <v>1443</v>
      </c>
      <c r="C35" s="346"/>
      <c r="D35" s="346"/>
      <c r="E35" s="346"/>
      <c r="F35" s="346" t="s">
        <v>1444</v>
      </c>
      <c r="G35" s="346"/>
      <c r="H35" s="346"/>
      <c r="I35" s="346"/>
      <c r="J35" s="346" t="s">
        <v>1445</v>
      </c>
      <c r="K35" s="346"/>
      <c r="L35" s="346"/>
      <c r="M35" s="346"/>
      <c r="N35" s="247" t="s">
        <v>1447</v>
      </c>
      <c r="O35" s="387"/>
      <c r="P35" s="36"/>
      <c r="Q35" s="36"/>
      <c r="R35" s="36"/>
      <c r="S35" s="36"/>
      <c r="T35" s="59"/>
      <c r="U35" s="59"/>
      <c r="V35" s="59"/>
      <c r="W35" s="59"/>
      <c r="X35" s="59"/>
      <c r="Y35" s="123"/>
      <c r="Z35" s="56"/>
      <c r="AA35" s="56"/>
      <c r="AB35" s="56"/>
    </row>
    <row r="36" spans="1:28" ht="15.75" customHeight="1" x14ac:dyDescent="0.25">
      <c r="A36" s="106">
        <v>1</v>
      </c>
      <c r="B36" s="346" t="s">
        <v>1448</v>
      </c>
      <c r="C36" s="346"/>
      <c r="D36" s="346" t="s">
        <v>262</v>
      </c>
      <c r="E36" s="346"/>
      <c r="F36" s="346" t="s">
        <v>1448</v>
      </c>
      <c r="G36" s="346"/>
      <c r="H36" s="346" t="s">
        <v>262</v>
      </c>
      <c r="I36" s="346"/>
      <c r="J36" s="346" t="s">
        <v>1448</v>
      </c>
      <c r="K36" s="346"/>
      <c r="L36" s="346" t="s">
        <v>262</v>
      </c>
      <c r="M36" s="346"/>
      <c r="N36" s="247"/>
      <c r="O36" s="387"/>
      <c r="P36" s="36"/>
      <c r="Q36" s="36"/>
      <c r="R36" s="36"/>
      <c r="S36" s="36"/>
      <c r="T36" s="59"/>
      <c r="U36" s="59"/>
      <c r="V36" s="59"/>
      <c r="W36" s="59"/>
      <c r="X36" s="59"/>
      <c r="Y36" s="123"/>
      <c r="Z36" s="56"/>
      <c r="AA36" s="56"/>
      <c r="AB36" s="56"/>
    </row>
    <row r="37" spans="1:28" ht="15.75" customHeight="1" x14ac:dyDescent="0.25">
      <c r="A37" s="124" t="s">
        <v>68</v>
      </c>
      <c r="B37" s="324"/>
      <c r="C37" s="324"/>
      <c r="D37" s="325"/>
      <c r="E37" s="326"/>
      <c r="F37" s="324"/>
      <c r="G37" s="324"/>
      <c r="H37" s="325"/>
      <c r="I37" s="326"/>
      <c r="J37" s="324"/>
      <c r="K37" s="324"/>
      <c r="L37" s="325"/>
      <c r="M37" s="326"/>
      <c r="N37" s="210">
        <f t="shared" ref="N37:N38" si="4">B37+F37+J37</f>
        <v>0</v>
      </c>
      <c r="O37" s="327"/>
      <c r="P37" s="35">
        <f>D37+H37+L37</f>
        <v>0</v>
      </c>
      <c r="Q37" s="36"/>
      <c r="R37" s="36"/>
      <c r="S37" s="36"/>
      <c r="T37" s="59"/>
      <c r="U37" s="59"/>
      <c r="V37" s="59"/>
      <c r="W37" s="59"/>
      <c r="X37" s="59"/>
      <c r="Y37" s="123"/>
      <c r="Z37" s="56"/>
      <c r="AA37" s="56"/>
      <c r="AB37" s="56"/>
    </row>
    <row r="38" spans="1:28" ht="15.75" customHeight="1" x14ac:dyDescent="0.25">
      <c r="A38" s="124" t="s">
        <v>69</v>
      </c>
      <c r="B38" s="324"/>
      <c r="C38" s="324"/>
      <c r="D38" s="325"/>
      <c r="E38" s="326"/>
      <c r="F38" s="324"/>
      <c r="G38" s="324"/>
      <c r="H38" s="325"/>
      <c r="I38" s="326"/>
      <c r="J38" s="324"/>
      <c r="K38" s="324"/>
      <c r="L38" s="325"/>
      <c r="M38" s="326"/>
      <c r="N38" s="210">
        <f t="shared" si="4"/>
        <v>0</v>
      </c>
      <c r="O38" s="327"/>
      <c r="P38" s="35">
        <f t="shared" ref="P38:P40" si="5">D38+H38+L38</f>
        <v>0</v>
      </c>
      <c r="Q38" s="36"/>
      <c r="R38" s="36"/>
      <c r="S38" s="36"/>
      <c r="T38" s="59"/>
      <c r="U38" s="59"/>
      <c r="V38" s="59"/>
      <c r="W38" s="59"/>
      <c r="X38" s="59"/>
      <c r="Y38" s="123"/>
      <c r="Z38" s="56"/>
      <c r="AA38" s="56"/>
      <c r="AB38" s="56"/>
    </row>
    <row r="39" spans="1:28" ht="15.75" customHeight="1" x14ac:dyDescent="0.25">
      <c r="A39" s="124" t="s">
        <v>70</v>
      </c>
      <c r="B39" s="324"/>
      <c r="C39" s="324"/>
      <c r="D39" s="324"/>
      <c r="E39" s="324"/>
      <c r="F39" s="324"/>
      <c r="G39" s="324"/>
      <c r="H39" s="324"/>
      <c r="I39" s="324"/>
      <c r="J39" s="324"/>
      <c r="K39" s="324"/>
      <c r="L39" s="324"/>
      <c r="M39" s="324"/>
      <c r="N39" s="210">
        <f>B39+F39+J39</f>
        <v>0</v>
      </c>
      <c r="O39" s="327">
        <f>C39+G39+K39</f>
        <v>0</v>
      </c>
      <c r="P39" s="35">
        <f t="shared" si="5"/>
        <v>0</v>
      </c>
      <c r="Q39" s="36"/>
      <c r="R39" s="36"/>
      <c r="S39" s="36"/>
      <c r="T39" s="59"/>
      <c r="U39" s="59"/>
      <c r="V39" s="59"/>
      <c r="W39" s="59"/>
      <c r="X39" s="59"/>
      <c r="Y39" s="123"/>
      <c r="Z39" s="56"/>
      <c r="AA39" s="56"/>
      <c r="AB39" s="56"/>
    </row>
    <row r="40" spans="1:28" ht="14.25" customHeight="1" x14ac:dyDescent="0.25">
      <c r="A40" s="124" t="s">
        <v>71</v>
      </c>
      <c r="B40" s="324"/>
      <c r="C40" s="324"/>
      <c r="D40" s="324"/>
      <c r="E40" s="324"/>
      <c r="F40" s="324"/>
      <c r="G40" s="324"/>
      <c r="H40" s="324"/>
      <c r="I40" s="324"/>
      <c r="J40" s="324"/>
      <c r="K40" s="324"/>
      <c r="L40" s="324"/>
      <c r="M40" s="324"/>
      <c r="N40" s="210">
        <f>B40+F40+J40</f>
        <v>0</v>
      </c>
      <c r="O40" s="327">
        <f>C40+G40+K40</f>
        <v>0</v>
      </c>
      <c r="P40" s="35">
        <f t="shared" si="5"/>
        <v>0</v>
      </c>
      <c r="Q40" s="36"/>
      <c r="R40" s="36"/>
      <c r="S40" s="36"/>
      <c r="T40" s="59"/>
      <c r="U40" s="59"/>
      <c r="V40" s="59"/>
      <c r="W40" s="59"/>
      <c r="X40" s="59"/>
      <c r="Y40" s="123"/>
      <c r="Z40" s="56"/>
      <c r="AA40" s="56"/>
      <c r="AB40" s="56"/>
    </row>
    <row r="41" spans="1:28" ht="15.75" customHeight="1" thickBot="1" x14ac:dyDescent="0.3">
      <c r="A41" s="126" t="s">
        <v>15</v>
      </c>
      <c r="B41" s="328">
        <f>SUM(B37:C40)</f>
        <v>0</v>
      </c>
      <c r="C41" s="328"/>
      <c r="D41" s="329"/>
      <c r="E41" s="329"/>
      <c r="F41" s="328">
        <f>SUM(F37:G40)</f>
        <v>0</v>
      </c>
      <c r="G41" s="328"/>
      <c r="H41" s="329"/>
      <c r="I41" s="329"/>
      <c r="J41" s="328">
        <f>SUM(J37:K40)</f>
        <v>0</v>
      </c>
      <c r="K41" s="328"/>
      <c r="L41" s="329"/>
      <c r="M41" s="329"/>
      <c r="N41" s="328">
        <f>SUM(N37:O40)</f>
        <v>0</v>
      </c>
      <c r="O41" s="345">
        <f>SUM(O37:O40)</f>
        <v>0</v>
      </c>
      <c r="P41" s="36"/>
      <c r="Q41" s="36"/>
      <c r="R41" s="36"/>
      <c r="S41" s="36"/>
      <c r="T41" s="59"/>
      <c r="U41" s="59"/>
      <c r="V41" s="59"/>
      <c r="W41" s="59"/>
      <c r="X41" s="59"/>
      <c r="Y41" s="123"/>
      <c r="Z41" s="56"/>
      <c r="AA41" s="56"/>
      <c r="AB41" s="56"/>
    </row>
    <row r="42" spans="1:28" ht="15.75" customHeight="1" thickTop="1" thickBot="1" x14ac:dyDescent="0.3">
      <c r="A42" s="39" t="s">
        <v>1115</v>
      </c>
      <c r="B42" s="36"/>
      <c r="C42" s="36"/>
      <c r="D42" s="36"/>
      <c r="E42" s="36"/>
      <c r="F42" s="36"/>
      <c r="G42" s="36"/>
      <c r="H42" s="36"/>
      <c r="I42" s="36"/>
      <c r="J42" s="36"/>
      <c r="K42" s="36"/>
      <c r="L42" s="36"/>
      <c r="M42" s="36"/>
      <c r="N42" s="36"/>
      <c r="O42" s="36"/>
      <c r="P42" s="36"/>
      <c r="Q42" s="36"/>
      <c r="R42" s="36"/>
      <c r="S42" s="36"/>
      <c r="T42" s="59"/>
      <c r="U42" s="59"/>
      <c r="V42" s="59"/>
      <c r="W42" s="59"/>
      <c r="X42" s="59"/>
      <c r="Y42" s="123"/>
      <c r="Z42" s="56"/>
      <c r="AA42" s="56"/>
      <c r="AB42" s="56"/>
    </row>
    <row r="43" spans="1:28" ht="15.75" customHeight="1" thickTop="1" x14ac:dyDescent="0.25">
      <c r="A43" s="330" t="s">
        <v>46</v>
      </c>
      <c r="B43" s="331"/>
      <c r="C43" s="331"/>
      <c r="D43" s="331"/>
      <c r="E43" s="331"/>
      <c r="F43" s="331"/>
      <c r="G43" s="331"/>
      <c r="H43" s="331"/>
      <c r="I43" s="331"/>
      <c r="J43" s="331"/>
      <c r="K43" s="332"/>
      <c r="L43" s="36"/>
      <c r="M43" s="36"/>
      <c r="N43" s="36"/>
      <c r="O43" s="36"/>
      <c r="P43" s="36"/>
      <c r="Q43" s="36"/>
      <c r="R43" s="36"/>
      <c r="S43" s="36"/>
      <c r="T43" s="36"/>
      <c r="U43" s="36"/>
      <c r="V43" s="36"/>
      <c r="W43" s="36"/>
      <c r="X43" s="36"/>
      <c r="Y43" s="123"/>
      <c r="Z43" s="56"/>
      <c r="AA43" s="56"/>
      <c r="AB43" s="56"/>
    </row>
    <row r="44" spans="1:28" ht="15.75" customHeight="1" x14ac:dyDescent="0.25">
      <c r="A44" s="101" t="s">
        <v>1115</v>
      </c>
      <c r="B44" s="344" t="s">
        <v>47</v>
      </c>
      <c r="C44" s="344"/>
      <c r="D44" s="344" t="s">
        <v>48</v>
      </c>
      <c r="E44" s="344"/>
      <c r="F44" s="344" t="s">
        <v>49</v>
      </c>
      <c r="G44" s="344"/>
      <c r="H44" s="344" t="s">
        <v>50</v>
      </c>
      <c r="I44" s="344"/>
      <c r="J44" s="269" t="s">
        <v>15</v>
      </c>
      <c r="K44" s="320"/>
      <c r="L44" s="36"/>
      <c r="M44" s="36"/>
      <c r="N44" s="36"/>
      <c r="O44" s="36"/>
      <c r="P44" s="36"/>
      <c r="Q44" s="36"/>
      <c r="R44" s="36"/>
      <c r="S44" s="36"/>
      <c r="T44" s="36"/>
      <c r="U44" s="36"/>
      <c r="V44" s="36"/>
      <c r="W44" s="36"/>
      <c r="X44" s="36"/>
      <c r="Y44" s="123"/>
      <c r="Z44" s="56"/>
      <c r="AA44" s="56"/>
      <c r="AB44" s="56"/>
    </row>
    <row r="45" spans="1:28" ht="15.75" customHeight="1" x14ac:dyDescent="0.25">
      <c r="A45" s="37">
        <v>1</v>
      </c>
      <c r="B45" s="125" t="s">
        <v>9</v>
      </c>
      <c r="C45" s="125" t="s">
        <v>10</v>
      </c>
      <c r="D45" s="125" t="s">
        <v>9</v>
      </c>
      <c r="E45" s="125" t="s">
        <v>10</v>
      </c>
      <c r="F45" s="125" t="s">
        <v>9</v>
      </c>
      <c r="G45" s="125" t="s">
        <v>10</v>
      </c>
      <c r="H45" s="125" t="s">
        <v>9</v>
      </c>
      <c r="I45" s="125" t="s">
        <v>10</v>
      </c>
      <c r="J45" s="117" t="s">
        <v>9</v>
      </c>
      <c r="K45" s="120" t="s">
        <v>10</v>
      </c>
      <c r="L45" s="36"/>
      <c r="M45" s="36"/>
      <c r="N45" s="36"/>
      <c r="O45" s="36"/>
      <c r="P45" s="36"/>
      <c r="Q45" s="36"/>
      <c r="R45" s="36"/>
      <c r="S45" s="36"/>
      <c r="T45" s="36"/>
      <c r="U45" s="36"/>
      <c r="V45" s="36"/>
      <c r="W45" s="36"/>
      <c r="X45" s="36"/>
      <c r="Y45" s="123"/>
      <c r="Z45" s="56"/>
      <c r="AA45" s="56"/>
      <c r="AB45" s="56"/>
    </row>
    <row r="46" spans="1:28" ht="15.75" customHeight="1" x14ac:dyDescent="0.25">
      <c r="A46" s="99" t="s">
        <v>68</v>
      </c>
      <c r="B46" s="155"/>
      <c r="C46" s="155"/>
      <c r="D46" s="155"/>
      <c r="E46" s="155"/>
      <c r="F46" s="155"/>
      <c r="G46" s="155"/>
      <c r="H46" s="155"/>
      <c r="I46" s="155"/>
      <c r="J46" s="130">
        <f>B46+D46+F46+H46</f>
        <v>0</v>
      </c>
      <c r="K46" s="131">
        <f>C46+E46+G46+I46</f>
        <v>0</v>
      </c>
      <c r="L46" s="36"/>
      <c r="M46" s="36"/>
      <c r="N46" s="36"/>
      <c r="O46" s="36"/>
      <c r="P46" s="36"/>
      <c r="Q46" s="36"/>
      <c r="R46" s="36"/>
      <c r="S46" s="36"/>
      <c r="T46" s="36"/>
      <c r="U46" s="36"/>
      <c r="V46" s="36"/>
      <c r="W46" s="36"/>
      <c r="X46" s="36"/>
      <c r="Y46" s="123"/>
      <c r="Z46" s="56"/>
      <c r="AA46" s="56"/>
      <c r="AB46" s="56"/>
    </row>
    <row r="47" spans="1:28" ht="15.75" customHeight="1" x14ac:dyDescent="0.25">
      <c r="A47" s="99" t="s">
        <v>69</v>
      </c>
      <c r="B47" s="155"/>
      <c r="C47" s="155"/>
      <c r="D47" s="155"/>
      <c r="E47" s="155"/>
      <c r="F47" s="155"/>
      <c r="G47" s="155"/>
      <c r="H47" s="155"/>
      <c r="I47" s="155"/>
      <c r="J47" s="130">
        <f t="shared" ref="J47:K50" si="6">B47+D47+F47+H47</f>
        <v>0</v>
      </c>
      <c r="K47" s="131">
        <f t="shared" si="6"/>
        <v>0</v>
      </c>
      <c r="L47" s="36"/>
      <c r="M47" s="36"/>
      <c r="N47" s="36"/>
      <c r="O47" s="36"/>
      <c r="P47" s="36"/>
      <c r="Q47" s="36"/>
      <c r="R47" s="36"/>
      <c r="S47" s="36"/>
      <c r="T47" s="36"/>
      <c r="U47" s="36"/>
      <c r="V47" s="36"/>
      <c r="W47" s="36"/>
      <c r="X47" s="36"/>
      <c r="Y47" s="123"/>
      <c r="Z47" s="56"/>
      <c r="AA47" s="56"/>
      <c r="AB47" s="56"/>
    </row>
    <row r="48" spans="1:28" ht="15.75" customHeight="1" x14ac:dyDescent="0.25">
      <c r="A48" s="99" t="s">
        <v>70</v>
      </c>
      <c r="B48" s="155"/>
      <c r="C48" s="155"/>
      <c r="D48" s="155"/>
      <c r="E48" s="155"/>
      <c r="F48" s="155"/>
      <c r="G48" s="155"/>
      <c r="H48" s="155"/>
      <c r="I48" s="155"/>
      <c r="J48" s="130">
        <f t="shared" si="6"/>
        <v>0</v>
      </c>
      <c r="K48" s="131">
        <f t="shared" si="6"/>
        <v>0</v>
      </c>
      <c r="L48" s="36"/>
      <c r="M48" s="36"/>
      <c r="N48" s="36"/>
      <c r="O48" s="36"/>
      <c r="P48" s="36"/>
      <c r="Q48" s="36"/>
      <c r="R48" s="36"/>
      <c r="S48" s="36"/>
      <c r="T48" s="36"/>
      <c r="U48" s="36"/>
      <c r="V48" s="36"/>
      <c r="W48" s="36"/>
      <c r="X48" s="36"/>
      <c r="Y48" s="123"/>
      <c r="Z48" s="56"/>
      <c r="AA48" s="56"/>
      <c r="AB48" s="56"/>
    </row>
    <row r="49" spans="1:34" ht="15.75" customHeight="1" x14ac:dyDescent="0.25">
      <c r="A49" s="99" t="s">
        <v>71</v>
      </c>
      <c r="B49" s="155"/>
      <c r="C49" s="155"/>
      <c r="D49" s="155"/>
      <c r="E49" s="155"/>
      <c r="F49" s="155"/>
      <c r="G49" s="155"/>
      <c r="H49" s="155"/>
      <c r="I49" s="155"/>
      <c r="J49" s="130">
        <f t="shared" si="6"/>
        <v>0</v>
      </c>
      <c r="K49" s="131">
        <f t="shared" si="6"/>
        <v>0</v>
      </c>
      <c r="L49" s="36"/>
      <c r="M49" s="36"/>
      <c r="N49" s="36"/>
      <c r="O49" s="36"/>
      <c r="P49" s="36"/>
      <c r="Q49" s="36"/>
      <c r="R49" s="36"/>
      <c r="S49" s="36"/>
      <c r="T49" s="36"/>
      <c r="U49" s="36"/>
      <c r="V49" s="36"/>
      <c r="W49" s="36"/>
      <c r="X49" s="36"/>
      <c r="Y49" s="123"/>
      <c r="Z49" s="56"/>
      <c r="AA49" s="56"/>
      <c r="AB49" s="56"/>
    </row>
    <row r="50" spans="1:34" ht="15.75" customHeight="1" thickBot="1" x14ac:dyDescent="0.3">
      <c r="A50" s="126" t="s">
        <v>15</v>
      </c>
      <c r="B50" s="132">
        <f t="shared" ref="B50:I50" si="7">SUM(B46:B49)</f>
        <v>0</v>
      </c>
      <c r="C50" s="132">
        <f t="shared" si="7"/>
        <v>0</v>
      </c>
      <c r="D50" s="132">
        <f t="shared" si="7"/>
        <v>0</v>
      </c>
      <c r="E50" s="132">
        <f t="shared" si="7"/>
        <v>0</v>
      </c>
      <c r="F50" s="132">
        <f t="shared" si="7"/>
        <v>0</v>
      </c>
      <c r="G50" s="132">
        <f t="shared" si="7"/>
        <v>0</v>
      </c>
      <c r="H50" s="132">
        <f t="shared" si="7"/>
        <v>0</v>
      </c>
      <c r="I50" s="132">
        <f t="shared" si="7"/>
        <v>0</v>
      </c>
      <c r="J50" s="132">
        <f t="shared" si="6"/>
        <v>0</v>
      </c>
      <c r="K50" s="133">
        <f t="shared" si="6"/>
        <v>0</v>
      </c>
      <c r="L50" s="36"/>
      <c r="M50" s="36"/>
      <c r="N50" s="36"/>
      <c r="O50" s="36"/>
      <c r="P50" s="36"/>
      <c r="Q50" s="36"/>
      <c r="R50" s="36"/>
      <c r="S50" s="36"/>
      <c r="T50" s="36"/>
      <c r="U50" s="36"/>
      <c r="V50" s="36"/>
      <c r="W50" s="36"/>
      <c r="X50" s="36"/>
      <c r="Y50" s="123"/>
      <c r="Z50" s="56"/>
      <c r="AA50" s="56"/>
      <c r="AB50" s="56"/>
    </row>
    <row r="51" spans="1:34" ht="15.75" customHeight="1" thickTop="1" thickBot="1" x14ac:dyDescent="0.3">
      <c r="A51" s="39" t="s">
        <v>1115</v>
      </c>
      <c r="B51" s="36"/>
      <c r="C51" s="36"/>
      <c r="D51" s="36"/>
      <c r="E51" s="36"/>
      <c r="F51" s="36"/>
      <c r="G51" s="36"/>
      <c r="H51" s="36"/>
      <c r="I51" s="36"/>
      <c r="J51" s="36"/>
      <c r="K51" s="36"/>
      <c r="L51" s="36"/>
      <c r="M51" s="36"/>
      <c r="N51" s="36"/>
      <c r="O51" s="36"/>
      <c r="P51" s="36"/>
      <c r="Q51" s="36"/>
      <c r="R51" s="36"/>
      <c r="S51" s="36"/>
      <c r="T51" s="36"/>
      <c r="U51" s="36"/>
      <c r="V51" s="36"/>
      <c r="W51" s="36"/>
      <c r="X51" s="36"/>
      <c r="Y51" s="123"/>
      <c r="Z51" s="56"/>
      <c r="AA51" s="56"/>
      <c r="AB51" s="56"/>
    </row>
    <row r="52" spans="1:34" ht="15.75" customHeight="1" thickTop="1" x14ac:dyDescent="0.25">
      <c r="A52" s="295" t="s">
        <v>1452</v>
      </c>
      <c r="B52" s="296"/>
      <c r="C52" s="296"/>
      <c r="D52" s="296"/>
      <c r="E52" s="296"/>
      <c r="F52" s="296"/>
      <c r="G52" s="296"/>
      <c r="H52" s="296"/>
      <c r="I52" s="296"/>
      <c r="J52" s="296"/>
      <c r="K52" s="296"/>
      <c r="L52" s="296"/>
      <c r="M52" s="296"/>
      <c r="N52" s="296"/>
      <c r="O52" s="296"/>
      <c r="P52" s="296"/>
      <c r="Q52" s="296"/>
      <c r="R52" s="296"/>
      <c r="S52" s="297"/>
      <c r="AB52" s="59"/>
      <c r="AC52" s="59"/>
      <c r="AD52" s="59"/>
      <c r="AE52" s="59"/>
      <c r="AF52" s="59"/>
      <c r="AG52" s="59"/>
      <c r="AH52" s="59"/>
    </row>
    <row r="53" spans="1:34" ht="15" customHeight="1" x14ac:dyDescent="0.25">
      <c r="A53" s="42">
        <v>1</v>
      </c>
      <c r="B53" s="107"/>
      <c r="C53" s="110"/>
      <c r="D53" s="309" t="s">
        <v>51</v>
      </c>
      <c r="E53" s="310"/>
      <c r="F53" s="310"/>
      <c r="G53" s="310"/>
      <c r="H53" s="310"/>
      <c r="I53" s="310"/>
      <c r="J53" s="310"/>
      <c r="K53" s="310"/>
      <c r="L53" s="310"/>
      <c r="M53" s="310"/>
      <c r="N53" s="310"/>
      <c r="O53" s="310"/>
      <c r="P53" s="310"/>
      <c r="Q53" s="310"/>
      <c r="R53" s="310"/>
      <c r="S53" s="311"/>
      <c r="AB53" s="59"/>
      <c r="AC53" s="59"/>
      <c r="AD53" s="59"/>
      <c r="AE53" s="59"/>
      <c r="AF53" s="59"/>
      <c r="AG53" s="59"/>
      <c r="AH53" s="59"/>
    </row>
    <row r="54" spans="1:34" ht="21.75" customHeight="1" x14ac:dyDescent="0.25">
      <c r="A54" s="42">
        <v>1</v>
      </c>
      <c r="B54" s="107"/>
      <c r="C54" s="110"/>
      <c r="D54" s="312" t="s">
        <v>52</v>
      </c>
      <c r="E54" s="313"/>
      <c r="F54" s="312" t="s">
        <v>53</v>
      </c>
      <c r="G54" s="313"/>
      <c r="H54" s="316" t="s">
        <v>54</v>
      </c>
      <c r="I54" s="317"/>
      <c r="J54" s="312" t="s">
        <v>55</v>
      </c>
      <c r="K54" s="313"/>
      <c r="L54" s="312" t="s">
        <v>56</v>
      </c>
      <c r="M54" s="313"/>
      <c r="N54" s="312" t="s">
        <v>149</v>
      </c>
      <c r="O54" s="313"/>
      <c r="P54" s="312" t="s">
        <v>145</v>
      </c>
      <c r="Q54" s="313"/>
      <c r="R54" s="280" t="s">
        <v>15</v>
      </c>
      <c r="S54" s="281"/>
      <c r="AB54" s="59"/>
      <c r="AC54" s="59"/>
      <c r="AD54" s="59"/>
      <c r="AE54" s="59"/>
      <c r="AF54" s="59"/>
      <c r="AG54" s="59"/>
      <c r="AH54" s="59"/>
    </row>
    <row r="55" spans="1:34" x14ac:dyDescent="0.25">
      <c r="A55" s="42">
        <v>1</v>
      </c>
      <c r="B55" s="107"/>
      <c r="C55" s="110"/>
      <c r="D55" s="314"/>
      <c r="E55" s="315"/>
      <c r="F55" s="314"/>
      <c r="G55" s="315"/>
      <c r="H55" s="318"/>
      <c r="I55" s="319"/>
      <c r="J55" s="314"/>
      <c r="K55" s="315"/>
      <c r="L55" s="314"/>
      <c r="M55" s="315"/>
      <c r="N55" s="314"/>
      <c r="O55" s="315"/>
      <c r="P55" s="314"/>
      <c r="Q55" s="315"/>
      <c r="R55" s="282"/>
      <c r="S55" s="283"/>
      <c r="AB55" s="59"/>
      <c r="AC55" s="59"/>
      <c r="AD55" s="59"/>
      <c r="AE55" s="59"/>
      <c r="AF55" s="59"/>
      <c r="AG55" s="59"/>
      <c r="AH55" s="59"/>
    </row>
    <row r="56" spans="1:34" x14ac:dyDescent="0.25">
      <c r="A56" s="108">
        <v>1</v>
      </c>
      <c r="B56" s="109"/>
      <c r="C56" s="111"/>
      <c r="D56" s="97" t="s">
        <v>9</v>
      </c>
      <c r="E56" s="97" t="s">
        <v>10</v>
      </c>
      <c r="F56" s="97" t="s">
        <v>9</v>
      </c>
      <c r="G56" s="97" t="s">
        <v>10</v>
      </c>
      <c r="H56" s="97" t="s">
        <v>9</v>
      </c>
      <c r="I56" s="97" t="s">
        <v>10</v>
      </c>
      <c r="J56" s="97" t="s">
        <v>9</v>
      </c>
      <c r="K56" s="97" t="s">
        <v>10</v>
      </c>
      <c r="L56" s="97" t="s">
        <v>9</v>
      </c>
      <c r="M56" s="97" t="s">
        <v>10</v>
      </c>
      <c r="N56" s="97" t="s">
        <v>9</v>
      </c>
      <c r="O56" s="97" t="s">
        <v>10</v>
      </c>
      <c r="P56" s="97" t="s">
        <v>9</v>
      </c>
      <c r="Q56" s="97" t="s">
        <v>10</v>
      </c>
      <c r="R56" s="117" t="s">
        <v>9</v>
      </c>
      <c r="S56" s="120" t="s">
        <v>10</v>
      </c>
      <c r="AB56" s="59"/>
      <c r="AC56" s="59"/>
      <c r="AD56" s="59"/>
      <c r="AE56" s="59"/>
      <c r="AF56" s="59"/>
      <c r="AG56" s="59"/>
      <c r="AH56" s="59"/>
    </row>
    <row r="57" spans="1:34" ht="24.75" customHeight="1" x14ac:dyDescent="0.25">
      <c r="A57" s="271" t="s">
        <v>123</v>
      </c>
      <c r="B57" s="249"/>
      <c r="C57" s="250"/>
      <c r="D57" s="155"/>
      <c r="E57" s="155"/>
      <c r="F57" s="155"/>
      <c r="G57" s="155"/>
      <c r="H57" s="155"/>
      <c r="I57" s="155"/>
      <c r="J57" s="155"/>
      <c r="K57" s="155"/>
      <c r="L57" s="155"/>
      <c r="M57" s="155"/>
      <c r="N57" s="155"/>
      <c r="O57" s="155"/>
      <c r="P57" s="155"/>
      <c r="Q57" s="155"/>
      <c r="R57" s="130">
        <f>P57+N57+L57+J57+H57+F57+D57</f>
        <v>0</v>
      </c>
      <c r="S57" s="131">
        <f>Q57+O57+M57+K57+I57+G57+E57</f>
        <v>0</v>
      </c>
      <c r="AB57" s="59"/>
      <c r="AC57" s="59"/>
      <c r="AD57" s="59"/>
      <c r="AE57" s="59"/>
      <c r="AF57" s="59"/>
      <c r="AG57" s="59"/>
      <c r="AH57" s="59"/>
    </row>
    <row r="58" spans="1:34" ht="24.75" customHeight="1" x14ac:dyDescent="0.25">
      <c r="A58" s="271" t="s">
        <v>122</v>
      </c>
      <c r="B58" s="249"/>
      <c r="C58" s="250"/>
      <c r="D58" s="155"/>
      <c r="E58" s="155"/>
      <c r="F58" s="155"/>
      <c r="G58" s="155"/>
      <c r="H58" s="155"/>
      <c r="I58" s="155"/>
      <c r="J58" s="155"/>
      <c r="K58" s="155"/>
      <c r="L58" s="155"/>
      <c r="M58" s="155"/>
      <c r="N58" s="155"/>
      <c r="O58" s="155"/>
      <c r="P58" s="155"/>
      <c r="Q58" s="155"/>
      <c r="R58" s="130">
        <f t="shared" ref="R58:S59" si="8">P58+N58+L58+J58+H58+F58+D58</f>
        <v>0</v>
      </c>
      <c r="S58" s="131">
        <f t="shared" si="8"/>
        <v>0</v>
      </c>
      <c r="T58" s="35">
        <f>D57+D58+F57+F58+H57+H58+J57+J58+L57+L58+N57+N58+P57+P58</f>
        <v>0</v>
      </c>
      <c r="U58" s="35">
        <f>E57+E58+G57+G58+I57+I58+K57+K58+M57+M58+O57+O58+Q57+Q58</f>
        <v>0</v>
      </c>
      <c r="AB58" s="59"/>
      <c r="AC58" s="59"/>
      <c r="AD58" s="59"/>
      <c r="AE58" s="59"/>
      <c r="AF58" s="59"/>
      <c r="AG58" s="59"/>
      <c r="AH58" s="59"/>
    </row>
    <row r="59" spans="1:34" ht="24.75" customHeight="1" x14ac:dyDescent="0.25">
      <c r="A59" s="271" t="s">
        <v>121</v>
      </c>
      <c r="B59" s="249"/>
      <c r="C59" s="250"/>
      <c r="D59" s="155"/>
      <c r="E59" s="155"/>
      <c r="F59" s="155"/>
      <c r="G59" s="155"/>
      <c r="H59" s="155"/>
      <c r="I59" s="155"/>
      <c r="J59" s="155"/>
      <c r="K59" s="155"/>
      <c r="L59" s="155"/>
      <c r="M59" s="155"/>
      <c r="N59" s="155"/>
      <c r="O59" s="155"/>
      <c r="P59" s="155"/>
      <c r="Q59" s="155"/>
      <c r="R59" s="130">
        <f t="shared" si="8"/>
        <v>0</v>
      </c>
      <c r="S59" s="131">
        <f t="shared" si="8"/>
        <v>0</v>
      </c>
      <c r="AB59" s="59"/>
      <c r="AC59" s="59"/>
      <c r="AD59" s="59"/>
      <c r="AE59" s="59"/>
      <c r="AF59" s="59"/>
      <c r="AG59" s="59"/>
      <c r="AH59" s="59"/>
    </row>
    <row r="60" spans="1:34" x14ac:dyDescent="0.25">
      <c r="A60" s="341" t="s">
        <v>15</v>
      </c>
      <c r="B60" s="342"/>
      <c r="C60" s="343"/>
      <c r="D60" s="153" t="str">
        <f>IF(SUM(D57:D59)=0, "", SUM(D57:D59))</f>
        <v/>
      </c>
      <c r="E60" s="153" t="str">
        <f t="shared" ref="E60:Q60" si="9">IF(SUM(E57:E59)=0, "", SUM(E57:E59))</f>
        <v/>
      </c>
      <c r="F60" s="153" t="str">
        <f t="shared" si="9"/>
        <v/>
      </c>
      <c r="G60" s="153" t="str">
        <f t="shared" si="9"/>
        <v/>
      </c>
      <c r="H60" s="153" t="str">
        <f t="shared" si="9"/>
        <v/>
      </c>
      <c r="I60" s="153" t="str">
        <f t="shared" si="9"/>
        <v/>
      </c>
      <c r="J60" s="153" t="str">
        <f t="shared" si="9"/>
        <v/>
      </c>
      <c r="K60" s="153" t="str">
        <f t="shared" si="9"/>
        <v/>
      </c>
      <c r="L60" s="153" t="str">
        <f t="shared" si="9"/>
        <v/>
      </c>
      <c r="M60" s="153" t="str">
        <f t="shared" si="9"/>
        <v/>
      </c>
      <c r="N60" s="153" t="str">
        <f t="shared" si="9"/>
        <v/>
      </c>
      <c r="O60" s="153" t="str">
        <f t="shared" si="9"/>
        <v/>
      </c>
      <c r="P60" s="153" t="str">
        <f t="shared" si="9"/>
        <v/>
      </c>
      <c r="Q60" s="153" t="str">
        <f t="shared" si="9"/>
        <v/>
      </c>
      <c r="R60" s="138">
        <f t="shared" ref="R60:S60" si="10">SUM(R57:R59)</f>
        <v>0</v>
      </c>
      <c r="S60" s="139">
        <f t="shared" si="10"/>
        <v>0</v>
      </c>
      <c r="AB60" s="59"/>
      <c r="AC60" s="59"/>
      <c r="AD60" s="59"/>
      <c r="AE60" s="59"/>
      <c r="AF60" s="59"/>
      <c r="AG60" s="59"/>
      <c r="AH60" s="59"/>
    </row>
    <row r="61" spans="1:34" ht="25.5" customHeight="1" thickBot="1" x14ac:dyDescent="0.3">
      <c r="A61" s="322" t="s">
        <v>147</v>
      </c>
      <c r="B61" s="323"/>
      <c r="C61" s="323"/>
      <c r="D61" s="158"/>
      <c r="E61" s="158"/>
      <c r="F61" s="158"/>
      <c r="G61" s="158"/>
      <c r="H61" s="158"/>
      <c r="I61" s="158"/>
      <c r="J61" s="158"/>
      <c r="K61" s="158"/>
      <c r="L61" s="158"/>
      <c r="M61" s="158"/>
      <c r="N61" s="158"/>
      <c r="O61" s="158"/>
      <c r="P61" s="158"/>
      <c r="Q61" s="158"/>
      <c r="R61" s="132">
        <f>P61+N61+L61+J61+H61+F61+D61</f>
        <v>0</v>
      </c>
      <c r="S61" s="133">
        <f>Q61+O61+M61+K61+I61+G61+E61</f>
        <v>0</v>
      </c>
      <c r="AB61" s="59"/>
      <c r="AC61" s="59"/>
      <c r="AD61" s="59"/>
      <c r="AE61" s="59"/>
      <c r="AF61" s="59"/>
      <c r="AG61" s="59"/>
      <c r="AH61" s="59"/>
    </row>
    <row r="62" spans="1:34" ht="18" customHeight="1" thickTop="1" thickBot="1" x14ac:dyDescent="0.3">
      <c r="A62" s="35" t="s">
        <v>1115</v>
      </c>
      <c r="T62" s="36"/>
      <c r="AB62" s="59"/>
      <c r="AC62" s="59"/>
      <c r="AD62" s="59"/>
      <c r="AE62" s="59"/>
      <c r="AF62" s="59"/>
      <c r="AG62" s="59"/>
      <c r="AH62" s="59"/>
    </row>
    <row r="63" spans="1:34" ht="15.75" customHeight="1" thickTop="1" x14ac:dyDescent="0.25">
      <c r="A63" s="295" t="s">
        <v>1454</v>
      </c>
      <c r="B63" s="296"/>
      <c r="C63" s="296"/>
      <c r="D63" s="296"/>
      <c r="E63" s="296"/>
      <c r="F63" s="296"/>
      <c r="G63" s="296"/>
      <c r="H63" s="297"/>
      <c r="K63" s="335" t="s">
        <v>1450</v>
      </c>
      <c r="L63" s="336"/>
      <c r="M63" s="336"/>
      <c r="N63" s="336"/>
      <c r="O63" s="336"/>
      <c r="P63" s="336"/>
      <c r="Q63" s="337"/>
      <c r="T63" s="36"/>
      <c r="AB63" s="59"/>
      <c r="AC63" s="59"/>
      <c r="AD63" s="59"/>
      <c r="AE63" s="59"/>
      <c r="AF63" s="59"/>
      <c r="AG63" s="59"/>
      <c r="AH63" s="59"/>
    </row>
    <row r="64" spans="1:34" ht="16.5" customHeight="1" x14ac:dyDescent="0.25">
      <c r="A64" s="357" t="s">
        <v>1453</v>
      </c>
      <c r="B64" s="358"/>
      <c r="C64" s="358"/>
      <c r="D64" s="358"/>
      <c r="E64" s="358"/>
      <c r="F64" s="358"/>
      <c r="G64" s="358"/>
      <c r="H64" s="359"/>
      <c r="K64" s="338"/>
      <c r="L64" s="339"/>
      <c r="M64" s="339"/>
      <c r="N64" s="339"/>
      <c r="O64" s="339"/>
      <c r="P64" s="339"/>
      <c r="Q64" s="340"/>
      <c r="T64" s="36"/>
      <c r="AB64" s="59"/>
      <c r="AC64" s="59"/>
      <c r="AD64" s="59"/>
      <c r="AE64" s="59"/>
      <c r="AF64" s="59"/>
      <c r="AG64" s="59"/>
      <c r="AH64" s="59"/>
    </row>
    <row r="65" spans="1:34" ht="28.5" customHeight="1" x14ac:dyDescent="0.25">
      <c r="A65" s="113">
        <v>1</v>
      </c>
      <c r="B65" s="114"/>
      <c r="C65" s="321" t="s">
        <v>119</v>
      </c>
      <c r="D65" s="321"/>
      <c r="E65" s="321" t="s">
        <v>120</v>
      </c>
      <c r="F65" s="321"/>
      <c r="G65" s="333" t="s">
        <v>15</v>
      </c>
      <c r="H65" s="334"/>
      <c r="K65" s="102"/>
      <c r="L65" s="103"/>
      <c r="M65" s="242" t="s">
        <v>1449</v>
      </c>
      <c r="N65" s="244"/>
      <c r="O65" s="242" t="s">
        <v>78</v>
      </c>
      <c r="P65" s="243"/>
      <c r="Q65" s="270"/>
      <c r="T65" s="36"/>
      <c r="AB65" s="59"/>
      <c r="AC65" s="59"/>
      <c r="AD65" s="59"/>
      <c r="AE65" s="59"/>
      <c r="AF65" s="59"/>
      <c r="AG65" s="59"/>
      <c r="AH65" s="59"/>
    </row>
    <row r="66" spans="1:34" x14ac:dyDescent="0.25">
      <c r="A66" s="115">
        <v>1</v>
      </c>
      <c r="B66" s="116"/>
      <c r="C66" s="97" t="s">
        <v>9</v>
      </c>
      <c r="D66" s="64" t="s">
        <v>10</v>
      </c>
      <c r="E66" s="119" t="s">
        <v>9</v>
      </c>
      <c r="F66" s="64" t="s">
        <v>10</v>
      </c>
      <c r="G66" s="117" t="s">
        <v>9</v>
      </c>
      <c r="H66" s="120" t="s">
        <v>10</v>
      </c>
      <c r="K66" s="271" t="s">
        <v>1184</v>
      </c>
      <c r="L66" s="250"/>
      <c r="M66" s="272"/>
      <c r="N66" s="275"/>
      <c r="O66" s="272"/>
      <c r="P66" s="273"/>
      <c r="Q66" s="274"/>
      <c r="T66" s="36"/>
      <c r="AB66" s="59"/>
      <c r="AC66" s="59"/>
      <c r="AD66" s="59"/>
      <c r="AE66" s="59"/>
      <c r="AF66" s="59"/>
      <c r="AG66" s="59"/>
      <c r="AH66" s="59"/>
    </row>
    <row r="67" spans="1:34" ht="15" customHeight="1" x14ac:dyDescent="0.25">
      <c r="A67" s="289" t="s">
        <v>1145</v>
      </c>
      <c r="B67" s="290"/>
      <c r="C67" s="159"/>
      <c r="D67" s="159"/>
      <c r="E67" s="159"/>
      <c r="F67" s="159"/>
      <c r="G67" s="130">
        <f>C67+E67</f>
        <v>0</v>
      </c>
      <c r="H67" s="135">
        <f>D67+F67</f>
        <v>0</v>
      </c>
      <c r="K67" s="271" t="s">
        <v>79</v>
      </c>
      <c r="L67" s="250"/>
      <c r="M67" s="272"/>
      <c r="N67" s="275"/>
      <c r="O67" s="272"/>
      <c r="P67" s="273"/>
      <c r="Q67" s="274"/>
      <c r="T67" s="36"/>
      <c r="AB67" s="59"/>
      <c r="AC67" s="59"/>
      <c r="AD67" s="59"/>
      <c r="AE67" s="59"/>
      <c r="AF67" s="59"/>
      <c r="AG67" s="59"/>
      <c r="AH67" s="59"/>
    </row>
    <row r="68" spans="1:34" ht="15" customHeight="1" x14ac:dyDescent="0.25">
      <c r="A68" s="289" t="s">
        <v>1146</v>
      </c>
      <c r="B68" s="290"/>
      <c r="C68" s="159"/>
      <c r="D68" s="159"/>
      <c r="E68" s="159"/>
      <c r="F68" s="159"/>
      <c r="G68" s="130">
        <f t="shared" ref="G68:H73" si="11">C68+E68</f>
        <v>0</v>
      </c>
      <c r="H68" s="135">
        <f t="shared" si="11"/>
        <v>0</v>
      </c>
      <c r="K68" s="271" t="s">
        <v>80</v>
      </c>
      <c r="L68" s="250"/>
      <c r="M68" s="272"/>
      <c r="N68" s="275"/>
      <c r="O68" s="272"/>
      <c r="P68" s="273"/>
      <c r="Q68" s="274"/>
      <c r="T68" s="36"/>
      <c r="AB68" s="59"/>
      <c r="AC68" s="59"/>
      <c r="AD68" s="59"/>
      <c r="AE68" s="59"/>
      <c r="AF68" s="59"/>
      <c r="AG68" s="59"/>
      <c r="AH68" s="59"/>
    </row>
    <row r="69" spans="1:34" ht="15" customHeight="1" x14ac:dyDescent="0.25">
      <c r="A69" s="289" t="s">
        <v>1147</v>
      </c>
      <c r="B69" s="290"/>
      <c r="C69" s="159"/>
      <c r="D69" s="159"/>
      <c r="E69" s="159"/>
      <c r="F69" s="159"/>
      <c r="G69" s="130">
        <f t="shared" si="11"/>
        <v>0</v>
      </c>
      <c r="H69" s="135">
        <f t="shared" si="11"/>
        <v>0</v>
      </c>
      <c r="K69" s="271" t="s">
        <v>14</v>
      </c>
      <c r="L69" s="250"/>
      <c r="M69" s="272"/>
      <c r="N69" s="275"/>
      <c r="O69" s="272"/>
      <c r="P69" s="273"/>
      <c r="Q69" s="274"/>
      <c r="T69" s="36"/>
      <c r="AB69" s="59"/>
      <c r="AC69" s="59"/>
      <c r="AD69" s="59"/>
      <c r="AE69" s="59"/>
      <c r="AF69" s="59"/>
      <c r="AG69" s="59"/>
      <c r="AH69" s="59"/>
    </row>
    <row r="70" spans="1:34" ht="15.75" customHeight="1" thickBot="1" x14ac:dyDescent="0.3">
      <c r="A70" s="289" t="s">
        <v>1148</v>
      </c>
      <c r="B70" s="290"/>
      <c r="C70" s="159"/>
      <c r="D70" s="159"/>
      <c r="E70" s="159"/>
      <c r="F70" s="159"/>
      <c r="G70" s="130">
        <f t="shared" si="11"/>
        <v>0</v>
      </c>
      <c r="H70" s="135">
        <f t="shared" si="11"/>
        <v>0</v>
      </c>
      <c r="K70" s="293" t="s">
        <v>15</v>
      </c>
      <c r="L70" s="294"/>
      <c r="M70" s="284">
        <f>SUM(M66:N69)</f>
        <v>0</v>
      </c>
      <c r="N70" s="285"/>
      <c r="O70" s="286"/>
      <c r="P70" s="287"/>
      <c r="Q70" s="288"/>
      <c r="T70" s="36"/>
      <c r="AB70" s="59"/>
      <c r="AC70" s="59"/>
      <c r="AD70" s="59"/>
      <c r="AE70" s="59"/>
      <c r="AF70" s="59"/>
      <c r="AG70" s="59"/>
      <c r="AH70" s="59"/>
    </row>
    <row r="71" spans="1:34" ht="15.75" thickTop="1" x14ac:dyDescent="0.25">
      <c r="A71" s="289" t="s">
        <v>1149</v>
      </c>
      <c r="B71" s="290"/>
      <c r="C71" s="159"/>
      <c r="D71" s="159"/>
      <c r="E71" s="159"/>
      <c r="F71" s="159"/>
      <c r="G71" s="130">
        <f t="shared" si="11"/>
        <v>0</v>
      </c>
      <c r="H71" s="135">
        <f t="shared" si="11"/>
        <v>0</v>
      </c>
      <c r="T71" s="36"/>
      <c r="AB71" s="59"/>
      <c r="AC71" s="59"/>
      <c r="AD71" s="59"/>
      <c r="AE71" s="59"/>
      <c r="AF71" s="59"/>
      <c r="AG71" s="59"/>
      <c r="AH71" s="59"/>
    </row>
    <row r="72" spans="1:34" x14ac:dyDescent="0.25">
      <c r="A72" s="289" t="s">
        <v>1150</v>
      </c>
      <c r="B72" s="290"/>
      <c r="C72" s="159"/>
      <c r="D72" s="159"/>
      <c r="E72" s="159"/>
      <c r="F72" s="159"/>
      <c r="G72" s="130">
        <f t="shared" si="11"/>
        <v>0</v>
      </c>
      <c r="H72" s="135">
        <f t="shared" si="11"/>
        <v>0</v>
      </c>
      <c r="T72" s="36"/>
      <c r="AB72" s="59"/>
      <c r="AC72" s="59"/>
      <c r="AD72" s="59"/>
      <c r="AE72" s="59"/>
      <c r="AF72" s="59"/>
      <c r="AG72" s="59"/>
      <c r="AH72" s="59"/>
    </row>
    <row r="73" spans="1:34" ht="15.75" thickBot="1" x14ac:dyDescent="0.3">
      <c r="A73" s="291" t="s">
        <v>15</v>
      </c>
      <c r="B73" s="292"/>
      <c r="C73" s="132">
        <f>SUM(C67:C72)</f>
        <v>0</v>
      </c>
      <c r="D73" s="132">
        <f t="shared" ref="D73:F73" si="12">SUM(D67:D72)</f>
        <v>0</v>
      </c>
      <c r="E73" s="132">
        <f t="shared" si="12"/>
        <v>0</v>
      </c>
      <c r="F73" s="132">
        <f t="shared" si="12"/>
        <v>0</v>
      </c>
      <c r="G73" s="132">
        <f t="shared" si="11"/>
        <v>0</v>
      </c>
      <c r="H73" s="136">
        <f t="shared" si="11"/>
        <v>0</v>
      </c>
      <c r="T73" s="36"/>
      <c r="AB73" s="59"/>
      <c r="AC73" s="59"/>
      <c r="AD73" s="59"/>
      <c r="AE73" s="59"/>
      <c r="AF73" s="59"/>
      <c r="AG73" s="59"/>
      <c r="AH73" s="59"/>
    </row>
    <row r="74" spans="1:34" ht="12.75" customHeight="1" thickTop="1" x14ac:dyDescent="0.25">
      <c r="A74" s="35">
        <v>1</v>
      </c>
      <c r="T74" s="36"/>
      <c r="AB74" s="59"/>
      <c r="AC74" s="59"/>
      <c r="AD74" s="59"/>
      <c r="AE74" s="59"/>
      <c r="AF74" s="59"/>
      <c r="AG74" s="59"/>
      <c r="AH74" s="59"/>
    </row>
    <row r="75" spans="1:34" ht="16.5" customHeight="1" thickBot="1" x14ac:dyDescent="0.3">
      <c r="A75" s="35">
        <v>1</v>
      </c>
      <c r="T75" s="36"/>
      <c r="AB75" s="59"/>
      <c r="AC75" s="59"/>
      <c r="AD75" s="59"/>
      <c r="AE75" s="59"/>
      <c r="AF75" s="59"/>
      <c r="AG75" s="59"/>
      <c r="AH75" s="59"/>
    </row>
    <row r="76" spans="1:34" ht="15.75" thickTop="1" x14ac:dyDescent="0.25">
      <c r="A76" s="295" t="s">
        <v>1197</v>
      </c>
      <c r="B76" s="296"/>
      <c r="C76" s="296"/>
      <c r="D76" s="296"/>
      <c r="E76" s="296"/>
      <c r="F76" s="296"/>
      <c r="G76" s="296"/>
      <c r="H76" s="296"/>
      <c r="I76" s="296"/>
      <c r="J76" s="296"/>
      <c r="K76" s="297"/>
    </row>
    <row r="77" spans="1:34" x14ac:dyDescent="0.25">
      <c r="A77" s="40">
        <v>1</v>
      </c>
      <c r="B77" s="41"/>
      <c r="C77" s="41"/>
      <c r="D77" s="41"/>
      <c r="E77" s="112"/>
      <c r="F77" s="276" t="s">
        <v>119</v>
      </c>
      <c r="G77" s="277"/>
      <c r="H77" s="276" t="s">
        <v>120</v>
      </c>
      <c r="I77" s="277"/>
      <c r="J77" s="280" t="s">
        <v>15</v>
      </c>
      <c r="K77" s="281"/>
    </row>
    <row r="78" spans="1:34" x14ac:dyDescent="0.25">
      <c r="A78" s="360" t="s">
        <v>82</v>
      </c>
      <c r="B78" s="361"/>
      <c r="C78" s="361"/>
      <c r="D78" s="361"/>
      <c r="E78" s="362"/>
      <c r="F78" s="278"/>
      <c r="G78" s="279"/>
      <c r="H78" s="278"/>
      <c r="I78" s="279"/>
      <c r="J78" s="282"/>
      <c r="K78" s="283"/>
    </row>
    <row r="79" spans="1:34" x14ac:dyDescent="0.25">
      <c r="A79" s="40">
        <v>1</v>
      </c>
      <c r="B79" s="41"/>
      <c r="C79" s="41"/>
      <c r="D79" s="41"/>
      <c r="E79" s="112"/>
      <c r="F79" s="119" t="s">
        <v>9</v>
      </c>
      <c r="G79" s="119" t="s">
        <v>10</v>
      </c>
      <c r="H79" s="97" t="s">
        <v>9</v>
      </c>
      <c r="I79" s="97" t="s">
        <v>10</v>
      </c>
      <c r="J79" s="117" t="s">
        <v>9</v>
      </c>
      <c r="K79" s="120" t="s">
        <v>10</v>
      </c>
    </row>
    <row r="80" spans="1:34" ht="15" customHeight="1" x14ac:dyDescent="0.25">
      <c r="A80" s="271" t="s">
        <v>63</v>
      </c>
      <c r="B80" s="249"/>
      <c r="C80" s="249"/>
      <c r="D80" s="249"/>
      <c r="E80" s="250"/>
      <c r="F80" s="159"/>
      <c r="G80" s="159"/>
      <c r="H80" s="159"/>
      <c r="I80" s="159"/>
      <c r="J80" s="130">
        <f>H80+F80</f>
        <v>0</v>
      </c>
      <c r="K80" s="131">
        <f>I80+G80</f>
        <v>0</v>
      </c>
    </row>
    <row r="81" spans="1:11" ht="15" customHeight="1" x14ac:dyDescent="0.25">
      <c r="A81" s="271" t="s">
        <v>1451</v>
      </c>
      <c r="B81" s="249"/>
      <c r="C81" s="249"/>
      <c r="D81" s="249"/>
      <c r="E81" s="250"/>
      <c r="F81" s="159"/>
      <c r="G81" s="159"/>
      <c r="H81" s="159"/>
      <c r="I81" s="159"/>
      <c r="J81" s="130">
        <f t="shared" ref="J81:K103" si="13">H81+F81</f>
        <v>0</v>
      </c>
      <c r="K81" s="131">
        <f t="shared" si="13"/>
        <v>0</v>
      </c>
    </row>
    <row r="82" spans="1:11" x14ac:dyDescent="0.25">
      <c r="A82" s="271" t="s">
        <v>81</v>
      </c>
      <c r="B82" s="249"/>
      <c r="C82" s="249"/>
      <c r="D82" s="249"/>
      <c r="E82" s="250"/>
      <c r="F82" s="159"/>
      <c r="G82" s="159"/>
      <c r="H82" s="159"/>
      <c r="I82" s="159"/>
      <c r="J82" s="130">
        <f t="shared" si="13"/>
        <v>0</v>
      </c>
      <c r="K82" s="131">
        <f t="shared" si="13"/>
        <v>0</v>
      </c>
    </row>
    <row r="83" spans="1:11" x14ac:dyDescent="0.25">
      <c r="A83" s="271" t="s">
        <v>85</v>
      </c>
      <c r="B83" s="249"/>
      <c r="C83" s="249"/>
      <c r="D83" s="249"/>
      <c r="E83" s="250"/>
      <c r="F83" s="159"/>
      <c r="G83" s="159"/>
      <c r="H83" s="159"/>
      <c r="I83" s="159"/>
      <c r="J83" s="130">
        <f t="shared" si="13"/>
        <v>0</v>
      </c>
      <c r="K83" s="131">
        <f t="shared" si="13"/>
        <v>0</v>
      </c>
    </row>
    <row r="84" spans="1:11" ht="15" customHeight="1" x14ac:dyDescent="0.25">
      <c r="A84" s="271" t="s">
        <v>86</v>
      </c>
      <c r="B84" s="249"/>
      <c r="C84" s="249"/>
      <c r="D84" s="249"/>
      <c r="E84" s="250"/>
      <c r="F84" s="159"/>
      <c r="G84" s="159"/>
      <c r="H84" s="159"/>
      <c r="I84" s="159"/>
      <c r="J84" s="130">
        <f t="shared" si="13"/>
        <v>0</v>
      </c>
      <c r="K84" s="131">
        <f t="shared" si="13"/>
        <v>0</v>
      </c>
    </row>
    <row r="85" spans="1:11" x14ac:dyDescent="0.25">
      <c r="A85" s="271" t="s">
        <v>87</v>
      </c>
      <c r="B85" s="249"/>
      <c r="C85" s="249"/>
      <c r="D85" s="249"/>
      <c r="E85" s="250"/>
      <c r="F85" s="159"/>
      <c r="G85" s="159"/>
      <c r="H85" s="159"/>
      <c r="I85" s="159"/>
      <c r="J85" s="130">
        <f t="shared" si="13"/>
        <v>0</v>
      </c>
      <c r="K85" s="131">
        <f t="shared" si="13"/>
        <v>0</v>
      </c>
    </row>
    <row r="86" spans="1:11" x14ac:dyDescent="0.25">
      <c r="A86" s="271" t="s">
        <v>1184</v>
      </c>
      <c r="B86" s="249"/>
      <c r="C86" s="249"/>
      <c r="D86" s="249"/>
      <c r="E86" s="250"/>
      <c r="F86" s="159"/>
      <c r="G86" s="159"/>
      <c r="H86" s="159"/>
      <c r="I86" s="159"/>
      <c r="J86" s="130">
        <f t="shared" si="13"/>
        <v>0</v>
      </c>
      <c r="K86" s="131">
        <f t="shared" si="13"/>
        <v>0</v>
      </c>
    </row>
    <row r="87" spans="1:11" x14ac:dyDescent="0.25">
      <c r="A87" s="271" t="s">
        <v>80</v>
      </c>
      <c r="B87" s="249"/>
      <c r="C87" s="249"/>
      <c r="D87" s="249"/>
      <c r="E87" s="250"/>
      <c r="F87" s="159"/>
      <c r="G87" s="159"/>
      <c r="H87" s="159"/>
      <c r="I87" s="159"/>
      <c r="J87" s="130">
        <f t="shared" si="13"/>
        <v>0</v>
      </c>
      <c r="K87" s="131">
        <f t="shared" si="13"/>
        <v>0</v>
      </c>
    </row>
    <row r="88" spans="1:11" x14ac:dyDescent="0.25">
      <c r="A88" s="271" t="s">
        <v>79</v>
      </c>
      <c r="B88" s="249"/>
      <c r="C88" s="249"/>
      <c r="D88" s="249"/>
      <c r="E88" s="250"/>
      <c r="F88" s="159"/>
      <c r="G88" s="159"/>
      <c r="H88" s="159"/>
      <c r="I88" s="159"/>
      <c r="J88" s="130">
        <f t="shared" si="13"/>
        <v>0</v>
      </c>
      <c r="K88" s="131">
        <f t="shared" si="13"/>
        <v>0</v>
      </c>
    </row>
    <row r="89" spans="1:11" x14ac:dyDescent="0.25">
      <c r="A89" s="271" t="s">
        <v>1185</v>
      </c>
      <c r="B89" s="249"/>
      <c r="C89" s="249"/>
      <c r="D89" s="249"/>
      <c r="E89" s="250"/>
      <c r="F89" s="159"/>
      <c r="G89" s="159"/>
      <c r="H89" s="159"/>
      <c r="I89" s="159"/>
      <c r="J89" s="130">
        <f t="shared" si="13"/>
        <v>0</v>
      </c>
      <c r="K89" s="131">
        <f t="shared" si="13"/>
        <v>0</v>
      </c>
    </row>
    <row r="90" spans="1:11" ht="15" customHeight="1" x14ac:dyDescent="0.25">
      <c r="A90" s="271" t="s">
        <v>1186</v>
      </c>
      <c r="B90" s="249"/>
      <c r="C90" s="249"/>
      <c r="D90" s="249"/>
      <c r="E90" s="250"/>
      <c r="F90" s="159"/>
      <c r="G90" s="159"/>
      <c r="H90" s="159"/>
      <c r="I90" s="159"/>
      <c r="J90" s="130">
        <f t="shared" si="13"/>
        <v>0</v>
      </c>
      <c r="K90" s="131">
        <f t="shared" si="13"/>
        <v>0</v>
      </c>
    </row>
    <row r="91" spans="1:11" x14ac:dyDescent="0.25">
      <c r="A91" s="271" t="s">
        <v>1187</v>
      </c>
      <c r="B91" s="249"/>
      <c r="C91" s="249"/>
      <c r="D91" s="249"/>
      <c r="E91" s="250"/>
      <c r="F91" s="159"/>
      <c r="G91" s="159"/>
      <c r="H91" s="159"/>
      <c r="I91" s="159"/>
      <c r="J91" s="130">
        <f t="shared" si="13"/>
        <v>0</v>
      </c>
      <c r="K91" s="131">
        <f t="shared" si="13"/>
        <v>0</v>
      </c>
    </row>
    <row r="92" spans="1:11" x14ac:dyDescent="0.25">
      <c r="A92" s="271" t="s">
        <v>1188</v>
      </c>
      <c r="B92" s="249"/>
      <c r="C92" s="249"/>
      <c r="D92" s="249"/>
      <c r="E92" s="250"/>
      <c r="F92" s="159"/>
      <c r="G92" s="159"/>
      <c r="H92" s="159"/>
      <c r="I92" s="159"/>
      <c r="J92" s="130">
        <f t="shared" si="13"/>
        <v>0</v>
      </c>
      <c r="K92" s="131">
        <f t="shared" si="13"/>
        <v>0</v>
      </c>
    </row>
    <row r="93" spans="1:11" ht="15" customHeight="1" x14ac:dyDescent="0.25">
      <c r="A93" s="271" t="s">
        <v>88</v>
      </c>
      <c r="B93" s="249"/>
      <c r="C93" s="249"/>
      <c r="D93" s="249"/>
      <c r="E93" s="250"/>
      <c r="F93" s="159"/>
      <c r="G93" s="159"/>
      <c r="H93" s="159"/>
      <c r="I93" s="159"/>
      <c r="J93" s="130">
        <f t="shared" si="13"/>
        <v>0</v>
      </c>
      <c r="K93" s="131">
        <f t="shared" si="13"/>
        <v>0</v>
      </c>
    </row>
    <row r="94" spans="1:11" ht="15" customHeight="1" x14ac:dyDescent="0.25">
      <c r="A94" s="271" t="s">
        <v>89</v>
      </c>
      <c r="B94" s="249"/>
      <c r="C94" s="249"/>
      <c r="D94" s="249"/>
      <c r="E94" s="250"/>
      <c r="F94" s="159"/>
      <c r="G94" s="159"/>
      <c r="H94" s="159"/>
      <c r="I94" s="159"/>
      <c r="J94" s="130">
        <f t="shared" si="13"/>
        <v>0</v>
      </c>
      <c r="K94" s="131">
        <f t="shared" si="13"/>
        <v>0</v>
      </c>
    </row>
    <row r="95" spans="1:11" x14ac:dyDescent="0.25">
      <c r="A95" s="271" t="s">
        <v>90</v>
      </c>
      <c r="B95" s="249"/>
      <c r="C95" s="249"/>
      <c r="D95" s="249"/>
      <c r="E95" s="250"/>
      <c r="F95" s="159"/>
      <c r="G95" s="159"/>
      <c r="H95" s="159"/>
      <c r="I95" s="159"/>
      <c r="J95" s="130">
        <f t="shared" si="13"/>
        <v>0</v>
      </c>
      <c r="K95" s="131">
        <f t="shared" si="13"/>
        <v>0</v>
      </c>
    </row>
    <row r="96" spans="1:11" x14ac:dyDescent="0.25">
      <c r="A96" s="271" t="s">
        <v>91</v>
      </c>
      <c r="B96" s="249"/>
      <c r="C96" s="249"/>
      <c r="D96" s="249"/>
      <c r="E96" s="250"/>
      <c r="F96" s="159"/>
      <c r="G96" s="159"/>
      <c r="H96" s="159"/>
      <c r="I96" s="159"/>
      <c r="J96" s="130">
        <f t="shared" si="13"/>
        <v>0</v>
      </c>
      <c r="K96" s="131">
        <f t="shared" si="13"/>
        <v>0</v>
      </c>
    </row>
    <row r="97" spans="1:26" ht="15" customHeight="1" x14ac:dyDescent="0.25">
      <c r="A97" s="271" t="s">
        <v>92</v>
      </c>
      <c r="B97" s="249"/>
      <c r="C97" s="249"/>
      <c r="D97" s="249"/>
      <c r="E97" s="250"/>
      <c r="F97" s="159"/>
      <c r="G97" s="159"/>
      <c r="H97" s="159"/>
      <c r="I97" s="159"/>
      <c r="J97" s="130">
        <f t="shared" si="13"/>
        <v>0</v>
      </c>
      <c r="K97" s="131">
        <f t="shared" si="13"/>
        <v>0</v>
      </c>
    </row>
    <row r="98" spans="1:26" ht="15" customHeight="1" x14ac:dyDescent="0.25">
      <c r="A98" s="271" t="s">
        <v>1189</v>
      </c>
      <c r="B98" s="249"/>
      <c r="C98" s="249"/>
      <c r="D98" s="249"/>
      <c r="E98" s="250"/>
      <c r="F98" s="159"/>
      <c r="G98" s="159"/>
      <c r="H98" s="159"/>
      <c r="I98" s="159"/>
      <c r="J98" s="130">
        <f t="shared" si="13"/>
        <v>0</v>
      </c>
      <c r="K98" s="131">
        <f t="shared" si="13"/>
        <v>0</v>
      </c>
    </row>
    <row r="99" spans="1:26" x14ac:dyDescent="0.25">
      <c r="A99" s="271" t="s">
        <v>1191</v>
      </c>
      <c r="B99" s="249"/>
      <c r="C99" s="249"/>
      <c r="D99" s="249"/>
      <c r="E99" s="250"/>
      <c r="F99" s="159"/>
      <c r="G99" s="159"/>
      <c r="H99" s="159"/>
      <c r="I99" s="159"/>
      <c r="J99" s="130">
        <f t="shared" si="13"/>
        <v>0</v>
      </c>
      <c r="K99" s="131">
        <f t="shared" si="13"/>
        <v>0</v>
      </c>
    </row>
    <row r="100" spans="1:26" x14ac:dyDescent="0.25">
      <c r="A100" s="271" t="s">
        <v>1192</v>
      </c>
      <c r="B100" s="249"/>
      <c r="C100" s="249"/>
      <c r="D100" s="249"/>
      <c r="E100" s="250"/>
      <c r="F100" s="159"/>
      <c r="G100" s="159"/>
      <c r="H100" s="159"/>
      <c r="I100" s="159"/>
      <c r="J100" s="130">
        <f t="shared" si="13"/>
        <v>0</v>
      </c>
      <c r="K100" s="131">
        <f t="shared" si="13"/>
        <v>0</v>
      </c>
    </row>
    <row r="101" spans="1:26" ht="15" customHeight="1" x14ac:dyDescent="0.25">
      <c r="A101" s="271" t="s">
        <v>1193</v>
      </c>
      <c r="B101" s="249"/>
      <c r="C101" s="249"/>
      <c r="D101" s="249"/>
      <c r="E101" s="250"/>
      <c r="F101" s="159"/>
      <c r="G101" s="159"/>
      <c r="H101" s="159"/>
      <c r="I101" s="159"/>
      <c r="J101" s="130">
        <f t="shared" si="13"/>
        <v>0</v>
      </c>
      <c r="K101" s="131">
        <f t="shared" si="13"/>
        <v>0</v>
      </c>
    </row>
    <row r="102" spans="1:26" ht="15" customHeight="1" x14ac:dyDescent="0.25">
      <c r="A102" s="271" t="s">
        <v>1194</v>
      </c>
      <c r="B102" s="249"/>
      <c r="C102" s="249"/>
      <c r="D102" s="249"/>
      <c r="E102" s="250"/>
      <c r="F102" s="159"/>
      <c r="G102" s="159"/>
      <c r="H102" s="159"/>
      <c r="I102" s="159"/>
      <c r="J102" s="130">
        <f t="shared" si="13"/>
        <v>0</v>
      </c>
      <c r="K102" s="131">
        <f t="shared" si="13"/>
        <v>0</v>
      </c>
      <c r="M102" s="306" t="s">
        <v>1462</v>
      </c>
      <c r="N102" s="307"/>
      <c r="O102" s="307"/>
      <c r="P102" s="307"/>
      <c r="Q102" s="307"/>
      <c r="R102" s="307"/>
      <c r="S102" s="307"/>
      <c r="T102" s="307"/>
      <c r="U102" s="307"/>
      <c r="V102" s="308"/>
    </row>
    <row r="103" spans="1:26" ht="15" customHeight="1" x14ac:dyDescent="0.25">
      <c r="A103" s="271" t="s">
        <v>1195</v>
      </c>
      <c r="B103" s="249"/>
      <c r="C103" s="249"/>
      <c r="D103" s="249"/>
      <c r="E103" s="250"/>
      <c r="F103" s="159"/>
      <c r="G103" s="159"/>
      <c r="H103" s="159"/>
      <c r="I103" s="159"/>
      <c r="J103" s="130">
        <f t="shared" si="13"/>
        <v>0</v>
      </c>
      <c r="K103" s="131">
        <f t="shared" si="13"/>
        <v>0</v>
      </c>
      <c r="M103" s="303" t="s">
        <v>1469</v>
      </c>
      <c r="N103" s="304"/>
      <c r="O103" s="304"/>
      <c r="P103" s="304"/>
      <c r="Q103" s="304"/>
      <c r="R103" s="304"/>
      <c r="S103" s="304"/>
      <c r="T103" s="304"/>
      <c r="U103" s="304"/>
      <c r="V103" s="305"/>
    </row>
    <row r="104" spans="1:26" ht="15.75" thickBot="1" x14ac:dyDescent="0.3">
      <c r="A104" s="293" t="s">
        <v>15</v>
      </c>
      <c r="B104" s="299"/>
      <c r="C104" s="299"/>
      <c r="D104" s="299"/>
      <c r="E104" s="294"/>
      <c r="F104" s="137">
        <f>SUM(F80:F103)</f>
        <v>0</v>
      </c>
      <c r="G104" s="137">
        <f t="shared" ref="G104:J104" si="14">SUM(G80:G103)</f>
        <v>0</v>
      </c>
      <c r="H104" s="137">
        <f t="shared" si="14"/>
        <v>0</v>
      </c>
      <c r="I104" s="137">
        <f t="shared" si="14"/>
        <v>0</v>
      </c>
      <c r="J104" s="137">
        <f t="shared" si="14"/>
        <v>0</v>
      </c>
      <c r="K104" s="133">
        <f>SUM(K80:K103)</f>
        <v>0</v>
      </c>
      <c r="M104" s="300" t="s">
        <v>1469</v>
      </c>
      <c r="N104" s="301"/>
      <c r="O104" s="301"/>
      <c r="P104" s="301"/>
      <c r="Q104" s="301"/>
      <c r="R104" s="301"/>
      <c r="S104" s="301"/>
      <c r="T104" s="301"/>
      <c r="U104" s="301"/>
      <c r="V104" s="302"/>
    </row>
    <row r="105" spans="1:26" ht="11.25" customHeight="1" thickTop="1" x14ac:dyDescent="0.25">
      <c r="A105" s="35" t="s">
        <v>1115</v>
      </c>
    </row>
    <row r="108" spans="1:26" ht="15.75" customHeight="1" x14ac:dyDescent="0.25">
      <c r="A108" s="298" t="s">
        <v>1468</v>
      </c>
      <c r="B108" s="298"/>
      <c r="C108" s="298"/>
      <c r="D108" s="298"/>
      <c r="E108" s="298"/>
      <c r="F108" s="298"/>
      <c r="G108" s="298"/>
      <c r="H108" s="298"/>
      <c r="I108" s="298"/>
      <c r="J108" s="298"/>
      <c r="K108" s="298"/>
      <c r="L108" s="298"/>
      <c r="M108" s="298"/>
      <c r="N108" s="298"/>
      <c r="O108" s="298"/>
      <c r="P108" s="298"/>
      <c r="Q108" s="298"/>
      <c r="R108" s="298"/>
      <c r="S108" s="298"/>
      <c r="T108" s="298"/>
      <c r="U108" s="151"/>
      <c r="V108" s="44"/>
      <c r="W108" s="44"/>
      <c r="X108" s="44"/>
      <c r="Y108" s="44"/>
      <c r="Z108" s="34"/>
    </row>
    <row r="109" spans="1:26" ht="15" customHeight="1" x14ac:dyDescent="0.25">
      <c r="A109" s="298"/>
      <c r="B109" s="298"/>
      <c r="C109" s="298"/>
      <c r="D109" s="298"/>
      <c r="E109" s="298"/>
      <c r="F109" s="298"/>
      <c r="G109" s="298"/>
      <c r="H109" s="298"/>
      <c r="I109" s="298"/>
      <c r="J109" s="298"/>
      <c r="K109" s="298"/>
      <c r="L109" s="298"/>
      <c r="M109" s="298"/>
      <c r="N109" s="298"/>
      <c r="O109" s="298"/>
      <c r="P109" s="298"/>
      <c r="Q109" s="298"/>
      <c r="R109" s="298"/>
      <c r="S109" s="298"/>
      <c r="T109" s="298"/>
      <c r="U109" s="151"/>
      <c r="V109" s="44"/>
      <c r="W109" s="44"/>
      <c r="X109" s="44"/>
      <c r="Y109" s="44"/>
    </row>
    <row r="110" spans="1:26" ht="15" customHeight="1" x14ac:dyDescent="0.25">
      <c r="A110" s="298"/>
      <c r="B110" s="298"/>
      <c r="C110" s="298"/>
      <c r="D110" s="298"/>
      <c r="E110" s="298"/>
      <c r="F110" s="298"/>
      <c r="G110" s="298"/>
      <c r="H110" s="298"/>
      <c r="I110" s="298"/>
      <c r="J110" s="298"/>
      <c r="K110" s="298"/>
      <c r="L110" s="298"/>
      <c r="M110" s="298"/>
      <c r="N110" s="298"/>
      <c r="O110" s="298"/>
      <c r="P110" s="298"/>
      <c r="Q110" s="298"/>
      <c r="R110" s="298"/>
      <c r="S110" s="298"/>
      <c r="T110" s="298"/>
      <c r="U110" s="151"/>
      <c r="V110" s="123"/>
      <c r="W110" s="123"/>
      <c r="X110" s="123"/>
      <c r="Y110" s="123"/>
    </row>
    <row r="111" spans="1:26" ht="20.45" customHeight="1" x14ac:dyDescent="0.25">
      <c r="A111" s="298"/>
      <c r="B111" s="298"/>
      <c r="C111" s="298"/>
      <c r="D111" s="298"/>
      <c r="E111" s="298"/>
      <c r="F111" s="298"/>
      <c r="G111" s="298"/>
      <c r="H111" s="298"/>
      <c r="I111" s="298"/>
      <c r="J111" s="298"/>
      <c r="K111" s="298"/>
      <c r="L111" s="298"/>
      <c r="M111" s="298"/>
      <c r="N111" s="298"/>
      <c r="O111" s="298"/>
      <c r="P111" s="298"/>
      <c r="Q111" s="298"/>
      <c r="R111" s="298"/>
      <c r="S111" s="298"/>
      <c r="T111" s="298"/>
      <c r="U111" s="151"/>
      <c r="V111" s="44"/>
      <c r="W111" s="44"/>
      <c r="X111" s="44"/>
      <c r="Y111" s="44"/>
    </row>
    <row r="112" spans="1:26" x14ac:dyDescent="0.25">
      <c r="V112" s="44"/>
      <c r="W112" s="44"/>
      <c r="X112" s="44"/>
      <c r="Y112" s="44"/>
    </row>
  </sheetData>
  <sheetProtection algorithmName="SHA-512" hashValue="U1BfBjUKcEKFttl8ybQdtfyGwL0fu3n1g69GVWgtTf2+NqwV7rXLptiCnrMei2zMN2vdktzlWULZuGQabFuHXA==" saltValue="9xFE660DE2e8BalQa+1ZBg==" spinCount="100000" sheet="1" objects="1" scenarios="1" selectLockedCells="1"/>
  <mergeCells count="171">
    <mergeCell ref="A2:H2"/>
    <mergeCell ref="P2:S2"/>
    <mergeCell ref="C4:F4"/>
    <mergeCell ref="H4:I4"/>
    <mergeCell ref="J4:N4"/>
    <mergeCell ref="P4:Z4"/>
    <mergeCell ref="A7:S7"/>
    <mergeCell ref="B8:Q8"/>
    <mergeCell ref="R8:S9"/>
    <mergeCell ref="B9:C9"/>
    <mergeCell ref="D9:E9"/>
    <mergeCell ref="F9:G9"/>
    <mergeCell ref="H9:I9"/>
    <mergeCell ref="J9:K9"/>
    <mergeCell ref="L9:M9"/>
    <mergeCell ref="N9:O9"/>
    <mergeCell ref="A21:E21"/>
    <mergeCell ref="F21:G21"/>
    <mergeCell ref="H21:I21"/>
    <mergeCell ref="A22:E22"/>
    <mergeCell ref="F22:G22"/>
    <mergeCell ref="H22:I22"/>
    <mergeCell ref="P9:Q9"/>
    <mergeCell ref="A18:I18"/>
    <mergeCell ref="A19:E19"/>
    <mergeCell ref="F19:G19"/>
    <mergeCell ref="H19:I19"/>
    <mergeCell ref="A20:E20"/>
    <mergeCell ref="F20:G20"/>
    <mergeCell ref="H20:I20"/>
    <mergeCell ref="A24:Q24"/>
    <mergeCell ref="B25:O25"/>
    <mergeCell ref="P25:Q26"/>
    <mergeCell ref="B26:C26"/>
    <mergeCell ref="D26:E26"/>
    <mergeCell ref="F26:G26"/>
    <mergeCell ref="H26:I26"/>
    <mergeCell ref="J26:K26"/>
    <mergeCell ref="L26:M26"/>
    <mergeCell ref="N26:O26"/>
    <mergeCell ref="A34:O34"/>
    <mergeCell ref="B35:E35"/>
    <mergeCell ref="F35:I35"/>
    <mergeCell ref="J35:M35"/>
    <mergeCell ref="N35:O36"/>
    <mergeCell ref="B36:C36"/>
    <mergeCell ref="D36:E36"/>
    <mergeCell ref="F36:G36"/>
    <mergeCell ref="H36:I36"/>
    <mergeCell ref="J36:K36"/>
    <mergeCell ref="N37:O37"/>
    <mergeCell ref="B38:C38"/>
    <mergeCell ref="D38:E38"/>
    <mergeCell ref="F38:G38"/>
    <mergeCell ref="H38:I38"/>
    <mergeCell ref="J38:K38"/>
    <mergeCell ref="L38:M38"/>
    <mergeCell ref="N38:O38"/>
    <mergeCell ref="L36:M36"/>
    <mergeCell ref="B37:C37"/>
    <mergeCell ref="D37:E37"/>
    <mergeCell ref="F37:G37"/>
    <mergeCell ref="H37:I37"/>
    <mergeCell ref="J37:K37"/>
    <mergeCell ref="L37:M37"/>
    <mergeCell ref="N39:O39"/>
    <mergeCell ref="B40:C40"/>
    <mergeCell ref="D40:E40"/>
    <mergeCell ref="F40:G40"/>
    <mergeCell ref="H40:I40"/>
    <mergeCell ref="J40:K40"/>
    <mergeCell ref="L40:M40"/>
    <mergeCell ref="N40:O40"/>
    <mergeCell ref="B39:C39"/>
    <mergeCell ref="D39:E39"/>
    <mergeCell ref="F39:G39"/>
    <mergeCell ref="H39:I39"/>
    <mergeCell ref="J39:K39"/>
    <mergeCell ref="L39:M39"/>
    <mergeCell ref="N41:O41"/>
    <mergeCell ref="A43:K43"/>
    <mergeCell ref="B44:C44"/>
    <mergeCell ref="D44:E44"/>
    <mergeCell ref="F44:G44"/>
    <mergeCell ref="H44:I44"/>
    <mergeCell ref="J44:K44"/>
    <mergeCell ref="B41:C41"/>
    <mergeCell ref="D41:E41"/>
    <mergeCell ref="F41:G41"/>
    <mergeCell ref="H41:I41"/>
    <mergeCell ref="J41:K41"/>
    <mergeCell ref="L41:M41"/>
    <mergeCell ref="A57:C57"/>
    <mergeCell ref="A58:C58"/>
    <mergeCell ref="A59:C59"/>
    <mergeCell ref="A60:C60"/>
    <mergeCell ref="A61:C61"/>
    <mergeCell ref="A63:H63"/>
    <mergeCell ref="A52:S52"/>
    <mergeCell ref="D53:S53"/>
    <mergeCell ref="D54:E55"/>
    <mergeCell ref="F54:G55"/>
    <mergeCell ref="H54:I55"/>
    <mergeCell ref="J54:K55"/>
    <mergeCell ref="L54:M55"/>
    <mergeCell ref="N54:O55"/>
    <mergeCell ref="P54:Q55"/>
    <mergeCell ref="R54:S55"/>
    <mergeCell ref="K66:L66"/>
    <mergeCell ref="M66:N66"/>
    <mergeCell ref="O66:Q66"/>
    <mergeCell ref="A67:B67"/>
    <mergeCell ref="K67:L67"/>
    <mergeCell ref="M67:N67"/>
    <mergeCell ref="O67:Q67"/>
    <mergeCell ref="K63:Q64"/>
    <mergeCell ref="A64:H64"/>
    <mergeCell ref="C65:D65"/>
    <mergeCell ref="E65:F65"/>
    <mergeCell ref="G65:H65"/>
    <mergeCell ref="M65:N65"/>
    <mergeCell ref="O65:Q65"/>
    <mergeCell ref="A70:B70"/>
    <mergeCell ref="K70:L70"/>
    <mergeCell ref="M70:N70"/>
    <mergeCell ref="O70:Q70"/>
    <mergeCell ref="A71:B71"/>
    <mergeCell ref="A72:B72"/>
    <mergeCell ref="A68:B68"/>
    <mergeCell ref="K68:L68"/>
    <mergeCell ref="M68:N68"/>
    <mergeCell ref="O68:Q68"/>
    <mergeCell ref="A69:B69"/>
    <mergeCell ref="K69:L69"/>
    <mergeCell ref="M69:N69"/>
    <mergeCell ref="O69:Q69"/>
    <mergeCell ref="A80:E80"/>
    <mergeCell ref="A81:E81"/>
    <mergeCell ref="A82:E82"/>
    <mergeCell ref="A83:E83"/>
    <mergeCell ref="A84:E84"/>
    <mergeCell ref="A85:E85"/>
    <mergeCell ref="A73:B73"/>
    <mergeCell ref="A76:K76"/>
    <mergeCell ref="F77:G78"/>
    <mergeCell ref="H77:I78"/>
    <mergeCell ref="J77:K78"/>
    <mergeCell ref="A78:E78"/>
    <mergeCell ref="A92:E92"/>
    <mergeCell ref="A93:E93"/>
    <mergeCell ref="A94:E94"/>
    <mergeCell ref="A95:E95"/>
    <mergeCell ref="A96:E96"/>
    <mergeCell ref="A97:E97"/>
    <mergeCell ref="A86:E86"/>
    <mergeCell ref="A87:E87"/>
    <mergeCell ref="A88:E88"/>
    <mergeCell ref="A89:E89"/>
    <mergeCell ref="A90:E90"/>
    <mergeCell ref="A91:E91"/>
    <mergeCell ref="A103:E103"/>
    <mergeCell ref="M103:V103"/>
    <mergeCell ref="A104:E104"/>
    <mergeCell ref="M104:V104"/>
    <mergeCell ref="A108:T111"/>
    <mergeCell ref="A98:E98"/>
    <mergeCell ref="A99:E99"/>
    <mergeCell ref="A100:E100"/>
    <mergeCell ref="A101:E101"/>
    <mergeCell ref="A102:E102"/>
    <mergeCell ref="M102:V102"/>
  </mergeCells>
  <dataValidations count="79">
    <dataValidation type="whole" allowBlank="1" showInputMessage="1" showErrorMessage="1" errorTitle="Erro" error="Tem que introduzir um valor númerico inteiro" sqref="B17:I17 B23:I23 O70 L71:O75 J17:Q23" xr:uid="{D4CCB6B4-3D35-4590-97D7-700B542ACCA1}">
      <formula1>0</formula1>
      <formula2>100000000</formula2>
    </dataValidation>
    <dataValidation type="list" allowBlank="1" showInputMessage="1" showErrorMessage="1" sqref="C4:F4" xr:uid="{282B68E7-7472-4DDF-ACF9-E313116A46D6}">
      <formula1>AreasTPII_v1</formula1>
    </dataValidation>
    <dataValidation type="list" allowBlank="1" showInputMessage="1" showErrorMessage="1" sqref="J4:N4" xr:uid="{F71AA58D-12C0-44E5-A5E2-278E4CB4E269}">
      <formula1>OFFSET(AreasTPIIStart,MATCH(C4,AreasTPII,0),1,COUNTIF(AreasTPII,C4),1)</formula1>
    </dataValidation>
    <dataValidation type="custom" allowBlank="1" showInputMessage="1" showErrorMessage="1" errorTitle="Erro" error="O valor de &quot;F&quot; não pode ser superior ao valor de &quot;MF&quot;" sqref="H20:I20" xr:uid="{516D56A2-D4E3-4C7D-A06D-9C12A8A050A0}">
      <formula1>F20&gt;=H20</formula1>
    </dataValidation>
    <dataValidation type="list" allowBlank="1" showInputMessage="1" showErrorMessage="1" errorTitle="Erro" error="Tem que introduzir um valor númerico inteiro" sqref="O66:O69" xr:uid="{8FB699A1-E9B5-4B32-8517-FA05517AA287}">
      <formula1>SimNao</formula1>
    </dataValidation>
    <dataValidation type="list" allowBlank="1" showInputMessage="1" showErrorMessage="1" sqref="E39:E40 I39:I40 M39:M40 L37:L40 H37:H40 E37 D37:D40" xr:uid="{063198D9-73DA-4F6C-8FAC-B85C2A3D916D}">
      <formula1>NumTurnos</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7C4F0CDF-3068-4045-BF2C-399DB52B4CDE}">
      <formula1>AND(C11&gt;=0,C11&lt;=B11,MOD(C11,1)=0)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8658F2F3-97BB-4966-82E9-24371573E369}">
      <formula1>AND(B11&gt;=0,B11&gt;=C11,MOD(B11,1)=0)</formula1>
    </dataValidation>
    <dataValidation type="custom" showInputMessage="1" showErrorMessage="1" errorTitle="Erro" error="O valor de &quot;F&quot; não pode ser superior ao valor de &quot;MF&quot;" sqref="E11 G12 I13 K14 Q57:Q59 E57:E59 G57:G59 I57:I59 K57:K59 M57:M59 O57:O59 I61 K61 M61 O61 Q61 E61 G61 D67:D72 F67:F72 G80:G103 I80:I103" xr:uid="{42F15002-3B36-4155-BE78-FE3FCB3BBEC0}">
      <formula1>AND(D11&gt;=0,D11&lt;=C11,MOD(D11,1)=0)</formula1>
    </dataValidation>
    <dataValidation type="custom" showInputMessage="1" showErrorMessage="1" errorTitle="Erro" error="Tem que introduzir um valor númerico inteiro que seja igual ou superior ao valor de F" sqref="D11 F12 H13 J14" xr:uid="{E4DA8F4F-ED3C-49F5-8EDF-F6917793E01B}">
      <formula1>AND(D11&gt;=0,D11&gt;=E11,MOD(D11,1)=0)</formula1>
    </dataValidation>
    <dataValidation type="custom" showInputMessage="1" showErrorMessage="1" errorTitle="Erro" error="Tem que introduzir um valor númerico inteiro que seja igual ou superior ao valor de F" sqref="F21:G22" xr:uid="{F5952E62-621C-4DD2-8326-00DB6A102F81}">
      <formula1>AND(F21&gt;=0,F21&gt;=H21,MOD(F21,1)=0)</formula1>
    </dataValidation>
    <dataValidation type="custom" showInputMessage="1" showErrorMessage="1" errorTitle="Erro" error="Tem que introduzir um valor númerico inteiro" sqref="F20:G20 M66:N69" xr:uid="{BB6E8AF2-2536-4EC9-B042-11698DDCB440}">
      <formula1>AND(F20&gt;=0,MOD(F20,1)=0)</formula1>
    </dataValidation>
    <dataValidation type="custom" showInputMessage="1" showErrorMessage="1" errorTitle="Erro" error="O valor de &quot;F&quot; não pode ser superior ao valor de &quot;MF&quot;" sqref="H21:I22" xr:uid="{A78F791A-9816-4113-8922-67B680EAF820}">
      <formula1>AND(H21&gt;=0,H21&lt;=F21,MOD(H21,1)=0)</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31" xr:uid="{8A51DCB3-9CDC-4E79-9CDA-54A3A9CD16E4}">
      <formula1>AND(O31&gt;=0,Q14&gt;=O31,MOD(O31,1)=0,O31&lt;=N31)</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31" xr:uid="{DF2B9D37-9606-4818-9786-4645D2E0D101}">
      <formula1>AND(N31&gt;=0,P14&gt;=N31,MOD(N31,1)=0,N31&gt;=O31)</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31" xr:uid="{01281D05-A4F1-44A5-B0AE-0A74A1F77306}">
      <formula1>AND(M31&gt;=0,O14&gt;=M31,MOD(M31,1)=0,M31&lt;=L31)</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31" xr:uid="{D165219E-2649-4CAF-81F1-A35FB5E9BF53}">
      <formula1>AND(L31&gt;=0,N14&gt;=L31,MOD(L31,1)=0,L31&gt;=M31)</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31" xr:uid="{205223D5-4B82-49DD-853A-F4630FBBD9B0}">
      <formula1>AND(I31&gt;=0,K14&gt;=I31,MOD(I31,1)=0,I31&lt;=H31)</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31" xr:uid="{B3303806-8C76-4E8F-A6CD-1550972B12AF}">
      <formula1>AND(H31&gt;=0,J14&gt;=H31,MOD(H31,1)=0,H31&gt;=I31)</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31" xr:uid="{9D495331-CA58-4FAA-A1BF-D9D19E534210}">
      <formula1>AND(F31&gt;=0,H14&gt;=F31,MOD(F31,1)=0,F31&gt;=G31)</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31" xr:uid="{77C53319-55DB-42C6-8F98-F5DC390FB23A}">
      <formula1>AND(G31&gt;=0,I14&gt;=G31,MOD(G31,1)=0,G31&lt;=F31)</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31" xr:uid="{ABDA650C-5BF1-4173-806E-4B98236426DF}">
      <formula1>AND(E31&gt;=0,G14&gt;=E31,MOD(E31,1)=0,E31&lt;=D31)</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31" xr:uid="{A6379FB2-C000-43D1-994B-CC07775C8C0F}">
      <formula1>AND(D31&gt;=0,F14&gt;=D31,MOD(D31,1)=0,D31&gt;=E31)</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30" xr:uid="{15776A64-6988-4A4E-9641-93D3E422E25A}">
      <formula1>AND(O30&gt;=0,Q13&gt;=O30,MOD(O30,1)=0,O30&lt;=N30)</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30" xr:uid="{39FAE45D-9EFF-4B5C-B218-C4D7F1968FCE}">
      <formula1>AND(N30&gt;=0,P13&gt;=N30,MOD(N30,1)=0,N30&gt;=O30)</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30" xr:uid="{AE4C8108-D107-4720-B825-02C999BF6345}">
      <formula1>AND(M30&gt;=0,O13&gt;=M30,MOD(M30,1)=0,M30&lt;=L30)</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30" xr:uid="{0C97B2A9-4FA8-4BCE-9263-FCC8EBDB9FE1}">
      <formula1>AND(L30&gt;=0,N13&gt;=L30,MOD(L30,1)=0,L30&gt;=M30)</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30" xr:uid="{5575D8B9-1EA3-433C-8710-829E582165FB}">
      <formula1>AND(K30&gt;=0,M13&gt;=K30,MOD(K30,1)=0,K30&lt;=J30)</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30" xr:uid="{38674E04-25F5-4045-BE3A-1DF54F4625C7}">
      <formula1>AND(J30&gt;=0,L13&gt;=J30,MOD(J30,1)=0,J30&gt;=K30)</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30" xr:uid="{A37E3EB3-08AE-4B99-970D-901F20F1B50E}">
      <formula1>AND(G30&gt;=0,I13&gt;=G30,MOD(G30,1)=0,G30&lt;=F30)</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30" xr:uid="{189CA32B-B67C-4199-AE58-9B439BAC4C67}">
      <formula1>AND(F30&gt;=0,H13&gt;=F30,MOD(F30,1)=0,F30&gt;=G30)</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30" xr:uid="{9CC52A63-EAA2-4BD0-B954-53D5F0131A38}">
      <formula1>AND(E30&gt;=0,G13&gt;=E30,MOD(E30,1)=0,E30&lt;=D30)</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30" xr:uid="{7167DDCB-B2A4-4453-A068-C5074E2395B6}">
      <formula1>AND(D30&gt;=0,F13&gt;=D30,MOD(D30,1)=0,D30&gt;=E30)</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9" xr:uid="{B173C573-C431-4363-A0F2-6E137E61D17D}">
      <formula1>AND(O29&gt;=0,Q12&gt;=O29,MOD(O29,1)=0,O29&lt;=N29)</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9" xr:uid="{BBE1E106-F37D-448A-9E7C-370A59FBDF7D}">
      <formula1>AND(N29&gt;=0,P12&gt;=N29,MOD(N29,1)=0,N29&gt;=O29)</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9" xr:uid="{E190CAAF-1F3E-412D-B454-21A8F759FE08}">
      <formula1>AND(M29&gt;=0,O12&gt;=M29,MOD(M29,1)=0,M29&lt;=L29)</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9" xr:uid="{A5F5D9CF-8B88-4297-ADA4-33D14C285D7E}">
      <formula1>AND(L29&gt;=0,N12&gt;=L29,MOD(L29,1)=0,L29&gt;=M29)</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9" xr:uid="{055CFCDF-7CB2-4E7F-8E4F-325F4991E9E5}">
      <formula1>AND(K29&gt;=0,M12&gt;=K29,MOD(K29,1)=0,K29&lt;=J29)</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9" xr:uid="{A871F31E-4B9C-4945-8A22-B06BCD4DEB0B}">
      <formula1>AND(J29&gt;=0,L12&gt;=J29,MOD(J29,1)=0,J29&gt;=K29)</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9" xr:uid="{62920DDF-F77A-4C6B-8F19-B0743958727E}">
      <formula1>AND(I29&gt;=0,K12&gt;=I29,MOD(I29,1)=0,I29&lt;=H29)</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9" xr:uid="{1C6410D6-6861-4582-8CDA-0CEA4B047543}">
      <formula1>AND(H29&gt;=0,J12&gt;=H29,MOD(H29,1)=0,H29&gt;=I29)</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9" xr:uid="{F89B39EC-3254-4B6A-BECB-E9E48715C2D7}">
      <formula1>AND(E29&gt;=0,G12&gt;=E29,MOD(E29,1)=0,E29&lt;=D29)</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9" xr:uid="{477B2AAD-FD8F-4455-BC74-1BD3401CAB7A}">
      <formula1>AND(D29&gt;=0,F12&gt;=D29,MOD(D29,1)=0,D29&gt;=E29)</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31" xr:uid="{A2D695B5-FC92-4083-A008-FEF351005CC6}">
      <formula1>AND(C31&gt;=0,E14&gt;=C31,MOD(C31,1)=0,C31&lt;=B31)</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31" xr:uid="{9B210E4D-A80F-40DC-AF5B-4B91B8F6D2FB}">
      <formula1>AND(B31&gt;=0,D14&gt;=B31,MOD(B31,1)=0,B31&gt;=C31)</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30" xr:uid="{57ADEBA5-C99E-42E8-90F8-FB8DB641B60F}">
      <formula1>AND(C30&gt;=0,E13&gt;=C30,MOD(C30,1)=0,C30&lt;=B30)</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30" xr:uid="{D8B0FB4F-ED16-4980-913B-2610DD6A837A}">
      <formula1>AND(B30&gt;=0,D13&gt;=B30,MOD(B30,1)=0,B30&gt;=C30)</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9" xr:uid="{02AF3265-2E20-4DE6-B7F6-C1E0009B96DF}">
      <formula1>AND(C29&gt;=0,E12&gt;=C29,MOD(C29,1)=0,C29&lt;=B29)</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9" xr:uid="{203BA934-74EE-4A4B-8AAE-AA3343EF2D0F}">
      <formula1>AND(B29&gt;=0,D12&gt;=B29,MOD(B29,1)=0,B29&gt;=C29)</formula1>
    </dataValidation>
    <dataValidation type="custom" showInputMessage="1" showErrorMessage="1" errorTitle="Erro" error="O número de alunos repetentes MF com 19 anos na 13ª classe não deve ser superior ao de matriculados MF com 19 anos na 13ª classe" sqref="J31" xr:uid="{F855D2F2-6AE9-4E48-9A8B-6DFF3F10EDEE}">
      <formula1>AND(J31&gt;=0,L14&gt;=J31,MOD(J31,1)=0,J31&gt;=K31)</formula1>
    </dataValidation>
    <dataValidation type="custom" showInputMessage="1" showErrorMessage="1" errorTitle="Erro" error="O número de alunos repetentes F com 18 anos na 12ª classe não deve ser superior ao de matriculados F com 18 anos na 12ª classe" sqref="I30" xr:uid="{94CFB5BB-0BF9-4E3C-A115-8B9675EC82F6}">
      <formula1>AND(I30&gt;=0,K13&gt;=I30,MOD(I30,1)=0,I30&lt;=H30)</formula1>
    </dataValidation>
    <dataValidation type="custom" showInputMessage="1" showErrorMessage="1" errorTitle="Erro" error="O número de alunos repetentes MF com 18 anos na 12ª classe não deve ser superior ao de matriculados MF com 18 anos na 12ª classe" sqref="H30" xr:uid="{EBADB412-559D-4F98-88B4-56E6395E21C7}">
      <formula1>AND(H30&gt;=0,J13&gt;=H30,MOD(H30,1)=0,H30&gt;=I30)</formula1>
    </dataValidation>
    <dataValidation type="custom" showInputMessage="1" showErrorMessage="1" errorTitle="Erro" error="O número de alunos repetentes F com 16 anos na 10ª classe não deve ser superior ao de matriculados F com 16 anos na 10ª classe" sqref="E28" xr:uid="{12CC37D2-EDA1-4CD0-90D9-3D6B5030D249}">
      <formula1>AND(E28&gt;=0,G11&gt;=E28,MOD(E28,1)=0,E28&lt;=D28)</formula1>
    </dataValidation>
    <dataValidation type="custom" showInputMessage="1" showErrorMessage="1" errorTitle="Erro" error="O número de alunos repetentes F com 17 anos na 11ª classe não deve ser superior ao de matriculados F com 17 anos na 11ª classe" sqref="G29" xr:uid="{B92849CA-E6C7-4614-A1FD-92A50C6E9236}">
      <formula1>AND(G29&gt;=0,I12&gt;=G29,MOD(G29,1)=0,G29&lt;=F29)</formula1>
    </dataValidation>
    <dataValidation type="custom" showInputMessage="1" showErrorMessage="1" errorTitle="Erro" error="O número de alunos repetentes MF com 17 anos na 11ª classe não deve ser superior ao de matriculados MF com 17 anos na 11ª classe" sqref="F29" xr:uid="{13076996-22E4-423A-899F-7276FD4146F2}">
      <formula1>AND(F29&gt;=0,H12&gt;=F29,MOD(F29,1)=0,F29&gt;=G29)</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8" xr:uid="{D765B533-8FF5-477B-A650-66AF786BBCF5}">
      <formula1>AND(O28&gt;=0,Q11&gt;=O28,MOD(O28,1)=0,O28&lt;=N28)</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8" xr:uid="{5E5A8813-B806-4067-94E5-69FC97FE598A}">
      <formula1>AND(N28&gt;=0,P11&gt;=N28,MOD(N28,1)=0,N28&gt;=O28)</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8" xr:uid="{ED3DDFFC-74CF-498C-A764-BB54B59CC1AA}">
      <formula1>AND(M28&gt;=0,O11&gt;=M28,MOD(M28,1)=0,M28&lt;=L28)</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8" xr:uid="{9DDAE2E8-0863-4206-AEE5-941A22A044FF}">
      <formula1>AND(L28&gt;=0,N11&gt;=L28,MOD(L28,1)=0,L28&gt;=M28)</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8" xr:uid="{BC56F605-7DA2-4D70-AB68-018D8BD99999}">
      <formula1>AND(K28&gt;=0,M11&gt;=K28,MOD(K28,1)=0,K28&lt;=J28)</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8" xr:uid="{98FFA2A7-6F85-416D-8CE3-C936D6DCFCC8}">
      <formula1>AND(J28&gt;=0,L11&gt;=J28,MOD(J28,1)=0,J28&gt;=K28)</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8" xr:uid="{B7791FB4-35CA-46A9-8E82-9012777BF704}">
      <formula1>AND(I28&gt;=0,K11&gt;=I28,MOD(I28,1)=0,I28&lt;=H28)</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8" xr:uid="{ECDCCBB9-6884-4848-A808-A07165A3211B}">
      <formula1>AND(H28&gt;=0,J11&gt;=H28,MOD(H28,1)=0,H28&gt;=I28)</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8" xr:uid="{3FA1FA99-36D6-4901-B8C2-A862FE31C82A}">
      <formula1>AND(G28&gt;=0,I11&gt;=G28,MOD(G28,1)=0,G28&lt;=F28)</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8" xr:uid="{B16C802B-25BC-491B-B1D3-E6C9456D8597}">
      <formula1>AND(F28&gt;=0,H11&gt;=F28,MOD(F28,1)=0,F28&gt;=G28)</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8" xr:uid="{854A2183-1C78-4772-9373-DA9B1DAE7032}">
      <formula1>AND(B28&gt;=0,D11&gt;=B28,MOD(B28,1)=0,B28&gt;=C28)</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8" xr:uid="{D33C7B0D-3616-451A-BAF6-AC7D3025DA26}">
      <formula1>AND(C28&gt;=0,E11&gt;=C28,MOD(C28,1)=0,C28&lt;=B28)</formula1>
    </dataValidation>
    <dataValidation type="custom" showInputMessage="1" showErrorMessage="1" errorTitle="Erro" error="O número de alunos repetentes MF com 16 anos na 10ª classe não deve ser superior ao de matriculados MF com 16 anos na 10ª classe" sqref="D28" xr:uid="{E694FA94-7BA4-4969-8B9B-EC94BFEC7D83}">
      <formula1>AND(D28&gt;=0,F11&gt;=D28,MOD(D28,1)=0,D28&gt;=E28)</formula1>
    </dataValidation>
    <dataValidation type="custom" showInputMessage="1" showErrorMessage="1" errorTitle="Erro" error="O número de alunos repetentes F com 19 anos na 13ª classe não deve ser superior ao de matriculados F com 19 anos na 13ª classe" sqref="K31" xr:uid="{89FF909C-F017-4903-96A9-22C7C6E2749C}">
      <formula1>AND(K31&gt;=0,M14&gt;=K31,MOD(K31,1)=0,K31&lt;=J31)</formula1>
    </dataValidation>
    <dataValidation type="custom" showInputMessage="1" showErrorMessage="1" errorTitle="Erro" error="Tem que introduzir um valor numérico inteiro" sqref="B37:C40 F37:G40 J37:K40" xr:uid="{25435673-2CF1-4627-B89B-D04C1FF5E28D}">
      <formula1>AND(B37&gt;=0,MOD(B37,1)=0)</formula1>
    </dataValidation>
    <dataValidation type="custom" showInputMessage="1" showErrorMessage="1" errorTitle="Erro" error="O número de Alunos com deficiências MF na 10ª classe não pode ser superior ao número de matriculados MF na 10ª classe" sqref="B46 D46 F46 H46" xr:uid="{71DD1612-E341-45A1-97EB-5AE925592C3C}">
      <formula1>AND(B46&gt;=0,B46&gt;=C46,MOD(B46,1)=0,$R11&gt;=B46)</formula1>
    </dataValidation>
    <dataValidation type="custom" showInputMessage="1" showErrorMessage="1" errorTitle="Erro" error="O número de alunos com deficiências F na 10ª classe não deve ser superior ao de matriculados F na 10ª classe" sqref="C46 E46 G46 I46" xr:uid="{B8CADFBF-13B2-41E4-BA5E-B017F6CCAC9D}">
      <formula1>AND(C46&gt;=0,C46&lt;=B46,MOD(C46,1)=0,$S11&gt;=C46)</formula1>
    </dataValidation>
    <dataValidation type="custom" showInputMessage="1" showErrorMessage="1" errorTitle="Erro" error="O número de Alunos com deficiências MF na 11ª classe não pode ser superior ao número de matriculados MF na 11ª classe" sqref="B47 D47 F47 H47" xr:uid="{8BA8C771-76EC-4104-9C66-FC82EFBA9B1F}">
      <formula1>AND(B47&gt;=0,B47&gt;=C47,MOD(B47,1)=0,$R12&gt;=B47)</formula1>
    </dataValidation>
    <dataValidation type="custom" showInputMessage="1" showErrorMessage="1" errorTitle="Erro" error="O número de alunos com deficiências F na 11ª classe não deve ser superior ao de matriculados F na 11ª classe" sqref="C47 E47 G47 I47" xr:uid="{795CF487-EDA3-4847-B0B4-4715B89A017B}">
      <formula1>AND(C47&gt;=0,C47&lt;=B47,MOD(C47,1)=0,$S12&gt;=C47)</formula1>
    </dataValidation>
    <dataValidation type="custom" showInputMessage="1" showErrorMessage="1" errorTitle="Erro" error="O número de Alunos com deficiências MF na 12ª classe não pode ser superior ao número de matriculados MF na 12ª classe" sqref="B48 D48 F48 H48" xr:uid="{378EDFBA-1235-4CE5-89A1-298CDD0D95DC}">
      <formula1>AND(B48&gt;=0,B48&gt;=C48,MOD(B48,1)=0,$R13&gt;=B48)</formula1>
    </dataValidation>
    <dataValidation type="custom" showInputMessage="1" showErrorMessage="1" errorTitle="Erro" error="O número de alunos com deficiências F na 12ª classe não deve ser superior ao de matriculados F na 12ª classe" sqref="C48 E48 G48 I48" xr:uid="{F81DF40D-F864-4F96-86E1-2BDCF647DA30}">
      <formula1>AND(C48&gt;=0,C48&lt;=B48,MOD(C48,1)=0,$S13&gt;=C48)</formula1>
    </dataValidation>
    <dataValidation type="custom" showInputMessage="1" showErrorMessage="1" errorTitle="Erro" error="O número de Alunos com deficiências MF na 13ª classe não pode ser superior ao número de matriculados MF na 13ª classe" sqref="B49 D49 F49 H49" xr:uid="{9A815D9E-3919-4EC9-A7DC-C744C648166E}">
      <formula1>AND(B49&gt;=0,B49&gt;=C49,MOD(B49,1)=0,$R14&gt;=B49)</formula1>
    </dataValidation>
    <dataValidation type="custom" showInputMessage="1" showErrorMessage="1" errorTitle="Erro" error="O número de alunos com deficiências F na 13ª classe não deve ser superior ao de matriculados F na 13ª classe" sqref="C49 E49 G49 I49" xr:uid="{FF3372F2-90BE-4C8F-B4F5-EB70C6851047}">
      <formula1>AND(C49&gt;=0,C49&lt;=B49,MOD(C49,1)=0,$S14&gt;=C49)</formula1>
    </dataValidation>
    <dataValidation type="custom" showInputMessage="1" showErrorMessage="1" errorTitle="Erro" error="Tem que introduzir um valor númerico inteiro igual ou superior ao valor de &quot;F&quot;" sqref="D57:D59 F57:F59 H57:H59 J57:J59 L57:L59 N57:N59 P57:P59 D61 F61 H61 J61 L61 N61 P61 C67:C72 E67:E72 F80:F103 H80:H103" xr:uid="{42FF6B84-9830-4DFF-8EAF-8A92DC26D9DE}">
      <formula1>AND(C57&gt;=0,C57&gt;=D57,MOD(C57,1)=0)</formula1>
    </dataValidation>
  </dataValidations>
  <pageMargins left="0.13" right="0.13" top="0.25" bottom="0.19" header="0.22" footer="0.16"/>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locked="0" defaultSize="0" print="0" autoFill="0" autoPict="0" macro="[0]!_xludf.Copy">
                <anchor moveWithCells="1" sizeWithCells="1">
                  <from>
                    <xdr:col>19</xdr:col>
                    <xdr:colOff>104775</xdr:colOff>
                    <xdr:row>1</xdr:row>
                    <xdr:rowOff>19050</xdr:rowOff>
                  </from>
                  <to>
                    <xdr:col>22</xdr:col>
                    <xdr:colOff>352425</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D2C8D-5BE2-42D3-B3BC-C27774573E2B}">
  <sheetPr codeName="Sheet24"/>
  <dimension ref="A1:AH112"/>
  <sheetViews>
    <sheetView showGridLines="0" workbookViewId="0">
      <selection activeCell="D11" sqref="D11:I13"/>
    </sheetView>
  </sheetViews>
  <sheetFormatPr defaultColWidth="9.140625" defaultRowHeight="15" x14ac:dyDescent="0.25"/>
  <cols>
    <col min="1" max="1" width="12.140625" style="33" customWidth="1"/>
    <col min="2" max="2" width="9.42578125" style="33" customWidth="1"/>
    <col min="3" max="3" width="8.42578125" style="33" customWidth="1"/>
    <col min="4" max="13" width="6.85546875" style="33" customWidth="1"/>
    <col min="14" max="14" width="7.85546875" style="33" customWidth="1"/>
    <col min="15" max="15" width="7.28515625" style="33" customWidth="1"/>
    <col min="16" max="16" width="8.140625" style="33" customWidth="1"/>
    <col min="17" max="17" width="8" style="33" customWidth="1"/>
    <col min="18" max="19" width="6.28515625" style="33" customWidth="1"/>
    <col min="20" max="20" width="6.42578125" style="33" customWidth="1"/>
    <col min="21" max="21" width="7" style="33" customWidth="1"/>
    <col min="22" max="22" width="3.28515625" style="33" customWidth="1"/>
    <col min="23" max="23" width="5.5703125" style="33" customWidth="1"/>
    <col min="24" max="24" width="5.42578125" style="33" customWidth="1"/>
    <col min="25" max="27" width="6.28515625" style="33" customWidth="1"/>
    <col min="28" max="16384" width="9.140625" style="33"/>
  </cols>
  <sheetData>
    <row r="1" spans="1:28" ht="8.4499999999999993" customHeight="1" x14ac:dyDescent="0.25">
      <c r="A1" s="35">
        <v>1</v>
      </c>
    </row>
    <row r="2" spans="1:28" ht="17.25" customHeight="1" x14ac:dyDescent="0.35">
      <c r="A2" s="347" t="s">
        <v>126</v>
      </c>
      <c r="B2" s="347"/>
      <c r="C2" s="347"/>
      <c r="D2" s="347"/>
      <c r="E2" s="347"/>
      <c r="F2" s="347"/>
      <c r="G2" s="347"/>
      <c r="H2" s="347"/>
      <c r="I2" s="32"/>
      <c r="P2" s="352" t="s">
        <v>124</v>
      </c>
      <c r="Q2" s="352"/>
      <c r="R2" s="352"/>
      <c r="S2" s="352"/>
      <c r="AB2" s="36"/>
    </row>
    <row r="3" spans="1:28" ht="12" customHeight="1" x14ac:dyDescent="0.25">
      <c r="A3" s="35">
        <v>1</v>
      </c>
      <c r="AB3" s="36"/>
    </row>
    <row r="4" spans="1:28" ht="15.75" customHeight="1" x14ac:dyDescent="0.25">
      <c r="A4" s="13" t="s">
        <v>1432</v>
      </c>
      <c r="B4" s="88"/>
      <c r="C4" s="349" t="s">
        <v>80</v>
      </c>
      <c r="D4" s="350"/>
      <c r="E4" s="350"/>
      <c r="F4" s="351"/>
      <c r="H4" s="254" t="s">
        <v>284</v>
      </c>
      <c r="I4" s="255"/>
      <c r="J4" s="349" t="s">
        <v>1336</v>
      </c>
      <c r="K4" s="350"/>
      <c r="L4" s="350"/>
      <c r="M4" s="350"/>
      <c r="N4" s="351"/>
      <c r="P4" s="353" t="s">
        <v>1470</v>
      </c>
      <c r="Q4" s="353"/>
      <c r="R4" s="353"/>
      <c r="S4" s="353"/>
      <c r="T4" s="353"/>
      <c r="U4" s="353"/>
      <c r="V4" s="353"/>
      <c r="W4" s="353"/>
      <c r="X4" s="353"/>
      <c r="Y4" s="353"/>
      <c r="Z4" s="353"/>
      <c r="AB4" s="36"/>
    </row>
    <row r="5" spans="1:28" ht="12" customHeight="1" x14ac:dyDescent="0.25">
      <c r="A5" s="35" t="s">
        <v>1115</v>
      </c>
      <c r="D5" s="34"/>
      <c r="T5" s="6"/>
      <c r="U5" s="6"/>
      <c r="AB5" s="36"/>
    </row>
    <row r="6" spans="1:28" ht="5.25" customHeight="1" thickBot="1" x14ac:dyDescent="0.3">
      <c r="A6" s="45">
        <v>1</v>
      </c>
      <c r="B6" s="46"/>
      <c r="C6" s="46"/>
      <c r="D6" s="46"/>
      <c r="E6" s="46"/>
      <c r="F6" s="46"/>
      <c r="G6" s="46"/>
      <c r="H6" s="46"/>
      <c r="I6" s="46"/>
      <c r="J6" s="46"/>
      <c r="K6" s="46"/>
      <c r="L6" s="46"/>
      <c r="M6" s="46"/>
      <c r="N6" s="46"/>
      <c r="O6" s="46"/>
      <c r="P6" s="46"/>
      <c r="Q6" s="46"/>
      <c r="R6" s="46"/>
      <c r="S6" s="46"/>
      <c r="T6" s="6"/>
      <c r="U6" s="6"/>
      <c r="V6" s="6"/>
      <c r="W6" s="6"/>
      <c r="X6" s="6"/>
      <c r="Y6" s="6"/>
      <c r="Z6" s="36"/>
      <c r="AA6" s="36"/>
      <c r="AB6" s="36"/>
    </row>
    <row r="7" spans="1:28" ht="15.75" thickTop="1" x14ac:dyDescent="0.25">
      <c r="A7" s="335" t="s">
        <v>150</v>
      </c>
      <c r="B7" s="336"/>
      <c r="C7" s="336"/>
      <c r="D7" s="336"/>
      <c r="E7" s="336"/>
      <c r="F7" s="336"/>
      <c r="G7" s="336"/>
      <c r="H7" s="336"/>
      <c r="I7" s="336"/>
      <c r="J7" s="336"/>
      <c r="K7" s="336"/>
      <c r="L7" s="336"/>
      <c r="M7" s="336"/>
      <c r="N7" s="336"/>
      <c r="O7" s="336"/>
      <c r="P7" s="336"/>
      <c r="Q7" s="336"/>
      <c r="R7" s="336"/>
      <c r="S7" s="337"/>
      <c r="T7" s="6"/>
      <c r="U7" s="6"/>
      <c r="Z7" s="36"/>
      <c r="AA7" s="36"/>
      <c r="AB7" s="47"/>
    </row>
    <row r="8" spans="1:28" x14ac:dyDescent="0.25">
      <c r="A8" s="37">
        <v>1</v>
      </c>
      <c r="B8" s="348" t="s">
        <v>146</v>
      </c>
      <c r="C8" s="348"/>
      <c r="D8" s="348"/>
      <c r="E8" s="348"/>
      <c r="F8" s="348"/>
      <c r="G8" s="348"/>
      <c r="H8" s="348"/>
      <c r="I8" s="348"/>
      <c r="J8" s="348"/>
      <c r="K8" s="348"/>
      <c r="L8" s="348"/>
      <c r="M8" s="348"/>
      <c r="N8" s="348"/>
      <c r="O8" s="348"/>
      <c r="P8" s="348"/>
      <c r="Q8" s="348"/>
      <c r="R8" s="269" t="s">
        <v>15</v>
      </c>
      <c r="S8" s="320"/>
      <c r="T8" s="6"/>
      <c r="U8" s="6"/>
      <c r="Z8" s="36"/>
      <c r="AA8" s="36"/>
      <c r="AB8" s="48"/>
    </row>
    <row r="9" spans="1:28" ht="15" customHeight="1" x14ac:dyDescent="0.25">
      <c r="A9" s="38" t="s">
        <v>42</v>
      </c>
      <c r="B9" s="346" t="s">
        <v>281</v>
      </c>
      <c r="C9" s="346"/>
      <c r="D9" s="346" t="s">
        <v>274</v>
      </c>
      <c r="E9" s="346"/>
      <c r="F9" s="346" t="s">
        <v>275</v>
      </c>
      <c r="G9" s="346"/>
      <c r="H9" s="346" t="s">
        <v>276</v>
      </c>
      <c r="I9" s="346"/>
      <c r="J9" s="346" t="s">
        <v>277</v>
      </c>
      <c r="K9" s="346"/>
      <c r="L9" s="346" t="s">
        <v>278</v>
      </c>
      <c r="M9" s="346"/>
      <c r="N9" s="344" t="s">
        <v>279</v>
      </c>
      <c r="O9" s="344"/>
      <c r="P9" s="344" t="s">
        <v>280</v>
      </c>
      <c r="Q9" s="344"/>
      <c r="R9" s="269"/>
      <c r="S9" s="320"/>
      <c r="T9" s="36"/>
      <c r="Z9" s="36"/>
      <c r="AA9" s="36"/>
      <c r="AB9" s="48"/>
    </row>
    <row r="10" spans="1:28" x14ac:dyDescent="0.25">
      <c r="A10" s="57" t="s">
        <v>43</v>
      </c>
      <c r="B10" s="97" t="s">
        <v>9</v>
      </c>
      <c r="C10" s="97" t="s">
        <v>10</v>
      </c>
      <c r="D10" s="97" t="s">
        <v>9</v>
      </c>
      <c r="E10" s="97" t="s">
        <v>10</v>
      </c>
      <c r="F10" s="97"/>
      <c r="G10" s="97"/>
      <c r="H10" s="97"/>
      <c r="I10" s="97"/>
      <c r="J10" s="97"/>
      <c r="K10" s="97"/>
      <c r="L10" s="97"/>
      <c r="M10" s="97"/>
      <c r="N10" s="97"/>
      <c r="O10" s="97"/>
      <c r="P10" s="97" t="s">
        <v>9</v>
      </c>
      <c r="Q10" s="97" t="s">
        <v>10</v>
      </c>
      <c r="R10" s="121" t="s">
        <v>9</v>
      </c>
      <c r="S10" s="122" t="s">
        <v>10</v>
      </c>
      <c r="T10" s="36"/>
      <c r="Z10" s="36"/>
      <c r="AA10" s="36"/>
      <c r="AB10" s="48"/>
    </row>
    <row r="11" spans="1:28" s="59" customFormat="1" ht="12.75" x14ac:dyDescent="0.2">
      <c r="A11" s="99" t="s">
        <v>68</v>
      </c>
      <c r="B11" s="186"/>
      <c r="C11" s="186"/>
      <c r="D11" s="187"/>
      <c r="E11" s="187"/>
      <c r="F11" s="186"/>
      <c r="G11" s="186"/>
      <c r="H11" s="186"/>
      <c r="I11" s="186"/>
      <c r="J11" s="186"/>
      <c r="K11" s="186"/>
      <c r="L11" s="186"/>
      <c r="M11" s="186"/>
      <c r="N11" s="186"/>
      <c r="O11" s="186"/>
      <c r="P11" s="186"/>
      <c r="Q11" s="186"/>
      <c r="R11" s="130">
        <f>P11+N11+L11+J11+H11+F11+D11+B11</f>
        <v>0</v>
      </c>
      <c r="S11" s="131">
        <f>Q11+O11+M11+K11+I11+G11+E11+C11</f>
        <v>0</v>
      </c>
      <c r="T11" s="61"/>
      <c r="Z11" s="61"/>
      <c r="AA11" s="61"/>
      <c r="AB11" s="60"/>
    </row>
    <row r="12" spans="1:28" s="59" customFormat="1" ht="12.75" x14ac:dyDescent="0.2">
      <c r="A12" s="99" t="s">
        <v>69</v>
      </c>
      <c r="B12" s="186"/>
      <c r="C12" s="186"/>
      <c r="D12" s="186"/>
      <c r="E12" s="186"/>
      <c r="F12" s="187"/>
      <c r="G12" s="187"/>
      <c r="H12" s="186"/>
      <c r="I12" s="186"/>
      <c r="J12" s="186"/>
      <c r="K12" s="186"/>
      <c r="L12" s="186"/>
      <c r="M12" s="186"/>
      <c r="N12" s="186"/>
      <c r="O12" s="186"/>
      <c r="P12" s="186"/>
      <c r="Q12" s="186"/>
      <c r="R12" s="130">
        <f t="shared" ref="R12:S14" si="0">P12+N12+L12+J12+H12+F12+D12+B12</f>
        <v>0</v>
      </c>
      <c r="S12" s="131">
        <f t="shared" si="0"/>
        <v>0</v>
      </c>
      <c r="T12" s="61"/>
      <c r="Z12" s="61"/>
      <c r="AA12" s="61"/>
      <c r="AB12" s="61"/>
    </row>
    <row r="13" spans="1:28" s="59" customFormat="1" ht="12.75" x14ac:dyDescent="0.2">
      <c r="A13" s="99" t="s">
        <v>70</v>
      </c>
      <c r="B13" s="186"/>
      <c r="C13" s="186"/>
      <c r="D13" s="186"/>
      <c r="E13" s="186"/>
      <c r="F13" s="186"/>
      <c r="G13" s="186"/>
      <c r="H13" s="187"/>
      <c r="I13" s="187"/>
      <c r="J13" s="186"/>
      <c r="K13" s="186"/>
      <c r="L13" s="186"/>
      <c r="M13" s="186"/>
      <c r="N13" s="186"/>
      <c r="O13" s="186"/>
      <c r="P13" s="186"/>
      <c r="Q13" s="186"/>
      <c r="R13" s="130">
        <f t="shared" si="0"/>
        <v>0</v>
      </c>
      <c r="S13" s="131">
        <f t="shared" si="0"/>
        <v>0</v>
      </c>
      <c r="T13" s="61"/>
      <c r="Z13" s="61"/>
      <c r="AA13" s="61"/>
      <c r="AB13" s="61"/>
    </row>
    <row r="14" spans="1:28" s="59" customFormat="1" ht="12.75" x14ac:dyDescent="0.2">
      <c r="A14" s="99" t="s">
        <v>71</v>
      </c>
      <c r="B14" s="186"/>
      <c r="C14" s="186"/>
      <c r="D14" s="186"/>
      <c r="E14" s="186"/>
      <c r="F14" s="186"/>
      <c r="G14" s="186"/>
      <c r="H14" s="186"/>
      <c r="I14" s="186"/>
      <c r="J14" s="187"/>
      <c r="K14" s="187"/>
      <c r="L14" s="186"/>
      <c r="M14" s="186"/>
      <c r="N14" s="186"/>
      <c r="O14" s="186"/>
      <c r="P14" s="186"/>
      <c r="Q14" s="186"/>
      <c r="R14" s="130">
        <f t="shared" si="0"/>
        <v>0</v>
      </c>
      <c r="S14" s="131">
        <f t="shared" si="0"/>
        <v>0</v>
      </c>
      <c r="T14" s="61"/>
      <c r="Z14" s="61"/>
      <c r="AA14" s="61"/>
      <c r="AB14" s="61"/>
    </row>
    <row r="15" spans="1:28" s="59" customFormat="1" ht="13.5" thickBot="1" x14ac:dyDescent="0.25">
      <c r="A15" s="65" t="s">
        <v>15</v>
      </c>
      <c r="B15" s="132">
        <f>SUM(B11:B14)</f>
        <v>0</v>
      </c>
      <c r="C15" s="132">
        <f t="shared" ref="C15:S15" si="1">SUM(C11:C14)</f>
        <v>0</v>
      </c>
      <c r="D15" s="132">
        <f t="shared" si="1"/>
        <v>0</v>
      </c>
      <c r="E15" s="132">
        <f t="shared" si="1"/>
        <v>0</v>
      </c>
      <c r="F15" s="132">
        <f t="shared" si="1"/>
        <v>0</v>
      </c>
      <c r="G15" s="132">
        <f t="shared" si="1"/>
        <v>0</v>
      </c>
      <c r="H15" s="132">
        <f t="shared" si="1"/>
        <v>0</v>
      </c>
      <c r="I15" s="132">
        <f t="shared" si="1"/>
        <v>0</v>
      </c>
      <c r="J15" s="132">
        <f t="shared" si="1"/>
        <v>0</v>
      </c>
      <c r="K15" s="132">
        <f t="shared" si="1"/>
        <v>0</v>
      </c>
      <c r="L15" s="132">
        <f t="shared" si="1"/>
        <v>0</v>
      </c>
      <c r="M15" s="132">
        <f t="shared" si="1"/>
        <v>0</v>
      </c>
      <c r="N15" s="132">
        <f t="shared" si="1"/>
        <v>0</v>
      </c>
      <c r="O15" s="132">
        <f t="shared" si="1"/>
        <v>0</v>
      </c>
      <c r="P15" s="132">
        <f t="shared" si="1"/>
        <v>0</v>
      </c>
      <c r="Q15" s="132">
        <f t="shared" si="1"/>
        <v>0</v>
      </c>
      <c r="R15" s="132">
        <f t="shared" si="1"/>
        <v>0</v>
      </c>
      <c r="S15" s="133">
        <f t="shared" si="1"/>
        <v>0</v>
      </c>
      <c r="T15" s="61"/>
      <c r="Z15" s="61"/>
      <c r="AA15" s="61"/>
      <c r="AB15" s="61"/>
    </row>
    <row r="16" spans="1:28" ht="4.5" customHeight="1" thickTop="1" x14ac:dyDescent="0.25">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28" ht="10.5" customHeight="1" thickBot="1" x14ac:dyDescent="0.3">
      <c r="A17" s="10" t="s">
        <v>1115</v>
      </c>
      <c r="B17" s="36"/>
      <c r="C17" s="36"/>
      <c r="D17" s="36"/>
      <c r="E17" s="36"/>
      <c r="F17" s="36"/>
      <c r="G17" s="36"/>
      <c r="H17" s="36"/>
      <c r="I17" s="36"/>
      <c r="J17" s="36"/>
      <c r="K17" s="36"/>
      <c r="L17" s="36"/>
      <c r="M17" s="36"/>
      <c r="N17" s="36"/>
      <c r="O17" s="36"/>
      <c r="P17" s="36"/>
      <c r="Q17" s="36"/>
      <c r="R17" s="36"/>
      <c r="S17" s="36"/>
      <c r="T17" s="36"/>
      <c r="U17" s="6"/>
      <c r="V17" s="6"/>
      <c r="W17" s="6"/>
      <c r="X17" s="36"/>
      <c r="Y17" s="36"/>
      <c r="Z17" s="36"/>
      <c r="AA17" s="36"/>
      <c r="AB17" s="36"/>
    </row>
    <row r="18" spans="1:28" ht="18.75" customHeight="1" thickTop="1" x14ac:dyDescent="0.25">
      <c r="A18" s="354" t="s">
        <v>1179</v>
      </c>
      <c r="B18" s="355"/>
      <c r="C18" s="355"/>
      <c r="D18" s="355"/>
      <c r="E18" s="355"/>
      <c r="F18" s="355"/>
      <c r="G18" s="355"/>
      <c r="H18" s="355"/>
      <c r="I18" s="356"/>
      <c r="J18" s="36"/>
      <c r="K18" s="36"/>
      <c r="L18" s="36"/>
      <c r="M18" s="36"/>
      <c r="N18" s="36"/>
      <c r="O18" s="36"/>
      <c r="P18" s="36"/>
      <c r="Q18" s="36"/>
      <c r="R18" s="36"/>
      <c r="S18" s="36"/>
      <c r="T18" s="36"/>
      <c r="U18" s="6"/>
      <c r="V18" s="6"/>
      <c r="W18" s="6"/>
      <c r="X18" s="36"/>
      <c r="Y18" s="36"/>
      <c r="Z18" s="36"/>
      <c r="AA18" s="36"/>
      <c r="AB18" s="36"/>
    </row>
    <row r="19" spans="1:28" x14ac:dyDescent="0.25">
      <c r="A19" s="375" t="s">
        <v>1115</v>
      </c>
      <c r="B19" s="376"/>
      <c r="C19" s="376"/>
      <c r="D19" s="376"/>
      <c r="E19" s="377"/>
      <c r="F19" s="378" t="s">
        <v>9</v>
      </c>
      <c r="G19" s="379"/>
      <c r="H19" s="378" t="s">
        <v>10</v>
      </c>
      <c r="I19" s="380"/>
      <c r="J19" s="36"/>
      <c r="K19" s="36"/>
      <c r="L19" s="36"/>
      <c r="M19" s="36"/>
      <c r="N19" s="36"/>
      <c r="O19" s="36"/>
      <c r="P19" s="36"/>
      <c r="Q19" s="36"/>
      <c r="R19" s="36"/>
      <c r="S19" s="36"/>
      <c r="T19" s="36"/>
      <c r="U19" s="6"/>
      <c r="V19" s="6"/>
      <c r="W19" s="6"/>
      <c r="X19" s="36"/>
      <c r="Y19" s="36"/>
      <c r="Z19" s="36"/>
      <c r="AA19" s="36"/>
      <c r="AB19" s="36"/>
    </row>
    <row r="20" spans="1:28" x14ac:dyDescent="0.25">
      <c r="A20" s="363" t="s">
        <v>148</v>
      </c>
      <c r="B20" s="364"/>
      <c r="C20" s="364"/>
      <c r="D20" s="364"/>
      <c r="E20" s="365"/>
      <c r="F20" s="395"/>
      <c r="G20" s="396"/>
      <c r="H20" s="381"/>
      <c r="I20" s="382"/>
      <c r="J20" s="36"/>
      <c r="K20" s="36"/>
      <c r="L20" s="36"/>
      <c r="M20" s="36"/>
      <c r="N20" s="36"/>
      <c r="O20" s="36"/>
      <c r="P20" s="36"/>
      <c r="Q20" s="36"/>
      <c r="R20" s="36"/>
      <c r="S20" s="36"/>
      <c r="T20" s="36"/>
      <c r="U20" s="6"/>
      <c r="V20" s="6"/>
      <c r="W20" s="6"/>
      <c r="X20" s="36"/>
      <c r="Y20" s="36"/>
      <c r="Z20" s="36"/>
      <c r="AA20" s="36"/>
      <c r="AB20" s="36"/>
    </row>
    <row r="21" spans="1:28" x14ac:dyDescent="0.25">
      <c r="A21" s="363" t="s">
        <v>1177</v>
      </c>
      <c r="B21" s="364"/>
      <c r="C21" s="364"/>
      <c r="D21" s="364"/>
      <c r="E21" s="365"/>
      <c r="F21" s="395"/>
      <c r="G21" s="396"/>
      <c r="H21" s="395"/>
      <c r="I21" s="397"/>
      <c r="J21" s="36"/>
      <c r="K21" s="36"/>
      <c r="L21" s="36"/>
      <c r="M21" s="36"/>
      <c r="N21" s="36"/>
      <c r="O21" s="36"/>
      <c r="P21" s="36"/>
      <c r="Q21" s="36"/>
      <c r="R21" s="36"/>
      <c r="S21" s="36"/>
      <c r="T21" s="36"/>
      <c r="U21" s="6"/>
      <c r="V21" s="6"/>
      <c r="W21" s="6"/>
      <c r="X21" s="36"/>
      <c r="Y21" s="36"/>
      <c r="Z21" s="36"/>
      <c r="AA21" s="36"/>
      <c r="AB21" s="36"/>
    </row>
    <row r="22" spans="1:28" ht="15.75" customHeight="1" thickBot="1" x14ac:dyDescent="0.3">
      <c r="A22" s="369" t="s">
        <v>1178</v>
      </c>
      <c r="B22" s="370"/>
      <c r="C22" s="370"/>
      <c r="D22" s="370"/>
      <c r="E22" s="371"/>
      <c r="F22" s="398"/>
      <c r="G22" s="399"/>
      <c r="H22" s="398"/>
      <c r="I22" s="400"/>
      <c r="J22" s="36"/>
      <c r="K22" s="36"/>
      <c r="L22" s="36"/>
      <c r="M22" s="36"/>
      <c r="N22" s="36"/>
      <c r="O22" s="36"/>
      <c r="P22" s="36"/>
      <c r="Q22" s="36"/>
      <c r="R22" s="36"/>
      <c r="S22" s="36"/>
      <c r="T22" s="36"/>
      <c r="U22" s="6"/>
      <c r="V22" s="6"/>
      <c r="W22" s="6"/>
      <c r="X22" s="36"/>
      <c r="Y22" s="36"/>
      <c r="Z22" s="36"/>
      <c r="AA22" s="36"/>
      <c r="AB22" s="36"/>
    </row>
    <row r="23" spans="1:28" ht="12" customHeight="1" thickTop="1" thickBot="1" x14ac:dyDescent="0.3">
      <c r="A23" s="10" t="s">
        <v>1115</v>
      </c>
      <c r="B23" s="36"/>
      <c r="C23" s="36"/>
      <c r="D23" s="36"/>
      <c r="E23" s="36"/>
      <c r="F23" s="36"/>
      <c r="G23" s="36"/>
      <c r="H23" s="36"/>
      <c r="I23" s="36"/>
      <c r="J23" s="36"/>
      <c r="K23" s="36"/>
      <c r="L23" s="36"/>
      <c r="M23" s="36"/>
      <c r="N23" s="36"/>
      <c r="O23" s="36"/>
      <c r="P23" s="36"/>
      <c r="Q23" s="36"/>
      <c r="R23" s="36"/>
      <c r="S23" s="36"/>
      <c r="T23" s="36"/>
      <c r="U23" s="6"/>
      <c r="V23" s="6"/>
      <c r="W23" s="6"/>
      <c r="X23" s="36"/>
      <c r="Y23" s="36"/>
      <c r="Z23" s="36"/>
      <c r="AA23" s="36"/>
      <c r="AB23" s="36"/>
    </row>
    <row r="24" spans="1:28" ht="15.75" thickTop="1" x14ac:dyDescent="0.25">
      <c r="A24" s="383" t="s">
        <v>1113</v>
      </c>
      <c r="B24" s="384"/>
      <c r="C24" s="384"/>
      <c r="D24" s="384"/>
      <c r="E24" s="384"/>
      <c r="F24" s="384"/>
      <c r="G24" s="384"/>
      <c r="H24" s="384"/>
      <c r="I24" s="384"/>
      <c r="J24" s="384"/>
      <c r="K24" s="384"/>
      <c r="L24" s="384"/>
      <c r="M24" s="384"/>
      <c r="N24" s="384"/>
      <c r="O24" s="384"/>
      <c r="P24" s="384"/>
      <c r="Q24" s="385"/>
      <c r="R24" s="36"/>
      <c r="AB24" s="36"/>
    </row>
    <row r="25" spans="1:28" x14ac:dyDescent="0.25">
      <c r="A25" s="50">
        <v>1</v>
      </c>
      <c r="B25" s="348" t="s">
        <v>77</v>
      </c>
      <c r="C25" s="348"/>
      <c r="D25" s="348"/>
      <c r="E25" s="348"/>
      <c r="F25" s="348"/>
      <c r="G25" s="348"/>
      <c r="H25" s="348"/>
      <c r="I25" s="348"/>
      <c r="J25" s="348"/>
      <c r="K25" s="348"/>
      <c r="L25" s="348"/>
      <c r="M25" s="348"/>
      <c r="N25" s="348"/>
      <c r="O25" s="348"/>
      <c r="P25" s="269" t="s">
        <v>15</v>
      </c>
      <c r="Q25" s="320"/>
      <c r="R25" s="36"/>
      <c r="AB25" s="36"/>
    </row>
    <row r="26" spans="1:28" x14ac:dyDescent="0.25">
      <c r="A26" s="38" t="s">
        <v>42</v>
      </c>
      <c r="B26" s="346" t="s">
        <v>274</v>
      </c>
      <c r="C26" s="346"/>
      <c r="D26" s="346" t="s">
        <v>275</v>
      </c>
      <c r="E26" s="346"/>
      <c r="F26" s="346" t="s">
        <v>276</v>
      </c>
      <c r="G26" s="346"/>
      <c r="H26" s="346" t="s">
        <v>277</v>
      </c>
      <c r="I26" s="346"/>
      <c r="J26" s="346" t="s">
        <v>278</v>
      </c>
      <c r="K26" s="346"/>
      <c r="L26" s="344" t="s">
        <v>279</v>
      </c>
      <c r="M26" s="344"/>
      <c r="N26" s="344" t="s">
        <v>280</v>
      </c>
      <c r="O26" s="344"/>
      <c r="P26" s="269"/>
      <c r="Q26" s="320"/>
      <c r="R26" s="36"/>
      <c r="AB26" s="36"/>
    </row>
    <row r="27" spans="1:28" x14ac:dyDescent="0.25">
      <c r="A27" s="57" t="s">
        <v>43</v>
      </c>
      <c r="B27" s="97" t="s">
        <v>9</v>
      </c>
      <c r="C27" s="97" t="s">
        <v>10</v>
      </c>
      <c r="D27" s="97" t="s">
        <v>9</v>
      </c>
      <c r="E27" s="97" t="s">
        <v>10</v>
      </c>
      <c r="F27" s="97" t="s">
        <v>9</v>
      </c>
      <c r="G27" s="97" t="s">
        <v>10</v>
      </c>
      <c r="H27" s="97" t="s">
        <v>9</v>
      </c>
      <c r="I27" s="97" t="s">
        <v>10</v>
      </c>
      <c r="J27" s="97" t="s">
        <v>9</v>
      </c>
      <c r="K27" s="97" t="s">
        <v>10</v>
      </c>
      <c r="L27" s="97" t="s">
        <v>9</v>
      </c>
      <c r="M27" s="97" t="s">
        <v>10</v>
      </c>
      <c r="N27" s="97" t="s">
        <v>44</v>
      </c>
      <c r="O27" s="97" t="s">
        <v>10</v>
      </c>
      <c r="P27" s="117" t="s">
        <v>9</v>
      </c>
      <c r="Q27" s="120" t="s">
        <v>10</v>
      </c>
      <c r="R27" s="36"/>
      <c r="AB27" s="36"/>
    </row>
    <row r="28" spans="1:28" s="59" customFormat="1" ht="12.75" x14ac:dyDescent="0.2">
      <c r="A28" s="99" t="s">
        <v>68</v>
      </c>
      <c r="B28" s="186"/>
      <c r="C28" s="186"/>
      <c r="D28" s="187"/>
      <c r="E28" s="187"/>
      <c r="F28" s="186"/>
      <c r="G28" s="186"/>
      <c r="H28" s="186"/>
      <c r="I28" s="186"/>
      <c r="J28" s="186"/>
      <c r="K28" s="186"/>
      <c r="L28" s="186"/>
      <c r="M28" s="186"/>
      <c r="N28" s="186"/>
      <c r="O28" s="186"/>
      <c r="P28" s="134">
        <f>N28+L28+J28+H28+F28+D28+B28</f>
        <v>0</v>
      </c>
      <c r="Q28" s="135">
        <f>O28+M28+K28+I28+G28+E28+C28</f>
        <v>0</v>
      </c>
      <c r="R28" s="61"/>
      <c r="AB28" s="61"/>
    </row>
    <row r="29" spans="1:28" s="59" customFormat="1" ht="12.75" x14ac:dyDescent="0.2">
      <c r="A29" s="99" t="s">
        <v>69</v>
      </c>
      <c r="B29" s="186"/>
      <c r="C29" s="186"/>
      <c r="D29" s="186"/>
      <c r="E29" s="186"/>
      <c r="F29" s="187"/>
      <c r="G29" s="187"/>
      <c r="H29" s="186"/>
      <c r="I29" s="186"/>
      <c r="J29" s="186"/>
      <c r="K29" s="186"/>
      <c r="L29" s="186"/>
      <c r="M29" s="186"/>
      <c r="N29" s="186"/>
      <c r="O29" s="186"/>
      <c r="P29" s="134">
        <f t="shared" ref="P29:Q31" si="2">N29+L29+J29+H29+F29+D29+B29</f>
        <v>0</v>
      </c>
      <c r="Q29" s="135">
        <f t="shared" si="2"/>
        <v>0</v>
      </c>
      <c r="R29" s="61"/>
      <c r="AB29" s="61"/>
    </row>
    <row r="30" spans="1:28" s="59" customFormat="1" ht="12.75" x14ac:dyDescent="0.2">
      <c r="A30" s="99" t="s">
        <v>70</v>
      </c>
      <c r="B30" s="186"/>
      <c r="C30" s="186"/>
      <c r="D30" s="186"/>
      <c r="E30" s="186"/>
      <c r="F30" s="186"/>
      <c r="G30" s="186"/>
      <c r="H30" s="187"/>
      <c r="I30" s="187"/>
      <c r="J30" s="186"/>
      <c r="K30" s="186"/>
      <c r="L30" s="186"/>
      <c r="M30" s="186"/>
      <c r="N30" s="186"/>
      <c r="O30" s="186"/>
      <c r="P30" s="134">
        <f t="shared" si="2"/>
        <v>0</v>
      </c>
      <c r="Q30" s="135">
        <f t="shared" si="2"/>
        <v>0</v>
      </c>
      <c r="R30" s="61"/>
      <c r="AB30" s="61"/>
    </row>
    <row r="31" spans="1:28" s="59" customFormat="1" ht="12.75" x14ac:dyDescent="0.2">
      <c r="A31" s="99" t="s">
        <v>71</v>
      </c>
      <c r="B31" s="186"/>
      <c r="C31" s="186"/>
      <c r="D31" s="186"/>
      <c r="E31" s="186"/>
      <c r="F31" s="186"/>
      <c r="G31" s="186"/>
      <c r="H31" s="186"/>
      <c r="I31" s="186"/>
      <c r="J31" s="187"/>
      <c r="K31" s="187"/>
      <c r="L31" s="186"/>
      <c r="M31" s="186"/>
      <c r="N31" s="186"/>
      <c r="O31" s="186"/>
      <c r="P31" s="134">
        <f t="shared" si="2"/>
        <v>0</v>
      </c>
      <c r="Q31" s="135">
        <f t="shared" si="2"/>
        <v>0</v>
      </c>
      <c r="R31" s="61"/>
      <c r="AB31" s="61"/>
    </row>
    <row r="32" spans="1:28" s="59" customFormat="1" ht="13.5" thickBot="1" x14ac:dyDescent="0.25">
      <c r="A32" s="126" t="s">
        <v>15</v>
      </c>
      <c r="B32" s="132">
        <f>SUM(B28:B31)</f>
        <v>0</v>
      </c>
      <c r="C32" s="132">
        <f t="shared" ref="C32:Q32" si="3">SUM(C28:C31)</f>
        <v>0</v>
      </c>
      <c r="D32" s="132">
        <f t="shared" si="3"/>
        <v>0</v>
      </c>
      <c r="E32" s="132">
        <f t="shared" si="3"/>
        <v>0</v>
      </c>
      <c r="F32" s="132">
        <f t="shared" si="3"/>
        <v>0</v>
      </c>
      <c r="G32" s="132">
        <f t="shared" si="3"/>
        <v>0</v>
      </c>
      <c r="H32" s="132">
        <f t="shared" si="3"/>
        <v>0</v>
      </c>
      <c r="I32" s="132">
        <f t="shared" si="3"/>
        <v>0</v>
      </c>
      <c r="J32" s="132">
        <f t="shared" si="3"/>
        <v>0</v>
      </c>
      <c r="K32" s="132">
        <f t="shared" si="3"/>
        <v>0</v>
      </c>
      <c r="L32" s="132">
        <f t="shared" si="3"/>
        <v>0</v>
      </c>
      <c r="M32" s="132">
        <f t="shared" si="3"/>
        <v>0</v>
      </c>
      <c r="N32" s="132">
        <f t="shared" si="3"/>
        <v>0</v>
      </c>
      <c r="O32" s="132">
        <f t="shared" si="3"/>
        <v>0</v>
      </c>
      <c r="P32" s="132">
        <f t="shared" si="3"/>
        <v>0</v>
      </c>
      <c r="Q32" s="133">
        <f t="shared" si="3"/>
        <v>0</v>
      </c>
      <c r="R32" s="61"/>
      <c r="AB32" s="61"/>
    </row>
    <row r="33" spans="1:28" ht="14.25" customHeight="1" thickTop="1" thickBot="1" x14ac:dyDescent="0.3">
      <c r="A33" s="39">
        <v>1</v>
      </c>
      <c r="B33" s="36"/>
      <c r="C33" s="36"/>
      <c r="D33" s="36"/>
      <c r="E33" s="36"/>
      <c r="F33" s="36"/>
      <c r="G33" s="36"/>
      <c r="H33" s="36"/>
      <c r="I33" s="36"/>
      <c r="J33" s="36"/>
      <c r="K33" s="36"/>
      <c r="L33" s="36"/>
      <c r="M33" s="36"/>
      <c r="N33" s="36"/>
      <c r="O33" s="36"/>
      <c r="P33" s="36"/>
      <c r="Q33" s="36"/>
      <c r="R33" s="36"/>
      <c r="S33" s="36"/>
      <c r="T33" s="36"/>
      <c r="U33" s="36"/>
      <c r="V33" s="36"/>
      <c r="W33" s="36"/>
      <c r="X33" s="36"/>
      <c r="Y33" s="123"/>
      <c r="Z33" s="56"/>
      <c r="AA33" s="56"/>
      <c r="AB33" s="56"/>
    </row>
    <row r="34" spans="1:28" ht="15.75" customHeight="1" thickTop="1" x14ac:dyDescent="0.25">
      <c r="A34" s="386" t="s">
        <v>1114</v>
      </c>
      <c r="B34" s="384"/>
      <c r="C34" s="384"/>
      <c r="D34" s="384"/>
      <c r="E34" s="384"/>
      <c r="F34" s="384"/>
      <c r="G34" s="384"/>
      <c r="H34" s="384"/>
      <c r="I34" s="384"/>
      <c r="J34" s="384"/>
      <c r="K34" s="384"/>
      <c r="L34" s="384"/>
      <c r="M34" s="384"/>
      <c r="N34" s="384"/>
      <c r="O34" s="385"/>
      <c r="P34" s="36"/>
      <c r="Q34" s="36"/>
      <c r="R34" s="36"/>
      <c r="S34" s="36"/>
      <c r="T34" s="59"/>
      <c r="U34" s="59"/>
      <c r="V34" s="59"/>
      <c r="W34" s="59"/>
      <c r="X34" s="59"/>
      <c r="Y34" s="123"/>
      <c r="Z34" s="56"/>
      <c r="AA34" s="56"/>
      <c r="AB34" s="56"/>
    </row>
    <row r="35" spans="1:28" ht="15.75" customHeight="1" x14ac:dyDescent="0.25">
      <c r="A35" s="105">
        <v>1</v>
      </c>
      <c r="B35" s="346" t="s">
        <v>1443</v>
      </c>
      <c r="C35" s="346"/>
      <c r="D35" s="346"/>
      <c r="E35" s="346"/>
      <c r="F35" s="346" t="s">
        <v>1444</v>
      </c>
      <c r="G35" s="346"/>
      <c r="H35" s="346"/>
      <c r="I35" s="346"/>
      <c r="J35" s="346" t="s">
        <v>1445</v>
      </c>
      <c r="K35" s="346"/>
      <c r="L35" s="346"/>
      <c r="M35" s="346"/>
      <c r="N35" s="247" t="s">
        <v>1447</v>
      </c>
      <c r="O35" s="387"/>
      <c r="P35" s="36"/>
      <c r="Q35" s="36"/>
      <c r="R35" s="36"/>
      <c r="S35" s="36"/>
      <c r="T35" s="59"/>
      <c r="U35" s="59"/>
      <c r="V35" s="59"/>
      <c r="W35" s="59"/>
      <c r="X35" s="59"/>
      <c r="Y35" s="123"/>
      <c r="Z35" s="56"/>
      <c r="AA35" s="56"/>
      <c r="AB35" s="56"/>
    </row>
    <row r="36" spans="1:28" ht="15.75" customHeight="1" x14ac:dyDescent="0.25">
      <c r="A36" s="106">
        <v>1</v>
      </c>
      <c r="B36" s="346" t="s">
        <v>1448</v>
      </c>
      <c r="C36" s="346"/>
      <c r="D36" s="346" t="s">
        <v>262</v>
      </c>
      <c r="E36" s="346"/>
      <c r="F36" s="346" t="s">
        <v>1448</v>
      </c>
      <c r="G36" s="346"/>
      <c r="H36" s="346" t="s">
        <v>262</v>
      </c>
      <c r="I36" s="346"/>
      <c r="J36" s="346" t="s">
        <v>1448</v>
      </c>
      <c r="K36" s="346"/>
      <c r="L36" s="346" t="s">
        <v>262</v>
      </c>
      <c r="M36" s="346"/>
      <c r="N36" s="247"/>
      <c r="O36" s="387"/>
      <c r="P36" s="36"/>
      <c r="Q36" s="36"/>
      <c r="R36" s="36"/>
      <c r="S36" s="36"/>
      <c r="T36" s="59"/>
      <c r="U36" s="59"/>
      <c r="V36" s="59"/>
      <c r="W36" s="59"/>
      <c r="X36" s="59"/>
      <c r="Y36" s="123"/>
      <c r="Z36" s="56"/>
      <c r="AA36" s="56"/>
      <c r="AB36" s="56"/>
    </row>
    <row r="37" spans="1:28" ht="15.75" customHeight="1" x14ac:dyDescent="0.25">
      <c r="A37" s="124" t="s">
        <v>68</v>
      </c>
      <c r="B37" s="392"/>
      <c r="C37" s="392"/>
      <c r="D37" s="393"/>
      <c r="E37" s="394"/>
      <c r="F37" s="392"/>
      <c r="G37" s="392"/>
      <c r="H37" s="393"/>
      <c r="I37" s="394"/>
      <c r="J37" s="392"/>
      <c r="K37" s="392"/>
      <c r="L37" s="393"/>
      <c r="M37" s="394"/>
      <c r="N37" s="210">
        <f t="shared" ref="N37:N38" si="4">B37+F37+J37</f>
        <v>0</v>
      </c>
      <c r="O37" s="327"/>
      <c r="P37" s="35">
        <f>D37+H37+L37</f>
        <v>0</v>
      </c>
      <c r="Q37" s="36"/>
      <c r="R37" s="36"/>
      <c r="S37" s="36"/>
      <c r="T37" s="59"/>
      <c r="U37" s="59"/>
      <c r="V37" s="59"/>
      <c r="W37" s="59"/>
      <c r="X37" s="59"/>
      <c r="Y37" s="123"/>
      <c r="Z37" s="56"/>
      <c r="AA37" s="56"/>
      <c r="AB37" s="56"/>
    </row>
    <row r="38" spans="1:28" ht="15.75" customHeight="1" x14ac:dyDescent="0.25">
      <c r="A38" s="124" t="s">
        <v>69</v>
      </c>
      <c r="B38" s="392"/>
      <c r="C38" s="392"/>
      <c r="D38" s="393"/>
      <c r="E38" s="394"/>
      <c r="F38" s="392"/>
      <c r="G38" s="392"/>
      <c r="H38" s="393"/>
      <c r="I38" s="394"/>
      <c r="J38" s="392"/>
      <c r="K38" s="392"/>
      <c r="L38" s="393"/>
      <c r="M38" s="394"/>
      <c r="N38" s="210">
        <f t="shared" si="4"/>
        <v>0</v>
      </c>
      <c r="O38" s="327"/>
      <c r="P38" s="35">
        <f t="shared" ref="P38:P40" si="5">D38+H38+L38</f>
        <v>0</v>
      </c>
      <c r="Q38" s="36"/>
      <c r="R38" s="36"/>
      <c r="S38" s="36"/>
      <c r="T38" s="59"/>
      <c r="U38" s="59"/>
      <c r="V38" s="59"/>
      <c r="W38" s="59"/>
      <c r="X38" s="59"/>
      <c r="Y38" s="123"/>
      <c r="Z38" s="56"/>
      <c r="AA38" s="56"/>
      <c r="AB38" s="56"/>
    </row>
    <row r="39" spans="1:28" ht="15.75" customHeight="1" x14ac:dyDescent="0.25">
      <c r="A39" s="124" t="s">
        <v>70</v>
      </c>
      <c r="B39" s="392"/>
      <c r="C39" s="392"/>
      <c r="D39" s="392"/>
      <c r="E39" s="392"/>
      <c r="F39" s="392"/>
      <c r="G39" s="392"/>
      <c r="H39" s="392"/>
      <c r="I39" s="392"/>
      <c r="J39" s="392"/>
      <c r="K39" s="392"/>
      <c r="L39" s="392"/>
      <c r="M39" s="392"/>
      <c r="N39" s="210">
        <f>B39+F39+J39</f>
        <v>0</v>
      </c>
      <c r="O39" s="327">
        <f>C39+G39+K39</f>
        <v>0</v>
      </c>
      <c r="P39" s="35">
        <f t="shared" si="5"/>
        <v>0</v>
      </c>
      <c r="Q39" s="36"/>
      <c r="R39" s="36"/>
      <c r="S39" s="36"/>
      <c r="T39" s="59"/>
      <c r="U39" s="59"/>
      <c r="V39" s="59"/>
      <c r="W39" s="59"/>
      <c r="X39" s="59"/>
      <c r="Y39" s="123"/>
      <c r="Z39" s="56"/>
      <c r="AA39" s="56"/>
      <c r="AB39" s="56"/>
    </row>
    <row r="40" spans="1:28" ht="14.25" customHeight="1" x14ac:dyDescent="0.25">
      <c r="A40" s="124" t="s">
        <v>71</v>
      </c>
      <c r="B40" s="392"/>
      <c r="C40" s="392"/>
      <c r="D40" s="392"/>
      <c r="E40" s="392"/>
      <c r="F40" s="392"/>
      <c r="G40" s="392"/>
      <c r="H40" s="392"/>
      <c r="I40" s="392"/>
      <c r="J40" s="392"/>
      <c r="K40" s="392"/>
      <c r="L40" s="392"/>
      <c r="M40" s="392"/>
      <c r="N40" s="210">
        <f>B40+F40+J40</f>
        <v>0</v>
      </c>
      <c r="O40" s="327">
        <f>C40+G40+K40</f>
        <v>0</v>
      </c>
      <c r="P40" s="35">
        <f t="shared" si="5"/>
        <v>0</v>
      </c>
      <c r="Q40" s="36"/>
      <c r="R40" s="36"/>
      <c r="S40" s="36"/>
      <c r="T40" s="59"/>
      <c r="U40" s="59"/>
      <c r="V40" s="59"/>
      <c r="W40" s="59"/>
      <c r="X40" s="59"/>
      <c r="Y40" s="123"/>
      <c r="Z40" s="56"/>
      <c r="AA40" s="56"/>
      <c r="AB40" s="56"/>
    </row>
    <row r="41" spans="1:28" ht="15.75" customHeight="1" thickBot="1" x14ac:dyDescent="0.3">
      <c r="A41" s="126" t="s">
        <v>15</v>
      </c>
      <c r="B41" s="328">
        <f>SUM(B37:C40)</f>
        <v>0</v>
      </c>
      <c r="C41" s="328"/>
      <c r="D41" s="329"/>
      <c r="E41" s="329"/>
      <c r="F41" s="328">
        <f>SUM(F37:G40)</f>
        <v>0</v>
      </c>
      <c r="G41" s="328"/>
      <c r="H41" s="329"/>
      <c r="I41" s="329"/>
      <c r="J41" s="328">
        <f>SUM(J37:K40)</f>
        <v>0</v>
      </c>
      <c r="K41" s="328"/>
      <c r="L41" s="329"/>
      <c r="M41" s="329"/>
      <c r="N41" s="328">
        <f>SUM(N37:O40)</f>
        <v>0</v>
      </c>
      <c r="O41" s="345">
        <f>SUM(O37:O40)</f>
        <v>0</v>
      </c>
      <c r="P41" s="36"/>
      <c r="Q41" s="36"/>
      <c r="R41" s="36"/>
      <c r="S41" s="36"/>
      <c r="T41" s="59"/>
      <c r="U41" s="59"/>
      <c r="V41" s="59"/>
      <c r="W41" s="59"/>
      <c r="X41" s="59"/>
      <c r="Y41" s="123"/>
      <c r="Z41" s="56"/>
      <c r="AA41" s="56"/>
      <c r="AB41" s="56"/>
    </row>
    <row r="42" spans="1:28" ht="15.75" customHeight="1" thickTop="1" thickBot="1" x14ac:dyDescent="0.3">
      <c r="A42" s="39" t="s">
        <v>1115</v>
      </c>
      <c r="B42" s="36"/>
      <c r="C42" s="36"/>
      <c r="D42" s="36"/>
      <c r="E42" s="36"/>
      <c r="F42" s="36"/>
      <c r="G42" s="36"/>
      <c r="H42" s="36"/>
      <c r="I42" s="36"/>
      <c r="J42" s="36"/>
      <c r="K42" s="36"/>
      <c r="L42" s="36"/>
      <c r="M42" s="36"/>
      <c r="N42" s="36"/>
      <c r="O42" s="36"/>
      <c r="P42" s="36"/>
      <c r="Q42" s="36"/>
      <c r="R42" s="36"/>
      <c r="S42" s="36"/>
      <c r="T42" s="59"/>
      <c r="U42" s="59"/>
      <c r="V42" s="59"/>
      <c r="W42" s="59"/>
      <c r="X42" s="59"/>
      <c r="Y42" s="123"/>
      <c r="Z42" s="56"/>
      <c r="AA42" s="56"/>
      <c r="AB42" s="56"/>
    </row>
    <row r="43" spans="1:28" ht="15.75" customHeight="1" thickTop="1" x14ac:dyDescent="0.25">
      <c r="A43" s="330" t="s">
        <v>46</v>
      </c>
      <c r="B43" s="331"/>
      <c r="C43" s="331"/>
      <c r="D43" s="331"/>
      <c r="E43" s="331"/>
      <c r="F43" s="331"/>
      <c r="G43" s="331"/>
      <c r="H43" s="331"/>
      <c r="I43" s="331"/>
      <c r="J43" s="331"/>
      <c r="K43" s="332"/>
      <c r="L43" s="36"/>
      <c r="M43" s="36"/>
      <c r="N43" s="36"/>
      <c r="O43" s="36"/>
      <c r="P43" s="36"/>
      <c r="Q43" s="36"/>
      <c r="R43" s="36"/>
      <c r="S43" s="36"/>
      <c r="T43" s="36"/>
      <c r="U43" s="36"/>
      <c r="V43" s="36"/>
      <c r="W43" s="36"/>
      <c r="X43" s="36"/>
      <c r="Y43" s="123"/>
      <c r="Z43" s="56"/>
      <c r="AA43" s="56"/>
      <c r="AB43" s="56"/>
    </row>
    <row r="44" spans="1:28" ht="15.75" customHeight="1" x14ac:dyDescent="0.25">
      <c r="A44" s="101" t="s">
        <v>1115</v>
      </c>
      <c r="B44" s="344" t="s">
        <v>47</v>
      </c>
      <c r="C44" s="344"/>
      <c r="D44" s="344" t="s">
        <v>48</v>
      </c>
      <c r="E44" s="344"/>
      <c r="F44" s="344" t="s">
        <v>49</v>
      </c>
      <c r="G44" s="344"/>
      <c r="H44" s="344" t="s">
        <v>50</v>
      </c>
      <c r="I44" s="344"/>
      <c r="J44" s="269" t="s">
        <v>15</v>
      </c>
      <c r="K44" s="320"/>
      <c r="L44" s="36"/>
      <c r="M44" s="36"/>
      <c r="N44" s="36"/>
      <c r="O44" s="36"/>
      <c r="P44" s="36"/>
      <c r="Q44" s="36"/>
      <c r="R44" s="36"/>
      <c r="S44" s="36"/>
      <c r="T44" s="36"/>
      <c r="U44" s="36"/>
      <c r="V44" s="36"/>
      <c r="W44" s="36"/>
      <c r="X44" s="36"/>
      <c r="Y44" s="123"/>
      <c r="Z44" s="56"/>
      <c r="AA44" s="56"/>
      <c r="AB44" s="56"/>
    </row>
    <row r="45" spans="1:28" ht="15.75" customHeight="1" x14ac:dyDescent="0.25">
      <c r="A45" s="37">
        <v>1</v>
      </c>
      <c r="B45" s="125" t="s">
        <v>9</v>
      </c>
      <c r="C45" s="125" t="s">
        <v>10</v>
      </c>
      <c r="D45" s="125" t="s">
        <v>9</v>
      </c>
      <c r="E45" s="125" t="s">
        <v>10</v>
      </c>
      <c r="F45" s="125" t="s">
        <v>9</v>
      </c>
      <c r="G45" s="125" t="s">
        <v>10</v>
      </c>
      <c r="H45" s="125" t="s">
        <v>9</v>
      </c>
      <c r="I45" s="125" t="s">
        <v>10</v>
      </c>
      <c r="J45" s="117" t="s">
        <v>9</v>
      </c>
      <c r="K45" s="120" t="s">
        <v>10</v>
      </c>
      <c r="L45" s="36"/>
      <c r="M45" s="36"/>
      <c r="N45" s="36"/>
      <c r="O45" s="36"/>
      <c r="P45" s="36"/>
      <c r="Q45" s="36"/>
      <c r="R45" s="36"/>
      <c r="S45" s="36"/>
      <c r="T45" s="36"/>
      <c r="U45" s="36"/>
      <c r="V45" s="36"/>
      <c r="W45" s="36"/>
      <c r="X45" s="36"/>
      <c r="Y45" s="123"/>
      <c r="Z45" s="56"/>
      <c r="AA45" s="56"/>
      <c r="AB45" s="56"/>
    </row>
    <row r="46" spans="1:28" ht="15.75" customHeight="1" x14ac:dyDescent="0.25">
      <c r="A46" s="99" t="s">
        <v>68</v>
      </c>
      <c r="B46" s="187"/>
      <c r="C46" s="187"/>
      <c r="D46" s="187"/>
      <c r="E46" s="187"/>
      <c r="F46" s="187"/>
      <c r="G46" s="187"/>
      <c r="H46" s="187"/>
      <c r="I46" s="187"/>
      <c r="J46" s="130">
        <f>B46+D46+F46+H46</f>
        <v>0</v>
      </c>
      <c r="K46" s="131">
        <f>C46+E46+G46+I46</f>
        <v>0</v>
      </c>
      <c r="L46" s="36"/>
      <c r="M46" s="36"/>
      <c r="N46" s="36"/>
      <c r="O46" s="36"/>
      <c r="P46" s="36"/>
      <c r="Q46" s="36"/>
      <c r="R46" s="36"/>
      <c r="S46" s="36"/>
      <c r="T46" s="36"/>
      <c r="U46" s="36"/>
      <c r="V46" s="36"/>
      <c r="W46" s="36"/>
      <c r="X46" s="36"/>
      <c r="Y46" s="123"/>
      <c r="Z46" s="56"/>
      <c r="AA46" s="56"/>
      <c r="AB46" s="56"/>
    </row>
    <row r="47" spans="1:28" ht="15.75" customHeight="1" x14ac:dyDescent="0.25">
      <c r="A47" s="99" t="s">
        <v>69</v>
      </c>
      <c r="B47" s="187"/>
      <c r="C47" s="187"/>
      <c r="D47" s="187"/>
      <c r="E47" s="187"/>
      <c r="F47" s="187"/>
      <c r="G47" s="187"/>
      <c r="H47" s="187"/>
      <c r="I47" s="187"/>
      <c r="J47" s="130">
        <f t="shared" ref="J47:K50" si="6">B47+D47+F47+H47</f>
        <v>0</v>
      </c>
      <c r="K47" s="131">
        <f t="shared" si="6"/>
        <v>0</v>
      </c>
      <c r="L47" s="36"/>
      <c r="M47" s="36"/>
      <c r="N47" s="36"/>
      <c r="O47" s="36"/>
      <c r="P47" s="36"/>
      <c r="Q47" s="36"/>
      <c r="R47" s="36"/>
      <c r="S47" s="36"/>
      <c r="T47" s="36"/>
      <c r="U47" s="36"/>
      <c r="V47" s="36"/>
      <c r="W47" s="36"/>
      <c r="X47" s="36"/>
      <c r="Y47" s="123"/>
      <c r="Z47" s="56"/>
      <c r="AA47" s="56"/>
      <c r="AB47" s="56"/>
    </row>
    <row r="48" spans="1:28" ht="15.75" customHeight="1" x14ac:dyDescent="0.25">
      <c r="A48" s="99" t="s">
        <v>70</v>
      </c>
      <c r="B48" s="187"/>
      <c r="C48" s="187"/>
      <c r="D48" s="187"/>
      <c r="E48" s="187"/>
      <c r="F48" s="187"/>
      <c r="G48" s="187"/>
      <c r="H48" s="187"/>
      <c r="I48" s="187"/>
      <c r="J48" s="130">
        <f t="shared" si="6"/>
        <v>0</v>
      </c>
      <c r="K48" s="131">
        <f t="shared" si="6"/>
        <v>0</v>
      </c>
      <c r="L48" s="36"/>
      <c r="M48" s="36"/>
      <c r="N48" s="36"/>
      <c r="O48" s="36"/>
      <c r="P48" s="36"/>
      <c r="Q48" s="36"/>
      <c r="R48" s="36"/>
      <c r="S48" s="36"/>
      <c r="T48" s="36"/>
      <c r="U48" s="36"/>
      <c r="V48" s="36"/>
      <c r="W48" s="36"/>
      <c r="X48" s="36"/>
      <c r="Y48" s="123"/>
      <c r="Z48" s="56"/>
      <c r="AA48" s="56"/>
      <c r="AB48" s="56"/>
    </row>
    <row r="49" spans="1:34" ht="15.75" customHeight="1" x14ac:dyDescent="0.25">
      <c r="A49" s="99" t="s">
        <v>71</v>
      </c>
      <c r="B49" s="187"/>
      <c r="C49" s="187"/>
      <c r="D49" s="187"/>
      <c r="E49" s="187"/>
      <c r="F49" s="187"/>
      <c r="G49" s="187"/>
      <c r="H49" s="187"/>
      <c r="I49" s="187"/>
      <c r="J49" s="130">
        <f t="shared" si="6"/>
        <v>0</v>
      </c>
      <c r="K49" s="131">
        <f t="shared" si="6"/>
        <v>0</v>
      </c>
      <c r="L49" s="36"/>
      <c r="M49" s="36"/>
      <c r="N49" s="36"/>
      <c r="O49" s="36"/>
      <c r="P49" s="36"/>
      <c r="Q49" s="36"/>
      <c r="R49" s="36"/>
      <c r="S49" s="36"/>
      <c r="T49" s="36"/>
      <c r="U49" s="36"/>
      <c r="V49" s="36"/>
      <c r="W49" s="36"/>
      <c r="X49" s="36"/>
      <c r="Y49" s="123"/>
      <c r="Z49" s="56"/>
      <c r="AA49" s="56"/>
      <c r="AB49" s="56"/>
    </row>
    <row r="50" spans="1:34" ht="15.75" customHeight="1" thickBot="1" x14ac:dyDescent="0.3">
      <c r="A50" s="126" t="s">
        <v>15</v>
      </c>
      <c r="B50" s="132">
        <f t="shared" ref="B50:I50" si="7">SUM(B46:B49)</f>
        <v>0</v>
      </c>
      <c r="C50" s="132">
        <f t="shared" si="7"/>
        <v>0</v>
      </c>
      <c r="D50" s="132">
        <f t="shared" si="7"/>
        <v>0</v>
      </c>
      <c r="E50" s="132">
        <f t="shared" si="7"/>
        <v>0</v>
      </c>
      <c r="F50" s="132">
        <f t="shared" si="7"/>
        <v>0</v>
      </c>
      <c r="G50" s="132">
        <f t="shared" si="7"/>
        <v>0</v>
      </c>
      <c r="H50" s="132">
        <f t="shared" si="7"/>
        <v>0</v>
      </c>
      <c r="I50" s="132">
        <f t="shared" si="7"/>
        <v>0</v>
      </c>
      <c r="J50" s="132">
        <f t="shared" si="6"/>
        <v>0</v>
      </c>
      <c r="K50" s="133">
        <f t="shared" si="6"/>
        <v>0</v>
      </c>
      <c r="L50" s="36"/>
      <c r="M50" s="36"/>
      <c r="N50" s="36"/>
      <c r="O50" s="36"/>
      <c r="P50" s="36"/>
      <c r="Q50" s="36"/>
      <c r="R50" s="36"/>
      <c r="S50" s="36"/>
      <c r="T50" s="36"/>
      <c r="U50" s="36"/>
      <c r="V50" s="36"/>
      <c r="W50" s="36"/>
      <c r="X50" s="36"/>
      <c r="Y50" s="123"/>
      <c r="Z50" s="56"/>
      <c r="AA50" s="56"/>
      <c r="AB50" s="56"/>
    </row>
    <row r="51" spans="1:34" ht="15.75" customHeight="1" thickTop="1" thickBot="1" x14ac:dyDescent="0.3">
      <c r="A51" s="39" t="s">
        <v>1115</v>
      </c>
      <c r="B51" s="36"/>
      <c r="C51" s="36"/>
      <c r="D51" s="36"/>
      <c r="E51" s="36"/>
      <c r="F51" s="36"/>
      <c r="G51" s="36"/>
      <c r="H51" s="36"/>
      <c r="I51" s="36"/>
      <c r="J51" s="36"/>
      <c r="K51" s="36"/>
      <c r="L51" s="36"/>
      <c r="M51" s="36"/>
      <c r="N51" s="36"/>
      <c r="O51" s="36"/>
      <c r="P51" s="36"/>
      <c r="Q51" s="36"/>
      <c r="R51" s="36"/>
      <c r="S51" s="36"/>
      <c r="T51" s="36"/>
      <c r="U51" s="36"/>
      <c r="V51" s="36"/>
      <c r="W51" s="36"/>
      <c r="X51" s="36"/>
      <c r="Y51" s="123"/>
      <c r="Z51" s="56"/>
      <c r="AA51" s="56"/>
      <c r="AB51" s="56"/>
    </row>
    <row r="52" spans="1:34" ht="15.75" customHeight="1" thickTop="1" x14ac:dyDescent="0.25">
      <c r="A52" s="295" t="s">
        <v>1452</v>
      </c>
      <c r="B52" s="296"/>
      <c r="C52" s="296"/>
      <c r="D52" s="296"/>
      <c r="E52" s="296"/>
      <c r="F52" s="296"/>
      <c r="G52" s="296"/>
      <c r="H52" s="296"/>
      <c r="I52" s="296"/>
      <c r="J52" s="296"/>
      <c r="K52" s="296"/>
      <c r="L52" s="296"/>
      <c r="M52" s="296"/>
      <c r="N52" s="296"/>
      <c r="O52" s="296"/>
      <c r="P52" s="296"/>
      <c r="Q52" s="296"/>
      <c r="R52" s="296"/>
      <c r="S52" s="297"/>
      <c r="AB52" s="59"/>
      <c r="AC52" s="59"/>
      <c r="AD52" s="59"/>
      <c r="AE52" s="59"/>
      <c r="AF52" s="59"/>
      <c r="AG52" s="59"/>
      <c r="AH52" s="59"/>
    </row>
    <row r="53" spans="1:34" ht="15" customHeight="1" x14ac:dyDescent="0.25">
      <c r="A53" s="42">
        <v>1</v>
      </c>
      <c r="B53" s="107"/>
      <c r="C53" s="110"/>
      <c r="D53" s="309" t="s">
        <v>51</v>
      </c>
      <c r="E53" s="310"/>
      <c r="F53" s="310"/>
      <c r="G53" s="310"/>
      <c r="H53" s="310"/>
      <c r="I53" s="310"/>
      <c r="J53" s="310"/>
      <c r="K53" s="310"/>
      <c r="L53" s="310"/>
      <c r="M53" s="310"/>
      <c r="N53" s="310"/>
      <c r="O53" s="310"/>
      <c r="P53" s="310"/>
      <c r="Q53" s="310"/>
      <c r="R53" s="310"/>
      <c r="S53" s="311"/>
      <c r="AB53" s="59"/>
      <c r="AC53" s="59"/>
      <c r="AD53" s="59"/>
      <c r="AE53" s="59"/>
      <c r="AF53" s="59"/>
      <c r="AG53" s="59"/>
      <c r="AH53" s="59"/>
    </row>
    <row r="54" spans="1:34" ht="21.75" customHeight="1" x14ac:dyDescent="0.25">
      <c r="A54" s="42">
        <v>1</v>
      </c>
      <c r="B54" s="107"/>
      <c r="C54" s="110"/>
      <c r="D54" s="312" t="s">
        <v>52</v>
      </c>
      <c r="E54" s="313"/>
      <c r="F54" s="312" t="s">
        <v>53</v>
      </c>
      <c r="G54" s="313"/>
      <c r="H54" s="316" t="s">
        <v>54</v>
      </c>
      <c r="I54" s="317"/>
      <c r="J54" s="312" t="s">
        <v>55</v>
      </c>
      <c r="K54" s="313"/>
      <c r="L54" s="312" t="s">
        <v>56</v>
      </c>
      <c r="M54" s="313"/>
      <c r="N54" s="312" t="s">
        <v>149</v>
      </c>
      <c r="O54" s="313"/>
      <c r="P54" s="312" t="s">
        <v>145</v>
      </c>
      <c r="Q54" s="313"/>
      <c r="R54" s="280" t="s">
        <v>15</v>
      </c>
      <c r="S54" s="281"/>
      <c r="AB54" s="59"/>
      <c r="AC54" s="59"/>
      <c r="AD54" s="59"/>
      <c r="AE54" s="59"/>
      <c r="AF54" s="59"/>
      <c r="AG54" s="59"/>
      <c r="AH54" s="59"/>
    </row>
    <row r="55" spans="1:34" x14ac:dyDescent="0.25">
      <c r="A55" s="42">
        <v>1</v>
      </c>
      <c r="B55" s="107"/>
      <c r="C55" s="110"/>
      <c r="D55" s="314"/>
      <c r="E55" s="315"/>
      <c r="F55" s="314"/>
      <c r="G55" s="315"/>
      <c r="H55" s="318"/>
      <c r="I55" s="319"/>
      <c r="J55" s="314"/>
      <c r="K55" s="315"/>
      <c r="L55" s="314"/>
      <c r="M55" s="315"/>
      <c r="N55" s="314"/>
      <c r="O55" s="315"/>
      <c r="P55" s="314"/>
      <c r="Q55" s="315"/>
      <c r="R55" s="282"/>
      <c r="S55" s="283"/>
      <c r="AB55" s="59"/>
      <c r="AC55" s="59"/>
      <c r="AD55" s="59"/>
      <c r="AE55" s="59"/>
      <c r="AF55" s="59"/>
      <c r="AG55" s="59"/>
      <c r="AH55" s="59"/>
    </row>
    <row r="56" spans="1:34" x14ac:dyDescent="0.25">
      <c r="A56" s="108">
        <v>1</v>
      </c>
      <c r="B56" s="109"/>
      <c r="C56" s="111"/>
      <c r="D56" s="97" t="s">
        <v>9</v>
      </c>
      <c r="E56" s="97" t="s">
        <v>10</v>
      </c>
      <c r="F56" s="97" t="s">
        <v>9</v>
      </c>
      <c r="G56" s="97" t="s">
        <v>10</v>
      </c>
      <c r="H56" s="97" t="s">
        <v>9</v>
      </c>
      <c r="I56" s="97" t="s">
        <v>10</v>
      </c>
      <c r="J56" s="97" t="s">
        <v>9</v>
      </c>
      <c r="K56" s="97" t="s">
        <v>10</v>
      </c>
      <c r="L56" s="97" t="s">
        <v>9</v>
      </c>
      <c r="M56" s="97" t="s">
        <v>10</v>
      </c>
      <c r="N56" s="97" t="s">
        <v>9</v>
      </c>
      <c r="O56" s="97" t="s">
        <v>10</v>
      </c>
      <c r="P56" s="97" t="s">
        <v>9</v>
      </c>
      <c r="Q56" s="97" t="s">
        <v>10</v>
      </c>
      <c r="R56" s="117" t="s">
        <v>9</v>
      </c>
      <c r="S56" s="120" t="s">
        <v>10</v>
      </c>
      <c r="AB56" s="59"/>
      <c r="AC56" s="59"/>
      <c r="AD56" s="59"/>
      <c r="AE56" s="59"/>
      <c r="AF56" s="59"/>
      <c r="AG56" s="59"/>
      <c r="AH56" s="59"/>
    </row>
    <row r="57" spans="1:34" ht="24.75" customHeight="1" x14ac:dyDescent="0.25">
      <c r="A57" s="271" t="s">
        <v>123</v>
      </c>
      <c r="B57" s="249"/>
      <c r="C57" s="250"/>
      <c r="D57" s="187"/>
      <c r="E57" s="187"/>
      <c r="F57" s="187"/>
      <c r="G57" s="187"/>
      <c r="H57" s="187"/>
      <c r="I57" s="187"/>
      <c r="J57" s="187"/>
      <c r="K57" s="187"/>
      <c r="L57" s="187"/>
      <c r="M57" s="187"/>
      <c r="N57" s="187"/>
      <c r="O57" s="187"/>
      <c r="P57" s="187"/>
      <c r="Q57" s="187"/>
      <c r="R57" s="130">
        <f>P57+N57+L57+J57+H57+F57+D57</f>
        <v>0</v>
      </c>
      <c r="S57" s="131">
        <f>Q57+O57+M57+K57+I57+G57+E57</f>
        <v>0</v>
      </c>
      <c r="AB57" s="59"/>
      <c r="AC57" s="59"/>
      <c r="AD57" s="59"/>
      <c r="AE57" s="59"/>
      <c r="AF57" s="59"/>
      <c r="AG57" s="59"/>
      <c r="AH57" s="59"/>
    </row>
    <row r="58" spans="1:34" ht="24.75" customHeight="1" x14ac:dyDescent="0.25">
      <c r="A58" s="271" t="s">
        <v>122</v>
      </c>
      <c r="B58" s="249"/>
      <c r="C58" s="250"/>
      <c r="D58" s="187"/>
      <c r="E58" s="187"/>
      <c r="F58" s="187"/>
      <c r="G58" s="187"/>
      <c r="H58" s="187"/>
      <c r="I58" s="187"/>
      <c r="J58" s="187"/>
      <c r="K58" s="187"/>
      <c r="L58" s="187"/>
      <c r="M58" s="187"/>
      <c r="N58" s="187"/>
      <c r="O58" s="187"/>
      <c r="P58" s="187"/>
      <c r="Q58" s="187"/>
      <c r="R58" s="130">
        <f t="shared" ref="R58:S59" si="8">P58+N58+L58+J58+H58+F58+D58</f>
        <v>0</v>
      </c>
      <c r="S58" s="131">
        <f t="shared" si="8"/>
        <v>0</v>
      </c>
      <c r="T58" s="35">
        <f>D57+D58+F57+F58+H57+H58+J57+J58+L57+L58+N57+N58+P57+P58</f>
        <v>0</v>
      </c>
      <c r="U58" s="35">
        <f>E57+E58+G57+G58+I57+I58+K57+K58+M57+M58+O57+O58+Q57+Q58</f>
        <v>0</v>
      </c>
      <c r="AB58" s="59"/>
      <c r="AC58" s="59"/>
      <c r="AD58" s="59"/>
      <c r="AE58" s="59"/>
      <c r="AF58" s="59"/>
      <c r="AG58" s="59"/>
      <c r="AH58" s="59"/>
    </row>
    <row r="59" spans="1:34" ht="24.75" customHeight="1" x14ac:dyDescent="0.25">
      <c r="A59" s="271" t="s">
        <v>121</v>
      </c>
      <c r="B59" s="249"/>
      <c r="C59" s="250"/>
      <c r="D59" s="187"/>
      <c r="E59" s="187"/>
      <c r="F59" s="187"/>
      <c r="G59" s="187"/>
      <c r="H59" s="187"/>
      <c r="I59" s="187"/>
      <c r="J59" s="187"/>
      <c r="K59" s="187"/>
      <c r="L59" s="187"/>
      <c r="M59" s="187"/>
      <c r="N59" s="187"/>
      <c r="O59" s="187"/>
      <c r="P59" s="187"/>
      <c r="Q59" s="187"/>
      <c r="R59" s="130">
        <f t="shared" si="8"/>
        <v>0</v>
      </c>
      <c r="S59" s="131">
        <f t="shared" si="8"/>
        <v>0</v>
      </c>
      <c r="AB59" s="59"/>
      <c r="AC59" s="59"/>
      <c r="AD59" s="59"/>
      <c r="AE59" s="59"/>
      <c r="AF59" s="59"/>
      <c r="AG59" s="59"/>
      <c r="AH59" s="59"/>
    </row>
    <row r="60" spans="1:34" x14ac:dyDescent="0.25">
      <c r="A60" s="341" t="s">
        <v>15</v>
      </c>
      <c r="B60" s="342"/>
      <c r="C60" s="343"/>
      <c r="D60" s="153" t="str">
        <f>IF(SUM(D57:D59)=0, "", SUM(D57:D59))</f>
        <v/>
      </c>
      <c r="E60" s="153" t="str">
        <f t="shared" ref="E60:Q60" si="9">IF(SUM(E57:E59)=0, "", SUM(E57:E59))</f>
        <v/>
      </c>
      <c r="F60" s="153" t="str">
        <f t="shared" si="9"/>
        <v/>
      </c>
      <c r="G60" s="153" t="str">
        <f t="shared" si="9"/>
        <v/>
      </c>
      <c r="H60" s="153" t="str">
        <f t="shared" si="9"/>
        <v/>
      </c>
      <c r="I60" s="153" t="str">
        <f t="shared" si="9"/>
        <v/>
      </c>
      <c r="J60" s="153" t="str">
        <f t="shared" si="9"/>
        <v/>
      </c>
      <c r="K60" s="153" t="str">
        <f t="shared" si="9"/>
        <v/>
      </c>
      <c r="L60" s="153" t="str">
        <f t="shared" si="9"/>
        <v/>
      </c>
      <c r="M60" s="153" t="str">
        <f t="shared" si="9"/>
        <v/>
      </c>
      <c r="N60" s="153" t="str">
        <f t="shared" si="9"/>
        <v/>
      </c>
      <c r="O60" s="153" t="str">
        <f t="shared" si="9"/>
        <v/>
      </c>
      <c r="P60" s="153" t="str">
        <f t="shared" si="9"/>
        <v/>
      </c>
      <c r="Q60" s="153" t="str">
        <f t="shared" si="9"/>
        <v/>
      </c>
      <c r="R60" s="138">
        <f t="shared" ref="R60:S60" si="10">SUM(R57:R59)</f>
        <v>0</v>
      </c>
      <c r="S60" s="139">
        <f t="shared" si="10"/>
        <v>0</v>
      </c>
      <c r="AB60" s="59"/>
      <c r="AC60" s="59"/>
      <c r="AD60" s="59"/>
      <c r="AE60" s="59"/>
      <c r="AF60" s="59"/>
      <c r="AG60" s="59"/>
      <c r="AH60" s="59"/>
    </row>
    <row r="61" spans="1:34" ht="25.5" customHeight="1" thickBot="1" x14ac:dyDescent="0.3">
      <c r="A61" s="322" t="s">
        <v>147</v>
      </c>
      <c r="B61" s="323"/>
      <c r="C61" s="323"/>
      <c r="D61" s="188"/>
      <c r="E61" s="188"/>
      <c r="F61" s="188"/>
      <c r="G61" s="188"/>
      <c r="H61" s="188"/>
      <c r="I61" s="188"/>
      <c r="J61" s="188"/>
      <c r="K61" s="188"/>
      <c r="L61" s="188"/>
      <c r="M61" s="188"/>
      <c r="N61" s="188"/>
      <c r="O61" s="188"/>
      <c r="P61" s="188"/>
      <c r="Q61" s="188"/>
      <c r="R61" s="132">
        <f>P61+N61+L61+J61+H61+F61+D61</f>
        <v>0</v>
      </c>
      <c r="S61" s="133">
        <f>Q61+O61+M61+K61+I61+G61+E61</f>
        <v>0</v>
      </c>
      <c r="AB61" s="59"/>
      <c r="AC61" s="59"/>
      <c r="AD61" s="59"/>
      <c r="AE61" s="59"/>
      <c r="AF61" s="59"/>
      <c r="AG61" s="59"/>
      <c r="AH61" s="59"/>
    </row>
    <row r="62" spans="1:34" ht="18" customHeight="1" thickTop="1" thickBot="1" x14ac:dyDescent="0.3">
      <c r="A62" s="35" t="s">
        <v>1115</v>
      </c>
      <c r="T62" s="36"/>
      <c r="AB62" s="59"/>
      <c r="AC62" s="59"/>
      <c r="AD62" s="59"/>
      <c r="AE62" s="59"/>
      <c r="AF62" s="59"/>
      <c r="AG62" s="59"/>
      <c r="AH62" s="59"/>
    </row>
    <row r="63" spans="1:34" ht="15.75" customHeight="1" thickTop="1" x14ac:dyDescent="0.25">
      <c r="A63" s="295" t="s">
        <v>1454</v>
      </c>
      <c r="B63" s="296"/>
      <c r="C63" s="296"/>
      <c r="D63" s="296"/>
      <c r="E63" s="296"/>
      <c r="F63" s="296"/>
      <c r="G63" s="296"/>
      <c r="H63" s="297"/>
      <c r="K63" s="335" t="s">
        <v>1450</v>
      </c>
      <c r="L63" s="336"/>
      <c r="M63" s="336"/>
      <c r="N63" s="336"/>
      <c r="O63" s="336"/>
      <c r="P63" s="336"/>
      <c r="Q63" s="337"/>
      <c r="T63" s="36"/>
      <c r="AB63" s="59"/>
      <c r="AC63" s="59"/>
      <c r="AD63" s="59"/>
      <c r="AE63" s="59"/>
      <c r="AF63" s="59"/>
      <c r="AG63" s="59"/>
      <c r="AH63" s="59"/>
    </row>
    <row r="64" spans="1:34" ht="16.5" customHeight="1" x14ac:dyDescent="0.25">
      <c r="A64" s="357" t="s">
        <v>1453</v>
      </c>
      <c r="B64" s="358"/>
      <c r="C64" s="358"/>
      <c r="D64" s="358"/>
      <c r="E64" s="358"/>
      <c r="F64" s="358"/>
      <c r="G64" s="358"/>
      <c r="H64" s="359"/>
      <c r="K64" s="338"/>
      <c r="L64" s="339"/>
      <c r="M64" s="339"/>
      <c r="N64" s="339"/>
      <c r="O64" s="339"/>
      <c r="P64" s="339"/>
      <c r="Q64" s="340"/>
      <c r="T64" s="36"/>
      <c r="AB64" s="59"/>
      <c r="AC64" s="59"/>
      <c r="AD64" s="59"/>
      <c r="AE64" s="59"/>
      <c r="AF64" s="59"/>
      <c r="AG64" s="59"/>
      <c r="AH64" s="59"/>
    </row>
    <row r="65" spans="1:34" ht="28.5" customHeight="1" x14ac:dyDescent="0.25">
      <c r="A65" s="113">
        <v>1</v>
      </c>
      <c r="B65" s="114"/>
      <c r="C65" s="321" t="s">
        <v>119</v>
      </c>
      <c r="D65" s="321"/>
      <c r="E65" s="321" t="s">
        <v>120</v>
      </c>
      <c r="F65" s="321"/>
      <c r="G65" s="333" t="s">
        <v>15</v>
      </c>
      <c r="H65" s="334"/>
      <c r="K65" s="102"/>
      <c r="L65" s="103"/>
      <c r="M65" s="242" t="s">
        <v>1449</v>
      </c>
      <c r="N65" s="244"/>
      <c r="O65" s="242" t="s">
        <v>78</v>
      </c>
      <c r="P65" s="243"/>
      <c r="Q65" s="270"/>
      <c r="T65" s="36"/>
      <c r="AB65" s="59"/>
      <c r="AC65" s="59"/>
      <c r="AD65" s="59"/>
      <c r="AE65" s="59"/>
      <c r="AF65" s="59"/>
      <c r="AG65" s="59"/>
      <c r="AH65" s="59"/>
    </row>
    <row r="66" spans="1:34" x14ac:dyDescent="0.25">
      <c r="A66" s="115">
        <v>1</v>
      </c>
      <c r="B66" s="116"/>
      <c r="C66" s="97" t="s">
        <v>9</v>
      </c>
      <c r="D66" s="64" t="s">
        <v>10</v>
      </c>
      <c r="E66" s="119" t="s">
        <v>9</v>
      </c>
      <c r="F66" s="64" t="s">
        <v>10</v>
      </c>
      <c r="G66" s="117" t="s">
        <v>9</v>
      </c>
      <c r="H66" s="120" t="s">
        <v>10</v>
      </c>
      <c r="K66" s="271" t="s">
        <v>1184</v>
      </c>
      <c r="L66" s="250"/>
      <c r="M66" s="388"/>
      <c r="N66" s="389"/>
      <c r="O66" s="388"/>
      <c r="P66" s="390"/>
      <c r="Q66" s="391"/>
      <c r="T66" s="36"/>
      <c r="AB66" s="59"/>
      <c r="AC66" s="59"/>
      <c r="AD66" s="59"/>
      <c r="AE66" s="59"/>
      <c r="AF66" s="59"/>
      <c r="AG66" s="59"/>
      <c r="AH66" s="59"/>
    </row>
    <row r="67" spans="1:34" ht="15" customHeight="1" x14ac:dyDescent="0.25">
      <c r="A67" s="289" t="s">
        <v>1145</v>
      </c>
      <c r="B67" s="290"/>
      <c r="C67" s="185"/>
      <c r="D67" s="185"/>
      <c r="E67" s="185"/>
      <c r="F67" s="185"/>
      <c r="G67" s="130">
        <f>C67+E67</f>
        <v>0</v>
      </c>
      <c r="H67" s="135">
        <f>D67+F67</f>
        <v>0</v>
      </c>
      <c r="K67" s="271" t="s">
        <v>79</v>
      </c>
      <c r="L67" s="250"/>
      <c r="M67" s="388"/>
      <c r="N67" s="389"/>
      <c r="O67" s="388"/>
      <c r="P67" s="390"/>
      <c r="Q67" s="391"/>
      <c r="T67" s="36"/>
      <c r="AB67" s="59"/>
      <c r="AC67" s="59"/>
      <c r="AD67" s="59"/>
      <c r="AE67" s="59"/>
      <c r="AF67" s="59"/>
      <c r="AG67" s="59"/>
      <c r="AH67" s="59"/>
    </row>
    <row r="68" spans="1:34" ht="15" customHeight="1" x14ac:dyDescent="0.25">
      <c r="A68" s="289" t="s">
        <v>1146</v>
      </c>
      <c r="B68" s="290"/>
      <c r="C68" s="185"/>
      <c r="D68" s="185"/>
      <c r="E68" s="185"/>
      <c r="F68" s="185"/>
      <c r="G68" s="130">
        <f t="shared" ref="G68:H73" si="11">C68+E68</f>
        <v>0</v>
      </c>
      <c r="H68" s="135">
        <f t="shared" si="11"/>
        <v>0</v>
      </c>
      <c r="K68" s="271" t="s">
        <v>80</v>
      </c>
      <c r="L68" s="250"/>
      <c r="M68" s="388"/>
      <c r="N68" s="389"/>
      <c r="O68" s="388"/>
      <c r="P68" s="390"/>
      <c r="Q68" s="391"/>
      <c r="T68" s="36"/>
      <c r="AB68" s="59"/>
      <c r="AC68" s="59"/>
      <c r="AD68" s="59"/>
      <c r="AE68" s="59"/>
      <c r="AF68" s="59"/>
      <c r="AG68" s="59"/>
      <c r="AH68" s="59"/>
    </row>
    <row r="69" spans="1:34" ht="15" customHeight="1" x14ac:dyDescent="0.25">
      <c r="A69" s="289" t="s">
        <v>1147</v>
      </c>
      <c r="B69" s="290"/>
      <c r="C69" s="185"/>
      <c r="D69" s="185"/>
      <c r="E69" s="185"/>
      <c r="F69" s="185"/>
      <c r="G69" s="130">
        <f t="shared" si="11"/>
        <v>0</v>
      </c>
      <c r="H69" s="135">
        <f t="shared" si="11"/>
        <v>0</v>
      </c>
      <c r="K69" s="271" t="s">
        <v>14</v>
      </c>
      <c r="L69" s="250"/>
      <c r="M69" s="388"/>
      <c r="N69" s="389"/>
      <c r="O69" s="388"/>
      <c r="P69" s="390"/>
      <c r="Q69" s="391"/>
      <c r="T69" s="36"/>
      <c r="AB69" s="59"/>
      <c r="AC69" s="59"/>
      <c r="AD69" s="59"/>
      <c r="AE69" s="59"/>
      <c r="AF69" s="59"/>
      <c r="AG69" s="59"/>
      <c r="AH69" s="59"/>
    </row>
    <row r="70" spans="1:34" ht="15.75" customHeight="1" thickBot="1" x14ac:dyDescent="0.3">
      <c r="A70" s="289" t="s">
        <v>1148</v>
      </c>
      <c r="B70" s="290"/>
      <c r="C70" s="185"/>
      <c r="D70" s="185"/>
      <c r="E70" s="185"/>
      <c r="F70" s="185"/>
      <c r="G70" s="130">
        <f t="shared" si="11"/>
        <v>0</v>
      </c>
      <c r="H70" s="135">
        <f t="shared" si="11"/>
        <v>0</v>
      </c>
      <c r="K70" s="293" t="s">
        <v>15</v>
      </c>
      <c r="L70" s="294"/>
      <c r="M70" s="284">
        <f>SUM(M66:N69)</f>
        <v>0</v>
      </c>
      <c r="N70" s="285"/>
      <c r="O70" s="286"/>
      <c r="P70" s="287"/>
      <c r="Q70" s="288"/>
      <c r="T70" s="36"/>
      <c r="AB70" s="59"/>
      <c r="AC70" s="59"/>
      <c r="AD70" s="59"/>
      <c r="AE70" s="59"/>
      <c r="AF70" s="59"/>
      <c r="AG70" s="59"/>
      <c r="AH70" s="59"/>
    </row>
    <row r="71" spans="1:34" ht="15.75" thickTop="1" x14ac:dyDescent="0.25">
      <c r="A71" s="289" t="s">
        <v>1149</v>
      </c>
      <c r="B71" s="290"/>
      <c r="C71" s="185"/>
      <c r="D71" s="185"/>
      <c r="E71" s="185"/>
      <c r="F71" s="185"/>
      <c r="G71" s="130">
        <f t="shared" si="11"/>
        <v>0</v>
      </c>
      <c r="H71" s="135">
        <f t="shared" si="11"/>
        <v>0</v>
      </c>
      <c r="T71" s="36"/>
      <c r="AB71" s="59"/>
      <c r="AC71" s="59"/>
      <c r="AD71" s="59"/>
      <c r="AE71" s="59"/>
      <c r="AF71" s="59"/>
      <c r="AG71" s="59"/>
      <c r="AH71" s="59"/>
    </row>
    <row r="72" spans="1:34" x14ac:dyDescent="0.25">
      <c r="A72" s="289" t="s">
        <v>1150</v>
      </c>
      <c r="B72" s="290"/>
      <c r="C72" s="185"/>
      <c r="D72" s="185"/>
      <c r="E72" s="185"/>
      <c r="F72" s="185"/>
      <c r="G72" s="130">
        <f t="shared" si="11"/>
        <v>0</v>
      </c>
      <c r="H72" s="135">
        <f t="shared" si="11"/>
        <v>0</v>
      </c>
      <c r="T72" s="36"/>
      <c r="AB72" s="59"/>
      <c r="AC72" s="59"/>
      <c r="AD72" s="59"/>
      <c r="AE72" s="59"/>
      <c r="AF72" s="59"/>
      <c r="AG72" s="59"/>
      <c r="AH72" s="59"/>
    </row>
    <row r="73" spans="1:34" ht="15.75" thickBot="1" x14ac:dyDescent="0.3">
      <c r="A73" s="291" t="s">
        <v>15</v>
      </c>
      <c r="B73" s="292"/>
      <c r="C73" s="132">
        <f>SUM(C67:C72)</f>
        <v>0</v>
      </c>
      <c r="D73" s="132">
        <f t="shared" ref="D73:F73" si="12">SUM(D67:D72)</f>
        <v>0</v>
      </c>
      <c r="E73" s="132">
        <f t="shared" si="12"/>
        <v>0</v>
      </c>
      <c r="F73" s="132">
        <f t="shared" si="12"/>
        <v>0</v>
      </c>
      <c r="G73" s="132">
        <f t="shared" si="11"/>
        <v>0</v>
      </c>
      <c r="H73" s="136">
        <f t="shared" si="11"/>
        <v>0</v>
      </c>
      <c r="T73" s="36"/>
      <c r="AB73" s="59"/>
      <c r="AC73" s="59"/>
      <c r="AD73" s="59"/>
      <c r="AE73" s="59"/>
      <c r="AF73" s="59"/>
      <c r="AG73" s="59"/>
      <c r="AH73" s="59"/>
    </row>
    <row r="74" spans="1:34" ht="12.75" customHeight="1" thickTop="1" x14ac:dyDescent="0.25">
      <c r="A74" s="35">
        <v>1</v>
      </c>
      <c r="T74" s="36"/>
      <c r="AB74" s="59"/>
      <c r="AC74" s="59"/>
      <c r="AD74" s="59"/>
      <c r="AE74" s="59"/>
      <c r="AF74" s="59"/>
      <c r="AG74" s="59"/>
      <c r="AH74" s="59"/>
    </row>
    <row r="75" spans="1:34" ht="16.5" customHeight="1" thickBot="1" x14ac:dyDescent="0.3">
      <c r="A75" s="35">
        <v>1</v>
      </c>
      <c r="T75" s="36"/>
      <c r="AB75" s="59"/>
      <c r="AC75" s="59"/>
      <c r="AD75" s="59"/>
      <c r="AE75" s="59"/>
      <c r="AF75" s="59"/>
      <c r="AG75" s="59"/>
      <c r="AH75" s="59"/>
    </row>
    <row r="76" spans="1:34" ht="15.75" thickTop="1" x14ac:dyDescent="0.25">
      <c r="A76" s="295" t="s">
        <v>1197</v>
      </c>
      <c r="B76" s="296"/>
      <c r="C76" s="296"/>
      <c r="D76" s="296"/>
      <c r="E76" s="296"/>
      <c r="F76" s="296"/>
      <c r="G76" s="296"/>
      <c r="H76" s="296"/>
      <c r="I76" s="296"/>
      <c r="J76" s="296"/>
      <c r="K76" s="297"/>
    </row>
    <row r="77" spans="1:34" x14ac:dyDescent="0.25">
      <c r="A77" s="40">
        <v>1</v>
      </c>
      <c r="B77" s="41"/>
      <c r="C77" s="41"/>
      <c r="D77" s="41"/>
      <c r="E77" s="112"/>
      <c r="F77" s="276" t="s">
        <v>119</v>
      </c>
      <c r="G77" s="277"/>
      <c r="H77" s="276" t="s">
        <v>120</v>
      </c>
      <c r="I77" s="277"/>
      <c r="J77" s="280" t="s">
        <v>15</v>
      </c>
      <c r="K77" s="281"/>
    </row>
    <row r="78" spans="1:34" x14ac:dyDescent="0.25">
      <c r="A78" s="360" t="s">
        <v>82</v>
      </c>
      <c r="B78" s="361"/>
      <c r="C78" s="361"/>
      <c r="D78" s="361"/>
      <c r="E78" s="362"/>
      <c r="F78" s="278"/>
      <c r="G78" s="279"/>
      <c r="H78" s="278"/>
      <c r="I78" s="279"/>
      <c r="J78" s="282"/>
      <c r="K78" s="283"/>
    </row>
    <row r="79" spans="1:34" x14ac:dyDescent="0.25">
      <c r="A79" s="40">
        <v>1</v>
      </c>
      <c r="B79" s="41"/>
      <c r="C79" s="41"/>
      <c r="D79" s="41"/>
      <c r="E79" s="112"/>
      <c r="F79" s="119" t="s">
        <v>9</v>
      </c>
      <c r="G79" s="119" t="s">
        <v>10</v>
      </c>
      <c r="H79" s="97" t="s">
        <v>9</v>
      </c>
      <c r="I79" s="97" t="s">
        <v>10</v>
      </c>
      <c r="J79" s="117" t="s">
        <v>9</v>
      </c>
      <c r="K79" s="120" t="s">
        <v>10</v>
      </c>
    </row>
    <row r="80" spans="1:34" ht="15" customHeight="1" x14ac:dyDescent="0.25">
      <c r="A80" s="271" t="s">
        <v>63</v>
      </c>
      <c r="B80" s="249"/>
      <c r="C80" s="249"/>
      <c r="D80" s="249"/>
      <c r="E80" s="250"/>
      <c r="F80" s="185"/>
      <c r="G80" s="185"/>
      <c r="H80" s="185"/>
      <c r="I80" s="185"/>
      <c r="J80" s="130">
        <f>H80+F80</f>
        <v>0</v>
      </c>
      <c r="K80" s="131">
        <f>I80+G80</f>
        <v>0</v>
      </c>
    </row>
    <row r="81" spans="1:11" ht="15" customHeight="1" x14ac:dyDescent="0.25">
      <c r="A81" s="271" t="s">
        <v>1451</v>
      </c>
      <c r="B81" s="249"/>
      <c r="C81" s="249"/>
      <c r="D81" s="249"/>
      <c r="E81" s="250"/>
      <c r="F81" s="185"/>
      <c r="G81" s="185"/>
      <c r="H81" s="185"/>
      <c r="I81" s="185"/>
      <c r="J81" s="130">
        <f t="shared" ref="J81:K103" si="13">H81+F81</f>
        <v>0</v>
      </c>
      <c r="K81" s="131">
        <f t="shared" si="13"/>
        <v>0</v>
      </c>
    </row>
    <row r="82" spans="1:11" x14ac:dyDescent="0.25">
      <c r="A82" s="271" t="s">
        <v>81</v>
      </c>
      <c r="B82" s="249"/>
      <c r="C82" s="249"/>
      <c r="D82" s="249"/>
      <c r="E82" s="250"/>
      <c r="F82" s="185"/>
      <c r="G82" s="185"/>
      <c r="H82" s="185"/>
      <c r="I82" s="185"/>
      <c r="J82" s="130">
        <f t="shared" si="13"/>
        <v>0</v>
      </c>
      <c r="K82" s="131">
        <f t="shared" si="13"/>
        <v>0</v>
      </c>
    </row>
    <row r="83" spans="1:11" x14ac:dyDescent="0.25">
      <c r="A83" s="271" t="s">
        <v>85</v>
      </c>
      <c r="B83" s="249"/>
      <c r="C83" s="249"/>
      <c r="D83" s="249"/>
      <c r="E83" s="250"/>
      <c r="F83" s="185"/>
      <c r="G83" s="185"/>
      <c r="H83" s="185"/>
      <c r="I83" s="185"/>
      <c r="J83" s="130">
        <f t="shared" si="13"/>
        <v>0</v>
      </c>
      <c r="K83" s="131">
        <f t="shared" si="13"/>
        <v>0</v>
      </c>
    </row>
    <row r="84" spans="1:11" ht="15" customHeight="1" x14ac:dyDescent="0.25">
      <c r="A84" s="271" t="s">
        <v>86</v>
      </c>
      <c r="B84" s="249"/>
      <c r="C84" s="249"/>
      <c r="D84" s="249"/>
      <c r="E84" s="250"/>
      <c r="F84" s="185"/>
      <c r="G84" s="185"/>
      <c r="H84" s="185"/>
      <c r="I84" s="185"/>
      <c r="J84" s="130">
        <f t="shared" si="13"/>
        <v>0</v>
      </c>
      <c r="K84" s="131">
        <f t="shared" si="13"/>
        <v>0</v>
      </c>
    </row>
    <row r="85" spans="1:11" x14ac:dyDescent="0.25">
      <c r="A85" s="271" t="s">
        <v>87</v>
      </c>
      <c r="B85" s="249"/>
      <c r="C85" s="249"/>
      <c r="D85" s="249"/>
      <c r="E85" s="250"/>
      <c r="F85" s="185"/>
      <c r="G85" s="185"/>
      <c r="H85" s="185"/>
      <c r="I85" s="185"/>
      <c r="J85" s="130">
        <f t="shared" si="13"/>
        <v>0</v>
      </c>
      <c r="K85" s="131">
        <f t="shared" si="13"/>
        <v>0</v>
      </c>
    </row>
    <row r="86" spans="1:11" x14ac:dyDescent="0.25">
      <c r="A86" s="271" t="s">
        <v>1184</v>
      </c>
      <c r="B86" s="249"/>
      <c r="C86" s="249"/>
      <c r="D86" s="249"/>
      <c r="E86" s="250"/>
      <c r="F86" s="185"/>
      <c r="G86" s="185"/>
      <c r="H86" s="185"/>
      <c r="I86" s="185"/>
      <c r="J86" s="130">
        <f t="shared" si="13"/>
        <v>0</v>
      </c>
      <c r="K86" s="131">
        <f t="shared" si="13"/>
        <v>0</v>
      </c>
    </row>
    <row r="87" spans="1:11" x14ac:dyDescent="0.25">
      <c r="A87" s="271" t="s">
        <v>80</v>
      </c>
      <c r="B87" s="249"/>
      <c r="C87" s="249"/>
      <c r="D87" s="249"/>
      <c r="E87" s="250"/>
      <c r="F87" s="185"/>
      <c r="G87" s="185"/>
      <c r="H87" s="185"/>
      <c r="I87" s="185"/>
      <c r="J87" s="130">
        <f t="shared" si="13"/>
        <v>0</v>
      </c>
      <c r="K87" s="131">
        <f t="shared" si="13"/>
        <v>0</v>
      </c>
    </row>
    <row r="88" spans="1:11" x14ac:dyDescent="0.25">
      <c r="A88" s="271" t="s">
        <v>79</v>
      </c>
      <c r="B88" s="249"/>
      <c r="C88" s="249"/>
      <c r="D88" s="249"/>
      <c r="E88" s="250"/>
      <c r="F88" s="185"/>
      <c r="G88" s="185"/>
      <c r="H88" s="185"/>
      <c r="I88" s="185"/>
      <c r="J88" s="130">
        <f t="shared" si="13"/>
        <v>0</v>
      </c>
      <c r="K88" s="131">
        <f t="shared" si="13"/>
        <v>0</v>
      </c>
    </row>
    <row r="89" spans="1:11" x14ac:dyDescent="0.25">
      <c r="A89" s="271" t="s">
        <v>1185</v>
      </c>
      <c r="B89" s="249"/>
      <c r="C89" s="249"/>
      <c r="D89" s="249"/>
      <c r="E89" s="250"/>
      <c r="F89" s="185"/>
      <c r="G89" s="185"/>
      <c r="H89" s="185"/>
      <c r="I89" s="185"/>
      <c r="J89" s="130">
        <f t="shared" si="13"/>
        <v>0</v>
      </c>
      <c r="K89" s="131">
        <f t="shared" si="13"/>
        <v>0</v>
      </c>
    </row>
    <row r="90" spans="1:11" ht="15" customHeight="1" x14ac:dyDescent="0.25">
      <c r="A90" s="271" t="s">
        <v>1186</v>
      </c>
      <c r="B90" s="249"/>
      <c r="C90" s="249"/>
      <c r="D90" s="249"/>
      <c r="E90" s="250"/>
      <c r="F90" s="185"/>
      <c r="G90" s="185"/>
      <c r="H90" s="185"/>
      <c r="I90" s="185"/>
      <c r="J90" s="130">
        <f t="shared" si="13"/>
        <v>0</v>
      </c>
      <c r="K90" s="131">
        <f t="shared" si="13"/>
        <v>0</v>
      </c>
    </row>
    <row r="91" spans="1:11" x14ac:dyDescent="0.25">
      <c r="A91" s="271" t="s">
        <v>1187</v>
      </c>
      <c r="B91" s="249"/>
      <c r="C91" s="249"/>
      <c r="D91" s="249"/>
      <c r="E91" s="250"/>
      <c r="F91" s="185"/>
      <c r="G91" s="185"/>
      <c r="H91" s="185"/>
      <c r="I91" s="185"/>
      <c r="J91" s="130">
        <f t="shared" si="13"/>
        <v>0</v>
      </c>
      <c r="K91" s="131">
        <f t="shared" si="13"/>
        <v>0</v>
      </c>
    </row>
    <row r="92" spans="1:11" x14ac:dyDescent="0.25">
      <c r="A92" s="271" t="s">
        <v>1188</v>
      </c>
      <c r="B92" s="249"/>
      <c r="C92" s="249"/>
      <c r="D92" s="249"/>
      <c r="E92" s="250"/>
      <c r="F92" s="185"/>
      <c r="G92" s="185"/>
      <c r="H92" s="185"/>
      <c r="I92" s="185"/>
      <c r="J92" s="130">
        <f t="shared" si="13"/>
        <v>0</v>
      </c>
      <c r="K92" s="131">
        <f t="shared" si="13"/>
        <v>0</v>
      </c>
    </row>
    <row r="93" spans="1:11" ht="15" customHeight="1" x14ac:dyDescent="0.25">
      <c r="A93" s="271" t="s">
        <v>88</v>
      </c>
      <c r="B93" s="249"/>
      <c r="C93" s="249"/>
      <c r="D93" s="249"/>
      <c r="E93" s="250"/>
      <c r="F93" s="185"/>
      <c r="G93" s="185"/>
      <c r="H93" s="185"/>
      <c r="I93" s="185"/>
      <c r="J93" s="130">
        <f t="shared" si="13"/>
        <v>0</v>
      </c>
      <c r="K93" s="131">
        <f t="shared" si="13"/>
        <v>0</v>
      </c>
    </row>
    <row r="94" spans="1:11" ht="15" customHeight="1" x14ac:dyDescent="0.25">
      <c r="A94" s="271" t="s">
        <v>89</v>
      </c>
      <c r="B94" s="249"/>
      <c r="C94" s="249"/>
      <c r="D94" s="249"/>
      <c r="E94" s="250"/>
      <c r="F94" s="185"/>
      <c r="G94" s="185"/>
      <c r="H94" s="185"/>
      <c r="I94" s="185"/>
      <c r="J94" s="130">
        <f t="shared" si="13"/>
        <v>0</v>
      </c>
      <c r="K94" s="131">
        <f t="shared" si="13"/>
        <v>0</v>
      </c>
    </row>
    <row r="95" spans="1:11" x14ac:dyDescent="0.25">
      <c r="A95" s="271" t="s">
        <v>90</v>
      </c>
      <c r="B95" s="249"/>
      <c r="C95" s="249"/>
      <c r="D95" s="249"/>
      <c r="E95" s="250"/>
      <c r="F95" s="185"/>
      <c r="G95" s="185"/>
      <c r="H95" s="185"/>
      <c r="I95" s="185"/>
      <c r="J95" s="130">
        <f t="shared" si="13"/>
        <v>0</v>
      </c>
      <c r="K95" s="131">
        <f t="shared" si="13"/>
        <v>0</v>
      </c>
    </row>
    <row r="96" spans="1:11" x14ac:dyDescent="0.25">
      <c r="A96" s="271" t="s">
        <v>91</v>
      </c>
      <c r="B96" s="249"/>
      <c r="C96" s="249"/>
      <c r="D96" s="249"/>
      <c r="E96" s="250"/>
      <c r="F96" s="185"/>
      <c r="G96" s="185"/>
      <c r="H96" s="185"/>
      <c r="I96" s="185"/>
      <c r="J96" s="130">
        <f t="shared" si="13"/>
        <v>0</v>
      </c>
      <c r="K96" s="131">
        <f t="shared" si="13"/>
        <v>0</v>
      </c>
    </row>
    <row r="97" spans="1:26" ht="15" customHeight="1" x14ac:dyDescent="0.25">
      <c r="A97" s="271" t="s">
        <v>92</v>
      </c>
      <c r="B97" s="249"/>
      <c r="C97" s="249"/>
      <c r="D97" s="249"/>
      <c r="E97" s="250"/>
      <c r="F97" s="185"/>
      <c r="G97" s="185"/>
      <c r="H97" s="185"/>
      <c r="I97" s="185"/>
      <c r="J97" s="130">
        <f t="shared" si="13"/>
        <v>0</v>
      </c>
      <c r="K97" s="131">
        <f t="shared" si="13"/>
        <v>0</v>
      </c>
    </row>
    <row r="98" spans="1:26" ht="15" customHeight="1" x14ac:dyDescent="0.25">
      <c r="A98" s="271" t="s">
        <v>1189</v>
      </c>
      <c r="B98" s="249"/>
      <c r="C98" s="249"/>
      <c r="D98" s="249"/>
      <c r="E98" s="250"/>
      <c r="F98" s="185"/>
      <c r="G98" s="185"/>
      <c r="H98" s="185"/>
      <c r="I98" s="185"/>
      <c r="J98" s="130">
        <f t="shared" si="13"/>
        <v>0</v>
      </c>
      <c r="K98" s="131">
        <f t="shared" si="13"/>
        <v>0</v>
      </c>
    </row>
    <row r="99" spans="1:26" x14ac:dyDescent="0.25">
      <c r="A99" s="271" t="s">
        <v>1191</v>
      </c>
      <c r="B99" s="249"/>
      <c r="C99" s="249"/>
      <c r="D99" s="249"/>
      <c r="E99" s="250"/>
      <c r="F99" s="185"/>
      <c r="G99" s="185"/>
      <c r="H99" s="185"/>
      <c r="I99" s="185"/>
      <c r="J99" s="130">
        <f t="shared" si="13"/>
        <v>0</v>
      </c>
      <c r="K99" s="131">
        <f t="shared" si="13"/>
        <v>0</v>
      </c>
    </row>
    <row r="100" spans="1:26" x14ac:dyDescent="0.25">
      <c r="A100" s="271" t="s">
        <v>1192</v>
      </c>
      <c r="B100" s="249"/>
      <c r="C100" s="249"/>
      <c r="D100" s="249"/>
      <c r="E100" s="250"/>
      <c r="F100" s="185"/>
      <c r="G100" s="185"/>
      <c r="H100" s="185"/>
      <c r="I100" s="185"/>
      <c r="J100" s="130">
        <f t="shared" si="13"/>
        <v>0</v>
      </c>
      <c r="K100" s="131">
        <f t="shared" si="13"/>
        <v>0</v>
      </c>
    </row>
    <row r="101" spans="1:26" ht="15" customHeight="1" x14ac:dyDescent="0.25">
      <c r="A101" s="271" t="s">
        <v>1193</v>
      </c>
      <c r="B101" s="249"/>
      <c r="C101" s="249"/>
      <c r="D101" s="249"/>
      <c r="E101" s="250"/>
      <c r="F101" s="185"/>
      <c r="G101" s="185"/>
      <c r="H101" s="185"/>
      <c r="I101" s="185"/>
      <c r="J101" s="130">
        <f t="shared" si="13"/>
        <v>0</v>
      </c>
      <c r="K101" s="131">
        <f t="shared" si="13"/>
        <v>0</v>
      </c>
    </row>
    <row r="102" spans="1:26" ht="15" customHeight="1" x14ac:dyDescent="0.25">
      <c r="A102" s="271" t="s">
        <v>1194</v>
      </c>
      <c r="B102" s="249"/>
      <c r="C102" s="249"/>
      <c r="D102" s="249"/>
      <c r="E102" s="250"/>
      <c r="F102" s="185"/>
      <c r="G102" s="185"/>
      <c r="H102" s="185"/>
      <c r="I102" s="185"/>
      <c r="J102" s="130">
        <f t="shared" si="13"/>
        <v>0</v>
      </c>
      <c r="K102" s="131">
        <f t="shared" si="13"/>
        <v>0</v>
      </c>
      <c r="M102" s="306" t="s">
        <v>1462</v>
      </c>
      <c r="N102" s="307"/>
      <c r="O102" s="307"/>
      <c r="P102" s="307"/>
      <c r="Q102" s="307"/>
      <c r="R102" s="307"/>
      <c r="S102" s="307"/>
      <c r="T102" s="307"/>
      <c r="U102" s="307"/>
      <c r="V102" s="308"/>
    </row>
    <row r="103" spans="1:26" ht="15" customHeight="1" x14ac:dyDescent="0.25">
      <c r="A103" s="271" t="s">
        <v>1195</v>
      </c>
      <c r="B103" s="249"/>
      <c r="C103" s="249"/>
      <c r="D103" s="249"/>
      <c r="E103" s="250"/>
      <c r="F103" s="185"/>
      <c r="G103" s="185"/>
      <c r="H103" s="185"/>
      <c r="I103" s="185"/>
      <c r="J103" s="130">
        <f t="shared" si="13"/>
        <v>0</v>
      </c>
      <c r="K103" s="131">
        <f t="shared" si="13"/>
        <v>0</v>
      </c>
      <c r="M103" s="303" t="s">
        <v>1469</v>
      </c>
      <c r="N103" s="304"/>
      <c r="O103" s="304"/>
      <c r="P103" s="304"/>
      <c r="Q103" s="304"/>
      <c r="R103" s="304"/>
      <c r="S103" s="304"/>
      <c r="T103" s="304"/>
      <c r="U103" s="304"/>
      <c r="V103" s="305"/>
    </row>
    <row r="104" spans="1:26" ht="15.75" thickBot="1" x14ac:dyDescent="0.3">
      <c r="A104" s="293" t="s">
        <v>15</v>
      </c>
      <c r="B104" s="299"/>
      <c r="C104" s="299"/>
      <c r="D104" s="299"/>
      <c r="E104" s="294"/>
      <c r="F104" s="137">
        <f>SUM(F80:F103)</f>
        <v>0</v>
      </c>
      <c r="G104" s="137">
        <f t="shared" ref="G104:J104" si="14">SUM(G80:G103)</f>
        <v>0</v>
      </c>
      <c r="H104" s="137">
        <f t="shared" si="14"/>
        <v>0</v>
      </c>
      <c r="I104" s="137">
        <f t="shared" si="14"/>
        <v>0</v>
      </c>
      <c r="J104" s="137">
        <f t="shared" si="14"/>
        <v>0</v>
      </c>
      <c r="K104" s="133">
        <f>SUM(K80:K103)</f>
        <v>0</v>
      </c>
      <c r="M104" s="300" t="s">
        <v>1469</v>
      </c>
      <c r="N104" s="301"/>
      <c r="O104" s="301"/>
      <c r="P104" s="301"/>
      <c r="Q104" s="301"/>
      <c r="R104" s="301"/>
      <c r="S104" s="301"/>
      <c r="T104" s="301"/>
      <c r="U104" s="301"/>
      <c r="V104" s="302"/>
    </row>
    <row r="105" spans="1:26" ht="11.25" customHeight="1" thickTop="1" x14ac:dyDescent="0.25">
      <c r="A105" s="35" t="s">
        <v>1115</v>
      </c>
    </row>
    <row r="108" spans="1:26" ht="15.75" customHeight="1" x14ac:dyDescent="0.25">
      <c r="A108" s="298" t="s">
        <v>1468</v>
      </c>
      <c r="B108" s="298"/>
      <c r="C108" s="298"/>
      <c r="D108" s="298"/>
      <c r="E108" s="298"/>
      <c r="F108" s="298"/>
      <c r="G108" s="298"/>
      <c r="H108" s="298"/>
      <c r="I108" s="298"/>
      <c r="J108" s="298"/>
      <c r="K108" s="298"/>
      <c r="L108" s="298"/>
      <c r="M108" s="298"/>
      <c r="N108" s="298"/>
      <c r="O108" s="298"/>
      <c r="P108" s="298"/>
      <c r="Q108" s="298"/>
      <c r="R108" s="298"/>
      <c r="S108" s="298"/>
      <c r="T108" s="298"/>
      <c r="U108" s="151"/>
      <c r="V108" s="44"/>
      <c r="W108" s="44"/>
      <c r="X108" s="44"/>
      <c r="Y108" s="44"/>
      <c r="Z108" s="34"/>
    </row>
    <row r="109" spans="1:26" ht="15" customHeight="1" x14ac:dyDescent="0.25">
      <c r="A109" s="298"/>
      <c r="B109" s="298"/>
      <c r="C109" s="298"/>
      <c r="D109" s="298"/>
      <c r="E109" s="298"/>
      <c r="F109" s="298"/>
      <c r="G109" s="298"/>
      <c r="H109" s="298"/>
      <c r="I109" s="298"/>
      <c r="J109" s="298"/>
      <c r="K109" s="298"/>
      <c r="L109" s="298"/>
      <c r="M109" s="298"/>
      <c r="N109" s="298"/>
      <c r="O109" s="298"/>
      <c r="P109" s="298"/>
      <c r="Q109" s="298"/>
      <c r="R109" s="298"/>
      <c r="S109" s="298"/>
      <c r="T109" s="298"/>
      <c r="U109" s="151"/>
      <c r="V109" s="44"/>
      <c r="W109" s="44"/>
      <c r="X109" s="44"/>
      <c r="Y109" s="44"/>
    </row>
    <row r="110" spans="1:26" ht="15" customHeight="1" x14ac:dyDescent="0.25">
      <c r="A110" s="298"/>
      <c r="B110" s="298"/>
      <c r="C110" s="298"/>
      <c r="D110" s="298"/>
      <c r="E110" s="298"/>
      <c r="F110" s="298"/>
      <c r="G110" s="298"/>
      <c r="H110" s="298"/>
      <c r="I110" s="298"/>
      <c r="J110" s="298"/>
      <c r="K110" s="298"/>
      <c r="L110" s="298"/>
      <c r="M110" s="298"/>
      <c r="N110" s="298"/>
      <c r="O110" s="298"/>
      <c r="P110" s="298"/>
      <c r="Q110" s="298"/>
      <c r="R110" s="298"/>
      <c r="S110" s="298"/>
      <c r="T110" s="298"/>
      <c r="U110" s="151"/>
      <c r="V110" s="123"/>
      <c r="W110" s="123"/>
      <c r="X110" s="123"/>
      <c r="Y110" s="123"/>
    </row>
    <row r="111" spans="1:26" ht="20.45" customHeight="1" x14ac:dyDescent="0.25">
      <c r="A111" s="298"/>
      <c r="B111" s="298"/>
      <c r="C111" s="298"/>
      <c r="D111" s="298"/>
      <c r="E111" s="298"/>
      <c r="F111" s="298"/>
      <c r="G111" s="298"/>
      <c r="H111" s="298"/>
      <c r="I111" s="298"/>
      <c r="J111" s="298"/>
      <c r="K111" s="298"/>
      <c r="L111" s="298"/>
      <c r="M111" s="298"/>
      <c r="N111" s="298"/>
      <c r="O111" s="298"/>
      <c r="P111" s="298"/>
      <c r="Q111" s="298"/>
      <c r="R111" s="298"/>
      <c r="S111" s="298"/>
      <c r="T111" s="298"/>
      <c r="U111" s="151"/>
      <c r="V111" s="44"/>
      <c r="W111" s="44"/>
      <c r="X111" s="44"/>
      <c r="Y111" s="44"/>
    </row>
    <row r="112" spans="1:26" x14ac:dyDescent="0.25">
      <c r="V112" s="44"/>
      <c r="W112" s="44"/>
      <c r="X112" s="44"/>
      <c r="Y112" s="44"/>
    </row>
  </sheetData>
  <sheetProtection algorithmName="SHA-512" hashValue="Qb4Wpi4W9tiTgm8p5YLJ3GxzwOwVt+c2JT8BgosaG1NTY2Kljq9jjafhjX7zF8VIsnA8NZJ3jnR3Uo1Sxp885w==" saltValue="5WvwCl1i5qIZM/WkQmP23A==" spinCount="100000" sheet="1" objects="1" scenarios="1" selectLockedCells="1"/>
  <mergeCells count="171">
    <mergeCell ref="A2:H2"/>
    <mergeCell ref="P2:S2"/>
    <mergeCell ref="C4:F4"/>
    <mergeCell ref="H4:I4"/>
    <mergeCell ref="J4:N4"/>
    <mergeCell ref="P4:Z4"/>
    <mergeCell ref="A7:S7"/>
    <mergeCell ref="B8:Q8"/>
    <mergeCell ref="R8:S9"/>
    <mergeCell ref="B9:C9"/>
    <mergeCell ref="D9:E9"/>
    <mergeCell ref="F9:G9"/>
    <mergeCell ref="H9:I9"/>
    <mergeCell ref="J9:K9"/>
    <mergeCell ref="L9:M9"/>
    <mergeCell ref="N9:O9"/>
    <mergeCell ref="A21:E21"/>
    <mergeCell ref="F21:G21"/>
    <mergeCell ref="H21:I21"/>
    <mergeCell ref="A22:E22"/>
    <mergeCell ref="F22:G22"/>
    <mergeCell ref="H22:I22"/>
    <mergeCell ref="P9:Q9"/>
    <mergeCell ref="A18:I18"/>
    <mergeCell ref="A19:E19"/>
    <mergeCell ref="F19:G19"/>
    <mergeCell ref="H19:I19"/>
    <mergeCell ref="A20:E20"/>
    <mergeCell ref="F20:G20"/>
    <mergeCell ref="H20:I20"/>
    <mergeCell ref="A24:Q24"/>
    <mergeCell ref="B25:O25"/>
    <mergeCell ref="P25:Q26"/>
    <mergeCell ref="B26:C26"/>
    <mergeCell ref="D26:E26"/>
    <mergeCell ref="F26:G26"/>
    <mergeCell ref="H26:I26"/>
    <mergeCell ref="J26:K26"/>
    <mergeCell ref="L26:M26"/>
    <mergeCell ref="N26:O26"/>
    <mergeCell ref="A34:O34"/>
    <mergeCell ref="B35:E35"/>
    <mergeCell ref="F35:I35"/>
    <mergeCell ref="J35:M35"/>
    <mergeCell ref="N35:O36"/>
    <mergeCell ref="B36:C36"/>
    <mergeCell ref="D36:E36"/>
    <mergeCell ref="F36:G36"/>
    <mergeCell ref="H36:I36"/>
    <mergeCell ref="J36:K36"/>
    <mergeCell ref="N37:O37"/>
    <mergeCell ref="B38:C38"/>
    <mergeCell ref="D38:E38"/>
    <mergeCell ref="F38:G38"/>
    <mergeCell ref="H38:I38"/>
    <mergeCell ref="J38:K38"/>
    <mergeCell ref="L38:M38"/>
    <mergeCell ref="N38:O38"/>
    <mergeCell ref="L36:M36"/>
    <mergeCell ref="B37:C37"/>
    <mergeCell ref="D37:E37"/>
    <mergeCell ref="F37:G37"/>
    <mergeCell ref="H37:I37"/>
    <mergeCell ref="J37:K37"/>
    <mergeCell ref="L37:M37"/>
    <mergeCell ref="N39:O39"/>
    <mergeCell ref="B40:C40"/>
    <mergeCell ref="D40:E40"/>
    <mergeCell ref="F40:G40"/>
    <mergeCell ref="H40:I40"/>
    <mergeCell ref="J40:K40"/>
    <mergeCell ref="L40:M40"/>
    <mergeCell ref="N40:O40"/>
    <mergeCell ref="B39:C39"/>
    <mergeCell ref="D39:E39"/>
    <mergeCell ref="F39:G39"/>
    <mergeCell ref="H39:I39"/>
    <mergeCell ref="J39:K39"/>
    <mergeCell ref="L39:M39"/>
    <mergeCell ref="N41:O41"/>
    <mergeCell ref="A43:K43"/>
    <mergeCell ref="B44:C44"/>
    <mergeCell ref="D44:E44"/>
    <mergeCell ref="F44:G44"/>
    <mergeCell ref="H44:I44"/>
    <mergeCell ref="J44:K44"/>
    <mergeCell ref="B41:C41"/>
    <mergeCell ref="D41:E41"/>
    <mergeCell ref="F41:G41"/>
    <mergeCell ref="H41:I41"/>
    <mergeCell ref="J41:K41"/>
    <mergeCell ref="L41:M41"/>
    <mergeCell ref="A57:C57"/>
    <mergeCell ref="A58:C58"/>
    <mergeCell ref="A59:C59"/>
    <mergeCell ref="A60:C60"/>
    <mergeCell ref="A61:C61"/>
    <mergeCell ref="A63:H63"/>
    <mergeCell ref="A52:S52"/>
    <mergeCell ref="D53:S53"/>
    <mergeCell ref="D54:E55"/>
    <mergeCell ref="F54:G55"/>
    <mergeCell ref="H54:I55"/>
    <mergeCell ref="J54:K55"/>
    <mergeCell ref="L54:M55"/>
    <mergeCell ref="N54:O55"/>
    <mergeCell ref="P54:Q55"/>
    <mergeCell ref="R54:S55"/>
    <mergeCell ref="K66:L66"/>
    <mergeCell ref="M66:N66"/>
    <mergeCell ref="O66:Q66"/>
    <mergeCell ref="A67:B67"/>
    <mergeCell ref="K67:L67"/>
    <mergeCell ref="M67:N67"/>
    <mergeCell ref="O67:Q67"/>
    <mergeCell ref="K63:Q64"/>
    <mergeCell ref="A64:H64"/>
    <mergeCell ref="C65:D65"/>
    <mergeCell ref="E65:F65"/>
    <mergeCell ref="G65:H65"/>
    <mergeCell ref="M65:N65"/>
    <mergeCell ref="O65:Q65"/>
    <mergeCell ref="A70:B70"/>
    <mergeCell ref="K70:L70"/>
    <mergeCell ref="M70:N70"/>
    <mergeCell ref="O70:Q70"/>
    <mergeCell ref="A71:B71"/>
    <mergeCell ref="A72:B72"/>
    <mergeCell ref="A68:B68"/>
    <mergeCell ref="K68:L68"/>
    <mergeCell ref="M68:N68"/>
    <mergeCell ref="O68:Q68"/>
    <mergeCell ref="A69:B69"/>
    <mergeCell ref="K69:L69"/>
    <mergeCell ref="M69:N69"/>
    <mergeCell ref="O69:Q69"/>
    <mergeCell ref="A80:E80"/>
    <mergeCell ref="A81:E81"/>
    <mergeCell ref="A82:E82"/>
    <mergeCell ref="A83:E83"/>
    <mergeCell ref="A84:E84"/>
    <mergeCell ref="A85:E85"/>
    <mergeCell ref="A73:B73"/>
    <mergeCell ref="A76:K76"/>
    <mergeCell ref="F77:G78"/>
    <mergeCell ref="H77:I78"/>
    <mergeCell ref="J77:K78"/>
    <mergeCell ref="A78:E78"/>
    <mergeCell ref="A92:E92"/>
    <mergeCell ref="A93:E93"/>
    <mergeCell ref="A94:E94"/>
    <mergeCell ref="A95:E95"/>
    <mergeCell ref="A96:E96"/>
    <mergeCell ref="A97:E97"/>
    <mergeCell ref="A86:E86"/>
    <mergeCell ref="A87:E87"/>
    <mergeCell ref="A88:E88"/>
    <mergeCell ref="A89:E89"/>
    <mergeCell ref="A90:E90"/>
    <mergeCell ref="A91:E91"/>
    <mergeCell ref="A103:E103"/>
    <mergeCell ref="M103:V103"/>
    <mergeCell ref="A104:E104"/>
    <mergeCell ref="M104:V104"/>
    <mergeCell ref="A108:T111"/>
    <mergeCell ref="A98:E98"/>
    <mergeCell ref="A99:E99"/>
    <mergeCell ref="A100:E100"/>
    <mergeCell ref="A101:E101"/>
    <mergeCell ref="A102:E102"/>
    <mergeCell ref="M102:V102"/>
  </mergeCells>
  <dataValidations count="79">
    <dataValidation type="custom" showInputMessage="1" showErrorMessage="1" errorTitle="Erro" error="Tem que introduzir um valor númerico inteiro igual ou superior ao valor de &quot;F&quot;" sqref="D57:D59 F57:F59 H57:H59 J57:J59 L57:L59 N57:N59 P57:P59 D61 F61 H61 J61 L61 N61 P61 C67:C72 E67:E72 F80:F103 H80:H103" xr:uid="{1C851A78-8128-4FC1-8323-6BF42E06539B}">
      <formula1>AND(C57&gt;=0,C57&gt;=D57,MOD(C57,1)=0)</formula1>
    </dataValidation>
    <dataValidation type="custom" showInputMessage="1" showErrorMessage="1" errorTitle="Erro" error="O número de alunos com deficiências F na 13ª classe não deve ser superior ao de matriculados F na 13ª classe" sqref="C49 E49 G49 I49" xr:uid="{E6122C0E-E68A-4AA5-8F91-8F2CAA5ED33C}">
      <formula1>AND(C49&gt;=0,C49&lt;=B49,MOD(C49,1)=0,$S14&gt;=C49)</formula1>
    </dataValidation>
    <dataValidation type="custom" showInputMessage="1" showErrorMessage="1" errorTitle="Erro" error="O número de Alunos com deficiências MF na 13ª classe não pode ser superior ao número de matriculados MF na 13ª classe" sqref="B49 D49 F49 H49" xr:uid="{03192886-DD6F-4910-BB67-A7BC8DE05781}">
      <formula1>AND(B49&gt;=0,B49&gt;=C49,MOD(B49,1)=0,$R14&gt;=B49)</formula1>
    </dataValidation>
    <dataValidation type="custom" showInputMessage="1" showErrorMessage="1" errorTitle="Erro" error="O número de alunos com deficiências F na 12ª classe não deve ser superior ao de matriculados F na 12ª classe" sqref="C48 E48 G48 I48" xr:uid="{BC95AA2E-E5BE-4F35-96E9-8E60F1FFE16C}">
      <formula1>AND(C48&gt;=0,C48&lt;=B48,MOD(C48,1)=0,$S13&gt;=C48)</formula1>
    </dataValidation>
    <dataValidation type="custom" showInputMessage="1" showErrorMessage="1" errorTitle="Erro" error="O número de Alunos com deficiências MF na 12ª classe não pode ser superior ao número de matriculados MF na 12ª classe" sqref="B48 D48 F48 H48" xr:uid="{85AC0545-FEFF-4F98-9E86-231680607AAD}">
      <formula1>AND(B48&gt;=0,B48&gt;=C48,MOD(B48,1)=0,$R13&gt;=B48)</formula1>
    </dataValidation>
    <dataValidation type="custom" showInputMessage="1" showErrorMessage="1" errorTitle="Erro" error="O número de alunos com deficiências F na 11ª classe não deve ser superior ao de matriculados F na 11ª classe" sqref="C47 E47 G47 I47" xr:uid="{073657D3-B56B-4609-A877-17B3C935660A}">
      <formula1>AND(C47&gt;=0,C47&lt;=B47,MOD(C47,1)=0,$S12&gt;=C47)</formula1>
    </dataValidation>
    <dataValidation type="custom" showInputMessage="1" showErrorMessage="1" errorTitle="Erro" error="O número de Alunos com deficiências MF na 11ª classe não pode ser superior ao número de matriculados MF na 11ª classe" sqref="B47 D47 F47 H47" xr:uid="{6E226DE4-7000-41D7-A96D-CD0333677D90}">
      <formula1>AND(B47&gt;=0,B47&gt;=C47,MOD(B47,1)=0,$R12&gt;=B47)</formula1>
    </dataValidation>
    <dataValidation type="custom" showInputMessage="1" showErrorMessage="1" errorTitle="Erro" error="O número de alunos com deficiências F na 10ª classe não deve ser superior ao de matriculados F na 10ª classe" sqref="C46 E46 G46 I46" xr:uid="{7ED69CA9-26C4-4CBF-BC2E-354E29A474B2}">
      <formula1>AND(C46&gt;=0,C46&lt;=B46,MOD(C46,1)=0,$S11&gt;=C46)</formula1>
    </dataValidation>
    <dataValidation type="custom" showInputMessage="1" showErrorMessage="1" errorTitle="Erro" error="O número de Alunos com deficiências MF na 10ª classe não pode ser superior ao número de matriculados MF na 10ª classe" sqref="B46 D46 F46 H46" xr:uid="{441F796C-3D4A-44A3-A8C0-B05B72371CC2}">
      <formula1>AND(B46&gt;=0,B46&gt;=C46,MOD(B46,1)=0,$R11&gt;=B46)</formula1>
    </dataValidation>
    <dataValidation type="custom" showInputMessage="1" showErrorMessage="1" errorTitle="Erro" error="Tem que introduzir um valor numérico inteiro" sqref="B37:C40 F37:G40 J37:K40" xr:uid="{9AEED561-9E5B-4033-963B-EF3003E74ED7}">
      <formula1>AND(B37&gt;=0,MOD(B37,1)=0)</formula1>
    </dataValidation>
    <dataValidation type="custom" showInputMessage="1" showErrorMessage="1" errorTitle="Erro" error="O número de alunos repetentes F com 19 anos na 13ª classe não deve ser superior ao de matriculados F com 19 anos na 13ª classe" sqref="K31" xr:uid="{EED7EFAD-C2DC-47D8-A379-6DF70C05FBBD}">
      <formula1>AND(K31&gt;=0,M14&gt;=K31,MOD(K31,1)=0,K31&lt;=J31)</formula1>
    </dataValidation>
    <dataValidation type="custom" showInputMessage="1" showErrorMessage="1" errorTitle="Erro" error="O número de alunos repetentes MF com 16 anos na 10ª classe não deve ser superior ao de matriculados MF com 16 anos na 10ª classe" sqref="D28" xr:uid="{89E164E4-A87D-4D0D-B8B0-EA77AB8F2BB6}">
      <formula1>AND(D28&gt;=0,F11&gt;=D28,MOD(D28,1)=0,D28&gt;=E28)</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8" xr:uid="{9F1AEA12-7BF8-4EF2-8E0F-DB41ADBC5440}">
      <formula1>AND(C28&gt;=0,E11&gt;=C28,MOD(C28,1)=0,C28&lt;=B28)</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8" xr:uid="{E6861F89-671A-4201-9736-FEC1E438B33C}">
      <formula1>AND(B28&gt;=0,D11&gt;=B28,MOD(B28,1)=0,B28&gt;=C28)</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8" xr:uid="{AC4EE845-8C6D-4371-8634-27AC0FCBCCA6}">
      <formula1>AND(F28&gt;=0,H11&gt;=F28,MOD(F28,1)=0,F28&gt;=G28)</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8" xr:uid="{561BBED1-494D-41D0-A285-4B7E77729729}">
      <formula1>AND(G28&gt;=0,I11&gt;=G28,MOD(G28,1)=0,G28&lt;=F28)</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8" xr:uid="{961395C1-C095-4A7C-8347-9396D91EE496}">
      <formula1>AND(H28&gt;=0,J11&gt;=H28,MOD(H28,1)=0,H28&gt;=I28)</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8" xr:uid="{4E7629B8-F006-48B8-8149-57B9D4C56374}">
      <formula1>AND(I28&gt;=0,K11&gt;=I28,MOD(I28,1)=0,I28&lt;=H28)</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8" xr:uid="{D948F957-5AF8-4252-8D93-CC94C68060B6}">
      <formula1>AND(J28&gt;=0,L11&gt;=J28,MOD(J28,1)=0,J28&gt;=K28)</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8" xr:uid="{099C723C-286E-427F-ACE0-CD097C2AB778}">
      <formula1>AND(K28&gt;=0,M11&gt;=K28,MOD(K28,1)=0,K28&lt;=J28)</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8" xr:uid="{9B08015E-1E58-44FB-8834-CE26540B94D5}">
      <formula1>AND(L28&gt;=0,N11&gt;=L28,MOD(L28,1)=0,L28&gt;=M28)</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8" xr:uid="{20E2A2B1-4B64-400B-9DDC-C2DF416F24AE}">
      <formula1>AND(M28&gt;=0,O11&gt;=M28,MOD(M28,1)=0,M28&lt;=L28)</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8" xr:uid="{A4E49B2F-3D87-406A-B2F1-0A38A92B50D9}">
      <formula1>AND(N28&gt;=0,P11&gt;=N28,MOD(N28,1)=0,N28&gt;=O28)</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8" xr:uid="{2009BE20-CBDE-4F68-B68C-25B760FDA268}">
      <formula1>AND(O28&gt;=0,Q11&gt;=O28,MOD(O28,1)=0,O28&lt;=N28)</formula1>
    </dataValidation>
    <dataValidation type="custom" showInputMessage="1" showErrorMessage="1" errorTitle="Erro" error="O número de alunos repetentes MF com 17 anos na 11ª classe não deve ser superior ao de matriculados MF com 17 anos na 11ª classe" sqref="F29" xr:uid="{D408464B-2C37-4867-8242-BDF7D6CB5A3E}">
      <formula1>AND(F29&gt;=0,H12&gt;=F29,MOD(F29,1)=0,F29&gt;=G29)</formula1>
    </dataValidation>
    <dataValidation type="custom" showInputMessage="1" showErrorMessage="1" errorTitle="Erro" error="O número de alunos repetentes F com 17 anos na 11ª classe não deve ser superior ao de matriculados F com 17 anos na 11ª classe" sqref="G29" xr:uid="{6F2418D4-B95E-446A-83F9-3DA49C2A1733}">
      <formula1>AND(G29&gt;=0,I12&gt;=G29,MOD(G29,1)=0,G29&lt;=F29)</formula1>
    </dataValidation>
    <dataValidation type="custom" showInputMessage="1" showErrorMessage="1" errorTitle="Erro" error="O número de alunos repetentes F com 16 anos na 10ª classe não deve ser superior ao de matriculados F com 16 anos na 10ª classe" sqref="E28" xr:uid="{1931B5D2-F411-4AEC-AECB-28EF2B732079}">
      <formula1>AND(E28&gt;=0,G11&gt;=E28,MOD(E28,1)=0,E28&lt;=D28)</formula1>
    </dataValidation>
    <dataValidation type="custom" showInputMessage="1" showErrorMessage="1" errorTitle="Erro" error="O número de alunos repetentes MF com 18 anos na 12ª classe não deve ser superior ao de matriculados MF com 18 anos na 12ª classe" sqref="H30" xr:uid="{CBC13E21-AD9A-432D-93E6-65DF966899C5}">
      <formula1>AND(H30&gt;=0,J13&gt;=H30,MOD(H30,1)=0,H30&gt;=I30)</formula1>
    </dataValidation>
    <dataValidation type="custom" showInputMessage="1" showErrorMessage="1" errorTitle="Erro" error="O número de alunos repetentes F com 18 anos na 12ª classe não deve ser superior ao de matriculados F com 18 anos na 12ª classe" sqref="I30" xr:uid="{318051C6-1BFA-4645-9642-1A85E789887B}">
      <formula1>AND(I30&gt;=0,K13&gt;=I30,MOD(I30,1)=0,I30&lt;=H30)</formula1>
    </dataValidation>
    <dataValidation type="custom" showInputMessage="1" showErrorMessage="1" errorTitle="Erro" error="O número de alunos repetentes MF com 19 anos na 13ª classe não deve ser superior ao de matriculados MF com 19 anos na 13ª classe" sqref="J31" xr:uid="{1AC29935-62E3-490F-9C89-A4740A7DDF81}">
      <formula1>AND(J31&gt;=0,L14&gt;=J31,MOD(J31,1)=0,J31&gt;=K31)</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9" xr:uid="{AC261F2A-90E7-4747-AA00-CBCB6784EF3A}">
      <formula1>AND(B29&gt;=0,D12&gt;=B29,MOD(B29,1)=0,B29&gt;=C29)</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9" xr:uid="{CF9A8715-4DFF-47DF-8B60-F526BE8D1554}">
      <formula1>AND(C29&gt;=0,E12&gt;=C29,MOD(C29,1)=0,C29&lt;=B29)</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30" xr:uid="{916805AD-0AE9-4BE1-B6C3-9EC397B98A68}">
      <formula1>AND(B30&gt;=0,D13&gt;=B30,MOD(B30,1)=0,B30&gt;=C30)</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30" xr:uid="{C9C60F8A-366E-43D3-8E9C-71B8932A1667}">
      <formula1>AND(C30&gt;=0,E13&gt;=C30,MOD(C30,1)=0,C30&lt;=B30)</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31" xr:uid="{23CD9F6A-51F9-431D-A868-9FF9587F9200}">
      <formula1>AND(B31&gt;=0,D14&gt;=B31,MOD(B31,1)=0,B31&gt;=C31)</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31" xr:uid="{3A4D594A-90A3-4211-B8C7-3E5204B4B23E}">
      <formula1>AND(C31&gt;=0,E14&gt;=C31,MOD(C31,1)=0,C31&lt;=B31)</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9" xr:uid="{A622100C-B433-4CFC-914C-7AF92904202C}">
      <formula1>AND(D29&gt;=0,F12&gt;=D29,MOD(D29,1)=0,D29&gt;=E29)</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9" xr:uid="{2F97F3B4-B6FD-4426-817B-C3AB4F1F6904}">
      <formula1>AND(E29&gt;=0,G12&gt;=E29,MOD(E29,1)=0,E29&lt;=D29)</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9" xr:uid="{02367D1E-EE38-496B-917B-0FB1BB89E240}">
      <formula1>AND(H29&gt;=0,J12&gt;=H29,MOD(H29,1)=0,H29&gt;=I29)</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9" xr:uid="{4E1951AE-257E-4C0B-AC39-15E0D6BD91C0}">
      <formula1>AND(I29&gt;=0,K12&gt;=I29,MOD(I29,1)=0,I29&lt;=H29)</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9" xr:uid="{68540FCF-0E0A-4BB0-AFE7-DC043A43B361}">
      <formula1>AND(J29&gt;=0,L12&gt;=J29,MOD(J29,1)=0,J29&gt;=K29)</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9" xr:uid="{21EF65F7-8696-49D0-B0EE-9DF97A95D1D5}">
      <formula1>AND(K29&gt;=0,M12&gt;=K29,MOD(K29,1)=0,K29&lt;=J29)</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9" xr:uid="{0B7B87D4-C625-47FC-A212-C5FA79BF70FD}">
      <formula1>AND(L29&gt;=0,N12&gt;=L29,MOD(L29,1)=0,L29&gt;=M29)</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9" xr:uid="{49E97A98-EC5E-46F1-B9BF-E9DA5CDAF44A}">
      <formula1>AND(M29&gt;=0,O12&gt;=M29,MOD(M29,1)=0,M29&lt;=L29)</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9" xr:uid="{988C6EA1-41FA-487E-8DA7-071A8BACACA7}">
      <formula1>AND(N29&gt;=0,P12&gt;=N29,MOD(N29,1)=0,N29&gt;=O29)</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9" xr:uid="{E4301E0F-4F27-4A84-89DD-CE2F3C7528AD}">
      <formula1>AND(O29&gt;=0,Q12&gt;=O29,MOD(O29,1)=0,O29&lt;=N29)</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30" xr:uid="{877D95E2-A7DB-43F3-8BDC-D1DC0B1B47B1}">
      <formula1>AND(D30&gt;=0,F13&gt;=D30,MOD(D30,1)=0,D30&gt;=E30)</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30" xr:uid="{3FEAD4AB-5B53-417E-BCD9-965BDF691580}">
      <formula1>AND(E30&gt;=0,G13&gt;=E30,MOD(E30,1)=0,E30&lt;=D30)</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30" xr:uid="{465CB833-ADA5-4A73-A02A-ADB279F86DDD}">
      <formula1>AND(F30&gt;=0,H13&gt;=F30,MOD(F30,1)=0,F30&gt;=G30)</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30" xr:uid="{FDA2FA47-22B8-466F-A784-283700E37C66}">
      <formula1>AND(G30&gt;=0,I13&gt;=G30,MOD(G30,1)=0,G30&lt;=F30)</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30" xr:uid="{3975C7AB-3BA2-45BD-9584-2D06073DE100}">
      <formula1>AND(J30&gt;=0,L13&gt;=J30,MOD(J30,1)=0,J30&gt;=K30)</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30" xr:uid="{5B82E860-6858-4A20-80D0-43B9EE8AE988}">
      <formula1>AND(K30&gt;=0,M13&gt;=K30,MOD(K30,1)=0,K30&lt;=J30)</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30" xr:uid="{29A094B2-E469-489D-A4AB-6CD804199469}">
      <formula1>AND(L30&gt;=0,N13&gt;=L30,MOD(L30,1)=0,L30&gt;=M30)</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30" xr:uid="{CF48F154-79D4-4B2B-A294-46403AC222B2}">
      <formula1>AND(M30&gt;=0,O13&gt;=M30,MOD(M30,1)=0,M30&lt;=L30)</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30" xr:uid="{5FA6D2CE-0D1E-43FB-90FE-8245D11388DA}">
      <formula1>AND(N30&gt;=0,P13&gt;=N30,MOD(N30,1)=0,N30&gt;=O30)</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30" xr:uid="{5BD4848F-8CF8-4899-A6AA-5348E421E103}">
      <formula1>AND(O30&gt;=0,Q13&gt;=O30,MOD(O30,1)=0,O30&lt;=N30)</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31" xr:uid="{2C9B46D8-8539-4497-BE6F-19E7F9AE6EE6}">
      <formula1>AND(D31&gt;=0,F14&gt;=D31,MOD(D31,1)=0,D31&gt;=E31)</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31" xr:uid="{16B7A28C-3183-4160-8651-727852204213}">
      <formula1>AND(E31&gt;=0,G14&gt;=E31,MOD(E31,1)=0,E31&lt;=D31)</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31" xr:uid="{5DB870AC-2385-45A0-A1A0-7BEF9F4147A1}">
      <formula1>AND(G31&gt;=0,I14&gt;=G31,MOD(G31,1)=0,G31&lt;=F31)</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31" xr:uid="{8276F08B-9E5F-4EDB-8A30-C315D27C73BB}">
      <formula1>AND(F31&gt;=0,H14&gt;=F31,MOD(F31,1)=0,F31&gt;=G31)</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31" xr:uid="{C846CFC8-84AC-478B-93AD-16CD7F72586C}">
      <formula1>AND(H31&gt;=0,J14&gt;=H31,MOD(H31,1)=0,H31&gt;=I31)</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31" xr:uid="{B1FA7519-EEE7-403D-85B7-6424E1C30108}">
      <formula1>AND(I31&gt;=0,K14&gt;=I31,MOD(I31,1)=0,I31&lt;=H31)</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31" xr:uid="{A61AB5DF-A2FD-40A2-80F7-92B2AF3C8626}">
      <formula1>AND(L31&gt;=0,N14&gt;=L31,MOD(L31,1)=0,L31&gt;=M31)</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31" xr:uid="{B271FEB5-69DB-48C2-B2BF-81A58CFFAB36}">
      <formula1>AND(M31&gt;=0,O14&gt;=M31,MOD(M31,1)=0,M31&lt;=L31)</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31" xr:uid="{84600CF7-FE94-4563-BABE-D82656467542}">
      <formula1>AND(N31&gt;=0,P14&gt;=N31,MOD(N31,1)=0,N31&gt;=O31)</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31" xr:uid="{5ADC3CA3-169E-414E-A866-69449E0B8907}">
      <formula1>AND(O31&gt;=0,Q14&gt;=O31,MOD(O31,1)=0,O31&lt;=N31)</formula1>
    </dataValidation>
    <dataValidation type="custom" showInputMessage="1" showErrorMessage="1" errorTitle="Erro" error="O valor de &quot;F&quot; não pode ser superior ao valor de &quot;MF&quot;" sqref="H21:I22" xr:uid="{1C52753B-C1CB-4689-BDFD-82988F305F63}">
      <formula1>AND(H21&gt;=0,H21&lt;=F21,MOD(H21,1)=0)</formula1>
    </dataValidation>
    <dataValidation type="custom" showInputMessage="1" showErrorMessage="1" errorTitle="Erro" error="Tem que introduzir um valor númerico inteiro" sqref="F20:G20 M66:N69" xr:uid="{081A2FC8-90D6-40C7-AD65-2453916EB796}">
      <formula1>AND(F20&gt;=0,MOD(F20,1)=0)</formula1>
    </dataValidation>
    <dataValidation type="custom" showInputMessage="1" showErrorMessage="1" errorTitle="Erro" error="Tem que introduzir um valor númerico inteiro que seja igual ou superior ao valor de F" sqref="F21:G22" xr:uid="{1F2742C8-0E53-4472-8435-E0FC52CEAF1D}">
      <formula1>AND(F21&gt;=0,F21&gt;=H21,MOD(F21,1)=0)</formula1>
    </dataValidation>
    <dataValidation type="custom" showInputMessage="1" showErrorMessage="1" errorTitle="Erro" error="Tem que introduzir um valor númerico inteiro que seja igual ou superior ao valor de F" sqref="D11 F12 H13 J14" xr:uid="{8D2FD0EB-C2E1-47CD-8B06-C8AD62CAA0AC}">
      <formula1>AND(D11&gt;=0,D11&gt;=E11,MOD(D11,1)=0)</formula1>
    </dataValidation>
    <dataValidation type="custom" showInputMessage="1" showErrorMessage="1" errorTitle="Erro" error="O valor de &quot;F&quot; não pode ser superior ao valor de &quot;MF&quot;" sqref="E11 G12 I13 K14 Q57:Q59 E57:E59 G57:G59 I57:I59 K57:K59 M57:M59 O57:O59 I61 K61 M61 O61 Q61 E61 G61 D67:D72 F67:F72 G80:G103 I80:I103" xr:uid="{62649CFB-0A08-47D8-8149-3970457F3FD9}">
      <formula1>AND(D11&gt;=0,D11&lt;=C11,MOD(D11,1)=0)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617D9675-A57D-4271-BFFF-57D3E9374847}">
      <formula1>AND(B11&gt;=0,B11&gt;=C11,MOD(B11,1)=0)</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2A173AB4-5C87-40E7-9E3F-E571A6E611E0}">
      <formula1>AND(C11&gt;=0,C11&lt;=B11,MOD(C11,1)=0)</formula1>
    </dataValidation>
    <dataValidation type="list" allowBlank="1" showInputMessage="1" showErrorMessage="1" sqref="E39:E40 I39:I40 M39:M40 L37:L40 H37:H40 E37 D37:D40" xr:uid="{13A2704E-7211-4936-8776-AD83407A81D6}">
      <formula1>NumTurnos</formula1>
    </dataValidation>
    <dataValidation type="list" allowBlank="1" showInputMessage="1" showErrorMessage="1" errorTitle="Erro" error="Tem que introduzir um valor númerico inteiro" sqref="O66:O69" xr:uid="{E40690D4-54B1-4852-BF6C-70337C9D0CF4}">
      <formula1>SimNao</formula1>
    </dataValidation>
    <dataValidation type="custom" allowBlank="1" showInputMessage="1" showErrorMessage="1" errorTitle="Erro" error="O valor de &quot;F&quot; não pode ser superior ao valor de &quot;MF&quot;" sqref="H20:I20" xr:uid="{6BB90B00-D772-4F10-B69D-65ACAC8405E4}">
      <formula1>F20&gt;=H20</formula1>
    </dataValidation>
    <dataValidation type="list" allowBlank="1" showInputMessage="1" showErrorMessage="1" sqref="J4:N4" xr:uid="{96A5D687-7EC4-42DF-A8D2-FEA20E13D3ED}">
      <formula1>OFFSET(AreasTPIIStart,MATCH(C4,AreasTPII,0),1,COUNTIF(AreasTPII,C4),1)</formula1>
    </dataValidation>
    <dataValidation type="list" allowBlank="1" showInputMessage="1" showErrorMessage="1" sqref="C4:F4" xr:uid="{D823070C-3CA7-4545-82A4-01514F0259F6}">
      <formula1>AreasTPII_v1</formula1>
    </dataValidation>
    <dataValidation type="whole" allowBlank="1" showInputMessage="1" showErrorMessage="1" errorTitle="Erro" error="Tem que introduzir um valor númerico inteiro" sqref="B17:I17 B23:I23 O70 L71:O75 J17:Q23" xr:uid="{EBD80F49-385B-4C8C-95C5-8FBDD17F5385}">
      <formula1>0</formula1>
      <formula2>100000000</formula2>
    </dataValidation>
  </dataValidations>
  <pageMargins left="0.13" right="0.13" top="0.25" bottom="0.19" header="0.22" footer="0.16"/>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locked="0" defaultSize="0" print="0" autoFill="0" autoPict="0" macro="[0]!_xludf.Copy">
                <anchor moveWithCells="1" sizeWithCells="1">
                  <from>
                    <xdr:col>19</xdr:col>
                    <xdr:colOff>104775</xdr:colOff>
                    <xdr:row>1</xdr:row>
                    <xdr:rowOff>19050</xdr:rowOff>
                  </from>
                  <to>
                    <xdr:col>22</xdr:col>
                    <xdr:colOff>352425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31551-6AF8-4BEC-BADD-DDB6C6FD2B97}">
  <sheetPr codeName="Sheet25"/>
  <dimension ref="A1:AH112"/>
  <sheetViews>
    <sheetView showGridLines="0" workbookViewId="0">
      <selection activeCell="J4" sqref="J4:N4"/>
    </sheetView>
  </sheetViews>
  <sheetFormatPr defaultColWidth="9.140625" defaultRowHeight="15" x14ac:dyDescent="0.25"/>
  <cols>
    <col min="1" max="1" width="12.140625" style="33" customWidth="1"/>
    <col min="2" max="2" width="9.42578125" style="33" customWidth="1"/>
    <col min="3" max="3" width="8.42578125" style="33" customWidth="1"/>
    <col min="4" max="13" width="6.85546875" style="33" customWidth="1"/>
    <col min="14" max="14" width="7.85546875" style="33" customWidth="1"/>
    <col min="15" max="15" width="7.28515625" style="33" customWidth="1"/>
    <col min="16" max="16" width="8.140625" style="33" customWidth="1"/>
    <col min="17" max="17" width="8" style="33" customWidth="1"/>
    <col min="18" max="19" width="6.28515625" style="33" customWidth="1"/>
    <col min="20" max="20" width="6.42578125" style="33" customWidth="1"/>
    <col min="21" max="21" width="7" style="33" customWidth="1"/>
    <col min="22" max="22" width="3.28515625" style="33" customWidth="1"/>
    <col min="23" max="23" width="5.5703125" style="33" customWidth="1"/>
    <col min="24" max="24" width="5.42578125" style="33" customWidth="1"/>
    <col min="25" max="27" width="6.28515625" style="33" customWidth="1"/>
    <col min="28" max="16384" width="9.140625" style="33"/>
  </cols>
  <sheetData>
    <row r="1" spans="1:28" ht="8.4499999999999993" customHeight="1" x14ac:dyDescent="0.25">
      <c r="A1" s="35">
        <v>1</v>
      </c>
    </row>
    <row r="2" spans="1:28" ht="17.25" customHeight="1" x14ac:dyDescent="0.35">
      <c r="A2" s="347" t="s">
        <v>126</v>
      </c>
      <c r="B2" s="347"/>
      <c r="C2" s="347"/>
      <c r="D2" s="347"/>
      <c r="E2" s="347"/>
      <c r="F2" s="347"/>
      <c r="G2" s="347"/>
      <c r="H2" s="347"/>
      <c r="I2" s="32"/>
      <c r="P2" s="352" t="s">
        <v>124</v>
      </c>
      <c r="Q2" s="352"/>
      <c r="R2" s="352"/>
      <c r="S2" s="352"/>
      <c r="AB2" s="36"/>
    </row>
    <row r="3" spans="1:28" ht="12" customHeight="1" x14ac:dyDescent="0.25">
      <c r="A3" s="35">
        <v>1</v>
      </c>
      <c r="AB3" s="36"/>
    </row>
    <row r="4" spans="1:28" ht="15.75" customHeight="1" x14ac:dyDescent="0.25">
      <c r="A4" s="13" t="s">
        <v>1432</v>
      </c>
      <c r="B4" s="88"/>
      <c r="C4" s="349"/>
      <c r="D4" s="350"/>
      <c r="E4" s="350"/>
      <c r="F4" s="351"/>
      <c r="H4" s="254" t="s">
        <v>284</v>
      </c>
      <c r="I4" s="255"/>
      <c r="J4" s="349"/>
      <c r="K4" s="350"/>
      <c r="L4" s="350"/>
      <c r="M4" s="350"/>
      <c r="N4" s="351"/>
      <c r="P4" s="353" t="s">
        <v>1470</v>
      </c>
      <c r="Q4" s="353"/>
      <c r="R4" s="353"/>
      <c r="S4" s="353"/>
      <c r="T4" s="353"/>
      <c r="U4" s="353"/>
      <c r="V4" s="353"/>
      <c r="W4" s="353"/>
      <c r="X4" s="353"/>
      <c r="Y4" s="353"/>
      <c r="Z4" s="353"/>
      <c r="AB4" s="36"/>
    </row>
    <row r="5" spans="1:28" ht="12" customHeight="1" x14ac:dyDescent="0.25">
      <c r="A5" s="35" t="s">
        <v>1115</v>
      </c>
      <c r="D5" s="34"/>
      <c r="T5" s="6"/>
      <c r="U5" s="6"/>
      <c r="AB5" s="36"/>
    </row>
    <row r="6" spans="1:28" ht="5.25" customHeight="1" thickBot="1" x14ac:dyDescent="0.3">
      <c r="A6" s="45">
        <v>1</v>
      </c>
      <c r="B6" s="46"/>
      <c r="C6" s="46"/>
      <c r="D6" s="46"/>
      <c r="E6" s="46"/>
      <c r="F6" s="46"/>
      <c r="G6" s="46"/>
      <c r="H6" s="46"/>
      <c r="I6" s="46"/>
      <c r="J6" s="46"/>
      <c r="K6" s="46"/>
      <c r="L6" s="46"/>
      <c r="M6" s="46"/>
      <c r="N6" s="46"/>
      <c r="O6" s="46"/>
      <c r="P6" s="46"/>
      <c r="Q6" s="46"/>
      <c r="R6" s="46"/>
      <c r="S6" s="46"/>
      <c r="T6" s="6"/>
      <c r="U6" s="6"/>
      <c r="V6" s="6"/>
      <c r="W6" s="6"/>
      <c r="X6" s="6"/>
      <c r="Y6" s="6"/>
      <c r="Z6" s="36"/>
      <c r="AA6" s="36"/>
      <c r="AB6" s="36"/>
    </row>
    <row r="7" spans="1:28" ht="15.75" thickTop="1" x14ac:dyDescent="0.25">
      <c r="A7" s="335" t="s">
        <v>150</v>
      </c>
      <c r="B7" s="336"/>
      <c r="C7" s="336"/>
      <c r="D7" s="336"/>
      <c r="E7" s="336"/>
      <c r="F7" s="336"/>
      <c r="G7" s="336"/>
      <c r="H7" s="336"/>
      <c r="I7" s="336"/>
      <c r="J7" s="336"/>
      <c r="K7" s="336"/>
      <c r="L7" s="336"/>
      <c r="M7" s="336"/>
      <c r="N7" s="336"/>
      <c r="O7" s="336"/>
      <c r="P7" s="336"/>
      <c r="Q7" s="336"/>
      <c r="R7" s="336"/>
      <c r="S7" s="337"/>
      <c r="T7" s="6"/>
      <c r="U7" s="6"/>
      <c r="Z7" s="36"/>
      <c r="AA7" s="36"/>
      <c r="AB7" s="47"/>
    </row>
    <row r="8" spans="1:28" x14ac:dyDescent="0.25">
      <c r="A8" s="37">
        <v>1</v>
      </c>
      <c r="B8" s="348" t="s">
        <v>146</v>
      </c>
      <c r="C8" s="348"/>
      <c r="D8" s="348"/>
      <c r="E8" s="348"/>
      <c r="F8" s="348"/>
      <c r="G8" s="348"/>
      <c r="H8" s="348"/>
      <c r="I8" s="348"/>
      <c r="J8" s="348"/>
      <c r="K8" s="348"/>
      <c r="L8" s="348"/>
      <c r="M8" s="348"/>
      <c r="N8" s="348"/>
      <c r="O8" s="348"/>
      <c r="P8" s="348"/>
      <c r="Q8" s="348"/>
      <c r="R8" s="269" t="s">
        <v>15</v>
      </c>
      <c r="S8" s="320"/>
      <c r="T8" s="6"/>
      <c r="U8" s="6"/>
      <c r="Z8" s="36"/>
      <c r="AA8" s="36"/>
      <c r="AB8" s="48"/>
    </row>
    <row r="9" spans="1:28" ht="15" customHeight="1" x14ac:dyDescent="0.25">
      <c r="A9" s="38" t="s">
        <v>42</v>
      </c>
      <c r="B9" s="346" t="s">
        <v>281</v>
      </c>
      <c r="C9" s="346"/>
      <c r="D9" s="346" t="s">
        <v>274</v>
      </c>
      <c r="E9" s="346"/>
      <c r="F9" s="346" t="s">
        <v>275</v>
      </c>
      <c r="G9" s="346"/>
      <c r="H9" s="346" t="s">
        <v>276</v>
      </c>
      <c r="I9" s="346"/>
      <c r="J9" s="346" t="s">
        <v>277</v>
      </c>
      <c r="K9" s="346"/>
      <c r="L9" s="346" t="s">
        <v>278</v>
      </c>
      <c r="M9" s="346"/>
      <c r="N9" s="344" t="s">
        <v>279</v>
      </c>
      <c r="O9" s="344"/>
      <c r="P9" s="344" t="s">
        <v>280</v>
      </c>
      <c r="Q9" s="344"/>
      <c r="R9" s="269"/>
      <c r="S9" s="320"/>
      <c r="T9" s="36"/>
      <c r="Z9" s="36"/>
      <c r="AA9" s="36"/>
      <c r="AB9" s="48"/>
    </row>
    <row r="10" spans="1:28" x14ac:dyDescent="0.25">
      <c r="A10" s="57" t="s">
        <v>43</v>
      </c>
      <c r="B10" s="97" t="s">
        <v>9</v>
      </c>
      <c r="C10" s="97" t="s">
        <v>10</v>
      </c>
      <c r="D10" s="97" t="s">
        <v>9</v>
      </c>
      <c r="E10" s="97" t="s">
        <v>10</v>
      </c>
      <c r="F10" s="97"/>
      <c r="G10" s="97"/>
      <c r="H10" s="97"/>
      <c r="I10" s="97"/>
      <c r="J10" s="97"/>
      <c r="K10" s="97"/>
      <c r="L10" s="97"/>
      <c r="M10" s="97"/>
      <c r="N10" s="97"/>
      <c r="O10" s="97"/>
      <c r="P10" s="97" t="s">
        <v>9</v>
      </c>
      <c r="Q10" s="97" t="s">
        <v>10</v>
      </c>
      <c r="R10" s="121" t="s">
        <v>9</v>
      </c>
      <c r="S10" s="122" t="s">
        <v>10</v>
      </c>
      <c r="T10" s="36"/>
      <c r="Z10" s="36"/>
      <c r="AA10" s="36"/>
      <c r="AB10" s="48"/>
    </row>
    <row r="11" spans="1:28" s="59" customFormat="1" ht="12.75" x14ac:dyDescent="0.2">
      <c r="A11" s="99" t="s">
        <v>68</v>
      </c>
      <c r="B11" s="157"/>
      <c r="C11" s="157"/>
      <c r="D11" s="155"/>
      <c r="E11" s="155"/>
      <c r="F11" s="157"/>
      <c r="G11" s="157"/>
      <c r="H11" s="157"/>
      <c r="I11" s="157"/>
      <c r="J11" s="157"/>
      <c r="K11" s="157"/>
      <c r="L11" s="157"/>
      <c r="M11" s="157"/>
      <c r="N11" s="157"/>
      <c r="O11" s="157"/>
      <c r="P11" s="157"/>
      <c r="Q11" s="157"/>
      <c r="R11" s="130">
        <f>P11+N11+L11+J11+H11+F11+D11+B11</f>
        <v>0</v>
      </c>
      <c r="S11" s="131">
        <f>Q11+O11+M11+K11+I11+G11+E11+C11</f>
        <v>0</v>
      </c>
      <c r="T11" s="61"/>
      <c r="Z11" s="61"/>
      <c r="AA11" s="61"/>
      <c r="AB11" s="60"/>
    </row>
    <row r="12" spans="1:28" s="59" customFormat="1" ht="12.75" x14ac:dyDescent="0.2">
      <c r="A12" s="99" t="s">
        <v>69</v>
      </c>
      <c r="B12" s="157"/>
      <c r="C12" s="157"/>
      <c r="D12" s="157"/>
      <c r="E12" s="157"/>
      <c r="F12" s="155"/>
      <c r="G12" s="155"/>
      <c r="H12" s="157"/>
      <c r="I12" s="157"/>
      <c r="J12" s="157"/>
      <c r="K12" s="157"/>
      <c r="L12" s="157"/>
      <c r="M12" s="157"/>
      <c r="N12" s="157"/>
      <c r="O12" s="157"/>
      <c r="P12" s="157"/>
      <c r="Q12" s="157"/>
      <c r="R12" s="130">
        <f t="shared" ref="R12:S14" si="0">P12+N12+L12+J12+H12+F12+D12+B12</f>
        <v>0</v>
      </c>
      <c r="S12" s="131">
        <f t="shared" si="0"/>
        <v>0</v>
      </c>
      <c r="T12" s="61"/>
      <c r="Z12" s="61"/>
      <c r="AA12" s="61"/>
      <c r="AB12" s="61"/>
    </row>
    <row r="13" spans="1:28" s="59" customFormat="1" ht="12.75" x14ac:dyDescent="0.2">
      <c r="A13" s="99" t="s">
        <v>70</v>
      </c>
      <c r="B13" s="157"/>
      <c r="C13" s="157"/>
      <c r="D13" s="157"/>
      <c r="E13" s="157"/>
      <c r="F13" s="157"/>
      <c r="G13" s="157"/>
      <c r="H13" s="155"/>
      <c r="I13" s="155"/>
      <c r="J13" s="157"/>
      <c r="K13" s="157"/>
      <c r="L13" s="157"/>
      <c r="M13" s="157"/>
      <c r="N13" s="157"/>
      <c r="O13" s="157"/>
      <c r="P13" s="157"/>
      <c r="Q13" s="157"/>
      <c r="R13" s="130">
        <f t="shared" si="0"/>
        <v>0</v>
      </c>
      <c r="S13" s="131">
        <f t="shared" si="0"/>
        <v>0</v>
      </c>
      <c r="T13" s="61"/>
      <c r="Z13" s="61"/>
      <c r="AA13" s="61"/>
      <c r="AB13" s="61"/>
    </row>
    <row r="14" spans="1:28" s="59" customFormat="1" ht="12.75" x14ac:dyDescent="0.2">
      <c r="A14" s="99" t="s">
        <v>71</v>
      </c>
      <c r="B14" s="157"/>
      <c r="C14" s="157"/>
      <c r="D14" s="157"/>
      <c r="E14" s="157"/>
      <c r="F14" s="157"/>
      <c r="G14" s="157"/>
      <c r="H14" s="157"/>
      <c r="I14" s="157"/>
      <c r="J14" s="155"/>
      <c r="K14" s="155"/>
      <c r="L14" s="157"/>
      <c r="M14" s="157"/>
      <c r="N14" s="157"/>
      <c r="O14" s="157"/>
      <c r="P14" s="157"/>
      <c r="Q14" s="157"/>
      <c r="R14" s="130">
        <f t="shared" si="0"/>
        <v>0</v>
      </c>
      <c r="S14" s="131">
        <f t="shared" si="0"/>
        <v>0</v>
      </c>
      <c r="T14" s="61"/>
      <c r="Z14" s="61"/>
      <c r="AA14" s="61"/>
      <c r="AB14" s="61"/>
    </row>
    <row r="15" spans="1:28" s="59" customFormat="1" ht="13.5" thickBot="1" x14ac:dyDescent="0.25">
      <c r="A15" s="65" t="s">
        <v>15</v>
      </c>
      <c r="B15" s="132">
        <f>SUM(B11:B14)</f>
        <v>0</v>
      </c>
      <c r="C15" s="132">
        <f t="shared" ref="C15:S15" si="1">SUM(C11:C14)</f>
        <v>0</v>
      </c>
      <c r="D15" s="132">
        <f t="shared" si="1"/>
        <v>0</v>
      </c>
      <c r="E15" s="132">
        <f t="shared" si="1"/>
        <v>0</v>
      </c>
      <c r="F15" s="132">
        <f t="shared" si="1"/>
        <v>0</v>
      </c>
      <c r="G15" s="132">
        <f t="shared" si="1"/>
        <v>0</v>
      </c>
      <c r="H15" s="132">
        <f t="shared" si="1"/>
        <v>0</v>
      </c>
      <c r="I15" s="132">
        <f t="shared" si="1"/>
        <v>0</v>
      </c>
      <c r="J15" s="132">
        <f t="shared" si="1"/>
        <v>0</v>
      </c>
      <c r="K15" s="132">
        <f t="shared" si="1"/>
        <v>0</v>
      </c>
      <c r="L15" s="132">
        <f t="shared" si="1"/>
        <v>0</v>
      </c>
      <c r="M15" s="132">
        <f t="shared" si="1"/>
        <v>0</v>
      </c>
      <c r="N15" s="132">
        <f t="shared" si="1"/>
        <v>0</v>
      </c>
      <c r="O15" s="132">
        <f t="shared" si="1"/>
        <v>0</v>
      </c>
      <c r="P15" s="132">
        <f t="shared" si="1"/>
        <v>0</v>
      </c>
      <c r="Q15" s="132">
        <f t="shared" si="1"/>
        <v>0</v>
      </c>
      <c r="R15" s="132">
        <f t="shared" si="1"/>
        <v>0</v>
      </c>
      <c r="S15" s="133">
        <f t="shared" si="1"/>
        <v>0</v>
      </c>
      <c r="T15" s="61"/>
      <c r="Z15" s="61"/>
      <c r="AA15" s="61"/>
      <c r="AB15" s="61"/>
    </row>
    <row r="16" spans="1:28" ht="4.5" customHeight="1" thickTop="1" x14ac:dyDescent="0.25">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28" ht="10.5" customHeight="1" thickBot="1" x14ac:dyDescent="0.3">
      <c r="A17" s="10" t="s">
        <v>1115</v>
      </c>
      <c r="B17" s="36"/>
      <c r="C17" s="36"/>
      <c r="D17" s="36"/>
      <c r="E17" s="36"/>
      <c r="F17" s="36"/>
      <c r="G17" s="36"/>
      <c r="H17" s="36"/>
      <c r="I17" s="36"/>
      <c r="J17" s="36"/>
      <c r="K17" s="36"/>
      <c r="L17" s="36"/>
      <c r="M17" s="36"/>
      <c r="N17" s="36"/>
      <c r="O17" s="36"/>
      <c r="P17" s="36"/>
      <c r="Q17" s="36"/>
      <c r="R17" s="36"/>
      <c r="S17" s="36"/>
      <c r="T17" s="36"/>
      <c r="U17" s="6"/>
      <c r="V17" s="6"/>
      <c r="W17" s="6"/>
      <c r="X17" s="36"/>
      <c r="Y17" s="36"/>
      <c r="Z17" s="36"/>
      <c r="AA17" s="36"/>
      <c r="AB17" s="36"/>
    </row>
    <row r="18" spans="1:28" ht="18.75" customHeight="1" thickTop="1" x14ac:dyDescent="0.25">
      <c r="A18" s="354" t="s">
        <v>1179</v>
      </c>
      <c r="B18" s="355"/>
      <c r="C18" s="355"/>
      <c r="D18" s="355"/>
      <c r="E18" s="355"/>
      <c r="F18" s="355"/>
      <c r="G18" s="355"/>
      <c r="H18" s="355"/>
      <c r="I18" s="356"/>
      <c r="J18" s="36"/>
      <c r="K18" s="36"/>
      <c r="L18" s="36"/>
      <c r="M18" s="36"/>
      <c r="N18" s="36"/>
      <c r="O18" s="36"/>
      <c r="P18" s="36"/>
      <c r="Q18" s="36"/>
      <c r="R18" s="36"/>
      <c r="S18" s="36"/>
      <c r="T18" s="36"/>
      <c r="U18" s="6"/>
      <c r="V18" s="6"/>
      <c r="W18" s="6"/>
      <c r="X18" s="36"/>
      <c r="Y18" s="36"/>
      <c r="Z18" s="36"/>
      <c r="AA18" s="36"/>
      <c r="AB18" s="36"/>
    </row>
    <row r="19" spans="1:28" x14ac:dyDescent="0.25">
      <c r="A19" s="375" t="s">
        <v>1115</v>
      </c>
      <c r="B19" s="376"/>
      <c r="C19" s="376"/>
      <c r="D19" s="376"/>
      <c r="E19" s="377"/>
      <c r="F19" s="378" t="s">
        <v>9</v>
      </c>
      <c r="G19" s="379"/>
      <c r="H19" s="378" t="s">
        <v>10</v>
      </c>
      <c r="I19" s="380"/>
      <c r="J19" s="36"/>
      <c r="K19" s="36"/>
      <c r="L19" s="36"/>
      <c r="M19" s="36"/>
      <c r="N19" s="36"/>
      <c r="O19" s="36"/>
      <c r="P19" s="36"/>
      <c r="Q19" s="36"/>
      <c r="R19" s="36"/>
      <c r="S19" s="36"/>
      <c r="T19" s="36"/>
      <c r="U19" s="6"/>
      <c r="V19" s="6"/>
      <c r="W19" s="6"/>
      <c r="X19" s="36"/>
      <c r="Y19" s="36"/>
      <c r="Z19" s="36"/>
      <c r="AA19" s="36"/>
      <c r="AB19" s="36"/>
    </row>
    <row r="20" spans="1:28" x14ac:dyDescent="0.25">
      <c r="A20" s="363" t="s">
        <v>148</v>
      </c>
      <c r="B20" s="364"/>
      <c r="C20" s="364"/>
      <c r="D20" s="364"/>
      <c r="E20" s="365"/>
      <c r="F20" s="366"/>
      <c r="G20" s="367"/>
      <c r="H20" s="381"/>
      <c r="I20" s="382"/>
      <c r="J20" s="36"/>
      <c r="K20" s="36"/>
      <c r="L20" s="36"/>
      <c r="M20" s="36"/>
      <c r="N20" s="36"/>
      <c r="O20" s="36"/>
      <c r="P20" s="36"/>
      <c r="Q20" s="36"/>
      <c r="R20" s="36"/>
      <c r="S20" s="36"/>
      <c r="T20" s="36"/>
      <c r="U20" s="6"/>
      <c r="V20" s="6"/>
      <c r="W20" s="6"/>
      <c r="X20" s="36"/>
      <c r="Y20" s="36"/>
      <c r="Z20" s="36"/>
      <c r="AA20" s="36"/>
      <c r="AB20" s="36"/>
    </row>
    <row r="21" spans="1:28" x14ac:dyDescent="0.25">
      <c r="A21" s="363" t="s">
        <v>1177</v>
      </c>
      <c r="B21" s="364"/>
      <c r="C21" s="364"/>
      <c r="D21" s="364"/>
      <c r="E21" s="365"/>
      <c r="F21" s="366"/>
      <c r="G21" s="367"/>
      <c r="H21" s="366"/>
      <c r="I21" s="368"/>
      <c r="J21" s="36"/>
      <c r="K21" s="36"/>
      <c r="L21" s="36"/>
      <c r="M21" s="36"/>
      <c r="N21" s="36"/>
      <c r="O21" s="36"/>
      <c r="P21" s="36"/>
      <c r="Q21" s="36"/>
      <c r="R21" s="36"/>
      <c r="S21" s="36"/>
      <c r="T21" s="36"/>
      <c r="U21" s="6"/>
      <c r="V21" s="6"/>
      <c r="W21" s="6"/>
      <c r="X21" s="36"/>
      <c r="Y21" s="36"/>
      <c r="Z21" s="36"/>
      <c r="AA21" s="36"/>
      <c r="AB21" s="36"/>
    </row>
    <row r="22" spans="1:28" ht="15.75" customHeight="1" thickBot="1" x14ac:dyDescent="0.3">
      <c r="A22" s="369" t="s">
        <v>1178</v>
      </c>
      <c r="B22" s="370"/>
      <c r="C22" s="370"/>
      <c r="D22" s="370"/>
      <c r="E22" s="371"/>
      <c r="F22" s="372"/>
      <c r="G22" s="373"/>
      <c r="H22" s="372"/>
      <c r="I22" s="374"/>
      <c r="J22" s="36"/>
      <c r="K22" s="36"/>
      <c r="L22" s="36"/>
      <c r="M22" s="36"/>
      <c r="N22" s="36"/>
      <c r="O22" s="36"/>
      <c r="P22" s="36"/>
      <c r="Q22" s="36"/>
      <c r="R22" s="36"/>
      <c r="S22" s="36"/>
      <c r="T22" s="36"/>
      <c r="U22" s="6"/>
      <c r="V22" s="6"/>
      <c r="W22" s="6"/>
      <c r="X22" s="36"/>
      <c r="Y22" s="36"/>
      <c r="Z22" s="36"/>
      <c r="AA22" s="36"/>
      <c r="AB22" s="36"/>
    </row>
    <row r="23" spans="1:28" ht="12" customHeight="1" thickTop="1" thickBot="1" x14ac:dyDescent="0.3">
      <c r="A23" s="10" t="s">
        <v>1115</v>
      </c>
      <c r="B23" s="36"/>
      <c r="C23" s="36"/>
      <c r="D23" s="36"/>
      <c r="E23" s="36"/>
      <c r="F23" s="36"/>
      <c r="G23" s="36"/>
      <c r="H23" s="36"/>
      <c r="I23" s="36"/>
      <c r="J23" s="36"/>
      <c r="K23" s="36"/>
      <c r="L23" s="36"/>
      <c r="M23" s="36"/>
      <c r="N23" s="36"/>
      <c r="O23" s="36"/>
      <c r="P23" s="36"/>
      <c r="Q23" s="36"/>
      <c r="R23" s="36"/>
      <c r="S23" s="36"/>
      <c r="T23" s="36"/>
      <c r="U23" s="6"/>
      <c r="V23" s="6"/>
      <c r="W23" s="6"/>
      <c r="X23" s="36"/>
      <c r="Y23" s="36"/>
      <c r="Z23" s="36"/>
      <c r="AA23" s="36"/>
      <c r="AB23" s="36"/>
    </row>
    <row r="24" spans="1:28" ht="15.75" thickTop="1" x14ac:dyDescent="0.25">
      <c r="A24" s="383" t="s">
        <v>1113</v>
      </c>
      <c r="B24" s="384"/>
      <c r="C24" s="384"/>
      <c r="D24" s="384"/>
      <c r="E24" s="384"/>
      <c r="F24" s="384"/>
      <c r="G24" s="384"/>
      <c r="H24" s="384"/>
      <c r="I24" s="384"/>
      <c r="J24" s="384"/>
      <c r="K24" s="384"/>
      <c r="L24" s="384"/>
      <c r="M24" s="384"/>
      <c r="N24" s="384"/>
      <c r="O24" s="384"/>
      <c r="P24" s="384"/>
      <c r="Q24" s="385"/>
      <c r="R24" s="36"/>
      <c r="AB24" s="36"/>
    </row>
    <row r="25" spans="1:28" x14ac:dyDescent="0.25">
      <c r="A25" s="50">
        <v>1</v>
      </c>
      <c r="B25" s="348" t="s">
        <v>77</v>
      </c>
      <c r="C25" s="348"/>
      <c r="D25" s="348"/>
      <c r="E25" s="348"/>
      <c r="F25" s="348"/>
      <c r="G25" s="348"/>
      <c r="H25" s="348"/>
      <c r="I25" s="348"/>
      <c r="J25" s="348"/>
      <c r="K25" s="348"/>
      <c r="L25" s="348"/>
      <c r="M25" s="348"/>
      <c r="N25" s="348"/>
      <c r="O25" s="348"/>
      <c r="P25" s="269" t="s">
        <v>15</v>
      </c>
      <c r="Q25" s="320"/>
      <c r="R25" s="36"/>
      <c r="AB25" s="36"/>
    </row>
    <row r="26" spans="1:28" x14ac:dyDescent="0.25">
      <c r="A26" s="38" t="s">
        <v>42</v>
      </c>
      <c r="B26" s="346" t="s">
        <v>274</v>
      </c>
      <c r="C26" s="346"/>
      <c r="D26" s="346" t="s">
        <v>275</v>
      </c>
      <c r="E26" s="346"/>
      <c r="F26" s="346" t="s">
        <v>276</v>
      </c>
      <c r="G26" s="346"/>
      <c r="H26" s="346" t="s">
        <v>277</v>
      </c>
      <c r="I26" s="346"/>
      <c r="J26" s="346" t="s">
        <v>278</v>
      </c>
      <c r="K26" s="346"/>
      <c r="L26" s="344" t="s">
        <v>279</v>
      </c>
      <c r="M26" s="344"/>
      <c r="N26" s="344" t="s">
        <v>280</v>
      </c>
      <c r="O26" s="344"/>
      <c r="P26" s="269"/>
      <c r="Q26" s="320"/>
      <c r="R26" s="36"/>
      <c r="AB26" s="36"/>
    </row>
    <row r="27" spans="1:28" x14ac:dyDescent="0.25">
      <c r="A27" s="57" t="s">
        <v>43</v>
      </c>
      <c r="B27" s="97" t="s">
        <v>9</v>
      </c>
      <c r="C27" s="97" t="s">
        <v>10</v>
      </c>
      <c r="D27" s="97" t="s">
        <v>9</v>
      </c>
      <c r="E27" s="97" t="s">
        <v>10</v>
      </c>
      <c r="F27" s="97" t="s">
        <v>9</v>
      </c>
      <c r="G27" s="97" t="s">
        <v>10</v>
      </c>
      <c r="H27" s="97" t="s">
        <v>9</v>
      </c>
      <c r="I27" s="97" t="s">
        <v>10</v>
      </c>
      <c r="J27" s="97" t="s">
        <v>9</v>
      </c>
      <c r="K27" s="97" t="s">
        <v>10</v>
      </c>
      <c r="L27" s="97" t="s">
        <v>9</v>
      </c>
      <c r="M27" s="97" t="s">
        <v>10</v>
      </c>
      <c r="N27" s="97" t="s">
        <v>44</v>
      </c>
      <c r="O27" s="97" t="s">
        <v>10</v>
      </c>
      <c r="P27" s="117" t="s">
        <v>9</v>
      </c>
      <c r="Q27" s="120" t="s">
        <v>10</v>
      </c>
      <c r="R27" s="36"/>
      <c r="AB27" s="36"/>
    </row>
    <row r="28" spans="1:28" s="59" customFormat="1" ht="12.75" x14ac:dyDescent="0.2">
      <c r="A28" s="99" t="s">
        <v>68</v>
      </c>
      <c r="B28" s="157"/>
      <c r="C28" s="157"/>
      <c r="D28" s="155"/>
      <c r="E28" s="155"/>
      <c r="F28" s="157"/>
      <c r="G28" s="157"/>
      <c r="H28" s="157"/>
      <c r="I28" s="157"/>
      <c r="J28" s="157"/>
      <c r="K28" s="157"/>
      <c r="L28" s="157"/>
      <c r="M28" s="157"/>
      <c r="N28" s="157"/>
      <c r="O28" s="157"/>
      <c r="P28" s="134">
        <f>N28+L28+J28+H28+F28+D28+B28</f>
        <v>0</v>
      </c>
      <c r="Q28" s="135">
        <f>O28+M28+K28+I28+G28+E28+C28</f>
        <v>0</v>
      </c>
      <c r="R28" s="61"/>
      <c r="AB28" s="61"/>
    </row>
    <row r="29" spans="1:28" s="59" customFormat="1" ht="12.75" x14ac:dyDescent="0.2">
      <c r="A29" s="99" t="s">
        <v>69</v>
      </c>
      <c r="B29" s="157"/>
      <c r="C29" s="157"/>
      <c r="D29" s="157"/>
      <c r="E29" s="157"/>
      <c r="F29" s="155"/>
      <c r="G29" s="155"/>
      <c r="H29" s="157"/>
      <c r="I29" s="157"/>
      <c r="J29" s="157"/>
      <c r="K29" s="157"/>
      <c r="L29" s="157"/>
      <c r="M29" s="157"/>
      <c r="N29" s="157"/>
      <c r="O29" s="157"/>
      <c r="P29" s="134">
        <f t="shared" ref="P29:Q31" si="2">N29+L29+J29+H29+F29+D29+B29</f>
        <v>0</v>
      </c>
      <c r="Q29" s="135">
        <f t="shared" si="2"/>
        <v>0</v>
      </c>
      <c r="R29" s="61"/>
      <c r="AB29" s="61"/>
    </row>
    <row r="30" spans="1:28" s="59" customFormat="1" ht="12.75" x14ac:dyDescent="0.2">
      <c r="A30" s="99" t="s">
        <v>70</v>
      </c>
      <c r="B30" s="157"/>
      <c r="C30" s="157"/>
      <c r="D30" s="157"/>
      <c r="E30" s="157"/>
      <c r="F30" s="157"/>
      <c r="G30" s="157"/>
      <c r="H30" s="155"/>
      <c r="I30" s="155"/>
      <c r="J30" s="157"/>
      <c r="K30" s="157"/>
      <c r="L30" s="157"/>
      <c r="M30" s="157"/>
      <c r="N30" s="157"/>
      <c r="O30" s="157"/>
      <c r="P30" s="134">
        <f t="shared" si="2"/>
        <v>0</v>
      </c>
      <c r="Q30" s="135">
        <f t="shared" si="2"/>
        <v>0</v>
      </c>
      <c r="R30" s="61"/>
      <c r="AB30" s="61"/>
    </row>
    <row r="31" spans="1:28" s="59" customFormat="1" ht="12.75" x14ac:dyDescent="0.2">
      <c r="A31" s="99" t="s">
        <v>71</v>
      </c>
      <c r="B31" s="157"/>
      <c r="C31" s="157"/>
      <c r="D31" s="157"/>
      <c r="E31" s="157"/>
      <c r="F31" s="157"/>
      <c r="G31" s="157"/>
      <c r="H31" s="157"/>
      <c r="I31" s="157"/>
      <c r="J31" s="155"/>
      <c r="K31" s="155"/>
      <c r="L31" s="157"/>
      <c r="M31" s="157"/>
      <c r="N31" s="157"/>
      <c r="O31" s="157"/>
      <c r="P31" s="134">
        <f t="shared" si="2"/>
        <v>0</v>
      </c>
      <c r="Q31" s="135">
        <f t="shared" si="2"/>
        <v>0</v>
      </c>
      <c r="R31" s="61"/>
      <c r="AB31" s="61"/>
    </row>
    <row r="32" spans="1:28" s="59" customFormat="1" ht="13.5" thickBot="1" x14ac:dyDescent="0.25">
      <c r="A32" s="126" t="s">
        <v>15</v>
      </c>
      <c r="B32" s="132">
        <f>SUM(B28:B31)</f>
        <v>0</v>
      </c>
      <c r="C32" s="132">
        <f t="shared" ref="C32:Q32" si="3">SUM(C28:C31)</f>
        <v>0</v>
      </c>
      <c r="D32" s="132">
        <f t="shared" si="3"/>
        <v>0</v>
      </c>
      <c r="E32" s="132">
        <f t="shared" si="3"/>
        <v>0</v>
      </c>
      <c r="F32" s="132">
        <f t="shared" si="3"/>
        <v>0</v>
      </c>
      <c r="G32" s="132">
        <f t="shared" si="3"/>
        <v>0</v>
      </c>
      <c r="H32" s="132">
        <f t="shared" si="3"/>
        <v>0</v>
      </c>
      <c r="I32" s="132">
        <f t="shared" si="3"/>
        <v>0</v>
      </c>
      <c r="J32" s="132">
        <f t="shared" si="3"/>
        <v>0</v>
      </c>
      <c r="K32" s="132">
        <f t="shared" si="3"/>
        <v>0</v>
      </c>
      <c r="L32" s="132">
        <f t="shared" si="3"/>
        <v>0</v>
      </c>
      <c r="M32" s="132">
        <f t="shared" si="3"/>
        <v>0</v>
      </c>
      <c r="N32" s="132">
        <f t="shared" si="3"/>
        <v>0</v>
      </c>
      <c r="O32" s="132">
        <f t="shared" si="3"/>
        <v>0</v>
      </c>
      <c r="P32" s="132">
        <f t="shared" si="3"/>
        <v>0</v>
      </c>
      <c r="Q32" s="133">
        <f t="shared" si="3"/>
        <v>0</v>
      </c>
      <c r="R32" s="61"/>
      <c r="AB32" s="61"/>
    </row>
    <row r="33" spans="1:28" ht="14.25" customHeight="1" thickTop="1" thickBot="1" x14ac:dyDescent="0.3">
      <c r="A33" s="39">
        <v>1</v>
      </c>
      <c r="B33" s="36"/>
      <c r="C33" s="36"/>
      <c r="D33" s="36"/>
      <c r="E33" s="36"/>
      <c r="F33" s="36"/>
      <c r="G33" s="36"/>
      <c r="H33" s="36"/>
      <c r="I33" s="36"/>
      <c r="J33" s="36"/>
      <c r="K33" s="36"/>
      <c r="L33" s="36"/>
      <c r="M33" s="36"/>
      <c r="N33" s="36"/>
      <c r="O33" s="36"/>
      <c r="P33" s="36"/>
      <c r="Q33" s="36"/>
      <c r="R33" s="36"/>
      <c r="S33" s="36"/>
      <c r="T33" s="36"/>
      <c r="U33" s="36"/>
      <c r="V33" s="36"/>
      <c r="W33" s="36"/>
      <c r="X33" s="36"/>
      <c r="Y33" s="123"/>
      <c r="Z33" s="56"/>
      <c r="AA33" s="56"/>
      <c r="AB33" s="56"/>
    </row>
    <row r="34" spans="1:28" ht="15.75" customHeight="1" thickTop="1" x14ac:dyDescent="0.25">
      <c r="A34" s="386" t="s">
        <v>1114</v>
      </c>
      <c r="B34" s="384"/>
      <c r="C34" s="384"/>
      <c r="D34" s="384"/>
      <c r="E34" s="384"/>
      <c r="F34" s="384"/>
      <c r="G34" s="384"/>
      <c r="H34" s="384"/>
      <c r="I34" s="384"/>
      <c r="J34" s="384"/>
      <c r="K34" s="384"/>
      <c r="L34" s="384"/>
      <c r="M34" s="384"/>
      <c r="N34" s="384"/>
      <c r="O34" s="385"/>
      <c r="P34" s="36"/>
      <c r="Q34" s="36"/>
      <c r="R34" s="36"/>
      <c r="S34" s="36"/>
      <c r="T34" s="59"/>
      <c r="U34" s="59"/>
      <c r="V34" s="59"/>
      <c r="W34" s="59"/>
      <c r="X34" s="59"/>
      <c r="Y34" s="123"/>
      <c r="Z34" s="56"/>
      <c r="AA34" s="56"/>
      <c r="AB34" s="56"/>
    </row>
    <row r="35" spans="1:28" ht="15.75" customHeight="1" x14ac:dyDescent="0.25">
      <c r="A35" s="105">
        <v>1</v>
      </c>
      <c r="B35" s="346" t="s">
        <v>1443</v>
      </c>
      <c r="C35" s="346"/>
      <c r="D35" s="346"/>
      <c r="E35" s="346"/>
      <c r="F35" s="346" t="s">
        <v>1444</v>
      </c>
      <c r="G35" s="346"/>
      <c r="H35" s="346"/>
      <c r="I35" s="346"/>
      <c r="J35" s="346" t="s">
        <v>1445</v>
      </c>
      <c r="K35" s="346"/>
      <c r="L35" s="346"/>
      <c r="M35" s="346"/>
      <c r="N35" s="247" t="s">
        <v>1447</v>
      </c>
      <c r="O35" s="387"/>
      <c r="P35" s="36"/>
      <c r="Q35" s="36"/>
      <c r="R35" s="36"/>
      <c r="S35" s="36"/>
      <c r="T35" s="59"/>
      <c r="U35" s="59"/>
      <c r="V35" s="59"/>
      <c r="W35" s="59"/>
      <c r="X35" s="59"/>
      <c r="Y35" s="123"/>
      <c r="Z35" s="56"/>
      <c r="AA35" s="56"/>
      <c r="AB35" s="56"/>
    </row>
    <row r="36" spans="1:28" ht="15.75" customHeight="1" x14ac:dyDescent="0.25">
      <c r="A36" s="106">
        <v>1</v>
      </c>
      <c r="B36" s="346" t="s">
        <v>1448</v>
      </c>
      <c r="C36" s="346"/>
      <c r="D36" s="346" t="s">
        <v>262</v>
      </c>
      <c r="E36" s="346"/>
      <c r="F36" s="346" t="s">
        <v>1448</v>
      </c>
      <c r="G36" s="346"/>
      <c r="H36" s="346" t="s">
        <v>262</v>
      </c>
      <c r="I36" s="346"/>
      <c r="J36" s="346" t="s">
        <v>1448</v>
      </c>
      <c r="K36" s="346"/>
      <c r="L36" s="346" t="s">
        <v>262</v>
      </c>
      <c r="M36" s="346"/>
      <c r="N36" s="247"/>
      <c r="O36" s="387"/>
      <c r="P36" s="36"/>
      <c r="Q36" s="36"/>
      <c r="R36" s="36"/>
      <c r="S36" s="36"/>
      <c r="T36" s="59"/>
      <c r="U36" s="59"/>
      <c r="V36" s="59"/>
      <c r="W36" s="59"/>
      <c r="X36" s="59"/>
      <c r="Y36" s="123"/>
      <c r="Z36" s="56"/>
      <c r="AA36" s="56"/>
      <c r="AB36" s="56"/>
    </row>
    <row r="37" spans="1:28" ht="15.75" customHeight="1" x14ac:dyDescent="0.25">
      <c r="A37" s="124" t="s">
        <v>68</v>
      </c>
      <c r="B37" s="324"/>
      <c r="C37" s="324"/>
      <c r="D37" s="325"/>
      <c r="E37" s="326"/>
      <c r="F37" s="324"/>
      <c r="G37" s="324"/>
      <c r="H37" s="325"/>
      <c r="I37" s="326"/>
      <c r="J37" s="324"/>
      <c r="K37" s="324"/>
      <c r="L37" s="325"/>
      <c r="M37" s="326"/>
      <c r="N37" s="210">
        <f t="shared" ref="N37:N38" si="4">B37+F37+J37</f>
        <v>0</v>
      </c>
      <c r="O37" s="327"/>
      <c r="P37" s="35">
        <f>D37+H37+L37</f>
        <v>0</v>
      </c>
      <c r="Q37" s="36"/>
      <c r="R37" s="36"/>
      <c r="S37" s="36"/>
      <c r="T37" s="59"/>
      <c r="U37" s="59"/>
      <c r="V37" s="59"/>
      <c r="W37" s="59"/>
      <c r="X37" s="59"/>
      <c r="Y37" s="123"/>
      <c r="Z37" s="56"/>
      <c r="AA37" s="56"/>
      <c r="AB37" s="56"/>
    </row>
    <row r="38" spans="1:28" ht="15.75" customHeight="1" x14ac:dyDescent="0.25">
      <c r="A38" s="124" t="s">
        <v>69</v>
      </c>
      <c r="B38" s="324"/>
      <c r="C38" s="324"/>
      <c r="D38" s="325"/>
      <c r="E38" s="326"/>
      <c r="F38" s="324"/>
      <c r="G38" s="324"/>
      <c r="H38" s="325"/>
      <c r="I38" s="326"/>
      <c r="J38" s="324"/>
      <c r="K38" s="324"/>
      <c r="L38" s="325"/>
      <c r="M38" s="326"/>
      <c r="N38" s="210">
        <f t="shared" si="4"/>
        <v>0</v>
      </c>
      <c r="O38" s="327"/>
      <c r="P38" s="35">
        <f t="shared" ref="P38:P40" si="5">D38+H38+L38</f>
        <v>0</v>
      </c>
      <c r="Q38" s="36"/>
      <c r="R38" s="36"/>
      <c r="S38" s="36"/>
      <c r="T38" s="59"/>
      <c r="U38" s="59"/>
      <c r="V38" s="59"/>
      <c r="W38" s="59"/>
      <c r="X38" s="59"/>
      <c r="Y38" s="123"/>
      <c r="Z38" s="56"/>
      <c r="AA38" s="56"/>
      <c r="AB38" s="56"/>
    </row>
    <row r="39" spans="1:28" ht="15.75" customHeight="1" x14ac:dyDescent="0.25">
      <c r="A39" s="124" t="s">
        <v>70</v>
      </c>
      <c r="B39" s="324"/>
      <c r="C39" s="324"/>
      <c r="D39" s="324"/>
      <c r="E39" s="324"/>
      <c r="F39" s="324"/>
      <c r="G39" s="324"/>
      <c r="H39" s="324"/>
      <c r="I39" s="324"/>
      <c r="J39" s="324"/>
      <c r="K39" s="324"/>
      <c r="L39" s="324"/>
      <c r="M39" s="324"/>
      <c r="N39" s="210">
        <f>B39+F39+J39</f>
        <v>0</v>
      </c>
      <c r="O39" s="327">
        <f>C39+G39+K39</f>
        <v>0</v>
      </c>
      <c r="P39" s="35">
        <f t="shared" si="5"/>
        <v>0</v>
      </c>
      <c r="Q39" s="36"/>
      <c r="R39" s="36"/>
      <c r="S39" s="36"/>
      <c r="T39" s="59"/>
      <c r="U39" s="59"/>
      <c r="V39" s="59"/>
      <c r="W39" s="59"/>
      <c r="X39" s="59"/>
      <c r="Y39" s="123"/>
      <c r="Z39" s="56"/>
      <c r="AA39" s="56"/>
      <c r="AB39" s="56"/>
    </row>
    <row r="40" spans="1:28" ht="14.25" customHeight="1" x14ac:dyDescent="0.25">
      <c r="A40" s="124" t="s">
        <v>71</v>
      </c>
      <c r="B40" s="324"/>
      <c r="C40" s="324"/>
      <c r="D40" s="324"/>
      <c r="E40" s="324"/>
      <c r="F40" s="324"/>
      <c r="G40" s="324"/>
      <c r="H40" s="324"/>
      <c r="I40" s="324"/>
      <c r="J40" s="324"/>
      <c r="K40" s="324"/>
      <c r="L40" s="324"/>
      <c r="M40" s="324"/>
      <c r="N40" s="210">
        <f>B40+F40+J40</f>
        <v>0</v>
      </c>
      <c r="O40" s="327">
        <f>C40+G40+K40</f>
        <v>0</v>
      </c>
      <c r="P40" s="35">
        <f t="shared" si="5"/>
        <v>0</v>
      </c>
      <c r="Q40" s="36"/>
      <c r="R40" s="36"/>
      <c r="S40" s="36"/>
      <c r="T40" s="59"/>
      <c r="U40" s="59"/>
      <c r="V40" s="59"/>
      <c r="W40" s="59"/>
      <c r="X40" s="59"/>
      <c r="Y40" s="123"/>
      <c r="Z40" s="56"/>
      <c r="AA40" s="56"/>
      <c r="AB40" s="56"/>
    </row>
    <row r="41" spans="1:28" ht="15.75" customHeight="1" thickBot="1" x14ac:dyDescent="0.3">
      <c r="A41" s="126" t="s">
        <v>15</v>
      </c>
      <c r="B41" s="328">
        <f>SUM(B37:C40)</f>
        <v>0</v>
      </c>
      <c r="C41" s="328"/>
      <c r="D41" s="329"/>
      <c r="E41" s="329"/>
      <c r="F41" s="328">
        <f>SUM(F37:G40)</f>
        <v>0</v>
      </c>
      <c r="G41" s="328"/>
      <c r="H41" s="329"/>
      <c r="I41" s="329"/>
      <c r="J41" s="328">
        <f>SUM(J37:K40)</f>
        <v>0</v>
      </c>
      <c r="K41" s="328"/>
      <c r="L41" s="329"/>
      <c r="M41" s="329"/>
      <c r="N41" s="328">
        <f>SUM(N37:O40)</f>
        <v>0</v>
      </c>
      <c r="O41" s="345">
        <f>SUM(O37:O40)</f>
        <v>0</v>
      </c>
      <c r="P41" s="36"/>
      <c r="Q41" s="36"/>
      <c r="R41" s="36"/>
      <c r="S41" s="36"/>
      <c r="T41" s="59"/>
      <c r="U41" s="59"/>
      <c r="V41" s="59"/>
      <c r="W41" s="59"/>
      <c r="X41" s="59"/>
      <c r="Y41" s="123"/>
      <c r="Z41" s="56"/>
      <c r="AA41" s="56"/>
      <c r="AB41" s="56"/>
    </row>
    <row r="42" spans="1:28" ht="15.75" customHeight="1" thickTop="1" thickBot="1" x14ac:dyDescent="0.3">
      <c r="A42" s="39" t="s">
        <v>1115</v>
      </c>
      <c r="B42" s="36"/>
      <c r="C42" s="36"/>
      <c r="D42" s="36"/>
      <c r="E42" s="36"/>
      <c r="F42" s="36"/>
      <c r="G42" s="36"/>
      <c r="H42" s="36"/>
      <c r="I42" s="36"/>
      <c r="J42" s="36"/>
      <c r="K42" s="36"/>
      <c r="L42" s="36"/>
      <c r="M42" s="36"/>
      <c r="N42" s="36"/>
      <c r="O42" s="36"/>
      <c r="P42" s="36"/>
      <c r="Q42" s="36"/>
      <c r="R42" s="36"/>
      <c r="S42" s="36"/>
      <c r="T42" s="59"/>
      <c r="U42" s="59"/>
      <c r="V42" s="59"/>
      <c r="W42" s="59"/>
      <c r="X42" s="59"/>
      <c r="Y42" s="123"/>
      <c r="Z42" s="56"/>
      <c r="AA42" s="56"/>
      <c r="AB42" s="56"/>
    </row>
    <row r="43" spans="1:28" ht="15.75" customHeight="1" thickTop="1" x14ac:dyDescent="0.25">
      <c r="A43" s="330" t="s">
        <v>46</v>
      </c>
      <c r="B43" s="331"/>
      <c r="C43" s="331"/>
      <c r="D43" s="331"/>
      <c r="E43" s="331"/>
      <c r="F43" s="331"/>
      <c r="G43" s="331"/>
      <c r="H43" s="331"/>
      <c r="I43" s="331"/>
      <c r="J43" s="331"/>
      <c r="K43" s="332"/>
      <c r="L43" s="36"/>
      <c r="M43" s="36"/>
      <c r="N43" s="36"/>
      <c r="O43" s="36"/>
      <c r="P43" s="36"/>
      <c r="Q43" s="36"/>
      <c r="R43" s="36"/>
      <c r="S43" s="36"/>
      <c r="T43" s="36"/>
      <c r="U43" s="36"/>
      <c r="V43" s="36"/>
      <c r="W43" s="36"/>
      <c r="X43" s="36"/>
      <c r="Y43" s="123"/>
      <c r="Z43" s="56"/>
      <c r="AA43" s="56"/>
      <c r="AB43" s="56"/>
    </row>
    <row r="44" spans="1:28" ht="15.75" customHeight="1" x14ac:dyDescent="0.25">
      <c r="A44" s="101" t="s">
        <v>1115</v>
      </c>
      <c r="B44" s="344" t="s">
        <v>47</v>
      </c>
      <c r="C44" s="344"/>
      <c r="D44" s="344" t="s">
        <v>48</v>
      </c>
      <c r="E44" s="344"/>
      <c r="F44" s="344" t="s">
        <v>49</v>
      </c>
      <c r="G44" s="344"/>
      <c r="H44" s="344" t="s">
        <v>50</v>
      </c>
      <c r="I44" s="344"/>
      <c r="J44" s="269" t="s">
        <v>15</v>
      </c>
      <c r="K44" s="320"/>
      <c r="L44" s="36"/>
      <c r="M44" s="36"/>
      <c r="N44" s="36"/>
      <c r="O44" s="36"/>
      <c r="P44" s="36"/>
      <c r="Q44" s="36"/>
      <c r="R44" s="36"/>
      <c r="S44" s="36"/>
      <c r="T44" s="36"/>
      <c r="U44" s="36"/>
      <c r="V44" s="36"/>
      <c r="W44" s="36"/>
      <c r="X44" s="36"/>
      <c r="Y44" s="123"/>
      <c r="Z44" s="56"/>
      <c r="AA44" s="56"/>
      <c r="AB44" s="56"/>
    </row>
    <row r="45" spans="1:28" ht="15.75" customHeight="1" x14ac:dyDescent="0.25">
      <c r="A45" s="37">
        <v>1</v>
      </c>
      <c r="B45" s="125" t="s">
        <v>9</v>
      </c>
      <c r="C45" s="125" t="s">
        <v>10</v>
      </c>
      <c r="D45" s="125" t="s">
        <v>9</v>
      </c>
      <c r="E45" s="125" t="s">
        <v>10</v>
      </c>
      <c r="F45" s="125" t="s">
        <v>9</v>
      </c>
      <c r="G45" s="125" t="s">
        <v>10</v>
      </c>
      <c r="H45" s="125" t="s">
        <v>9</v>
      </c>
      <c r="I45" s="125" t="s">
        <v>10</v>
      </c>
      <c r="J45" s="117" t="s">
        <v>9</v>
      </c>
      <c r="K45" s="120" t="s">
        <v>10</v>
      </c>
      <c r="L45" s="36"/>
      <c r="M45" s="36"/>
      <c r="N45" s="36"/>
      <c r="O45" s="36"/>
      <c r="P45" s="36"/>
      <c r="Q45" s="36"/>
      <c r="R45" s="36"/>
      <c r="S45" s="36"/>
      <c r="T45" s="36"/>
      <c r="U45" s="36"/>
      <c r="V45" s="36"/>
      <c r="W45" s="36"/>
      <c r="X45" s="36"/>
      <c r="Y45" s="123"/>
      <c r="Z45" s="56"/>
      <c r="AA45" s="56"/>
      <c r="AB45" s="56"/>
    </row>
    <row r="46" spans="1:28" ht="15.75" customHeight="1" x14ac:dyDescent="0.25">
      <c r="A46" s="99" t="s">
        <v>68</v>
      </c>
      <c r="B46" s="155"/>
      <c r="C46" s="155"/>
      <c r="D46" s="155"/>
      <c r="E46" s="155"/>
      <c r="F46" s="155"/>
      <c r="G46" s="155"/>
      <c r="H46" s="155"/>
      <c r="I46" s="155"/>
      <c r="J46" s="130">
        <f>B46+D46+F46+H46</f>
        <v>0</v>
      </c>
      <c r="K46" s="131">
        <f>C46+E46+G46+I46</f>
        <v>0</v>
      </c>
      <c r="L46" s="36"/>
      <c r="M46" s="36"/>
      <c r="N46" s="36"/>
      <c r="O46" s="36"/>
      <c r="P46" s="36"/>
      <c r="Q46" s="36"/>
      <c r="R46" s="36"/>
      <c r="S46" s="36"/>
      <c r="T46" s="36"/>
      <c r="U46" s="36"/>
      <c r="V46" s="36"/>
      <c r="W46" s="36"/>
      <c r="X46" s="36"/>
      <c r="Y46" s="123"/>
      <c r="Z46" s="56"/>
      <c r="AA46" s="56"/>
      <c r="AB46" s="56"/>
    </row>
    <row r="47" spans="1:28" ht="15.75" customHeight="1" x14ac:dyDescent="0.25">
      <c r="A47" s="99" t="s">
        <v>69</v>
      </c>
      <c r="B47" s="155"/>
      <c r="C47" s="155"/>
      <c r="D47" s="155"/>
      <c r="E47" s="155"/>
      <c r="F47" s="155"/>
      <c r="G47" s="155"/>
      <c r="H47" s="155"/>
      <c r="I47" s="155"/>
      <c r="J47" s="130">
        <f t="shared" ref="J47:K50" si="6">B47+D47+F47+H47</f>
        <v>0</v>
      </c>
      <c r="K47" s="131">
        <f t="shared" si="6"/>
        <v>0</v>
      </c>
      <c r="L47" s="36"/>
      <c r="M47" s="36"/>
      <c r="N47" s="36"/>
      <c r="O47" s="36"/>
      <c r="P47" s="36"/>
      <c r="Q47" s="36"/>
      <c r="R47" s="36"/>
      <c r="S47" s="36"/>
      <c r="T47" s="36"/>
      <c r="U47" s="36"/>
      <c r="V47" s="36"/>
      <c r="W47" s="36"/>
      <c r="X47" s="36"/>
      <c r="Y47" s="123"/>
      <c r="Z47" s="56"/>
      <c r="AA47" s="56"/>
      <c r="AB47" s="56"/>
    </row>
    <row r="48" spans="1:28" ht="15.75" customHeight="1" x14ac:dyDescent="0.25">
      <c r="A48" s="99" t="s">
        <v>70</v>
      </c>
      <c r="B48" s="155"/>
      <c r="C48" s="155"/>
      <c r="D48" s="155"/>
      <c r="E48" s="155"/>
      <c r="F48" s="155"/>
      <c r="G48" s="155"/>
      <c r="H48" s="155"/>
      <c r="I48" s="155"/>
      <c r="J48" s="130">
        <f t="shared" si="6"/>
        <v>0</v>
      </c>
      <c r="K48" s="131">
        <f t="shared" si="6"/>
        <v>0</v>
      </c>
      <c r="L48" s="36"/>
      <c r="M48" s="36"/>
      <c r="N48" s="36"/>
      <c r="O48" s="36"/>
      <c r="P48" s="36"/>
      <c r="Q48" s="36"/>
      <c r="R48" s="36"/>
      <c r="S48" s="36"/>
      <c r="T48" s="36"/>
      <c r="U48" s="36"/>
      <c r="V48" s="36"/>
      <c r="W48" s="36"/>
      <c r="X48" s="36"/>
      <c r="Y48" s="123"/>
      <c r="Z48" s="56"/>
      <c r="AA48" s="56"/>
      <c r="AB48" s="56"/>
    </row>
    <row r="49" spans="1:34" ht="15.75" customHeight="1" x14ac:dyDescent="0.25">
      <c r="A49" s="99" t="s">
        <v>71</v>
      </c>
      <c r="B49" s="155"/>
      <c r="C49" s="155"/>
      <c r="D49" s="155"/>
      <c r="E49" s="155"/>
      <c r="F49" s="155"/>
      <c r="G49" s="155"/>
      <c r="H49" s="155"/>
      <c r="I49" s="155"/>
      <c r="J49" s="130">
        <f t="shared" si="6"/>
        <v>0</v>
      </c>
      <c r="K49" s="131">
        <f t="shared" si="6"/>
        <v>0</v>
      </c>
      <c r="L49" s="36"/>
      <c r="M49" s="36"/>
      <c r="N49" s="36"/>
      <c r="O49" s="36"/>
      <c r="P49" s="36"/>
      <c r="Q49" s="36"/>
      <c r="R49" s="36"/>
      <c r="S49" s="36"/>
      <c r="T49" s="36"/>
      <c r="U49" s="36"/>
      <c r="V49" s="36"/>
      <c r="W49" s="36"/>
      <c r="X49" s="36"/>
      <c r="Y49" s="123"/>
      <c r="Z49" s="56"/>
      <c r="AA49" s="56"/>
      <c r="AB49" s="56"/>
    </row>
    <row r="50" spans="1:34" ht="15.75" customHeight="1" thickBot="1" x14ac:dyDescent="0.3">
      <c r="A50" s="126" t="s">
        <v>15</v>
      </c>
      <c r="B50" s="132">
        <f t="shared" ref="B50:I50" si="7">SUM(B46:B49)</f>
        <v>0</v>
      </c>
      <c r="C50" s="132">
        <f t="shared" si="7"/>
        <v>0</v>
      </c>
      <c r="D50" s="132">
        <f t="shared" si="7"/>
        <v>0</v>
      </c>
      <c r="E50" s="132">
        <f t="shared" si="7"/>
        <v>0</v>
      </c>
      <c r="F50" s="132">
        <f t="shared" si="7"/>
        <v>0</v>
      </c>
      <c r="G50" s="132">
        <f t="shared" si="7"/>
        <v>0</v>
      </c>
      <c r="H50" s="132">
        <f t="shared" si="7"/>
        <v>0</v>
      </c>
      <c r="I50" s="132">
        <f t="shared" si="7"/>
        <v>0</v>
      </c>
      <c r="J50" s="132">
        <f t="shared" si="6"/>
        <v>0</v>
      </c>
      <c r="K50" s="133">
        <f t="shared" si="6"/>
        <v>0</v>
      </c>
      <c r="L50" s="36"/>
      <c r="M50" s="36"/>
      <c r="N50" s="36"/>
      <c r="O50" s="36"/>
      <c r="P50" s="36"/>
      <c r="Q50" s="36"/>
      <c r="R50" s="36"/>
      <c r="S50" s="36"/>
      <c r="T50" s="36"/>
      <c r="U50" s="36"/>
      <c r="V50" s="36"/>
      <c r="W50" s="36"/>
      <c r="X50" s="36"/>
      <c r="Y50" s="123"/>
      <c r="Z50" s="56"/>
      <c r="AA50" s="56"/>
      <c r="AB50" s="56"/>
    </row>
    <row r="51" spans="1:34" ht="15.75" customHeight="1" thickTop="1" thickBot="1" x14ac:dyDescent="0.3">
      <c r="A51" s="39" t="s">
        <v>1115</v>
      </c>
      <c r="B51" s="36"/>
      <c r="C51" s="36"/>
      <c r="D51" s="36"/>
      <c r="E51" s="36"/>
      <c r="F51" s="36"/>
      <c r="G51" s="36"/>
      <c r="H51" s="36"/>
      <c r="I51" s="36"/>
      <c r="J51" s="36"/>
      <c r="K51" s="36"/>
      <c r="L51" s="36"/>
      <c r="M51" s="36"/>
      <c r="N51" s="36"/>
      <c r="O51" s="36"/>
      <c r="P51" s="36"/>
      <c r="Q51" s="36"/>
      <c r="R51" s="36"/>
      <c r="S51" s="36"/>
      <c r="T51" s="36"/>
      <c r="U51" s="36"/>
      <c r="V51" s="36"/>
      <c r="W51" s="36"/>
      <c r="X51" s="36"/>
      <c r="Y51" s="123"/>
      <c r="Z51" s="56"/>
      <c r="AA51" s="56"/>
      <c r="AB51" s="56"/>
    </row>
    <row r="52" spans="1:34" ht="15.75" customHeight="1" thickTop="1" x14ac:dyDescent="0.25">
      <c r="A52" s="295" t="s">
        <v>1452</v>
      </c>
      <c r="B52" s="296"/>
      <c r="C52" s="296"/>
      <c r="D52" s="296"/>
      <c r="E52" s="296"/>
      <c r="F52" s="296"/>
      <c r="G52" s="296"/>
      <c r="H52" s="296"/>
      <c r="I52" s="296"/>
      <c r="J52" s="296"/>
      <c r="K52" s="296"/>
      <c r="L52" s="296"/>
      <c r="M52" s="296"/>
      <c r="N52" s="296"/>
      <c r="O52" s="296"/>
      <c r="P52" s="296"/>
      <c r="Q52" s="296"/>
      <c r="R52" s="296"/>
      <c r="S52" s="297"/>
      <c r="AB52" s="59"/>
      <c r="AC52" s="59"/>
      <c r="AD52" s="59"/>
      <c r="AE52" s="59"/>
      <c r="AF52" s="59"/>
      <c r="AG52" s="59"/>
      <c r="AH52" s="59"/>
    </row>
    <row r="53" spans="1:34" ht="15" customHeight="1" x14ac:dyDescent="0.25">
      <c r="A53" s="42">
        <v>1</v>
      </c>
      <c r="B53" s="107"/>
      <c r="C53" s="110"/>
      <c r="D53" s="309" t="s">
        <v>51</v>
      </c>
      <c r="E53" s="310"/>
      <c r="F53" s="310"/>
      <c r="G53" s="310"/>
      <c r="H53" s="310"/>
      <c r="I53" s="310"/>
      <c r="J53" s="310"/>
      <c r="K53" s="310"/>
      <c r="L53" s="310"/>
      <c r="M53" s="310"/>
      <c r="N53" s="310"/>
      <c r="O53" s="310"/>
      <c r="P53" s="310"/>
      <c r="Q53" s="310"/>
      <c r="R53" s="310"/>
      <c r="S53" s="311"/>
      <c r="AB53" s="59"/>
      <c r="AC53" s="59"/>
      <c r="AD53" s="59"/>
      <c r="AE53" s="59"/>
      <c r="AF53" s="59"/>
      <c r="AG53" s="59"/>
      <c r="AH53" s="59"/>
    </row>
    <row r="54" spans="1:34" ht="21.75" customHeight="1" x14ac:dyDescent="0.25">
      <c r="A54" s="42">
        <v>1</v>
      </c>
      <c r="B54" s="107"/>
      <c r="C54" s="110"/>
      <c r="D54" s="312" t="s">
        <v>52</v>
      </c>
      <c r="E54" s="313"/>
      <c r="F54" s="312" t="s">
        <v>53</v>
      </c>
      <c r="G54" s="313"/>
      <c r="H54" s="316" t="s">
        <v>54</v>
      </c>
      <c r="I54" s="317"/>
      <c r="J54" s="312" t="s">
        <v>55</v>
      </c>
      <c r="K54" s="313"/>
      <c r="L54" s="312" t="s">
        <v>56</v>
      </c>
      <c r="M54" s="313"/>
      <c r="N54" s="312" t="s">
        <v>149</v>
      </c>
      <c r="O54" s="313"/>
      <c r="P54" s="312" t="s">
        <v>145</v>
      </c>
      <c r="Q54" s="313"/>
      <c r="R54" s="280" t="s">
        <v>15</v>
      </c>
      <c r="S54" s="281"/>
      <c r="AB54" s="59"/>
      <c r="AC54" s="59"/>
      <c r="AD54" s="59"/>
      <c r="AE54" s="59"/>
      <c r="AF54" s="59"/>
      <c r="AG54" s="59"/>
      <c r="AH54" s="59"/>
    </row>
    <row r="55" spans="1:34" x14ac:dyDescent="0.25">
      <c r="A55" s="42">
        <v>1</v>
      </c>
      <c r="B55" s="107"/>
      <c r="C55" s="110"/>
      <c r="D55" s="314"/>
      <c r="E55" s="315"/>
      <c r="F55" s="314"/>
      <c r="G55" s="315"/>
      <c r="H55" s="318"/>
      <c r="I55" s="319"/>
      <c r="J55" s="314"/>
      <c r="K55" s="315"/>
      <c r="L55" s="314"/>
      <c r="M55" s="315"/>
      <c r="N55" s="314"/>
      <c r="O55" s="315"/>
      <c r="P55" s="314"/>
      <c r="Q55" s="315"/>
      <c r="R55" s="282"/>
      <c r="S55" s="283"/>
      <c r="AB55" s="59"/>
      <c r="AC55" s="59"/>
      <c r="AD55" s="59"/>
      <c r="AE55" s="59"/>
      <c r="AF55" s="59"/>
      <c r="AG55" s="59"/>
      <c r="AH55" s="59"/>
    </row>
    <row r="56" spans="1:34" x14ac:dyDescent="0.25">
      <c r="A56" s="108">
        <v>1</v>
      </c>
      <c r="B56" s="109"/>
      <c r="C56" s="111"/>
      <c r="D56" s="97" t="s">
        <v>9</v>
      </c>
      <c r="E56" s="97" t="s">
        <v>10</v>
      </c>
      <c r="F56" s="97" t="s">
        <v>9</v>
      </c>
      <c r="G56" s="97" t="s">
        <v>10</v>
      </c>
      <c r="H56" s="97" t="s">
        <v>9</v>
      </c>
      <c r="I56" s="97" t="s">
        <v>10</v>
      </c>
      <c r="J56" s="97" t="s">
        <v>9</v>
      </c>
      <c r="K56" s="97" t="s">
        <v>10</v>
      </c>
      <c r="L56" s="97" t="s">
        <v>9</v>
      </c>
      <c r="M56" s="97" t="s">
        <v>10</v>
      </c>
      <c r="N56" s="97" t="s">
        <v>9</v>
      </c>
      <c r="O56" s="97" t="s">
        <v>10</v>
      </c>
      <c r="P56" s="97" t="s">
        <v>9</v>
      </c>
      <c r="Q56" s="97" t="s">
        <v>10</v>
      </c>
      <c r="R56" s="117" t="s">
        <v>9</v>
      </c>
      <c r="S56" s="120" t="s">
        <v>10</v>
      </c>
      <c r="AB56" s="59"/>
      <c r="AC56" s="59"/>
      <c r="AD56" s="59"/>
      <c r="AE56" s="59"/>
      <c r="AF56" s="59"/>
      <c r="AG56" s="59"/>
      <c r="AH56" s="59"/>
    </row>
    <row r="57" spans="1:34" ht="24.75" customHeight="1" x14ac:dyDescent="0.25">
      <c r="A57" s="271" t="s">
        <v>123</v>
      </c>
      <c r="B57" s="249"/>
      <c r="C57" s="250"/>
      <c r="D57" s="155"/>
      <c r="E57" s="155"/>
      <c r="F57" s="155"/>
      <c r="G57" s="155"/>
      <c r="H57" s="155"/>
      <c r="I57" s="155"/>
      <c r="J57" s="155"/>
      <c r="K57" s="155"/>
      <c r="L57" s="155"/>
      <c r="M57" s="155"/>
      <c r="N57" s="155"/>
      <c r="O57" s="155"/>
      <c r="P57" s="155"/>
      <c r="Q57" s="155"/>
      <c r="R57" s="130">
        <f>P57+N57+L57+J57+H57+F57+D57</f>
        <v>0</v>
      </c>
      <c r="S57" s="131">
        <f>Q57+O57+M57+K57+I57+G57+E57</f>
        <v>0</v>
      </c>
      <c r="AB57" s="59"/>
      <c r="AC57" s="59"/>
      <c r="AD57" s="59"/>
      <c r="AE57" s="59"/>
      <c r="AF57" s="59"/>
      <c r="AG57" s="59"/>
      <c r="AH57" s="59"/>
    </row>
    <row r="58" spans="1:34" ht="24.75" customHeight="1" x14ac:dyDescent="0.25">
      <c r="A58" s="271" t="s">
        <v>122</v>
      </c>
      <c r="B58" s="249"/>
      <c r="C58" s="250"/>
      <c r="D58" s="155"/>
      <c r="E58" s="155"/>
      <c r="F58" s="155"/>
      <c r="G58" s="155"/>
      <c r="H58" s="155"/>
      <c r="I58" s="155"/>
      <c r="J58" s="155"/>
      <c r="K58" s="155"/>
      <c r="L58" s="155"/>
      <c r="M58" s="155"/>
      <c r="N58" s="155"/>
      <c r="O58" s="155"/>
      <c r="P58" s="155"/>
      <c r="Q58" s="155"/>
      <c r="R58" s="130">
        <f t="shared" ref="R58:S59" si="8">P58+N58+L58+J58+H58+F58+D58</f>
        <v>0</v>
      </c>
      <c r="S58" s="131">
        <f t="shared" si="8"/>
        <v>0</v>
      </c>
      <c r="T58" s="35">
        <f>D57+D58+F57+F58+H57+H58+J57+J58+L57+L58+N57+N58+P57+P58</f>
        <v>0</v>
      </c>
      <c r="U58" s="35">
        <f>E57+E58+G57+G58+I57+I58+K57+K58+M57+M58+O57+O58+Q57+Q58</f>
        <v>0</v>
      </c>
      <c r="AB58" s="59"/>
      <c r="AC58" s="59"/>
      <c r="AD58" s="59"/>
      <c r="AE58" s="59"/>
      <c r="AF58" s="59"/>
      <c r="AG58" s="59"/>
      <c r="AH58" s="59"/>
    </row>
    <row r="59" spans="1:34" ht="24.75" customHeight="1" x14ac:dyDescent="0.25">
      <c r="A59" s="271" t="s">
        <v>121</v>
      </c>
      <c r="B59" s="249"/>
      <c r="C59" s="250"/>
      <c r="D59" s="155"/>
      <c r="E59" s="155"/>
      <c r="F59" s="155"/>
      <c r="G59" s="155"/>
      <c r="H59" s="155"/>
      <c r="I59" s="155"/>
      <c r="J59" s="155"/>
      <c r="K59" s="155"/>
      <c r="L59" s="155"/>
      <c r="M59" s="155"/>
      <c r="N59" s="155"/>
      <c r="O59" s="155"/>
      <c r="P59" s="155"/>
      <c r="Q59" s="155"/>
      <c r="R59" s="130">
        <f t="shared" si="8"/>
        <v>0</v>
      </c>
      <c r="S59" s="131">
        <f t="shared" si="8"/>
        <v>0</v>
      </c>
      <c r="AB59" s="59"/>
      <c r="AC59" s="59"/>
      <c r="AD59" s="59"/>
      <c r="AE59" s="59"/>
      <c r="AF59" s="59"/>
      <c r="AG59" s="59"/>
      <c r="AH59" s="59"/>
    </row>
    <row r="60" spans="1:34" x14ac:dyDescent="0.25">
      <c r="A60" s="341" t="s">
        <v>15</v>
      </c>
      <c r="B60" s="342"/>
      <c r="C60" s="343"/>
      <c r="D60" s="153" t="str">
        <f>IF(SUM(D57:D59)=0, "", SUM(D57:D59))</f>
        <v/>
      </c>
      <c r="E60" s="153" t="str">
        <f t="shared" ref="E60:Q60" si="9">IF(SUM(E57:E59)=0, "", SUM(E57:E59))</f>
        <v/>
      </c>
      <c r="F60" s="153" t="str">
        <f t="shared" si="9"/>
        <v/>
      </c>
      <c r="G60" s="153" t="str">
        <f t="shared" si="9"/>
        <v/>
      </c>
      <c r="H60" s="153" t="str">
        <f t="shared" si="9"/>
        <v/>
      </c>
      <c r="I60" s="153" t="str">
        <f t="shared" si="9"/>
        <v/>
      </c>
      <c r="J60" s="153" t="str">
        <f t="shared" si="9"/>
        <v/>
      </c>
      <c r="K60" s="153" t="str">
        <f t="shared" si="9"/>
        <v/>
      </c>
      <c r="L60" s="153" t="str">
        <f t="shared" si="9"/>
        <v/>
      </c>
      <c r="M60" s="153" t="str">
        <f t="shared" si="9"/>
        <v/>
      </c>
      <c r="N60" s="153" t="str">
        <f t="shared" si="9"/>
        <v/>
      </c>
      <c r="O60" s="153" t="str">
        <f t="shared" si="9"/>
        <v/>
      </c>
      <c r="P60" s="153" t="str">
        <f t="shared" si="9"/>
        <v/>
      </c>
      <c r="Q60" s="153" t="str">
        <f t="shared" si="9"/>
        <v/>
      </c>
      <c r="R60" s="138">
        <f t="shared" ref="R60:S60" si="10">SUM(R57:R59)</f>
        <v>0</v>
      </c>
      <c r="S60" s="139">
        <f t="shared" si="10"/>
        <v>0</v>
      </c>
      <c r="AB60" s="59"/>
      <c r="AC60" s="59"/>
      <c r="AD60" s="59"/>
      <c r="AE60" s="59"/>
      <c r="AF60" s="59"/>
      <c r="AG60" s="59"/>
      <c r="AH60" s="59"/>
    </row>
    <row r="61" spans="1:34" ht="25.5" customHeight="1" thickBot="1" x14ac:dyDescent="0.3">
      <c r="A61" s="322" t="s">
        <v>147</v>
      </c>
      <c r="B61" s="323"/>
      <c r="C61" s="323"/>
      <c r="D61" s="158"/>
      <c r="E61" s="158"/>
      <c r="F61" s="158"/>
      <c r="G61" s="158"/>
      <c r="H61" s="158"/>
      <c r="I61" s="158"/>
      <c r="J61" s="158"/>
      <c r="K61" s="158"/>
      <c r="L61" s="158"/>
      <c r="M61" s="158"/>
      <c r="N61" s="158"/>
      <c r="O61" s="158"/>
      <c r="P61" s="158"/>
      <c r="Q61" s="158"/>
      <c r="R61" s="132">
        <f>P61+N61+L61+J61+H61+F61+D61</f>
        <v>0</v>
      </c>
      <c r="S61" s="133">
        <f>Q61+O61+M61+K61+I61+G61+E61</f>
        <v>0</v>
      </c>
      <c r="AB61" s="59"/>
      <c r="AC61" s="59"/>
      <c r="AD61" s="59"/>
      <c r="AE61" s="59"/>
      <c r="AF61" s="59"/>
      <c r="AG61" s="59"/>
      <c r="AH61" s="59"/>
    </row>
    <row r="62" spans="1:34" ht="18" customHeight="1" thickTop="1" thickBot="1" x14ac:dyDescent="0.3">
      <c r="A62" s="35" t="s">
        <v>1115</v>
      </c>
      <c r="T62" s="36"/>
      <c r="AB62" s="59"/>
      <c r="AC62" s="59"/>
      <c r="AD62" s="59"/>
      <c r="AE62" s="59"/>
      <c r="AF62" s="59"/>
      <c r="AG62" s="59"/>
      <c r="AH62" s="59"/>
    </row>
    <row r="63" spans="1:34" ht="15.75" customHeight="1" thickTop="1" x14ac:dyDescent="0.25">
      <c r="A63" s="295" t="s">
        <v>1454</v>
      </c>
      <c r="B63" s="296"/>
      <c r="C63" s="296"/>
      <c r="D63" s="296"/>
      <c r="E63" s="296"/>
      <c r="F63" s="296"/>
      <c r="G63" s="296"/>
      <c r="H63" s="297"/>
      <c r="K63" s="335" t="s">
        <v>1450</v>
      </c>
      <c r="L63" s="336"/>
      <c r="M63" s="336"/>
      <c r="N63" s="336"/>
      <c r="O63" s="336"/>
      <c r="P63" s="336"/>
      <c r="Q63" s="337"/>
      <c r="T63" s="36"/>
      <c r="AB63" s="59"/>
      <c r="AC63" s="59"/>
      <c r="AD63" s="59"/>
      <c r="AE63" s="59"/>
      <c r="AF63" s="59"/>
      <c r="AG63" s="59"/>
      <c r="AH63" s="59"/>
    </row>
    <row r="64" spans="1:34" ht="16.5" customHeight="1" x14ac:dyDescent="0.25">
      <c r="A64" s="357" t="s">
        <v>1453</v>
      </c>
      <c r="B64" s="358"/>
      <c r="C64" s="358"/>
      <c r="D64" s="358"/>
      <c r="E64" s="358"/>
      <c r="F64" s="358"/>
      <c r="G64" s="358"/>
      <c r="H64" s="359"/>
      <c r="K64" s="338"/>
      <c r="L64" s="339"/>
      <c r="M64" s="339"/>
      <c r="N64" s="339"/>
      <c r="O64" s="339"/>
      <c r="P64" s="339"/>
      <c r="Q64" s="340"/>
      <c r="T64" s="36"/>
      <c r="AB64" s="59"/>
      <c r="AC64" s="59"/>
      <c r="AD64" s="59"/>
      <c r="AE64" s="59"/>
      <c r="AF64" s="59"/>
      <c r="AG64" s="59"/>
      <c r="AH64" s="59"/>
    </row>
    <row r="65" spans="1:34" ht="28.5" customHeight="1" x14ac:dyDescent="0.25">
      <c r="A65" s="113">
        <v>1</v>
      </c>
      <c r="B65" s="114"/>
      <c r="C65" s="321" t="s">
        <v>119</v>
      </c>
      <c r="D65" s="321"/>
      <c r="E65" s="321" t="s">
        <v>120</v>
      </c>
      <c r="F65" s="321"/>
      <c r="G65" s="333" t="s">
        <v>15</v>
      </c>
      <c r="H65" s="334"/>
      <c r="K65" s="102"/>
      <c r="L65" s="103"/>
      <c r="M65" s="242" t="s">
        <v>1449</v>
      </c>
      <c r="N65" s="244"/>
      <c r="O65" s="242" t="s">
        <v>78</v>
      </c>
      <c r="P65" s="243"/>
      <c r="Q65" s="270"/>
      <c r="T65" s="36"/>
      <c r="AB65" s="59"/>
      <c r="AC65" s="59"/>
      <c r="AD65" s="59"/>
      <c r="AE65" s="59"/>
      <c r="AF65" s="59"/>
      <c r="AG65" s="59"/>
      <c r="AH65" s="59"/>
    </row>
    <row r="66" spans="1:34" x14ac:dyDescent="0.25">
      <c r="A66" s="115">
        <v>1</v>
      </c>
      <c r="B66" s="116"/>
      <c r="C66" s="97" t="s">
        <v>9</v>
      </c>
      <c r="D66" s="64" t="s">
        <v>10</v>
      </c>
      <c r="E66" s="119" t="s">
        <v>9</v>
      </c>
      <c r="F66" s="64" t="s">
        <v>10</v>
      </c>
      <c r="G66" s="117" t="s">
        <v>9</v>
      </c>
      <c r="H66" s="120" t="s">
        <v>10</v>
      </c>
      <c r="K66" s="271" t="s">
        <v>1184</v>
      </c>
      <c r="L66" s="250"/>
      <c r="M66" s="272"/>
      <c r="N66" s="275"/>
      <c r="O66" s="272"/>
      <c r="P66" s="273"/>
      <c r="Q66" s="274"/>
      <c r="T66" s="36"/>
      <c r="AB66" s="59"/>
      <c r="AC66" s="59"/>
      <c r="AD66" s="59"/>
      <c r="AE66" s="59"/>
      <c r="AF66" s="59"/>
      <c r="AG66" s="59"/>
      <c r="AH66" s="59"/>
    </row>
    <row r="67" spans="1:34" ht="15" customHeight="1" x14ac:dyDescent="0.25">
      <c r="A67" s="289" t="s">
        <v>1145</v>
      </c>
      <c r="B67" s="290"/>
      <c r="C67" s="159"/>
      <c r="D67" s="159"/>
      <c r="E67" s="159"/>
      <c r="F67" s="159"/>
      <c r="G67" s="130">
        <f>C67+E67</f>
        <v>0</v>
      </c>
      <c r="H67" s="135">
        <f>D67+F67</f>
        <v>0</v>
      </c>
      <c r="K67" s="271" t="s">
        <v>79</v>
      </c>
      <c r="L67" s="250"/>
      <c r="M67" s="272"/>
      <c r="N67" s="275"/>
      <c r="O67" s="272"/>
      <c r="P67" s="273"/>
      <c r="Q67" s="274"/>
      <c r="T67" s="36"/>
      <c r="AB67" s="59"/>
      <c r="AC67" s="59"/>
      <c r="AD67" s="59"/>
      <c r="AE67" s="59"/>
      <c r="AF67" s="59"/>
      <c r="AG67" s="59"/>
      <c r="AH67" s="59"/>
    </row>
    <row r="68" spans="1:34" ht="15" customHeight="1" x14ac:dyDescent="0.25">
      <c r="A68" s="289" t="s">
        <v>1146</v>
      </c>
      <c r="B68" s="290"/>
      <c r="C68" s="159"/>
      <c r="D68" s="159"/>
      <c r="E68" s="159"/>
      <c r="F68" s="159"/>
      <c r="G68" s="130">
        <f t="shared" ref="G68:H73" si="11">C68+E68</f>
        <v>0</v>
      </c>
      <c r="H68" s="135">
        <f t="shared" si="11"/>
        <v>0</v>
      </c>
      <c r="K68" s="271" t="s">
        <v>80</v>
      </c>
      <c r="L68" s="250"/>
      <c r="M68" s="272"/>
      <c r="N68" s="275"/>
      <c r="O68" s="272"/>
      <c r="P68" s="273"/>
      <c r="Q68" s="274"/>
      <c r="T68" s="36"/>
      <c r="AB68" s="59"/>
      <c r="AC68" s="59"/>
      <c r="AD68" s="59"/>
      <c r="AE68" s="59"/>
      <c r="AF68" s="59"/>
      <c r="AG68" s="59"/>
      <c r="AH68" s="59"/>
    </row>
    <row r="69" spans="1:34" ht="15" customHeight="1" x14ac:dyDescent="0.25">
      <c r="A69" s="289" t="s">
        <v>1147</v>
      </c>
      <c r="B69" s="290"/>
      <c r="C69" s="159"/>
      <c r="D69" s="159"/>
      <c r="E69" s="159"/>
      <c r="F69" s="159"/>
      <c r="G69" s="130">
        <f t="shared" si="11"/>
        <v>0</v>
      </c>
      <c r="H69" s="135">
        <f t="shared" si="11"/>
        <v>0</v>
      </c>
      <c r="K69" s="271" t="s">
        <v>14</v>
      </c>
      <c r="L69" s="250"/>
      <c r="M69" s="272"/>
      <c r="N69" s="275"/>
      <c r="O69" s="272"/>
      <c r="P69" s="273"/>
      <c r="Q69" s="274"/>
      <c r="T69" s="36"/>
      <c r="AB69" s="59"/>
      <c r="AC69" s="59"/>
      <c r="AD69" s="59"/>
      <c r="AE69" s="59"/>
      <c r="AF69" s="59"/>
      <c r="AG69" s="59"/>
      <c r="AH69" s="59"/>
    </row>
    <row r="70" spans="1:34" ht="15.75" customHeight="1" thickBot="1" x14ac:dyDescent="0.3">
      <c r="A70" s="289" t="s">
        <v>1148</v>
      </c>
      <c r="B70" s="290"/>
      <c r="C70" s="159"/>
      <c r="D70" s="159"/>
      <c r="E70" s="159"/>
      <c r="F70" s="159"/>
      <c r="G70" s="130">
        <f t="shared" si="11"/>
        <v>0</v>
      </c>
      <c r="H70" s="135">
        <f t="shared" si="11"/>
        <v>0</v>
      </c>
      <c r="K70" s="293" t="s">
        <v>15</v>
      </c>
      <c r="L70" s="294"/>
      <c r="M70" s="284">
        <f>SUM(M66:N69)</f>
        <v>0</v>
      </c>
      <c r="N70" s="285"/>
      <c r="O70" s="286"/>
      <c r="P70" s="287"/>
      <c r="Q70" s="288"/>
      <c r="T70" s="36"/>
      <c r="AB70" s="59"/>
      <c r="AC70" s="59"/>
      <c r="AD70" s="59"/>
      <c r="AE70" s="59"/>
      <c r="AF70" s="59"/>
      <c r="AG70" s="59"/>
      <c r="AH70" s="59"/>
    </row>
    <row r="71" spans="1:34" ht="15.75" thickTop="1" x14ac:dyDescent="0.25">
      <c r="A71" s="289" t="s">
        <v>1149</v>
      </c>
      <c r="B71" s="290"/>
      <c r="C71" s="159"/>
      <c r="D71" s="159"/>
      <c r="E71" s="159"/>
      <c r="F71" s="159"/>
      <c r="G71" s="130">
        <f t="shared" si="11"/>
        <v>0</v>
      </c>
      <c r="H71" s="135">
        <f t="shared" si="11"/>
        <v>0</v>
      </c>
      <c r="T71" s="36"/>
      <c r="AB71" s="59"/>
      <c r="AC71" s="59"/>
      <c r="AD71" s="59"/>
      <c r="AE71" s="59"/>
      <c r="AF71" s="59"/>
      <c r="AG71" s="59"/>
      <c r="AH71" s="59"/>
    </row>
    <row r="72" spans="1:34" x14ac:dyDescent="0.25">
      <c r="A72" s="289" t="s">
        <v>1150</v>
      </c>
      <c r="B72" s="290"/>
      <c r="C72" s="159"/>
      <c r="D72" s="159"/>
      <c r="E72" s="159"/>
      <c r="F72" s="159"/>
      <c r="G72" s="130">
        <f t="shared" si="11"/>
        <v>0</v>
      </c>
      <c r="H72" s="135">
        <f t="shared" si="11"/>
        <v>0</v>
      </c>
      <c r="T72" s="36"/>
      <c r="AB72" s="59"/>
      <c r="AC72" s="59"/>
      <c r="AD72" s="59"/>
      <c r="AE72" s="59"/>
      <c r="AF72" s="59"/>
      <c r="AG72" s="59"/>
      <c r="AH72" s="59"/>
    </row>
    <row r="73" spans="1:34" ht="15.75" thickBot="1" x14ac:dyDescent="0.3">
      <c r="A73" s="291" t="s">
        <v>15</v>
      </c>
      <c r="B73" s="292"/>
      <c r="C73" s="132">
        <f>SUM(C67:C72)</f>
        <v>0</v>
      </c>
      <c r="D73" s="132">
        <f t="shared" ref="D73:F73" si="12">SUM(D67:D72)</f>
        <v>0</v>
      </c>
      <c r="E73" s="132">
        <f t="shared" si="12"/>
        <v>0</v>
      </c>
      <c r="F73" s="132">
        <f t="shared" si="12"/>
        <v>0</v>
      </c>
      <c r="G73" s="132">
        <f t="shared" si="11"/>
        <v>0</v>
      </c>
      <c r="H73" s="136">
        <f t="shared" si="11"/>
        <v>0</v>
      </c>
      <c r="T73" s="36"/>
      <c r="AB73" s="59"/>
      <c r="AC73" s="59"/>
      <c r="AD73" s="59"/>
      <c r="AE73" s="59"/>
      <c r="AF73" s="59"/>
      <c r="AG73" s="59"/>
      <c r="AH73" s="59"/>
    </row>
    <row r="74" spans="1:34" ht="12.75" customHeight="1" thickTop="1" x14ac:dyDescent="0.25">
      <c r="A74" s="35">
        <v>1</v>
      </c>
      <c r="T74" s="36"/>
      <c r="AB74" s="59"/>
      <c r="AC74" s="59"/>
      <c r="AD74" s="59"/>
      <c r="AE74" s="59"/>
      <c r="AF74" s="59"/>
      <c r="AG74" s="59"/>
      <c r="AH74" s="59"/>
    </row>
    <row r="75" spans="1:34" ht="16.5" customHeight="1" thickBot="1" x14ac:dyDescent="0.3">
      <c r="A75" s="35">
        <v>1</v>
      </c>
      <c r="T75" s="36"/>
      <c r="AB75" s="59"/>
      <c r="AC75" s="59"/>
      <c r="AD75" s="59"/>
      <c r="AE75" s="59"/>
      <c r="AF75" s="59"/>
      <c r="AG75" s="59"/>
      <c r="AH75" s="59"/>
    </row>
    <row r="76" spans="1:34" ht="15.75" thickTop="1" x14ac:dyDescent="0.25">
      <c r="A76" s="295" t="s">
        <v>1197</v>
      </c>
      <c r="B76" s="296"/>
      <c r="C76" s="296"/>
      <c r="D76" s="296"/>
      <c r="E76" s="296"/>
      <c r="F76" s="296"/>
      <c r="G76" s="296"/>
      <c r="H76" s="296"/>
      <c r="I76" s="296"/>
      <c r="J76" s="296"/>
      <c r="K76" s="297"/>
    </row>
    <row r="77" spans="1:34" x14ac:dyDescent="0.25">
      <c r="A77" s="40">
        <v>1</v>
      </c>
      <c r="B77" s="41"/>
      <c r="C77" s="41"/>
      <c r="D77" s="41"/>
      <c r="E77" s="112"/>
      <c r="F77" s="276" t="s">
        <v>119</v>
      </c>
      <c r="G77" s="277"/>
      <c r="H77" s="276" t="s">
        <v>120</v>
      </c>
      <c r="I77" s="277"/>
      <c r="J77" s="280" t="s">
        <v>15</v>
      </c>
      <c r="K77" s="281"/>
    </row>
    <row r="78" spans="1:34" x14ac:dyDescent="0.25">
      <c r="A78" s="360" t="s">
        <v>82</v>
      </c>
      <c r="B78" s="361"/>
      <c r="C78" s="361"/>
      <c r="D78" s="361"/>
      <c r="E78" s="362"/>
      <c r="F78" s="278"/>
      <c r="G78" s="279"/>
      <c r="H78" s="278"/>
      <c r="I78" s="279"/>
      <c r="J78" s="282"/>
      <c r="K78" s="283"/>
    </row>
    <row r="79" spans="1:34" x14ac:dyDescent="0.25">
      <c r="A79" s="40">
        <v>1</v>
      </c>
      <c r="B79" s="41"/>
      <c r="C79" s="41"/>
      <c r="D79" s="41"/>
      <c r="E79" s="112"/>
      <c r="F79" s="119" t="s">
        <v>9</v>
      </c>
      <c r="G79" s="119" t="s">
        <v>10</v>
      </c>
      <c r="H79" s="97" t="s">
        <v>9</v>
      </c>
      <c r="I79" s="97" t="s">
        <v>10</v>
      </c>
      <c r="J79" s="117" t="s">
        <v>9</v>
      </c>
      <c r="K79" s="120" t="s">
        <v>10</v>
      </c>
    </row>
    <row r="80" spans="1:34" ht="15" customHeight="1" x14ac:dyDescent="0.25">
      <c r="A80" s="271" t="s">
        <v>63</v>
      </c>
      <c r="B80" s="249"/>
      <c r="C80" s="249"/>
      <c r="D80" s="249"/>
      <c r="E80" s="250"/>
      <c r="F80" s="159"/>
      <c r="G80" s="159"/>
      <c r="H80" s="159"/>
      <c r="I80" s="159"/>
      <c r="J80" s="130">
        <f>H80+F80</f>
        <v>0</v>
      </c>
      <c r="K80" s="131">
        <f>I80+G80</f>
        <v>0</v>
      </c>
    </row>
    <row r="81" spans="1:11" ht="15" customHeight="1" x14ac:dyDescent="0.25">
      <c r="A81" s="271" t="s">
        <v>1451</v>
      </c>
      <c r="B81" s="249"/>
      <c r="C81" s="249"/>
      <c r="D81" s="249"/>
      <c r="E81" s="250"/>
      <c r="F81" s="159"/>
      <c r="G81" s="159"/>
      <c r="H81" s="159"/>
      <c r="I81" s="159"/>
      <c r="J81" s="130">
        <f t="shared" ref="J81:K103" si="13">H81+F81</f>
        <v>0</v>
      </c>
      <c r="K81" s="131">
        <f t="shared" si="13"/>
        <v>0</v>
      </c>
    </row>
    <row r="82" spans="1:11" x14ac:dyDescent="0.25">
      <c r="A82" s="271" t="s">
        <v>81</v>
      </c>
      <c r="B82" s="249"/>
      <c r="C82" s="249"/>
      <c r="D82" s="249"/>
      <c r="E82" s="250"/>
      <c r="F82" s="159"/>
      <c r="G82" s="159"/>
      <c r="H82" s="159"/>
      <c r="I82" s="159"/>
      <c r="J82" s="130">
        <f t="shared" si="13"/>
        <v>0</v>
      </c>
      <c r="K82" s="131">
        <f t="shared" si="13"/>
        <v>0</v>
      </c>
    </row>
    <row r="83" spans="1:11" x14ac:dyDescent="0.25">
      <c r="A83" s="271" t="s">
        <v>85</v>
      </c>
      <c r="B83" s="249"/>
      <c r="C83" s="249"/>
      <c r="D83" s="249"/>
      <c r="E83" s="250"/>
      <c r="F83" s="159"/>
      <c r="G83" s="159"/>
      <c r="H83" s="159"/>
      <c r="I83" s="159"/>
      <c r="J83" s="130">
        <f t="shared" si="13"/>
        <v>0</v>
      </c>
      <c r="K83" s="131">
        <f t="shared" si="13"/>
        <v>0</v>
      </c>
    </row>
    <row r="84" spans="1:11" ht="15" customHeight="1" x14ac:dyDescent="0.25">
      <c r="A84" s="271" t="s">
        <v>86</v>
      </c>
      <c r="B84" s="249"/>
      <c r="C84" s="249"/>
      <c r="D84" s="249"/>
      <c r="E84" s="250"/>
      <c r="F84" s="159"/>
      <c r="G84" s="159"/>
      <c r="H84" s="159"/>
      <c r="I84" s="159"/>
      <c r="J84" s="130">
        <f t="shared" si="13"/>
        <v>0</v>
      </c>
      <c r="K84" s="131">
        <f t="shared" si="13"/>
        <v>0</v>
      </c>
    </row>
    <row r="85" spans="1:11" x14ac:dyDescent="0.25">
      <c r="A85" s="271" t="s">
        <v>87</v>
      </c>
      <c r="B85" s="249"/>
      <c r="C85" s="249"/>
      <c r="D85" s="249"/>
      <c r="E85" s="250"/>
      <c r="F85" s="159"/>
      <c r="G85" s="159"/>
      <c r="H85" s="159"/>
      <c r="I85" s="159"/>
      <c r="J85" s="130">
        <f t="shared" si="13"/>
        <v>0</v>
      </c>
      <c r="K85" s="131">
        <f t="shared" si="13"/>
        <v>0</v>
      </c>
    </row>
    <row r="86" spans="1:11" x14ac:dyDescent="0.25">
      <c r="A86" s="271" t="s">
        <v>1184</v>
      </c>
      <c r="B86" s="249"/>
      <c r="C86" s="249"/>
      <c r="D86" s="249"/>
      <c r="E86" s="250"/>
      <c r="F86" s="159"/>
      <c r="G86" s="159"/>
      <c r="H86" s="159"/>
      <c r="I86" s="159"/>
      <c r="J86" s="130">
        <f t="shared" si="13"/>
        <v>0</v>
      </c>
      <c r="K86" s="131">
        <f t="shared" si="13"/>
        <v>0</v>
      </c>
    </row>
    <row r="87" spans="1:11" x14ac:dyDescent="0.25">
      <c r="A87" s="271" t="s">
        <v>80</v>
      </c>
      <c r="B87" s="249"/>
      <c r="C87" s="249"/>
      <c r="D87" s="249"/>
      <c r="E87" s="250"/>
      <c r="F87" s="159"/>
      <c r="G87" s="159"/>
      <c r="H87" s="159"/>
      <c r="I87" s="159"/>
      <c r="J87" s="130">
        <f t="shared" si="13"/>
        <v>0</v>
      </c>
      <c r="K87" s="131">
        <f t="shared" si="13"/>
        <v>0</v>
      </c>
    </row>
    <row r="88" spans="1:11" x14ac:dyDescent="0.25">
      <c r="A88" s="271" t="s">
        <v>79</v>
      </c>
      <c r="B88" s="249"/>
      <c r="C88" s="249"/>
      <c r="D88" s="249"/>
      <c r="E88" s="250"/>
      <c r="F88" s="159"/>
      <c r="G88" s="159"/>
      <c r="H88" s="159"/>
      <c r="I88" s="159"/>
      <c r="J88" s="130">
        <f t="shared" si="13"/>
        <v>0</v>
      </c>
      <c r="K88" s="131">
        <f t="shared" si="13"/>
        <v>0</v>
      </c>
    </row>
    <row r="89" spans="1:11" x14ac:dyDescent="0.25">
      <c r="A89" s="271" t="s">
        <v>1185</v>
      </c>
      <c r="B89" s="249"/>
      <c r="C89" s="249"/>
      <c r="D89" s="249"/>
      <c r="E89" s="250"/>
      <c r="F89" s="159"/>
      <c r="G89" s="159"/>
      <c r="H89" s="159"/>
      <c r="I89" s="159"/>
      <c r="J89" s="130">
        <f t="shared" si="13"/>
        <v>0</v>
      </c>
      <c r="K89" s="131">
        <f t="shared" si="13"/>
        <v>0</v>
      </c>
    </row>
    <row r="90" spans="1:11" ht="15" customHeight="1" x14ac:dyDescent="0.25">
      <c r="A90" s="271" t="s">
        <v>1186</v>
      </c>
      <c r="B90" s="249"/>
      <c r="C90" s="249"/>
      <c r="D90" s="249"/>
      <c r="E90" s="250"/>
      <c r="F90" s="159"/>
      <c r="G90" s="159"/>
      <c r="H90" s="159"/>
      <c r="I90" s="159"/>
      <c r="J90" s="130">
        <f t="shared" si="13"/>
        <v>0</v>
      </c>
      <c r="K90" s="131">
        <f t="shared" si="13"/>
        <v>0</v>
      </c>
    </row>
    <row r="91" spans="1:11" x14ac:dyDescent="0.25">
      <c r="A91" s="271" t="s">
        <v>1187</v>
      </c>
      <c r="B91" s="249"/>
      <c r="C91" s="249"/>
      <c r="D91" s="249"/>
      <c r="E91" s="250"/>
      <c r="F91" s="159"/>
      <c r="G91" s="159"/>
      <c r="H91" s="159"/>
      <c r="I91" s="159"/>
      <c r="J91" s="130">
        <f t="shared" si="13"/>
        <v>0</v>
      </c>
      <c r="K91" s="131">
        <f t="shared" si="13"/>
        <v>0</v>
      </c>
    </row>
    <row r="92" spans="1:11" x14ac:dyDescent="0.25">
      <c r="A92" s="271" t="s">
        <v>1188</v>
      </c>
      <c r="B92" s="249"/>
      <c r="C92" s="249"/>
      <c r="D92" s="249"/>
      <c r="E92" s="250"/>
      <c r="F92" s="159"/>
      <c r="G92" s="159"/>
      <c r="H92" s="159"/>
      <c r="I92" s="159"/>
      <c r="J92" s="130">
        <f t="shared" si="13"/>
        <v>0</v>
      </c>
      <c r="K92" s="131">
        <f t="shared" si="13"/>
        <v>0</v>
      </c>
    </row>
    <row r="93" spans="1:11" ht="15" customHeight="1" x14ac:dyDescent="0.25">
      <c r="A93" s="271" t="s">
        <v>88</v>
      </c>
      <c r="B93" s="249"/>
      <c r="C93" s="249"/>
      <c r="D93" s="249"/>
      <c r="E93" s="250"/>
      <c r="F93" s="159"/>
      <c r="G93" s="159"/>
      <c r="H93" s="159"/>
      <c r="I93" s="159"/>
      <c r="J93" s="130">
        <f t="shared" si="13"/>
        <v>0</v>
      </c>
      <c r="K93" s="131">
        <f t="shared" si="13"/>
        <v>0</v>
      </c>
    </row>
    <row r="94" spans="1:11" ht="15" customHeight="1" x14ac:dyDescent="0.25">
      <c r="A94" s="271" t="s">
        <v>89</v>
      </c>
      <c r="B94" s="249"/>
      <c r="C94" s="249"/>
      <c r="D94" s="249"/>
      <c r="E94" s="250"/>
      <c r="F94" s="159"/>
      <c r="G94" s="159"/>
      <c r="H94" s="159"/>
      <c r="I94" s="159"/>
      <c r="J94" s="130">
        <f t="shared" si="13"/>
        <v>0</v>
      </c>
      <c r="K94" s="131">
        <f t="shared" si="13"/>
        <v>0</v>
      </c>
    </row>
    <row r="95" spans="1:11" x14ac:dyDescent="0.25">
      <c r="A95" s="271" t="s">
        <v>90</v>
      </c>
      <c r="B95" s="249"/>
      <c r="C95" s="249"/>
      <c r="D95" s="249"/>
      <c r="E95" s="250"/>
      <c r="F95" s="159"/>
      <c r="G95" s="159"/>
      <c r="H95" s="159"/>
      <c r="I95" s="159"/>
      <c r="J95" s="130">
        <f t="shared" si="13"/>
        <v>0</v>
      </c>
      <c r="K95" s="131">
        <f t="shared" si="13"/>
        <v>0</v>
      </c>
    </row>
    <row r="96" spans="1:11" x14ac:dyDescent="0.25">
      <c r="A96" s="271" t="s">
        <v>91</v>
      </c>
      <c r="B96" s="249"/>
      <c r="C96" s="249"/>
      <c r="D96" s="249"/>
      <c r="E96" s="250"/>
      <c r="F96" s="159"/>
      <c r="G96" s="159"/>
      <c r="H96" s="159"/>
      <c r="I96" s="159"/>
      <c r="J96" s="130">
        <f t="shared" si="13"/>
        <v>0</v>
      </c>
      <c r="K96" s="131">
        <f t="shared" si="13"/>
        <v>0</v>
      </c>
    </row>
    <row r="97" spans="1:26" ht="15" customHeight="1" x14ac:dyDescent="0.25">
      <c r="A97" s="271" t="s">
        <v>92</v>
      </c>
      <c r="B97" s="249"/>
      <c r="C97" s="249"/>
      <c r="D97" s="249"/>
      <c r="E97" s="250"/>
      <c r="F97" s="159"/>
      <c r="G97" s="159"/>
      <c r="H97" s="159"/>
      <c r="I97" s="159"/>
      <c r="J97" s="130">
        <f t="shared" si="13"/>
        <v>0</v>
      </c>
      <c r="K97" s="131">
        <f t="shared" si="13"/>
        <v>0</v>
      </c>
    </row>
    <row r="98" spans="1:26" ht="15" customHeight="1" x14ac:dyDescent="0.25">
      <c r="A98" s="271" t="s">
        <v>1189</v>
      </c>
      <c r="B98" s="249"/>
      <c r="C98" s="249"/>
      <c r="D98" s="249"/>
      <c r="E98" s="250"/>
      <c r="F98" s="159"/>
      <c r="G98" s="159"/>
      <c r="H98" s="159"/>
      <c r="I98" s="159"/>
      <c r="J98" s="130">
        <f t="shared" si="13"/>
        <v>0</v>
      </c>
      <c r="K98" s="131">
        <f t="shared" si="13"/>
        <v>0</v>
      </c>
    </row>
    <row r="99" spans="1:26" x14ac:dyDescent="0.25">
      <c r="A99" s="271" t="s">
        <v>1191</v>
      </c>
      <c r="B99" s="249"/>
      <c r="C99" s="249"/>
      <c r="D99" s="249"/>
      <c r="E99" s="250"/>
      <c r="F99" s="159"/>
      <c r="G99" s="159"/>
      <c r="H99" s="159"/>
      <c r="I99" s="159"/>
      <c r="J99" s="130">
        <f t="shared" si="13"/>
        <v>0</v>
      </c>
      <c r="K99" s="131">
        <f t="shared" si="13"/>
        <v>0</v>
      </c>
    </row>
    <row r="100" spans="1:26" x14ac:dyDescent="0.25">
      <c r="A100" s="271" t="s">
        <v>1192</v>
      </c>
      <c r="B100" s="249"/>
      <c r="C100" s="249"/>
      <c r="D100" s="249"/>
      <c r="E100" s="250"/>
      <c r="F100" s="159"/>
      <c r="G100" s="159"/>
      <c r="H100" s="159"/>
      <c r="I100" s="159"/>
      <c r="J100" s="130">
        <f t="shared" si="13"/>
        <v>0</v>
      </c>
      <c r="K100" s="131">
        <f t="shared" si="13"/>
        <v>0</v>
      </c>
    </row>
    <row r="101" spans="1:26" ht="15" customHeight="1" x14ac:dyDescent="0.25">
      <c r="A101" s="271" t="s">
        <v>1193</v>
      </c>
      <c r="B101" s="249"/>
      <c r="C101" s="249"/>
      <c r="D101" s="249"/>
      <c r="E101" s="250"/>
      <c r="F101" s="159"/>
      <c r="G101" s="159"/>
      <c r="H101" s="159"/>
      <c r="I101" s="159"/>
      <c r="J101" s="130">
        <f t="shared" si="13"/>
        <v>0</v>
      </c>
      <c r="K101" s="131">
        <f t="shared" si="13"/>
        <v>0</v>
      </c>
    </row>
    <row r="102" spans="1:26" ht="15" customHeight="1" x14ac:dyDescent="0.25">
      <c r="A102" s="271" t="s">
        <v>1194</v>
      </c>
      <c r="B102" s="249"/>
      <c r="C102" s="249"/>
      <c r="D102" s="249"/>
      <c r="E102" s="250"/>
      <c r="F102" s="159"/>
      <c r="G102" s="159"/>
      <c r="H102" s="159"/>
      <c r="I102" s="159"/>
      <c r="J102" s="130">
        <f t="shared" si="13"/>
        <v>0</v>
      </c>
      <c r="K102" s="131">
        <f t="shared" si="13"/>
        <v>0</v>
      </c>
      <c r="M102" s="306" t="s">
        <v>1462</v>
      </c>
      <c r="N102" s="307"/>
      <c r="O102" s="307"/>
      <c r="P102" s="307"/>
      <c r="Q102" s="307"/>
      <c r="R102" s="307"/>
      <c r="S102" s="307"/>
      <c r="T102" s="307"/>
      <c r="U102" s="307"/>
      <c r="V102" s="308"/>
    </row>
    <row r="103" spans="1:26" ht="15" customHeight="1" x14ac:dyDescent="0.25">
      <c r="A103" s="271" t="s">
        <v>1195</v>
      </c>
      <c r="B103" s="249"/>
      <c r="C103" s="249"/>
      <c r="D103" s="249"/>
      <c r="E103" s="250"/>
      <c r="F103" s="159"/>
      <c r="G103" s="159"/>
      <c r="H103" s="159"/>
      <c r="I103" s="159"/>
      <c r="J103" s="130">
        <f t="shared" si="13"/>
        <v>0</v>
      </c>
      <c r="K103" s="131">
        <f t="shared" si="13"/>
        <v>0</v>
      </c>
      <c r="M103" s="303" t="s">
        <v>1469</v>
      </c>
      <c r="N103" s="304"/>
      <c r="O103" s="304"/>
      <c r="P103" s="304"/>
      <c r="Q103" s="304"/>
      <c r="R103" s="304"/>
      <c r="S103" s="304"/>
      <c r="T103" s="304"/>
      <c r="U103" s="304"/>
      <c r="V103" s="305"/>
    </row>
    <row r="104" spans="1:26" ht="15.75" thickBot="1" x14ac:dyDescent="0.3">
      <c r="A104" s="293" t="s">
        <v>15</v>
      </c>
      <c r="B104" s="299"/>
      <c r="C104" s="299"/>
      <c r="D104" s="299"/>
      <c r="E104" s="294"/>
      <c r="F104" s="137">
        <f>SUM(F80:F103)</f>
        <v>0</v>
      </c>
      <c r="G104" s="137">
        <f t="shared" ref="G104:J104" si="14">SUM(G80:G103)</f>
        <v>0</v>
      </c>
      <c r="H104" s="137">
        <f t="shared" si="14"/>
        <v>0</v>
      </c>
      <c r="I104" s="137">
        <f t="shared" si="14"/>
        <v>0</v>
      </c>
      <c r="J104" s="137">
        <f t="shared" si="14"/>
        <v>0</v>
      </c>
      <c r="K104" s="133">
        <f>SUM(K80:K103)</f>
        <v>0</v>
      </c>
      <c r="M104" s="300" t="s">
        <v>1469</v>
      </c>
      <c r="N104" s="301"/>
      <c r="O104" s="301"/>
      <c r="P104" s="301"/>
      <c r="Q104" s="301"/>
      <c r="R104" s="301"/>
      <c r="S104" s="301"/>
      <c r="T104" s="301"/>
      <c r="U104" s="301"/>
      <c r="V104" s="302"/>
    </row>
    <row r="105" spans="1:26" ht="11.25" customHeight="1" thickTop="1" x14ac:dyDescent="0.25">
      <c r="A105" s="35" t="s">
        <v>1115</v>
      </c>
    </row>
    <row r="108" spans="1:26" ht="15.75" customHeight="1" x14ac:dyDescent="0.25">
      <c r="A108" s="298" t="s">
        <v>1468</v>
      </c>
      <c r="B108" s="298"/>
      <c r="C108" s="298"/>
      <c r="D108" s="298"/>
      <c r="E108" s="298"/>
      <c r="F108" s="298"/>
      <c r="G108" s="298"/>
      <c r="H108" s="298"/>
      <c r="I108" s="298"/>
      <c r="J108" s="298"/>
      <c r="K108" s="298"/>
      <c r="L108" s="298"/>
      <c r="M108" s="298"/>
      <c r="N108" s="298"/>
      <c r="O108" s="298"/>
      <c r="P108" s="298"/>
      <c r="Q108" s="298"/>
      <c r="R108" s="298"/>
      <c r="S108" s="298"/>
      <c r="T108" s="298"/>
      <c r="U108" s="151"/>
      <c r="V108" s="44"/>
      <c r="W108" s="44"/>
      <c r="X108" s="44"/>
      <c r="Y108" s="44"/>
      <c r="Z108" s="34"/>
    </row>
    <row r="109" spans="1:26" ht="15" customHeight="1" x14ac:dyDescent="0.25">
      <c r="A109" s="298"/>
      <c r="B109" s="298"/>
      <c r="C109" s="298"/>
      <c r="D109" s="298"/>
      <c r="E109" s="298"/>
      <c r="F109" s="298"/>
      <c r="G109" s="298"/>
      <c r="H109" s="298"/>
      <c r="I109" s="298"/>
      <c r="J109" s="298"/>
      <c r="K109" s="298"/>
      <c r="L109" s="298"/>
      <c r="M109" s="298"/>
      <c r="N109" s="298"/>
      <c r="O109" s="298"/>
      <c r="P109" s="298"/>
      <c r="Q109" s="298"/>
      <c r="R109" s="298"/>
      <c r="S109" s="298"/>
      <c r="T109" s="298"/>
      <c r="U109" s="151"/>
      <c r="V109" s="44"/>
      <c r="W109" s="44"/>
      <c r="X109" s="44"/>
      <c r="Y109" s="44"/>
    </row>
    <row r="110" spans="1:26" ht="15" customHeight="1" x14ac:dyDescent="0.25">
      <c r="A110" s="298"/>
      <c r="B110" s="298"/>
      <c r="C110" s="298"/>
      <c r="D110" s="298"/>
      <c r="E110" s="298"/>
      <c r="F110" s="298"/>
      <c r="G110" s="298"/>
      <c r="H110" s="298"/>
      <c r="I110" s="298"/>
      <c r="J110" s="298"/>
      <c r="K110" s="298"/>
      <c r="L110" s="298"/>
      <c r="M110" s="298"/>
      <c r="N110" s="298"/>
      <c r="O110" s="298"/>
      <c r="P110" s="298"/>
      <c r="Q110" s="298"/>
      <c r="R110" s="298"/>
      <c r="S110" s="298"/>
      <c r="T110" s="298"/>
      <c r="U110" s="151"/>
      <c r="V110" s="123"/>
      <c r="W110" s="123"/>
      <c r="X110" s="123"/>
      <c r="Y110" s="123"/>
    </row>
    <row r="111" spans="1:26" ht="20.45" customHeight="1" x14ac:dyDescent="0.25">
      <c r="A111" s="298"/>
      <c r="B111" s="298"/>
      <c r="C111" s="298"/>
      <c r="D111" s="298"/>
      <c r="E111" s="298"/>
      <c r="F111" s="298"/>
      <c r="G111" s="298"/>
      <c r="H111" s="298"/>
      <c r="I111" s="298"/>
      <c r="J111" s="298"/>
      <c r="K111" s="298"/>
      <c r="L111" s="298"/>
      <c r="M111" s="298"/>
      <c r="N111" s="298"/>
      <c r="O111" s="298"/>
      <c r="P111" s="298"/>
      <c r="Q111" s="298"/>
      <c r="R111" s="298"/>
      <c r="S111" s="298"/>
      <c r="T111" s="298"/>
      <c r="U111" s="151"/>
      <c r="V111" s="44"/>
      <c r="W111" s="44"/>
      <c r="X111" s="44"/>
      <c r="Y111" s="44"/>
    </row>
    <row r="112" spans="1:26" x14ac:dyDescent="0.25">
      <c r="V112" s="44"/>
      <c r="W112" s="44"/>
      <c r="X112" s="44"/>
      <c r="Y112" s="44"/>
    </row>
  </sheetData>
  <sheetProtection algorithmName="SHA-512" hashValue="eLhqSBnztX50CS+J5sXuo6ljuFHS5LUMfuQfo56NlM1IxAD0J6D4o7JAihQgWSrBpwxbHnhL9TGVPD4IH+BxWA==" saltValue="b431DgT6/SDQxergSEc56A==" spinCount="100000" sheet="1" objects="1" scenarios="1" selectLockedCells="1"/>
  <mergeCells count="171">
    <mergeCell ref="A2:H2"/>
    <mergeCell ref="P2:S2"/>
    <mergeCell ref="C4:F4"/>
    <mergeCell ref="H4:I4"/>
    <mergeCell ref="J4:N4"/>
    <mergeCell ref="P4:Z4"/>
    <mergeCell ref="A7:S7"/>
    <mergeCell ref="B8:Q8"/>
    <mergeCell ref="R8:S9"/>
    <mergeCell ref="B9:C9"/>
    <mergeCell ref="D9:E9"/>
    <mergeCell ref="F9:G9"/>
    <mergeCell ref="H9:I9"/>
    <mergeCell ref="J9:K9"/>
    <mergeCell ref="L9:M9"/>
    <mergeCell ref="N9:O9"/>
    <mergeCell ref="A21:E21"/>
    <mergeCell ref="F21:G21"/>
    <mergeCell ref="H21:I21"/>
    <mergeCell ref="A22:E22"/>
    <mergeCell ref="F22:G22"/>
    <mergeCell ref="H22:I22"/>
    <mergeCell ref="P9:Q9"/>
    <mergeCell ref="A18:I18"/>
    <mergeCell ref="A19:E19"/>
    <mergeCell ref="F19:G19"/>
    <mergeCell ref="H19:I19"/>
    <mergeCell ref="A20:E20"/>
    <mergeCell ref="F20:G20"/>
    <mergeCell ref="H20:I20"/>
    <mergeCell ref="A24:Q24"/>
    <mergeCell ref="B25:O25"/>
    <mergeCell ref="P25:Q26"/>
    <mergeCell ref="B26:C26"/>
    <mergeCell ref="D26:E26"/>
    <mergeCell ref="F26:G26"/>
    <mergeCell ref="H26:I26"/>
    <mergeCell ref="J26:K26"/>
    <mergeCell ref="L26:M26"/>
    <mergeCell ref="N26:O26"/>
    <mergeCell ref="A34:O34"/>
    <mergeCell ref="B35:E35"/>
    <mergeCell ref="F35:I35"/>
    <mergeCell ref="J35:M35"/>
    <mergeCell ref="N35:O36"/>
    <mergeCell ref="B36:C36"/>
    <mergeCell ref="D36:E36"/>
    <mergeCell ref="F36:G36"/>
    <mergeCell ref="H36:I36"/>
    <mergeCell ref="J36:K36"/>
    <mergeCell ref="N37:O37"/>
    <mergeCell ref="B38:C38"/>
    <mergeCell ref="D38:E38"/>
    <mergeCell ref="F38:G38"/>
    <mergeCell ref="H38:I38"/>
    <mergeCell ref="J38:K38"/>
    <mergeCell ref="L38:M38"/>
    <mergeCell ref="N38:O38"/>
    <mergeCell ref="L36:M36"/>
    <mergeCell ref="B37:C37"/>
    <mergeCell ref="D37:E37"/>
    <mergeCell ref="F37:G37"/>
    <mergeCell ref="H37:I37"/>
    <mergeCell ref="J37:K37"/>
    <mergeCell ref="L37:M37"/>
    <mergeCell ref="N39:O39"/>
    <mergeCell ref="B40:C40"/>
    <mergeCell ref="D40:E40"/>
    <mergeCell ref="F40:G40"/>
    <mergeCell ref="H40:I40"/>
    <mergeCell ref="J40:K40"/>
    <mergeCell ref="L40:M40"/>
    <mergeCell ref="N40:O40"/>
    <mergeCell ref="B39:C39"/>
    <mergeCell ref="D39:E39"/>
    <mergeCell ref="F39:G39"/>
    <mergeCell ref="H39:I39"/>
    <mergeCell ref="J39:K39"/>
    <mergeCell ref="L39:M39"/>
    <mergeCell ref="N41:O41"/>
    <mergeCell ref="A43:K43"/>
    <mergeCell ref="B44:C44"/>
    <mergeCell ref="D44:E44"/>
    <mergeCell ref="F44:G44"/>
    <mergeCell ref="H44:I44"/>
    <mergeCell ref="J44:K44"/>
    <mergeCell ref="B41:C41"/>
    <mergeCell ref="D41:E41"/>
    <mergeCell ref="F41:G41"/>
    <mergeCell ref="H41:I41"/>
    <mergeCell ref="J41:K41"/>
    <mergeCell ref="L41:M41"/>
    <mergeCell ref="A57:C57"/>
    <mergeCell ref="A58:C58"/>
    <mergeCell ref="A59:C59"/>
    <mergeCell ref="A60:C60"/>
    <mergeCell ref="A61:C61"/>
    <mergeCell ref="A63:H63"/>
    <mergeCell ref="A52:S52"/>
    <mergeCell ref="D53:S53"/>
    <mergeCell ref="D54:E55"/>
    <mergeCell ref="F54:G55"/>
    <mergeCell ref="H54:I55"/>
    <mergeCell ref="J54:K55"/>
    <mergeCell ref="L54:M55"/>
    <mergeCell ref="N54:O55"/>
    <mergeCell ref="P54:Q55"/>
    <mergeCell ref="R54:S55"/>
    <mergeCell ref="K66:L66"/>
    <mergeCell ref="M66:N66"/>
    <mergeCell ref="O66:Q66"/>
    <mergeCell ref="A67:B67"/>
    <mergeCell ref="K67:L67"/>
    <mergeCell ref="M67:N67"/>
    <mergeCell ref="O67:Q67"/>
    <mergeCell ref="K63:Q64"/>
    <mergeCell ref="A64:H64"/>
    <mergeCell ref="C65:D65"/>
    <mergeCell ref="E65:F65"/>
    <mergeCell ref="G65:H65"/>
    <mergeCell ref="M65:N65"/>
    <mergeCell ref="O65:Q65"/>
    <mergeCell ref="A70:B70"/>
    <mergeCell ref="K70:L70"/>
    <mergeCell ref="M70:N70"/>
    <mergeCell ref="O70:Q70"/>
    <mergeCell ref="A71:B71"/>
    <mergeCell ref="A72:B72"/>
    <mergeCell ref="A68:B68"/>
    <mergeCell ref="K68:L68"/>
    <mergeCell ref="M68:N68"/>
    <mergeCell ref="O68:Q68"/>
    <mergeCell ref="A69:B69"/>
    <mergeCell ref="K69:L69"/>
    <mergeCell ref="M69:N69"/>
    <mergeCell ref="O69:Q69"/>
    <mergeCell ref="A80:E80"/>
    <mergeCell ref="A81:E81"/>
    <mergeCell ref="A82:E82"/>
    <mergeCell ref="A83:E83"/>
    <mergeCell ref="A84:E84"/>
    <mergeCell ref="A85:E85"/>
    <mergeCell ref="A73:B73"/>
    <mergeCell ref="A76:K76"/>
    <mergeCell ref="F77:G78"/>
    <mergeCell ref="H77:I78"/>
    <mergeCell ref="J77:K78"/>
    <mergeCell ref="A78:E78"/>
    <mergeCell ref="A92:E92"/>
    <mergeCell ref="A93:E93"/>
    <mergeCell ref="A94:E94"/>
    <mergeCell ref="A95:E95"/>
    <mergeCell ref="A96:E96"/>
    <mergeCell ref="A97:E97"/>
    <mergeCell ref="A86:E86"/>
    <mergeCell ref="A87:E87"/>
    <mergeCell ref="A88:E88"/>
    <mergeCell ref="A89:E89"/>
    <mergeCell ref="A90:E90"/>
    <mergeCell ref="A91:E91"/>
    <mergeCell ref="A103:E103"/>
    <mergeCell ref="M103:V103"/>
    <mergeCell ref="A104:E104"/>
    <mergeCell ref="M104:V104"/>
    <mergeCell ref="A108:T111"/>
    <mergeCell ref="A98:E98"/>
    <mergeCell ref="A99:E99"/>
    <mergeCell ref="A100:E100"/>
    <mergeCell ref="A101:E101"/>
    <mergeCell ref="A102:E102"/>
    <mergeCell ref="M102:V102"/>
  </mergeCells>
  <dataValidations count="79">
    <dataValidation type="whole" allowBlank="1" showInputMessage="1" showErrorMessage="1" errorTitle="Erro" error="Tem que introduzir um valor númerico inteiro" sqref="B17:I17 B23:I23 O70 L71:O75 J17:Q23" xr:uid="{6445058E-6B43-44BC-A0AD-11B43644EE49}">
      <formula1>0</formula1>
      <formula2>100000000</formula2>
    </dataValidation>
    <dataValidation type="list" allowBlank="1" showInputMessage="1" showErrorMessage="1" sqref="C4:F4" xr:uid="{F06AC97A-B97B-4F85-90D2-124C31D68A4E}">
      <formula1>AreasTPII_v1</formula1>
    </dataValidation>
    <dataValidation type="list" allowBlank="1" showInputMessage="1" showErrorMessage="1" sqref="J4:N4" xr:uid="{EFEAEB91-A012-4426-B332-22C3CE5A9974}">
      <formula1>OFFSET(AreasTPIIStart,MATCH(C4,AreasTPII,0),1,COUNTIF(AreasTPII,C4),1)</formula1>
    </dataValidation>
    <dataValidation type="custom" allowBlank="1" showInputMessage="1" showErrorMessage="1" errorTitle="Erro" error="O valor de &quot;F&quot; não pode ser superior ao valor de &quot;MF&quot;" sqref="H20:I20" xr:uid="{8BCB05FE-AA94-4B51-B5CA-ACED910ADD96}">
      <formula1>F20&gt;=H20</formula1>
    </dataValidation>
    <dataValidation type="list" allowBlank="1" showInputMessage="1" showErrorMessage="1" errorTitle="Erro" error="Tem que introduzir um valor númerico inteiro" sqref="O66:O69" xr:uid="{3339B411-90D0-4F6E-89A7-5938129732BE}">
      <formula1>SimNao</formula1>
    </dataValidation>
    <dataValidation type="list" allowBlank="1" showInputMessage="1" showErrorMessage="1" sqref="E39:E40 I39:I40 M39:M40 L37:L40 H37:H40 E37 D37:D40" xr:uid="{817080E4-8680-43C8-ABCB-7BEAEA51C7B7}">
      <formula1>NumTurnos</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9BEB8ECD-48F6-4D64-9E76-2F807FA28582}">
      <formula1>AND(C11&gt;=0,C11&lt;=B11,MOD(C11,1)=0)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D388AD0F-A681-4780-9B1E-48999BC360BA}">
      <formula1>AND(B11&gt;=0,B11&gt;=C11,MOD(B11,1)=0)</formula1>
    </dataValidation>
    <dataValidation type="custom" showInputMessage="1" showErrorMessage="1" errorTitle="Erro" error="O valor de &quot;F&quot; não pode ser superior ao valor de &quot;MF&quot;" sqref="E11 G12 I13 K14 Q57:Q59 E57:E59 G57:G59 I57:I59 K57:K59 M57:M59 O57:O59 I61 K61 M61 O61 Q61 E61 G61 D67:D72 F67:F72 G80:G103 I80:I103" xr:uid="{DFB39E46-D2A1-4852-9F84-FAA72C8A3D52}">
      <formula1>AND(D11&gt;=0,D11&lt;=C11,MOD(D11,1)=0)</formula1>
    </dataValidation>
    <dataValidation type="custom" showInputMessage="1" showErrorMessage="1" errorTitle="Erro" error="Tem que introduzir um valor númerico inteiro que seja igual ou superior ao valor de F" sqref="D11 F12 H13 J14" xr:uid="{AB1E66F9-80BA-473E-9A09-F90A7000C030}">
      <formula1>AND(D11&gt;=0,D11&gt;=E11,MOD(D11,1)=0)</formula1>
    </dataValidation>
    <dataValidation type="custom" showInputMessage="1" showErrorMessage="1" errorTitle="Erro" error="Tem que introduzir um valor númerico inteiro que seja igual ou superior ao valor de F" sqref="F21:G22" xr:uid="{8765011E-D9AF-4293-9F6D-73CE3F7BB84C}">
      <formula1>AND(F21&gt;=0,F21&gt;=H21,MOD(F21,1)=0)</formula1>
    </dataValidation>
    <dataValidation type="custom" showInputMessage="1" showErrorMessage="1" errorTitle="Erro" error="Tem que introduzir um valor númerico inteiro" sqref="F20:G20 M66:N69" xr:uid="{FD676D8D-6C27-47BB-B37A-D5BFAF10F1D5}">
      <formula1>AND(F20&gt;=0,MOD(F20,1)=0)</formula1>
    </dataValidation>
    <dataValidation type="custom" showInputMessage="1" showErrorMessage="1" errorTitle="Erro" error="O valor de &quot;F&quot; não pode ser superior ao valor de &quot;MF&quot;" sqref="H21:I22" xr:uid="{080A251B-D6CC-4AB9-AF64-29BD7E65899A}">
      <formula1>AND(H21&gt;=0,H21&lt;=F21,MOD(H21,1)=0)</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31" xr:uid="{72020579-9628-4329-A460-1314EA26CD6D}">
      <formula1>AND(O31&gt;=0,Q14&gt;=O31,MOD(O31,1)=0,O31&lt;=N31)</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31" xr:uid="{F14254E9-98DF-49F3-8DDB-22FF005D5838}">
      <formula1>AND(N31&gt;=0,P14&gt;=N31,MOD(N31,1)=0,N31&gt;=O31)</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31" xr:uid="{4A6730AF-C267-4545-9A98-8D4490518AD7}">
      <formula1>AND(M31&gt;=0,O14&gt;=M31,MOD(M31,1)=0,M31&lt;=L31)</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31" xr:uid="{6A71CF5E-5B9A-4A5F-BA9D-36FDE938DB2D}">
      <formula1>AND(L31&gt;=0,N14&gt;=L31,MOD(L31,1)=0,L31&gt;=M31)</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31" xr:uid="{EF044C5B-0B5B-45F9-9AF6-EF23E0DDAE80}">
      <formula1>AND(I31&gt;=0,K14&gt;=I31,MOD(I31,1)=0,I31&lt;=H31)</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31" xr:uid="{D4990B04-48E3-4A06-B3CB-8F56C08D774B}">
      <formula1>AND(H31&gt;=0,J14&gt;=H31,MOD(H31,1)=0,H31&gt;=I31)</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31" xr:uid="{94FD5A9F-2106-4CC3-BF7D-AAA544F85204}">
      <formula1>AND(F31&gt;=0,H14&gt;=F31,MOD(F31,1)=0,F31&gt;=G31)</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31" xr:uid="{93AF20A7-B06C-42A9-9996-EB2D3C67BAEB}">
      <formula1>AND(G31&gt;=0,I14&gt;=G31,MOD(G31,1)=0,G31&lt;=F31)</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31" xr:uid="{8AA256FB-A46E-4240-8C5A-0CA380CCFA71}">
      <formula1>AND(E31&gt;=0,G14&gt;=E31,MOD(E31,1)=0,E31&lt;=D31)</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31" xr:uid="{6F9D595D-CE8F-4D57-BDB7-CBE6AB231F00}">
      <formula1>AND(D31&gt;=0,F14&gt;=D31,MOD(D31,1)=0,D31&gt;=E31)</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30" xr:uid="{4BB783EE-93FD-4A88-B6D6-8A71BEC098CE}">
      <formula1>AND(O30&gt;=0,Q13&gt;=O30,MOD(O30,1)=0,O30&lt;=N30)</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30" xr:uid="{DCBCE185-4390-4ABC-A916-FC36A4779D20}">
      <formula1>AND(N30&gt;=0,P13&gt;=N30,MOD(N30,1)=0,N30&gt;=O30)</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30" xr:uid="{ABE8DE7C-63ED-4D9D-AB4C-3DE4A9A0E346}">
      <formula1>AND(M30&gt;=0,O13&gt;=M30,MOD(M30,1)=0,M30&lt;=L30)</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30" xr:uid="{B080FD63-D676-4787-B5A6-4BE56524D0C8}">
      <formula1>AND(L30&gt;=0,N13&gt;=L30,MOD(L30,1)=0,L30&gt;=M30)</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30" xr:uid="{861BC874-5B4D-4894-A8DE-94572C7AA2ED}">
      <formula1>AND(K30&gt;=0,M13&gt;=K30,MOD(K30,1)=0,K30&lt;=J30)</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30" xr:uid="{95340104-56A9-4FFD-AB64-8675D569403F}">
      <formula1>AND(J30&gt;=0,L13&gt;=J30,MOD(J30,1)=0,J30&gt;=K30)</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30" xr:uid="{43E53213-DB14-4121-86E3-550A459C8272}">
      <formula1>AND(G30&gt;=0,I13&gt;=G30,MOD(G30,1)=0,G30&lt;=F30)</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30" xr:uid="{4374ECBA-71AF-46BB-92DC-7A21361E69D2}">
      <formula1>AND(F30&gt;=0,H13&gt;=F30,MOD(F30,1)=0,F30&gt;=G30)</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30" xr:uid="{A0820056-7E7C-41CB-A7D5-C36B1B1D6910}">
      <formula1>AND(E30&gt;=0,G13&gt;=E30,MOD(E30,1)=0,E30&lt;=D30)</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30" xr:uid="{8C53E53D-D1F0-4ACF-AFA0-8D022B1707D1}">
      <formula1>AND(D30&gt;=0,F13&gt;=D30,MOD(D30,1)=0,D30&gt;=E30)</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9" xr:uid="{E976E366-791D-40A4-B1B0-193AE2066C18}">
      <formula1>AND(O29&gt;=0,Q12&gt;=O29,MOD(O29,1)=0,O29&lt;=N29)</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9" xr:uid="{556A5967-B3BE-496B-BAB6-F2923CDACBEC}">
      <formula1>AND(N29&gt;=0,P12&gt;=N29,MOD(N29,1)=0,N29&gt;=O29)</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9" xr:uid="{CCE7D748-AFAF-4029-97A8-C3685F7C997F}">
      <formula1>AND(M29&gt;=0,O12&gt;=M29,MOD(M29,1)=0,M29&lt;=L29)</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9" xr:uid="{EBCB0138-5E51-425B-8FEC-0BD6536F246F}">
      <formula1>AND(L29&gt;=0,N12&gt;=L29,MOD(L29,1)=0,L29&gt;=M29)</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9" xr:uid="{C5F27D91-8047-4F06-A714-132FE8909498}">
      <formula1>AND(K29&gt;=0,M12&gt;=K29,MOD(K29,1)=0,K29&lt;=J29)</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9" xr:uid="{4565D996-683D-42C0-BD01-1E1C2FF8592F}">
      <formula1>AND(J29&gt;=0,L12&gt;=J29,MOD(J29,1)=0,J29&gt;=K29)</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9" xr:uid="{B6989C42-FB79-41C4-8BC7-BAFCBF453313}">
      <formula1>AND(I29&gt;=0,K12&gt;=I29,MOD(I29,1)=0,I29&lt;=H29)</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9" xr:uid="{C6FF820F-33BE-48D8-991C-EC3D8CC8799A}">
      <formula1>AND(H29&gt;=0,J12&gt;=H29,MOD(H29,1)=0,H29&gt;=I29)</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9" xr:uid="{CC6BA205-BE2F-4E4B-945B-9C32F07D8CAD}">
      <formula1>AND(E29&gt;=0,G12&gt;=E29,MOD(E29,1)=0,E29&lt;=D29)</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9" xr:uid="{CA208028-3828-4B6B-B3BE-41B264586755}">
      <formula1>AND(D29&gt;=0,F12&gt;=D29,MOD(D29,1)=0,D29&gt;=E29)</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31" xr:uid="{A857FF08-5F29-4450-B843-AAEA08BB05B9}">
      <formula1>AND(C31&gt;=0,E14&gt;=C31,MOD(C31,1)=0,C31&lt;=B31)</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31" xr:uid="{E6DDC2F0-0770-423B-AA17-B839BA26B520}">
      <formula1>AND(B31&gt;=0,D14&gt;=B31,MOD(B31,1)=0,B31&gt;=C31)</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30" xr:uid="{26B32337-E8BB-4ED3-A63F-91F6CA466D95}">
      <formula1>AND(C30&gt;=0,E13&gt;=C30,MOD(C30,1)=0,C30&lt;=B30)</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30" xr:uid="{B1F1C48A-9236-48E1-AF91-19EC42722403}">
      <formula1>AND(B30&gt;=0,D13&gt;=B30,MOD(B30,1)=0,B30&gt;=C30)</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9" xr:uid="{86BE0197-2D7A-4E91-A1CD-CE4D77B41176}">
      <formula1>AND(C29&gt;=0,E12&gt;=C29,MOD(C29,1)=0,C29&lt;=B29)</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9" xr:uid="{C4BC8B6C-DBCB-497C-B506-D012BC9D2B2A}">
      <formula1>AND(B29&gt;=0,D12&gt;=B29,MOD(B29,1)=0,B29&gt;=C29)</formula1>
    </dataValidation>
    <dataValidation type="custom" showInputMessage="1" showErrorMessage="1" errorTitle="Erro" error="O número de alunos repetentes MF com 19 anos na 13ª classe não deve ser superior ao de matriculados MF com 19 anos na 13ª classe" sqref="J31" xr:uid="{513978FA-1DB6-4657-85FB-C3E587D01FA2}">
      <formula1>AND(J31&gt;=0,L14&gt;=J31,MOD(J31,1)=0,J31&gt;=K31)</formula1>
    </dataValidation>
    <dataValidation type="custom" showInputMessage="1" showErrorMessage="1" errorTitle="Erro" error="O número de alunos repetentes F com 18 anos na 12ª classe não deve ser superior ao de matriculados F com 18 anos na 12ª classe" sqref="I30" xr:uid="{E756DB1B-A4A0-44F8-ACED-5B109C9DAA93}">
      <formula1>AND(I30&gt;=0,K13&gt;=I30,MOD(I30,1)=0,I30&lt;=H30)</formula1>
    </dataValidation>
    <dataValidation type="custom" showInputMessage="1" showErrorMessage="1" errorTitle="Erro" error="O número de alunos repetentes MF com 18 anos na 12ª classe não deve ser superior ao de matriculados MF com 18 anos na 12ª classe" sqref="H30" xr:uid="{42C24A41-E40E-4832-8828-AEA17368B7D5}">
      <formula1>AND(H30&gt;=0,J13&gt;=H30,MOD(H30,1)=0,H30&gt;=I30)</formula1>
    </dataValidation>
    <dataValidation type="custom" showInputMessage="1" showErrorMessage="1" errorTitle="Erro" error="O número de alunos repetentes F com 16 anos na 10ª classe não deve ser superior ao de matriculados F com 16 anos na 10ª classe" sqref="E28" xr:uid="{A1E15F30-28FE-4B0B-9695-822DEA86B8DD}">
      <formula1>AND(E28&gt;=0,G11&gt;=E28,MOD(E28,1)=0,E28&lt;=D28)</formula1>
    </dataValidation>
    <dataValidation type="custom" showInputMessage="1" showErrorMessage="1" errorTitle="Erro" error="O número de alunos repetentes F com 17 anos na 11ª classe não deve ser superior ao de matriculados F com 17 anos na 11ª classe" sqref="G29" xr:uid="{ABF47B91-7E64-4966-81EC-0DEA1D813172}">
      <formula1>AND(G29&gt;=0,I12&gt;=G29,MOD(G29,1)=0,G29&lt;=F29)</formula1>
    </dataValidation>
    <dataValidation type="custom" showInputMessage="1" showErrorMessage="1" errorTitle="Erro" error="O número de alunos repetentes MF com 17 anos na 11ª classe não deve ser superior ao de matriculados MF com 17 anos na 11ª classe" sqref="F29" xr:uid="{30C3E36F-68FE-4EDC-A98B-1FF2DA192F64}">
      <formula1>AND(F29&gt;=0,H12&gt;=F29,MOD(F29,1)=0,F29&gt;=G29)</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8" xr:uid="{C7C8A15B-3A3F-424F-994A-604203305041}">
      <formula1>AND(O28&gt;=0,Q11&gt;=O28,MOD(O28,1)=0,O28&lt;=N28)</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8" xr:uid="{A3E5E71B-BBF7-4B91-B2C0-9EB92FFDF350}">
      <formula1>AND(N28&gt;=0,P11&gt;=N28,MOD(N28,1)=0,N28&gt;=O28)</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8" xr:uid="{F683E816-F766-41DC-8DF3-673505482B17}">
      <formula1>AND(M28&gt;=0,O11&gt;=M28,MOD(M28,1)=0,M28&lt;=L28)</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8" xr:uid="{10A3BA10-314A-4352-8DE8-DD4DA58C0780}">
      <formula1>AND(L28&gt;=0,N11&gt;=L28,MOD(L28,1)=0,L28&gt;=M28)</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8" xr:uid="{3C4B8DB6-E5DC-4DB5-AA60-1AAE26FC96FB}">
      <formula1>AND(K28&gt;=0,M11&gt;=K28,MOD(K28,1)=0,K28&lt;=J28)</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8" xr:uid="{FB23EBCC-C18E-483E-869E-FE2C51299514}">
      <formula1>AND(J28&gt;=0,L11&gt;=J28,MOD(J28,1)=0,J28&gt;=K28)</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8" xr:uid="{CFCB07BA-509B-4A88-8032-B6EF246F4AF8}">
      <formula1>AND(I28&gt;=0,K11&gt;=I28,MOD(I28,1)=0,I28&lt;=H28)</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8" xr:uid="{501FF2FA-57AA-45F6-BBD9-21B52D3CFEEB}">
      <formula1>AND(H28&gt;=0,J11&gt;=H28,MOD(H28,1)=0,H28&gt;=I28)</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8" xr:uid="{D02EAADF-5749-45D3-AE91-A30C5FA86498}">
      <formula1>AND(G28&gt;=0,I11&gt;=G28,MOD(G28,1)=0,G28&lt;=F28)</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8" xr:uid="{6AEE201A-786A-4F32-9803-DF56C966E827}">
      <formula1>AND(F28&gt;=0,H11&gt;=F28,MOD(F28,1)=0,F28&gt;=G28)</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8" xr:uid="{C86A3A6F-288C-44A0-BAFD-AB3D3C225920}">
      <formula1>AND(B28&gt;=0,D11&gt;=B28,MOD(B28,1)=0,B28&gt;=C28)</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8" xr:uid="{25ECF8B8-2EC9-47D2-9398-C72E78BC7299}">
      <formula1>AND(C28&gt;=0,E11&gt;=C28,MOD(C28,1)=0,C28&lt;=B28)</formula1>
    </dataValidation>
    <dataValidation type="custom" showInputMessage="1" showErrorMessage="1" errorTitle="Erro" error="O número de alunos repetentes MF com 16 anos na 10ª classe não deve ser superior ao de matriculados MF com 16 anos na 10ª classe" sqref="D28" xr:uid="{A211E410-774E-49C3-A5A1-DDCF875ACA2D}">
      <formula1>AND(D28&gt;=0,F11&gt;=D28,MOD(D28,1)=0,D28&gt;=E28)</formula1>
    </dataValidation>
    <dataValidation type="custom" showInputMessage="1" showErrorMessage="1" errorTitle="Erro" error="O número de alunos repetentes F com 19 anos na 13ª classe não deve ser superior ao de matriculados F com 19 anos na 13ª classe" sqref="K31" xr:uid="{2543B692-2447-40C5-A979-EF7D40AE7C4D}">
      <formula1>AND(K31&gt;=0,M14&gt;=K31,MOD(K31,1)=0,K31&lt;=J31)</formula1>
    </dataValidation>
    <dataValidation type="custom" showInputMessage="1" showErrorMessage="1" errorTitle="Erro" error="Tem que introduzir um valor numérico inteiro" sqref="B37:C40 F37:G40 J37:K40" xr:uid="{19725B60-5D14-4D2B-BD8F-9E77B812232F}">
      <formula1>AND(B37&gt;=0,MOD(B37,1)=0)</formula1>
    </dataValidation>
    <dataValidation type="custom" showInputMessage="1" showErrorMessage="1" errorTitle="Erro" error="O número de Alunos com deficiências MF na 10ª classe não pode ser superior ao número de matriculados MF na 10ª classe" sqref="B46 D46 F46 H46" xr:uid="{AC77D32A-31FD-4095-AE1E-1B3D06F85028}">
      <formula1>AND(B46&gt;=0,B46&gt;=C46,MOD(B46,1)=0,$R11&gt;=B46)</formula1>
    </dataValidation>
    <dataValidation type="custom" showInputMessage="1" showErrorMessage="1" errorTitle="Erro" error="O número de alunos com deficiências F na 10ª classe não deve ser superior ao de matriculados F na 10ª classe" sqref="C46 E46 G46 I46" xr:uid="{FF6FF083-8686-492E-B651-65AF1FE214DF}">
      <formula1>AND(C46&gt;=0,C46&lt;=B46,MOD(C46,1)=0,$S11&gt;=C46)</formula1>
    </dataValidation>
    <dataValidation type="custom" showInputMessage="1" showErrorMessage="1" errorTitle="Erro" error="O número de Alunos com deficiências MF na 11ª classe não pode ser superior ao número de matriculados MF na 11ª classe" sqref="B47 D47 F47 H47" xr:uid="{D1561C50-563B-4712-8F28-38CD3D92D1FE}">
      <formula1>AND(B47&gt;=0,B47&gt;=C47,MOD(B47,1)=0,$R12&gt;=B47)</formula1>
    </dataValidation>
    <dataValidation type="custom" showInputMessage="1" showErrorMessage="1" errorTitle="Erro" error="O número de alunos com deficiências F na 11ª classe não deve ser superior ao de matriculados F na 11ª classe" sqref="C47 E47 G47 I47" xr:uid="{C2910637-821F-46C6-9DFA-B744AA2F0753}">
      <formula1>AND(C47&gt;=0,C47&lt;=B47,MOD(C47,1)=0,$S12&gt;=C47)</formula1>
    </dataValidation>
    <dataValidation type="custom" showInputMessage="1" showErrorMessage="1" errorTitle="Erro" error="O número de Alunos com deficiências MF na 12ª classe não pode ser superior ao número de matriculados MF na 12ª classe" sqref="B48 D48 F48 H48" xr:uid="{CD47BEBE-7520-40FE-9DC6-2CF7CFDE4FD2}">
      <formula1>AND(B48&gt;=0,B48&gt;=C48,MOD(B48,1)=0,$R13&gt;=B48)</formula1>
    </dataValidation>
    <dataValidation type="custom" showInputMessage="1" showErrorMessage="1" errorTitle="Erro" error="O número de alunos com deficiências F na 12ª classe não deve ser superior ao de matriculados F na 12ª classe" sqref="C48 E48 G48 I48" xr:uid="{3F9D013B-C464-4F8A-8360-A77FC85B4B2D}">
      <formula1>AND(C48&gt;=0,C48&lt;=B48,MOD(C48,1)=0,$S13&gt;=C48)</formula1>
    </dataValidation>
    <dataValidation type="custom" showInputMessage="1" showErrorMessage="1" errorTitle="Erro" error="O número de Alunos com deficiências MF na 13ª classe não pode ser superior ao número de matriculados MF na 13ª classe" sqref="B49 D49 F49 H49" xr:uid="{8EAB542E-F316-4D6C-A782-6194C31D0A34}">
      <formula1>AND(B49&gt;=0,B49&gt;=C49,MOD(B49,1)=0,$R14&gt;=B49)</formula1>
    </dataValidation>
    <dataValidation type="custom" showInputMessage="1" showErrorMessage="1" errorTitle="Erro" error="O número de alunos com deficiências F na 13ª classe não deve ser superior ao de matriculados F na 13ª classe" sqref="C49 E49 G49 I49" xr:uid="{245D7DE2-4E28-4AE0-9AFA-0CCC8C1C263E}">
      <formula1>AND(C49&gt;=0,C49&lt;=B49,MOD(C49,1)=0,$S14&gt;=C49)</formula1>
    </dataValidation>
    <dataValidation type="custom" showInputMessage="1" showErrorMessage="1" errorTitle="Erro" error="Tem que introduzir um valor númerico inteiro igual ou superior ao valor de &quot;F&quot;" sqref="D57:D59 F57:F59 H57:H59 J57:J59 L57:L59 N57:N59 P57:P59 D61 F61 H61 J61 L61 N61 P61 C67:C72 E67:E72 F80:F103 H80:H103" xr:uid="{44DE6E17-39CB-47DE-A7BF-691383732601}">
      <formula1>AND(C57&gt;=0,C57&gt;=D57,MOD(C57,1)=0)</formula1>
    </dataValidation>
  </dataValidations>
  <pageMargins left="0.13" right="0.13" top="0.25" bottom="0.19" header="0.22" footer="0.16"/>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locked="0" defaultSize="0" print="0" autoFill="0" autoPict="0" macro="[0]!_xludf.Copy">
                <anchor moveWithCells="1" sizeWithCells="1">
                  <from>
                    <xdr:col>19</xdr:col>
                    <xdr:colOff>104775</xdr:colOff>
                    <xdr:row>1</xdr:row>
                    <xdr:rowOff>19050</xdr:rowOff>
                  </from>
                  <to>
                    <xdr:col>22</xdr:col>
                    <xdr:colOff>352425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V22"/>
  <sheetViews>
    <sheetView showGridLines="0" workbookViewId="0">
      <selection activeCell="I4" sqref="I4:L4"/>
    </sheetView>
  </sheetViews>
  <sheetFormatPr defaultColWidth="9.140625" defaultRowHeight="15" x14ac:dyDescent="0.25"/>
  <cols>
    <col min="1" max="1" width="11.28515625" customWidth="1"/>
    <col min="2" max="5" width="8.28515625" customWidth="1"/>
    <col min="6" max="15" width="8.5703125" customWidth="1"/>
    <col min="18" max="18" width="3.140625" customWidth="1"/>
    <col min="19" max="19" width="4.28515625" customWidth="1"/>
    <col min="22" max="22" width="7" customWidth="1"/>
  </cols>
  <sheetData>
    <row r="1" spans="1:22" x14ac:dyDescent="0.25">
      <c r="A1" s="39" t="s">
        <v>1115</v>
      </c>
      <c r="B1" s="39"/>
      <c r="C1" s="39"/>
    </row>
    <row r="2" spans="1:22" ht="21" x14ac:dyDescent="0.25">
      <c r="A2" s="66" t="s">
        <v>1175</v>
      </c>
      <c r="B2" s="66"/>
      <c r="C2" s="66"/>
      <c r="D2" s="66"/>
      <c r="E2" s="66"/>
      <c r="F2" s="66"/>
      <c r="G2" s="66"/>
      <c r="H2" s="66"/>
      <c r="I2" s="66"/>
      <c r="J2" s="141" t="s">
        <v>124</v>
      </c>
      <c r="K2" s="141"/>
      <c r="L2" s="141"/>
      <c r="M2" s="141"/>
    </row>
    <row r="3" spans="1:22" ht="21" x14ac:dyDescent="0.25">
      <c r="A3" s="67" t="s">
        <v>1115</v>
      </c>
      <c r="B3" s="67"/>
      <c r="C3" s="67"/>
      <c r="D3" s="100"/>
      <c r="E3" s="100"/>
      <c r="F3" s="100"/>
      <c r="G3" s="100"/>
      <c r="H3" s="100"/>
      <c r="I3" s="100"/>
      <c r="J3" s="100"/>
      <c r="K3" s="100"/>
      <c r="L3" s="100"/>
      <c r="M3" s="100"/>
      <c r="N3" s="100"/>
      <c r="O3" s="100"/>
    </row>
    <row r="4" spans="1:22" x14ac:dyDescent="0.25">
      <c r="A4" s="401" t="s">
        <v>1432</v>
      </c>
      <c r="B4" s="401"/>
      <c r="C4" s="402" t="s">
        <v>80</v>
      </c>
      <c r="D4" s="403"/>
      <c r="E4" s="403"/>
      <c r="F4" s="404"/>
      <c r="H4" s="93" t="s">
        <v>284</v>
      </c>
      <c r="I4" s="402" t="s">
        <v>1336</v>
      </c>
      <c r="J4" s="403"/>
      <c r="K4" s="403"/>
      <c r="L4" s="404"/>
      <c r="N4" s="353" t="s">
        <v>1470</v>
      </c>
      <c r="O4" s="353"/>
      <c r="P4" s="353"/>
      <c r="Q4" s="353"/>
      <c r="R4" s="353"/>
      <c r="S4" s="353"/>
      <c r="T4" s="353"/>
      <c r="U4" s="353"/>
      <c r="V4" s="353"/>
    </row>
    <row r="5" spans="1:22" ht="15.75" thickBot="1" x14ac:dyDescent="0.3">
      <c r="A5" s="35" t="s">
        <v>1115</v>
      </c>
      <c r="B5" s="35"/>
      <c r="C5" s="35"/>
    </row>
    <row r="6" spans="1:22" ht="15.75" thickTop="1" x14ac:dyDescent="0.25">
      <c r="A6" s="406" t="s">
        <v>1176</v>
      </c>
      <c r="B6" s="407"/>
      <c r="C6" s="407"/>
      <c r="D6" s="407"/>
      <c r="E6" s="407"/>
      <c r="F6" s="407"/>
      <c r="G6" s="407"/>
      <c r="H6" s="407"/>
      <c r="I6" s="407"/>
      <c r="J6" s="407"/>
      <c r="K6" s="407"/>
      <c r="L6" s="407"/>
      <c r="M6" s="407"/>
      <c r="N6" s="407"/>
      <c r="O6" s="408"/>
    </row>
    <row r="7" spans="1:22" ht="15" customHeight="1" x14ac:dyDescent="0.25">
      <c r="A7" s="38" t="s">
        <v>1151</v>
      </c>
      <c r="B7" s="312" t="s">
        <v>1463</v>
      </c>
      <c r="C7" s="313"/>
      <c r="D7" s="312" t="s">
        <v>1464</v>
      </c>
      <c r="E7" s="313"/>
      <c r="F7" s="312" t="s">
        <v>1129</v>
      </c>
      <c r="G7" s="313"/>
      <c r="H7" s="312" t="s">
        <v>1130</v>
      </c>
      <c r="I7" s="313"/>
      <c r="J7" s="312" t="s">
        <v>1152</v>
      </c>
      <c r="K7" s="411"/>
      <c r="L7" s="411"/>
      <c r="M7" s="313"/>
      <c r="N7" s="312" t="s">
        <v>1131</v>
      </c>
      <c r="O7" s="409"/>
    </row>
    <row r="8" spans="1:22" ht="15" customHeight="1" x14ac:dyDescent="0.25">
      <c r="A8" s="91" t="s">
        <v>1115</v>
      </c>
      <c r="B8" s="314"/>
      <c r="C8" s="315"/>
      <c r="D8" s="314"/>
      <c r="E8" s="315"/>
      <c r="F8" s="314"/>
      <c r="G8" s="315"/>
      <c r="H8" s="314"/>
      <c r="I8" s="315"/>
      <c r="J8" s="263" t="s">
        <v>1459</v>
      </c>
      <c r="K8" s="265"/>
      <c r="L8" s="263" t="s">
        <v>1460</v>
      </c>
      <c r="M8" s="265"/>
      <c r="N8" s="314"/>
      <c r="O8" s="410"/>
    </row>
    <row r="9" spans="1:22" x14ac:dyDescent="0.25">
      <c r="A9" s="57"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22" x14ac:dyDescent="0.25">
      <c r="A10" s="99" t="s">
        <v>68</v>
      </c>
      <c r="B10" s="154">
        <v>12</v>
      </c>
      <c r="C10" s="154">
        <v>10</v>
      </c>
      <c r="D10" s="152">
        <f>IF($I$4="",IF(SUM(F10,H10,N10)=0, "",SUM(F10,H10,N10)),SUM(F10,H10,N10))</f>
        <v>0</v>
      </c>
      <c r="E10" s="152">
        <f>IF($I$4="",IF(SUM(G10,I10,O10)=0, "",SUM(G10,I10,O10)),SUM(G10,I10,O10))</f>
        <v>0</v>
      </c>
      <c r="F10" s="187"/>
      <c r="G10" s="187"/>
      <c r="H10" s="187"/>
      <c r="I10" s="187"/>
      <c r="J10" s="187"/>
      <c r="K10" s="187"/>
      <c r="L10" s="187"/>
      <c r="M10" s="187"/>
      <c r="N10" s="187"/>
      <c r="O10" s="189"/>
    </row>
    <row r="11" spans="1:22" x14ac:dyDescent="0.25">
      <c r="A11" s="99" t="s">
        <v>69</v>
      </c>
      <c r="B11" s="154">
        <v>30</v>
      </c>
      <c r="C11" s="154">
        <v>20</v>
      </c>
      <c r="D11" s="152">
        <f t="shared" ref="D11:D13" si="0">IF($I$4="",IF(SUM(F11,H11,N11)=0, "",SUM(F11,H11,N11)),SUM(F11,H11,N11))</f>
        <v>0</v>
      </c>
      <c r="E11" s="152">
        <f>IF($I$4="",IF(SUM(G11,I11,O11)=0, "",SUM(G11,I11,O11)),SUM(G11,I11,O11))</f>
        <v>0</v>
      </c>
      <c r="F11" s="187"/>
      <c r="G11" s="187"/>
      <c r="H11" s="187"/>
      <c r="I11" s="187"/>
      <c r="J11" s="187"/>
      <c r="K11" s="187"/>
      <c r="L11" s="187"/>
      <c r="M11" s="187"/>
      <c r="N11" s="187"/>
      <c r="O11" s="189"/>
    </row>
    <row r="12" spans="1:22" x14ac:dyDescent="0.25">
      <c r="A12" s="99" t="s">
        <v>70</v>
      </c>
      <c r="B12" s="154">
        <v>15</v>
      </c>
      <c r="C12" s="154">
        <v>2</v>
      </c>
      <c r="D12" s="152">
        <f t="shared" si="0"/>
        <v>0</v>
      </c>
      <c r="E12" s="152">
        <f>IF($I$4="",IF(SUM(G12,I12,O12)=0, "",SUM(G12,I12,O12)),SUM(G12,I12,O12))</f>
        <v>0</v>
      </c>
      <c r="F12" s="187"/>
      <c r="G12" s="187"/>
      <c r="H12" s="187"/>
      <c r="I12" s="187"/>
      <c r="J12" s="187"/>
      <c r="K12" s="187"/>
      <c r="L12" s="187"/>
      <c r="M12" s="187"/>
      <c r="N12" s="187"/>
      <c r="O12" s="189"/>
    </row>
    <row r="13" spans="1:22" x14ac:dyDescent="0.25">
      <c r="A13" s="99" t="s">
        <v>71</v>
      </c>
      <c r="B13" s="154">
        <v>0</v>
      </c>
      <c r="C13" s="154">
        <v>0</v>
      </c>
      <c r="D13" s="152">
        <f t="shared" si="0"/>
        <v>0</v>
      </c>
      <c r="E13" s="152">
        <f>IF($I$4="",IF(SUM(G13,I13,O13)=0, "",SUM(G13,I13,O13)),SUM(G13,I13,O13))</f>
        <v>0</v>
      </c>
      <c r="F13" s="187"/>
      <c r="G13" s="187"/>
      <c r="H13" s="187"/>
      <c r="I13" s="187"/>
      <c r="J13" s="187"/>
      <c r="K13" s="187"/>
      <c r="L13" s="187"/>
      <c r="M13" s="187"/>
      <c r="N13" s="187"/>
      <c r="O13" s="189"/>
    </row>
    <row r="14" spans="1:22" ht="15.75" thickBot="1" x14ac:dyDescent="0.3">
      <c r="A14" s="65" t="s">
        <v>15</v>
      </c>
      <c r="B14" s="132">
        <f>SUM(B10:B13)</f>
        <v>57</v>
      </c>
      <c r="C14" s="132">
        <f t="shared" ref="C14:E14" si="1">SUM(C10:C13)</f>
        <v>32</v>
      </c>
      <c r="D14" s="132">
        <f t="shared" si="1"/>
        <v>0</v>
      </c>
      <c r="E14" s="132">
        <f t="shared" si="1"/>
        <v>0</v>
      </c>
      <c r="F14" s="132">
        <f t="shared" ref="F14:O14" si="2">SUM(F10:F13)</f>
        <v>0</v>
      </c>
      <c r="G14" s="132">
        <f t="shared" si="2"/>
        <v>0</v>
      </c>
      <c r="H14" s="132">
        <f t="shared" si="2"/>
        <v>0</v>
      </c>
      <c r="I14" s="132">
        <f t="shared" si="2"/>
        <v>0</v>
      </c>
      <c r="J14" s="132">
        <f t="shared" ref="J14:M14" si="3">SUM(J10:J13)</f>
        <v>0</v>
      </c>
      <c r="K14" s="132">
        <f t="shared" si="3"/>
        <v>0</v>
      </c>
      <c r="L14" s="132">
        <f t="shared" si="3"/>
        <v>0</v>
      </c>
      <c r="M14" s="132">
        <f t="shared" si="3"/>
        <v>0</v>
      </c>
      <c r="N14" s="132">
        <f t="shared" si="2"/>
        <v>0</v>
      </c>
      <c r="O14" s="133">
        <f t="shared" si="2"/>
        <v>0</v>
      </c>
    </row>
    <row r="15" spans="1:22" ht="15.75" thickTop="1" x14ac:dyDescent="0.25">
      <c r="A15" s="35" t="s">
        <v>1115</v>
      </c>
      <c r="B15" s="35"/>
      <c r="C15" s="35"/>
    </row>
    <row r="16" spans="1:22" x14ac:dyDescent="0.25">
      <c r="A16" s="35"/>
      <c r="B16" s="35"/>
      <c r="C16" s="35"/>
    </row>
    <row r="17" spans="1:17" x14ac:dyDescent="0.25">
      <c r="A17" s="35" t="s">
        <v>1115</v>
      </c>
      <c r="B17" s="35"/>
      <c r="C17" s="35"/>
      <c r="G17" s="306" t="s">
        <v>1462</v>
      </c>
      <c r="H17" s="307"/>
      <c r="I17" s="307"/>
      <c r="J17" s="307"/>
      <c r="K17" s="307"/>
      <c r="L17" s="307"/>
      <c r="M17" s="307"/>
      <c r="N17" s="307"/>
      <c r="O17" s="308"/>
    </row>
    <row r="18" spans="1:17" x14ac:dyDescent="0.25">
      <c r="A18" s="83"/>
      <c r="B18" s="83"/>
      <c r="C18" s="83"/>
      <c r="G18" s="303" t="s">
        <v>1469</v>
      </c>
      <c r="H18" s="304"/>
      <c r="I18" s="304"/>
      <c r="J18" s="304"/>
      <c r="K18" s="304"/>
      <c r="L18" s="304"/>
      <c r="M18" s="304"/>
      <c r="N18" s="304"/>
      <c r="O18" s="305"/>
    </row>
    <row r="19" spans="1:17" x14ac:dyDescent="0.25">
      <c r="A19" s="83"/>
      <c r="B19" s="83"/>
      <c r="C19" s="83"/>
    </row>
    <row r="20" spans="1:17" ht="15" customHeight="1" x14ac:dyDescent="0.25">
      <c r="A20" s="405" t="s">
        <v>1465</v>
      </c>
      <c r="B20" s="405"/>
      <c r="C20" s="405"/>
      <c r="D20" s="405"/>
      <c r="E20" s="405"/>
      <c r="F20" s="405"/>
      <c r="G20" s="405"/>
      <c r="H20" s="405"/>
      <c r="I20" s="405"/>
      <c r="J20" s="405"/>
      <c r="K20" s="405"/>
      <c r="L20" s="405"/>
      <c r="M20" s="405"/>
      <c r="N20" s="405"/>
      <c r="O20" s="405"/>
      <c r="P20" s="140"/>
      <c r="Q20" s="140"/>
    </row>
    <row r="21" spans="1:17" x14ac:dyDescent="0.25">
      <c r="A21" s="405"/>
      <c r="B21" s="405"/>
      <c r="C21" s="405"/>
      <c r="D21" s="405"/>
      <c r="E21" s="405"/>
      <c r="F21" s="405"/>
      <c r="G21" s="405"/>
      <c r="H21" s="405"/>
      <c r="I21" s="405"/>
      <c r="J21" s="405"/>
      <c r="K21" s="405"/>
      <c r="L21" s="405"/>
      <c r="M21" s="405"/>
      <c r="N21" s="405"/>
      <c r="O21" s="405"/>
      <c r="P21" s="140"/>
      <c r="Q21" s="140"/>
    </row>
    <row r="22" spans="1:17" x14ac:dyDescent="0.25">
      <c r="A22" s="405"/>
      <c r="B22" s="405"/>
      <c r="C22" s="405"/>
      <c r="D22" s="405"/>
      <c r="E22" s="405"/>
      <c r="F22" s="405"/>
      <c r="G22" s="405"/>
      <c r="H22" s="405"/>
      <c r="I22" s="405"/>
      <c r="J22" s="405"/>
      <c r="K22" s="405"/>
      <c r="L22" s="405"/>
      <c r="M22" s="405"/>
      <c r="N22" s="405"/>
      <c r="O22" s="405"/>
      <c r="P22" s="140"/>
      <c r="Q22" s="140"/>
    </row>
  </sheetData>
  <sheetProtection algorithmName="SHA-512" hashValue="h4RJfoUhP5lUAOe2pvOrj0KlIv4PBfxKffKLd9dJDJyADDEJmXd3UUopCKvLvNVr17gZp26wXm5Dm99OYLFfBA==" saltValue="TiYMjnHgeJGOaUkCYQoPWg==" spinCount="100000" sheet="1" objects="1" scenarios="1" selectLockedCells="1"/>
  <mergeCells count="16">
    <mergeCell ref="A20:O22"/>
    <mergeCell ref="A6:O6"/>
    <mergeCell ref="D7:E8"/>
    <mergeCell ref="F7:G8"/>
    <mergeCell ref="H7:I8"/>
    <mergeCell ref="N7:O8"/>
    <mergeCell ref="J7:M7"/>
    <mergeCell ref="J8:K8"/>
    <mergeCell ref="L8:M8"/>
    <mergeCell ref="G17:O17"/>
    <mergeCell ref="G18:O18"/>
    <mergeCell ref="A4:B4"/>
    <mergeCell ref="C4:F4"/>
    <mergeCell ref="I4:L4"/>
    <mergeCell ref="B7:C8"/>
    <mergeCell ref="N4:V4"/>
  </mergeCells>
  <dataValidations count="7">
    <dataValidation type="list" allowBlank="1" showInputMessage="1" showErrorMessage="1" sqref="C4" xr:uid="{00000000-0002-0000-1300-000000000000}">
      <formula1>AreasTPII_v1</formula1>
    </dataValidation>
    <dataValidation type="whole" showInputMessage="1" showErrorMessage="1" errorTitle="Erro" error="Tem que introduzir um valor númerico inteiro" sqref="P10:P13" xr:uid="{00000000-0002-0000-1300-000001000000}">
      <formula1>0</formula1>
      <formula2>10000000000000</formula2>
    </dataValidation>
    <dataValidation type="whole" showInputMessage="1" showErrorMessage="1" errorTitle="Erro" error="Tem que introduzir um valor númerico inteiro" sqref="B10:C13" xr:uid="{00000000-0002-0000-1300-000002000000}">
      <formula1>0</formula1>
      <formula2>10000000</formula2>
    </dataValidation>
    <dataValidation type="list" allowBlank="1" showInputMessage="1" showErrorMessage="1" sqref="I4" xr:uid="{00000000-0002-0000-1300-000003000000}">
      <formula1>OFFSET(AreasTPIIStart,MATCH(C4,AreasTPII,0),1,COUNTIF(AreasTPII,C4),1)</formula1>
    </dataValidation>
    <dataValidation type="custom" showInputMessage="1" showErrorMessage="1" errorTitle="Erro" error="O valor de &quot;F&quot; não pode ser superior ao valor de &quot;MF&quot;" sqref="I10:I13 K10:K13 M10:M13 O10:O13 G10:G13" xr:uid="{00000000-0002-0000-1300-000004000000}">
      <formula1>AND(G10&gt;=0,G10&lt;=F10,MOD(G10,1)=0)</formula1>
    </dataValidation>
    <dataValidation type="custom" showInputMessage="1" showErrorMessage="1" errorTitle="Erro" error="Tem que introduzir um valor númerico inteiro igual ou superior ao valor de &quot;F&quot;" sqref="L10:L13 H10:H13 J10:J13 N10:N13 F10:F13" xr:uid="{00000000-0002-0000-1300-000005000000}">
      <formula1>AND(F10&gt;=0,F10&gt;=G10,MOD(F10,1)=0)</formula1>
    </dataValidation>
    <dataValidation showInputMessage="1" showErrorMessage="1" errorTitle="Erro" error="O valor de &quot;F&quot; não pode ser superior ao valor de &quot;MF&quot;" sqref="D10:E13" xr:uid="{00000000-0002-0000-1300-000006000000}"/>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locked="0" defaultSize="0" print="0" autoFill="0" autoPict="0" macro="[0]!_xludf.Copy">
                <anchor moveWithCells="1" sizeWithCells="1">
                  <from>
                    <xdr:col>13</xdr:col>
                    <xdr:colOff>133350</xdr:colOff>
                    <xdr:row>1</xdr:row>
                    <xdr:rowOff>28575</xdr:rowOff>
                  </from>
                  <to>
                    <xdr:col>15</xdr:col>
                    <xdr:colOff>0</xdr:colOff>
                    <xdr:row>1</xdr:row>
                    <xdr:rowOff>238125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44ED-5C98-4342-9113-EAB9C4E424D1}">
  <sheetPr codeName="Sheet26"/>
  <dimension ref="A1:V22"/>
  <sheetViews>
    <sheetView showGridLines="0" workbookViewId="0">
      <selection activeCell="I4" sqref="I4:L4"/>
    </sheetView>
  </sheetViews>
  <sheetFormatPr defaultColWidth="9.140625" defaultRowHeight="15" x14ac:dyDescent="0.25"/>
  <cols>
    <col min="1" max="1" width="11.28515625" customWidth="1"/>
    <col min="2" max="5" width="8.28515625" customWidth="1"/>
    <col min="6" max="15" width="8.5703125" customWidth="1"/>
    <col min="18" max="18" width="3.140625" customWidth="1"/>
    <col min="19" max="19" width="4.28515625" customWidth="1"/>
    <col min="22" max="22" width="7" customWidth="1"/>
  </cols>
  <sheetData>
    <row r="1" spans="1:22" x14ac:dyDescent="0.25">
      <c r="A1" s="39" t="s">
        <v>1115</v>
      </c>
      <c r="B1" s="39"/>
      <c r="C1" s="39"/>
    </row>
    <row r="2" spans="1:22" ht="21" x14ac:dyDescent="0.25">
      <c r="A2" s="66" t="s">
        <v>1175</v>
      </c>
      <c r="B2" s="66"/>
      <c r="C2" s="66"/>
      <c r="D2" s="66"/>
      <c r="E2" s="66"/>
      <c r="F2" s="66"/>
      <c r="G2" s="66"/>
      <c r="H2" s="66"/>
      <c r="I2" s="66"/>
      <c r="J2" s="141" t="s">
        <v>124</v>
      </c>
      <c r="K2" s="141"/>
      <c r="L2" s="141"/>
      <c r="M2" s="141"/>
    </row>
    <row r="3" spans="1:22" ht="21" x14ac:dyDescent="0.25">
      <c r="A3" s="67" t="s">
        <v>1115</v>
      </c>
      <c r="B3" s="67"/>
      <c r="C3" s="67"/>
      <c r="D3" s="100"/>
      <c r="E3" s="100"/>
      <c r="F3" s="100"/>
      <c r="G3" s="100"/>
      <c r="H3" s="100"/>
      <c r="I3" s="100"/>
      <c r="J3" s="100"/>
      <c r="K3" s="100"/>
      <c r="L3" s="100"/>
      <c r="M3" s="100"/>
      <c r="N3" s="100"/>
      <c r="O3" s="100"/>
    </row>
    <row r="4" spans="1:22" x14ac:dyDescent="0.25">
      <c r="A4" s="401" t="s">
        <v>1432</v>
      </c>
      <c r="B4" s="401"/>
      <c r="C4" s="402"/>
      <c r="D4" s="403"/>
      <c r="E4" s="403"/>
      <c r="F4" s="404"/>
      <c r="H4" s="93" t="s">
        <v>284</v>
      </c>
      <c r="I4" s="402"/>
      <c r="J4" s="403"/>
      <c r="K4" s="403"/>
      <c r="L4" s="404"/>
      <c r="N4" s="353" t="s">
        <v>1470</v>
      </c>
      <c r="O4" s="353"/>
      <c r="P4" s="353"/>
      <c r="Q4" s="353"/>
      <c r="R4" s="353"/>
      <c r="S4" s="353"/>
      <c r="T4" s="353"/>
      <c r="U4" s="353"/>
      <c r="V4" s="353"/>
    </row>
    <row r="5" spans="1:22" ht="15.75" thickBot="1" x14ac:dyDescent="0.3">
      <c r="A5" s="35" t="s">
        <v>1115</v>
      </c>
      <c r="B5" s="35"/>
      <c r="C5" s="35"/>
    </row>
    <row r="6" spans="1:22" ht="15.75" thickTop="1" x14ac:dyDescent="0.25">
      <c r="A6" s="406" t="s">
        <v>1176</v>
      </c>
      <c r="B6" s="407"/>
      <c r="C6" s="407"/>
      <c r="D6" s="407"/>
      <c r="E6" s="407"/>
      <c r="F6" s="407"/>
      <c r="G6" s="407"/>
      <c r="H6" s="407"/>
      <c r="I6" s="407"/>
      <c r="J6" s="407"/>
      <c r="K6" s="407"/>
      <c r="L6" s="407"/>
      <c r="M6" s="407"/>
      <c r="N6" s="407"/>
      <c r="O6" s="408"/>
    </row>
    <row r="7" spans="1:22" ht="15" customHeight="1" x14ac:dyDescent="0.25">
      <c r="A7" s="38" t="s">
        <v>1151</v>
      </c>
      <c r="B7" s="312" t="s">
        <v>1463</v>
      </c>
      <c r="C7" s="313"/>
      <c r="D7" s="312" t="s">
        <v>1464</v>
      </c>
      <c r="E7" s="313"/>
      <c r="F7" s="312" t="s">
        <v>1129</v>
      </c>
      <c r="G7" s="313"/>
      <c r="H7" s="312" t="s">
        <v>1130</v>
      </c>
      <c r="I7" s="313"/>
      <c r="J7" s="312" t="s">
        <v>1152</v>
      </c>
      <c r="K7" s="411"/>
      <c r="L7" s="411"/>
      <c r="M7" s="313"/>
      <c r="N7" s="312" t="s">
        <v>1131</v>
      </c>
      <c r="O7" s="409"/>
    </row>
    <row r="8" spans="1:22" ht="15" customHeight="1" x14ac:dyDescent="0.25">
      <c r="A8" s="91" t="s">
        <v>1115</v>
      </c>
      <c r="B8" s="314"/>
      <c r="C8" s="315"/>
      <c r="D8" s="314"/>
      <c r="E8" s="315"/>
      <c r="F8" s="314"/>
      <c r="G8" s="315"/>
      <c r="H8" s="314"/>
      <c r="I8" s="315"/>
      <c r="J8" s="263" t="s">
        <v>1459</v>
      </c>
      <c r="K8" s="265"/>
      <c r="L8" s="263" t="s">
        <v>1460</v>
      </c>
      <c r="M8" s="265"/>
      <c r="N8" s="314"/>
      <c r="O8" s="410"/>
    </row>
    <row r="9" spans="1:22" x14ac:dyDescent="0.25">
      <c r="A9" s="57"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22" x14ac:dyDescent="0.25">
      <c r="A10" s="99" t="s">
        <v>68</v>
      </c>
      <c r="B10" s="154">
        <v>0</v>
      </c>
      <c r="C10" s="154">
        <v>0</v>
      </c>
      <c r="D10" s="152" t="str">
        <f>IF($I$4="",IF(SUM(F10,H10,N10)=0, "",SUM(F10,H10,N10)),SUM(F10,H10,N10))</f>
        <v/>
      </c>
      <c r="E10" s="152" t="str">
        <f>IF($I$4="",IF(SUM(G10,I10,O10)=0, "",SUM(G10,I10,O10)),SUM(G10,I10,O10))</f>
        <v/>
      </c>
      <c r="F10" s="155"/>
      <c r="G10" s="155"/>
      <c r="H10" s="155"/>
      <c r="I10" s="155"/>
      <c r="J10" s="155"/>
      <c r="K10" s="155"/>
      <c r="L10" s="155"/>
      <c r="M10" s="155"/>
      <c r="N10" s="155"/>
      <c r="O10" s="156"/>
    </row>
    <row r="11" spans="1:22" x14ac:dyDescent="0.25">
      <c r="A11" s="99" t="s">
        <v>69</v>
      </c>
      <c r="B11" s="154">
        <v>0</v>
      </c>
      <c r="C11" s="154">
        <v>0</v>
      </c>
      <c r="D11" s="152" t="str">
        <f t="shared" ref="D11:D13" si="0">IF($I$4="",IF(SUM(F11,H11,N11)=0, "",SUM(F11,H11,N11)),SUM(F11,H11,N11))</f>
        <v/>
      </c>
      <c r="E11" s="152" t="str">
        <f>IF($I$4="",IF(SUM(G11,I11,O11)=0, "",SUM(G11,I11,O11)),SUM(G11,I11,O11))</f>
        <v/>
      </c>
      <c r="F11" s="155"/>
      <c r="G11" s="155"/>
      <c r="H11" s="155"/>
      <c r="I11" s="155"/>
      <c r="J11" s="155"/>
      <c r="K11" s="155"/>
      <c r="L11" s="155"/>
      <c r="M11" s="155"/>
      <c r="N11" s="155"/>
      <c r="O11" s="156"/>
    </row>
    <row r="12" spans="1:22" x14ac:dyDescent="0.25">
      <c r="A12" s="99" t="s">
        <v>70</v>
      </c>
      <c r="B12" s="154">
        <v>0</v>
      </c>
      <c r="C12" s="154">
        <v>0</v>
      </c>
      <c r="D12" s="152" t="str">
        <f t="shared" si="0"/>
        <v/>
      </c>
      <c r="E12" s="152" t="str">
        <f>IF($I$4="",IF(SUM(G12,I12,O12)=0, "",SUM(G12,I12,O12)),SUM(G12,I12,O12))</f>
        <v/>
      </c>
      <c r="F12" s="155"/>
      <c r="G12" s="155"/>
      <c r="H12" s="155"/>
      <c r="I12" s="155"/>
      <c r="J12" s="155"/>
      <c r="K12" s="155"/>
      <c r="L12" s="155"/>
      <c r="M12" s="155"/>
      <c r="N12" s="155"/>
      <c r="O12" s="156"/>
    </row>
    <row r="13" spans="1:22" x14ac:dyDescent="0.25">
      <c r="A13" s="99" t="s">
        <v>71</v>
      </c>
      <c r="B13" s="154">
        <v>0</v>
      </c>
      <c r="C13" s="154">
        <v>0</v>
      </c>
      <c r="D13" s="152" t="str">
        <f t="shared" si="0"/>
        <v/>
      </c>
      <c r="E13" s="152" t="str">
        <f>IF($I$4="",IF(SUM(G13,I13,O13)=0, "",SUM(G13,I13,O13)),SUM(G13,I13,O13))</f>
        <v/>
      </c>
      <c r="F13" s="155"/>
      <c r="G13" s="155"/>
      <c r="H13" s="155"/>
      <c r="I13" s="155"/>
      <c r="J13" s="155"/>
      <c r="K13" s="155"/>
      <c r="L13" s="155"/>
      <c r="M13" s="155"/>
      <c r="N13" s="155"/>
      <c r="O13" s="156"/>
    </row>
    <row r="14" spans="1:22" ht="15.75" thickBot="1" x14ac:dyDescent="0.3">
      <c r="A14" s="65" t="s">
        <v>15</v>
      </c>
      <c r="B14" s="132">
        <f>SUM(B10:B13)</f>
        <v>0</v>
      </c>
      <c r="C14" s="132">
        <f t="shared" ref="C14:O14" si="1">SUM(C10:C13)</f>
        <v>0</v>
      </c>
      <c r="D14" s="132">
        <f t="shared" si="1"/>
        <v>0</v>
      </c>
      <c r="E14" s="132">
        <f t="shared" si="1"/>
        <v>0</v>
      </c>
      <c r="F14" s="132">
        <f t="shared" si="1"/>
        <v>0</v>
      </c>
      <c r="G14" s="132">
        <f t="shared" si="1"/>
        <v>0</v>
      </c>
      <c r="H14" s="132">
        <f t="shared" si="1"/>
        <v>0</v>
      </c>
      <c r="I14" s="132">
        <f t="shared" si="1"/>
        <v>0</v>
      </c>
      <c r="J14" s="132">
        <f t="shared" si="1"/>
        <v>0</v>
      </c>
      <c r="K14" s="132">
        <f t="shared" si="1"/>
        <v>0</v>
      </c>
      <c r="L14" s="132">
        <f t="shared" si="1"/>
        <v>0</v>
      </c>
      <c r="M14" s="132">
        <f t="shared" si="1"/>
        <v>0</v>
      </c>
      <c r="N14" s="132">
        <f t="shared" si="1"/>
        <v>0</v>
      </c>
      <c r="O14" s="133">
        <f t="shared" si="1"/>
        <v>0</v>
      </c>
    </row>
    <row r="15" spans="1:22" ht="15.75" thickTop="1" x14ac:dyDescent="0.25">
      <c r="A15" s="35" t="s">
        <v>1115</v>
      </c>
      <c r="B15" s="35"/>
      <c r="C15" s="35"/>
    </row>
    <row r="16" spans="1:22" x14ac:dyDescent="0.25">
      <c r="A16" s="35"/>
      <c r="B16" s="35"/>
      <c r="C16" s="35"/>
    </row>
    <row r="17" spans="1:17" x14ac:dyDescent="0.25">
      <c r="A17" s="35" t="s">
        <v>1115</v>
      </c>
      <c r="B17" s="35"/>
      <c r="C17" s="35"/>
      <c r="G17" s="306" t="s">
        <v>1462</v>
      </c>
      <c r="H17" s="307"/>
      <c r="I17" s="307"/>
      <c r="J17" s="307"/>
      <c r="K17" s="307"/>
      <c r="L17" s="307"/>
      <c r="M17" s="307"/>
      <c r="N17" s="307"/>
      <c r="O17" s="308"/>
    </row>
    <row r="18" spans="1:17" x14ac:dyDescent="0.25">
      <c r="A18" s="83"/>
      <c r="B18" s="83"/>
      <c r="C18" s="83"/>
      <c r="G18" s="303" t="s">
        <v>1469</v>
      </c>
      <c r="H18" s="304"/>
      <c r="I18" s="304"/>
      <c r="J18" s="304"/>
      <c r="K18" s="304"/>
      <c r="L18" s="304"/>
      <c r="M18" s="304"/>
      <c r="N18" s="304"/>
      <c r="O18" s="305"/>
    </row>
    <row r="19" spans="1:17" x14ac:dyDescent="0.25">
      <c r="A19" s="83"/>
      <c r="B19" s="83"/>
      <c r="C19" s="83"/>
    </row>
    <row r="20" spans="1:17" ht="15" customHeight="1" x14ac:dyDescent="0.25">
      <c r="A20" s="405" t="s">
        <v>1465</v>
      </c>
      <c r="B20" s="405"/>
      <c r="C20" s="405"/>
      <c r="D20" s="405"/>
      <c r="E20" s="405"/>
      <c r="F20" s="405"/>
      <c r="G20" s="405"/>
      <c r="H20" s="405"/>
      <c r="I20" s="405"/>
      <c r="J20" s="405"/>
      <c r="K20" s="405"/>
      <c r="L20" s="405"/>
      <c r="M20" s="405"/>
      <c r="N20" s="405"/>
      <c r="O20" s="405"/>
      <c r="P20" s="140"/>
      <c r="Q20" s="140"/>
    </row>
    <row r="21" spans="1:17" x14ac:dyDescent="0.25">
      <c r="A21" s="405"/>
      <c r="B21" s="405"/>
      <c r="C21" s="405"/>
      <c r="D21" s="405"/>
      <c r="E21" s="405"/>
      <c r="F21" s="405"/>
      <c r="G21" s="405"/>
      <c r="H21" s="405"/>
      <c r="I21" s="405"/>
      <c r="J21" s="405"/>
      <c r="K21" s="405"/>
      <c r="L21" s="405"/>
      <c r="M21" s="405"/>
      <c r="N21" s="405"/>
      <c r="O21" s="405"/>
      <c r="P21" s="140"/>
      <c r="Q21" s="140"/>
    </row>
    <row r="22" spans="1:17" x14ac:dyDescent="0.25">
      <c r="A22" s="405"/>
      <c r="B22" s="405"/>
      <c r="C22" s="405"/>
      <c r="D22" s="405"/>
      <c r="E22" s="405"/>
      <c r="F22" s="405"/>
      <c r="G22" s="405"/>
      <c r="H22" s="405"/>
      <c r="I22" s="405"/>
      <c r="J22" s="405"/>
      <c r="K22" s="405"/>
      <c r="L22" s="405"/>
      <c r="M22" s="405"/>
      <c r="N22" s="405"/>
      <c r="O22" s="405"/>
      <c r="P22" s="140"/>
      <c r="Q22" s="140"/>
    </row>
  </sheetData>
  <sheetProtection algorithmName="SHA-512" hashValue="iBTbPs52t6SODtXtRHGKN5K3tzLF1MeGHmL2dJ8CYwsGDsaycwIe7Ik4444ajiZiJsZQOQ51hCjJdZ85rovspg==" saltValue="XxZnMzIdEFXU+Sr37ao90g==" spinCount="100000" sheet="1" objects="1" scenarios="1" selectLockedCells="1"/>
  <mergeCells count="16">
    <mergeCell ref="A20:O22"/>
    <mergeCell ref="A4:B4"/>
    <mergeCell ref="C4:F4"/>
    <mergeCell ref="I4:L4"/>
    <mergeCell ref="N4:V4"/>
    <mergeCell ref="A6:O6"/>
    <mergeCell ref="B7:C8"/>
    <mergeCell ref="D7:E8"/>
    <mergeCell ref="F7:G8"/>
    <mergeCell ref="H7:I8"/>
    <mergeCell ref="J7:M7"/>
    <mergeCell ref="N7:O8"/>
    <mergeCell ref="J8:K8"/>
    <mergeCell ref="L8:M8"/>
    <mergeCell ref="G17:O17"/>
    <mergeCell ref="G18:O18"/>
  </mergeCells>
  <dataValidations count="7">
    <dataValidation showInputMessage="1" showErrorMessage="1" errorTitle="Erro" error="O valor de &quot;F&quot; não pode ser superior ao valor de &quot;MF&quot;" sqref="D10:E13" xr:uid="{CD381706-65C6-4FD6-B233-8FD72915FC75}"/>
    <dataValidation type="custom" showInputMessage="1" showErrorMessage="1" errorTitle="Erro" error="Tem que introduzir um valor númerico inteiro igual ou superior ao valor de &quot;F&quot;" sqref="L10:L13 H10:H13 J10:J13 N10:N13 F10:F13" xr:uid="{6C383DB9-9A23-42DF-83FF-B1C15C333232}">
      <formula1>AND(F10&gt;=0,F10&gt;=G10,MOD(F10,1)=0)</formula1>
    </dataValidation>
    <dataValidation type="custom" showInputMessage="1" showErrorMessage="1" errorTitle="Erro" error="O valor de &quot;F&quot; não pode ser superior ao valor de &quot;MF&quot;" sqref="I10:I13 K10:K13 M10:M13 O10:O13 G10:G13" xr:uid="{6EBEBD47-7CA4-4004-BAAF-06452D14B7B4}">
      <formula1>AND(G10&gt;=0,G10&lt;=F10,MOD(G10,1)=0)</formula1>
    </dataValidation>
    <dataValidation type="list" allowBlank="1" showInputMessage="1" showErrorMessage="1" sqref="I4" xr:uid="{7DC2634B-F927-4A82-8E14-2B5A30061E2C}">
      <formula1>OFFSET(AreasTPIIStart,MATCH(C4,AreasTPII,0),1,COUNTIF(AreasTPII,C4),1)</formula1>
    </dataValidation>
    <dataValidation type="whole" showInputMessage="1" showErrorMessage="1" errorTitle="Erro" error="Tem que introduzir um valor númerico inteiro" sqref="B10:C13" xr:uid="{2B67E09E-8B86-4A63-A693-7BCFC3ECCC55}">
      <formula1>0</formula1>
      <formula2>10000000</formula2>
    </dataValidation>
    <dataValidation type="whole" showInputMessage="1" showErrorMessage="1" errorTitle="Erro" error="Tem que introduzir um valor númerico inteiro" sqref="P10:P13" xr:uid="{A9248EA8-D1F0-4FDA-A2CC-4CAA0DADCE2D}">
      <formula1>0</formula1>
      <formula2>10000000000000</formula2>
    </dataValidation>
    <dataValidation type="list" allowBlank="1" showInputMessage="1" showErrorMessage="1" sqref="C4" xr:uid="{E1DFD5A1-4BB8-4E7C-B397-568CD5038914}">
      <formula1>AreasTPII_v1</formula1>
    </dataValidation>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locked="0" defaultSize="0" print="0" autoFill="0" autoPict="0" macro="[0]!_xludf.Copy">
                <anchor moveWithCells="1" sizeWithCells="1">
                  <from>
                    <xdr:col>13</xdr:col>
                    <xdr:colOff>133350</xdr:colOff>
                    <xdr:row>1</xdr:row>
                    <xdr:rowOff>28575</xdr:rowOff>
                  </from>
                  <to>
                    <xdr:col>15</xdr:col>
                    <xdr:colOff>0</xdr:colOff>
                    <xdr:row>1</xdr:row>
                    <xdr:rowOff>238125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FC644-A44E-4F07-B4E9-7CD476AA4F2C}">
  <sheetPr codeName="Sheet27"/>
  <dimension ref="A1:V22"/>
  <sheetViews>
    <sheetView showGridLines="0" workbookViewId="0">
      <selection activeCell="I4" sqref="I4:L4"/>
    </sheetView>
  </sheetViews>
  <sheetFormatPr defaultColWidth="9.140625" defaultRowHeight="15" x14ac:dyDescent="0.25"/>
  <cols>
    <col min="1" max="1" width="11.28515625" customWidth="1"/>
    <col min="2" max="5" width="8.28515625" customWidth="1"/>
    <col min="6" max="15" width="8.5703125" customWidth="1"/>
    <col min="18" max="18" width="3.140625" customWidth="1"/>
    <col min="19" max="19" width="4.28515625" customWidth="1"/>
    <col min="22" max="22" width="7" customWidth="1"/>
  </cols>
  <sheetData>
    <row r="1" spans="1:22" x14ac:dyDescent="0.25">
      <c r="A1" s="39" t="s">
        <v>1115</v>
      </c>
      <c r="B1" s="39"/>
      <c r="C1" s="39"/>
    </row>
    <row r="2" spans="1:22" ht="21" x14ac:dyDescent="0.25">
      <c r="A2" s="66" t="s">
        <v>1175</v>
      </c>
      <c r="B2" s="66"/>
      <c r="C2" s="66"/>
      <c r="D2" s="66"/>
      <c r="E2" s="66"/>
      <c r="F2" s="66"/>
      <c r="G2" s="66"/>
      <c r="H2" s="66"/>
      <c r="I2" s="66"/>
      <c r="J2" s="141" t="s">
        <v>124</v>
      </c>
      <c r="K2" s="141"/>
      <c r="L2" s="141"/>
      <c r="M2" s="141"/>
    </row>
    <row r="3" spans="1:22" ht="21" x14ac:dyDescent="0.25">
      <c r="A3" s="67" t="s">
        <v>1115</v>
      </c>
      <c r="B3" s="67"/>
      <c r="C3" s="67"/>
      <c r="D3" s="100"/>
      <c r="E3" s="100"/>
      <c r="F3" s="100"/>
      <c r="G3" s="100"/>
      <c r="H3" s="100"/>
      <c r="I3" s="100"/>
      <c r="J3" s="100"/>
      <c r="K3" s="100"/>
      <c r="L3" s="100"/>
      <c r="M3" s="100"/>
      <c r="N3" s="100"/>
      <c r="O3" s="100"/>
    </row>
    <row r="4" spans="1:22" x14ac:dyDescent="0.25">
      <c r="A4" s="401" t="s">
        <v>1432</v>
      </c>
      <c r="B4" s="401"/>
      <c r="C4" s="402"/>
      <c r="D4" s="403"/>
      <c r="E4" s="403"/>
      <c r="F4" s="404"/>
      <c r="H4" s="93" t="s">
        <v>284</v>
      </c>
      <c r="I4" s="402"/>
      <c r="J4" s="403"/>
      <c r="K4" s="403"/>
      <c r="L4" s="404"/>
      <c r="N4" s="353" t="s">
        <v>1470</v>
      </c>
      <c r="O4" s="353"/>
      <c r="P4" s="353"/>
      <c r="Q4" s="353"/>
      <c r="R4" s="353"/>
      <c r="S4" s="353"/>
      <c r="T4" s="353"/>
      <c r="U4" s="353"/>
      <c r="V4" s="353"/>
    </row>
    <row r="5" spans="1:22" ht="15.75" thickBot="1" x14ac:dyDescent="0.3">
      <c r="A5" s="35" t="s">
        <v>1115</v>
      </c>
      <c r="B5" s="35"/>
      <c r="C5" s="35"/>
    </row>
    <row r="6" spans="1:22" ht="15.75" thickTop="1" x14ac:dyDescent="0.25">
      <c r="A6" s="406" t="s">
        <v>1176</v>
      </c>
      <c r="B6" s="407"/>
      <c r="C6" s="407"/>
      <c r="D6" s="407"/>
      <c r="E6" s="407"/>
      <c r="F6" s="407"/>
      <c r="G6" s="407"/>
      <c r="H6" s="407"/>
      <c r="I6" s="407"/>
      <c r="J6" s="407"/>
      <c r="K6" s="407"/>
      <c r="L6" s="407"/>
      <c r="M6" s="407"/>
      <c r="N6" s="407"/>
      <c r="O6" s="408"/>
    </row>
    <row r="7" spans="1:22" ht="15" customHeight="1" x14ac:dyDescent="0.25">
      <c r="A7" s="38" t="s">
        <v>1151</v>
      </c>
      <c r="B7" s="312" t="s">
        <v>1463</v>
      </c>
      <c r="C7" s="313"/>
      <c r="D7" s="312" t="s">
        <v>1464</v>
      </c>
      <c r="E7" s="313"/>
      <c r="F7" s="312" t="s">
        <v>1129</v>
      </c>
      <c r="G7" s="313"/>
      <c r="H7" s="312" t="s">
        <v>1130</v>
      </c>
      <c r="I7" s="313"/>
      <c r="J7" s="312" t="s">
        <v>1152</v>
      </c>
      <c r="K7" s="411"/>
      <c r="L7" s="411"/>
      <c r="M7" s="313"/>
      <c r="N7" s="312" t="s">
        <v>1131</v>
      </c>
      <c r="O7" s="409"/>
    </row>
    <row r="8" spans="1:22" ht="15" customHeight="1" x14ac:dyDescent="0.25">
      <c r="A8" s="91" t="s">
        <v>1115</v>
      </c>
      <c r="B8" s="314"/>
      <c r="C8" s="315"/>
      <c r="D8" s="314"/>
      <c r="E8" s="315"/>
      <c r="F8" s="314"/>
      <c r="G8" s="315"/>
      <c r="H8" s="314"/>
      <c r="I8" s="315"/>
      <c r="J8" s="263" t="s">
        <v>1459</v>
      </c>
      <c r="K8" s="265"/>
      <c r="L8" s="263" t="s">
        <v>1460</v>
      </c>
      <c r="M8" s="265"/>
      <c r="N8" s="314"/>
      <c r="O8" s="410"/>
    </row>
    <row r="9" spans="1:22" x14ac:dyDescent="0.25">
      <c r="A9" s="57"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22" x14ac:dyDescent="0.25">
      <c r="A10" s="99" t="s">
        <v>68</v>
      </c>
      <c r="B10" s="154">
        <v>0</v>
      </c>
      <c r="C10" s="154">
        <v>0</v>
      </c>
      <c r="D10" s="152" t="str">
        <f>IF($I$4="",IF(SUM(F10,H10,N10)=0, "",SUM(F10,H10,N10)),SUM(F10,H10,N10))</f>
        <v/>
      </c>
      <c r="E10" s="152" t="str">
        <f>IF($I$4="",IF(SUM(G10,I10,O10)=0, "",SUM(G10,I10,O10)),SUM(G10,I10,O10))</f>
        <v/>
      </c>
      <c r="F10" s="155"/>
      <c r="G10" s="155"/>
      <c r="H10" s="155"/>
      <c r="I10" s="155"/>
      <c r="J10" s="155"/>
      <c r="K10" s="155"/>
      <c r="L10" s="155"/>
      <c r="M10" s="155"/>
      <c r="N10" s="155"/>
      <c r="O10" s="156"/>
    </row>
    <row r="11" spans="1:22" x14ac:dyDescent="0.25">
      <c r="A11" s="99" t="s">
        <v>69</v>
      </c>
      <c r="B11" s="154">
        <v>0</v>
      </c>
      <c r="C11" s="154">
        <v>0</v>
      </c>
      <c r="D11" s="152" t="str">
        <f t="shared" ref="D11:D13" si="0">IF($I$4="",IF(SUM(F11,H11,N11)=0, "",SUM(F11,H11,N11)),SUM(F11,H11,N11))</f>
        <v/>
      </c>
      <c r="E11" s="152" t="str">
        <f>IF($I$4="",IF(SUM(G11,I11,O11)=0, "",SUM(G11,I11,O11)),SUM(G11,I11,O11))</f>
        <v/>
      </c>
      <c r="F11" s="155"/>
      <c r="G11" s="155"/>
      <c r="H11" s="155"/>
      <c r="I11" s="155"/>
      <c r="J11" s="155"/>
      <c r="K11" s="155"/>
      <c r="L11" s="155"/>
      <c r="M11" s="155"/>
      <c r="N11" s="155"/>
      <c r="O11" s="156"/>
    </row>
    <row r="12" spans="1:22" x14ac:dyDescent="0.25">
      <c r="A12" s="99" t="s">
        <v>70</v>
      </c>
      <c r="B12" s="154">
        <v>0</v>
      </c>
      <c r="C12" s="154">
        <v>0</v>
      </c>
      <c r="D12" s="152" t="str">
        <f t="shared" si="0"/>
        <v/>
      </c>
      <c r="E12" s="152" t="str">
        <f>IF($I$4="",IF(SUM(G12,I12,O12)=0, "",SUM(G12,I12,O12)),SUM(G12,I12,O12))</f>
        <v/>
      </c>
      <c r="F12" s="155"/>
      <c r="G12" s="155"/>
      <c r="H12" s="155"/>
      <c r="I12" s="155"/>
      <c r="J12" s="155"/>
      <c r="K12" s="155"/>
      <c r="L12" s="155"/>
      <c r="M12" s="155"/>
      <c r="N12" s="155"/>
      <c r="O12" s="156"/>
    </row>
    <row r="13" spans="1:22" x14ac:dyDescent="0.25">
      <c r="A13" s="99" t="s">
        <v>71</v>
      </c>
      <c r="B13" s="154">
        <v>0</v>
      </c>
      <c r="C13" s="154">
        <v>0</v>
      </c>
      <c r="D13" s="152" t="str">
        <f t="shared" si="0"/>
        <v/>
      </c>
      <c r="E13" s="152" t="str">
        <f>IF($I$4="",IF(SUM(G13,I13,O13)=0, "",SUM(G13,I13,O13)),SUM(G13,I13,O13))</f>
        <v/>
      </c>
      <c r="F13" s="155"/>
      <c r="G13" s="155"/>
      <c r="H13" s="155"/>
      <c r="I13" s="155"/>
      <c r="J13" s="155"/>
      <c r="K13" s="155"/>
      <c r="L13" s="155"/>
      <c r="M13" s="155"/>
      <c r="N13" s="155"/>
      <c r="O13" s="156"/>
    </row>
    <row r="14" spans="1:22" ht="15.75" thickBot="1" x14ac:dyDescent="0.3">
      <c r="A14" s="65" t="s">
        <v>15</v>
      </c>
      <c r="B14" s="132">
        <f>SUM(B10:B13)</f>
        <v>0</v>
      </c>
      <c r="C14" s="132">
        <f t="shared" ref="C14:O14" si="1">SUM(C10:C13)</f>
        <v>0</v>
      </c>
      <c r="D14" s="132">
        <f t="shared" si="1"/>
        <v>0</v>
      </c>
      <c r="E14" s="132">
        <f t="shared" si="1"/>
        <v>0</v>
      </c>
      <c r="F14" s="132">
        <f t="shared" si="1"/>
        <v>0</v>
      </c>
      <c r="G14" s="132">
        <f t="shared" si="1"/>
        <v>0</v>
      </c>
      <c r="H14" s="132">
        <f t="shared" si="1"/>
        <v>0</v>
      </c>
      <c r="I14" s="132">
        <f t="shared" si="1"/>
        <v>0</v>
      </c>
      <c r="J14" s="132">
        <f t="shared" si="1"/>
        <v>0</v>
      </c>
      <c r="K14" s="132">
        <f t="shared" si="1"/>
        <v>0</v>
      </c>
      <c r="L14" s="132">
        <f t="shared" si="1"/>
        <v>0</v>
      </c>
      <c r="M14" s="132">
        <f t="shared" si="1"/>
        <v>0</v>
      </c>
      <c r="N14" s="132">
        <f t="shared" si="1"/>
        <v>0</v>
      </c>
      <c r="O14" s="133">
        <f t="shared" si="1"/>
        <v>0</v>
      </c>
    </row>
    <row r="15" spans="1:22" ht="15.75" thickTop="1" x14ac:dyDescent="0.25">
      <c r="A15" s="35" t="s">
        <v>1115</v>
      </c>
      <c r="B15" s="35"/>
      <c r="C15" s="35"/>
    </row>
    <row r="16" spans="1:22" x14ac:dyDescent="0.25">
      <c r="A16" s="35"/>
      <c r="B16" s="35"/>
      <c r="C16" s="35"/>
    </row>
    <row r="17" spans="1:17" x14ac:dyDescent="0.25">
      <c r="A17" s="35" t="s">
        <v>1115</v>
      </c>
      <c r="B17" s="35"/>
      <c r="C17" s="35"/>
      <c r="G17" s="306" t="s">
        <v>1462</v>
      </c>
      <c r="H17" s="307"/>
      <c r="I17" s="307"/>
      <c r="J17" s="307"/>
      <c r="K17" s="307"/>
      <c r="L17" s="307"/>
      <c r="M17" s="307"/>
      <c r="N17" s="307"/>
      <c r="O17" s="308"/>
    </row>
    <row r="18" spans="1:17" x14ac:dyDescent="0.25">
      <c r="A18" s="83"/>
      <c r="B18" s="83"/>
      <c r="C18" s="83"/>
      <c r="G18" s="303" t="s">
        <v>1469</v>
      </c>
      <c r="H18" s="304"/>
      <c r="I18" s="304"/>
      <c r="J18" s="304"/>
      <c r="K18" s="304"/>
      <c r="L18" s="304"/>
      <c r="M18" s="304"/>
      <c r="N18" s="304"/>
      <c r="O18" s="305"/>
    </row>
    <row r="19" spans="1:17" x14ac:dyDescent="0.25">
      <c r="A19" s="83"/>
      <c r="B19" s="83"/>
      <c r="C19" s="83"/>
    </row>
    <row r="20" spans="1:17" ht="15" customHeight="1" x14ac:dyDescent="0.25">
      <c r="A20" s="405" t="s">
        <v>1465</v>
      </c>
      <c r="B20" s="405"/>
      <c r="C20" s="405"/>
      <c r="D20" s="405"/>
      <c r="E20" s="405"/>
      <c r="F20" s="405"/>
      <c r="G20" s="405"/>
      <c r="H20" s="405"/>
      <c r="I20" s="405"/>
      <c r="J20" s="405"/>
      <c r="K20" s="405"/>
      <c r="L20" s="405"/>
      <c r="M20" s="405"/>
      <c r="N20" s="405"/>
      <c r="O20" s="405"/>
      <c r="P20" s="140"/>
      <c r="Q20" s="140"/>
    </row>
    <row r="21" spans="1:17" x14ac:dyDescent="0.25">
      <c r="A21" s="405"/>
      <c r="B21" s="405"/>
      <c r="C21" s="405"/>
      <c r="D21" s="405"/>
      <c r="E21" s="405"/>
      <c r="F21" s="405"/>
      <c r="G21" s="405"/>
      <c r="H21" s="405"/>
      <c r="I21" s="405"/>
      <c r="J21" s="405"/>
      <c r="K21" s="405"/>
      <c r="L21" s="405"/>
      <c r="M21" s="405"/>
      <c r="N21" s="405"/>
      <c r="O21" s="405"/>
      <c r="P21" s="140"/>
      <c r="Q21" s="140"/>
    </row>
    <row r="22" spans="1:17" x14ac:dyDescent="0.25">
      <c r="A22" s="405"/>
      <c r="B22" s="405"/>
      <c r="C22" s="405"/>
      <c r="D22" s="405"/>
      <c r="E22" s="405"/>
      <c r="F22" s="405"/>
      <c r="G22" s="405"/>
      <c r="H22" s="405"/>
      <c r="I22" s="405"/>
      <c r="J22" s="405"/>
      <c r="K22" s="405"/>
      <c r="L22" s="405"/>
      <c r="M22" s="405"/>
      <c r="N22" s="405"/>
      <c r="O22" s="405"/>
      <c r="P22" s="140"/>
      <c r="Q22" s="140"/>
    </row>
  </sheetData>
  <sheetProtection algorithmName="SHA-512" hashValue="AjlgX2322WfADB4Ih/vMC+pud0Py6utL9IszjRDqZ+CKLMhmqk7SzKSdCrC8OFOH/dNQFzmWaBTqywcYDlRq/w==" saltValue="9dN5X+4sbjh02MMB+FgPpg==" spinCount="100000" sheet="1" objects="1" scenarios="1" selectLockedCells="1"/>
  <mergeCells count="16">
    <mergeCell ref="A20:O22"/>
    <mergeCell ref="A4:B4"/>
    <mergeCell ref="C4:F4"/>
    <mergeCell ref="I4:L4"/>
    <mergeCell ref="N4:V4"/>
    <mergeCell ref="A6:O6"/>
    <mergeCell ref="B7:C8"/>
    <mergeCell ref="D7:E8"/>
    <mergeCell ref="F7:G8"/>
    <mergeCell ref="H7:I8"/>
    <mergeCell ref="J7:M7"/>
    <mergeCell ref="N7:O8"/>
    <mergeCell ref="J8:K8"/>
    <mergeCell ref="L8:M8"/>
    <mergeCell ref="G17:O17"/>
    <mergeCell ref="G18:O18"/>
  </mergeCells>
  <dataValidations count="7">
    <dataValidation type="list" allowBlank="1" showInputMessage="1" showErrorMessage="1" sqref="C4" xr:uid="{C4EB3F9D-43BA-41B8-B050-8D8D54816F2C}">
      <formula1>AreasTPII_v1</formula1>
    </dataValidation>
    <dataValidation type="whole" showInputMessage="1" showErrorMessage="1" errorTitle="Erro" error="Tem que introduzir um valor númerico inteiro" sqref="P10:P13" xr:uid="{70BC264B-2A38-4BB4-92EF-96FC1A46F652}">
      <formula1>0</formula1>
      <formula2>10000000000000</formula2>
    </dataValidation>
    <dataValidation type="whole" showInputMessage="1" showErrorMessage="1" errorTitle="Erro" error="Tem que introduzir um valor númerico inteiro" sqref="B10:C13" xr:uid="{E1769CE0-E700-4459-B663-E7DCF40C47B6}">
      <formula1>0</formula1>
      <formula2>10000000</formula2>
    </dataValidation>
    <dataValidation type="list" allowBlank="1" showInputMessage="1" showErrorMessage="1" sqref="I4" xr:uid="{5DF8A5F6-22BD-4FC7-B0CC-B73A1FCC0075}">
      <formula1>OFFSET(AreasTPIIStart,MATCH(C4,AreasTPII,0),1,COUNTIF(AreasTPII,C4),1)</formula1>
    </dataValidation>
    <dataValidation type="custom" showInputMessage="1" showErrorMessage="1" errorTitle="Erro" error="O valor de &quot;F&quot; não pode ser superior ao valor de &quot;MF&quot;" sqref="I10:I13 K10:K13 M10:M13 O10:O13 G10:G13" xr:uid="{33DFC207-7E19-466E-A55D-7C5C1ADF97E9}">
      <formula1>AND(G10&gt;=0,G10&lt;=F10,MOD(G10,1)=0)</formula1>
    </dataValidation>
    <dataValidation type="custom" showInputMessage="1" showErrorMessage="1" errorTitle="Erro" error="Tem que introduzir um valor númerico inteiro igual ou superior ao valor de &quot;F&quot;" sqref="L10:L13 H10:H13 J10:J13 N10:N13 F10:F13" xr:uid="{8E8A0F02-01FA-4DE9-8F1B-358AFA73E664}">
      <formula1>AND(F10&gt;=0,F10&gt;=G10,MOD(F10,1)=0)</formula1>
    </dataValidation>
    <dataValidation showInputMessage="1" showErrorMessage="1" errorTitle="Erro" error="O valor de &quot;F&quot; não pode ser superior ao valor de &quot;MF&quot;" sqref="D10:E13" xr:uid="{AF3B7F51-4302-44D4-A687-C5761120AFE9}"/>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locked="0" defaultSize="0" print="0" autoFill="0" autoPict="0" macro="[0]!_xludf.Copy">
                <anchor moveWithCells="1" sizeWithCells="1">
                  <from>
                    <xdr:col>13</xdr:col>
                    <xdr:colOff>133350</xdr:colOff>
                    <xdr:row>1</xdr:row>
                    <xdr:rowOff>28575</xdr:rowOff>
                  </from>
                  <to>
                    <xdr:col>15</xdr:col>
                    <xdr:colOff>0</xdr:colOff>
                    <xdr:row>1</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3611A-5DE8-4814-B778-2E433357C935}">
  <sheetPr codeName="Sheet28"/>
  <dimension ref="A1:V22"/>
  <sheetViews>
    <sheetView showGridLines="0" workbookViewId="0">
      <selection activeCell="I4" sqref="I4:L4"/>
    </sheetView>
  </sheetViews>
  <sheetFormatPr defaultColWidth="9.140625" defaultRowHeight="15" x14ac:dyDescent="0.25"/>
  <cols>
    <col min="1" max="1" width="11.28515625" customWidth="1"/>
    <col min="2" max="5" width="8.28515625" customWidth="1"/>
    <col min="6" max="15" width="8.5703125" customWidth="1"/>
    <col min="18" max="18" width="3.140625" customWidth="1"/>
    <col min="19" max="19" width="4.28515625" customWidth="1"/>
    <col min="22" max="22" width="7" customWidth="1"/>
  </cols>
  <sheetData>
    <row r="1" spans="1:22" x14ac:dyDescent="0.25">
      <c r="A1" s="39" t="s">
        <v>1115</v>
      </c>
      <c r="B1" s="39"/>
      <c r="C1" s="39"/>
    </row>
    <row r="2" spans="1:22" ht="21" x14ac:dyDescent="0.25">
      <c r="A2" s="66" t="s">
        <v>1175</v>
      </c>
      <c r="B2" s="66"/>
      <c r="C2" s="66"/>
      <c r="D2" s="66"/>
      <c r="E2" s="66"/>
      <c r="F2" s="66"/>
      <c r="G2" s="66"/>
      <c r="H2" s="66"/>
      <c r="I2" s="66"/>
      <c r="J2" s="141" t="s">
        <v>124</v>
      </c>
      <c r="K2" s="141"/>
      <c r="L2" s="141"/>
      <c r="M2" s="141"/>
    </row>
    <row r="3" spans="1:22" ht="21" x14ac:dyDescent="0.25">
      <c r="A3" s="67" t="s">
        <v>1115</v>
      </c>
      <c r="B3" s="67"/>
      <c r="C3" s="67"/>
      <c r="D3" s="100"/>
      <c r="E3" s="100"/>
      <c r="F3" s="100"/>
      <c r="G3" s="100"/>
      <c r="H3" s="100"/>
      <c r="I3" s="100"/>
      <c r="J3" s="100"/>
      <c r="K3" s="100"/>
      <c r="L3" s="100"/>
      <c r="M3" s="100"/>
      <c r="N3" s="100"/>
      <c r="O3" s="100"/>
    </row>
    <row r="4" spans="1:22" x14ac:dyDescent="0.25">
      <c r="A4" s="401" t="s">
        <v>1432</v>
      </c>
      <c r="B4" s="401"/>
      <c r="C4" s="402"/>
      <c r="D4" s="403"/>
      <c r="E4" s="403"/>
      <c r="F4" s="404"/>
      <c r="H4" s="93" t="s">
        <v>284</v>
      </c>
      <c r="I4" s="402"/>
      <c r="J4" s="403"/>
      <c r="K4" s="403"/>
      <c r="L4" s="404"/>
      <c r="N4" s="353" t="s">
        <v>1470</v>
      </c>
      <c r="O4" s="353"/>
      <c r="P4" s="353"/>
      <c r="Q4" s="353"/>
      <c r="R4" s="353"/>
      <c r="S4" s="353"/>
      <c r="T4" s="353"/>
      <c r="U4" s="353"/>
      <c r="V4" s="353"/>
    </row>
    <row r="5" spans="1:22" ht="15.75" thickBot="1" x14ac:dyDescent="0.3">
      <c r="A5" s="35" t="s">
        <v>1115</v>
      </c>
      <c r="B5" s="35"/>
      <c r="C5" s="35"/>
    </row>
    <row r="6" spans="1:22" ht="15.75" thickTop="1" x14ac:dyDescent="0.25">
      <c r="A6" s="406" t="s">
        <v>1176</v>
      </c>
      <c r="B6" s="407"/>
      <c r="C6" s="407"/>
      <c r="D6" s="407"/>
      <c r="E6" s="407"/>
      <c r="F6" s="407"/>
      <c r="G6" s="407"/>
      <c r="H6" s="407"/>
      <c r="I6" s="407"/>
      <c r="J6" s="407"/>
      <c r="K6" s="407"/>
      <c r="L6" s="407"/>
      <c r="M6" s="407"/>
      <c r="N6" s="407"/>
      <c r="O6" s="408"/>
    </row>
    <row r="7" spans="1:22" ht="15" customHeight="1" x14ac:dyDescent="0.25">
      <c r="A7" s="38" t="s">
        <v>1151</v>
      </c>
      <c r="B7" s="312" t="s">
        <v>1463</v>
      </c>
      <c r="C7" s="313"/>
      <c r="D7" s="312" t="s">
        <v>1464</v>
      </c>
      <c r="E7" s="313"/>
      <c r="F7" s="312" t="s">
        <v>1129</v>
      </c>
      <c r="G7" s="313"/>
      <c r="H7" s="312" t="s">
        <v>1130</v>
      </c>
      <c r="I7" s="313"/>
      <c r="J7" s="312" t="s">
        <v>1152</v>
      </c>
      <c r="K7" s="411"/>
      <c r="L7" s="411"/>
      <c r="M7" s="313"/>
      <c r="N7" s="312" t="s">
        <v>1131</v>
      </c>
      <c r="O7" s="409"/>
    </row>
    <row r="8" spans="1:22" ht="15" customHeight="1" x14ac:dyDescent="0.25">
      <c r="A8" s="91" t="s">
        <v>1115</v>
      </c>
      <c r="B8" s="314"/>
      <c r="C8" s="315"/>
      <c r="D8" s="314"/>
      <c r="E8" s="315"/>
      <c r="F8" s="314"/>
      <c r="G8" s="315"/>
      <c r="H8" s="314"/>
      <c r="I8" s="315"/>
      <c r="J8" s="263" t="s">
        <v>1459</v>
      </c>
      <c r="K8" s="265"/>
      <c r="L8" s="263" t="s">
        <v>1460</v>
      </c>
      <c r="M8" s="265"/>
      <c r="N8" s="314"/>
      <c r="O8" s="410"/>
    </row>
    <row r="9" spans="1:22" x14ac:dyDescent="0.25">
      <c r="A9" s="57"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22" x14ac:dyDescent="0.25">
      <c r="A10" s="99" t="s">
        <v>68</v>
      </c>
      <c r="B10" s="154">
        <v>0</v>
      </c>
      <c r="C10" s="154">
        <v>0</v>
      </c>
      <c r="D10" s="152" t="str">
        <f>IF($I$4="",IF(SUM(F10,H10,N10)=0, "",SUM(F10,H10,N10)),SUM(F10,H10,N10))</f>
        <v/>
      </c>
      <c r="E10" s="152" t="str">
        <f>IF($I$4="",IF(SUM(G10,I10,O10)=0, "",SUM(G10,I10,O10)),SUM(G10,I10,O10))</f>
        <v/>
      </c>
      <c r="F10" s="155"/>
      <c r="G10" s="155"/>
      <c r="H10" s="155"/>
      <c r="I10" s="155"/>
      <c r="J10" s="155"/>
      <c r="K10" s="155"/>
      <c r="L10" s="155"/>
      <c r="M10" s="155"/>
      <c r="N10" s="155"/>
      <c r="O10" s="156"/>
    </row>
    <row r="11" spans="1:22" x14ac:dyDescent="0.25">
      <c r="A11" s="99" t="s">
        <v>69</v>
      </c>
      <c r="B11" s="154">
        <v>0</v>
      </c>
      <c r="C11" s="154">
        <v>0</v>
      </c>
      <c r="D11" s="152" t="str">
        <f t="shared" ref="D11:D13" si="0">IF($I$4="",IF(SUM(F11,H11,N11)=0, "",SUM(F11,H11,N11)),SUM(F11,H11,N11))</f>
        <v/>
      </c>
      <c r="E11" s="152" t="str">
        <f>IF($I$4="",IF(SUM(G11,I11,O11)=0, "",SUM(G11,I11,O11)),SUM(G11,I11,O11))</f>
        <v/>
      </c>
      <c r="F11" s="155"/>
      <c r="G11" s="155"/>
      <c r="H11" s="155"/>
      <c r="I11" s="155"/>
      <c r="J11" s="155"/>
      <c r="K11" s="155"/>
      <c r="L11" s="155"/>
      <c r="M11" s="155"/>
      <c r="N11" s="155"/>
      <c r="O11" s="156"/>
    </row>
    <row r="12" spans="1:22" x14ac:dyDescent="0.25">
      <c r="A12" s="99" t="s">
        <v>70</v>
      </c>
      <c r="B12" s="154">
        <v>0</v>
      </c>
      <c r="C12" s="154">
        <v>0</v>
      </c>
      <c r="D12" s="152" t="str">
        <f t="shared" si="0"/>
        <v/>
      </c>
      <c r="E12" s="152" t="str">
        <f>IF($I$4="",IF(SUM(G12,I12,O12)=0, "",SUM(G12,I12,O12)),SUM(G12,I12,O12))</f>
        <v/>
      </c>
      <c r="F12" s="155"/>
      <c r="G12" s="155"/>
      <c r="H12" s="155"/>
      <c r="I12" s="155"/>
      <c r="J12" s="155"/>
      <c r="K12" s="155"/>
      <c r="L12" s="155"/>
      <c r="M12" s="155"/>
      <c r="N12" s="155"/>
      <c r="O12" s="156"/>
    </row>
    <row r="13" spans="1:22" x14ac:dyDescent="0.25">
      <c r="A13" s="99" t="s">
        <v>71</v>
      </c>
      <c r="B13" s="154">
        <v>0</v>
      </c>
      <c r="C13" s="154">
        <v>0</v>
      </c>
      <c r="D13" s="152" t="str">
        <f t="shared" si="0"/>
        <v/>
      </c>
      <c r="E13" s="152" t="str">
        <f>IF($I$4="",IF(SUM(G13,I13,O13)=0, "",SUM(G13,I13,O13)),SUM(G13,I13,O13))</f>
        <v/>
      </c>
      <c r="F13" s="155"/>
      <c r="G13" s="155"/>
      <c r="H13" s="155"/>
      <c r="I13" s="155"/>
      <c r="J13" s="155"/>
      <c r="K13" s="155"/>
      <c r="L13" s="155"/>
      <c r="M13" s="155"/>
      <c r="N13" s="155"/>
      <c r="O13" s="156"/>
    </row>
    <row r="14" spans="1:22" ht="15.75" thickBot="1" x14ac:dyDescent="0.3">
      <c r="A14" s="65" t="s">
        <v>15</v>
      </c>
      <c r="B14" s="132">
        <f>SUM(B10:B13)</f>
        <v>0</v>
      </c>
      <c r="C14" s="132">
        <f t="shared" ref="C14:O14" si="1">SUM(C10:C13)</f>
        <v>0</v>
      </c>
      <c r="D14" s="132">
        <f t="shared" si="1"/>
        <v>0</v>
      </c>
      <c r="E14" s="132">
        <f t="shared" si="1"/>
        <v>0</v>
      </c>
      <c r="F14" s="132">
        <f t="shared" si="1"/>
        <v>0</v>
      </c>
      <c r="G14" s="132">
        <f t="shared" si="1"/>
        <v>0</v>
      </c>
      <c r="H14" s="132">
        <f t="shared" si="1"/>
        <v>0</v>
      </c>
      <c r="I14" s="132">
        <f t="shared" si="1"/>
        <v>0</v>
      </c>
      <c r="J14" s="132">
        <f t="shared" si="1"/>
        <v>0</v>
      </c>
      <c r="K14" s="132">
        <f t="shared" si="1"/>
        <v>0</v>
      </c>
      <c r="L14" s="132">
        <f t="shared" si="1"/>
        <v>0</v>
      </c>
      <c r="M14" s="132">
        <f t="shared" si="1"/>
        <v>0</v>
      </c>
      <c r="N14" s="132">
        <f t="shared" si="1"/>
        <v>0</v>
      </c>
      <c r="O14" s="133">
        <f t="shared" si="1"/>
        <v>0</v>
      </c>
    </row>
    <row r="15" spans="1:22" ht="15.75" thickTop="1" x14ac:dyDescent="0.25">
      <c r="A15" s="35" t="s">
        <v>1115</v>
      </c>
      <c r="B15" s="35"/>
      <c r="C15" s="35"/>
    </row>
    <row r="16" spans="1:22" x14ac:dyDescent="0.25">
      <c r="A16" s="35"/>
      <c r="B16" s="35"/>
      <c r="C16" s="35"/>
    </row>
    <row r="17" spans="1:17" x14ac:dyDescent="0.25">
      <c r="A17" s="35" t="s">
        <v>1115</v>
      </c>
      <c r="B17" s="35"/>
      <c r="C17" s="35"/>
      <c r="G17" s="306" t="s">
        <v>1462</v>
      </c>
      <c r="H17" s="307"/>
      <c r="I17" s="307"/>
      <c r="J17" s="307"/>
      <c r="K17" s="307"/>
      <c r="L17" s="307"/>
      <c r="M17" s="307"/>
      <c r="N17" s="307"/>
      <c r="O17" s="308"/>
    </row>
    <row r="18" spans="1:17" x14ac:dyDescent="0.25">
      <c r="A18" s="83"/>
      <c r="B18" s="83"/>
      <c r="C18" s="83"/>
      <c r="G18" s="303" t="s">
        <v>1469</v>
      </c>
      <c r="H18" s="304"/>
      <c r="I18" s="304"/>
      <c r="J18" s="304"/>
      <c r="K18" s="304"/>
      <c r="L18" s="304"/>
      <c r="M18" s="304"/>
      <c r="N18" s="304"/>
      <c r="O18" s="305"/>
    </row>
    <row r="19" spans="1:17" x14ac:dyDescent="0.25">
      <c r="A19" s="83"/>
      <c r="B19" s="83"/>
      <c r="C19" s="83"/>
    </row>
    <row r="20" spans="1:17" ht="15" customHeight="1" x14ac:dyDescent="0.25">
      <c r="A20" s="405" t="s">
        <v>1465</v>
      </c>
      <c r="B20" s="405"/>
      <c r="C20" s="405"/>
      <c r="D20" s="405"/>
      <c r="E20" s="405"/>
      <c r="F20" s="405"/>
      <c r="G20" s="405"/>
      <c r="H20" s="405"/>
      <c r="I20" s="405"/>
      <c r="J20" s="405"/>
      <c r="K20" s="405"/>
      <c r="L20" s="405"/>
      <c r="M20" s="405"/>
      <c r="N20" s="405"/>
      <c r="O20" s="405"/>
      <c r="P20" s="140"/>
      <c r="Q20" s="140"/>
    </row>
    <row r="21" spans="1:17" x14ac:dyDescent="0.25">
      <c r="A21" s="405"/>
      <c r="B21" s="405"/>
      <c r="C21" s="405"/>
      <c r="D21" s="405"/>
      <c r="E21" s="405"/>
      <c r="F21" s="405"/>
      <c r="G21" s="405"/>
      <c r="H21" s="405"/>
      <c r="I21" s="405"/>
      <c r="J21" s="405"/>
      <c r="K21" s="405"/>
      <c r="L21" s="405"/>
      <c r="M21" s="405"/>
      <c r="N21" s="405"/>
      <c r="O21" s="405"/>
      <c r="P21" s="140"/>
      <c r="Q21" s="140"/>
    </row>
    <row r="22" spans="1:17" x14ac:dyDescent="0.25">
      <c r="A22" s="405"/>
      <c r="B22" s="405"/>
      <c r="C22" s="405"/>
      <c r="D22" s="405"/>
      <c r="E22" s="405"/>
      <c r="F22" s="405"/>
      <c r="G22" s="405"/>
      <c r="H22" s="405"/>
      <c r="I22" s="405"/>
      <c r="J22" s="405"/>
      <c r="K22" s="405"/>
      <c r="L22" s="405"/>
      <c r="M22" s="405"/>
      <c r="N22" s="405"/>
      <c r="O22" s="405"/>
      <c r="P22" s="140"/>
      <c r="Q22" s="140"/>
    </row>
  </sheetData>
  <sheetProtection algorithmName="SHA-512" hashValue="eZrZb5t/eBALdV+qQMrMC3HcIdpJjP/ZfoauDomBba282xwyCmswMllCQKbxE3GJowE++9Kp8Di7tLD7Yf7Wbw==" saltValue="uFl9DYux1aPgJK6jo+RoUQ==" spinCount="100000" sheet="1" objects="1" scenarios="1" selectLockedCells="1"/>
  <mergeCells count="16">
    <mergeCell ref="A20:O22"/>
    <mergeCell ref="A4:B4"/>
    <mergeCell ref="C4:F4"/>
    <mergeCell ref="I4:L4"/>
    <mergeCell ref="N4:V4"/>
    <mergeCell ref="A6:O6"/>
    <mergeCell ref="B7:C8"/>
    <mergeCell ref="D7:E8"/>
    <mergeCell ref="F7:G8"/>
    <mergeCell ref="H7:I8"/>
    <mergeCell ref="J7:M7"/>
    <mergeCell ref="N7:O8"/>
    <mergeCell ref="J8:K8"/>
    <mergeCell ref="L8:M8"/>
    <mergeCell ref="G17:O17"/>
    <mergeCell ref="G18:O18"/>
  </mergeCells>
  <dataValidations count="7">
    <dataValidation showInputMessage="1" showErrorMessage="1" errorTitle="Erro" error="O valor de &quot;F&quot; não pode ser superior ao valor de &quot;MF&quot;" sqref="D10:E13" xr:uid="{3240BDCB-C8AB-4CF3-914B-8DF0CF032CEB}"/>
    <dataValidation type="custom" showInputMessage="1" showErrorMessage="1" errorTitle="Erro" error="Tem que introduzir um valor númerico inteiro igual ou superior ao valor de &quot;F&quot;" sqref="L10:L13 H10:H13 J10:J13 N10:N13 F10:F13" xr:uid="{0AC516D5-F588-4627-8067-B4D06F7090CE}">
      <formula1>AND(F10&gt;=0,F10&gt;=G10,MOD(F10,1)=0)</formula1>
    </dataValidation>
    <dataValidation type="custom" showInputMessage="1" showErrorMessage="1" errorTitle="Erro" error="O valor de &quot;F&quot; não pode ser superior ao valor de &quot;MF&quot;" sqref="I10:I13 K10:K13 M10:M13 O10:O13 G10:G13" xr:uid="{6B7EC98A-50AA-40E9-8EFE-480C48AFBF6A}">
      <formula1>AND(G10&gt;=0,G10&lt;=F10,MOD(G10,1)=0)</formula1>
    </dataValidation>
    <dataValidation type="list" allowBlank="1" showInputMessage="1" showErrorMessage="1" sqref="I4" xr:uid="{085A0B17-980B-49DC-B33B-D4CE196FBF72}">
      <formula1>OFFSET(AreasTPIIStart,MATCH(C4,AreasTPII,0),1,COUNTIF(AreasTPII,C4),1)</formula1>
    </dataValidation>
    <dataValidation type="whole" showInputMessage="1" showErrorMessage="1" errorTitle="Erro" error="Tem que introduzir um valor númerico inteiro" sqref="B10:C13" xr:uid="{501A2770-F99C-4876-8D4C-3C975C7660CF}">
      <formula1>0</formula1>
      <formula2>10000000</formula2>
    </dataValidation>
    <dataValidation type="whole" showInputMessage="1" showErrorMessage="1" errorTitle="Erro" error="Tem que introduzir um valor númerico inteiro" sqref="P10:P13" xr:uid="{5068ACC5-C454-4084-93A7-7CD3334AF952}">
      <formula1>0</formula1>
      <formula2>10000000000000</formula2>
    </dataValidation>
    <dataValidation type="list" allowBlank="1" showInputMessage="1" showErrorMessage="1" sqref="C4" xr:uid="{919F9CFC-5B00-4CD8-99C4-5AACBAC65D7A}">
      <formula1>AreasTPII_v1</formula1>
    </dataValidation>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locked="0" defaultSize="0" print="0" autoFill="0" autoPict="0" macro="[0]!_xludf.Copy">
                <anchor moveWithCells="1" sizeWithCells="1">
                  <from>
                    <xdr:col>13</xdr:col>
                    <xdr:colOff>133350</xdr:colOff>
                    <xdr:row>1</xdr:row>
                    <xdr:rowOff>28575</xdr:rowOff>
                  </from>
                  <to>
                    <xdr:col>15</xdr:col>
                    <xdr:colOff>0</xdr:colOff>
                    <xdr:row>1</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DF1F2-58E3-4323-8FB5-79AAD6F5C97B}">
  <sheetPr codeName="Sheet29"/>
  <dimension ref="A1:V22"/>
  <sheetViews>
    <sheetView showGridLines="0" workbookViewId="0">
      <selection activeCell="I4" sqref="I4:L4"/>
    </sheetView>
  </sheetViews>
  <sheetFormatPr defaultColWidth="9.140625" defaultRowHeight="15" x14ac:dyDescent="0.25"/>
  <cols>
    <col min="1" max="1" width="11.28515625" customWidth="1"/>
    <col min="2" max="5" width="8.28515625" customWidth="1"/>
    <col min="6" max="15" width="8.5703125" customWidth="1"/>
    <col min="18" max="18" width="3.140625" customWidth="1"/>
    <col min="19" max="19" width="4.28515625" customWidth="1"/>
    <col min="22" max="22" width="7" customWidth="1"/>
  </cols>
  <sheetData>
    <row r="1" spans="1:22" x14ac:dyDescent="0.25">
      <c r="A1" s="39" t="s">
        <v>1115</v>
      </c>
      <c r="B1" s="39"/>
      <c r="C1" s="39"/>
    </row>
    <row r="2" spans="1:22" ht="21" x14ac:dyDescent="0.25">
      <c r="A2" s="66" t="s">
        <v>1175</v>
      </c>
      <c r="B2" s="66"/>
      <c r="C2" s="66"/>
      <c r="D2" s="66"/>
      <c r="E2" s="66"/>
      <c r="F2" s="66"/>
      <c r="G2" s="66"/>
      <c r="H2" s="66"/>
      <c r="I2" s="66"/>
      <c r="J2" s="141" t="s">
        <v>124</v>
      </c>
      <c r="K2" s="141"/>
      <c r="L2" s="141"/>
      <c r="M2" s="141"/>
    </row>
    <row r="3" spans="1:22" ht="21" x14ac:dyDescent="0.25">
      <c r="A3" s="67" t="s">
        <v>1115</v>
      </c>
      <c r="B3" s="67"/>
      <c r="C3" s="67"/>
      <c r="D3" s="100"/>
      <c r="E3" s="100"/>
      <c r="F3" s="100"/>
      <c r="G3" s="100"/>
      <c r="H3" s="100"/>
      <c r="I3" s="100"/>
      <c r="J3" s="100"/>
      <c r="K3" s="100"/>
      <c r="L3" s="100"/>
      <c r="M3" s="100"/>
      <c r="N3" s="100"/>
      <c r="O3" s="100"/>
    </row>
    <row r="4" spans="1:22" x14ac:dyDescent="0.25">
      <c r="A4" s="401" t="s">
        <v>1432</v>
      </c>
      <c r="B4" s="401"/>
      <c r="C4" s="402"/>
      <c r="D4" s="403"/>
      <c r="E4" s="403"/>
      <c r="F4" s="404"/>
      <c r="H4" s="93" t="s">
        <v>284</v>
      </c>
      <c r="I4" s="402"/>
      <c r="J4" s="403"/>
      <c r="K4" s="403"/>
      <c r="L4" s="404"/>
      <c r="N4" s="353" t="s">
        <v>1470</v>
      </c>
      <c r="O4" s="353"/>
      <c r="P4" s="353"/>
      <c r="Q4" s="353"/>
      <c r="R4" s="353"/>
      <c r="S4" s="353"/>
      <c r="T4" s="353"/>
      <c r="U4" s="353"/>
      <c r="V4" s="353"/>
    </row>
    <row r="5" spans="1:22" ht="15.75" thickBot="1" x14ac:dyDescent="0.3">
      <c r="A5" s="35" t="s">
        <v>1115</v>
      </c>
      <c r="B5" s="35"/>
      <c r="C5" s="35"/>
    </row>
    <row r="6" spans="1:22" ht="15.75" thickTop="1" x14ac:dyDescent="0.25">
      <c r="A6" s="406" t="s">
        <v>1176</v>
      </c>
      <c r="B6" s="407"/>
      <c r="C6" s="407"/>
      <c r="D6" s="407"/>
      <c r="E6" s="407"/>
      <c r="F6" s="407"/>
      <c r="G6" s="407"/>
      <c r="H6" s="407"/>
      <c r="I6" s="407"/>
      <c r="J6" s="407"/>
      <c r="K6" s="407"/>
      <c r="L6" s="407"/>
      <c r="M6" s="407"/>
      <c r="N6" s="407"/>
      <c r="O6" s="408"/>
    </row>
    <row r="7" spans="1:22" ht="15" customHeight="1" x14ac:dyDescent="0.25">
      <c r="A7" s="38" t="s">
        <v>1151</v>
      </c>
      <c r="B7" s="312" t="s">
        <v>1463</v>
      </c>
      <c r="C7" s="313"/>
      <c r="D7" s="312" t="s">
        <v>1464</v>
      </c>
      <c r="E7" s="313"/>
      <c r="F7" s="312" t="s">
        <v>1129</v>
      </c>
      <c r="G7" s="313"/>
      <c r="H7" s="312" t="s">
        <v>1130</v>
      </c>
      <c r="I7" s="313"/>
      <c r="J7" s="312" t="s">
        <v>1152</v>
      </c>
      <c r="K7" s="411"/>
      <c r="L7" s="411"/>
      <c r="M7" s="313"/>
      <c r="N7" s="312" t="s">
        <v>1131</v>
      </c>
      <c r="O7" s="409"/>
    </row>
    <row r="8" spans="1:22" ht="15" customHeight="1" x14ac:dyDescent="0.25">
      <c r="A8" s="91" t="s">
        <v>1115</v>
      </c>
      <c r="B8" s="314"/>
      <c r="C8" s="315"/>
      <c r="D8" s="314"/>
      <c r="E8" s="315"/>
      <c r="F8" s="314"/>
      <c r="G8" s="315"/>
      <c r="H8" s="314"/>
      <c r="I8" s="315"/>
      <c r="J8" s="263" t="s">
        <v>1459</v>
      </c>
      <c r="K8" s="265"/>
      <c r="L8" s="263" t="s">
        <v>1460</v>
      </c>
      <c r="M8" s="265"/>
      <c r="N8" s="314"/>
      <c r="O8" s="410"/>
    </row>
    <row r="9" spans="1:22" x14ac:dyDescent="0.25">
      <c r="A9" s="57"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22" x14ac:dyDescent="0.25">
      <c r="A10" s="99" t="s">
        <v>68</v>
      </c>
      <c r="B10" s="154">
        <v>0</v>
      </c>
      <c r="C10" s="154">
        <v>0</v>
      </c>
      <c r="D10" s="152" t="str">
        <f>IF($I$4="",IF(SUM(F10,H10,N10)=0, "",SUM(F10,H10,N10)),SUM(F10,H10,N10))</f>
        <v/>
      </c>
      <c r="E10" s="152" t="str">
        <f>IF($I$4="",IF(SUM(G10,I10,O10)=0, "",SUM(G10,I10,O10)),SUM(G10,I10,O10))</f>
        <v/>
      </c>
      <c r="F10" s="155"/>
      <c r="G10" s="155"/>
      <c r="H10" s="155"/>
      <c r="I10" s="155"/>
      <c r="J10" s="155"/>
      <c r="K10" s="155"/>
      <c r="L10" s="155"/>
      <c r="M10" s="155"/>
      <c r="N10" s="155"/>
      <c r="O10" s="156"/>
    </row>
    <row r="11" spans="1:22" x14ac:dyDescent="0.25">
      <c r="A11" s="99" t="s">
        <v>69</v>
      </c>
      <c r="B11" s="154">
        <v>0</v>
      </c>
      <c r="C11" s="154">
        <v>0</v>
      </c>
      <c r="D11" s="152" t="str">
        <f t="shared" ref="D11:D13" si="0">IF($I$4="",IF(SUM(F11,H11,N11)=0, "",SUM(F11,H11,N11)),SUM(F11,H11,N11))</f>
        <v/>
      </c>
      <c r="E11" s="152" t="str">
        <f>IF($I$4="",IF(SUM(G11,I11,O11)=0, "",SUM(G11,I11,O11)),SUM(G11,I11,O11))</f>
        <v/>
      </c>
      <c r="F11" s="155"/>
      <c r="G11" s="155"/>
      <c r="H11" s="155"/>
      <c r="I11" s="155"/>
      <c r="J11" s="155"/>
      <c r="K11" s="155"/>
      <c r="L11" s="155"/>
      <c r="M11" s="155"/>
      <c r="N11" s="155"/>
      <c r="O11" s="156"/>
    </row>
    <row r="12" spans="1:22" x14ac:dyDescent="0.25">
      <c r="A12" s="99" t="s">
        <v>70</v>
      </c>
      <c r="B12" s="154">
        <v>0</v>
      </c>
      <c r="C12" s="154">
        <v>0</v>
      </c>
      <c r="D12" s="152" t="str">
        <f t="shared" si="0"/>
        <v/>
      </c>
      <c r="E12" s="152" t="str">
        <f>IF($I$4="",IF(SUM(G12,I12,O12)=0, "",SUM(G12,I12,O12)),SUM(G12,I12,O12))</f>
        <v/>
      </c>
      <c r="F12" s="155"/>
      <c r="G12" s="155"/>
      <c r="H12" s="155"/>
      <c r="I12" s="155"/>
      <c r="J12" s="155"/>
      <c r="K12" s="155"/>
      <c r="L12" s="155"/>
      <c r="M12" s="155"/>
      <c r="N12" s="155"/>
      <c r="O12" s="156"/>
    </row>
    <row r="13" spans="1:22" x14ac:dyDescent="0.25">
      <c r="A13" s="99" t="s">
        <v>71</v>
      </c>
      <c r="B13" s="154">
        <v>0</v>
      </c>
      <c r="C13" s="154">
        <v>0</v>
      </c>
      <c r="D13" s="152" t="str">
        <f t="shared" si="0"/>
        <v/>
      </c>
      <c r="E13" s="152" t="str">
        <f>IF($I$4="",IF(SUM(G13,I13,O13)=0, "",SUM(G13,I13,O13)),SUM(G13,I13,O13))</f>
        <v/>
      </c>
      <c r="F13" s="155"/>
      <c r="G13" s="155"/>
      <c r="H13" s="155"/>
      <c r="I13" s="155"/>
      <c r="J13" s="155"/>
      <c r="K13" s="155"/>
      <c r="L13" s="155"/>
      <c r="M13" s="155"/>
      <c r="N13" s="155"/>
      <c r="O13" s="156"/>
    </row>
    <row r="14" spans="1:22" ht="15.75" thickBot="1" x14ac:dyDescent="0.3">
      <c r="A14" s="65" t="s">
        <v>15</v>
      </c>
      <c r="B14" s="132">
        <f>SUM(B10:B13)</f>
        <v>0</v>
      </c>
      <c r="C14" s="132">
        <f t="shared" ref="C14:O14" si="1">SUM(C10:C13)</f>
        <v>0</v>
      </c>
      <c r="D14" s="132">
        <f t="shared" si="1"/>
        <v>0</v>
      </c>
      <c r="E14" s="132">
        <f t="shared" si="1"/>
        <v>0</v>
      </c>
      <c r="F14" s="132">
        <f t="shared" si="1"/>
        <v>0</v>
      </c>
      <c r="G14" s="132">
        <f t="shared" si="1"/>
        <v>0</v>
      </c>
      <c r="H14" s="132">
        <f t="shared" si="1"/>
        <v>0</v>
      </c>
      <c r="I14" s="132">
        <f t="shared" si="1"/>
        <v>0</v>
      </c>
      <c r="J14" s="132">
        <f t="shared" si="1"/>
        <v>0</v>
      </c>
      <c r="K14" s="132">
        <f t="shared" si="1"/>
        <v>0</v>
      </c>
      <c r="L14" s="132">
        <f t="shared" si="1"/>
        <v>0</v>
      </c>
      <c r="M14" s="132">
        <f t="shared" si="1"/>
        <v>0</v>
      </c>
      <c r="N14" s="132">
        <f t="shared" si="1"/>
        <v>0</v>
      </c>
      <c r="O14" s="133">
        <f t="shared" si="1"/>
        <v>0</v>
      </c>
    </row>
    <row r="15" spans="1:22" ht="15.75" thickTop="1" x14ac:dyDescent="0.25">
      <c r="A15" s="35" t="s">
        <v>1115</v>
      </c>
      <c r="B15" s="35"/>
      <c r="C15" s="35"/>
    </row>
    <row r="16" spans="1:22" x14ac:dyDescent="0.25">
      <c r="A16" s="35"/>
      <c r="B16" s="35"/>
      <c r="C16" s="35"/>
    </row>
    <row r="17" spans="1:17" x14ac:dyDescent="0.25">
      <c r="A17" s="35" t="s">
        <v>1115</v>
      </c>
      <c r="B17" s="35"/>
      <c r="C17" s="35"/>
      <c r="G17" s="306" t="s">
        <v>1462</v>
      </c>
      <c r="H17" s="307"/>
      <c r="I17" s="307"/>
      <c r="J17" s="307"/>
      <c r="K17" s="307"/>
      <c r="L17" s="307"/>
      <c r="M17" s="307"/>
      <c r="N17" s="307"/>
      <c r="O17" s="308"/>
    </row>
    <row r="18" spans="1:17" x14ac:dyDescent="0.25">
      <c r="A18" s="83"/>
      <c r="B18" s="83"/>
      <c r="C18" s="83"/>
      <c r="G18" s="303" t="s">
        <v>1469</v>
      </c>
      <c r="H18" s="304"/>
      <c r="I18" s="304"/>
      <c r="J18" s="304"/>
      <c r="K18" s="304"/>
      <c r="L18" s="304"/>
      <c r="M18" s="304"/>
      <c r="N18" s="304"/>
      <c r="O18" s="305"/>
    </row>
    <row r="19" spans="1:17" x14ac:dyDescent="0.25">
      <c r="A19" s="83"/>
      <c r="B19" s="83"/>
      <c r="C19" s="83"/>
    </row>
    <row r="20" spans="1:17" ht="15" customHeight="1" x14ac:dyDescent="0.25">
      <c r="A20" s="405" t="s">
        <v>1465</v>
      </c>
      <c r="B20" s="405"/>
      <c r="C20" s="405"/>
      <c r="D20" s="405"/>
      <c r="E20" s="405"/>
      <c r="F20" s="405"/>
      <c r="G20" s="405"/>
      <c r="H20" s="405"/>
      <c r="I20" s="405"/>
      <c r="J20" s="405"/>
      <c r="K20" s="405"/>
      <c r="L20" s="405"/>
      <c r="M20" s="405"/>
      <c r="N20" s="405"/>
      <c r="O20" s="405"/>
      <c r="P20" s="140"/>
      <c r="Q20" s="140"/>
    </row>
    <row r="21" spans="1:17" x14ac:dyDescent="0.25">
      <c r="A21" s="405"/>
      <c r="B21" s="405"/>
      <c r="C21" s="405"/>
      <c r="D21" s="405"/>
      <c r="E21" s="405"/>
      <c r="F21" s="405"/>
      <c r="G21" s="405"/>
      <c r="H21" s="405"/>
      <c r="I21" s="405"/>
      <c r="J21" s="405"/>
      <c r="K21" s="405"/>
      <c r="L21" s="405"/>
      <c r="M21" s="405"/>
      <c r="N21" s="405"/>
      <c r="O21" s="405"/>
      <c r="P21" s="140"/>
      <c r="Q21" s="140"/>
    </row>
    <row r="22" spans="1:17" x14ac:dyDescent="0.25">
      <c r="A22" s="405"/>
      <c r="B22" s="405"/>
      <c r="C22" s="405"/>
      <c r="D22" s="405"/>
      <c r="E22" s="405"/>
      <c r="F22" s="405"/>
      <c r="G22" s="405"/>
      <c r="H22" s="405"/>
      <c r="I22" s="405"/>
      <c r="J22" s="405"/>
      <c r="K22" s="405"/>
      <c r="L22" s="405"/>
      <c r="M22" s="405"/>
      <c r="N22" s="405"/>
      <c r="O22" s="405"/>
      <c r="P22" s="140"/>
      <c r="Q22" s="140"/>
    </row>
  </sheetData>
  <sheetProtection algorithmName="SHA-512" hashValue="VAJobrHUcC8DDbrAieIiyJv2krrL6yjUCRx/Iw02hcEekD0KlDmKySkUxuxxDbmgxe1Vrzg/XON/XOexUgNlng==" saltValue="DQBuHF3BynNTz6XXfAMQsA==" spinCount="100000" sheet="1" objects="1" scenarios="1" selectLockedCells="1"/>
  <mergeCells count="16">
    <mergeCell ref="A20:O22"/>
    <mergeCell ref="A4:B4"/>
    <mergeCell ref="C4:F4"/>
    <mergeCell ref="I4:L4"/>
    <mergeCell ref="N4:V4"/>
    <mergeCell ref="A6:O6"/>
    <mergeCell ref="B7:C8"/>
    <mergeCell ref="D7:E8"/>
    <mergeCell ref="F7:G8"/>
    <mergeCell ref="H7:I8"/>
    <mergeCell ref="J7:M7"/>
    <mergeCell ref="N7:O8"/>
    <mergeCell ref="J8:K8"/>
    <mergeCell ref="L8:M8"/>
    <mergeCell ref="G17:O17"/>
    <mergeCell ref="G18:O18"/>
  </mergeCells>
  <dataValidations count="7">
    <dataValidation type="list" allowBlank="1" showInputMessage="1" showErrorMessage="1" sqref="C4" xr:uid="{79EBABEE-90D8-4554-BE51-22A04D602849}">
      <formula1>AreasTPII_v1</formula1>
    </dataValidation>
    <dataValidation type="whole" showInputMessage="1" showErrorMessage="1" errorTitle="Erro" error="Tem que introduzir um valor númerico inteiro" sqref="P10:P13" xr:uid="{AE41EB96-C91D-4F15-92DE-4448E6FF2007}">
      <formula1>0</formula1>
      <formula2>10000000000000</formula2>
    </dataValidation>
    <dataValidation type="whole" showInputMessage="1" showErrorMessage="1" errorTitle="Erro" error="Tem que introduzir um valor númerico inteiro" sqref="B10:C13" xr:uid="{D19517DE-D1A9-46AB-8E24-C57C3BD79AA3}">
      <formula1>0</formula1>
      <formula2>10000000</formula2>
    </dataValidation>
    <dataValidation type="list" allowBlank="1" showInputMessage="1" showErrorMessage="1" sqref="I4" xr:uid="{DC998A2B-8EC4-424E-ADA9-C0A0659B1F46}">
      <formula1>OFFSET(AreasTPIIStart,MATCH(C4,AreasTPII,0),1,COUNTIF(AreasTPII,C4),1)</formula1>
    </dataValidation>
    <dataValidation type="custom" showInputMessage="1" showErrorMessage="1" errorTitle="Erro" error="O valor de &quot;F&quot; não pode ser superior ao valor de &quot;MF&quot;" sqref="I10:I13 K10:K13 M10:M13 O10:O13 G10:G13" xr:uid="{716068B0-0B48-4FC8-A0F6-815D8784DE29}">
      <formula1>AND(G10&gt;=0,G10&lt;=F10,MOD(G10,1)=0)</formula1>
    </dataValidation>
    <dataValidation type="custom" showInputMessage="1" showErrorMessage="1" errorTitle="Erro" error="Tem que introduzir um valor númerico inteiro igual ou superior ao valor de &quot;F&quot;" sqref="L10:L13 H10:H13 J10:J13 N10:N13 F10:F13" xr:uid="{2752043D-CBEF-4969-9D5A-FD5DD3AC7504}">
      <formula1>AND(F10&gt;=0,F10&gt;=G10,MOD(F10,1)=0)</formula1>
    </dataValidation>
    <dataValidation showInputMessage="1" showErrorMessage="1" errorTitle="Erro" error="O valor de &quot;F&quot; não pode ser superior ao valor de &quot;MF&quot;" sqref="D10:E13" xr:uid="{D293242E-0761-4B8D-B017-BAF93C4C39E2}"/>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locked="0" defaultSize="0" print="0" autoFill="0" autoPict="0" macro="[0]!_xludf.Copy">
                <anchor moveWithCells="1" sizeWithCells="1">
                  <from>
                    <xdr:col>13</xdr:col>
                    <xdr:colOff>133350</xdr:colOff>
                    <xdr:row>1</xdr:row>
                    <xdr:rowOff>28575</xdr:rowOff>
                  </from>
                  <to>
                    <xdr:col>15</xdr:col>
                    <xdr:colOff>0</xdr:colOff>
                    <xdr:row>1</xdr:row>
                    <xdr:rowOff>238125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956F-1116-40E5-8E7C-36AD28D68A3E}">
  <sheetPr codeName="Sheet30"/>
  <dimension ref="A1:V22"/>
  <sheetViews>
    <sheetView showGridLines="0" workbookViewId="0">
      <selection activeCell="I4" sqref="I4:L4"/>
    </sheetView>
  </sheetViews>
  <sheetFormatPr defaultColWidth="9.140625" defaultRowHeight="15" x14ac:dyDescent="0.25"/>
  <cols>
    <col min="1" max="1" width="11.28515625" customWidth="1"/>
    <col min="2" max="5" width="8.28515625" customWidth="1"/>
    <col min="6" max="15" width="8.5703125" customWidth="1"/>
    <col min="18" max="18" width="3.140625" customWidth="1"/>
    <col min="19" max="19" width="4.28515625" customWidth="1"/>
    <col min="22" max="22" width="7" customWidth="1"/>
  </cols>
  <sheetData>
    <row r="1" spans="1:22" x14ac:dyDescent="0.25">
      <c r="A1" s="39" t="s">
        <v>1115</v>
      </c>
      <c r="B1" s="39"/>
      <c r="C1" s="39"/>
    </row>
    <row r="2" spans="1:22" ht="21" x14ac:dyDescent="0.25">
      <c r="A2" s="66" t="s">
        <v>1175</v>
      </c>
      <c r="B2" s="66"/>
      <c r="C2" s="66"/>
      <c r="D2" s="66"/>
      <c r="E2" s="66"/>
      <c r="F2" s="66"/>
      <c r="G2" s="66"/>
      <c r="H2" s="66"/>
      <c r="I2" s="66"/>
      <c r="J2" s="141" t="s">
        <v>124</v>
      </c>
      <c r="K2" s="141"/>
      <c r="L2" s="141"/>
      <c r="M2" s="141"/>
    </row>
    <row r="3" spans="1:22" ht="21" x14ac:dyDescent="0.25">
      <c r="A3" s="67" t="s">
        <v>1115</v>
      </c>
      <c r="B3" s="67"/>
      <c r="C3" s="67"/>
      <c r="D3" s="100"/>
      <c r="E3" s="100"/>
      <c r="F3" s="100"/>
      <c r="G3" s="100"/>
      <c r="H3" s="100"/>
      <c r="I3" s="100"/>
      <c r="J3" s="100"/>
      <c r="K3" s="100"/>
      <c r="L3" s="100"/>
      <c r="M3" s="100"/>
      <c r="N3" s="100"/>
      <c r="O3" s="100"/>
    </row>
    <row r="4" spans="1:22" x14ac:dyDescent="0.25">
      <c r="A4" s="401" t="s">
        <v>1432</v>
      </c>
      <c r="B4" s="401"/>
      <c r="C4" s="402"/>
      <c r="D4" s="403"/>
      <c r="E4" s="403"/>
      <c r="F4" s="404"/>
      <c r="H4" s="93" t="s">
        <v>284</v>
      </c>
      <c r="I4" s="402"/>
      <c r="J4" s="403"/>
      <c r="K4" s="403"/>
      <c r="L4" s="404"/>
      <c r="N4" s="353" t="s">
        <v>1470</v>
      </c>
      <c r="O4" s="353"/>
      <c r="P4" s="353"/>
      <c r="Q4" s="353"/>
      <c r="R4" s="353"/>
      <c r="S4" s="353"/>
      <c r="T4" s="353"/>
      <c r="U4" s="353"/>
      <c r="V4" s="353"/>
    </row>
    <row r="5" spans="1:22" ht="15.75" thickBot="1" x14ac:dyDescent="0.3">
      <c r="A5" s="35" t="s">
        <v>1115</v>
      </c>
      <c r="B5" s="35"/>
      <c r="C5" s="35"/>
    </row>
    <row r="6" spans="1:22" ht="15.75" thickTop="1" x14ac:dyDescent="0.25">
      <c r="A6" s="406" t="s">
        <v>1176</v>
      </c>
      <c r="B6" s="407"/>
      <c r="C6" s="407"/>
      <c r="D6" s="407"/>
      <c r="E6" s="407"/>
      <c r="F6" s="407"/>
      <c r="G6" s="407"/>
      <c r="H6" s="407"/>
      <c r="I6" s="407"/>
      <c r="J6" s="407"/>
      <c r="K6" s="407"/>
      <c r="L6" s="407"/>
      <c r="M6" s="407"/>
      <c r="N6" s="407"/>
      <c r="O6" s="408"/>
    </row>
    <row r="7" spans="1:22" ht="15" customHeight="1" x14ac:dyDescent="0.25">
      <c r="A7" s="38" t="s">
        <v>1151</v>
      </c>
      <c r="B7" s="312" t="s">
        <v>1463</v>
      </c>
      <c r="C7" s="313"/>
      <c r="D7" s="312" t="s">
        <v>1464</v>
      </c>
      <c r="E7" s="313"/>
      <c r="F7" s="312" t="s">
        <v>1129</v>
      </c>
      <c r="G7" s="313"/>
      <c r="H7" s="312" t="s">
        <v>1130</v>
      </c>
      <c r="I7" s="313"/>
      <c r="J7" s="312" t="s">
        <v>1152</v>
      </c>
      <c r="K7" s="411"/>
      <c r="L7" s="411"/>
      <c r="M7" s="313"/>
      <c r="N7" s="312" t="s">
        <v>1131</v>
      </c>
      <c r="O7" s="409"/>
    </row>
    <row r="8" spans="1:22" ht="15" customHeight="1" x14ac:dyDescent="0.25">
      <c r="A8" s="91" t="s">
        <v>1115</v>
      </c>
      <c r="B8" s="314"/>
      <c r="C8" s="315"/>
      <c r="D8" s="314"/>
      <c r="E8" s="315"/>
      <c r="F8" s="314"/>
      <c r="G8" s="315"/>
      <c r="H8" s="314"/>
      <c r="I8" s="315"/>
      <c r="J8" s="263" t="s">
        <v>1459</v>
      </c>
      <c r="K8" s="265"/>
      <c r="L8" s="263" t="s">
        <v>1460</v>
      </c>
      <c r="M8" s="265"/>
      <c r="N8" s="314"/>
      <c r="O8" s="410"/>
    </row>
    <row r="9" spans="1:22" x14ac:dyDescent="0.25">
      <c r="A9" s="57"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22" x14ac:dyDescent="0.25">
      <c r="A10" s="99" t="s">
        <v>68</v>
      </c>
      <c r="B10" s="154">
        <v>0</v>
      </c>
      <c r="C10" s="154">
        <v>0</v>
      </c>
      <c r="D10" s="152" t="str">
        <f>IF($I$4="",IF(SUM(F10,H10,N10)=0, "",SUM(F10,H10,N10)),SUM(F10,H10,N10))</f>
        <v/>
      </c>
      <c r="E10" s="152" t="str">
        <f>IF($I$4="",IF(SUM(G10,I10,O10)=0, "",SUM(G10,I10,O10)),SUM(G10,I10,O10))</f>
        <v/>
      </c>
      <c r="F10" s="155"/>
      <c r="G10" s="155"/>
      <c r="H10" s="155"/>
      <c r="I10" s="155"/>
      <c r="J10" s="155"/>
      <c r="K10" s="155"/>
      <c r="L10" s="155"/>
      <c r="M10" s="155"/>
      <c r="N10" s="155"/>
      <c r="O10" s="156"/>
    </row>
    <row r="11" spans="1:22" x14ac:dyDescent="0.25">
      <c r="A11" s="99" t="s">
        <v>69</v>
      </c>
      <c r="B11" s="154">
        <v>0</v>
      </c>
      <c r="C11" s="154">
        <v>0</v>
      </c>
      <c r="D11" s="152" t="str">
        <f t="shared" ref="D11:D13" si="0">IF($I$4="",IF(SUM(F11,H11,N11)=0, "",SUM(F11,H11,N11)),SUM(F11,H11,N11))</f>
        <v/>
      </c>
      <c r="E11" s="152" t="str">
        <f>IF($I$4="",IF(SUM(G11,I11,O11)=0, "",SUM(G11,I11,O11)),SUM(G11,I11,O11))</f>
        <v/>
      </c>
      <c r="F11" s="155"/>
      <c r="G11" s="155"/>
      <c r="H11" s="155"/>
      <c r="I11" s="155"/>
      <c r="J11" s="155"/>
      <c r="K11" s="155"/>
      <c r="L11" s="155"/>
      <c r="M11" s="155"/>
      <c r="N11" s="155"/>
      <c r="O11" s="156"/>
    </row>
    <row r="12" spans="1:22" x14ac:dyDescent="0.25">
      <c r="A12" s="99" t="s">
        <v>70</v>
      </c>
      <c r="B12" s="154">
        <v>0</v>
      </c>
      <c r="C12" s="154">
        <v>0</v>
      </c>
      <c r="D12" s="152" t="str">
        <f t="shared" si="0"/>
        <v/>
      </c>
      <c r="E12" s="152" t="str">
        <f>IF($I$4="",IF(SUM(G12,I12,O12)=0, "",SUM(G12,I12,O12)),SUM(G12,I12,O12))</f>
        <v/>
      </c>
      <c r="F12" s="155"/>
      <c r="G12" s="155"/>
      <c r="H12" s="155"/>
      <c r="I12" s="155"/>
      <c r="J12" s="155"/>
      <c r="K12" s="155"/>
      <c r="L12" s="155"/>
      <c r="M12" s="155"/>
      <c r="N12" s="155"/>
      <c r="O12" s="156"/>
    </row>
    <row r="13" spans="1:22" x14ac:dyDescent="0.25">
      <c r="A13" s="99" t="s">
        <v>71</v>
      </c>
      <c r="B13" s="154">
        <v>0</v>
      </c>
      <c r="C13" s="154">
        <v>0</v>
      </c>
      <c r="D13" s="152" t="str">
        <f t="shared" si="0"/>
        <v/>
      </c>
      <c r="E13" s="152" t="str">
        <f>IF($I$4="",IF(SUM(G13,I13,O13)=0, "",SUM(G13,I13,O13)),SUM(G13,I13,O13))</f>
        <v/>
      </c>
      <c r="F13" s="155"/>
      <c r="G13" s="155"/>
      <c r="H13" s="155"/>
      <c r="I13" s="155"/>
      <c r="J13" s="155"/>
      <c r="K13" s="155"/>
      <c r="L13" s="155"/>
      <c r="M13" s="155"/>
      <c r="N13" s="155"/>
      <c r="O13" s="156"/>
    </row>
    <row r="14" spans="1:22" ht="15.75" thickBot="1" x14ac:dyDescent="0.3">
      <c r="A14" s="65" t="s">
        <v>15</v>
      </c>
      <c r="B14" s="132">
        <f>SUM(B10:B13)</f>
        <v>0</v>
      </c>
      <c r="C14" s="132">
        <f t="shared" ref="C14:O14" si="1">SUM(C10:C13)</f>
        <v>0</v>
      </c>
      <c r="D14" s="132">
        <f t="shared" si="1"/>
        <v>0</v>
      </c>
      <c r="E14" s="132">
        <f t="shared" si="1"/>
        <v>0</v>
      </c>
      <c r="F14" s="132">
        <f t="shared" si="1"/>
        <v>0</v>
      </c>
      <c r="G14" s="132">
        <f t="shared" si="1"/>
        <v>0</v>
      </c>
      <c r="H14" s="132">
        <f t="shared" si="1"/>
        <v>0</v>
      </c>
      <c r="I14" s="132">
        <f t="shared" si="1"/>
        <v>0</v>
      </c>
      <c r="J14" s="132">
        <f t="shared" si="1"/>
        <v>0</v>
      </c>
      <c r="K14" s="132">
        <f t="shared" si="1"/>
        <v>0</v>
      </c>
      <c r="L14" s="132">
        <f t="shared" si="1"/>
        <v>0</v>
      </c>
      <c r="M14" s="132">
        <f t="shared" si="1"/>
        <v>0</v>
      </c>
      <c r="N14" s="132">
        <f t="shared" si="1"/>
        <v>0</v>
      </c>
      <c r="O14" s="133">
        <f t="shared" si="1"/>
        <v>0</v>
      </c>
    </row>
    <row r="15" spans="1:22" ht="15.75" thickTop="1" x14ac:dyDescent="0.25">
      <c r="A15" s="35" t="s">
        <v>1115</v>
      </c>
      <c r="B15" s="35"/>
      <c r="C15" s="35"/>
    </row>
    <row r="16" spans="1:22" x14ac:dyDescent="0.25">
      <c r="A16" s="35"/>
      <c r="B16" s="35"/>
      <c r="C16" s="35"/>
    </row>
    <row r="17" spans="1:17" x14ac:dyDescent="0.25">
      <c r="A17" s="35" t="s">
        <v>1115</v>
      </c>
      <c r="B17" s="35"/>
      <c r="C17" s="35"/>
      <c r="G17" s="306" t="s">
        <v>1462</v>
      </c>
      <c r="H17" s="307"/>
      <c r="I17" s="307"/>
      <c r="J17" s="307"/>
      <c r="K17" s="307"/>
      <c r="L17" s="307"/>
      <c r="M17" s="307"/>
      <c r="N17" s="307"/>
      <c r="O17" s="308"/>
    </row>
    <row r="18" spans="1:17" x14ac:dyDescent="0.25">
      <c r="A18" s="83"/>
      <c r="B18" s="83"/>
      <c r="C18" s="83"/>
      <c r="G18" s="303" t="s">
        <v>1469</v>
      </c>
      <c r="H18" s="304"/>
      <c r="I18" s="304"/>
      <c r="J18" s="304"/>
      <c r="K18" s="304"/>
      <c r="L18" s="304"/>
      <c r="M18" s="304"/>
      <c r="N18" s="304"/>
      <c r="O18" s="305"/>
    </row>
    <row r="19" spans="1:17" x14ac:dyDescent="0.25">
      <c r="A19" s="83"/>
      <c r="B19" s="83"/>
      <c r="C19" s="83"/>
    </row>
    <row r="20" spans="1:17" ht="15" customHeight="1" x14ac:dyDescent="0.25">
      <c r="A20" s="405" t="s">
        <v>1465</v>
      </c>
      <c r="B20" s="405"/>
      <c r="C20" s="405"/>
      <c r="D20" s="405"/>
      <c r="E20" s="405"/>
      <c r="F20" s="405"/>
      <c r="G20" s="405"/>
      <c r="H20" s="405"/>
      <c r="I20" s="405"/>
      <c r="J20" s="405"/>
      <c r="K20" s="405"/>
      <c r="L20" s="405"/>
      <c r="M20" s="405"/>
      <c r="N20" s="405"/>
      <c r="O20" s="405"/>
      <c r="P20" s="140"/>
      <c r="Q20" s="140"/>
    </row>
    <row r="21" spans="1:17" x14ac:dyDescent="0.25">
      <c r="A21" s="405"/>
      <c r="B21" s="405"/>
      <c r="C21" s="405"/>
      <c r="D21" s="405"/>
      <c r="E21" s="405"/>
      <c r="F21" s="405"/>
      <c r="G21" s="405"/>
      <c r="H21" s="405"/>
      <c r="I21" s="405"/>
      <c r="J21" s="405"/>
      <c r="K21" s="405"/>
      <c r="L21" s="405"/>
      <c r="M21" s="405"/>
      <c r="N21" s="405"/>
      <c r="O21" s="405"/>
      <c r="P21" s="140"/>
      <c r="Q21" s="140"/>
    </row>
    <row r="22" spans="1:17" x14ac:dyDescent="0.25">
      <c r="A22" s="405"/>
      <c r="B22" s="405"/>
      <c r="C22" s="405"/>
      <c r="D22" s="405"/>
      <c r="E22" s="405"/>
      <c r="F22" s="405"/>
      <c r="G22" s="405"/>
      <c r="H22" s="405"/>
      <c r="I22" s="405"/>
      <c r="J22" s="405"/>
      <c r="K22" s="405"/>
      <c r="L22" s="405"/>
      <c r="M22" s="405"/>
      <c r="N22" s="405"/>
      <c r="O22" s="405"/>
      <c r="P22" s="140"/>
      <c r="Q22" s="140"/>
    </row>
  </sheetData>
  <sheetProtection algorithmName="SHA-512" hashValue="bvNbKAqwCtBB0gBJJLSQJtP+FMVa/sj1hAqO+p0HTVngNhBdiUHsglpXdOn0Ldh6ZBke/xgjb4Fj3yEmLGS0QA==" saltValue="lQzAg2ANSSG9ijFpn69Fpw==" spinCount="100000" sheet="1" objects="1" scenarios="1" selectLockedCells="1"/>
  <mergeCells count="16">
    <mergeCell ref="A20:O22"/>
    <mergeCell ref="A4:B4"/>
    <mergeCell ref="C4:F4"/>
    <mergeCell ref="I4:L4"/>
    <mergeCell ref="N4:V4"/>
    <mergeCell ref="A6:O6"/>
    <mergeCell ref="B7:C8"/>
    <mergeCell ref="D7:E8"/>
    <mergeCell ref="F7:G8"/>
    <mergeCell ref="H7:I8"/>
    <mergeCell ref="J7:M7"/>
    <mergeCell ref="N7:O8"/>
    <mergeCell ref="J8:K8"/>
    <mergeCell ref="L8:M8"/>
    <mergeCell ref="G17:O17"/>
    <mergeCell ref="G18:O18"/>
  </mergeCells>
  <dataValidations count="7">
    <dataValidation type="list" allowBlank="1" showInputMessage="1" showErrorMessage="1" sqref="C4" xr:uid="{5880098A-B9C8-4C2F-863F-7D6A32BF8F06}">
      <formula1>AreasTPII_v1</formula1>
    </dataValidation>
    <dataValidation type="whole" showInputMessage="1" showErrorMessage="1" errorTitle="Erro" error="Tem que introduzir um valor númerico inteiro" sqref="P10:P13" xr:uid="{A3F99C68-6AC7-414B-BBF9-60BEF927D9A2}">
      <formula1>0</formula1>
      <formula2>10000000000000</formula2>
    </dataValidation>
    <dataValidation type="whole" showInputMessage="1" showErrorMessage="1" errorTitle="Erro" error="Tem que introduzir um valor númerico inteiro" sqref="B10:C13" xr:uid="{94684DA3-FB65-4AA0-91FF-21CBF430E8A6}">
      <formula1>0</formula1>
      <formula2>10000000</formula2>
    </dataValidation>
    <dataValidation type="list" allowBlank="1" showInputMessage="1" showErrorMessage="1" sqref="I4" xr:uid="{B1BBD72B-8C59-482C-9E11-5886C8ECA1CB}">
      <formula1>OFFSET(AreasTPIIStart,MATCH(C4,AreasTPII,0),1,COUNTIF(AreasTPII,C4),1)</formula1>
    </dataValidation>
    <dataValidation type="custom" showInputMessage="1" showErrorMessage="1" errorTitle="Erro" error="O valor de &quot;F&quot; não pode ser superior ao valor de &quot;MF&quot;" sqref="I10:I13 K10:K13 M10:M13 O10:O13 G10:G13" xr:uid="{210CFC52-AE79-4757-9678-8E888AE2A483}">
      <formula1>AND(G10&gt;=0,G10&lt;=F10,MOD(G10,1)=0)</formula1>
    </dataValidation>
    <dataValidation type="custom" showInputMessage="1" showErrorMessage="1" errorTitle="Erro" error="Tem que introduzir um valor númerico inteiro igual ou superior ao valor de &quot;F&quot;" sqref="L10:L13 H10:H13 J10:J13 N10:N13 F10:F13" xr:uid="{8060004F-0657-41DF-8EF2-77A39C02ADC6}">
      <formula1>AND(F10&gt;=0,F10&gt;=G10,MOD(F10,1)=0)</formula1>
    </dataValidation>
    <dataValidation showInputMessage="1" showErrorMessage="1" errorTitle="Erro" error="O valor de &quot;F&quot; não pode ser superior ao valor de &quot;MF&quot;" sqref="D10:E13" xr:uid="{C8662BFC-0AD5-4658-9FCA-E363E541C7FE}"/>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locked="0" defaultSize="0" print="0" autoFill="0" autoPict="0" macro="[0]!_xludf.Copy">
                <anchor moveWithCells="1" sizeWithCells="1">
                  <from>
                    <xdr:col>13</xdr:col>
                    <xdr:colOff>133350</xdr:colOff>
                    <xdr:row>1</xdr:row>
                    <xdr:rowOff>28575</xdr:rowOff>
                  </from>
                  <to>
                    <xdr:col>15</xdr:col>
                    <xdr:colOff>0</xdr:colOff>
                    <xdr:row>1</xdr:row>
                    <xdr:rowOff>238125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6C3A9-A9DE-42FC-9540-51BCF51BA706}">
  <sheetPr codeName="Sheet31"/>
  <dimension ref="A1:AF56"/>
  <sheetViews>
    <sheetView showGridLines="0" tabSelected="1" showRuler="0" view="pageLayout" zoomScaleNormal="100" workbookViewId="0">
      <selection activeCell="AB15" sqref="AB15:AC15"/>
    </sheetView>
  </sheetViews>
  <sheetFormatPr defaultColWidth="14.42578125" defaultRowHeight="15" customHeight="1" x14ac:dyDescent="0.25"/>
  <cols>
    <col min="1" max="3" width="4.85546875" customWidth="1"/>
    <col min="4" max="4" width="6.7109375" customWidth="1"/>
    <col min="5" max="6" width="5.85546875" customWidth="1"/>
    <col min="7" max="7" width="2.7109375" customWidth="1"/>
    <col min="8" max="9" width="4.85546875" customWidth="1"/>
    <col min="10" max="20" width="4.28515625" customWidth="1"/>
    <col min="21" max="22" width="4.42578125" customWidth="1"/>
    <col min="23" max="24" width="4.85546875" customWidth="1"/>
    <col min="25" max="26" width="3.5703125" customWidth="1"/>
    <col min="27" max="29" width="3.42578125" customWidth="1"/>
    <col min="30" max="30" width="3.5703125" customWidth="1"/>
    <col min="31" max="31" width="3.85546875" customWidth="1"/>
    <col min="32" max="32" width="2.85546875" customWidth="1"/>
    <col min="33" max="33" width="4.5703125" customWidth="1"/>
    <col min="34" max="41" width="4.28515625" customWidth="1"/>
    <col min="42" max="53" width="3.5703125" customWidth="1"/>
    <col min="54" max="58" width="3.7109375" customWidth="1"/>
  </cols>
  <sheetData>
    <row r="1" spans="1:32" ht="14.1" customHeight="1" x14ac:dyDescent="0.25">
      <c r="A1" s="412" t="s">
        <v>1474</v>
      </c>
      <c r="B1" s="412"/>
      <c r="C1" s="412"/>
      <c r="D1" s="412"/>
      <c r="E1" s="412"/>
      <c r="F1" s="412"/>
      <c r="G1" s="412"/>
      <c r="H1" s="412"/>
      <c r="I1" s="412"/>
      <c r="J1" s="412"/>
      <c r="K1" s="412"/>
      <c r="L1" s="412"/>
      <c r="M1" s="412"/>
      <c r="N1" s="412"/>
      <c r="O1" s="413" t="s">
        <v>1475</v>
      </c>
      <c r="P1" s="413"/>
      <c r="Q1" s="413"/>
      <c r="R1" s="414"/>
      <c r="S1" s="414"/>
      <c r="T1" s="414"/>
      <c r="U1" s="414"/>
      <c r="V1" s="414"/>
      <c r="W1" s="414"/>
      <c r="X1" s="414"/>
      <c r="Y1" s="414"/>
      <c r="Z1" s="414"/>
      <c r="AA1" s="414"/>
      <c r="AB1" s="414"/>
      <c r="AC1" s="414"/>
      <c r="AD1" s="414"/>
      <c r="AE1" s="414"/>
      <c r="AF1" s="414"/>
    </row>
    <row r="2" spans="1:32" ht="14.1" customHeight="1" x14ac:dyDescent="0.25">
      <c r="A2" s="412"/>
      <c r="B2" s="412"/>
      <c r="C2" s="412"/>
      <c r="D2" s="412"/>
      <c r="E2" s="412"/>
      <c r="F2" s="412"/>
      <c r="G2" s="412"/>
      <c r="H2" s="412"/>
      <c r="I2" s="412"/>
      <c r="J2" s="412"/>
      <c r="K2" s="412"/>
      <c r="L2" s="412"/>
      <c r="M2" s="412"/>
      <c r="N2" s="412"/>
      <c r="O2" s="413"/>
      <c r="P2" s="413"/>
      <c r="Q2" s="413"/>
      <c r="R2" s="414"/>
      <c r="S2" s="414"/>
      <c r="T2" s="414"/>
      <c r="U2" s="414"/>
      <c r="V2" s="414"/>
      <c r="W2" s="414"/>
      <c r="X2" s="414"/>
      <c r="Y2" s="414"/>
      <c r="Z2" s="414"/>
      <c r="AA2" s="414"/>
      <c r="AB2" s="414"/>
      <c r="AC2" s="414"/>
      <c r="AD2" s="414"/>
      <c r="AE2" s="414"/>
      <c r="AF2" s="414"/>
    </row>
    <row r="3" spans="1:32" ht="14.1" customHeight="1" x14ac:dyDescent="0.25">
      <c r="O3" s="415" t="s">
        <v>1476</v>
      </c>
      <c r="P3" s="415"/>
      <c r="Q3" s="415"/>
      <c r="R3" s="415"/>
      <c r="S3" s="415"/>
      <c r="T3" s="415"/>
      <c r="U3" s="415"/>
      <c r="V3" s="415"/>
      <c r="W3" s="415"/>
      <c r="X3" s="415"/>
      <c r="Y3" s="415"/>
      <c r="Z3" s="415"/>
      <c r="AA3" s="415"/>
      <c r="AB3" s="415"/>
      <c r="AC3" s="415"/>
      <c r="AD3" s="415"/>
      <c r="AE3" s="415"/>
      <c r="AF3" s="415"/>
    </row>
    <row r="5" spans="1:32" x14ac:dyDescent="0.25">
      <c r="A5" s="427" t="s">
        <v>1477</v>
      </c>
      <c r="B5" s="427"/>
      <c r="C5" s="427"/>
      <c r="D5" s="427"/>
      <c r="E5" s="427"/>
      <c r="F5" s="427"/>
      <c r="H5" s="427" t="s">
        <v>1478</v>
      </c>
      <c r="I5" s="427"/>
      <c r="J5" s="427"/>
      <c r="K5" s="427"/>
      <c r="L5" s="427"/>
      <c r="M5" s="427"/>
      <c r="N5" s="427"/>
      <c r="Q5" s="428" t="s">
        <v>1479</v>
      </c>
      <c r="R5" s="428"/>
      <c r="S5" s="428"/>
      <c r="T5" s="428"/>
      <c r="U5" s="428"/>
      <c r="V5" s="428"/>
      <c r="W5" s="428"/>
      <c r="X5" s="429"/>
      <c r="Y5" s="432" t="s">
        <v>1480</v>
      </c>
      <c r="Z5" s="433"/>
      <c r="AA5" s="433"/>
      <c r="AB5" s="434"/>
      <c r="AC5" s="432" t="s">
        <v>1481</v>
      </c>
      <c r="AD5" s="433"/>
      <c r="AE5" s="433"/>
      <c r="AF5" s="434"/>
    </row>
    <row r="6" spans="1:32" ht="15" customHeight="1" x14ac:dyDescent="0.25">
      <c r="A6" s="427"/>
      <c r="B6" s="427"/>
      <c r="C6" s="427"/>
      <c r="D6" s="427"/>
      <c r="E6" s="427"/>
      <c r="F6" s="427"/>
      <c r="G6" s="160"/>
      <c r="H6" s="427"/>
      <c r="I6" s="427"/>
      <c r="J6" s="427"/>
      <c r="K6" s="427"/>
      <c r="L6" s="427"/>
      <c r="M6" s="427"/>
      <c r="N6" s="427"/>
      <c r="Q6" s="430"/>
      <c r="R6" s="430"/>
      <c r="S6" s="430"/>
      <c r="T6" s="430"/>
      <c r="U6" s="430"/>
      <c r="V6" s="430"/>
      <c r="W6" s="430"/>
      <c r="X6" s="431"/>
      <c r="Y6" s="416" t="s">
        <v>9</v>
      </c>
      <c r="Z6" s="417"/>
      <c r="AA6" s="416" t="s">
        <v>10</v>
      </c>
      <c r="AB6" s="417"/>
      <c r="AC6" s="416" t="s">
        <v>9</v>
      </c>
      <c r="AD6" s="417"/>
      <c r="AE6" s="416" t="s">
        <v>10</v>
      </c>
      <c r="AF6" s="417"/>
    </row>
    <row r="7" spans="1:32" ht="14.45" customHeight="1" x14ac:dyDescent="0.25">
      <c r="A7" s="418" t="s">
        <v>1482</v>
      </c>
      <c r="B7" s="419"/>
      <c r="C7" s="419"/>
      <c r="D7" s="419"/>
      <c r="E7" s="419"/>
      <c r="F7" s="161"/>
      <c r="G7" s="162"/>
      <c r="H7" s="420"/>
      <c r="I7" s="420"/>
      <c r="J7" s="420"/>
      <c r="K7" s="420"/>
      <c r="L7" s="420"/>
      <c r="M7" s="421" t="s">
        <v>15</v>
      </c>
      <c r="N7" s="419"/>
      <c r="Q7" s="422" t="s">
        <v>1483</v>
      </c>
      <c r="R7" s="423"/>
      <c r="S7" s="423"/>
      <c r="T7" s="423"/>
      <c r="U7" s="423"/>
      <c r="V7" s="423"/>
      <c r="W7" s="423"/>
      <c r="X7" s="424"/>
      <c r="Y7" s="425"/>
      <c r="Z7" s="426"/>
      <c r="AA7" s="425"/>
      <c r="AB7" s="426"/>
      <c r="AC7" s="425"/>
      <c r="AD7" s="426"/>
      <c r="AE7" s="425"/>
      <c r="AF7" s="426"/>
    </row>
    <row r="8" spans="1:32" ht="14.45" customHeight="1" x14ac:dyDescent="0.25">
      <c r="A8" s="418" t="s">
        <v>1484</v>
      </c>
      <c r="B8" s="419"/>
      <c r="C8" s="419"/>
      <c r="D8" s="419"/>
      <c r="E8" s="419"/>
      <c r="F8" s="161"/>
      <c r="G8" s="164"/>
      <c r="H8" s="420"/>
      <c r="I8" s="420"/>
      <c r="J8" s="420"/>
      <c r="K8" s="420"/>
      <c r="L8" s="420"/>
      <c r="M8" s="163" t="s">
        <v>9</v>
      </c>
      <c r="N8" s="163" t="s">
        <v>10</v>
      </c>
      <c r="Q8" s="422" t="s">
        <v>1485</v>
      </c>
      <c r="R8" s="423"/>
      <c r="S8" s="423"/>
      <c r="T8" s="423"/>
      <c r="U8" s="423"/>
      <c r="V8" s="423"/>
      <c r="W8" s="423"/>
      <c r="X8" s="424"/>
      <c r="Y8" s="425"/>
      <c r="Z8" s="426"/>
      <c r="AA8" s="425"/>
      <c r="AB8" s="426"/>
      <c r="AC8" s="425"/>
      <c r="AD8" s="426"/>
      <c r="AE8" s="425"/>
      <c r="AF8" s="426"/>
    </row>
    <row r="9" spans="1:32" ht="14.45" customHeight="1" x14ac:dyDescent="0.25">
      <c r="A9" s="418" t="s">
        <v>1486</v>
      </c>
      <c r="B9" s="419"/>
      <c r="C9" s="419"/>
      <c r="D9" s="419"/>
      <c r="E9" s="419"/>
      <c r="F9" s="161"/>
      <c r="G9" s="164"/>
      <c r="H9" s="418" t="s">
        <v>1487</v>
      </c>
      <c r="I9" s="419"/>
      <c r="J9" s="419"/>
      <c r="K9" s="419"/>
      <c r="L9" s="419"/>
      <c r="M9" s="165"/>
      <c r="N9" s="165"/>
      <c r="Q9" s="435" t="s">
        <v>15</v>
      </c>
      <c r="R9" s="436"/>
      <c r="S9" s="436"/>
      <c r="T9" s="436"/>
      <c r="U9" s="436"/>
      <c r="V9" s="436"/>
      <c r="W9" s="436"/>
      <c r="X9" s="437"/>
      <c r="Y9" s="438">
        <f>SUM(Y7:Z8)</f>
        <v>0</v>
      </c>
      <c r="Z9" s="439"/>
      <c r="AA9" s="438">
        <f>SUM(AA7:AB8)</f>
        <v>0</v>
      </c>
      <c r="AB9" s="439"/>
      <c r="AC9" s="438">
        <f>SUM(AC7:AD8)</f>
        <v>0</v>
      </c>
      <c r="AD9" s="439"/>
      <c r="AE9" s="438">
        <f>SUM(AE7:AF8)</f>
        <v>0</v>
      </c>
      <c r="AF9" s="439"/>
    </row>
    <row r="10" spans="1:32" ht="15.6" customHeight="1" x14ac:dyDescent="0.25">
      <c r="A10" s="418" t="s">
        <v>1488</v>
      </c>
      <c r="B10" s="419"/>
      <c r="C10" s="419"/>
      <c r="D10" s="419"/>
      <c r="E10" s="419"/>
      <c r="F10" s="161"/>
      <c r="G10" s="164"/>
      <c r="H10" s="418" t="s">
        <v>1489</v>
      </c>
      <c r="I10" s="419"/>
      <c r="J10" s="419"/>
      <c r="K10" s="419"/>
      <c r="L10" s="419"/>
      <c r="M10" s="165"/>
      <c r="N10" s="165"/>
      <c r="AF10" s="160"/>
    </row>
    <row r="11" spans="1:32" ht="12.95" customHeight="1" x14ac:dyDescent="0.25">
      <c r="A11" s="418" t="s">
        <v>1490</v>
      </c>
      <c r="B11" s="419"/>
      <c r="C11" s="419"/>
      <c r="D11" s="419"/>
      <c r="E11" s="419"/>
      <c r="F11" s="161"/>
      <c r="G11" s="162"/>
      <c r="H11" s="418" t="s">
        <v>1491</v>
      </c>
      <c r="I11" s="419"/>
      <c r="J11" s="419"/>
      <c r="K11" s="419"/>
      <c r="L11" s="419"/>
      <c r="M11" s="165"/>
      <c r="N11" s="165"/>
      <c r="Q11" s="440" t="s">
        <v>1492</v>
      </c>
      <c r="R11" s="440"/>
      <c r="S11" s="440"/>
      <c r="T11" s="440"/>
      <c r="U11" s="440"/>
      <c r="V11" s="440"/>
      <c r="W11" s="440"/>
      <c r="X11" s="440"/>
      <c r="Y11" s="440"/>
      <c r="Z11" s="440"/>
      <c r="AA11" s="166"/>
      <c r="AB11" s="432" t="s">
        <v>19</v>
      </c>
      <c r="AC11" s="433"/>
      <c r="AD11" s="433"/>
      <c r="AE11" s="434"/>
    </row>
    <row r="12" spans="1:32" ht="12.95" customHeight="1" x14ac:dyDescent="0.25">
      <c r="A12" s="442" t="s">
        <v>15</v>
      </c>
      <c r="B12" s="419"/>
      <c r="C12" s="419"/>
      <c r="D12" s="419"/>
      <c r="E12" s="419"/>
      <c r="F12" s="167">
        <f>F7+F8+F9+F10+F11</f>
        <v>0</v>
      </c>
      <c r="G12" s="10"/>
      <c r="H12" s="443" t="s">
        <v>1493</v>
      </c>
      <c r="I12" s="444"/>
      <c r="J12" s="444"/>
      <c r="K12" s="444"/>
      <c r="L12" s="444"/>
      <c r="M12" s="165"/>
      <c r="N12" s="165"/>
      <c r="O12" s="168"/>
      <c r="P12" s="168"/>
      <c r="Q12" s="441"/>
      <c r="R12" s="441"/>
      <c r="S12" s="441"/>
      <c r="T12" s="441"/>
      <c r="U12" s="441"/>
      <c r="V12" s="441"/>
      <c r="W12" s="441"/>
      <c r="X12" s="441"/>
      <c r="Y12" s="441"/>
      <c r="Z12" s="441"/>
      <c r="AA12" s="169"/>
      <c r="AB12" s="416" t="s">
        <v>9</v>
      </c>
      <c r="AC12" s="417"/>
      <c r="AD12" s="416" t="s">
        <v>10</v>
      </c>
      <c r="AE12" s="417"/>
    </row>
    <row r="13" spans="1:32" ht="12.75" customHeight="1" x14ac:dyDescent="0.25">
      <c r="A13" s="162"/>
      <c r="B13" s="168"/>
      <c r="C13" s="168"/>
      <c r="D13" s="168"/>
      <c r="E13" s="168"/>
      <c r="F13" s="168"/>
      <c r="G13" s="162"/>
      <c r="H13" s="443" t="s">
        <v>1494</v>
      </c>
      <c r="I13" s="444"/>
      <c r="J13" s="444"/>
      <c r="K13" s="444"/>
      <c r="L13" s="444"/>
      <c r="M13" s="161"/>
      <c r="N13" s="161"/>
      <c r="P13" s="162"/>
      <c r="Q13" s="447" t="s">
        <v>1495</v>
      </c>
      <c r="R13" s="448"/>
      <c r="S13" s="448"/>
      <c r="T13" s="448"/>
      <c r="U13" s="448"/>
      <c r="V13" s="448"/>
      <c r="W13" s="448"/>
      <c r="X13" s="448"/>
      <c r="Y13" s="448"/>
      <c r="Z13" s="448"/>
      <c r="AA13" s="449"/>
      <c r="AB13" s="452"/>
      <c r="AC13" s="453"/>
      <c r="AD13" s="452"/>
      <c r="AE13" s="453"/>
    </row>
    <row r="14" spans="1:32" ht="12.75" customHeight="1" x14ac:dyDescent="0.25">
      <c r="A14" s="162"/>
      <c r="B14" s="168"/>
      <c r="C14" s="168"/>
      <c r="D14" s="168"/>
      <c r="E14" s="168"/>
      <c r="F14" s="168"/>
      <c r="G14" s="162"/>
      <c r="H14" s="418" t="s">
        <v>14</v>
      </c>
      <c r="I14" s="445"/>
      <c r="J14" s="445"/>
      <c r="K14" s="445"/>
      <c r="L14" s="446"/>
      <c r="M14" s="161"/>
      <c r="N14" s="161"/>
      <c r="O14" s="170"/>
      <c r="P14" s="170"/>
      <c r="Q14" s="447" t="s">
        <v>1496</v>
      </c>
      <c r="R14" s="448"/>
      <c r="S14" s="448"/>
      <c r="T14" s="448"/>
      <c r="U14" s="448"/>
      <c r="V14" s="448"/>
      <c r="W14" s="448"/>
      <c r="X14" s="448"/>
      <c r="Y14" s="448"/>
      <c r="Z14" s="448"/>
      <c r="AA14" s="449"/>
      <c r="AB14" s="450"/>
      <c r="AC14" s="451"/>
      <c r="AD14" s="450"/>
      <c r="AE14" s="451"/>
    </row>
    <row r="15" spans="1:32" ht="12.75" customHeight="1" x14ac:dyDescent="0.25">
      <c r="H15" s="455" t="s">
        <v>15</v>
      </c>
      <c r="I15" s="456"/>
      <c r="J15" s="456"/>
      <c r="K15" s="456"/>
      <c r="L15" s="457"/>
      <c r="M15" s="167">
        <f>M9+M10+M11+M12+M13+M14</f>
        <v>0</v>
      </c>
      <c r="N15" s="167">
        <f>N9+N10+N11+N12+N13+N14</f>
        <v>0</v>
      </c>
      <c r="Q15" s="447" t="s">
        <v>1497</v>
      </c>
      <c r="R15" s="448"/>
      <c r="S15" s="448"/>
      <c r="T15" s="448"/>
      <c r="U15" s="448"/>
      <c r="V15" s="448"/>
      <c r="W15" s="448"/>
      <c r="X15" s="448"/>
      <c r="Y15" s="448"/>
      <c r="Z15" s="448"/>
      <c r="AA15" s="449"/>
      <c r="AB15" s="450"/>
      <c r="AC15" s="451"/>
      <c r="AD15" s="450"/>
      <c r="AE15" s="451"/>
    </row>
    <row r="16" spans="1:32" ht="12.75" customHeight="1" x14ac:dyDescent="0.25">
      <c r="N16" s="171"/>
      <c r="Q16" s="435" t="s">
        <v>15</v>
      </c>
      <c r="R16" s="448"/>
      <c r="S16" s="448"/>
      <c r="T16" s="448"/>
      <c r="U16" s="448"/>
      <c r="V16" s="448"/>
      <c r="W16" s="448"/>
      <c r="X16" s="448"/>
      <c r="Y16" s="448"/>
      <c r="Z16" s="448"/>
      <c r="AA16" s="449"/>
      <c r="AB16" s="458">
        <f>SUM(AB13:AC15)</f>
        <v>0</v>
      </c>
      <c r="AC16" s="459"/>
      <c r="AD16" s="458">
        <f>SUM(AD13:AE15)</f>
        <v>0</v>
      </c>
      <c r="AE16" s="459"/>
      <c r="AF16" s="160"/>
    </row>
    <row r="17" spans="1:32" ht="12.75" customHeight="1" x14ac:dyDescent="0.25">
      <c r="A17" s="460" t="s">
        <v>1493</v>
      </c>
      <c r="B17" s="461"/>
      <c r="C17" s="461"/>
      <c r="D17" s="461"/>
      <c r="E17" s="461"/>
      <c r="F17" s="462" t="s">
        <v>1498</v>
      </c>
      <c r="G17" s="463"/>
      <c r="H17" s="463"/>
      <c r="I17" s="463"/>
      <c r="J17" s="463"/>
      <c r="K17" s="463"/>
      <c r="L17" s="463"/>
      <c r="M17" s="463"/>
      <c r="N17" s="463"/>
      <c r="O17" s="463"/>
      <c r="P17" s="463"/>
      <c r="Q17" s="463"/>
      <c r="R17" s="463"/>
      <c r="S17" s="463"/>
      <c r="T17" s="463"/>
      <c r="U17" s="463"/>
      <c r="V17" s="463"/>
      <c r="W17" s="463"/>
      <c r="X17" s="463"/>
      <c r="Y17" s="463"/>
      <c r="Z17" s="463"/>
      <c r="AA17" s="463"/>
      <c r="AD17" s="162"/>
      <c r="AE17" s="160"/>
      <c r="AF17" s="160"/>
    </row>
    <row r="18" spans="1:32" ht="12.75" customHeight="1" x14ac:dyDescent="0.25">
      <c r="A18" s="460" t="s">
        <v>1494</v>
      </c>
      <c r="B18" s="461"/>
      <c r="C18" s="461"/>
      <c r="D18" s="461"/>
      <c r="E18" s="461"/>
      <c r="F18" s="462" t="s">
        <v>1499</v>
      </c>
      <c r="G18" s="463"/>
      <c r="H18" s="463"/>
      <c r="I18" s="463"/>
      <c r="J18" s="463"/>
      <c r="K18" s="463"/>
      <c r="L18" s="463"/>
      <c r="M18" s="463"/>
      <c r="N18" s="463"/>
      <c r="O18" s="463"/>
      <c r="P18" s="463"/>
      <c r="Q18" s="463"/>
      <c r="R18" s="463"/>
      <c r="S18" s="463"/>
      <c r="T18" s="463"/>
      <c r="U18" s="463"/>
      <c r="V18" s="463"/>
      <c r="W18" s="463"/>
      <c r="X18" s="463"/>
      <c r="Y18" s="463"/>
      <c r="Z18" s="172"/>
      <c r="AA18" s="172"/>
      <c r="AD18" s="162"/>
      <c r="AE18" s="160"/>
      <c r="AF18" s="160"/>
    </row>
    <row r="19" spans="1:32" ht="12.75" customHeight="1" x14ac:dyDescent="0.25">
      <c r="A19" s="460" t="s">
        <v>14</v>
      </c>
      <c r="B19" s="464"/>
      <c r="C19" s="464"/>
      <c r="D19" s="464"/>
      <c r="E19" s="465"/>
      <c r="F19" s="173" t="s">
        <v>1500</v>
      </c>
      <c r="G19" s="174"/>
      <c r="H19" s="174"/>
      <c r="I19" s="174"/>
      <c r="J19" s="174"/>
      <c r="K19" s="174"/>
      <c r="L19" s="174"/>
      <c r="M19" s="175"/>
      <c r="N19" s="173"/>
      <c r="O19" s="172"/>
      <c r="P19" s="172"/>
      <c r="Q19" s="172"/>
      <c r="R19" s="172"/>
      <c r="S19" s="172"/>
      <c r="T19" s="172"/>
      <c r="U19" s="172"/>
      <c r="V19" s="172"/>
      <c r="W19" s="172"/>
      <c r="X19" s="172"/>
      <c r="Y19" s="172"/>
      <c r="Z19" s="172"/>
      <c r="AA19" s="172"/>
      <c r="AE19" s="160"/>
      <c r="AF19" s="160"/>
    </row>
    <row r="20" spans="1:32" ht="12.75" customHeight="1" x14ac:dyDescent="0.25">
      <c r="D20" s="168"/>
      <c r="E20" s="168"/>
      <c r="G20" s="176"/>
      <c r="H20" s="176"/>
      <c r="I20" s="176"/>
      <c r="J20" s="176"/>
      <c r="K20" s="176"/>
      <c r="L20" s="176"/>
      <c r="M20" s="177"/>
      <c r="N20" s="162"/>
      <c r="AE20" s="160"/>
      <c r="AF20" s="160"/>
    </row>
    <row r="21" spans="1:32" ht="15" customHeight="1" x14ac:dyDescent="0.25">
      <c r="A21" s="454" t="s">
        <v>1501</v>
      </c>
      <c r="B21" s="454"/>
      <c r="C21" s="454"/>
      <c r="D21" s="454"/>
      <c r="E21" s="454"/>
      <c r="F21" s="454"/>
      <c r="G21" s="454"/>
      <c r="H21" s="454"/>
      <c r="I21" s="454"/>
      <c r="J21" s="454"/>
      <c r="K21" s="454"/>
      <c r="L21" s="454"/>
      <c r="M21" s="454"/>
    </row>
    <row r="22" spans="1:32" ht="15" customHeight="1" x14ac:dyDescent="0.25">
      <c r="A22" s="466" t="s">
        <v>1502</v>
      </c>
      <c r="B22" s="466"/>
      <c r="C22" s="466"/>
      <c r="D22" s="466"/>
      <c r="E22" s="466"/>
      <c r="F22" s="466"/>
      <c r="G22" s="467"/>
      <c r="H22" s="467"/>
      <c r="I22" s="467"/>
      <c r="J22" s="467"/>
      <c r="K22" s="467"/>
      <c r="L22" s="467"/>
      <c r="M22" s="467"/>
    </row>
    <row r="23" spans="1:32" ht="15" customHeight="1" x14ac:dyDescent="0.25">
      <c r="A23" s="160"/>
      <c r="G23" s="468" t="s">
        <v>1503</v>
      </c>
      <c r="H23" s="469"/>
      <c r="I23" s="469"/>
      <c r="J23" s="469"/>
      <c r="K23" s="469"/>
      <c r="L23" s="470"/>
      <c r="M23" s="178"/>
    </row>
    <row r="24" spans="1:32" ht="15" customHeight="1" x14ac:dyDescent="0.25">
      <c r="D24" s="168"/>
      <c r="E24" s="168"/>
      <c r="G24" s="471" t="s">
        <v>1504</v>
      </c>
      <c r="H24" s="472"/>
      <c r="I24" s="472"/>
      <c r="J24" s="472"/>
      <c r="K24" s="472"/>
      <c r="L24" s="473"/>
      <c r="M24" s="178"/>
    </row>
    <row r="25" spans="1:32" ht="15" customHeight="1" x14ac:dyDescent="0.25">
      <c r="D25" s="168"/>
      <c r="E25" s="168"/>
      <c r="G25" s="471" t="s">
        <v>1505</v>
      </c>
      <c r="H25" s="472"/>
      <c r="I25" s="472"/>
      <c r="J25" s="472"/>
      <c r="K25" s="472"/>
      <c r="L25" s="473"/>
      <c r="M25" s="178"/>
    </row>
    <row r="26" spans="1:32" ht="15" customHeight="1" x14ac:dyDescent="0.25">
      <c r="D26" s="168"/>
      <c r="E26" s="168"/>
      <c r="F26" s="162"/>
      <c r="G26" s="471" t="s">
        <v>1506</v>
      </c>
      <c r="H26" s="472"/>
      <c r="I26" s="472"/>
      <c r="J26" s="472"/>
      <c r="K26" s="472"/>
      <c r="L26" s="473"/>
      <c r="M26" s="178"/>
    </row>
    <row r="50" spans="12:27" ht="13.5" customHeight="1" x14ac:dyDescent="0.25">
      <c r="L50" s="179" t="s">
        <v>19</v>
      </c>
      <c r="M50" s="179"/>
      <c r="N50" s="179"/>
      <c r="O50" s="179"/>
      <c r="P50" s="168"/>
      <c r="Q50" s="160"/>
      <c r="R50" s="160"/>
      <c r="S50" s="160"/>
      <c r="T50" s="160"/>
      <c r="U50" s="160"/>
      <c r="V50" s="160"/>
      <c r="W50" s="160"/>
      <c r="X50" s="160"/>
      <c r="Y50" s="160"/>
      <c r="Z50" s="160"/>
      <c r="AA50" s="160"/>
    </row>
    <row r="51" spans="12:27" ht="13.5" customHeight="1" x14ac:dyDescent="0.25">
      <c r="L51" s="180" t="s">
        <v>9</v>
      </c>
      <c r="M51" s="180"/>
      <c r="N51" s="180" t="s">
        <v>10</v>
      </c>
      <c r="O51" s="180"/>
      <c r="P51" s="179"/>
      <c r="Q51" s="181"/>
      <c r="R51" s="181"/>
      <c r="S51" s="181"/>
      <c r="T51" s="181"/>
      <c r="U51" s="179"/>
      <c r="V51" s="179"/>
      <c r="W51" s="179"/>
      <c r="X51" s="179"/>
      <c r="Y51" s="179"/>
      <c r="Z51" s="179"/>
      <c r="AA51" s="179"/>
    </row>
    <row r="52" spans="12:27" ht="15.75" customHeight="1" x14ac:dyDescent="0.25">
      <c r="L52" s="182"/>
      <c r="M52" s="182"/>
      <c r="N52" s="182"/>
      <c r="O52" s="182"/>
      <c r="P52" s="180"/>
      <c r="Q52" s="183"/>
      <c r="R52" s="183"/>
      <c r="S52" s="183"/>
      <c r="T52" s="183"/>
      <c r="U52" s="180"/>
      <c r="V52" s="180"/>
      <c r="W52" s="180"/>
      <c r="X52" s="180"/>
      <c r="Y52" s="183"/>
      <c r="Z52" s="183"/>
      <c r="AA52" s="183"/>
    </row>
    <row r="53" spans="12:27" ht="15" customHeight="1" x14ac:dyDescent="0.25">
      <c r="L53" s="182"/>
      <c r="M53" s="182"/>
      <c r="N53" s="182"/>
      <c r="O53" s="182"/>
      <c r="P53" s="160"/>
      <c r="Q53" s="160"/>
      <c r="R53" s="160"/>
      <c r="S53" s="160"/>
      <c r="T53" s="160"/>
      <c r="U53" s="160"/>
      <c r="V53" s="160"/>
      <c r="W53" s="160"/>
      <c r="X53" s="160"/>
      <c r="Y53" s="160"/>
      <c r="Z53" s="160"/>
      <c r="AA53" s="160"/>
    </row>
    <row r="54" spans="12:27" ht="15.75" customHeight="1" x14ac:dyDescent="0.25">
      <c r="L54" s="184">
        <f>SUM(L52:M53)</f>
        <v>0</v>
      </c>
      <c r="M54" s="184"/>
      <c r="N54" s="184">
        <f>SUM(N52:O53)</f>
        <v>0</v>
      </c>
      <c r="O54" s="184"/>
    </row>
    <row r="55" spans="12:27" ht="15.75" customHeight="1" x14ac:dyDescent="0.25">
      <c r="Y55" s="179" t="s">
        <v>1507</v>
      </c>
      <c r="Z55" s="179"/>
      <c r="AA55" s="179"/>
    </row>
    <row r="56" spans="12:27" ht="15.75" customHeight="1" x14ac:dyDescent="0.25">
      <c r="Y56" s="183" t="s">
        <v>9</v>
      </c>
      <c r="Z56" s="183"/>
      <c r="AA56" s="183" t="s">
        <v>10</v>
      </c>
    </row>
  </sheetData>
  <mergeCells count="71">
    <mergeCell ref="A22:M22"/>
    <mergeCell ref="G23:L23"/>
    <mergeCell ref="G24:L24"/>
    <mergeCell ref="G25:L25"/>
    <mergeCell ref="G26:L26"/>
    <mergeCell ref="A21:M21"/>
    <mergeCell ref="H15:L15"/>
    <mergeCell ref="Q15:AA15"/>
    <mergeCell ref="AB15:AC15"/>
    <mergeCell ref="AD15:AE15"/>
    <mergeCell ref="Q16:AA16"/>
    <mergeCell ref="AB16:AC16"/>
    <mergeCell ref="AD16:AE16"/>
    <mergeCell ref="A17:E17"/>
    <mergeCell ref="F17:AA17"/>
    <mergeCell ref="A18:E18"/>
    <mergeCell ref="F18:Y18"/>
    <mergeCell ref="A19:E19"/>
    <mergeCell ref="H14:L14"/>
    <mergeCell ref="Q14:AA14"/>
    <mergeCell ref="AB14:AC14"/>
    <mergeCell ref="AD14:AE14"/>
    <mergeCell ref="AE9:AF9"/>
    <mergeCell ref="AB11:AE11"/>
    <mergeCell ref="AB12:AC12"/>
    <mergeCell ref="AC9:AD9"/>
    <mergeCell ref="AD12:AE12"/>
    <mergeCell ref="H13:L13"/>
    <mergeCell ref="Q13:AA13"/>
    <mergeCell ref="AB13:AC13"/>
    <mergeCell ref="AD13:AE13"/>
    <mergeCell ref="A10:E10"/>
    <mergeCell ref="H10:L10"/>
    <mergeCell ref="A11:E11"/>
    <mergeCell ref="H11:L11"/>
    <mergeCell ref="Q11:Z12"/>
    <mergeCell ref="A12:E12"/>
    <mergeCell ref="H12:L12"/>
    <mergeCell ref="A9:E9"/>
    <mergeCell ref="H9:L9"/>
    <mergeCell ref="Q9:X9"/>
    <mergeCell ref="Y9:Z9"/>
    <mergeCell ref="AA9:AB9"/>
    <mergeCell ref="AE7:AF7"/>
    <mergeCell ref="A8:E8"/>
    <mergeCell ref="Q8:X8"/>
    <mergeCell ref="Y8:Z8"/>
    <mergeCell ref="AA8:AB8"/>
    <mergeCell ref="AC8:AD8"/>
    <mergeCell ref="AE8:AF8"/>
    <mergeCell ref="Y6:Z6"/>
    <mergeCell ref="AA6:AB6"/>
    <mergeCell ref="AC6:AD6"/>
    <mergeCell ref="AE6:AF6"/>
    <mergeCell ref="A7:E7"/>
    <mergeCell ref="H7:L8"/>
    <mergeCell ref="M7:N7"/>
    <mergeCell ref="Q7:X7"/>
    <mergeCell ref="Y7:Z7"/>
    <mergeCell ref="AA7:AB7"/>
    <mergeCell ref="A5:F6"/>
    <mergeCell ref="H5:N6"/>
    <mergeCell ref="Q5:X6"/>
    <mergeCell ref="Y5:AB5"/>
    <mergeCell ref="AC5:AF5"/>
    <mergeCell ref="AC7:AD7"/>
    <mergeCell ref="A1:N2"/>
    <mergeCell ref="O1:Q2"/>
    <mergeCell ref="R1:AF1"/>
    <mergeCell ref="R2:AF2"/>
    <mergeCell ref="O3:AF3"/>
  </mergeCells>
  <dataValidations count="12">
    <dataValidation type="decimal" operator="lessThan" allowBlank="1" showInputMessage="1" showErrorMessage="1" prompt="Erro - Tem que introduzir um valor númerico inteiro" sqref="AB21 AB23" xr:uid="{CA669736-A3CE-41D9-A3FF-59DA69AE8B78}">
      <formula1>1000000000000</formula1>
    </dataValidation>
    <dataValidation type="list" allowBlank="1" showErrorMessage="1" sqref="K72" xr:uid="{1DDA1379-6601-4312-B2BD-59694CE97307}">
      <formula1>AguasResiduais</formula1>
    </dataValidation>
    <dataValidation type="decimal" operator="lessThan" allowBlank="1" showInputMessage="1" showErrorMessage="1" prompt="Erro - Tem que introduzir um valor númerico inteiro menor que 100" sqref="AB22" xr:uid="{D38453FA-1012-42EE-A5CA-30DB61107A90}">
      <formula1>100</formula1>
    </dataValidation>
    <dataValidation type="list" allowBlank="1" showErrorMessage="1" sqref="K73" xr:uid="{F6877D6C-42CE-442C-9671-EC17FDEF1C16}">
      <formula1>ResiduosSolidos</formula1>
    </dataValidation>
    <dataValidation type="decimal" allowBlank="1" showErrorMessage="1" sqref="H45 H39:H43 H47 H49 H51 H53 H55 H57 H59 H61 H63 H65 H67 H69 H71 H73 H75 H77 H79 H81 H83 H85 H87 H89 H91 H93 H95 H97 H99 H101 H103 H105 H107 H109 H111 H113 H115 H117 H119 H121 H123 H125 H127 H129 H131 H133 H135 H137 H139 H141 H143 H145 H147 H149 H151 H153 H155 H157 H159 H161 H163 H165 H167 H169 H171 H173 H175 H177 H179 H181 H183 H185 H187 H189 H191 H193 H195 H197 H199 H201 H203 H205 H207" xr:uid="{D6C918BF-9898-4466-BF74-A03ACF61023B}">
      <formula1>0</formula1>
      <formula2>10000000000</formula2>
    </dataValidation>
    <dataValidation type="custom" allowBlank="1" showInputMessage="1" showErrorMessage="1" prompt="Erro - O valor de &quot;F&quot; não pode ser superior ao valor de &quot;MF&quot;" sqref="J39:J43 J45" xr:uid="{2F586B3B-47E5-4B5E-A93B-CB2BF438C8BC}">
      <formula1>H39&gt;=J39</formula1>
    </dataValidation>
    <dataValidation type="list" allowBlank="1" showErrorMessage="1" sqref="G14 N20" xr:uid="{D64E588E-3E0F-482B-86A0-2F5E0903389B}">
      <formula1>NivelAcademico</formula1>
    </dataValidation>
    <dataValidation type="decimal" allowBlank="1" showInputMessage="1" showErrorMessage="1" prompt="Erro - Tem que introduzir um valor númerico inteiro" sqref="K77 N22 N24:N25 G33:G35 I33:I35 K33:K35 O33:O35 Q33:Q35 S33:S35 K67:K71 AA40:AA41 Y40:Y41 W40:W41 AC40:AC41 K58:K61 N52:N53 L52:L53 AC7:AC8 AD13:AD15 AB13:AB15 AA7:AA8 Y7:Y8 AE7:AE8" xr:uid="{DC907C70-CC19-4C11-8F6C-7E2F04DD21C8}">
      <formula1>0</formula1>
      <formula2>10000000000</formula2>
    </dataValidation>
    <dataValidation type="decimal" allowBlank="1" showInputMessage="1" showErrorMessage="1" prompt="Erro - Tem que introduzir um valor númerico inteiro" sqref="AA46 AE46 Y43 AA43 AC43 W43" xr:uid="{7CF087C6-E882-40E8-AACA-18954CD807B0}">
      <formula1>0</formula1>
      <formula2>100000000000000</formula2>
    </dataValidation>
    <dataValidation type="list" allowBlank="1" showErrorMessage="1" sqref="K74:K75" xr:uid="{D8AAF18E-306D-4158-A3DF-C0D813852AB9}">
      <formula1>SimNao</formula1>
    </dataValidation>
    <dataValidation type="custom" allowBlank="1" showInputMessage="1" showErrorMessage="1" prompt="Erro - O valor de &quot;F&quot; não pode ser superior ao valor de &quot;MF&quot;" sqref="I39:I43" xr:uid="{2F71F3B7-BCF4-4CB5-AC05-5264D4D723EB}">
      <formula1>H39&gt;=I39</formula1>
    </dataValidation>
    <dataValidation type="whole" allowBlank="1" showInputMessage="1" showErrorMessage="1" sqref="AF30:AF32 M23:M26 M19:M20" xr:uid="{80783FDC-C8CD-45CF-A74F-F87F8C877A5F}">
      <formula1>1</formula1>
      <formula2>1</formula2>
    </dataValidation>
  </dataValidations>
  <pageMargins left="0.16" right="0.09" top="0.21" bottom="0.12" header="0" footer="0"/>
  <pageSetup paperSize="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314"/>
  <sheetViews>
    <sheetView showGridLines="0" workbookViewId="0">
      <selection activeCell="S22" sqref="S22"/>
    </sheetView>
  </sheetViews>
  <sheetFormatPr defaultColWidth="9.140625" defaultRowHeight="15" x14ac:dyDescent="0.25"/>
  <cols>
    <col min="1" max="1" width="11.28515625" customWidth="1"/>
    <col min="2" max="11" width="8.5703125" customWidth="1"/>
  </cols>
  <sheetData>
    <row r="1" spans="1:13" ht="8.25" customHeight="1" x14ac:dyDescent="0.25">
      <c r="A1" s="35" t="s">
        <v>1115</v>
      </c>
    </row>
    <row r="2" spans="1:13" ht="21" x14ac:dyDescent="0.25">
      <c r="A2" s="477" t="s">
        <v>1158</v>
      </c>
      <c r="B2" s="477"/>
      <c r="C2" s="477"/>
      <c r="D2" s="477"/>
      <c r="E2" s="477"/>
      <c r="F2" s="477"/>
      <c r="G2" s="477"/>
      <c r="H2" s="477"/>
      <c r="I2" s="477"/>
      <c r="J2" s="477"/>
      <c r="K2" s="477"/>
    </row>
    <row r="3" spans="1:13" ht="9" customHeight="1" thickBot="1" x14ac:dyDescent="0.3">
      <c r="A3" s="35" t="s">
        <v>1115</v>
      </c>
    </row>
    <row r="4" spans="1:13" ht="15.75" thickTop="1" x14ac:dyDescent="0.25">
      <c r="A4" s="406" t="s">
        <v>1160</v>
      </c>
      <c r="B4" s="407"/>
      <c r="C4" s="407"/>
      <c r="D4" s="407"/>
      <c r="E4" s="407"/>
      <c r="F4" s="407"/>
      <c r="G4" s="407"/>
      <c r="H4" s="407"/>
      <c r="I4" s="407"/>
      <c r="J4" s="407"/>
      <c r="K4" s="407"/>
      <c r="L4" s="407"/>
      <c r="M4" s="408"/>
    </row>
    <row r="5" spans="1:13" ht="17.25" customHeight="1" x14ac:dyDescent="0.25">
      <c r="A5" s="38" t="s">
        <v>1151</v>
      </c>
      <c r="B5" s="312" t="s">
        <v>1128</v>
      </c>
      <c r="C5" s="313"/>
      <c r="D5" s="312" t="s">
        <v>1129</v>
      </c>
      <c r="E5" s="313"/>
      <c r="F5" s="312" t="s">
        <v>1130</v>
      </c>
      <c r="G5" s="313"/>
      <c r="H5" s="312" t="s">
        <v>1152</v>
      </c>
      <c r="I5" s="313"/>
      <c r="J5" s="263" t="s">
        <v>1131</v>
      </c>
      <c r="K5" s="264"/>
      <c r="L5" s="264"/>
      <c r="M5" s="486"/>
    </row>
    <row r="6" spans="1:13" x14ac:dyDescent="0.25">
      <c r="A6" s="91" t="s">
        <v>1115</v>
      </c>
      <c r="B6" s="314"/>
      <c r="C6" s="315"/>
      <c r="D6" s="314"/>
      <c r="E6" s="315"/>
      <c r="F6" s="314"/>
      <c r="G6" s="315"/>
      <c r="H6" s="314"/>
      <c r="I6" s="315"/>
      <c r="J6" s="263" t="s">
        <v>15</v>
      </c>
      <c r="K6" s="265"/>
      <c r="L6" s="263" t="s">
        <v>1153</v>
      </c>
      <c r="M6" s="486"/>
    </row>
    <row r="7" spans="1:13" ht="12.75" customHeight="1" x14ac:dyDescent="0.25">
      <c r="A7" s="57" t="s">
        <v>43</v>
      </c>
      <c r="B7" s="97" t="s">
        <v>9</v>
      </c>
      <c r="C7" s="97" t="s">
        <v>10</v>
      </c>
      <c r="D7" s="97" t="s">
        <v>9</v>
      </c>
      <c r="E7" s="97" t="s">
        <v>10</v>
      </c>
      <c r="F7" s="97" t="s">
        <v>9</v>
      </c>
      <c r="G7" s="97" t="s">
        <v>10</v>
      </c>
      <c r="H7" s="97" t="s">
        <v>9</v>
      </c>
      <c r="I7" s="97" t="s">
        <v>10</v>
      </c>
      <c r="J7" s="97" t="s">
        <v>9</v>
      </c>
      <c r="K7" s="97" t="s">
        <v>10</v>
      </c>
      <c r="L7" s="97" t="s">
        <v>9</v>
      </c>
      <c r="M7" s="98" t="s">
        <v>10</v>
      </c>
    </row>
    <row r="8" spans="1:13" x14ac:dyDescent="0.25">
      <c r="A8" s="79" t="s">
        <v>45</v>
      </c>
      <c r="B8" s="31"/>
      <c r="C8" s="31"/>
      <c r="D8" s="31"/>
      <c r="E8" s="31"/>
      <c r="F8" s="31"/>
      <c r="G8" s="31"/>
      <c r="H8" s="31"/>
      <c r="I8" s="31"/>
      <c r="J8" s="31"/>
      <c r="K8" s="31"/>
      <c r="L8" s="31"/>
      <c r="M8" s="80"/>
    </row>
    <row r="9" spans="1:13" x14ac:dyDescent="0.25">
      <c r="A9" s="58" t="s">
        <v>61</v>
      </c>
      <c r="B9" s="31"/>
      <c r="C9" s="31"/>
      <c r="D9" s="31"/>
      <c r="E9" s="31"/>
      <c r="F9" s="31"/>
      <c r="G9" s="31"/>
      <c r="H9" s="31"/>
      <c r="I9" s="31"/>
      <c r="J9" s="31"/>
      <c r="K9" s="31"/>
      <c r="L9" s="31"/>
      <c r="M9" s="80"/>
    </row>
    <row r="10" spans="1:13" x14ac:dyDescent="0.25">
      <c r="A10" s="58" t="s">
        <v>57</v>
      </c>
      <c r="B10" s="31"/>
      <c r="C10" s="31"/>
      <c r="D10" s="31"/>
      <c r="E10" s="31"/>
      <c r="F10" s="31"/>
      <c r="G10" s="31"/>
      <c r="H10" s="31"/>
      <c r="I10" s="31"/>
      <c r="J10" s="31"/>
      <c r="K10" s="31"/>
      <c r="L10" s="31"/>
      <c r="M10" s="80"/>
    </row>
    <row r="11" spans="1:13" x14ac:dyDescent="0.25">
      <c r="A11" s="58" t="s">
        <v>58</v>
      </c>
      <c r="B11" s="31"/>
      <c r="C11" s="31"/>
      <c r="D11" s="31"/>
      <c r="E11" s="31"/>
      <c r="F11" s="31"/>
      <c r="G11" s="31"/>
      <c r="H11" s="31"/>
      <c r="I11" s="31"/>
      <c r="J11" s="31"/>
      <c r="K11" s="31"/>
      <c r="L11" s="31"/>
      <c r="M11" s="80"/>
    </row>
    <row r="12" spans="1:13" x14ac:dyDescent="0.25">
      <c r="A12" s="58" t="s">
        <v>62</v>
      </c>
      <c r="B12" s="31"/>
      <c r="C12" s="31"/>
      <c r="D12" s="31"/>
      <c r="E12" s="31"/>
      <c r="F12" s="31"/>
      <c r="G12" s="31"/>
      <c r="H12" s="31"/>
      <c r="I12" s="31"/>
      <c r="J12" s="31"/>
      <c r="K12" s="31"/>
      <c r="L12" s="31"/>
      <c r="M12" s="80"/>
    </row>
    <row r="13" spans="1:13" x14ac:dyDescent="0.25">
      <c r="A13" s="58" t="s">
        <v>59</v>
      </c>
      <c r="B13" s="31"/>
      <c r="C13" s="31"/>
      <c r="D13" s="31"/>
      <c r="E13" s="31"/>
      <c r="F13" s="31"/>
      <c r="G13" s="31"/>
      <c r="H13" s="31"/>
      <c r="I13" s="31"/>
      <c r="J13" s="31"/>
      <c r="K13" s="31"/>
      <c r="L13" s="31"/>
      <c r="M13" s="80"/>
    </row>
    <row r="14" spans="1:13" x14ac:dyDescent="0.25">
      <c r="A14" s="58" t="s">
        <v>60</v>
      </c>
      <c r="B14" s="29"/>
      <c r="C14" s="29"/>
      <c r="D14" s="29"/>
      <c r="E14" s="29"/>
      <c r="F14" s="29"/>
      <c r="G14" s="29"/>
      <c r="H14" s="29"/>
      <c r="I14" s="29"/>
      <c r="J14" s="29"/>
      <c r="K14" s="29"/>
      <c r="L14" s="29"/>
      <c r="M14" s="30"/>
    </row>
    <row r="15" spans="1:13" ht="15.75" thickBot="1" x14ac:dyDescent="0.3">
      <c r="A15" s="68" t="s">
        <v>15</v>
      </c>
      <c r="B15" s="62">
        <f>SUM(B8:B14)</f>
        <v>0</v>
      </c>
      <c r="C15" s="62">
        <f t="shared" ref="C15:L15" si="0">SUM(C8:C14)</f>
        <v>0</v>
      </c>
      <c r="D15" s="62">
        <f t="shared" si="0"/>
        <v>0</v>
      </c>
      <c r="E15" s="62">
        <f t="shared" si="0"/>
        <v>0</v>
      </c>
      <c r="F15" s="62">
        <f t="shared" si="0"/>
        <v>0</v>
      </c>
      <c r="G15" s="62">
        <f t="shared" si="0"/>
        <v>0</v>
      </c>
      <c r="H15" s="62">
        <f t="shared" si="0"/>
        <v>0</v>
      </c>
      <c r="I15" s="62">
        <f t="shared" si="0"/>
        <v>0</v>
      </c>
      <c r="J15" s="62">
        <f t="shared" si="0"/>
        <v>0</v>
      </c>
      <c r="K15" s="62">
        <f t="shared" si="0"/>
        <v>0</v>
      </c>
      <c r="L15" s="62">
        <f t="shared" si="0"/>
        <v>0</v>
      </c>
      <c r="M15" s="63">
        <f>SUM(M8:M14)</f>
        <v>0</v>
      </c>
    </row>
    <row r="16" spans="1:13" ht="15.75" thickTop="1" x14ac:dyDescent="0.25">
      <c r="A16" s="35" t="s">
        <v>1115</v>
      </c>
    </row>
    <row r="17" spans="1:14" x14ac:dyDescent="0.25">
      <c r="A17" s="35" t="s">
        <v>1115</v>
      </c>
    </row>
    <row r="18" spans="1:14" x14ac:dyDescent="0.25">
      <c r="A18" s="35" t="s">
        <v>1115</v>
      </c>
    </row>
    <row r="19" spans="1:14" x14ac:dyDescent="0.25">
      <c r="A19" s="485" t="s">
        <v>1154</v>
      </c>
      <c r="B19" s="485"/>
      <c r="C19" s="485"/>
      <c r="D19" s="485"/>
      <c r="E19" s="485"/>
      <c r="F19" s="485"/>
      <c r="G19" s="485"/>
      <c r="H19" s="485"/>
      <c r="I19" s="485"/>
      <c r="J19" s="485"/>
      <c r="K19" s="485"/>
      <c r="L19" s="485"/>
      <c r="M19" s="485"/>
      <c r="N19" s="485"/>
    </row>
    <row r="20" spans="1:14" ht="15" customHeight="1" x14ac:dyDescent="0.25">
      <c r="A20" s="482" t="s">
        <v>1155</v>
      </c>
      <c r="B20" s="482"/>
      <c r="C20" s="482"/>
      <c r="D20" s="482"/>
      <c r="E20" s="482"/>
      <c r="F20" s="482"/>
      <c r="G20" s="482"/>
      <c r="H20" s="482"/>
      <c r="I20" s="482"/>
      <c r="J20" s="482"/>
      <c r="K20" s="482"/>
      <c r="L20" s="482"/>
      <c r="M20" s="482"/>
      <c r="N20" s="482"/>
    </row>
    <row r="21" spans="1:14" x14ac:dyDescent="0.25">
      <c r="A21" s="482"/>
      <c r="B21" s="482"/>
      <c r="C21" s="482"/>
      <c r="D21" s="482"/>
      <c r="E21" s="482"/>
      <c r="F21" s="482"/>
      <c r="G21" s="482"/>
      <c r="H21" s="482"/>
      <c r="I21" s="482"/>
      <c r="J21" s="482"/>
      <c r="K21" s="482"/>
      <c r="L21" s="482"/>
      <c r="M21" s="482"/>
      <c r="N21" s="482"/>
    </row>
    <row r="22" spans="1:14" x14ac:dyDescent="0.25">
      <c r="A22" s="482"/>
      <c r="B22" s="482"/>
      <c r="C22" s="482"/>
      <c r="D22" s="482"/>
      <c r="E22" s="482"/>
      <c r="F22" s="482"/>
      <c r="G22" s="482"/>
      <c r="H22" s="482"/>
      <c r="I22" s="482"/>
      <c r="J22" s="482"/>
      <c r="K22" s="482"/>
      <c r="L22" s="482"/>
      <c r="M22" s="482"/>
      <c r="N22" s="482"/>
    </row>
    <row r="23" spans="1:14" ht="21.75" customHeight="1" x14ac:dyDescent="0.25">
      <c r="A23" s="482"/>
      <c r="B23" s="482"/>
      <c r="C23" s="482"/>
      <c r="D23" s="482"/>
      <c r="E23" s="482"/>
      <c r="F23" s="482"/>
      <c r="G23" s="482"/>
      <c r="H23" s="482"/>
      <c r="I23" s="482"/>
      <c r="J23" s="482"/>
      <c r="K23" s="482"/>
      <c r="L23" s="482"/>
      <c r="M23" s="482"/>
      <c r="N23" s="482"/>
    </row>
    <row r="24" spans="1:14" ht="15.75" x14ac:dyDescent="0.25">
      <c r="A24" s="81" t="s">
        <v>1156</v>
      </c>
      <c r="B24" s="82"/>
      <c r="C24" s="82"/>
      <c r="D24" s="82"/>
      <c r="E24" s="82"/>
      <c r="F24" s="82"/>
      <c r="G24" s="82"/>
      <c r="H24" s="483"/>
      <c r="I24" s="483"/>
      <c r="J24" s="483"/>
      <c r="K24" s="483"/>
      <c r="L24" s="483"/>
      <c r="M24" s="484"/>
    </row>
    <row r="25" spans="1:14" x14ac:dyDescent="0.25">
      <c r="A25" s="39" t="s">
        <v>1115</v>
      </c>
      <c r="B25" s="83"/>
      <c r="C25" s="83"/>
      <c r="D25" s="83"/>
      <c r="E25" s="83"/>
      <c r="F25" s="83"/>
      <c r="G25" s="83"/>
      <c r="H25" s="83"/>
      <c r="I25" s="83"/>
      <c r="J25" s="83"/>
      <c r="K25" s="83"/>
    </row>
    <row r="26" spans="1:14" ht="15.75" x14ac:dyDescent="0.25">
      <c r="A26" s="81" t="s">
        <v>1157</v>
      </c>
      <c r="B26" s="82"/>
      <c r="C26" s="82"/>
      <c r="D26" s="82"/>
      <c r="E26" s="82"/>
      <c r="F26" s="82"/>
      <c r="G26" s="82"/>
      <c r="H26" s="483"/>
      <c r="I26" s="483"/>
      <c r="J26" s="483"/>
      <c r="K26" s="483"/>
      <c r="L26" s="483"/>
      <c r="M26" s="484"/>
    </row>
    <row r="27" spans="1:14" x14ac:dyDescent="0.25">
      <c r="A27" s="39" t="s">
        <v>1115</v>
      </c>
      <c r="B27" s="83"/>
      <c r="C27" s="83"/>
      <c r="D27" s="83"/>
      <c r="E27" s="83"/>
      <c r="F27" s="83"/>
      <c r="G27" s="83"/>
      <c r="H27" s="83"/>
      <c r="I27" s="83"/>
      <c r="J27" s="83"/>
      <c r="K27" s="83"/>
    </row>
    <row r="28" spans="1:14" x14ac:dyDescent="0.25">
      <c r="A28" s="39" t="s">
        <v>1115</v>
      </c>
      <c r="B28" s="84" t="s">
        <v>72</v>
      </c>
      <c r="C28" s="85"/>
      <c r="D28" s="85"/>
      <c r="E28" s="83"/>
      <c r="F28" s="83"/>
      <c r="G28" s="83"/>
      <c r="H28" s="84" t="s">
        <v>73</v>
      </c>
      <c r="I28" s="83"/>
      <c r="J28" s="85"/>
      <c r="K28" s="85"/>
    </row>
    <row r="29" spans="1:14" x14ac:dyDescent="0.25">
      <c r="A29" s="39" t="s">
        <v>1115</v>
      </c>
      <c r="B29" s="83"/>
      <c r="C29" s="84"/>
      <c r="D29" s="84"/>
      <c r="E29" s="83"/>
      <c r="F29" s="83"/>
      <c r="G29" s="83"/>
      <c r="H29" s="83"/>
      <c r="I29" s="84"/>
      <c r="J29" s="84"/>
      <c r="K29" s="84"/>
    </row>
    <row r="30" spans="1:14" x14ac:dyDescent="0.25">
      <c r="A30" s="39" t="s">
        <v>1115</v>
      </c>
      <c r="B30" s="84" t="s">
        <v>74</v>
      </c>
      <c r="C30" s="84"/>
      <c r="D30" s="84"/>
      <c r="E30" s="83"/>
      <c r="F30" s="83"/>
      <c r="G30" s="83"/>
      <c r="H30" s="84" t="s">
        <v>74</v>
      </c>
      <c r="I30" s="84"/>
      <c r="J30" s="84"/>
      <c r="K30" s="84"/>
    </row>
    <row r="31" spans="1:14" x14ac:dyDescent="0.25">
      <c r="A31" s="39" t="s">
        <v>1115</v>
      </c>
      <c r="B31" s="84" t="s">
        <v>75</v>
      </c>
      <c r="C31" s="84"/>
      <c r="D31" s="83"/>
      <c r="E31" s="83"/>
      <c r="F31" s="83"/>
      <c r="G31" s="83"/>
      <c r="H31" s="84" t="s">
        <v>76</v>
      </c>
      <c r="I31" s="84"/>
      <c r="J31" s="83"/>
      <c r="K31" s="83"/>
    </row>
    <row r="32" spans="1:14" x14ac:dyDescent="0.25">
      <c r="A32" s="39" t="s">
        <v>1115</v>
      </c>
      <c r="B32" s="83"/>
      <c r="C32" s="83"/>
      <c r="D32" s="83"/>
      <c r="E32" s="83"/>
      <c r="F32" s="83"/>
      <c r="G32" s="83"/>
      <c r="H32" s="83"/>
      <c r="I32" s="83"/>
      <c r="J32" s="83"/>
      <c r="K32" s="83"/>
    </row>
    <row r="33" spans="1:13" x14ac:dyDescent="0.25">
      <c r="A33" s="39" t="s">
        <v>1115</v>
      </c>
    </row>
    <row r="34" spans="1:13" ht="6.75" customHeight="1" x14ac:dyDescent="0.25">
      <c r="A34" s="39" t="s">
        <v>1115</v>
      </c>
    </row>
    <row r="35" spans="1:13" ht="21" x14ac:dyDescent="0.25">
      <c r="A35" s="477" t="s">
        <v>1159</v>
      </c>
      <c r="B35" s="477"/>
      <c r="C35" s="477"/>
      <c r="D35" s="477"/>
      <c r="E35" s="477"/>
      <c r="F35" s="477"/>
      <c r="G35" s="477"/>
      <c r="H35" s="477"/>
      <c r="I35" s="477"/>
      <c r="J35" s="477"/>
      <c r="K35" s="477"/>
    </row>
    <row r="36" spans="1:13" ht="15.75" thickBot="1" x14ac:dyDescent="0.3">
      <c r="A36" s="39" t="s">
        <v>1115</v>
      </c>
    </row>
    <row r="37" spans="1:13" ht="15.75" thickTop="1" x14ac:dyDescent="0.25">
      <c r="A37" s="406" t="s">
        <v>1161</v>
      </c>
      <c r="B37" s="407"/>
      <c r="C37" s="407"/>
      <c r="D37" s="407"/>
      <c r="E37" s="407"/>
      <c r="F37" s="407"/>
      <c r="G37" s="407"/>
      <c r="H37" s="407"/>
      <c r="I37" s="407"/>
      <c r="J37" s="407"/>
      <c r="K37" s="407"/>
      <c r="L37" s="407"/>
      <c r="M37" s="408"/>
    </row>
    <row r="38" spans="1:13" x14ac:dyDescent="0.25">
      <c r="A38" s="38" t="s">
        <v>1151</v>
      </c>
      <c r="B38" s="312" t="s">
        <v>1128</v>
      </c>
      <c r="C38" s="313"/>
      <c r="D38" s="312" t="s">
        <v>1129</v>
      </c>
      <c r="E38" s="313"/>
      <c r="F38" s="312" t="s">
        <v>1130</v>
      </c>
      <c r="G38" s="313"/>
      <c r="H38" s="312" t="s">
        <v>1152</v>
      </c>
      <c r="I38" s="313"/>
      <c r="J38" s="263" t="s">
        <v>1131</v>
      </c>
      <c r="K38" s="264"/>
      <c r="L38" s="264"/>
      <c r="M38" s="486"/>
    </row>
    <row r="39" spans="1:13" x14ac:dyDescent="0.25">
      <c r="A39" s="91" t="s">
        <v>1115</v>
      </c>
      <c r="B39" s="314"/>
      <c r="C39" s="315"/>
      <c r="D39" s="314"/>
      <c r="E39" s="315"/>
      <c r="F39" s="314"/>
      <c r="G39" s="315"/>
      <c r="H39" s="314"/>
      <c r="I39" s="315"/>
      <c r="J39" s="263" t="s">
        <v>15</v>
      </c>
      <c r="K39" s="265"/>
      <c r="L39" s="263" t="s">
        <v>1153</v>
      </c>
      <c r="M39" s="486"/>
    </row>
    <row r="40" spans="1:13" x14ac:dyDescent="0.25">
      <c r="A40" s="57" t="s">
        <v>43</v>
      </c>
      <c r="B40" s="97" t="s">
        <v>9</v>
      </c>
      <c r="C40" s="97" t="s">
        <v>10</v>
      </c>
      <c r="D40" s="97" t="s">
        <v>9</v>
      </c>
      <c r="E40" s="97" t="s">
        <v>10</v>
      </c>
      <c r="F40" s="97" t="s">
        <v>9</v>
      </c>
      <c r="G40" s="97" t="s">
        <v>10</v>
      </c>
      <c r="H40" s="97" t="s">
        <v>9</v>
      </c>
      <c r="I40" s="97" t="s">
        <v>10</v>
      </c>
      <c r="J40" s="97" t="s">
        <v>9</v>
      </c>
      <c r="K40" s="97" t="s">
        <v>10</v>
      </c>
      <c r="L40" s="97" t="s">
        <v>9</v>
      </c>
      <c r="M40" s="98" t="s">
        <v>10</v>
      </c>
    </row>
    <row r="41" spans="1:13" x14ac:dyDescent="0.25">
      <c r="A41" s="79" t="s">
        <v>45</v>
      </c>
      <c r="B41" s="31"/>
      <c r="C41" s="31"/>
      <c r="D41" s="31"/>
      <c r="E41" s="31"/>
      <c r="F41" s="31"/>
      <c r="G41" s="31"/>
      <c r="H41" s="31"/>
      <c r="I41" s="31"/>
      <c r="J41" s="31"/>
      <c r="K41" s="31"/>
      <c r="L41" s="31"/>
      <c r="M41" s="80"/>
    </row>
    <row r="42" spans="1:13" x14ac:dyDescent="0.25">
      <c r="A42" s="58" t="s">
        <v>61</v>
      </c>
      <c r="B42" s="31"/>
      <c r="C42" s="31"/>
      <c r="D42" s="31"/>
      <c r="E42" s="31"/>
      <c r="F42" s="31"/>
      <c r="G42" s="31"/>
      <c r="H42" s="31"/>
      <c r="I42" s="31"/>
      <c r="J42" s="31"/>
      <c r="K42" s="31"/>
      <c r="L42" s="31"/>
      <c r="M42" s="80"/>
    </row>
    <row r="43" spans="1:13" x14ac:dyDescent="0.25">
      <c r="A43" s="58" t="s">
        <v>57</v>
      </c>
      <c r="B43" s="31"/>
      <c r="C43" s="31"/>
      <c r="D43" s="31"/>
      <c r="E43" s="31"/>
      <c r="F43" s="31"/>
      <c r="G43" s="31"/>
      <c r="H43" s="31"/>
      <c r="I43" s="31"/>
      <c r="J43" s="31"/>
      <c r="K43" s="31"/>
      <c r="L43" s="31"/>
      <c r="M43" s="80"/>
    </row>
    <row r="44" spans="1:13" x14ac:dyDescent="0.25">
      <c r="A44" s="58" t="s">
        <v>58</v>
      </c>
      <c r="B44" s="31"/>
      <c r="C44" s="31"/>
      <c r="D44" s="31"/>
      <c r="E44" s="31"/>
      <c r="F44" s="31"/>
      <c r="G44" s="31"/>
      <c r="H44" s="31"/>
      <c r="I44" s="31"/>
      <c r="J44" s="31"/>
      <c r="K44" s="31"/>
      <c r="L44" s="31"/>
      <c r="M44" s="80"/>
    </row>
    <row r="45" spans="1:13" x14ac:dyDescent="0.25">
      <c r="A45" s="58" t="s">
        <v>62</v>
      </c>
      <c r="B45" s="31"/>
      <c r="C45" s="31"/>
      <c r="D45" s="31"/>
      <c r="E45" s="31"/>
      <c r="F45" s="31"/>
      <c r="G45" s="31"/>
      <c r="H45" s="31"/>
      <c r="I45" s="31"/>
      <c r="J45" s="31"/>
      <c r="K45" s="31"/>
      <c r="L45" s="31"/>
      <c r="M45" s="80"/>
    </row>
    <row r="46" spans="1:13" x14ac:dyDescent="0.25">
      <c r="A46" s="58" t="s">
        <v>59</v>
      </c>
      <c r="B46" s="31"/>
      <c r="C46" s="31"/>
      <c r="D46" s="31"/>
      <c r="E46" s="31"/>
      <c r="F46" s="31"/>
      <c r="G46" s="31"/>
      <c r="H46" s="31"/>
      <c r="I46" s="31"/>
      <c r="J46" s="31"/>
      <c r="K46" s="31"/>
      <c r="L46" s="31"/>
      <c r="M46" s="80"/>
    </row>
    <row r="47" spans="1:13" x14ac:dyDescent="0.25">
      <c r="A47" s="58" t="s">
        <v>60</v>
      </c>
      <c r="B47" s="29"/>
      <c r="C47" s="29"/>
      <c r="D47" s="29"/>
      <c r="E47" s="29"/>
      <c r="F47" s="29"/>
      <c r="G47" s="29"/>
      <c r="H47" s="29"/>
      <c r="I47" s="29"/>
      <c r="J47" s="29"/>
      <c r="K47" s="29"/>
      <c r="L47" s="29"/>
      <c r="M47" s="30"/>
    </row>
    <row r="48" spans="1:13" ht="15.75" thickBot="1" x14ac:dyDescent="0.3">
      <c r="A48" s="68" t="s">
        <v>15</v>
      </c>
      <c r="B48" s="62">
        <f>SUM(B41:B47)</f>
        <v>0</v>
      </c>
      <c r="C48" s="62">
        <f t="shared" ref="C48" si="1">SUM(C41:C47)</f>
        <v>0</v>
      </c>
      <c r="D48" s="62">
        <f t="shared" ref="D48" si="2">SUM(D41:D47)</f>
        <v>0</v>
      </c>
      <c r="E48" s="62">
        <f t="shared" ref="E48" si="3">SUM(E41:E47)</f>
        <v>0</v>
      </c>
      <c r="F48" s="62">
        <f t="shared" ref="F48" si="4">SUM(F41:F47)</f>
        <v>0</v>
      </c>
      <c r="G48" s="62">
        <f t="shared" ref="G48" si="5">SUM(G41:G47)</f>
        <v>0</v>
      </c>
      <c r="H48" s="62">
        <f t="shared" ref="H48" si="6">SUM(H41:H47)</f>
        <v>0</v>
      </c>
      <c r="I48" s="62">
        <f t="shared" ref="I48" si="7">SUM(I41:I47)</f>
        <v>0</v>
      </c>
      <c r="J48" s="62">
        <f t="shared" ref="J48" si="8">SUM(J41:J47)</f>
        <v>0</v>
      </c>
      <c r="K48" s="62">
        <f t="shared" ref="K48" si="9">SUM(K41:K47)</f>
        <v>0</v>
      </c>
      <c r="L48" s="62">
        <f t="shared" ref="L48" si="10">SUM(L41:L47)</f>
        <v>0</v>
      </c>
      <c r="M48" s="63">
        <f>SUM(M41:M47)</f>
        <v>0</v>
      </c>
    </row>
    <row r="49" spans="1:14" ht="15.75" thickTop="1" x14ac:dyDescent="0.25">
      <c r="A49" s="35" t="s">
        <v>1115</v>
      </c>
    </row>
    <row r="50" spans="1:14" x14ac:dyDescent="0.25">
      <c r="A50" s="35" t="s">
        <v>1115</v>
      </c>
    </row>
    <row r="51" spans="1:14" x14ac:dyDescent="0.25">
      <c r="A51" s="35" t="s">
        <v>1115</v>
      </c>
    </row>
    <row r="52" spans="1:14" x14ac:dyDescent="0.25">
      <c r="A52" s="485" t="s">
        <v>1154</v>
      </c>
      <c r="B52" s="485"/>
      <c r="C52" s="485"/>
      <c r="D52" s="485"/>
      <c r="E52" s="485"/>
      <c r="F52" s="485"/>
      <c r="G52" s="485"/>
      <c r="H52" s="485"/>
      <c r="I52" s="485"/>
      <c r="J52" s="485"/>
      <c r="K52" s="485"/>
      <c r="L52" s="485"/>
      <c r="M52" s="485"/>
      <c r="N52" s="485"/>
    </row>
    <row r="53" spans="1:14" x14ac:dyDescent="0.25">
      <c r="A53" s="482" t="s">
        <v>1155</v>
      </c>
      <c r="B53" s="482"/>
      <c r="C53" s="482"/>
      <c r="D53" s="482"/>
      <c r="E53" s="482"/>
      <c r="F53" s="482"/>
      <c r="G53" s="482"/>
      <c r="H53" s="482"/>
      <c r="I53" s="482"/>
      <c r="J53" s="482"/>
      <c r="K53" s="482"/>
      <c r="L53" s="482"/>
      <c r="M53" s="482"/>
      <c r="N53" s="482"/>
    </row>
    <row r="54" spans="1:14" x14ac:dyDescent="0.25">
      <c r="A54" s="482"/>
      <c r="B54" s="482"/>
      <c r="C54" s="482"/>
      <c r="D54" s="482"/>
      <c r="E54" s="482"/>
      <c r="F54" s="482"/>
      <c r="G54" s="482"/>
      <c r="H54" s="482"/>
      <c r="I54" s="482"/>
      <c r="J54" s="482"/>
      <c r="K54" s="482"/>
      <c r="L54" s="482"/>
      <c r="M54" s="482"/>
      <c r="N54" s="482"/>
    </row>
    <row r="55" spans="1:14" x14ac:dyDescent="0.25">
      <c r="A55" s="482"/>
      <c r="B55" s="482"/>
      <c r="C55" s="482"/>
      <c r="D55" s="482"/>
      <c r="E55" s="482"/>
      <c r="F55" s="482"/>
      <c r="G55" s="482"/>
      <c r="H55" s="482"/>
      <c r="I55" s="482"/>
      <c r="J55" s="482"/>
      <c r="K55" s="482"/>
      <c r="L55" s="482"/>
      <c r="M55" s="482"/>
      <c r="N55" s="482"/>
    </row>
    <row r="56" spans="1:14" x14ac:dyDescent="0.25">
      <c r="A56" s="482"/>
      <c r="B56" s="482"/>
      <c r="C56" s="482"/>
      <c r="D56" s="482"/>
      <c r="E56" s="482"/>
      <c r="F56" s="482"/>
      <c r="G56" s="482"/>
      <c r="H56" s="482"/>
      <c r="I56" s="482"/>
      <c r="J56" s="482"/>
      <c r="K56" s="482"/>
      <c r="L56" s="482"/>
      <c r="M56" s="482"/>
      <c r="N56" s="482"/>
    </row>
    <row r="57" spans="1:14" ht="15.75" x14ac:dyDescent="0.25">
      <c r="A57" s="81" t="s">
        <v>1156</v>
      </c>
      <c r="B57" s="82"/>
      <c r="C57" s="82"/>
      <c r="D57" s="82"/>
      <c r="E57" s="82"/>
      <c r="F57" s="82"/>
      <c r="G57" s="82"/>
      <c r="H57" s="483"/>
      <c r="I57" s="483"/>
      <c r="J57" s="483"/>
      <c r="K57" s="483"/>
      <c r="L57" s="483"/>
      <c r="M57" s="484"/>
    </row>
    <row r="58" spans="1:14" x14ac:dyDescent="0.25">
      <c r="A58" s="39" t="s">
        <v>1115</v>
      </c>
      <c r="B58" s="83"/>
      <c r="C58" s="83"/>
      <c r="D58" s="83"/>
      <c r="E58" s="83"/>
      <c r="F58" s="83"/>
      <c r="G58" s="83"/>
      <c r="H58" s="83"/>
      <c r="I58" s="83"/>
      <c r="J58" s="83"/>
      <c r="K58" s="83"/>
    </row>
    <row r="59" spans="1:14" ht="15.75" x14ac:dyDescent="0.25">
      <c r="A59" s="81" t="s">
        <v>1157</v>
      </c>
      <c r="B59" s="82"/>
      <c r="C59" s="82"/>
      <c r="D59" s="82"/>
      <c r="E59" s="82"/>
      <c r="F59" s="82"/>
      <c r="G59" s="82"/>
      <c r="H59" s="483"/>
      <c r="I59" s="483"/>
      <c r="J59" s="483"/>
      <c r="K59" s="483"/>
      <c r="L59" s="483"/>
      <c r="M59" s="484"/>
    </row>
    <row r="60" spans="1:14" x14ac:dyDescent="0.25">
      <c r="A60" s="39" t="s">
        <v>1115</v>
      </c>
      <c r="B60" s="83"/>
      <c r="C60" s="83"/>
      <c r="D60" s="83"/>
      <c r="E60" s="83"/>
      <c r="F60" s="83"/>
      <c r="G60" s="83"/>
      <c r="H60" s="83"/>
      <c r="I60" s="83"/>
      <c r="J60" s="83"/>
      <c r="K60" s="83"/>
    </row>
    <row r="61" spans="1:14" x14ac:dyDescent="0.25">
      <c r="A61" s="39" t="s">
        <v>1115</v>
      </c>
      <c r="B61" s="84" t="s">
        <v>72</v>
      </c>
      <c r="C61" s="85"/>
      <c r="D61" s="85"/>
      <c r="E61" s="83"/>
      <c r="F61" s="83"/>
      <c r="G61" s="83"/>
      <c r="H61" s="84" t="s">
        <v>73</v>
      </c>
      <c r="I61" s="83"/>
      <c r="J61" s="85"/>
      <c r="K61" s="85"/>
    </row>
    <row r="62" spans="1:14" x14ac:dyDescent="0.25">
      <c r="A62" s="39" t="s">
        <v>1115</v>
      </c>
      <c r="B62" s="83"/>
      <c r="C62" s="84"/>
      <c r="D62" s="84"/>
      <c r="E62" s="83"/>
      <c r="F62" s="83"/>
      <c r="G62" s="83"/>
      <c r="H62" s="83"/>
      <c r="I62" s="84"/>
      <c r="J62" s="84"/>
      <c r="K62" s="84"/>
    </row>
    <row r="63" spans="1:14" x14ac:dyDescent="0.25">
      <c r="A63" s="39" t="s">
        <v>1115</v>
      </c>
      <c r="B63" s="84" t="s">
        <v>74</v>
      </c>
      <c r="C63" s="84"/>
      <c r="D63" s="84"/>
      <c r="E63" s="83"/>
      <c r="F63" s="83"/>
      <c r="G63" s="83"/>
      <c r="H63" s="84" t="s">
        <v>74</v>
      </c>
      <c r="I63" s="84"/>
      <c r="J63" s="84"/>
      <c r="K63" s="84"/>
    </row>
    <row r="64" spans="1:14" x14ac:dyDescent="0.25">
      <c r="A64" s="39" t="s">
        <v>1115</v>
      </c>
      <c r="B64" s="84" t="s">
        <v>75</v>
      </c>
      <c r="C64" s="84"/>
      <c r="D64" s="83"/>
      <c r="E64" s="83"/>
      <c r="F64" s="83"/>
      <c r="G64" s="83"/>
      <c r="H64" s="84" t="s">
        <v>76</v>
      </c>
      <c r="I64" s="84"/>
      <c r="J64" s="83"/>
      <c r="K64" s="83"/>
    </row>
    <row r="65" spans="1:13" x14ac:dyDescent="0.25">
      <c r="A65" s="39" t="s">
        <v>1115</v>
      </c>
      <c r="B65" s="83"/>
      <c r="C65" s="83"/>
      <c r="D65" s="83"/>
      <c r="E65" s="83"/>
      <c r="F65" s="83"/>
      <c r="G65" s="83"/>
      <c r="H65" s="83"/>
      <c r="I65" s="83"/>
      <c r="J65" s="83"/>
      <c r="K65" s="83"/>
    </row>
    <row r="66" spans="1:13" x14ac:dyDescent="0.25">
      <c r="A66" s="39" t="s">
        <v>1115</v>
      </c>
    </row>
    <row r="67" spans="1:13" ht="8.25" customHeight="1" x14ac:dyDescent="0.25">
      <c r="A67" s="39" t="s">
        <v>1115</v>
      </c>
    </row>
    <row r="68" spans="1:13" ht="21" x14ac:dyDescent="0.25">
      <c r="A68" s="477" t="s">
        <v>1163</v>
      </c>
      <c r="B68" s="477"/>
      <c r="C68" s="477"/>
      <c r="D68" s="477"/>
      <c r="E68" s="477"/>
      <c r="F68" s="477"/>
      <c r="G68" s="477"/>
      <c r="H68" s="477"/>
      <c r="I68" s="477"/>
      <c r="J68" s="477"/>
      <c r="K68" s="477"/>
    </row>
    <row r="69" spans="1:13" ht="15.75" thickBot="1" x14ac:dyDescent="0.3">
      <c r="A69" s="39" t="s">
        <v>1115</v>
      </c>
    </row>
    <row r="70" spans="1:13" ht="15.75" thickTop="1" x14ac:dyDescent="0.25">
      <c r="A70" s="406" t="s">
        <v>1162</v>
      </c>
      <c r="B70" s="407"/>
      <c r="C70" s="407"/>
      <c r="D70" s="407"/>
      <c r="E70" s="407"/>
      <c r="F70" s="407"/>
      <c r="G70" s="407"/>
      <c r="H70" s="407"/>
      <c r="I70" s="407"/>
      <c r="J70" s="407"/>
      <c r="K70" s="407"/>
      <c r="L70" s="407"/>
      <c r="M70" s="408"/>
    </row>
    <row r="71" spans="1:13" x14ac:dyDescent="0.25">
      <c r="A71" s="38" t="s">
        <v>1151</v>
      </c>
      <c r="B71" s="312" t="s">
        <v>1128</v>
      </c>
      <c r="C71" s="313"/>
      <c r="D71" s="312" t="s">
        <v>1129</v>
      </c>
      <c r="E71" s="313"/>
      <c r="F71" s="312" t="s">
        <v>1130</v>
      </c>
      <c r="G71" s="313"/>
      <c r="H71" s="312" t="s">
        <v>1152</v>
      </c>
      <c r="I71" s="313"/>
      <c r="J71" s="263" t="s">
        <v>1131</v>
      </c>
      <c r="K71" s="264"/>
      <c r="L71" s="264"/>
      <c r="M71" s="486"/>
    </row>
    <row r="72" spans="1:13" x14ac:dyDescent="0.25">
      <c r="A72" s="91" t="s">
        <v>1115</v>
      </c>
      <c r="B72" s="314"/>
      <c r="C72" s="315"/>
      <c r="D72" s="314"/>
      <c r="E72" s="315"/>
      <c r="F72" s="314"/>
      <c r="G72" s="315"/>
      <c r="H72" s="314"/>
      <c r="I72" s="315"/>
      <c r="J72" s="263" t="s">
        <v>15</v>
      </c>
      <c r="K72" s="265"/>
      <c r="L72" s="263" t="s">
        <v>1153</v>
      </c>
      <c r="M72" s="486"/>
    </row>
    <row r="73" spans="1:13" x14ac:dyDescent="0.25">
      <c r="A73" s="57" t="s">
        <v>43</v>
      </c>
      <c r="B73" s="97" t="s">
        <v>9</v>
      </c>
      <c r="C73" s="97" t="s">
        <v>10</v>
      </c>
      <c r="D73" s="97" t="s">
        <v>9</v>
      </c>
      <c r="E73" s="97" t="s">
        <v>10</v>
      </c>
      <c r="F73" s="97" t="s">
        <v>9</v>
      </c>
      <c r="G73" s="97" t="s">
        <v>10</v>
      </c>
      <c r="H73" s="97" t="s">
        <v>9</v>
      </c>
      <c r="I73" s="97" t="s">
        <v>10</v>
      </c>
      <c r="J73" s="97" t="s">
        <v>9</v>
      </c>
      <c r="K73" s="97" t="s">
        <v>10</v>
      </c>
      <c r="L73" s="97" t="s">
        <v>9</v>
      </c>
      <c r="M73" s="98" t="s">
        <v>10</v>
      </c>
    </row>
    <row r="74" spans="1:13" x14ac:dyDescent="0.25">
      <c r="A74" s="49" t="s">
        <v>65</v>
      </c>
      <c r="B74" s="31"/>
      <c r="C74" s="31"/>
      <c r="D74" s="31"/>
      <c r="E74" s="31"/>
      <c r="F74" s="31"/>
      <c r="G74" s="31"/>
      <c r="H74" s="31"/>
      <c r="I74" s="31"/>
      <c r="J74" s="31"/>
      <c r="K74" s="31"/>
      <c r="L74" s="31"/>
      <c r="M74" s="80"/>
    </row>
    <row r="75" spans="1:13" x14ac:dyDescent="0.25">
      <c r="A75" s="99" t="s">
        <v>66</v>
      </c>
      <c r="B75" s="31"/>
      <c r="C75" s="31"/>
      <c r="D75" s="31"/>
      <c r="E75" s="31"/>
      <c r="F75" s="31"/>
      <c r="G75" s="31"/>
      <c r="H75" s="31"/>
      <c r="I75" s="31"/>
      <c r="J75" s="31"/>
      <c r="K75" s="31"/>
      <c r="L75" s="31"/>
      <c r="M75" s="80"/>
    </row>
    <row r="76" spans="1:13" x14ac:dyDescent="0.25">
      <c r="A76" s="49" t="s">
        <v>67</v>
      </c>
      <c r="B76" s="29"/>
      <c r="C76" s="29"/>
      <c r="D76" s="29"/>
      <c r="E76" s="29"/>
      <c r="F76" s="29"/>
      <c r="G76" s="29"/>
      <c r="H76" s="29"/>
      <c r="I76" s="29"/>
      <c r="J76" s="29"/>
      <c r="K76" s="29"/>
      <c r="L76" s="29"/>
      <c r="M76" s="30"/>
    </row>
    <row r="77" spans="1:13" ht="15.75" thickBot="1" x14ac:dyDescent="0.3">
      <c r="A77" s="68" t="s">
        <v>15</v>
      </c>
      <c r="B77" s="62">
        <f t="shared" ref="B77:M77" si="11">SUM(B74:B76)</f>
        <v>0</v>
      </c>
      <c r="C77" s="62">
        <f t="shared" si="11"/>
        <v>0</v>
      </c>
      <c r="D77" s="62">
        <f t="shared" si="11"/>
        <v>0</v>
      </c>
      <c r="E77" s="62">
        <f t="shared" si="11"/>
        <v>0</v>
      </c>
      <c r="F77" s="62">
        <f t="shared" si="11"/>
        <v>0</v>
      </c>
      <c r="G77" s="62">
        <f t="shared" si="11"/>
        <v>0</v>
      </c>
      <c r="H77" s="62">
        <f t="shared" si="11"/>
        <v>0</v>
      </c>
      <c r="I77" s="62">
        <f t="shared" si="11"/>
        <v>0</v>
      </c>
      <c r="J77" s="62">
        <f t="shared" si="11"/>
        <v>0</v>
      </c>
      <c r="K77" s="62">
        <f t="shared" si="11"/>
        <v>0</v>
      </c>
      <c r="L77" s="62">
        <f t="shared" si="11"/>
        <v>0</v>
      </c>
      <c r="M77" s="63">
        <f t="shared" si="11"/>
        <v>0</v>
      </c>
    </row>
    <row r="78" spans="1:13" ht="15.75" thickTop="1" x14ac:dyDescent="0.25">
      <c r="A78" s="35" t="s">
        <v>1115</v>
      </c>
    </row>
    <row r="79" spans="1:13" x14ac:dyDescent="0.25">
      <c r="A79" s="35" t="s">
        <v>1115</v>
      </c>
    </row>
    <row r="80" spans="1:13" x14ac:dyDescent="0.25">
      <c r="A80" s="35" t="s">
        <v>1115</v>
      </c>
    </row>
    <row r="81" spans="1:14" x14ac:dyDescent="0.25">
      <c r="A81" s="485" t="s">
        <v>1154</v>
      </c>
      <c r="B81" s="485"/>
      <c r="C81" s="485"/>
      <c r="D81" s="485"/>
      <c r="E81" s="485"/>
      <c r="F81" s="485"/>
      <c r="G81" s="485"/>
      <c r="H81" s="485"/>
      <c r="I81" s="485"/>
      <c r="J81" s="485"/>
      <c r="K81" s="485"/>
      <c r="L81" s="485"/>
      <c r="M81" s="485"/>
      <c r="N81" s="485"/>
    </row>
    <row r="82" spans="1:14" x14ac:dyDescent="0.25">
      <c r="A82" s="482" t="s">
        <v>1155</v>
      </c>
      <c r="B82" s="482"/>
      <c r="C82" s="482"/>
      <c r="D82" s="482"/>
      <c r="E82" s="482"/>
      <c r="F82" s="482"/>
      <c r="G82" s="482"/>
      <c r="H82" s="482"/>
      <c r="I82" s="482"/>
      <c r="J82" s="482"/>
      <c r="K82" s="482"/>
      <c r="L82" s="482"/>
      <c r="M82" s="482"/>
      <c r="N82" s="482"/>
    </row>
    <row r="83" spans="1:14" x14ac:dyDescent="0.25">
      <c r="A83" s="482"/>
      <c r="B83" s="482"/>
      <c r="C83" s="482"/>
      <c r="D83" s="482"/>
      <c r="E83" s="482"/>
      <c r="F83" s="482"/>
      <c r="G83" s="482"/>
      <c r="H83" s="482"/>
      <c r="I83" s="482"/>
      <c r="J83" s="482"/>
      <c r="K83" s="482"/>
      <c r="L83" s="482"/>
      <c r="M83" s="482"/>
      <c r="N83" s="482"/>
    </row>
    <row r="84" spans="1:14" x14ac:dyDescent="0.25">
      <c r="A84" s="482"/>
      <c r="B84" s="482"/>
      <c r="C84" s="482"/>
      <c r="D84" s="482"/>
      <c r="E84" s="482"/>
      <c r="F84" s="482"/>
      <c r="G84" s="482"/>
      <c r="H84" s="482"/>
      <c r="I84" s="482"/>
      <c r="J84" s="482"/>
      <c r="K84" s="482"/>
      <c r="L84" s="482"/>
      <c r="M84" s="482"/>
      <c r="N84" s="482"/>
    </row>
    <row r="85" spans="1:14" x14ac:dyDescent="0.25">
      <c r="A85" s="482"/>
      <c r="B85" s="482"/>
      <c r="C85" s="482"/>
      <c r="D85" s="482"/>
      <c r="E85" s="482"/>
      <c r="F85" s="482"/>
      <c r="G85" s="482"/>
      <c r="H85" s="482"/>
      <c r="I85" s="482"/>
      <c r="J85" s="482"/>
      <c r="K85" s="482"/>
      <c r="L85" s="482"/>
      <c r="M85" s="482"/>
      <c r="N85" s="482"/>
    </row>
    <row r="86" spans="1:14" ht="15.75" x14ac:dyDescent="0.25">
      <c r="A86" s="81" t="s">
        <v>1156</v>
      </c>
      <c r="B86" s="82"/>
      <c r="C86" s="82"/>
      <c r="D86" s="82"/>
      <c r="E86" s="82"/>
      <c r="F86" s="82"/>
      <c r="G86" s="82"/>
      <c r="H86" s="483"/>
      <c r="I86" s="483"/>
      <c r="J86" s="483"/>
      <c r="K86" s="483"/>
      <c r="L86" s="483"/>
      <c r="M86" s="484"/>
    </row>
    <row r="87" spans="1:14" x14ac:dyDescent="0.25">
      <c r="A87" s="39" t="s">
        <v>1115</v>
      </c>
      <c r="B87" s="83"/>
      <c r="C87" s="83"/>
      <c r="D87" s="83"/>
      <c r="E87" s="83"/>
      <c r="F87" s="83"/>
      <c r="G87" s="83"/>
      <c r="H87" s="83"/>
      <c r="I87" s="83"/>
      <c r="J87" s="83"/>
      <c r="K87" s="83"/>
    </row>
    <row r="88" spans="1:14" ht="15.75" x14ac:dyDescent="0.25">
      <c r="A88" s="81" t="s">
        <v>1157</v>
      </c>
      <c r="B88" s="82"/>
      <c r="C88" s="82"/>
      <c r="D88" s="82"/>
      <c r="E88" s="82"/>
      <c r="F88" s="82"/>
      <c r="G88" s="82"/>
      <c r="H88" s="483"/>
      <c r="I88" s="483"/>
      <c r="J88" s="483"/>
      <c r="K88" s="483"/>
      <c r="L88" s="483"/>
      <c r="M88" s="484"/>
    </row>
    <row r="89" spans="1:14" x14ac:dyDescent="0.25">
      <c r="A89" s="39" t="s">
        <v>1115</v>
      </c>
      <c r="B89" s="83"/>
      <c r="C89" s="83"/>
      <c r="D89" s="83"/>
      <c r="E89" s="83"/>
      <c r="F89" s="83"/>
      <c r="G89" s="83"/>
      <c r="H89" s="83"/>
      <c r="I89" s="83"/>
      <c r="J89" s="83"/>
      <c r="K89" s="83"/>
    </row>
    <row r="90" spans="1:14" x14ac:dyDescent="0.25">
      <c r="A90" s="39" t="s">
        <v>1115</v>
      </c>
      <c r="B90" s="84" t="s">
        <v>72</v>
      </c>
      <c r="C90" s="85"/>
      <c r="D90" s="85"/>
      <c r="E90" s="83"/>
      <c r="F90" s="83"/>
      <c r="G90" s="83"/>
      <c r="H90" s="84" t="s">
        <v>73</v>
      </c>
      <c r="I90" s="83"/>
      <c r="J90" s="85"/>
      <c r="K90" s="85"/>
    </row>
    <row r="91" spans="1:14" x14ac:dyDescent="0.25">
      <c r="A91" s="39" t="s">
        <v>1115</v>
      </c>
      <c r="B91" s="83"/>
      <c r="C91" s="84"/>
      <c r="D91" s="84"/>
      <c r="E91" s="83"/>
      <c r="F91" s="83"/>
      <c r="G91" s="83"/>
      <c r="H91" s="83"/>
      <c r="I91" s="84"/>
      <c r="J91" s="84"/>
      <c r="K91" s="84"/>
    </row>
    <row r="92" spans="1:14" x14ac:dyDescent="0.25">
      <c r="A92" s="39" t="s">
        <v>1115</v>
      </c>
      <c r="B92" s="84" t="s">
        <v>74</v>
      </c>
      <c r="C92" s="84"/>
      <c r="D92" s="84"/>
      <c r="E92" s="83"/>
      <c r="F92" s="83"/>
      <c r="G92" s="83"/>
      <c r="H92" s="84" t="s">
        <v>74</v>
      </c>
      <c r="I92" s="84"/>
      <c r="J92" s="84"/>
      <c r="K92" s="84"/>
    </row>
    <row r="93" spans="1:14" x14ac:dyDescent="0.25">
      <c r="A93" s="39" t="s">
        <v>1115</v>
      </c>
      <c r="B93" s="84" t="s">
        <v>75</v>
      </c>
      <c r="C93" s="84"/>
      <c r="D93" s="83"/>
      <c r="E93" s="83"/>
      <c r="F93" s="83"/>
      <c r="G93" s="83"/>
      <c r="H93" s="84" t="s">
        <v>76</v>
      </c>
      <c r="I93" s="84"/>
      <c r="J93" s="83"/>
      <c r="K93" s="83"/>
    </row>
    <row r="94" spans="1:14" x14ac:dyDescent="0.25">
      <c r="A94" s="39" t="s">
        <v>1115</v>
      </c>
      <c r="B94" s="83"/>
      <c r="C94" s="83"/>
      <c r="D94" s="83"/>
      <c r="E94" s="83"/>
      <c r="F94" s="83"/>
      <c r="G94" s="83"/>
      <c r="H94" s="83"/>
      <c r="I94" s="83"/>
      <c r="J94" s="83"/>
      <c r="K94" s="83"/>
    </row>
    <row r="95" spans="1:14" x14ac:dyDescent="0.25">
      <c r="A95" s="39" t="s">
        <v>1115</v>
      </c>
    </row>
    <row r="96" spans="1:14" x14ac:dyDescent="0.25">
      <c r="A96" s="39" t="s">
        <v>1115</v>
      </c>
    </row>
    <row r="97" spans="1:13" x14ac:dyDescent="0.25">
      <c r="A97" s="39" t="s">
        <v>1115</v>
      </c>
    </row>
    <row r="98" spans="1:13" x14ac:dyDescent="0.25">
      <c r="A98" s="39" t="s">
        <v>1115</v>
      </c>
    </row>
    <row r="99" spans="1:13" x14ac:dyDescent="0.25">
      <c r="A99" s="39" t="s">
        <v>1115</v>
      </c>
    </row>
    <row r="100" spans="1:13" x14ac:dyDescent="0.25">
      <c r="A100" s="39" t="s">
        <v>1115</v>
      </c>
    </row>
    <row r="101" spans="1:13" ht="21" x14ac:dyDescent="0.25">
      <c r="A101" s="477" t="s">
        <v>1165</v>
      </c>
      <c r="B101" s="477"/>
      <c r="C101" s="477"/>
      <c r="D101" s="477"/>
      <c r="E101" s="477"/>
      <c r="F101" s="477"/>
      <c r="G101" s="477"/>
      <c r="H101" s="477"/>
      <c r="I101" s="477"/>
      <c r="J101" s="477"/>
      <c r="K101" s="477"/>
    </row>
    <row r="102" spans="1:13" ht="15.75" thickBot="1" x14ac:dyDescent="0.3">
      <c r="A102" s="39" t="s">
        <v>1115</v>
      </c>
    </row>
    <row r="103" spans="1:13" ht="15.75" thickTop="1" x14ac:dyDescent="0.25">
      <c r="A103" s="406" t="s">
        <v>1166</v>
      </c>
      <c r="B103" s="407"/>
      <c r="C103" s="407"/>
      <c r="D103" s="407"/>
      <c r="E103" s="407"/>
      <c r="F103" s="407"/>
      <c r="G103" s="407"/>
      <c r="H103" s="407"/>
      <c r="I103" s="407"/>
      <c r="J103" s="407"/>
      <c r="K103" s="407"/>
      <c r="L103" s="407"/>
      <c r="M103" s="408"/>
    </row>
    <row r="104" spans="1:13" x14ac:dyDescent="0.25">
      <c r="A104" s="38" t="s">
        <v>1151</v>
      </c>
      <c r="B104" s="312" t="s">
        <v>1128</v>
      </c>
      <c r="C104" s="313"/>
      <c r="D104" s="312" t="s">
        <v>1129</v>
      </c>
      <c r="E104" s="313"/>
      <c r="F104" s="312" t="s">
        <v>1130</v>
      </c>
      <c r="G104" s="313"/>
      <c r="H104" s="312" t="s">
        <v>1152</v>
      </c>
      <c r="I104" s="313"/>
      <c r="J104" s="263" t="s">
        <v>1131</v>
      </c>
      <c r="K104" s="264"/>
      <c r="L104" s="264"/>
      <c r="M104" s="486"/>
    </row>
    <row r="105" spans="1:13" x14ac:dyDescent="0.25">
      <c r="A105" s="91" t="s">
        <v>1115</v>
      </c>
      <c r="B105" s="314"/>
      <c r="C105" s="315"/>
      <c r="D105" s="314"/>
      <c r="E105" s="315"/>
      <c r="F105" s="314"/>
      <c r="G105" s="315"/>
      <c r="H105" s="314"/>
      <c r="I105" s="315"/>
      <c r="J105" s="263" t="s">
        <v>15</v>
      </c>
      <c r="K105" s="265"/>
      <c r="L105" s="263" t="s">
        <v>1153</v>
      </c>
      <c r="M105" s="486"/>
    </row>
    <row r="106" spans="1:13" x14ac:dyDescent="0.25">
      <c r="A106" s="57" t="s">
        <v>43</v>
      </c>
      <c r="B106" s="97" t="s">
        <v>9</v>
      </c>
      <c r="C106" s="97" t="s">
        <v>10</v>
      </c>
      <c r="D106" s="97" t="s">
        <v>9</v>
      </c>
      <c r="E106" s="97" t="s">
        <v>10</v>
      </c>
      <c r="F106" s="97" t="s">
        <v>9</v>
      </c>
      <c r="G106" s="97" t="s">
        <v>10</v>
      </c>
      <c r="H106" s="97" t="s">
        <v>9</v>
      </c>
      <c r="I106" s="97" t="s">
        <v>10</v>
      </c>
      <c r="J106" s="97" t="s">
        <v>9</v>
      </c>
      <c r="K106" s="97" t="s">
        <v>10</v>
      </c>
      <c r="L106" s="97" t="s">
        <v>9</v>
      </c>
      <c r="M106" s="98" t="s">
        <v>10</v>
      </c>
    </row>
    <row r="107" spans="1:13" x14ac:dyDescent="0.25">
      <c r="A107" s="51" t="s">
        <v>64</v>
      </c>
      <c r="B107" s="31"/>
      <c r="C107" s="31"/>
      <c r="D107" s="31"/>
      <c r="E107" s="31"/>
      <c r="F107" s="31"/>
      <c r="G107" s="31"/>
      <c r="H107" s="31"/>
      <c r="I107" s="31"/>
      <c r="J107" s="31"/>
      <c r="K107" s="31"/>
      <c r="L107" s="31"/>
      <c r="M107" s="80"/>
    </row>
    <row r="108" spans="1:13" x14ac:dyDescent="0.25">
      <c r="A108" s="52" t="s">
        <v>45</v>
      </c>
      <c r="B108" s="31"/>
      <c r="C108" s="31"/>
      <c r="D108" s="31"/>
      <c r="E108" s="31"/>
      <c r="F108" s="31"/>
      <c r="G108" s="31"/>
      <c r="H108" s="31"/>
      <c r="I108" s="31"/>
      <c r="J108" s="31"/>
      <c r="K108" s="31"/>
      <c r="L108" s="31"/>
      <c r="M108" s="80"/>
    </row>
    <row r="109" spans="1:13" x14ac:dyDescent="0.25">
      <c r="A109" s="53" t="s">
        <v>61</v>
      </c>
      <c r="B109" s="31"/>
      <c r="C109" s="31"/>
      <c r="D109" s="31"/>
      <c r="E109" s="31"/>
      <c r="F109" s="31"/>
      <c r="G109" s="31"/>
      <c r="H109" s="31"/>
      <c r="I109" s="31"/>
      <c r="J109" s="31"/>
      <c r="K109" s="31"/>
      <c r="L109" s="31"/>
      <c r="M109" s="80"/>
    </row>
    <row r="110" spans="1:13" x14ac:dyDescent="0.25">
      <c r="A110" s="53" t="s">
        <v>57</v>
      </c>
      <c r="B110" s="31"/>
      <c r="C110" s="31"/>
      <c r="D110" s="31"/>
      <c r="E110" s="31"/>
      <c r="F110" s="31"/>
      <c r="G110" s="31"/>
      <c r="H110" s="31"/>
      <c r="I110" s="31"/>
      <c r="J110" s="31"/>
      <c r="K110" s="31"/>
      <c r="L110" s="31"/>
      <c r="M110" s="80"/>
    </row>
    <row r="111" spans="1:13" x14ac:dyDescent="0.25">
      <c r="A111" s="53" t="s">
        <v>58</v>
      </c>
      <c r="B111" s="31"/>
      <c r="C111" s="31"/>
      <c r="D111" s="31"/>
      <c r="E111" s="31"/>
      <c r="F111" s="31"/>
      <c r="G111" s="31"/>
      <c r="H111" s="31"/>
      <c r="I111" s="31"/>
      <c r="J111" s="31"/>
      <c r="K111" s="31"/>
      <c r="L111" s="31"/>
      <c r="M111" s="80"/>
    </row>
    <row r="112" spans="1:13" x14ac:dyDescent="0.25">
      <c r="A112" s="53" t="s">
        <v>62</v>
      </c>
      <c r="B112" s="31"/>
      <c r="C112" s="31"/>
      <c r="D112" s="31"/>
      <c r="E112" s="31"/>
      <c r="F112" s="31"/>
      <c r="G112" s="31"/>
      <c r="H112" s="31"/>
      <c r="I112" s="31"/>
      <c r="J112" s="31"/>
      <c r="K112" s="31"/>
      <c r="L112" s="31"/>
      <c r="M112" s="80"/>
    </row>
    <row r="113" spans="1:14" x14ac:dyDescent="0.25">
      <c r="A113" s="53" t="s">
        <v>59</v>
      </c>
      <c r="B113" s="31"/>
      <c r="C113" s="31"/>
      <c r="D113" s="31"/>
      <c r="E113" s="31"/>
      <c r="F113" s="31"/>
      <c r="G113" s="31"/>
      <c r="H113" s="31"/>
      <c r="I113" s="31"/>
      <c r="J113" s="31"/>
      <c r="K113" s="31"/>
      <c r="L113" s="31"/>
      <c r="M113" s="80"/>
    </row>
    <row r="114" spans="1:14" x14ac:dyDescent="0.25">
      <c r="A114" s="53" t="s">
        <v>60</v>
      </c>
      <c r="B114" s="29"/>
      <c r="C114" s="29"/>
      <c r="D114" s="29"/>
      <c r="E114" s="29"/>
      <c r="F114" s="29"/>
      <c r="G114" s="29"/>
      <c r="H114" s="29"/>
      <c r="I114" s="29"/>
      <c r="J114" s="29"/>
      <c r="K114" s="29"/>
      <c r="L114" s="29"/>
      <c r="M114" s="30"/>
    </row>
    <row r="115" spans="1:14" ht="15.75" thickBot="1" x14ac:dyDescent="0.3">
      <c r="A115" s="68" t="s">
        <v>15</v>
      </c>
      <c r="B115" s="62">
        <f t="shared" ref="B115" si="12">SUM(B107:B114)</f>
        <v>0</v>
      </c>
      <c r="C115" s="62">
        <f t="shared" ref="C115" si="13">SUM(C107:C114)</f>
        <v>0</v>
      </c>
      <c r="D115" s="62">
        <f t="shared" ref="D115" si="14">SUM(D107:D114)</f>
        <v>0</v>
      </c>
      <c r="E115" s="62">
        <f t="shared" ref="E115" si="15">SUM(E107:E114)</f>
        <v>0</v>
      </c>
      <c r="F115" s="62">
        <f t="shared" ref="F115" si="16">SUM(F107:F114)</f>
        <v>0</v>
      </c>
      <c r="G115" s="62">
        <f t="shared" ref="G115" si="17">SUM(G107:G114)</f>
        <v>0</v>
      </c>
      <c r="H115" s="62">
        <f t="shared" ref="H115" si="18">SUM(H107:H114)</f>
        <v>0</v>
      </c>
      <c r="I115" s="62">
        <f t="shared" ref="I115" si="19">SUM(I107:I114)</f>
        <v>0</v>
      </c>
      <c r="J115" s="62">
        <f t="shared" ref="J115" si="20">SUM(J107:J114)</f>
        <v>0</v>
      </c>
      <c r="K115" s="62">
        <f t="shared" ref="K115" si="21">SUM(K107:K114)</f>
        <v>0</v>
      </c>
      <c r="L115" s="62">
        <f t="shared" ref="L115" si="22">SUM(L107:L114)</f>
        <v>0</v>
      </c>
      <c r="M115" s="63">
        <f t="shared" ref="M115" si="23">SUM(M107:M114)</f>
        <v>0</v>
      </c>
    </row>
    <row r="116" spans="1:14" ht="15.75" thickTop="1" x14ac:dyDescent="0.25">
      <c r="A116" s="35" t="s">
        <v>1115</v>
      </c>
    </row>
    <row r="117" spans="1:14" x14ac:dyDescent="0.25">
      <c r="A117" s="35" t="s">
        <v>1115</v>
      </c>
    </row>
    <row r="118" spans="1:14" x14ac:dyDescent="0.25">
      <c r="A118" s="35" t="s">
        <v>1115</v>
      </c>
    </row>
    <row r="119" spans="1:14" x14ac:dyDescent="0.25">
      <c r="A119" s="485" t="s">
        <v>1154</v>
      </c>
      <c r="B119" s="485"/>
      <c r="C119" s="485"/>
      <c r="D119" s="485"/>
      <c r="E119" s="485"/>
      <c r="F119" s="485"/>
      <c r="G119" s="485"/>
      <c r="H119" s="485"/>
      <c r="I119" s="485"/>
      <c r="J119" s="485"/>
      <c r="K119" s="485"/>
      <c r="L119" s="485"/>
      <c r="M119" s="485"/>
      <c r="N119" s="485"/>
    </row>
    <row r="120" spans="1:14" x14ac:dyDescent="0.25">
      <c r="A120" s="482" t="s">
        <v>1155</v>
      </c>
      <c r="B120" s="482"/>
      <c r="C120" s="482"/>
      <c r="D120" s="482"/>
      <c r="E120" s="482"/>
      <c r="F120" s="482"/>
      <c r="G120" s="482"/>
      <c r="H120" s="482"/>
      <c r="I120" s="482"/>
      <c r="J120" s="482"/>
      <c r="K120" s="482"/>
      <c r="L120" s="482"/>
      <c r="M120" s="482"/>
      <c r="N120" s="482"/>
    </row>
    <row r="121" spans="1:14" x14ac:dyDescent="0.25">
      <c r="A121" s="482"/>
      <c r="B121" s="482"/>
      <c r="C121" s="482"/>
      <c r="D121" s="482"/>
      <c r="E121" s="482"/>
      <c r="F121" s="482"/>
      <c r="G121" s="482"/>
      <c r="H121" s="482"/>
      <c r="I121" s="482"/>
      <c r="J121" s="482"/>
      <c r="K121" s="482"/>
      <c r="L121" s="482"/>
      <c r="M121" s="482"/>
      <c r="N121" s="482"/>
    </row>
    <row r="122" spans="1:14" x14ac:dyDescent="0.25">
      <c r="A122" s="482"/>
      <c r="B122" s="482"/>
      <c r="C122" s="482"/>
      <c r="D122" s="482"/>
      <c r="E122" s="482"/>
      <c r="F122" s="482"/>
      <c r="G122" s="482"/>
      <c r="H122" s="482"/>
      <c r="I122" s="482"/>
      <c r="J122" s="482"/>
      <c r="K122" s="482"/>
      <c r="L122" s="482"/>
      <c r="M122" s="482"/>
      <c r="N122" s="482"/>
    </row>
    <row r="123" spans="1:14" x14ac:dyDescent="0.25">
      <c r="A123" s="482"/>
      <c r="B123" s="482"/>
      <c r="C123" s="482"/>
      <c r="D123" s="482"/>
      <c r="E123" s="482"/>
      <c r="F123" s="482"/>
      <c r="G123" s="482"/>
      <c r="H123" s="482"/>
      <c r="I123" s="482"/>
      <c r="J123" s="482"/>
      <c r="K123" s="482"/>
      <c r="L123" s="482"/>
      <c r="M123" s="482"/>
      <c r="N123" s="482"/>
    </row>
    <row r="124" spans="1:14" ht="15.75" x14ac:dyDescent="0.25">
      <c r="A124" s="81" t="s">
        <v>1156</v>
      </c>
      <c r="B124" s="82"/>
      <c r="C124" s="82"/>
      <c r="D124" s="82"/>
      <c r="E124" s="82"/>
      <c r="F124" s="82"/>
      <c r="G124" s="82"/>
      <c r="H124" s="483"/>
      <c r="I124" s="483"/>
      <c r="J124" s="483"/>
      <c r="K124" s="483"/>
      <c r="L124" s="483"/>
      <c r="M124" s="484"/>
    </row>
    <row r="125" spans="1:14" x14ac:dyDescent="0.25">
      <c r="A125" s="39" t="s">
        <v>1115</v>
      </c>
      <c r="B125" s="83"/>
      <c r="C125" s="83"/>
      <c r="D125" s="83"/>
      <c r="E125" s="83"/>
      <c r="F125" s="83"/>
      <c r="G125" s="83"/>
      <c r="H125" s="83"/>
      <c r="I125" s="83"/>
      <c r="J125" s="83"/>
      <c r="K125" s="83"/>
    </row>
    <row r="126" spans="1:14" ht="15.75" x14ac:dyDescent="0.25">
      <c r="A126" s="81" t="s">
        <v>1157</v>
      </c>
      <c r="B126" s="82"/>
      <c r="C126" s="82"/>
      <c r="D126" s="82"/>
      <c r="E126" s="82"/>
      <c r="F126" s="82"/>
      <c r="G126" s="82"/>
      <c r="H126" s="483"/>
      <c r="I126" s="483"/>
      <c r="J126" s="483"/>
      <c r="K126" s="483"/>
      <c r="L126" s="483"/>
      <c r="M126" s="484"/>
    </row>
    <row r="127" spans="1:14" x14ac:dyDescent="0.25">
      <c r="A127" s="39" t="s">
        <v>1115</v>
      </c>
      <c r="B127" s="83"/>
      <c r="C127" s="83"/>
      <c r="D127" s="83"/>
      <c r="E127" s="83"/>
      <c r="F127" s="83"/>
      <c r="G127" s="83"/>
      <c r="H127" s="83"/>
      <c r="I127" s="83"/>
      <c r="J127" s="83"/>
      <c r="K127" s="83"/>
    </row>
    <row r="128" spans="1:14" x14ac:dyDescent="0.25">
      <c r="A128" s="39" t="s">
        <v>1115</v>
      </c>
      <c r="B128" s="84" t="s">
        <v>72</v>
      </c>
      <c r="C128" s="85"/>
      <c r="D128" s="85"/>
      <c r="E128" s="83"/>
      <c r="F128" s="83"/>
      <c r="G128" s="83"/>
      <c r="H128" s="84" t="s">
        <v>73</v>
      </c>
      <c r="I128" s="83"/>
      <c r="J128" s="85"/>
      <c r="K128" s="85"/>
    </row>
    <row r="129" spans="1:13" x14ac:dyDescent="0.25">
      <c r="A129" s="39" t="s">
        <v>1115</v>
      </c>
      <c r="B129" s="83"/>
      <c r="C129" s="84"/>
      <c r="D129" s="84"/>
      <c r="E129" s="83"/>
      <c r="F129" s="83"/>
      <c r="G129" s="83"/>
      <c r="H129" s="83"/>
      <c r="I129" s="84"/>
      <c r="J129" s="84"/>
      <c r="K129" s="84"/>
    </row>
    <row r="130" spans="1:13" x14ac:dyDescent="0.25">
      <c r="A130" s="39" t="s">
        <v>1115</v>
      </c>
      <c r="B130" s="84" t="s">
        <v>74</v>
      </c>
      <c r="C130" s="84"/>
      <c r="D130" s="84"/>
      <c r="E130" s="83"/>
      <c r="F130" s="83"/>
      <c r="G130" s="83"/>
      <c r="H130" s="84" t="s">
        <v>74</v>
      </c>
      <c r="I130" s="84"/>
      <c r="J130" s="84"/>
      <c r="K130" s="84"/>
    </row>
    <row r="131" spans="1:13" x14ac:dyDescent="0.25">
      <c r="A131" s="39" t="s">
        <v>1115</v>
      </c>
      <c r="B131" s="84" t="s">
        <v>75</v>
      </c>
      <c r="C131" s="84"/>
      <c r="D131" s="83"/>
      <c r="E131" s="83"/>
      <c r="F131" s="83"/>
      <c r="G131" s="83"/>
      <c r="H131" s="84" t="s">
        <v>76</v>
      </c>
      <c r="I131" s="84"/>
      <c r="J131" s="83"/>
      <c r="K131" s="83"/>
    </row>
    <row r="132" spans="1:13" ht="7.5" customHeight="1" x14ac:dyDescent="0.25">
      <c r="A132" s="39"/>
      <c r="B132" s="84"/>
      <c r="C132" s="84"/>
      <c r="D132" s="83"/>
      <c r="E132" s="83"/>
      <c r="F132" s="83"/>
      <c r="G132" s="83"/>
      <c r="H132" s="84"/>
      <c r="I132" s="84"/>
      <c r="J132" s="83"/>
      <c r="K132" s="83"/>
    </row>
    <row r="133" spans="1:13" ht="12" customHeight="1" x14ac:dyDescent="0.25">
      <c r="A133" s="39"/>
      <c r="B133" s="84"/>
      <c r="C133" s="84"/>
      <c r="D133" s="83"/>
      <c r="E133" s="83"/>
      <c r="F133" s="83"/>
      <c r="G133" s="83"/>
      <c r="H133" s="84"/>
      <c r="I133" s="84"/>
      <c r="J133" s="83"/>
      <c r="K133" s="83"/>
    </row>
    <row r="134" spans="1:13" ht="21" x14ac:dyDescent="0.25">
      <c r="A134" s="477" t="s">
        <v>1167</v>
      </c>
      <c r="B134" s="477"/>
      <c r="C134" s="477"/>
      <c r="D134" s="477"/>
      <c r="E134" s="477"/>
      <c r="F134" s="477"/>
      <c r="G134" s="477"/>
      <c r="H134" s="477"/>
      <c r="I134" s="477"/>
      <c r="J134" s="477"/>
      <c r="K134" s="477"/>
    </row>
    <row r="135" spans="1:13" ht="15.75" thickBot="1" x14ac:dyDescent="0.3">
      <c r="A135" s="39" t="s">
        <v>1115</v>
      </c>
    </row>
    <row r="136" spans="1:13" ht="15.75" thickTop="1" x14ac:dyDescent="0.25">
      <c r="A136" s="406" t="s">
        <v>1169</v>
      </c>
      <c r="B136" s="407"/>
      <c r="C136" s="407"/>
      <c r="D136" s="407"/>
      <c r="E136" s="407"/>
      <c r="F136" s="407"/>
      <c r="G136" s="407"/>
      <c r="H136" s="407"/>
      <c r="I136" s="407"/>
      <c r="J136" s="407"/>
      <c r="K136" s="407"/>
      <c r="L136" s="407"/>
      <c r="M136" s="408"/>
    </row>
    <row r="137" spans="1:13" x14ac:dyDescent="0.25">
      <c r="A137" s="38" t="s">
        <v>1151</v>
      </c>
      <c r="B137" s="312" t="s">
        <v>1128</v>
      </c>
      <c r="C137" s="313"/>
      <c r="D137" s="312" t="s">
        <v>1129</v>
      </c>
      <c r="E137" s="313"/>
      <c r="F137" s="312" t="s">
        <v>1130</v>
      </c>
      <c r="G137" s="313"/>
      <c r="H137" s="312" t="s">
        <v>1152</v>
      </c>
      <c r="I137" s="313"/>
      <c r="J137" s="263" t="s">
        <v>1131</v>
      </c>
      <c r="K137" s="264"/>
      <c r="L137" s="264"/>
      <c r="M137" s="486"/>
    </row>
    <row r="138" spans="1:13" x14ac:dyDescent="0.25">
      <c r="A138" s="91" t="s">
        <v>1115</v>
      </c>
      <c r="B138" s="314"/>
      <c r="C138" s="315"/>
      <c r="D138" s="314"/>
      <c r="E138" s="315"/>
      <c r="F138" s="314"/>
      <c r="G138" s="315"/>
      <c r="H138" s="314"/>
      <c r="I138" s="315"/>
      <c r="J138" s="263" t="s">
        <v>15</v>
      </c>
      <c r="K138" s="265"/>
      <c r="L138" s="263" t="s">
        <v>1153</v>
      </c>
      <c r="M138" s="486"/>
    </row>
    <row r="139" spans="1:13" x14ac:dyDescent="0.25">
      <c r="A139" s="57" t="s">
        <v>43</v>
      </c>
      <c r="B139" s="97" t="s">
        <v>9</v>
      </c>
      <c r="C139" s="97" t="s">
        <v>10</v>
      </c>
      <c r="D139" s="97" t="s">
        <v>9</v>
      </c>
      <c r="E139" s="97" t="s">
        <v>10</v>
      </c>
      <c r="F139" s="97" t="s">
        <v>9</v>
      </c>
      <c r="G139" s="97" t="s">
        <v>10</v>
      </c>
      <c r="H139" s="97" t="s">
        <v>9</v>
      </c>
      <c r="I139" s="97" t="s">
        <v>10</v>
      </c>
      <c r="J139" s="97" t="s">
        <v>9</v>
      </c>
      <c r="K139" s="97" t="s">
        <v>10</v>
      </c>
      <c r="L139" s="97" t="s">
        <v>9</v>
      </c>
      <c r="M139" s="98" t="s">
        <v>10</v>
      </c>
    </row>
    <row r="140" spans="1:13" x14ac:dyDescent="0.25">
      <c r="A140" s="53" t="s">
        <v>62</v>
      </c>
      <c r="B140" s="31"/>
      <c r="C140" s="31"/>
      <c r="D140" s="31"/>
      <c r="E140" s="31"/>
      <c r="F140" s="31"/>
      <c r="G140" s="31"/>
      <c r="H140" s="31"/>
      <c r="I140" s="31"/>
      <c r="J140" s="31"/>
      <c r="K140" s="31"/>
      <c r="L140" s="31"/>
      <c r="M140" s="80"/>
    </row>
    <row r="141" spans="1:13" x14ac:dyDescent="0.25">
      <c r="A141" s="53" t="s">
        <v>59</v>
      </c>
      <c r="B141" s="31"/>
      <c r="C141" s="31"/>
      <c r="D141" s="31"/>
      <c r="E141" s="31"/>
      <c r="F141" s="31"/>
      <c r="G141" s="31"/>
      <c r="H141" s="31"/>
      <c r="I141" s="31"/>
      <c r="J141" s="31"/>
      <c r="K141" s="31"/>
      <c r="L141" s="31"/>
      <c r="M141" s="80"/>
    </row>
    <row r="142" spans="1:13" x14ac:dyDescent="0.25">
      <c r="A142" s="53" t="s">
        <v>60</v>
      </c>
      <c r="B142" s="29"/>
      <c r="C142" s="29"/>
      <c r="D142" s="29"/>
      <c r="E142" s="29"/>
      <c r="F142" s="29"/>
      <c r="G142" s="29"/>
      <c r="H142" s="29"/>
      <c r="I142" s="29"/>
      <c r="J142" s="29"/>
      <c r="K142" s="29"/>
      <c r="L142" s="29"/>
      <c r="M142" s="30"/>
    </row>
    <row r="143" spans="1:13" ht="15.75" thickBot="1" x14ac:dyDescent="0.3">
      <c r="A143" s="68" t="s">
        <v>15</v>
      </c>
      <c r="B143" s="62">
        <f t="shared" ref="B143:M143" si="24">SUM(B140:B142)</f>
        <v>0</v>
      </c>
      <c r="C143" s="62">
        <f t="shared" si="24"/>
        <v>0</v>
      </c>
      <c r="D143" s="62">
        <f t="shared" si="24"/>
        <v>0</v>
      </c>
      <c r="E143" s="62">
        <f t="shared" si="24"/>
        <v>0</v>
      </c>
      <c r="F143" s="62">
        <f t="shared" si="24"/>
        <v>0</v>
      </c>
      <c r="G143" s="62">
        <f t="shared" si="24"/>
        <v>0</v>
      </c>
      <c r="H143" s="62">
        <f t="shared" si="24"/>
        <v>0</v>
      </c>
      <c r="I143" s="62">
        <f t="shared" si="24"/>
        <v>0</v>
      </c>
      <c r="J143" s="62">
        <f t="shared" si="24"/>
        <v>0</v>
      </c>
      <c r="K143" s="62">
        <f t="shared" si="24"/>
        <v>0</v>
      </c>
      <c r="L143" s="62">
        <f t="shared" si="24"/>
        <v>0</v>
      </c>
      <c r="M143" s="63">
        <f t="shared" si="24"/>
        <v>0</v>
      </c>
    </row>
    <row r="144" spans="1:13" ht="9.75" customHeight="1" thickTop="1" x14ac:dyDescent="0.25">
      <c r="A144" s="92" t="s">
        <v>1115</v>
      </c>
    </row>
    <row r="145" spans="1:14" x14ac:dyDescent="0.25">
      <c r="A145" s="54" t="s">
        <v>68</v>
      </c>
      <c r="B145" s="31"/>
      <c r="C145" s="31"/>
      <c r="D145" s="31"/>
      <c r="E145" s="31"/>
      <c r="F145" s="31"/>
      <c r="G145" s="31"/>
      <c r="H145" s="31"/>
      <c r="I145" s="31"/>
      <c r="J145" s="31"/>
      <c r="K145" s="31"/>
      <c r="L145" s="31"/>
      <c r="M145" s="80"/>
    </row>
    <row r="146" spans="1:14" x14ac:dyDescent="0.25">
      <c r="A146" s="51" t="s">
        <v>69</v>
      </c>
      <c r="B146" s="31"/>
      <c r="C146" s="31"/>
      <c r="D146" s="31"/>
      <c r="E146" s="31"/>
      <c r="F146" s="31"/>
      <c r="G146" s="31"/>
      <c r="H146" s="31"/>
      <c r="I146" s="31"/>
      <c r="J146" s="31"/>
      <c r="K146" s="31"/>
      <c r="L146" s="31"/>
      <c r="M146" s="80"/>
    </row>
    <row r="147" spans="1:14" x14ac:dyDescent="0.25">
      <c r="A147" s="54" t="s">
        <v>70</v>
      </c>
      <c r="B147" s="31"/>
      <c r="C147" s="31"/>
      <c r="D147" s="31"/>
      <c r="E147" s="31"/>
      <c r="F147" s="31"/>
      <c r="G147" s="31"/>
      <c r="H147" s="31"/>
      <c r="I147" s="31"/>
      <c r="J147" s="31"/>
      <c r="K147" s="31"/>
      <c r="L147" s="31"/>
      <c r="M147" s="80"/>
    </row>
    <row r="148" spans="1:14" x14ac:dyDescent="0.25">
      <c r="A148" s="51" t="s">
        <v>71</v>
      </c>
      <c r="B148" s="29"/>
      <c r="C148" s="29"/>
      <c r="D148" s="29"/>
      <c r="E148" s="29"/>
      <c r="F148" s="29"/>
      <c r="G148" s="29"/>
      <c r="H148" s="29"/>
      <c r="I148" s="29"/>
      <c r="J148" s="29"/>
      <c r="K148" s="29"/>
      <c r="L148" s="29"/>
      <c r="M148" s="30"/>
    </row>
    <row r="149" spans="1:14" ht="15.75" thickBot="1" x14ac:dyDescent="0.3">
      <c r="A149" s="55" t="s">
        <v>15</v>
      </c>
      <c r="B149" s="62">
        <f>SUM(B145:B148)</f>
        <v>0</v>
      </c>
      <c r="C149" s="62">
        <f t="shared" ref="C149:L149" si="25">SUM(C145:C148)</f>
        <v>0</v>
      </c>
      <c r="D149" s="62">
        <f t="shared" si="25"/>
        <v>0</v>
      </c>
      <c r="E149" s="62">
        <f t="shared" si="25"/>
        <v>0</v>
      </c>
      <c r="F149" s="62">
        <f t="shared" si="25"/>
        <v>0</v>
      </c>
      <c r="G149" s="62">
        <f t="shared" si="25"/>
        <v>0</v>
      </c>
      <c r="H149" s="62">
        <f t="shared" si="25"/>
        <v>0</v>
      </c>
      <c r="I149" s="62">
        <f t="shared" si="25"/>
        <v>0</v>
      </c>
      <c r="J149" s="62">
        <f t="shared" si="25"/>
        <v>0</v>
      </c>
      <c r="K149" s="62">
        <f t="shared" si="25"/>
        <v>0</v>
      </c>
      <c r="L149" s="62">
        <f t="shared" si="25"/>
        <v>0</v>
      </c>
      <c r="M149" s="63">
        <f>SUM(M145:M148)</f>
        <v>0</v>
      </c>
    </row>
    <row r="150" spans="1:14" ht="15.75" thickTop="1" x14ac:dyDescent="0.25">
      <c r="A150" s="35" t="s">
        <v>1115</v>
      </c>
    </row>
    <row r="151" spans="1:14" x14ac:dyDescent="0.25">
      <c r="A151" s="485" t="s">
        <v>1154</v>
      </c>
      <c r="B151" s="485"/>
      <c r="C151" s="485"/>
      <c r="D151" s="485"/>
      <c r="E151" s="485"/>
      <c r="F151" s="485"/>
      <c r="G151" s="485"/>
      <c r="H151" s="485"/>
      <c r="I151" s="485"/>
      <c r="J151" s="485"/>
      <c r="K151" s="485"/>
      <c r="L151" s="485"/>
      <c r="M151" s="485"/>
      <c r="N151" s="485"/>
    </row>
    <row r="152" spans="1:14" x14ac:dyDescent="0.25">
      <c r="A152" s="482" t="s">
        <v>1155</v>
      </c>
      <c r="B152" s="482"/>
      <c r="C152" s="482"/>
      <c r="D152" s="482"/>
      <c r="E152" s="482"/>
      <c r="F152" s="482"/>
      <c r="G152" s="482"/>
      <c r="H152" s="482"/>
      <c r="I152" s="482"/>
      <c r="J152" s="482"/>
      <c r="K152" s="482"/>
      <c r="L152" s="482"/>
      <c r="M152" s="482"/>
      <c r="N152" s="482"/>
    </row>
    <row r="153" spans="1:14" x14ac:dyDescent="0.25">
      <c r="A153" s="482"/>
      <c r="B153" s="482"/>
      <c r="C153" s="482"/>
      <c r="D153" s="482"/>
      <c r="E153" s="482"/>
      <c r="F153" s="482"/>
      <c r="G153" s="482"/>
      <c r="H153" s="482"/>
      <c r="I153" s="482"/>
      <c r="J153" s="482"/>
      <c r="K153" s="482"/>
      <c r="L153" s="482"/>
      <c r="M153" s="482"/>
      <c r="N153" s="482"/>
    </row>
    <row r="154" spans="1:14" x14ac:dyDescent="0.25">
      <c r="A154" s="482"/>
      <c r="B154" s="482"/>
      <c r="C154" s="482"/>
      <c r="D154" s="482"/>
      <c r="E154" s="482"/>
      <c r="F154" s="482"/>
      <c r="G154" s="482"/>
      <c r="H154" s="482"/>
      <c r="I154" s="482"/>
      <c r="J154" s="482"/>
      <c r="K154" s="482"/>
      <c r="L154" s="482"/>
      <c r="M154" s="482"/>
      <c r="N154" s="482"/>
    </row>
    <row r="155" spans="1:14" x14ac:dyDescent="0.25">
      <c r="A155" s="482"/>
      <c r="B155" s="482"/>
      <c r="C155" s="482"/>
      <c r="D155" s="482"/>
      <c r="E155" s="482"/>
      <c r="F155" s="482"/>
      <c r="G155" s="482"/>
      <c r="H155" s="482"/>
      <c r="I155" s="482"/>
      <c r="J155" s="482"/>
      <c r="K155" s="482"/>
      <c r="L155" s="482"/>
      <c r="M155" s="482"/>
      <c r="N155" s="482"/>
    </row>
    <row r="156" spans="1:14" ht="15.75" x14ac:dyDescent="0.25">
      <c r="A156" s="81" t="s">
        <v>1156</v>
      </c>
      <c r="B156" s="82"/>
      <c r="C156" s="82"/>
      <c r="D156" s="82"/>
      <c r="E156" s="82"/>
      <c r="F156" s="82"/>
      <c r="G156" s="82"/>
      <c r="H156" s="483"/>
      <c r="I156" s="483"/>
      <c r="J156" s="483"/>
      <c r="K156" s="483"/>
      <c r="L156" s="483"/>
      <c r="M156" s="484"/>
    </row>
    <row r="157" spans="1:14" x14ac:dyDescent="0.25">
      <c r="A157" s="39" t="s">
        <v>1115</v>
      </c>
      <c r="B157" s="83"/>
      <c r="C157" s="83"/>
      <c r="D157" s="83"/>
      <c r="E157" s="83"/>
      <c r="F157" s="83"/>
      <c r="G157" s="83"/>
      <c r="H157" s="83"/>
      <c r="I157" s="83"/>
      <c r="J157" s="83"/>
      <c r="K157" s="83"/>
    </row>
    <row r="158" spans="1:14" ht="15.75" x14ac:dyDescent="0.25">
      <c r="A158" s="81" t="s">
        <v>1157</v>
      </c>
      <c r="B158" s="82"/>
      <c r="C158" s="82"/>
      <c r="D158" s="82"/>
      <c r="E158" s="82"/>
      <c r="F158" s="82"/>
      <c r="G158" s="82"/>
      <c r="H158" s="483"/>
      <c r="I158" s="483"/>
      <c r="J158" s="483"/>
      <c r="K158" s="483"/>
      <c r="L158" s="483"/>
      <c r="M158" s="484"/>
    </row>
    <row r="159" spans="1:14" x14ac:dyDescent="0.25">
      <c r="A159" s="39" t="s">
        <v>1115</v>
      </c>
      <c r="B159" s="83"/>
      <c r="C159" s="83"/>
      <c r="D159" s="83"/>
      <c r="E159" s="83"/>
      <c r="F159" s="83"/>
      <c r="G159" s="83"/>
      <c r="H159" s="83"/>
      <c r="I159" s="83"/>
      <c r="J159" s="83"/>
      <c r="K159" s="83"/>
    </row>
    <row r="160" spans="1:14" x14ac:dyDescent="0.25">
      <c r="A160" s="39" t="s">
        <v>1115</v>
      </c>
      <c r="B160" s="84" t="s">
        <v>72</v>
      </c>
      <c r="C160" s="85"/>
      <c r="D160" s="85"/>
      <c r="E160" s="83"/>
      <c r="F160" s="83"/>
      <c r="G160" s="83"/>
      <c r="H160" s="84" t="s">
        <v>73</v>
      </c>
      <c r="I160" s="83"/>
      <c r="J160" s="85"/>
      <c r="K160" s="85"/>
    </row>
    <row r="161" spans="1:14" x14ac:dyDescent="0.25">
      <c r="A161" s="39" t="s">
        <v>1115</v>
      </c>
      <c r="B161" s="83"/>
      <c r="C161" s="84"/>
      <c r="D161" s="84"/>
      <c r="E161" s="83"/>
      <c r="F161" s="83"/>
      <c r="G161" s="83"/>
      <c r="H161" s="83"/>
      <c r="I161" s="84"/>
      <c r="J161" s="84"/>
      <c r="K161" s="84"/>
    </row>
    <row r="162" spans="1:14" x14ac:dyDescent="0.25">
      <c r="A162" s="39" t="s">
        <v>1115</v>
      </c>
      <c r="B162" s="84" t="s">
        <v>74</v>
      </c>
      <c r="C162" s="84"/>
      <c r="D162" s="84"/>
      <c r="E162" s="83"/>
      <c r="F162" s="83"/>
      <c r="G162" s="83"/>
      <c r="H162" s="84" t="s">
        <v>74</v>
      </c>
      <c r="I162" s="84"/>
      <c r="J162" s="84"/>
      <c r="K162" s="84"/>
    </row>
    <row r="163" spans="1:14" x14ac:dyDescent="0.25">
      <c r="A163" s="39" t="s">
        <v>1115</v>
      </c>
      <c r="B163" s="84" t="s">
        <v>75</v>
      </c>
      <c r="C163" s="84"/>
      <c r="D163" s="83"/>
      <c r="E163" s="83"/>
      <c r="F163" s="83"/>
      <c r="G163" s="83"/>
      <c r="H163" s="84" t="s">
        <v>76</v>
      </c>
      <c r="I163" s="84"/>
      <c r="J163" s="83"/>
      <c r="K163" s="83"/>
    </row>
    <row r="164" spans="1:14" x14ac:dyDescent="0.25">
      <c r="A164" s="39" t="s">
        <v>1115</v>
      </c>
    </row>
    <row r="165" spans="1:14" x14ac:dyDescent="0.25">
      <c r="A165" s="39" t="s">
        <v>1115</v>
      </c>
    </row>
    <row r="166" spans="1:14" x14ac:dyDescent="0.25">
      <c r="A166" s="39" t="s">
        <v>1115</v>
      </c>
    </row>
    <row r="167" spans="1:14" ht="9.75" customHeight="1" x14ac:dyDescent="0.25">
      <c r="A167" s="39" t="s">
        <v>1115</v>
      </c>
    </row>
    <row r="168" spans="1:14" ht="21" x14ac:dyDescent="0.25">
      <c r="A168" s="477" t="s">
        <v>1168</v>
      </c>
      <c r="B168" s="477"/>
      <c r="C168" s="477"/>
      <c r="D168" s="477"/>
      <c r="E168" s="477"/>
      <c r="F168" s="477"/>
      <c r="G168" s="477"/>
      <c r="H168" s="477"/>
      <c r="I168" s="477"/>
      <c r="J168" s="477"/>
      <c r="K168" s="477"/>
    </row>
    <row r="169" spans="1:14" ht="9.75" customHeight="1" x14ac:dyDescent="0.25">
      <c r="A169" s="39" t="s">
        <v>1115</v>
      </c>
    </row>
    <row r="170" spans="1:14" x14ac:dyDescent="0.25">
      <c r="A170" s="474" t="s">
        <v>282</v>
      </c>
      <c r="B170" s="474"/>
      <c r="C170" s="474"/>
      <c r="D170" s="393"/>
      <c r="E170" s="475"/>
      <c r="F170" s="475"/>
      <c r="G170" s="475"/>
      <c r="H170" s="394"/>
      <c r="I170" s="36"/>
      <c r="J170" s="476" t="s">
        <v>1180</v>
      </c>
      <c r="K170" s="476"/>
      <c r="L170" s="476"/>
      <c r="M170" s="476"/>
      <c r="N170" s="476"/>
    </row>
    <row r="171" spans="1:14" ht="9.75" customHeight="1" thickBot="1" x14ac:dyDescent="0.3">
      <c r="A171" s="39"/>
    </row>
    <row r="172" spans="1:14" ht="15.75" thickTop="1" x14ac:dyDescent="0.25">
      <c r="A172" s="406" t="s">
        <v>1170</v>
      </c>
      <c r="B172" s="407"/>
      <c r="C172" s="407"/>
      <c r="D172" s="407"/>
      <c r="E172" s="407"/>
      <c r="F172" s="407"/>
      <c r="G172" s="407"/>
      <c r="H172" s="407"/>
      <c r="I172" s="407"/>
      <c r="J172" s="407"/>
      <c r="K172" s="407"/>
      <c r="L172" s="407"/>
      <c r="M172" s="408"/>
    </row>
    <row r="173" spans="1:14" x14ac:dyDescent="0.25">
      <c r="A173" s="38" t="s">
        <v>1151</v>
      </c>
      <c r="B173" s="312" t="s">
        <v>1128</v>
      </c>
      <c r="C173" s="313"/>
      <c r="D173" s="312" t="s">
        <v>1129</v>
      </c>
      <c r="E173" s="313"/>
      <c r="F173" s="312" t="s">
        <v>1130</v>
      </c>
      <c r="G173" s="313"/>
      <c r="H173" s="312" t="s">
        <v>1152</v>
      </c>
      <c r="I173" s="313"/>
      <c r="J173" s="263" t="s">
        <v>1131</v>
      </c>
      <c r="K173" s="264"/>
      <c r="L173" s="264"/>
      <c r="M173" s="486"/>
    </row>
    <row r="174" spans="1:14" x14ac:dyDescent="0.25">
      <c r="A174" s="91" t="s">
        <v>1115</v>
      </c>
      <c r="B174" s="314"/>
      <c r="C174" s="315"/>
      <c r="D174" s="314"/>
      <c r="E174" s="315"/>
      <c r="F174" s="314"/>
      <c r="G174" s="315"/>
      <c r="H174" s="314"/>
      <c r="I174" s="315"/>
      <c r="J174" s="263" t="s">
        <v>15</v>
      </c>
      <c r="K174" s="265"/>
      <c r="L174" s="263" t="s">
        <v>1153</v>
      </c>
      <c r="M174" s="486"/>
    </row>
    <row r="175" spans="1:14" x14ac:dyDescent="0.25">
      <c r="A175" s="57" t="s">
        <v>43</v>
      </c>
      <c r="B175" s="97" t="s">
        <v>9</v>
      </c>
      <c r="C175" s="97" t="s">
        <v>10</v>
      </c>
      <c r="D175" s="97" t="s">
        <v>9</v>
      </c>
      <c r="E175" s="97" t="s">
        <v>10</v>
      </c>
      <c r="F175" s="97" t="s">
        <v>9</v>
      </c>
      <c r="G175" s="97" t="s">
        <v>10</v>
      </c>
      <c r="H175" s="97" t="s">
        <v>9</v>
      </c>
      <c r="I175" s="97" t="s">
        <v>10</v>
      </c>
      <c r="J175" s="97" t="s">
        <v>9</v>
      </c>
      <c r="K175" s="97" t="s">
        <v>10</v>
      </c>
      <c r="L175" s="97" t="s">
        <v>9</v>
      </c>
      <c r="M175" s="98" t="s">
        <v>10</v>
      </c>
    </row>
    <row r="176" spans="1:14" x14ac:dyDescent="0.25">
      <c r="A176" s="58" t="s">
        <v>68</v>
      </c>
      <c r="B176" s="31"/>
      <c r="C176" s="31"/>
      <c r="D176" s="31"/>
      <c r="E176" s="31"/>
      <c r="F176" s="31"/>
      <c r="G176" s="31"/>
      <c r="H176" s="31"/>
      <c r="I176" s="31"/>
      <c r="J176" s="31"/>
      <c r="K176" s="31"/>
      <c r="L176" s="31"/>
      <c r="M176" s="80"/>
    </row>
    <row r="177" spans="1:14" x14ac:dyDescent="0.25">
      <c r="A177" s="58" t="s">
        <v>69</v>
      </c>
      <c r="B177" s="31"/>
      <c r="C177" s="31"/>
      <c r="D177" s="31"/>
      <c r="E177" s="31"/>
      <c r="F177" s="31"/>
      <c r="G177" s="31"/>
      <c r="H177" s="31"/>
      <c r="I177" s="31"/>
      <c r="J177" s="31"/>
      <c r="K177" s="31"/>
      <c r="L177" s="31"/>
      <c r="M177" s="80"/>
    </row>
    <row r="178" spans="1:14" x14ac:dyDescent="0.25">
      <c r="A178" s="58" t="s">
        <v>70</v>
      </c>
      <c r="B178" s="31"/>
      <c r="C178" s="31"/>
      <c r="D178" s="31"/>
      <c r="E178" s="31"/>
      <c r="F178" s="31"/>
      <c r="G178" s="31"/>
      <c r="H178" s="31"/>
      <c r="I178" s="31"/>
      <c r="J178" s="31"/>
      <c r="K178" s="31"/>
      <c r="L178" s="31"/>
      <c r="M178" s="80"/>
    </row>
    <row r="179" spans="1:14" x14ac:dyDescent="0.25">
      <c r="A179" s="58" t="s">
        <v>71</v>
      </c>
      <c r="B179" s="29"/>
      <c r="C179" s="29"/>
      <c r="D179" s="29"/>
      <c r="E179" s="29"/>
      <c r="F179" s="29"/>
      <c r="G179" s="29"/>
      <c r="H179" s="29"/>
      <c r="I179" s="29"/>
      <c r="J179" s="29"/>
      <c r="K179" s="29"/>
      <c r="L179" s="29"/>
      <c r="M179" s="30"/>
    </row>
    <row r="180" spans="1:14" ht="15.75" thickBot="1" x14ac:dyDescent="0.3">
      <c r="A180" s="68" t="s">
        <v>15</v>
      </c>
      <c r="B180" s="62">
        <f t="shared" ref="B180:M180" si="26">SUM(B176:B179)</f>
        <v>0</v>
      </c>
      <c r="C180" s="62">
        <f t="shared" si="26"/>
        <v>0</v>
      </c>
      <c r="D180" s="62">
        <f t="shared" si="26"/>
        <v>0</v>
      </c>
      <c r="E180" s="62">
        <f t="shared" si="26"/>
        <v>0</v>
      </c>
      <c r="F180" s="62">
        <f t="shared" si="26"/>
        <v>0</v>
      </c>
      <c r="G180" s="62">
        <f t="shared" si="26"/>
        <v>0</v>
      </c>
      <c r="H180" s="62">
        <f t="shared" si="26"/>
        <v>0</v>
      </c>
      <c r="I180" s="62">
        <f t="shared" si="26"/>
        <v>0</v>
      </c>
      <c r="J180" s="62">
        <f t="shared" si="26"/>
        <v>0</v>
      </c>
      <c r="K180" s="62">
        <f t="shared" si="26"/>
        <v>0</v>
      </c>
      <c r="L180" s="62">
        <f t="shared" si="26"/>
        <v>0</v>
      </c>
      <c r="M180" s="63">
        <f t="shared" si="26"/>
        <v>0</v>
      </c>
    </row>
    <row r="181" spans="1:14" ht="15.75" thickTop="1" x14ac:dyDescent="0.25">
      <c r="A181" s="35" t="s">
        <v>1115</v>
      </c>
    </row>
    <row r="182" spans="1:14" x14ac:dyDescent="0.25">
      <c r="A182" s="35" t="s">
        <v>1115</v>
      </c>
    </row>
    <row r="183" spans="1:14" x14ac:dyDescent="0.25">
      <c r="A183" s="35" t="s">
        <v>1115</v>
      </c>
    </row>
    <row r="184" spans="1:14" x14ac:dyDescent="0.25">
      <c r="A184" s="485" t="s">
        <v>1154</v>
      </c>
      <c r="B184" s="485"/>
      <c r="C184" s="485"/>
      <c r="D184" s="485"/>
      <c r="E184" s="485"/>
      <c r="F184" s="485"/>
      <c r="G184" s="485"/>
      <c r="H184" s="485"/>
      <c r="I184" s="485"/>
      <c r="J184" s="485"/>
      <c r="K184" s="485"/>
      <c r="L184" s="485"/>
      <c r="M184" s="485"/>
      <c r="N184" s="485"/>
    </row>
    <row r="185" spans="1:14" x14ac:dyDescent="0.25">
      <c r="A185" s="482" t="s">
        <v>1155</v>
      </c>
      <c r="B185" s="482"/>
      <c r="C185" s="482"/>
      <c r="D185" s="482"/>
      <c r="E185" s="482"/>
      <c r="F185" s="482"/>
      <c r="G185" s="482"/>
      <c r="H185" s="482"/>
      <c r="I185" s="482"/>
      <c r="J185" s="482"/>
      <c r="K185" s="482"/>
      <c r="L185" s="482"/>
      <c r="M185" s="482"/>
      <c r="N185" s="482"/>
    </row>
    <row r="186" spans="1:14" x14ac:dyDescent="0.25">
      <c r="A186" s="482"/>
      <c r="B186" s="482"/>
      <c r="C186" s="482"/>
      <c r="D186" s="482"/>
      <c r="E186" s="482"/>
      <c r="F186" s="482"/>
      <c r="G186" s="482"/>
      <c r="H186" s="482"/>
      <c r="I186" s="482"/>
      <c r="J186" s="482"/>
      <c r="K186" s="482"/>
      <c r="L186" s="482"/>
      <c r="M186" s="482"/>
      <c r="N186" s="482"/>
    </row>
    <row r="187" spans="1:14" x14ac:dyDescent="0.25">
      <c r="A187" s="482"/>
      <c r="B187" s="482"/>
      <c r="C187" s="482"/>
      <c r="D187" s="482"/>
      <c r="E187" s="482"/>
      <c r="F187" s="482"/>
      <c r="G187" s="482"/>
      <c r="H187" s="482"/>
      <c r="I187" s="482"/>
      <c r="J187" s="482"/>
      <c r="K187" s="482"/>
      <c r="L187" s="482"/>
      <c r="M187" s="482"/>
      <c r="N187" s="482"/>
    </row>
    <row r="188" spans="1:14" x14ac:dyDescent="0.25">
      <c r="A188" s="482"/>
      <c r="B188" s="482"/>
      <c r="C188" s="482"/>
      <c r="D188" s="482"/>
      <c r="E188" s="482"/>
      <c r="F188" s="482"/>
      <c r="G188" s="482"/>
      <c r="H188" s="482"/>
      <c r="I188" s="482"/>
      <c r="J188" s="482"/>
      <c r="K188" s="482"/>
      <c r="L188" s="482"/>
      <c r="M188" s="482"/>
      <c r="N188" s="482"/>
    </row>
    <row r="189" spans="1:14" ht="15.75" x14ac:dyDescent="0.25">
      <c r="A189" s="81" t="s">
        <v>1156</v>
      </c>
      <c r="B189" s="82"/>
      <c r="C189" s="82"/>
      <c r="D189" s="82"/>
      <c r="E189" s="82"/>
      <c r="F189" s="82"/>
      <c r="G189" s="82"/>
      <c r="H189" s="483"/>
      <c r="I189" s="483"/>
      <c r="J189" s="483"/>
      <c r="K189" s="483"/>
      <c r="L189" s="483"/>
      <c r="M189" s="484"/>
    </row>
    <row r="190" spans="1:14" x14ac:dyDescent="0.25">
      <c r="A190" s="39" t="s">
        <v>1115</v>
      </c>
      <c r="B190" s="83"/>
      <c r="C190" s="83"/>
      <c r="D190" s="83"/>
      <c r="E190" s="83"/>
      <c r="F190" s="83"/>
      <c r="G190" s="83"/>
      <c r="H190" s="83"/>
      <c r="I190" s="83"/>
      <c r="J190" s="83"/>
      <c r="K190" s="83"/>
    </row>
    <row r="191" spans="1:14" ht="15.75" x14ac:dyDescent="0.25">
      <c r="A191" s="81" t="s">
        <v>1157</v>
      </c>
      <c r="B191" s="82"/>
      <c r="C191" s="82"/>
      <c r="D191" s="82"/>
      <c r="E191" s="82"/>
      <c r="F191" s="82"/>
      <c r="G191" s="82"/>
      <c r="H191" s="483"/>
      <c r="I191" s="483"/>
      <c r="J191" s="483"/>
      <c r="K191" s="483"/>
      <c r="L191" s="483"/>
      <c r="M191" s="484"/>
    </row>
    <row r="192" spans="1:14" x14ac:dyDescent="0.25">
      <c r="A192" s="39" t="s">
        <v>1115</v>
      </c>
      <c r="B192" s="83"/>
      <c r="C192" s="83"/>
      <c r="D192" s="83"/>
      <c r="E192" s="83"/>
      <c r="F192" s="83"/>
      <c r="G192" s="83"/>
      <c r="H192" s="83"/>
      <c r="I192" s="83"/>
      <c r="J192" s="83"/>
      <c r="K192" s="83"/>
    </row>
    <row r="193" spans="1:13" x14ac:dyDescent="0.25">
      <c r="A193" s="39" t="s">
        <v>1115</v>
      </c>
      <c r="B193" s="84" t="s">
        <v>72</v>
      </c>
      <c r="C193" s="85"/>
      <c r="D193" s="85"/>
      <c r="E193" s="83"/>
      <c r="F193" s="83"/>
      <c r="G193" s="83"/>
      <c r="H193" s="84" t="s">
        <v>73</v>
      </c>
      <c r="I193" s="83"/>
      <c r="J193" s="85"/>
      <c r="K193" s="85"/>
    </row>
    <row r="194" spans="1:13" x14ac:dyDescent="0.25">
      <c r="A194" s="39" t="s">
        <v>1115</v>
      </c>
      <c r="B194" s="83"/>
      <c r="C194" s="84"/>
      <c r="D194" s="84"/>
      <c r="E194" s="83"/>
      <c r="F194" s="83"/>
      <c r="G194" s="83"/>
      <c r="H194" s="83"/>
      <c r="I194" s="84"/>
      <c r="J194" s="84"/>
      <c r="K194" s="84"/>
    </row>
    <row r="195" spans="1:13" x14ac:dyDescent="0.25">
      <c r="A195" s="39" t="s">
        <v>1115</v>
      </c>
      <c r="B195" s="84" t="s">
        <v>74</v>
      </c>
      <c r="C195" s="84"/>
      <c r="D195" s="84"/>
      <c r="E195" s="83"/>
      <c r="F195" s="83"/>
      <c r="G195" s="83"/>
      <c r="H195" s="84" t="s">
        <v>74</v>
      </c>
      <c r="I195" s="84"/>
      <c r="J195" s="84"/>
      <c r="K195" s="84"/>
    </row>
    <row r="196" spans="1:13" x14ac:dyDescent="0.25">
      <c r="A196" s="39" t="s">
        <v>1115</v>
      </c>
      <c r="B196" s="84" t="s">
        <v>75</v>
      </c>
      <c r="C196" s="84"/>
      <c r="D196" s="83"/>
      <c r="E196" s="83"/>
      <c r="F196" s="83"/>
      <c r="G196" s="83"/>
      <c r="H196" s="84" t="s">
        <v>76</v>
      </c>
      <c r="I196" s="84"/>
      <c r="J196" s="83"/>
      <c r="K196" s="83"/>
    </row>
    <row r="197" spans="1:13" x14ac:dyDescent="0.25">
      <c r="A197" s="39" t="s">
        <v>1115</v>
      </c>
      <c r="B197" s="83"/>
      <c r="C197" s="83"/>
      <c r="D197" s="83"/>
      <c r="E197" s="83"/>
      <c r="F197" s="83"/>
      <c r="G197" s="83"/>
      <c r="H197" s="83"/>
      <c r="I197" s="83"/>
      <c r="J197" s="83"/>
      <c r="K197" s="83"/>
    </row>
    <row r="198" spans="1:13" x14ac:dyDescent="0.25">
      <c r="A198" s="39" t="s">
        <v>1115</v>
      </c>
    </row>
    <row r="199" spans="1:13" x14ac:dyDescent="0.25">
      <c r="A199" s="39" t="s">
        <v>1115</v>
      </c>
    </row>
    <row r="200" spans="1:13" x14ac:dyDescent="0.25">
      <c r="A200" s="39" t="s">
        <v>1115</v>
      </c>
    </row>
    <row r="201" spans="1:13" ht="21" x14ac:dyDescent="0.25">
      <c r="A201" s="477" t="s">
        <v>1171</v>
      </c>
      <c r="B201" s="477"/>
      <c r="C201" s="477"/>
      <c r="D201" s="477"/>
      <c r="E201" s="477"/>
      <c r="F201" s="477"/>
      <c r="G201" s="477"/>
      <c r="H201" s="477"/>
      <c r="I201" s="477"/>
      <c r="J201" s="477"/>
      <c r="K201" s="477"/>
    </row>
    <row r="202" spans="1:13" ht="21" x14ac:dyDescent="0.25">
      <c r="A202" s="67" t="s">
        <v>1115</v>
      </c>
      <c r="B202" s="100"/>
      <c r="C202" s="100"/>
      <c r="D202" s="100"/>
      <c r="E202" s="100"/>
      <c r="F202" s="100"/>
      <c r="G202" s="100"/>
      <c r="H202" s="100"/>
      <c r="I202" s="100"/>
      <c r="J202" s="100"/>
      <c r="K202" s="100"/>
    </row>
    <row r="203" spans="1:13" x14ac:dyDescent="0.25">
      <c r="A203" s="487" t="s">
        <v>283</v>
      </c>
      <c r="B203" s="487"/>
      <c r="C203" s="487"/>
      <c r="D203" s="488"/>
      <c r="E203" s="393"/>
      <c r="F203" s="475"/>
      <c r="G203" s="475"/>
      <c r="H203" s="394"/>
      <c r="J203" s="489" t="s">
        <v>125</v>
      </c>
      <c r="K203" s="489"/>
      <c r="L203" s="489"/>
      <c r="M203" s="489"/>
    </row>
    <row r="204" spans="1:13" ht="15.75" thickBot="1" x14ac:dyDescent="0.3">
      <c r="A204" s="35" t="s">
        <v>1115</v>
      </c>
    </row>
    <row r="205" spans="1:13" ht="15.75" thickTop="1" x14ac:dyDescent="0.25">
      <c r="A205" s="406" t="s">
        <v>1172</v>
      </c>
      <c r="B205" s="407"/>
      <c r="C205" s="407"/>
      <c r="D205" s="407"/>
      <c r="E205" s="407"/>
      <c r="F205" s="407"/>
      <c r="G205" s="407"/>
      <c r="H205" s="407"/>
      <c r="I205" s="407"/>
      <c r="J205" s="407"/>
      <c r="K205" s="407"/>
      <c r="L205" s="407"/>
      <c r="M205" s="408"/>
    </row>
    <row r="206" spans="1:13" x14ac:dyDescent="0.25">
      <c r="A206" s="38" t="s">
        <v>1151</v>
      </c>
      <c r="B206" s="312" t="s">
        <v>1128</v>
      </c>
      <c r="C206" s="313"/>
      <c r="D206" s="312" t="s">
        <v>1129</v>
      </c>
      <c r="E206" s="313"/>
      <c r="F206" s="312" t="s">
        <v>1130</v>
      </c>
      <c r="G206" s="313"/>
      <c r="H206" s="312" t="s">
        <v>1152</v>
      </c>
      <c r="I206" s="313"/>
      <c r="J206" s="263" t="s">
        <v>1131</v>
      </c>
      <c r="K206" s="264"/>
      <c r="L206" s="264"/>
      <c r="M206" s="486"/>
    </row>
    <row r="207" spans="1:13" x14ac:dyDescent="0.25">
      <c r="A207" s="91" t="s">
        <v>1115</v>
      </c>
      <c r="B207" s="314"/>
      <c r="C207" s="315"/>
      <c r="D207" s="314"/>
      <c r="E207" s="315"/>
      <c r="F207" s="314"/>
      <c r="G207" s="315"/>
      <c r="H207" s="314"/>
      <c r="I207" s="315"/>
      <c r="J207" s="263" t="s">
        <v>15</v>
      </c>
      <c r="K207" s="265"/>
      <c r="L207" s="263" t="s">
        <v>1153</v>
      </c>
      <c r="M207" s="486"/>
    </row>
    <row r="208" spans="1:13" x14ac:dyDescent="0.25">
      <c r="A208" s="57" t="s">
        <v>43</v>
      </c>
      <c r="B208" s="97" t="s">
        <v>9</v>
      </c>
      <c r="C208" s="97" t="s">
        <v>10</v>
      </c>
      <c r="D208" s="97" t="s">
        <v>9</v>
      </c>
      <c r="E208" s="97" t="s">
        <v>10</v>
      </c>
      <c r="F208" s="97" t="s">
        <v>9</v>
      </c>
      <c r="G208" s="97" t="s">
        <v>10</v>
      </c>
      <c r="H208" s="97" t="s">
        <v>9</v>
      </c>
      <c r="I208" s="97" t="s">
        <v>10</v>
      </c>
      <c r="J208" s="97" t="s">
        <v>9</v>
      </c>
      <c r="K208" s="97" t="s">
        <v>10</v>
      </c>
      <c r="L208" s="97" t="s">
        <v>9</v>
      </c>
      <c r="M208" s="98" t="s">
        <v>10</v>
      </c>
    </row>
    <row r="209" spans="1:14" x14ac:dyDescent="0.25">
      <c r="A209" s="58" t="s">
        <v>68</v>
      </c>
      <c r="B209" s="31"/>
      <c r="C209" s="31"/>
      <c r="D209" s="31"/>
      <c r="E209" s="31"/>
      <c r="F209" s="31"/>
      <c r="G209" s="31"/>
      <c r="H209" s="31"/>
      <c r="I209" s="31"/>
      <c r="J209" s="31"/>
      <c r="K209" s="31"/>
      <c r="L209" s="31"/>
      <c r="M209" s="80"/>
    </row>
    <row r="210" spans="1:14" x14ac:dyDescent="0.25">
      <c r="A210" s="58" t="s">
        <v>69</v>
      </c>
      <c r="B210" s="31"/>
      <c r="C210" s="31"/>
      <c r="D210" s="31"/>
      <c r="E210" s="31"/>
      <c r="F210" s="31"/>
      <c r="G210" s="31"/>
      <c r="H210" s="31"/>
      <c r="I210" s="31"/>
      <c r="J210" s="31"/>
      <c r="K210" s="31"/>
      <c r="L210" s="31"/>
      <c r="M210" s="80"/>
    </row>
    <row r="211" spans="1:14" x14ac:dyDescent="0.25">
      <c r="A211" s="58" t="s">
        <v>70</v>
      </c>
      <c r="B211" s="31"/>
      <c r="C211" s="31"/>
      <c r="D211" s="31"/>
      <c r="E211" s="31"/>
      <c r="F211" s="31"/>
      <c r="G211" s="31"/>
      <c r="H211" s="31"/>
      <c r="I211" s="31"/>
      <c r="J211" s="31"/>
      <c r="K211" s="31"/>
      <c r="L211" s="31"/>
      <c r="M211" s="80"/>
    </row>
    <row r="212" spans="1:14" x14ac:dyDescent="0.25">
      <c r="A212" s="58" t="s">
        <v>71</v>
      </c>
      <c r="B212" s="29"/>
      <c r="C212" s="29"/>
      <c r="D212" s="29"/>
      <c r="E212" s="29"/>
      <c r="F212" s="29"/>
      <c r="G212" s="29"/>
      <c r="H212" s="29"/>
      <c r="I212" s="29"/>
      <c r="J212" s="29"/>
      <c r="K212" s="29"/>
      <c r="L212" s="29"/>
      <c r="M212" s="30"/>
    </row>
    <row r="213" spans="1:14" ht="15.75" thickBot="1" x14ac:dyDescent="0.3">
      <c r="A213" s="68" t="s">
        <v>15</v>
      </c>
      <c r="B213" s="62">
        <f t="shared" ref="B213:M213" si="27">SUM(B209:B212)</f>
        <v>0</v>
      </c>
      <c r="C213" s="62">
        <f t="shared" si="27"/>
        <v>0</v>
      </c>
      <c r="D213" s="62">
        <f t="shared" si="27"/>
        <v>0</v>
      </c>
      <c r="E213" s="62">
        <f t="shared" si="27"/>
        <v>0</v>
      </c>
      <c r="F213" s="62">
        <f t="shared" si="27"/>
        <v>0</v>
      </c>
      <c r="G213" s="62">
        <f t="shared" si="27"/>
        <v>0</v>
      </c>
      <c r="H213" s="62">
        <f t="shared" si="27"/>
        <v>0</v>
      </c>
      <c r="I213" s="62">
        <f t="shared" si="27"/>
        <v>0</v>
      </c>
      <c r="J213" s="62">
        <f t="shared" si="27"/>
        <v>0</v>
      </c>
      <c r="K213" s="62">
        <f t="shared" si="27"/>
        <v>0</v>
      </c>
      <c r="L213" s="62">
        <f t="shared" si="27"/>
        <v>0</v>
      </c>
      <c r="M213" s="63">
        <f t="shared" si="27"/>
        <v>0</v>
      </c>
    </row>
    <row r="214" spans="1:14" ht="15.75" thickTop="1" x14ac:dyDescent="0.25">
      <c r="A214" s="35" t="s">
        <v>1115</v>
      </c>
    </row>
    <row r="215" spans="1:14" x14ac:dyDescent="0.25">
      <c r="A215" s="35" t="s">
        <v>1115</v>
      </c>
    </row>
    <row r="216" spans="1:14" x14ac:dyDescent="0.25">
      <c r="A216" s="35" t="s">
        <v>1115</v>
      </c>
    </row>
    <row r="217" spans="1:14" x14ac:dyDescent="0.25">
      <c r="A217" s="485" t="s">
        <v>1154</v>
      </c>
      <c r="B217" s="485"/>
      <c r="C217" s="485"/>
      <c r="D217" s="485"/>
      <c r="E217" s="485"/>
      <c r="F217" s="485"/>
      <c r="G217" s="485"/>
      <c r="H217" s="485"/>
      <c r="I217" s="485"/>
      <c r="J217" s="485"/>
      <c r="K217" s="485"/>
      <c r="L217" s="485"/>
      <c r="M217" s="485"/>
      <c r="N217" s="485"/>
    </row>
    <row r="218" spans="1:14" x14ac:dyDescent="0.25">
      <c r="A218" s="482" t="s">
        <v>1155</v>
      </c>
      <c r="B218" s="482"/>
      <c r="C218" s="482"/>
      <c r="D218" s="482"/>
      <c r="E218" s="482"/>
      <c r="F218" s="482"/>
      <c r="G218" s="482"/>
      <c r="H218" s="482"/>
      <c r="I218" s="482"/>
      <c r="J218" s="482"/>
      <c r="K218" s="482"/>
      <c r="L218" s="482"/>
      <c r="M218" s="482"/>
      <c r="N218" s="482"/>
    </row>
    <row r="219" spans="1:14" x14ac:dyDescent="0.25">
      <c r="A219" s="482"/>
      <c r="B219" s="482"/>
      <c r="C219" s="482"/>
      <c r="D219" s="482"/>
      <c r="E219" s="482"/>
      <c r="F219" s="482"/>
      <c r="G219" s="482"/>
      <c r="H219" s="482"/>
      <c r="I219" s="482"/>
      <c r="J219" s="482"/>
      <c r="K219" s="482"/>
      <c r="L219" s="482"/>
      <c r="M219" s="482"/>
      <c r="N219" s="482"/>
    </row>
    <row r="220" spans="1:14" x14ac:dyDescent="0.25">
      <c r="A220" s="482"/>
      <c r="B220" s="482"/>
      <c r="C220" s="482"/>
      <c r="D220" s="482"/>
      <c r="E220" s="482"/>
      <c r="F220" s="482"/>
      <c r="G220" s="482"/>
      <c r="H220" s="482"/>
      <c r="I220" s="482"/>
      <c r="J220" s="482"/>
      <c r="K220" s="482"/>
      <c r="L220" s="482"/>
      <c r="M220" s="482"/>
      <c r="N220" s="482"/>
    </row>
    <row r="221" spans="1:14" x14ac:dyDescent="0.25">
      <c r="A221" s="482"/>
      <c r="B221" s="482"/>
      <c r="C221" s="482"/>
      <c r="D221" s="482"/>
      <c r="E221" s="482"/>
      <c r="F221" s="482"/>
      <c r="G221" s="482"/>
      <c r="H221" s="482"/>
      <c r="I221" s="482"/>
      <c r="J221" s="482"/>
      <c r="K221" s="482"/>
      <c r="L221" s="482"/>
      <c r="M221" s="482"/>
      <c r="N221" s="482"/>
    </row>
    <row r="222" spans="1:14" ht="15.75" x14ac:dyDescent="0.25">
      <c r="A222" s="81" t="s">
        <v>1156</v>
      </c>
      <c r="B222" s="82"/>
      <c r="C222" s="82"/>
      <c r="D222" s="82"/>
      <c r="E222" s="82"/>
      <c r="F222" s="82"/>
      <c r="G222" s="82"/>
      <c r="H222" s="490"/>
      <c r="I222" s="490"/>
      <c r="J222" s="490"/>
      <c r="K222" s="490"/>
      <c r="L222" s="490"/>
      <c r="M222" s="491"/>
    </row>
    <row r="223" spans="1:14" x14ac:dyDescent="0.25">
      <c r="A223" s="39" t="s">
        <v>1115</v>
      </c>
      <c r="B223" s="83"/>
      <c r="C223" s="83"/>
      <c r="D223" s="83"/>
      <c r="E223" s="83"/>
      <c r="F223" s="83"/>
      <c r="G223" s="83"/>
      <c r="H223" s="83"/>
      <c r="I223" s="83"/>
      <c r="J223" s="83"/>
      <c r="K223" s="83"/>
    </row>
    <row r="224" spans="1:14" ht="15.75" x14ac:dyDescent="0.25">
      <c r="A224" s="81" t="s">
        <v>1157</v>
      </c>
      <c r="B224" s="82"/>
      <c r="C224" s="82"/>
      <c r="D224" s="82"/>
      <c r="E224" s="82"/>
      <c r="F224" s="82"/>
      <c r="G224" s="82"/>
      <c r="H224" s="490"/>
      <c r="I224" s="490"/>
      <c r="J224" s="490"/>
      <c r="K224" s="490"/>
      <c r="L224" s="490"/>
      <c r="M224" s="491"/>
    </row>
    <row r="225" spans="1:13" x14ac:dyDescent="0.25">
      <c r="A225" s="39" t="s">
        <v>1115</v>
      </c>
      <c r="B225" s="83"/>
      <c r="C225" s="83"/>
      <c r="D225" s="83"/>
      <c r="E225" s="83"/>
      <c r="F225" s="83"/>
      <c r="G225" s="83"/>
      <c r="H225" s="83"/>
      <c r="I225" s="83"/>
      <c r="J225" s="83"/>
      <c r="K225" s="83"/>
    </row>
    <row r="226" spans="1:13" x14ac:dyDescent="0.25">
      <c r="A226" s="39" t="s">
        <v>1115</v>
      </c>
      <c r="B226" s="84" t="s">
        <v>72</v>
      </c>
      <c r="C226" s="85"/>
      <c r="D226" s="85"/>
      <c r="E226" s="83"/>
      <c r="F226" s="83"/>
      <c r="G226" s="83"/>
      <c r="H226" s="84" t="s">
        <v>73</v>
      </c>
      <c r="I226" s="83"/>
      <c r="J226" s="85"/>
      <c r="K226" s="85"/>
    </row>
    <row r="227" spans="1:13" x14ac:dyDescent="0.25">
      <c r="A227" s="39" t="s">
        <v>1115</v>
      </c>
      <c r="B227" s="83"/>
      <c r="C227" s="84"/>
      <c r="D227" s="84"/>
      <c r="E227" s="83"/>
      <c r="F227" s="83"/>
      <c r="G227" s="83"/>
      <c r="H227" s="83"/>
      <c r="I227" s="84"/>
      <c r="J227" s="84"/>
      <c r="K227" s="84"/>
    </row>
    <row r="228" spans="1:13" x14ac:dyDescent="0.25">
      <c r="A228" s="39" t="s">
        <v>1115</v>
      </c>
      <c r="B228" s="84" t="s">
        <v>74</v>
      </c>
      <c r="C228" s="84"/>
      <c r="D228" s="84"/>
      <c r="E228" s="83"/>
      <c r="F228" s="83"/>
      <c r="G228" s="83"/>
      <c r="H228" s="84" t="s">
        <v>74</v>
      </c>
      <c r="I228" s="84"/>
      <c r="J228" s="84"/>
      <c r="K228" s="84"/>
    </row>
    <row r="229" spans="1:13" x14ac:dyDescent="0.25">
      <c r="A229" s="39" t="s">
        <v>1115</v>
      </c>
      <c r="B229" s="84" t="s">
        <v>75</v>
      </c>
      <c r="C229" s="84"/>
      <c r="D229" s="83"/>
      <c r="E229" s="83"/>
      <c r="F229" s="83"/>
      <c r="G229" s="83"/>
      <c r="H229" s="84" t="s">
        <v>76</v>
      </c>
      <c r="I229" s="84"/>
      <c r="J229" s="83"/>
      <c r="K229" s="83"/>
    </row>
    <row r="230" spans="1:13" x14ac:dyDescent="0.25">
      <c r="A230" s="39" t="s">
        <v>1115</v>
      </c>
      <c r="B230" s="83"/>
      <c r="C230" s="83"/>
      <c r="D230" s="83"/>
      <c r="E230" s="83"/>
      <c r="F230" s="83"/>
      <c r="G230" s="83"/>
      <c r="H230" s="83"/>
      <c r="I230" s="83"/>
      <c r="J230" s="83"/>
      <c r="K230" s="83"/>
    </row>
    <row r="231" spans="1:13" x14ac:dyDescent="0.25">
      <c r="A231" s="39" t="s">
        <v>1115</v>
      </c>
    </row>
    <row r="232" spans="1:13" x14ac:dyDescent="0.25">
      <c r="A232" s="39" t="s">
        <v>1115</v>
      </c>
    </row>
    <row r="233" spans="1:13" ht="21" x14ac:dyDescent="0.25">
      <c r="A233" s="477" t="s">
        <v>1174</v>
      </c>
      <c r="B233" s="477"/>
      <c r="C233" s="477"/>
      <c r="D233" s="477"/>
      <c r="E233" s="477"/>
      <c r="F233" s="477"/>
      <c r="G233" s="477"/>
      <c r="H233" s="477"/>
      <c r="I233" s="66"/>
      <c r="J233" s="481" t="s">
        <v>124</v>
      </c>
      <c r="K233" s="481"/>
      <c r="L233" s="481"/>
      <c r="M233" s="481"/>
    </row>
    <row r="234" spans="1:13" ht="21" x14ac:dyDescent="0.25">
      <c r="A234" s="67" t="s">
        <v>1115</v>
      </c>
      <c r="B234" s="100"/>
      <c r="C234" s="100"/>
      <c r="D234" s="100"/>
      <c r="E234" s="100"/>
      <c r="F234" s="100"/>
      <c r="G234" s="100"/>
      <c r="H234" s="100"/>
      <c r="I234" s="100"/>
      <c r="J234" s="100"/>
    </row>
    <row r="235" spans="1:13" x14ac:dyDescent="0.25">
      <c r="A235" s="401" t="s">
        <v>1432</v>
      </c>
      <c r="B235" s="401"/>
      <c r="C235" s="401"/>
      <c r="D235" s="478"/>
      <c r="E235" s="479"/>
      <c r="F235" s="479"/>
      <c r="G235" s="480"/>
      <c r="I235" s="94" t="s">
        <v>284</v>
      </c>
      <c r="J235" s="478"/>
      <c r="K235" s="479"/>
      <c r="L235" s="479"/>
      <c r="M235" s="480"/>
    </row>
    <row r="236" spans="1:13" ht="15.75" thickBot="1" x14ac:dyDescent="0.3">
      <c r="A236" s="35" t="s">
        <v>1115</v>
      </c>
    </row>
    <row r="237" spans="1:13" ht="15.75" thickTop="1" x14ac:dyDescent="0.25">
      <c r="A237" s="406" t="s">
        <v>1173</v>
      </c>
      <c r="B237" s="407"/>
      <c r="C237" s="407"/>
      <c r="D237" s="407"/>
      <c r="E237" s="407"/>
      <c r="F237" s="407"/>
      <c r="G237" s="407"/>
      <c r="H237" s="407"/>
      <c r="I237" s="407"/>
      <c r="J237" s="407"/>
      <c r="K237" s="407"/>
      <c r="L237" s="407"/>
      <c r="M237" s="408"/>
    </row>
    <row r="238" spans="1:13" x14ac:dyDescent="0.25">
      <c r="A238" s="38" t="s">
        <v>1151</v>
      </c>
      <c r="B238" s="312" t="s">
        <v>1128</v>
      </c>
      <c r="C238" s="313"/>
      <c r="D238" s="312" t="s">
        <v>1129</v>
      </c>
      <c r="E238" s="313"/>
      <c r="F238" s="312" t="s">
        <v>1130</v>
      </c>
      <c r="G238" s="313"/>
      <c r="H238" s="312" t="s">
        <v>1152</v>
      </c>
      <c r="I238" s="313"/>
      <c r="J238" s="263" t="s">
        <v>1131</v>
      </c>
      <c r="K238" s="264"/>
      <c r="L238" s="264"/>
      <c r="M238" s="486"/>
    </row>
    <row r="239" spans="1:13" x14ac:dyDescent="0.25">
      <c r="A239" s="91" t="s">
        <v>1115</v>
      </c>
      <c r="B239" s="314"/>
      <c r="C239" s="315"/>
      <c r="D239" s="314"/>
      <c r="E239" s="315"/>
      <c r="F239" s="314"/>
      <c r="G239" s="315"/>
      <c r="H239" s="314"/>
      <c r="I239" s="315"/>
      <c r="J239" s="263" t="s">
        <v>15</v>
      </c>
      <c r="K239" s="265"/>
      <c r="L239" s="263" t="s">
        <v>1153</v>
      </c>
      <c r="M239" s="486"/>
    </row>
    <row r="240" spans="1:13" x14ac:dyDescent="0.25">
      <c r="A240" s="57" t="s">
        <v>43</v>
      </c>
      <c r="B240" s="97" t="s">
        <v>9</v>
      </c>
      <c r="C240" s="97" t="s">
        <v>10</v>
      </c>
      <c r="D240" s="97" t="s">
        <v>9</v>
      </c>
      <c r="E240" s="97" t="s">
        <v>10</v>
      </c>
      <c r="F240" s="97" t="s">
        <v>9</v>
      </c>
      <c r="G240" s="97" t="s">
        <v>10</v>
      </c>
      <c r="H240" s="97" t="s">
        <v>9</v>
      </c>
      <c r="I240" s="97" t="s">
        <v>10</v>
      </c>
      <c r="J240" s="97" t="s">
        <v>9</v>
      </c>
      <c r="K240" s="97" t="s">
        <v>10</v>
      </c>
      <c r="L240" s="97" t="s">
        <v>9</v>
      </c>
      <c r="M240" s="98" t="s">
        <v>10</v>
      </c>
    </row>
    <row r="241" spans="1:14" x14ac:dyDescent="0.25">
      <c r="A241" s="49" t="s">
        <v>65</v>
      </c>
      <c r="B241" s="31"/>
      <c r="C241" s="31"/>
      <c r="D241" s="31"/>
      <c r="E241" s="31"/>
      <c r="F241" s="31"/>
      <c r="G241" s="31"/>
      <c r="H241" s="31"/>
      <c r="I241" s="31"/>
      <c r="J241" s="31"/>
      <c r="K241" s="31"/>
      <c r="L241" s="31"/>
      <c r="M241" s="80"/>
    </row>
    <row r="242" spans="1:14" x14ac:dyDescent="0.25">
      <c r="A242" s="99" t="s">
        <v>66</v>
      </c>
      <c r="B242" s="31"/>
      <c r="C242" s="31"/>
      <c r="D242" s="31"/>
      <c r="E242" s="31"/>
      <c r="F242" s="31"/>
      <c r="G242" s="31"/>
      <c r="H242" s="31"/>
      <c r="I242" s="31"/>
      <c r="J242" s="31"/>
      <c r="K242" s="31"/>
      <c r="L242" s="31"/>
      <c r="M242" s="80"/>
    </row>
    <row r="243" spans="1:14" x14ac:dyDescent="0.25">
      <c r="A243" s="49" t="s">
        <v>67</v>
      </c>
      <c r="B243" s="29"/>
      <c r="C243" s="29"/>
      <c r="D243" s="29"/>
      <c r="E243" s="29"/>
      <c r="F243" s="29"/>
      <c r="G243" s="29"/>
      <c r="H243" s="29"/>
      <c r="I243" s="29"/>
      <c r="J243" s="29"/>
      <c r="K243" s="29"/>
      <c r="L243" s="29"/>
      <c r="M243" s="30"/>
    </row>
    <row r="244" spans="1:14" ht="15.75" thickBot="1" x14ac:dyDescent="0.3">
      <c r="A244" s="68" t="s">
        <v>15</v>
      </c>
      <c r="B244" s="62">
        <f t="shared" ref="B244:M244" si="28">SUM(B241:B243)</f>
        <v>0</v>
      </c>
      <c r="C244" s="62">
        <f t="shared" si="28"/>
        <v>0</v>
      </c>
      <c r="D244" s="62">
        <f t="shared" si="28"/>
        <v>0</v>
      </c>
      <c r="E244" s="62">
        <f t="shared" si="28"/>
        <v>0</v>
      </c>
      <c r="F244" s="62">
        <f t="shared" si="28"/>
        <v>0</v>
      </c>
      <c r="G244" s="62">
        <f t="shared" si="28"/>
        <v>0</v>
      </c>
      <c r="H244" s="62">
        <f t="shared" si="28"/>
        <v>0</v>
      </c>
      <c r="I244" s="62">
        <f t="shared" si="28"/>
        <v>0</v>
      </c>
      <c r="J244" s="62">
        <f t="shared" si="28"/>
        <v>0</v>
      </c>
      <c r="K244" s="62">
        <f t="shared" si="28"/>
        <v>0</v>
      </c>
      <c r="L244" s="62">
        <f t="shared" si="28"/>
        <v>0</v>
      </c>
      <c r="M244" s="63">
        <f t="shared" si="28"/>
        <v>0</v>
      </c>
    </row>
    <row r="245" spans="1:14" ht="15.75" thickTop="1" x14ac:dyDescent="0.25">
      <c r="A245" s="35" t="s">
        <v>1115</v>
      </c>
    </row>
    <row r="246" spans="1:14" x14ac:dyDescent="0.25">
      <c r="A246" s="35" t="s">
        <v>1115</v>
      </c>
    </row>
    <row r="247" spans="1:14" x14ac:dyDescent="0.25">
      <c r="A247" s="35" t="s">
        <v>1115</v>
      </c>
    </row>
    <row r="248" spans="1:14" x14ac:dyDescent="0.25">
      <c r="A248" s="485" t="s">
        <v>1154</v>
      </c>
      <c r="B248" s="485"/>
      <c r="C248" s="485"/>
      <c r="D248" s="485"/>
      <c r="E248" s="485"/>
      <c r="F248" s="485"/>
      <c r="G248" s="485"/>
      <c r="H248" s="485"/>
      <c r="I248" s="485"/>
      <c r="J248" s="485"/>
      <c r="K248" s="485"/>
      <c r="L248" s="485"/>
      <c r="M248" s="485"/>
      <c r="N248" s="485"/>
    </row>
    <row r="249" spans="1:14" x14ac:dyDescent="0.25">
      <c r="A249" s="482" t="s">
        <v>1155</v>
      </c>
      <c r="B249" s="482"/>
      <c r="C249" s="482"/>
      <c r="D249" s="482"/>
      <c r="E249" s="482"/>
      <c r="F249" s="482"/>
      <c r="G249" s="482"/>
      <c r="H249" s="482"/>
      <c r="I249" s="482"/>
      <c r="J249" s="482"/>
      <c r="K249" s="482"/>
      <c r="L249" s="482"/>
      <c r="M249" s="482"/>
      <c r="N249" s="482"/>
    </row>
    <row r="250" spans="1:14" x14ac:dyDescent="0.25">
      <c r="A250" s="482"/>
      <c r="B250" s="482"/>
      <c r="C250" s="482"/>
      <c r="D250" s="482"/>
      <c r="E250" s="482"/>
      <c r="F250" s="482"/>
      <c r="G250" s="482"/>
      <c r="H250" s="482"/>
      <c r="I250" s="482"/>
      <c r="J250" s="482"/>
      <c r="K250" s="482"/>
      <c r="L250" s="482"/>
      <c r="M250" s="482"/>
      <c r="N250" s="482"/>
    </row>
    <row r="251" spans="1:14" x14ac:dyDescent="0.25">
      <c r="A251" s="482"/>
      <c r="B251" s="482"/>
      <c r="C251" s="482"/>
      <c r="D251" s="482"/>
      <c r="E251" s="482"/>
      <c r="F251" s="482"/>
      <c r="G251" s="482"/>
      <c r="H251" s="482"/>
      <c r="I251" s="482"/>
      <c r="J251" s="482"/>
      <c r="K251" s="482"/>
      <c r="L251" s="482"/>
      <c r="M251" s="482"/>
      <c r="N251" s="482"/>
    </row>
    <row r="252" spans="1:14" x14ac:dyDescent="0.25">
      <c r="A252" s="482"/>
      <c r="B252" s="482"/>
      <c r="C252" s="482"/>
      <c r="D252" s="482"/>
      <c r="E252" s="482"/>
      <c r="F252" s="482"/>
      <c r="G252" s="482"/>
      <c r="H252" s="482"/>
      <c r="I252" s="482"/>
      <c r="J252" s="482"/>
      <c r="K252" s="482"/>
      <c r="L252" s="482"/>
      <c r="M252" s="482"/>
      <c r="N252" s="482"/>
    </row>
    <row r="253" spans="1:14" ht="15.75" x14ac:dyDescent="0.25">
      <c r="A253" s="81" t="s">
        <v>1156</v>
      </c>
      <c r="B253" s="82"/>
      <c r="C253" s="82"/>
      <c r="D253" s="82"/>
      <c r="E253" s="82"/>
      <c r="F253" s="82"/>
      <c r="G253" s="82"/>
      <c r="H253" s="483"/>
      <c r="I253" s="483"/>
      <c r="J253" s="483"/>
      <c r="K253" s="483"/>
      <c r="L253" s="483"/>
      <c r="M253" s="484"/>
    </row>
    <row r="254" spans="1:14" x14ac:dyDescent="0.25">
      <c r="A254" s="39" t="s">
        <v>1115</v>
      </c>
      <c r="B254" s="83"/>
      <c r="C254" s="83"/>
      <c r="D254" s="83"/>
      <c r="E254" s="83"/>
      <c r="F254" s="83"/>
      <c r="G254" s="83"/>
      <c r="H254" s="83"/>
      <c r="I254" s="83"/>
      <c r="J254" s="83"/>
      <c r="K254" s="83"/>
    </row>
    <row r="255" spans="1:14" ht="15.75" x14ac:dyDescent="0.25">
      <c r="A255" s="81" t="s">
        <v>1157</v>
      </c>
      <c r="B255" s="82"/>
      <c r="C255" s="82"/>
      <c r="D255" s="82"/>
      <c r="E255" s="82"/>
      <c r="F255" s="82"/>
      <c r="G255" s="82"/>
      <c r="H255" s="483"/>
      <c r="I255" s="483"/>
      <c r="J255" s="483"/>
      <c r="K255" s="483"/>
      <c r="L255" s="483"/>
      <c r="M255" s="484"/>
    </row>
    <row r="256" spans="1:14" x14ac:dyDescent="0.25">
      <c r="A256" s="39" t="s">
        <v>1115</v>
      </c>
      <c r="B256" s="83"/>
      <c r="C256" s="83"/>
      <c r="D256" s="83"/>
      <c r="E256" s="83"/>
      <c r="F256" s="83"/>
      <c r="G256" s="83"/>
      <c r="H256" s="83"/>
      <c r="I256" s="83"/>
      <c r="J256" s="83"/>
      <c r="K256" s="83"/>
    </row>
    <row r="257" spans="1:13" x14ac:dyDescent="0.25">
      <c r="A257" s="39" t="s">
        <v>1115</v>
      </c>
      <c r="B257" s="84" t="s">
        <v>72</v>
      </c>
      <c r="C257" s="85"/>
      <c r="D257" s="85"/>
      <c r="E257" s="83"/>
      <c r="F257" s="83"/>
      <c r="G257" s="83"/>
      <c r="H257" s="84" t="s">
        <v>73</v>
      </c>
      <c r="I257" s="83"/>
      <c r="J257" s="85"/>
      <c r="K257" s="85"/>
    </row>
    <row r="258" spans="1:13" x14ac:dyDescent="0.25">
      <c r="A258" s="39" t="s">
        <v>1115</v>
      </c>
      <c r="B258" s="83"/>
      <c r="C258" s="84"/>
      <c r="D258" s="84"/>
      <c r="E258" s="83"/>
      <c r="F258" s="83"/>
      <c r="G258" s="83"/>
      <c r="H258" s="83"/>
      <c r="I258" s="84"/>
      <c r="J258" s="84"/>
      <c r="K258" s="84"/>
    </row>
    <row r="259" spans="1:13" x14ac:dyDescent="0.25">
      <c r="A259" s="39" t="s">
        <v>1115</v>
      </c>
      <c r="B259" s="84" t="s">
        <v>74</v>
      </c>
      <c r="C259" s="84"/>
      <c r="D259" s="84"/>
      <c r="E259" s="83"/>
      <c r="F259" s="83"/>
      <c r="G259" s="83"/>
      <c r="H259" s="84" t="s">
        <v>74</v>
      </c>
      <c r="I259" s="84"/>
      <c r="J259" s="84"/>
      <c r="K259" s="84"/>
    </row>
    <row r="260" spans="1:13" x14ac:dyDescent="0.25">
      <c r="A260" s="39" t="s">
        <v>1115</v>
      </c>
      <c r="B260" s="84" t="s">
        <v>75</v>
      </c>
      <c r="C260" s="84"/>
      <c r="D260" s="83"/>
      <c r="E260" s="83"/>
      <c r="F260" s="83"/>
      <c r="G260" s="83"/>
      <c r="H260" s="84" t="s">
        <v>76</v>
      </c>
      <c r="I260" s="84"/>
      <c r="J260" s="83"/>
      <c r="K260" s="83"/>
    </row>
    <row r="261" spans="1:13" x14ac:dyDescent="0.25">
      <c r="A261" s="39" t="s">
        <v>1115</v>
      </c>
      <c r="B261" s="83"/>
      <c r="C261" s="83"/>
      <c r="D261" s="83"/>
      <c r="E261" s="83"/>
      <c r="F261" s="83"/>
      <c r="G261" s="83"/>
      <c r="H261" s="83"/>
      <c r="I261" s="83"/>
      <c r="J261" s="83"/>
      <c r="K261" s="83"/>
    </row>
    <row r="262" spans="1:13" x14ac:dyDescent="0.25">
      <c r="A262" s="39" t="s">
        <v>1115</v>
      </c>
    </row>
    <row r="263" spans="1:13" x14ac:dyDescent="0.25">
      <c r="A263" s="39" t="s">
        <v>1115</v>
      </c>
    </row>
    <row r="264" spans="1:13" x14ac:dyDescent="0.25">
      <c r="A264" s="39" t="s">
        <v>1115</v>
      </c>
    </row>
    <row r="265" spans="1:13" ht="21" x14ac:dyDescent="0.25">
      <c r="A265" s="477" t="s">
        <v>1175</v>
      </c>
      <c r="B265" s="477"/>
      <c r="C265" s="477"/>
      <c r="D265" s="477"/>
      <c r="E265" s="477"/>
      <c r="F265" s="477"/>
      <c r="G265" s="477"/>
      <c r="H265" s="477"/>
      <c r="I265" s="66"/>
      <c r="J265" s="481" t="s">
        <v>124</v>
      </c>
      <c r="K265" s="481"/>
      <c r="L265" s="481"/>
      <c r="M265" s="481"/>
    </row>
    <row r="266" spans="1:13" ht="21" x14ac:dyDescent="0.25">
      <c r="A266" s="67" t="s">
        <v>1115</v>
      </c>
      <c r="B266" s="100"/>
      <c r="C266" s="100"/>
      <c r="D266" s="100"/>
      <c r="E266" s="100"/>
      <c r="F266" s="100"/>
      <c r="G266" s="100"/>
      <c r="H266" s="100"/>
      <c r="I266" s="100"/>
      <c r="J266" s="100"/>
      <c r="K266" s="100"/>
    </row>
    <row r="267" spans="1:13" x14ac:dyDescent="0.25">
      <c r="A267" s="401" t="s">
        <v>1432</v>
      </c>
      <c r="B267" s="401"/>
      <c r="C267" s="492"/>
      <c r="D267" s="478"/>
      <c r="E267" s="479"/>
      <c r="F267" s="479"/>
      <c r="G267" s="480"/>
      <c r="H267" s="95"/>
      <c r="I267" s="93" t="s">
        <v>284</v>
      </c>
      <c r="J267" s="478"/>
      <c r="K267" s="479"/>
      <c r="L267" s="479"/>
      <c r="M267" s="480"/>
    </row>
    <row r="268" spans="1:13" ht="15.75" thickBot="1" x14ac:dyDescent="0.3">
      <c r="A268" s="35" t="s">
        <v>1115</v>
      </c>
    </row>
    <row r="269" spans="1:13" ht="15.75" thickTop="1" x14ac:dyDescent="0.25">
      <c r="A269" s="406" t="s">
        <v>1176</v>
      </c>
      <c r="B269" s="407"/>
      <c r="C269" s="407"/>
      <c r="D269" s="407"/>
      <c r="E269" s="407"/>
      <c r="F269" s="407"/>
      <c r="G269" s="407"/>
      <c r="H269" s="407"/>
      <c r="I269" s="407"/>
      <c r="J269" s="407"/>
      <c r="K269" s="407"/>
      <c r="L269" s="407"/>
      <c r="M269" s="408"/>
    </row>
    <row r="270" spans="1:13" x14ac:dyDescent="0.25">
      <c r="A270" s="38" t="s">
        <v>1151</v>
      </c>
      <c r="B270" s="312" t="s">
        <v>1128</v>
      </c>
      <c r="C270" s="313"/>
      <c r="D270" s="312" t="s">
        <v>1129</v>
      </c>
      <c r="E270" s="313"/>
      <c r="F270" s="312" t="s">
        <v>1130</v>
      </c>
      <c r="G270" s="313"/>
      <c r="H270" s="312" t="s">
        <v>1152</v>
      </c>
      <c r="I270" s="313"/>
      <c r="J270" s="263" t="s">
        <v>1131</v>
      </c>
      <c r="K270" s="264"/>
      <c r="L270" s="264"/>
      <c r="M270" s="486"/>
    </row>
    <row r="271" spans="1:13" x14ac:dyDescent="0.25">
      <c r="A271" s="91" t="s">
        <v>1115</v>
      </c>
      <c r="B271" s="314"/>
      <c r="C271" s="315"/>
      <c r="D271" s="314"/>
      <c r="E271" s="315"/>
      <c r="F271" s="314"/>
      <c r="G271" s="315"/>
      <c r="H271" s="314"/>
      <c r="I271" s="315"/>
      <c r="J271" s="263" t="s">
        <v>15</v>
      </c>
      <c r="K271" s="265"/>
      <c r="L271" s="263" t="s">
        <v>1153</v>
      </c>
      <c r="M271" s="486"/>
    </row>
    <row r="272" spans="1:13" x14ac:dyDescent="0.25">
      <c r="A272" s="57" t="s">
        <v>43</v>
      </c>
      <c r="B272" s="97" t="s">
        <v>9</v>
      </c>
      <c r="C272" s="97" t="s">
        <v>10</v>
      </c>
      <c r="D272" s="97" t="s">
        <v>9</v>
      </c>
      <c r="E272" s="97" t="s">
        <v>10</v>
      </c>
      <c r="F272" s="97" t="s">
        <v>9</v>
      </c>
      <c r="G272" s="97" t="s">
        <v>10</v>
      </c>
      <c r="H272" s="97" t="s">
        <v>9</v>
      </c>
      <c r="I272" s="97" t="s">
        <v>10</v>
      </c>
      <c r="J272" s="97" t="s">
        <v>9</v>
      </c>
      <c r="K272" s="97" t="s">
        <v>10</v>
      </c>
      <c r="L272" s="97" t="s">
        <v>9</v>
      </c>
      <c r="M272" s="98" t="s">
        <v>10</v>
      </c>
    </row>
    <row r="273" spans="1:14" x14ac:dyDescent="0.25">
      <c r="A273" s="58" t="s">
        <v>68</v>
      </c>
      <c r="B273" s="31"/>
      <c r="C273" s="31"/>
      <c r="D273" s="31"/>
      <c r="E273" s="31"/>
      <c r="F273" s="31"/>
      <c r="G273" s="31"/>
      <c r="H273" s="31"/>
      <c r="I273" s="31"/>
      <c r="J273" s="31"/>
      <c r="K273" s="31"/>
      <c r="L273" s="31"/>
      <c r="M273" s="80"/>
    </row>
    <row r="274" spans="1:14" x14ac:dyDescent="0.25">
      <c r="A274" s="58" t="s">
        <v>69</v>
      </c>
      <c r="B274" s="31"/>
      <c r="C274" s="31"/>
      <c r="D274" s="31"/>
      <c r="E274" s="31"/>
      <c r="F274" s="31"/>
      <c r="G274" s="31"/>
      <c r="H274" s="31"/>
      <c r="I274" s="31"/>
      <c r="J274" s="31"/>
      <c r="K274" s="31"/>
      <c r="L274" s="31"/>
      <c r="M274" s="80"/>
    </row>
    <row r="275" spans="1:14" x14ac:dyDescent="0.25">
      <c r="A275" s="58" t="s">
        <v>70</v>
      </c>
      <c r="B275" s="31"/>
      <c r="C275" s="31"/>
      <c r="D275" s="31"/>
      <c r="E275" s="31"/>
      <c r="F275" s="31"/>
      <c r="G275" s="31"/>
      <c r="H275" s="31"/>
      <c r="I275" s="31"/>
      <c r="J275" s="31"/>
      <c r="K275" s="31"/>
      <c r="L275" s="31"/>
      <c r="M275" s="80"/>
    </row>
    <row r="276" spans="1:14" x14ac:dyDescent="0.25">
      <c r="A276" s="58" t="s">
        <v>71</v>
      </c>
      <c r="B276" s="29"/>
      <c r="C276" s="29"/>
      <c r="D276" s="29"/>
      <c r="E276" s="29"/>
      <c r="F276" s="29"/>
      <c r="G276" s="29"/>
      <c r="H276" s="29"/>
      <c r="I276" s="29"/>
      <c r="J276" s="29"/>
      <c r="K276" s="29"/>
      <c r="L276" s="29"/>
      <c r="M276" s="30"/>
    </row>
    <row r="277" spans="1:14" ht="15.75" thickBot="1" x14ac:dyDescent="0.3">
      <c r="A277" s="68" t="s">
        <v>15</v>
      </c>
      <c r="B277" s="62">
        <f t="shared" ref="B277:M277" si="29">SUM(B273:B276)</f>
        <v>0</v>
      </c>
      <c r="C277" s="62">
        <f t="shared" si="29"/>
        <v>0</v>
      </c>
      <c r="D277" s="62">
        <f t="shared" si="29"/>
        <v>0</v>
      </c>
      <c r="E277" s="62">
        <f t="shared" si="29"/>
        <v>0</v>
      </c>
      <c r="F277" s="62">
        <f t="shared" si="29"/>
        <v>0</v>
      </c>
      <c r="G277" s="62">
        <f t="shared" si="29"/>
        <v>0</v>
      </c>
      <c r="H277" s="62">
        <f t="shared" si="29"/>
        <v>0</v>
      </c>
      <c r="I277" s="62">
        <f t="shared" si="29"/>
        <v>0</v>
      </c>
      <c r="J277" s="62">
        <f t="shared" si="29"/>
        <v>0</v>
      </c>
      <c r="K277" s="62">
        <f t="shared" si="29"/>
        <v>0</v>
      </c>
      <c r="L277" s="62">
        <f t="shared" si="29"/>
        <v>0</v>
      </c>
      <c r="M277" s="63">
        <f t="shared" si="29"/>
        <v>0</v>
      </c>
    </row>
    <row r="278" spans="1:14" ht="15.75" thickTop="1" x14ac:dyDescent="0.25">
      <c r="A278" s="35" t="s">
        <v>1115</v>
      </c>
    </row>
    <row r="279" spans="1:14" x14ac:dyDescent="0.25">
      <c r="A279" s="35" t="s">
        <v>1115</v>
      </c>
    </row>
    <row r="280" spans="1:14" x14ac:dyDescent="0.25">
      <c r="A280" s="35" t="s">
        <v>1115</v>
      </c>
    </row>
    <row r="281" spans="1:14" x14ac:dyDescent="0.25">
      <c r="A281" s="485" t="s">
        <v>1154</v>
      </c>
      <c r="B281" s="485"/>
      <c r="C281" s="485"/>
      <c r="D281" s="485"/>
      <c r="E281" s="485"/>
      <c r="F281" s="485"/>
      <c r="G281" s="485"/>
      <c r="H281" s="485"/>
      <c r="I281" s="485"/>
      <c r="J281" s="485"/>
      <c r="K281" s="485"/>
      <c r="L281" s="485"/>
      <c r="M281" s="485"/>
      <c r="N281" s="485"/>
    </row>
    <row r="282" spans="1:14" x14ac:dyDescent="0.25">
      <c r="A282" s="482" t="s">
        <v>1155</v>
      </c>
      <c r="B282" s="482"/>
      <c r="C282" s="482"/>
      <c r="D282" s="482"/>
      <c r="E282" s="482"/>
      <c r="F282" s="482"/>
      <c r="G282" s="482"/>
      <c r="H282" s="482"/>
      <c r="I282" s="482"/>
      <c r="J282" s="482"/>
      <c r="K282" s="482"/>
      <c r="L282" s="482"/>
      <c r="M282" s="482"/>
      <c r="N282" s="482"/>
    </row>
    <row r="283" spans="1:14" x14ac:dyDescent="0.25">
      <c r="A283" s="482"/>
      <c r="B283" s="482"/>
      <c r="C283" s="482"/>
      <c r="D283" s="482"/>
      <c r="E283" s="482"/>
      <c r="F283" s="482"/>
      <c r="G283" s="482"/>
      <c r="H283" s="482"/>
      <c r="I283" s="482"/>
      <c r="J283" s="482"/>
      <c r="K283" s="482"/>
      <c r="L283" s="482"/>
      <c r="M283" s="482"/>
      <c r="N283" s="482"/>
    </row>
    <row r="284" spans="1:14" x14ac:dyDescent="0.25">
      <c r="A284" s="482"/>
      <c r="B284" s="482"/>
      <c r="C284" s="482"/>
      <c r="D284" s="482"/>
      <c r="E284" s="482"/>
      <c r="F284" s="482"/>
      <c r="G284" s="482"/>
      <c r="H284" s="482"/>
      <c r="I284" s="482"/>
      <c r="J284" s="482"/>
      <c r="K284" s="482"/>
      <c r="L284" s="482"/>
      <c r="M284" s="482"/>
      <c r="N284" s="482"/>
    </row>
    <row r="285" spans="1:14" x14ac:dyDescent="0.25">
      <c r="A285" s="482"/>
      <c r="B285" s="482"/>
      <c r="C285" s="482"/>
      <c r="D285" s="482"/>
      <c r="E285" s="482"/>
      <c r="F285" s="482"/>
      <c r="G285" s="482"/>
      <c r="H285" s="482"/>
      <c r="I285" s="482"/>
      <c r="J285" s="482"/>
      <c r="K285" s="482"/>
      <c r="L285" s="482"/>
      <c r="M285" s="482"/>
      <c r="N285" s="482"/>
    </row>
    <row r="286" spans="1:14" ht="15.75" x14ac:dyDescent="0.25">
      <c r="A286" s="81" t="s">
        <v>1156</v>
      </c>
      <c r="B286" s="82"/>
      <c r="C286" s="82"/>
      <c r="D286" s="82"/>
      <c r="E286" s="82"/>
      <c r="F286" s="82"/>
      <c r="G286" s="82"/>
      <c r="H286" s="483"/>
      <c r="I286" s="483"/>
      <c r="J286" s="483"/>
      <c r="K286" s="483"/>
      <c r="L286" s="483"/>
      <c r="M286" s="484"/>
    </row>
    <row r="287" spans="1:14" x14ac:dyDescent="0.25">
      <c r="A287" s="39" t="s">
        <v>1115</v>
      </c>
      <c r="B287" s="83"/>
      <c r="C287" s="83"/>
      <c r="D287" s="83"/>
      <c r="E287" s="83"/>
      <c r="F287" s="83"/>
      <c r="G287" s="83"/>
      <c r="H287" s="83"/>
      <c r="I287" s="83"/>
      <c r="J287" s="83"/>
      <c r="K287" s="83"/>
    </row>
    <row r="288" spans="1:14" ht="15.75" x14ac:dyDescent="0.25">
      <c r="A288" s="81" t="s">
        <v>1157</v>
      </c>
      <c r="B288" s="82"/>
      <c r="C288" s="82"/>
      <c r="D288" s="82"/>
      <c r="E288" s="82"/>
      <c r="F288" s="82"/>
      <c r="G288" s="82"/>
      <c r="H288" s="483"/>
      <c r="I288" s="483"/>
      <c r="J288" s="483"/>
      <c r="K288" s="483"/>
      <c r="L288" s="483"/>
      <c r="M288" s="484"/>
    </row>
    <row r="289" spans="1:11" x14ac:dyDescent="0.25">
      <c r="A289" s="39" t="s">
        <v>1115</v>
      </c>
      <c r="B289" s="83"/>
      <c r="C289" s="83"/>
      <c r="D289" s="83"/>
      <c r="E289" s="83"/>
      <c r="F289" s="83"/>
      <c r="G289" s="83"/>
      <c r="H289" s="83"/>
      <c r="I289" s="83"/>
      <c r="J289" s="83"/>
      <c r="K289" s="83"/>
    </row>
    <row r="290" spans="1:11" x14ac:dyDescent="0.25">
      <c r="A290" s="39" t="s">
        <v>1115</v>
      </c>
      <c r="B290" s="84" t="s">
        <v>72</v>
      </c>
      <c r="C290" s="85"/>
      <c r="D290" s="85"/>
      <c r="E290" s="83"/>
      <c r="F290" s="83"/>
      <c r="G290" s="83"/>
      <c r="H290" s="84" t="s">
        <v>73</v>
      </c>
      <c r="I290" s="83"/>
      <c r="J290" s="85"/>
      <c r="K290" s="85"/>
    </row>
    <row r="291" spans="1:11" x14ac:dyDescent="0.25">
      <c r="A291" s="39" t="s">
        <v>1115</v>
      </c>
      <c r="B291" s="83"/>
      <c r="C291" s="84"/>
      <c r="D291" s="84"/>
      <c r="E291" s="83"/>
      <c r="F291" s="83"/>
      <c r="G291" s="83"/>
      <c r="H291" s="83"/>
      <c r="I291" s="84"/>
      <c r="J291" s="84"/>
      <c r="K291" s="84"/>
    </row>
    <row r="292" spans="1:11" x14ac:dyDescent="0.25">
      <c r="A292" s="39" t="s">
        <v>1115</v>
      </c>
      <c r="B292" s="84" t="s">
        <v>74</v>
      </c>
      <c r="C292" s="84"/>
      <c r="D292" s="84"/>
      <c r="E292" s="83"/>
      <c r="F292" s="83"/>
      <c r="G292" s="83"/>
      <c r="H292" s="84" t="s">
        <v>74</v>
      </c>
      <c r="I292" s="84"/>
      <c r="J292" s="84"/>
      <c r="K292" s="84"/>
    </row>
    <row r="293" spans="1:11" x14ac:dyDescent="0.25">
      <c r="A293" s="39" t="s">
        <v>1115</v>
      </c>
      <c r="B293" s="84" t="s">
        <v>75</v>
      </c>
      <c r="C293" s="84"/>
      <c r="D293" s="83"/>
      <c r="E293" s="83"/>
      <c r="F293" s="83"/>
      <c r="G293" s="83"/>
      <c r="H293" s="84" t="s">
        <v>76</v>
      </c>
      <c r="I293" s="84"/>
      <c r="J293" s="83"/>
      <c r="K293" s="83"/>
    </row>
    <row r="294" spans="1:11" x14ac:dyDescent="0.25">
      <c r="A294" s="39" t="s">
        <v>1115</v>
      </c>
      <c r="B294" s="83"/>
      <c r="C294" s="83"/>
      <c r="D294" s="83"/>
      <c r="E294" s="83"/>
      <c r="F294" s="83"/>
      <c r="G294" s="83"/>
      <c r="H294" s="83"/>
      <c r="I294" s="83"/>
      <c r="J294" s="83"/>
      <c r="K294" s="83"/>
    </row>
    <row r="295" spans="1:11" x14ac:dyDescent="0.25">
      <c r="A295" s="39" t="s">
        <v>1115</v>
      </c>
    </row>
    <row r="296" spans="1:11" x14ac:dyDescent="0.25">
      <c r="A296" s="83"/>
    </row>
    <row r="297" spans="1:11" x14ac:dyDescent="0.25">
      <c r="A297" s="83"/>
    </row>
    <row r="298" spans="1:11" x14ac:dyDescent="0.25">
      <c r="A298" s="83"/>
    </row>
    <row r="299" spans="1:11" x14ac:dyDescent="0.25">
      <c r="A299" s="83"/>
    </row>
    <row r="300" spans="1:11" x14ac:dyDescent="0.25">
      <c r="A300" s="83"/>
    </row>
    <row r="301" spans="1:11" x14ac:dyDescent="0.25">
      <c r="A301" s="83"/>
    </row>
    <row r="302" spans="1:11" x14ac:dyDescent="0.25">
      <c r="A302" s="83"/>
    </row>
    <row r="303" spans="1:11" x14ac:dyDescent="0.25">
      <c r="A303" s="83"/>
    </row>
    <row r="304" spans="1:11" x14ac:dyDescent="0.25">
      <c r="A304" s="83"/>
    </row>
    <row r="305" spans="1:1" x14ac:dyDescent="0.25">
      <c r="A305" s="83"/>
    </row>
    <row r="306" spans="1:1" x14ac:dyDescent="0.25">
      <c r="A306" s="83"/>
    </row>
    <row r="307" spans="1:1" x14ac:dyDescent="0.25">
      <c r="A307" s="83"/>
    </row>
    <row r="308" spans="1:1" x14ac:dyDescent="0.25">
      <c r="A308" s="83"/>
    </row>
    <row r="309" spans="1:1" x14ac:dyDescent="0.25">
      <c r="A309" s="83"/>
    </row>
    <row r="310" spans="1:1" x14ac:dyDescent="0.25">
      <c r="A310" s="83"/>
    </row>
    <row r="311" spans="1:1" x14ac:dyDescent="0.25">
      <c r="A311" s="83"/>
    </row>
    <row r="312" spans="1:1" x14ac:dyDescent="0.25">
      <c r="A312" s="83"/>
    </row>
    <row r="313" spans="1:1" x14ac:dyDescent="0.25">
      <c r="A313" s="83"/>
    </row>
    <row r="314" spans="1:1" x14ac:dyDescent="0.25">
      <c r="A314" s="83"/>
    </row>
  </sheetData>
  <mergeCells count="131">
    <mergeCell ref="A265:H265"/>
    <mergeCell ref="A281:N281"/>
    <mergeCell ref="A282:N285"/>
    <mergeCell ref="H286:M286"/>
    <mergeCell ref="H288:M288"/>
    <mergeCell ref="J265:M265"/>
    <mergeCell ref="A269:M269"/>
    <mergeCell ref="B270:C271"/>
    <mergeCell ref="D270:E271"/>
    <mergeCell ref="F270:G271"/>
    <mergeCell ref="H270:I271"/>
    <mergeCell ref="J270:M270"/>
    <mergeCell ref="J271:K271"/>
    <mergeCell ref="L271:M271"/>
    <mergeCell ref="A267:C267"/>
    <mergeCell ref="D267:G267"/>
    <mergeCell ref="J267:M267"/>
    <mergeCell ref="A248:N248"/>
    <mergeCell ref="A249:N252"/>
    <mergeCell ref="H253:M253"/>
    <mergeCell ref="H255:M255"/>
    <mergeCell ref="A237:M237"/>
    <mergeCell ref="B238:C239"/>
    <mergeCell ref="D238:E239"/>
    <mergeCell ref="F238:G239"/>
    <mergeCell ref="H238:I239"/>
    <mergeCell ref="J238:M238"/>
    <mergeCell ref="J239:K239"/>
    <mergeCell ref="L239:M239"/>
    <mergeCell ref="A203:D203"/>
    <mergeCell ref="E203:H203"/>
    <mergeCell ref="J203:M203"/>
    <mergeCell ref="A217:N217"/>
    <mergeCell ref="A218:N221"/>
    <mergeCell ref="H222:M222"/>
    <mergeCell ref="H224:M224"/>
    <mergeCell ref="A205:M205"/>
    <mergeCell ref="B206:C207"/>
    <mergeCell ref="D206:E207"/>
    <mergeCell ref="F206:G207"/>
    <mergeCell ref="H206:I207"/>
    <mergeCell ref="J206:M206"/>
    <mergeCell ref="J207:K207"/>
    <mergeCell ref="L207:M207"/>
    <mergeCell ref="A184:N184"/>
    <mergeCell ref="A185:N188"/>
    <mergeCell ref="H189:M189"/>
    <mergeCell ref="H191:M191"/>
    <mergeCell ref="A201:K201"/>
    <mergeCell ref="A172:M172"/>
    <mergeCell ref="B173:C174"/>
    <mergeCell ref="D173:E174"/>
    <mergeCell ref="F173:G174"/>
    <mergeCell ref="H173:I174"/>
    <mergeCell ref="J173:M173"/>
    <mergeCell ref="J174:K174"/>
    <mergeCell ref="L174:M174"/>
    <mergeCell ref="A151:N151"/>
    <mergeCell ref="A152:N155"/>
    <mergeCell ref="H156:M156"/>
    <mergeCell ref="H158:M158"/>
    <mergeCell ref="A168:K168"/>
    <mergeCell ref="A136:M136"/>
    <mergeCell ref="B137:C138"/>
    <mergeCell ref="D137:E138"/>
    <mergeCell ref="F137:G138"/>
    <mergeCell ref="H137:I138"/>
    <mergeCell ref="J137:M137"/>
    <mergeCell ref="J138:K138"/>
    <mergeCell ref="L138:M138"/>
    <mergeCell ref="A120:N123"/>
    <mergeCell ref="H124:M124"/>
    <mergeCell ref="H126:M126"/>
    <mergeCell ref="A134:K134"/>
    <mergeCell ref="A101:K101"/>
    <mergeCell ref="A103:M103"/>
    <mergeCell ref="B104:C105"/>
    <mergeCell ref="D104:E105"/>
    <mergeCell ref="F104:G105"/>
    <mergeCell ref="H104:I105"/>
    <mergeCell ref="J104:M104"/>
    <mergeCell ref="J105:K105"/>
    <mergeCell ref="L105:M105"/>
    <mergeCell ref="A2:K2"/>
    <mergeCell ref="J5:M5"/>
    <mergeCell ref="J6:K6"/>
    <mergeCell ref="L6:M6"/>
    <mergeCell ref="H5:I6"/>
    <mergeCell ref="F5:G6"/>
    <mergeCell ref="D5:E6"/>
    <mergeCell ref="B5:C6"/>
    <mergeCell ref="A70:M70"/>
    <mergeCell ref="A4:M4"/>
    <mergeCell ref="A35:K35"/>
    <mergeCell ref="A37:M37"/>
    <mergeCell ref="B38:C39"/>
    <mergeCell ref="D38:E39"/>
    <mergeCell ref="F38:G39"/>
    <mergeCell ref="H38:I39"/>
    <mergeCell ref="J38:M38"/>
    <mergeCell ref="J39:K39"/>
    <mergeCell ref="L39:M39"/>
    <mergeCell ref="A19:N19"/>
    <mergeCell ref="A20:N23"/>
    <mergeCell ref="H26:M26"/>
    <mergeCell ref="H24:M24"/>
    <mergeCell ref="A52:N52"/>
    <mergeCell ref="A170:C170"/>
    <mergeCell ref="D170:H170"/>
    <mergeCell ref="J170:N170"/>
    <mergeCell ref="A233:H233"/>
    <mergeCell ref="J235:M235"/>
    <mergeCell ref="A235:C235"/>
    <mergeCell ref="D235:G235"/>
    <mergeCell ref="J233:M233"/>
    <mergeCell ref="A53:N56"/>
    <mergeCell ref="H57:M57"/>
    <mergeCell ref="H59:M59"/>
    <mergeCell ref="A68:K68"/>
    <mergeCell ref="A81:N81"/>
    <mergeCell ref="A82:N85"/>
    <mergeCell ref="H86:M86"/>
    <mergeCell ref="H88:M88"/>
    <mergeCell ref="B71:C72"/>
    <mergeCell ref="D71:E72"/>
    <mergeCell ref="F71:G72"/>
    <mergeCell ref="H71:I72"/>
    <mergeCell ref="J71:M71"/>
    <mergeCell ref="J72:K72"/>
    <mergeCell ref="L72:M72"/>
    <mergeCell ref="A119:N119"/>
  </mergeCells>
  <dataValidations count="9">
    <dataValidation type="custom" allowBlank="1" showInputMessage="1" showErrorMessage="1" errorTitle="Erro" error="O valor de F não pode ser superior ao valor de MF" sqref="C9 C42 C74 C107:C112 C140 C145:C146 C177 C210" xr:uid="{00000000-0002-0000-1400-000000000000}">
      <formula1>B9&gt;=C9</formula1>
    </dataValidation>
    <dataValidation type="whole" operator="greaterThan" allowBlank="1" showInputMessage="1" showErrorMessage="1" errorTitle="Erro" error="Tem que introduzir um valor númerico inteiro" sqref="B9:B14 D9:D14 F9:F14 L9:L14 B42:B47 D42:D47 F42:F47 L42:L47 L74:L76 F74:F76 D74:D76 B74:B76 L107:L114 F107:F114 D107:D114 B107:B114 B140:B142 D140:D142 F140:F142 L140:L142 B145:B148 D145:D148 F145:F148 L145:L148 B177:B179 D177:D179 F177:F179 L177:L179 B210:B212 D210:D212 F210:F212 L210:L212 L242:L243 F242:F243 D242:D243 B242:B243 L275:L276 F275:F276 D275:D276 B275:B276" xr:uid="{00000000-0002-0000-1400-000001000000}">
      <formula1>-1</formula1>
    </dataValidation>
    <dataValidation type="whole" allowBlank="1" showInputMessage="1" showErrorMessage="1" errorTitle="Erro" error="Tem que introduzir um valor númerico inteiro" sqref="M9:M14 G9:K14 E9:E14 C10:C14 M42:M47 G42:K47 E42:E47 C43:C47 C75:C76 E74:E76 G74:K76 M74:M76 C113:C114 E107:E114 G107:K114 M107:M114 C141:C142 M140:M142 G140:K142 E140:E142 C147:C148 M145:M148 G145:K148 E145:E148 M177:M179 G177:K179 E177:E179 C178:C179 M210:M212 G210:K212 E210:E212 C211:C212 C242:C243 E242:E243 G242:K243 M242:M243 C275:C276 E275:E276 G275:K276 M275:M276" xr:uid="{00000000-0002-0000-1400-000002000000}">
      <formula1>0</formula1>
      <formula2>100000000</formula2>
    </dataValidation>
    <dataValidation type="list" allowBlank="1" showInputMessage="1" showErrorMessage="1" sqref="E203" xr:uid="{00000000-0002-0000-1400-000003000000}">
      <formula1>AreasConhecimento</formula1>
    </dataValidation>
    <dataValidation type="list" allowBlank="1" showInputMessage="1" showErrorMessage="1" sqref="D170" xr:uid="{00000000-0002-0000-1400-000004000000}">
      <formula1>Especialidades</formula1>
    </dataValidation>
    <dataValidation type="list" allowBlank="1" showInputMessage="1" showErrorMessage="1" sqref="D235:G235" xr:uid="{00000000-0002-0000-1400-000005000000}">
      <formula1>AreasTPI_v1</formula1>
    </dataValidation>
    <dataValidation type="list" allowBlank="1" showInputMessage="1" showErrorMessage="1" sqref="J235:M235" xr:uid="{00000000-0002-0000-1400-000006000000}">
      <formula1>OFFSET(AreasTPIStart,MATCH(D235,AreasTPI,0),1,COUNTIF(AreasTPI,D235),1)</formula1>
    </dataValidation>
    <dataValidation type="list" allowBlank="1" showInputMessage="1" showErrorMessage="1" sqref="D267:G267" xr:uid="{00000000-0002-0000-1400-000007000000}">
      <formula1>AreasTPII_v1</formula1>
    </dataValidation>
    <dataValidation type="list" allowBlank="1" showInputMessage="1" showErrorMessage="1" sqref="J267:M267" xr:uid="{00000000-0002-0000-1400-000008000000}">
      <formula1>OFFSET(AreasTPIIStart,MATCH(D267,AreasTPII,0),1,COUNTIF(AreasTPII,D267),1)</formula1>
    </dataValidation>
  </dataValidations>
  <pageMargins left="0.7" right="0.7" top="0.75" bottom="0.75" header="0.3" footer="0.3"/>
  <pageSetup paperSize="9" orientation="landscape" horizontalDpi="4294967293" vertic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15</vt:i4>
      </vt:variant>
      <vt:variant>
        <vt:lpstr>Intervalos com Nome</vt:lpstr>
      </vt:variant>
      <vt:variant>
        <vt:i4>31</vt:i4>
      </vt:variant>
    </vt:vector>
  </HeadingPairs>
  <TitlesOfParts>
    <vt:vector size="46" baseType="lpstr">
      <vt:lpstr>Listas</vt:lpstr>
      <vt:lpstr>Escola</vt:lpstr>
      <vt:lpstr>TP II Ciclo</vt:lpstr>
      <vt:lpstr>TP II Ciclo (2)</vt:lpstr>
      <vt:lpstr>TP II Ciclo (3)</vt:lpstr>
      <vt:lpstr>TP II Ciclo (4)</vt:lpstr>
      <vt:lpstr>TP II Ciclo (5)</vt:lpstr>
      <vt:lpstr>AFES2-TP II Ciclo</vt:lpstr>
      <vt:lpstr>AFES2-TP II Ciclo (2)</vt:lpstr>
      <vt:lpstr>AFES2-TP II Ciclo (3)</vt:lpstr>
      <vt:lpstr>AFES2-TP II Ciclo (4)</vt:lpstr>
      <vt:lpstr>AFES2-TP II Ciclo (5)</vt:lpstr>
      <vt:lpstr>AFES2-TP II Ciclo (6)</vt:lpstr>
      <vt:lpstr>Informação Adicional</vt:lpstr>
      <vt:lpstr>Fichas Avaliação</vt:lpstr>
      <vt:lpstr>AguasResiduais</vt:lpstr>
      <vt:lpstr>Ano</vt:lpstr>
      <vt:lpstr>Escola!Área_de_Impressão</vt:lpstr>
      <vt:lpstr>AreasConhecimento</vt:lpstr>
      <vt:lpstr>AreasTPI</vt:lpstr>
      <vt:lpstr>AreasTPI_</vt:lpstr>
      <vt:lpstr>AreasTPI_v1</vt:lpstr>
      <vt:lpstr>AreasTPII</vt:lpstr>
      <vt:lpstr>AreasTPII_v1</vt:lpstr>
      <vt:lpstr>AreasTPIIStart</vt:lpstr>
      <vt:lpstr>AreasTPIStart</vt:lpstr>
      <vt:lpstr>ComunaColumn3</vt:lpstr>
      <vt:lpstr>ComunaColumn4</vt:lpstr>
      <vt:lpstr>ComunaStart3</vt:lpstr>
      <vt:lpstr>ComunaStart4</vt:lpstr>
      <vt:lpstr>CursosTPI</vt:lpstr>
      <vt:lpstr>CursosTPII</vt:lpstr>
      <vt:lpstr>Especialidades</vt:lpstr>
      <vt:lpstr>Especialidades_2</vt:lpstr>
      <vt:lpstr>MunicipioColumn3</vt:lpstr>
      <vt:lpstr>MunicipioColumn4</vt:lpstr>
      <vt:lpstr>MunicipioStart3</vt:lpstr>
      <vt:lpstr>MunicipioStart4</vt:lpstr>
      <vt:lpstr>Natureza</vt:lpstr>
      <vt:lpstr>NivelAcademico</vt:lpstr>
      <vt:lpstr>NumTurnos</vt:lpstr>
      <vt:lpstr>Provincias</vt:lpstr>
      <vt:lpstr>ResiduosSolidos</vt:lpstr>
      <vt:lpstr>SimNao</vt:lpstr>
      <vt:lpstr>Turnos</vt:lpstr>
      <vt:lpstr>UltimaClasse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Gonçalo Inácio</dc:creator>
  <cp:lastModifiedBy>MS OFFICE GEPE</cp:lastModifiedBy>
  <cp:lastPrinted>2018-06-07T16:49:45Z</cp:lastPrinted>
  <dcterms:created xsi:type="dcterms:W3CDTF">2017-09-12T18:01:03Z</dcterms:created>
  <dcterms:modified xsi:type="dcterms:W3CDTF">2025-10-09T07:19:45Z</dcterms:modified>
</cp:coreProperties>
</file>