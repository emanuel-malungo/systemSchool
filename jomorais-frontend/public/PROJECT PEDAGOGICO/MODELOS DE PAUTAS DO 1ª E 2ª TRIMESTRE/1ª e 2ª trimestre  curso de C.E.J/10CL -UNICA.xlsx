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OCUMENTOS-SDP-CEITPSJM-2025-2026\SUPERVISÃO DE TURNOS\VESPERTINO\ENSINO GERAL\10CL - CEJ - ANASTASIO NZUZI\"/>
    </mc:Choice>
  </mc:AlternateContent>
  <bookViews>
    <workbookView xWindow="0" yWindow="0" windowWidth="20496" windowHeight="7752" tabRatio="882" activeTab="1"/>
  </bookViews>
  <sheets>
    <sheet name="EDITAL - 10ª CEJ-UNICA (I TRIM)" sheetId="1" r:id="rId1"/>
    <sheet name="EDITAL - 10ª CEJ-UNICA II TRIM" sheetId="20" r:id="rId2"/>
    <sheet name="10ªCEJ-U-L PORT" sheetId="2" r:id="rId3"/>
    <sheet name="10ªCEJ-U-INGLES" sheetId="11" r:id="rId4"/>
    <sheet name="10ªCEJ-U-MAT" sheetId="3" r:id="rId5"/>
    <sheet name="10ªCEJ-U-INFOR" sheetId="15" r:id="rId6"/>
    <sheet name="10ªCEJ-U-ED. FIS" sheetId="14" r:id="rId7"/>
    <sheet name="10ªCEJ-U-INT. DTO" sheetId="16" r:id="rId8"/>
    <sheet name="10ªCEJ-U-INT. ECO" sheetId="17" r:id="rId9"/>
    <sheet name="10ªCEJ-U-HIST." sheetId="18" r:id="rId10"/>
    <sheet name="10ªCEJ-U-GEO" sheetId="19" r:id="rId11"/>
    <sheet name="10ªCEJ-U-EMPREEND" sheetId="13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6" i="13" l="1"/>
  <c r="I46" i="13" s="1"/>
  <c r="H45" i="13"/>
  <c r="I45" i="13" s="1"/>
  <c r="H44" i="13"/>
  <c r="I44" i="13" s="1"/>
  <c r="H43" i="13"/>
  <c r="I43" i="13" s="1"/>
  <c r="H42" i="13"/>
  <c r="I42" i="13" s="1"/>
  <c r="H41" i="13"/>
  <c r="I41" i="13" s="1"/>
  <c r="H40" i="13"/>
  <c r="I40" i="13" s="1"/>
  <c r="H39" i="13"/>
  <c r="I39" i="13" s="1"/>
  <c r="H38" i="13"/>
  <c r="I38" i="13" s="1"/>
  <c r="H37" i="13"/>
  <c r="I37" i="13" s="1"/>
  <c r="H36" i="13"/>
  <c r="I36" i="13" s="1"/>
  <c r="H35" i="13"/>
  <c r="I35" i="13" s="1"/>
  <c r="H34" i="13"/>
  <c r="I34" i="13" s="1"/>
  <c r="H33" i="13"/>
  <c r="I33" i="13" s="1"/>
  <c r="H32" i="13"/>
  <c r="I32" i="13" s="1"/>
  <c r="H31" i="13"/>
  <c r="I31" i="13" s="1"/>
  <c r="H30" i="13"/>
  <c r="I30" i="13" s="1"/>
  <c r="H29" i="13"/>
  <c r="I29" i="13" s="1"/>
  <c r="H28" i="13"/>
  <c r="I28" i="13" s="1"/>
  <c r="H27" i="13"/>
  <c r="I27" i="13" s="1"/>
  <c r="H26" i="13"/>
  <c r="I26" i="13" s="1"/>
  <c r="H25" i="13"/>
  <c r="I25" i="13" s="1"/>
  <c r="H24" i="13"/>
  <c r="I24" i="13" s="1"/>
  <c r="H23" i="13"/>
  <c r="I23" i="13" s="1"/>
  <c r="H22" i="13"/>
  <c r="I22" i="13" s="1"/>
  <c r="H21" i="13"/>
  <c r="I21" i="13" s="1"/>
  <c r="H20" i="13"/>
  <c r="I20" i="13" s="1"/>
  <c r="H19" i="13"/>
  <c r="I19" i="13" s="1"/>
  <c r="H18" i="13"/>
  <c r="I18" i="13" s="1"/>
  <c r="H17" i="13"/>
  <c r="I17" i="13" s="1"/>
  <c r="H16" i="13"/>
  <c r="I16" i="13" s="1"/>
  <c r="H15" i="13"/>
  <c r="I15" i="13" s="1"/>
  <c r="H14" i="13"/>
  <c r="I14" i="13" s="1"/>
  <c r="H13" i="13"/>
  <c r="I13" i="13" s="1"/>
  <c r="H12" i="13"/>
  <c r="I12" i="13" s="1"/>
  <c r="H11" i="13"/>
  <c r="I11" i="13" s="1"/>
  <c r="H10" i="13"/>
  <c r="I10" i="13" s="1"/>
  <c r="H9" i="13"/>
  <c r="I9" i="13" s="1"/>
  <c r="I46" i="11" l="1"/>
  <c r="H46" i="11"/>
  <c r="H45" i="11"/>
  <c r="I45" i="11" s="1"/>
  <c r="I44" i="11"/>
  <c r="H44" i="11"/>
  <c r="H43" i="11"/>
  <c r="I43" i="11" s="1"/>
  <c r="I42" i="11"/>
  <c r="H42" i="11"/>
  <c r="H41" i="11"/>
  <c r="I41" i="11" s="1"/>
  <c r="I40" i="11"/>
  <c r="H40" i="11"/>
  <c r="H39" i="11"/>
  <c r="I39" i="11" s="1"/>
  <c r="I38" i="11"/>
  <c r="H38" i="11"/>
  <c r="H37" i="11"/>
  <c r="I37" i="11" s="1"/>
  <c r="I36" i="11"/>
  <c r="H36" i="11"/>
  <c r="H35" i="11"/>
  <c r="I35" i="11" s="1"/>
  <c r="I34" i="11"/>
  <c r="H34" i="11"/>
  <c r="H33" i="11"/>
  <c r="I33" i="11" s="1"/>
  <c r="I32" i="11"/>
  <c r="H32" i="11"/>
  <c r="H31" i="11"/>
  <c r="I31" i="11" s="1"/>
  <c r="I30" i="11"/>
  <c r="H30" i="11"/>
  <c r="H29" i="11"/>
  <c r="I29" i="11" s="1"/>
  <c r="I28" i="11"/>
  <c r="H28" i="11"/>
  <c r="H27" i="11"/>
  <c r="I27" i="11" s="1"/>
  <c r="I26" i="11"/>
  <c r="H26" i="11"/>
  <c r="H25" i="11"/>
  <c r="I25" i="11" s="1"/>
  <c r="I24" i="11"/>
  <c r="H24" i="11"/>
  <c r="H23" i="11"/>
  <c r="I23" i="11" s="1"/>
  <c r="I22" i="11"/>
  <c r="H22" i="11"/>
  <c r="H21" i="11"/>
  <c r="I21" i="11" s="1"/>
  <c r="I20" i="11"/>
  <c r="H20" i="11"/>
  <c r="H19" i="11"/>
  <c r="I19" i="11" s="1"/>
  <c r="I18" i="11"/>
  <c r="H18" i="11"/>
  <c r="H17" i="11"/>
  <c r="I17" i="11" s="1"/>
  <c r="I16" i="11"/>
  <c r="H16" i="11"/>
  <c r="H15" i="11"/>
  <c r="I15" i="11" s="1"/>
  <c r="I14" i="11"/>
  <c r="H14" i="11"/>
  <c r="H13" i="11"/>
  <c r="I13" i="11" s="1"/>
  <c r="I12" i="11"/>
  <c r="H12" i="11"/>
  <c r="H11" i="11"/>
  <c r="I11" i="11" s="1"/>
  <c r="I10" i="11"/>
  <c r="H10" i="11"/>
  <c r="H9" i="11"/>
  <c r="I9" i="11" s="1"/>
  <c r="H46" i="2" l="1"/>
  <c r="I46" i="2" s="1"/>
  <c r="H45" i="2"/>
  <c r="I45" i="2" s="1"/>
  <c r="H44" i="2"/>
  <c r="I44" i="2" s="1"/>
  <c r="H43" i="2"/>
  <c r="I43" i="2" s="1"/>
  <c r="H42" i="2"/>
  <c r="I42" i="2" s="1"/>
  <c r="H41" i="2"/>
  <c r="I41" i="2" s="1"/>
  <c r="H40" i="2"/>
  <c r="I40" i="2" s="1"/>
  <c r="H39" i="2"/>
  <c r="I39" i="2" s="1"/>
  <c r="H38" i="2"/>
  <c r="I38" i="2" s="1"/>
  <c r="H37" i="2"/>
  <c r="I37" i="2" s="1"/>
  <c r="H36" i="2"/>
  <c r="I36" i="2" s="1"/>
  <c r="H35" i="2"/>
  <c r="I35" i="2" s="1"/>
  <c r="H34" i="2"/>
  <c r="I34" i="2" s="1"/>
  <c r="H33" i="2"/>
  <c r="I33" i="2" s="1"/>
  <c r="H32" i="2"/>
  <c r="I32" i="2" s="1"/>
  <c r="H31" i="2"/>
  <c r="I31" i="2" s="1"/>
  <c r="H30" i="2"/>
  <c r="I30" i="2" s="1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46" i="14" l="1"/>
  <c r="I46" i="14" s="1"/>
  <c r="H45" i="14"/>
  <c r="I45" i="14" s="1"/>
  <c r="H44" i="14"/>
  <c r="I44" i="14" s="1"/>
  <c r="H43" i="14"/>
  <c r="I43" i="14" s="1"/>
  <c r="H42" i="14"/>
  <c r="I42" i="14" s="1"/>
  <c r="H41" i="14"/>
  <c r="I41" i="14" s="1"/>
  <c r="H40" i="14"/>
  <c r="I40" i="14" s="1"/>
  <c r="H39" i="14"/>
  <c r="I39" i="14" s="1"/>
  <c r="H38" i="14"/>
  <c r="I38" i="14" s="1"/>
  <c r="H37" i="14"/>
  <c r="I37" i="14" s="1"/>
  <c r="H36" i="14"/>
  <c r="I36" i="14" s="1"/>
  <c r="H35" i="14"/>
  <c r="I35" i="14" s="1"/>
  <c r="H34" i="14"/>
  <c r="I34" i="14" s="1"/>
  <c r="H33" i="14"/>
  <c r="I33" i="14" s="1"/>
  <c r="H32" i="14"/>
  <c r="I32" i="14" s="1"/>
  <c r="H31" i="14"/>
  <c r="I31" i="14" s="1"/>
  <c r="H30" i="14"/>
  <c r="I30" i="14" s="1"/>
  <c r="H29" i="14"/>
  <c r="I29" i="14" s="1"/>
  <c r="H28" i="14"/>
  <c r="I28" i="14" s="1"/>
  <c r="H27" i="14"/>
  <c r="I27" i="14" s="1"/>
  <c r="H26" i="14"/>
  <c r="I26" i="14" s="1"/>
  <c r="H25" i="14"/>
  <c r="I25" i="14" s="1"/>
  <c r="H24" i="14"/>
  <c r="I24" i="14" s="1"/>
  <c r="H23" i="14"/>
  <c r="I23" i="14" s="1"/>
  <c r="H22" i="14"/>
  <c r="I22" i="14" s="1"/>
  <c r="H21" i="14"/>
  <c r="I21" i="14" s="1"/>
  <c r="H20" i="14"/>
  <c r="I20" i="14" s="1"/>
  <c r="H19" i="14"/>
  <c r="I19" i="14" s="1"/>
  <c r="H18" i="14"/>
  <c r="I18" i="14" s="1"/>
  <c r="H17" i="14"/>
  <c r="I17" i="14" s="1"/>
  <c r="H16" i="14"/>
  <c r="I16" i="14" s="1"/>
  <c r="H15" i="14"/>
  <c r="I15" i="14" s="1"/>
  <c r="H14" i="14"/>
  <c r="I14" i="14" s="1"/>
  <c r="H13" i="14"/>
  <c r="I13" i="14" s="1"/>
  <c r="H12" i="14"/>
  <c r="I12" i="14" s="1"/>
  <c r="H11" i="14"/>
  <c r="I11" i="14" s="1"/>
  <c r="H10" i="14"/>
  <c r="I10" i="14" s="1"/>
  <c r="H9" i="14"/>
  <c r="I9" i="14" s="1"/>
  <c r="H46" i="18" l="1"/>
  <c r="I46" i="18" s="1"/>
  <c r="H45" i="18"/>
  <c r="I45" i="18" s="1"/>
  <c r="H44" i="18"/>
  <c r="I44" i="18" s="1"/>
  <c r="H43" i="18"/>
  <c r="I43" i="18" s="1"/>
  <c r="H42" i="18"/>
  <c r="I42" i="18" s="1"/>
  <c r="H41" i="18"/>
  <c r="I41" i="18" s="1"/>
  <c r="H40" i="18"/>
  <c r="I40" i="18" s="1"/>
  <c r="H39" i="18"/>
  <c r="I39" i="18" s="1"/>
  <c r="H38" i="18"/>
  <c r="I38" i="18" s="1"/>
  <c r="H37" i="18"/>
  <c r="I37" i="18" s="1"/>
  <c r="H36" i="18"/>
  <c r="I36" i="18" s="1"/>
  <c r="H35" i="18"/>
  <c r="I35" i="18" s="1"/>
  <c r="H34" i="18"/>
  <c r="I34" i="18" s="1"/>
  <c r="H33" i="18"/>
  <c r="I33" i="18" s="1"/>
  <c r="H32" i="18"/>
  <c r="I32" i="18" s="1"/>
  <c r="H31" i="18"/>
  <c r="I31" i="18" s="1"/>
  <c r="H30" i="18"/>
  <c r="I30" i="18" s="1"/>
  <c r="H29" i="18"/>
  <c r="I29" i="18" s="1"/>
  <c r="H28" i="18"/>
  <c r="I28" i="18" s="1"/>
  <c r="H27" i="18"/>
  <c r="I27" i="18" s="1"/>
  <c r="H26" i="18"/>
  <c r="I26" i="18" s="1"/>
  <c r="H25" i="18"/>
  <c r="I25" i="18" s="1"/>
  <c r="H24" i="18"/>
  <c r="I24" i="18" s="1"/>
  <c r="H23" i="18"/>
  <c r="I23" i="18" s="1"/>
  <c r="H22" i="18"/>
  <c r="I22" i="18" s="1"/>
  <c r="H21" i="18"/>
  <c r="I21" i="18" s="1"/>
  <c r="H20" i="18"/>
  <c r="I20" i="18" s="1"/>
  <c r="H19" i="18"/>
  <c r="I19" i="18" s="1"/>
  <c r="H18" i="18"/>
  <c r="I18" i="18" s="1"/>
  <c r="H17" i="18"/>
  <c r="I17" i="18" s="1"/>
  <c r="H16" i="18"/>
  <c r="I16" i="18" s="1"/>
  <c r="H15" i="18"/>
  <c r="I15" i="18" s="1"/>
  <c r="H14" i="18"/>
  <c r="I14" i="18" s="1"/>
  <c r="H13" i="18"/>
  <c r="I13" i="18" s="1"/>
  <c r="H12" i="18"/>
  <c r="I12" i="18" s="1"/>
  <c r="H11" i="18"/>
  <c r="I11" i="18" s="1"/>
  <c r="H10" i="18"/>
  <c r="I10" i="18" s="1"/>
  <c r="H9" i="18"/>
  <c r="I9" i="18" s="1"/>
  <c r="I46" i="19"/>
  <c r="H46" i="19"/>
  <c r="H45" i="19"/>
  <c r="I45" i="19" s="1"/>
  <c r="I44" i="19"/>
  <c r="H44" i="19"/>
  <c r="H43" i="19"/>
  <c r="I43" i="19" s="1"/>
  <c r="I42" i="19"/>
  <c r="H42" i="19"/>
  <c r="H41" i="19"/>
  <c r="I41" i="19" s="1"/>
  <c r="I40" i="19"/>
  <c r="H40" i="19"/>
  <c r="H39" i="19"/>
  <c r="I39" i="19" s="1"/>
  <c r="I38" i="19"/>
  <c r="H38" i="19"/>
  <c r="H37" i="19"/>
  <c r="I37" i="19" s="1"/>
  <c r="I36" i="19"/>
  <c r="H36" i="19"/>
  <c r="H35" i="19"/>
  <c r="I35" i="19" s="1"/>
  <c r="I34" i="19"/>
  <c r="H34" i="19"/>
  <c r="H33" i="19"/>
  <c r="I33" i="19" s="1"/>
  <c r="I32" i="19"/>
  <c r="H32" i="19"/>
  <c r="H31" i="19"/>
  <c r="I31" i="19" s="1"/>
  <c r="I30" i="19"/>
  <c r="H30" i="19"/>
  <c r="H29" i="19"/>
  <c r="I29" i="19" s="1"/>
  <c r="I28" i="19"/>
  <c r="H28" i="19"/>
  <c r="H27" i="19"/>
  <c r="I27" i="19" s="1"/>
  <c r="I26" i="19"/>
  <c r="H26" i="19"/>
  <c r="H25" i="19"/>
  <c r="I25" i="19" s="1"/>
  <c r="I24" i="19"/>
  <c r="H24" i="19"/>
  <c r="H23" i="19"/>
  <c r="I23" i="19" s="1"/>
  <c r="I22" i="19"/>
  <c r="H22" i="19"/>
  <c r="H21" i="19"/>
  <c r="I21" i="19" s="1"/>
  <c r="I20" i="19"/>
  <c r="H20" i="19"/>
  <c r="H19" i="19"/>
  <c r="I19" i="19" s="1"/>
  <c r="I18" i="19"/>
  <c r="H18" i="19"/>
  <c r="H17" i="19"/>
  <c r="I17" i="19" s="1"/>
  <c r="I16" i="19"/>
  <c r="H16" i="19"/>
  <c r="H15" i="19"/>
  <c r="I15" i="19" s="1"/>
  <c r="I14" i="19"/>
  <c r="H14" i="19"/>
  <c r="H13" i="19"/>
  <c r="I13" i="19" s="1"/>
  <c r="I12" i="19"/>
  <c r="H12" i="19"/>
  <c r="H11" i="19"/>
  <c r="I11" i="19" s="1"/>
  <c r="I10" i="19"/>
  <c r="H10" i="19"/>
  <c r="H9" i="19"/>
  <c r="I9" i="19" s="1"/>
  <c r="H46" i="15" l="1"/>
  <c r="I46" i="15" s="1"/>
  <c r="H45" i="15"/>
  <c r="I45" i="15" s="1"/>
  <c r="H44" i="15"/>
  <c r="I44" i="15" s="1"/>
  <c r="H43" i="15"/>
  <c r="I43" i="15" s="1"/>
  <c r="H42" i="15"/>
  <c r="I42" i="15" s="1"/>
  <c r="H41" i="15"/>
  <c r="I41" i="15" s="1"/>
  <c r="H40" i="15"/>
  <c r="I40" i="15" s="1"/>
  <c r="H39" i="15"/>
  <c r="I39" i="15" s="1"/>
  <c r="H38" i="15"/>
  <c r="I38" i="15" s="1"/>
  <c r="H37" i="15"/>
  <c r="I37" i="15" s="1"/>
  <c r="H36" i="15"/>
  <c r="I36" i="15" s="1"/>
  <c r="H35" i="15"/>
  <c r="I35" i="15" s="1"/>
  <c r="H34" i="15"/>
  <c r="I34" i="15" s="1"/>
  <c r="H33" i="15"/>
  <c r="I33" i="15" s="1"/>
  <c r="H32" i="15"/>
  <c r="I32" i="15" s="1"/>
  <c r="H31" i="15"/>
  <c r="I31" i="15" s="1"/>
  <c r="H30" i="15"/>
  <c r="I30" i="15" s="1"/>
  <c r="H29" i="15"/>
  <c r="I29" i="15" s="1"/>
  <c r="H28" i="15"/>
  <c r="I28" i="15" s="1"/>
  <c r="H27" i="15"/>
  <c r="I27" i="15" s="1"/>
  <c r="H26" i="15"/>
  <c r="I26" i="15" s="1"/>
  <c r="H25" i="15"/>
  <c r="I25" i="15" s="1"/>
  <c r="H24" i="15"/>
  <c r="I24" i="15" s="1"/>
  <c r="H23" i="15"/>
  <c r="I23" i="15" s="1"/>
  <c r="H22" i="15"/>
  <c r="I22" i="15" s="1"/>
  <c r="H21" i="15"/>
  <c r="I21" i="15" s="1"/>
  <c r="H20" i="15"/>
  <c r="I20" i="15" s="1"/>
  <c r="H19" i="15"/>
  <c r="I19" i="15" s="1"/>
  <c r="H18" i="15"/>
  <c r="I18" i="15" s="1"/>
  <c r="H17" i="15"/>
  <c r="I17" i="15" s="1"/>
  <c r="H16" i="15"/>
  <c r="I16" i="15" s="1"/>
  <c r="H15" i="15"/>
  <c r="I15" i="15" s="1"/>
  <c r="H14" i="15"/>
  <c r="I14" i="15" s="1"/>
  <c r="H13" i="15"/>
  <c r="I13" i="15" s="1"/>
  <c r="H12" i="15"/>
  <c r="I12" i="15" s="1"/>
  <c r="H11" i="15"/>
  <c r="I11" i="15" s="1"/>
  <c r="H10" i="15"/>
  <c r="I10" i="15" s="1"/>
  <c r="H9" i="15"/>
  <c r="I9" i="15" s="1"/>
  <c r="H46" i="17" l="1"/>
  <c r="I46" i="17" s="1"/>
  <c r="H45" i="17"/>
  <c r="I45" i="17" s="1"/>
  <c r="H44" i="17"/>
  <c r="I44" i="17" s="1"/>
  <c r="H43" i="17"/>
  <c r="I43" i="17" s="1"/>
  <c r="H42" i="17"/>
  <c r="I42" i="17" s="1"/>
  <c r="H41" i="17"/>
  <c r="I41" i="17" s="1"/>
  <c r="H40" i="17"/>
  <c r="I40" i="17" s="1"/>
  <c r="H39" i="17"/>
  <c r="I39" i="17" s="1"/>
  <c r="H38" i="17"/>
  <c r="I38" i="17" s="1"/>
  <c r="H37" i="17"/>
  <c r="I37" i="17" s="1"/>
  <c r="H36" i="17"/>
  <c r="I36" i="17" s="1"/>
  <c r="H35" i="17"/>
  <c r="I35" i="17" s="1"/>
  <c r="H34" i="17"/>
  <c r="I34" i="17" s="1"/>
  <c r="H33" i="17"/>
  <c r="I33" i="17" s="1"/>
  <c r="H32" i="17"/>
  <c r="I32" i="17" s="1"/>
  <c r="H31" i="17"/>
  <c r="I31" i="17" s="1"/>
  <c r="H30" i="17"/>
  <c r="I30" i="17" s="1"/>
  <c r="H29" i="17"/>
  <c r="I29" i="17" s="1"/>
  <c r="H28" i="17"/>
  <c r="I28" i="17" s="1"/>
  <c r="H27" i="17"/>
  <c r="I27" i="17" s="1"/>
  <c r="H26" i="17"/>
  <c r="I26" i="17" s="1"/>
  <c r="H25" i="17"/>
  <c r="I25" i="17" s="1"/>
  <c r="H24" i="17"/>
  <c r="I24" i="17" s="1"/>
  <c r="H23" i="17"/>
  <c r="I23" i="17" s="1"/>
  <c r="H22" i="17"/>
  <c r="I22" i="17" s="1"/>
  <c r="H21" i="17"/>
  <c r="I21" i="17" s="1"/>
  <c r="H20" i="17"/>
  <c r="I20" i="17" s="1"/>
  <c r="H19" i="17"/>
  <c r="I19" i="17" s="1"/>
  <c r="H18" i="17"/>
  <c r="I18" i="17" s="1"/>
  <c r="H17" i="17"/>
  <c r="I17" i="17" s="1"/>
  <c r="H16" i="17"/>
  <c r="I16" i="17" s="1"/>
  <c r="H15" i="17"/>
  <c r="I15" i="17" s="1"/>
  <c r="H14" i="17"/>
  <c r="I14" i="17" s="1"/>
  <c r="H13" i="17"/>
  <c r="I13" i="17" s="1"/>
  <c r="H12" i="17"/>
  <c r="I12" i="17" s="1"/>
  <c r="H11" i="17"/>
  <c r="I11" i="17" s="1"/>
  <c r="H10" i="17"/>
  <c r="I10" i="17" s="1"/>
  <c r="H9" i="17"/>
  <c r="I9" i="17" s="1"/>
  <c r="I14" i="20" l="1"/>
  <c r="I22" i="20"/>
  <c r="I23" i="20"/>
  <c r="I24" i="20"/>
  <c r="I28" i="20"/>
  <c r="I30" i="20"/>
  <c r="I31" i="20"/>
  <c r="I33" i="20"/>
  <c r="I35" i="20"/>
  <c r="I36" i="20"/>
  <c r="I39" i="20"/>
  <c r="I43" i="20"/>
  <c r="I44" i="20"/>
  <c r="I48" i="20"/>
  <c r="I49" i="20"/>
  <c r="X13" i="20"/>
  <c r="W13" i="20"/>
  <c r="V13" i="20"/>
  <c r="U13" i="20"/>
  <c r="T13" i="20"/>
  <c r="S13" i="20"/>
  <c r="R13" i="20"/>
  <c r="Q13" i="20"/>
  <c r="Q14" i="20" s="1"/>
  <c r="S14" i="20" l="1"/>
  <c r="W14" i="20"/>
  <c r="U14" i="20"/>
  <c r="D13" i="1"/>
  <c r="E13" i="1"/>
  <c r="F13" i="1"/>
  <c r="G13" i="1"/>
  <c r="H13" i="1"/>
  <c r="I13" i="1"/>
  <c r="J13" i="1"/>
  <c r="K13" i="1"/>
  <c r="L13" i="1"/>
  <c r="M13" i="1"/>
  <c r="D14" i="1"/>
  <c r="E14" i="1"/>
  <c r="F14" i="1"/>
  <c r="G14" i="1"/>
  <c r="I14" i="1"/>
  <c r="J14" i="1"/>
  <c r="K14" i="1"/>
  <c r="L14" i="1"/>
  <c r="M14" i="1"/>
  <c r="D15" i="1"/>
  <c r="E15" i="1"/>
  <c r="F15" i="1"/>
  <c r="G15" i="1"/>
  <c r="H15" i="1"/>
  <c r="I15" i="1"/>
  <c r="J15" i="1"/>
  <c r="K15" i="1"/>
  <c r="L15" i="1"/>
  <c r="M15" i="1"/>
  <c r="D16" i="1"/>
  <c r="E16" i="1"/>
  <c r="F16" i="1"/>
  <c r="G16" i="1"/>
  <c r="H16" i="1"/>
  <c r="I16" i="1"/>
  <c r="J16" i="1"/>
  <c r="K16" i="1"/>
  <c r="L16" i="1"/>
  <c r="M16" i="1"/>
  <c r="D17" i="1"/>
  <c r="E17" i="1"/>
  <c r="F17" i="1"/>
  <c r="G17" i="1"/>
  <c r="H17" i="1"/>
  <c r="I17" i="1"/>
  <c r="J17" i="1"/>
  <c r="K17" i="1"/>
  <c r="L17" i="1"/>
  <c r="M17" i="1"/>
  <c r="D18" i="1"/>
  <c r="E18" i="1"/>
  <c r="F18" i="1"/>
  <c r="G18" i="1"/>
  <c r="H18" i="1"/>
  <c r="I18" i="1"/>
  <c r="J18" i="1"/>
  <c r="K18" i="1"/>
  <c r="L18" i="1"/>
  <c r="M18" i="1"/>
  <c r="D19" i="1"/>
  <c r="E19" i="1"/>
  <c r="F19" i="1"/>
  <c r="G19" i="1"/>
  <c r="H19" i="1"/>
  <c r="I19" i="1"/>
  <c r="J19" i="1"/>
  <c r="K19" i="1"/>
  <c r="L19" i="1"/>
  <c r="M19" i="1"/>
  <c r="D20" i="1"/>
  <c r="E20" i="1"/>
  <c r="F20" i="1"/>
  <c r="G20" i="1"/>
  <c r="H20" i="1"/>
  <c r="I20" i="1"/>
  <c r="J20" i="1"/>
  <c r="K20" i="1"/>
  <c r="L20" i="1"/>
  <c r="M20" i="1"/>
  <c r="D21" i="1"/>
  <c r="E21" i="1"/>
  <c r="F21" i="1"/>
  <c r="G21" i="1"/>
  <c r="H21" i="1"/>
  <c r="I21" i="1"/>
  <c r="J21" i="1"/>
  <c r="K21" i="1"/>
  <c r="L21" i="1"/>
  <c r="M21" i="1"/>
  <c r="D22" i="1"/>
  <c r="E22" i="1"/>
  <c r="F22" i="1"/>
  <c r="G22" i="1"/>
  <c r="I22" i="1"/>
  <c r="J22" i="1"/>
  <c r="K22" i="1"/>
  <c r="L22" i="1"/>
  <c r="M22" i="1"/>
  <c r="D23" i="1"/>
  <c r="E23" i="1"/>
  <c r="F23" i="1"/>
  <c r="G23" i="1"/>
  <c r="H23" i="1"/>
  <c r="I23" i="1"/>
  <c r="J23" i="1"/>
  <c r="K23" i="1"/>
  <c r="L23" i="1"/>
  <c r="M23" i="1"/>
  <c r="D24" i="1"/>
  <c r="E24" i="1"/>
  <c r="F24" i="1"/>
  <c r="G24" i="1"/>
  <c r="I24" i="1"/>
  <c r="J24" i="1"/>
  <c r="K24" i="1"/>
  <c r="L24" i="1"/>
  <c r="M24" i="1"/>
  <c r="D25" i="1"/>
  <c r="E25" i="1"/>
  <c r="F25" i="1"/>
  <c r="G25" i="1"/>
  <c r="H25" i="1"/>
  <c r="I25" i="1"/>
  <c r="J25" i="1"/>
  <c r="K25" i="1"/>
  <c r="L25" i="1"/>
  <c r="M25" i="1"/>
  <c r="D26" i="1"/>
  <c r="E26" i="1"/>
  <c r="F26" i="1"/>
  <c r="G26" i="1"/>
  <c r="H26" i="1"/>
  <c r="I26" i="1"/>
  <c r="J26" i="1"/>
  <c r="K26" i="1"/>
  <c r="L26" i="1"/>
  <c r="M26" i="1"/>
  <c r="D27" i="1"/>
  <c r="E27" i="1"/>
  <c r="F27" i="1"/>
  <c r="G27" i="1"/>
  <c r="H27" i="1"/>
  <c r="I27" i="1"/>
  <c r="J27" i="1"/>
  <c r="K27" i="1"/>
  <c r="L27" i="1"/>
  <c r="M27" i="1"/>
  <c r="D28" i="1"/>
  <c r="E28" i="1"/>
  <c r="F28" i="1"/>
  <c r="G28" i="1"/>
  <c r="I28" i="1"/>
  <c r="J28" i="1"/>
  <c r="K28" i="1"/>
  <c r="L28" i="1"/>
  <c r="M28" i="1"/>
  <c r="D29" i="1"/>
  <c r="E29" i="1"/>
  <c r="F29" i="1"/>
  <c r="G29" i="1"/>
  <c r="H29" i="1"/>
  <c r="I29" i="1"/>
  <c r="J29" i="1"/>
  <c r="K29" i="1"/>
  <c r="L29" i="1"/>
  <c r="M29" i="1"/>
  <c r="D30" i="1"/>
  <c r="E30" i="1"/>
  <c r="F30" i="1"/>
  <c r="G30" i="1"/>
  <c r="H30" i="1"/>
  <c r="I30" i="1"/>
  <c r="J30" i="1"/>
  <c r="K30" i="1"/>
  <c r="L30" i="1"/>
  <c r="M30" i="1"/>
  <c r="D31" i="1"/>
  <c r="E31" i="1"/>
  <c r="F31" i="1"/>
  <c r="G31" i="1"/>
  <c r="H31" i="1"/>
  <c r="I31" i="1"/>
  <c r="J31" i="1"/>
  <c r="K31" i="1"/>
  <c r="L31" i="1"/>
  <c r="M31" i="1"/>
  <c r="D32" i="1"/>
  <c r="E32" i="1"/>
  <c r="F32" i="1"/>
  <c r="G32" i="1"/>
  <c r="H32" i="1"/>
  <c r="I32" i="1"/>
  <c r="J32" i="1"/>
  <c r="K32" i="1"/>
  <c r="L32" i="1"/>
  <c r="M32" i="1"/>
  <c r="D33" i="1"/>
  <c r="E33" i="1"/>
  <c r="F33" i="1"/>
  <c r="G33" i="1"/>
  <c r="H33" i="1"/>
  <c r="I33" i="1"/>
  <c r="J33" i="1"/>
  <c r="K33" i="1"/>
  <c r="L33" i="1"/>
  <c r="M33" i="1"/>
  <c r="D34" i="1"/>
  <c r="E34" i="1"/>
  <c r="F34" i="1"/>
  <c r="G34" i="1"/>
  <c r="H34" i="1"/>
  <c r="I34" i="1"/>
  <c r="J34" i="1"/>
  <c r="K34" i="1"/>
  <c r="L34" i="1"/>
  <c r="M34" i="1"/>
  <c r="D35" i="1"/>
  <c r="E35" i="1"/>
  <c r="F35" i="1"/>
  <c r="G35" i="1"/>
  <c r="I35" i="1"/>
  <c r="J35" i="1"/>
  <c r="K35" i="1"/>
  <c r="L35" i="1"/>
  <c r="M35" i="1"/>
  <c r="D36" i="1"/>
  <c r="E36" i="1"/>
  <c r="F36" i="1"/>
  <c r="G36" i="1"/>
  <c r="I36" i="1"/>
  <c r="J36" i="1"/>
  <c r="K36" i="1"/>
  <c r="L36" i="1"/>
  <c r="M36" i="1"/>
  <c r="D37" i="1"/>
  <c r="E37" i="1"/>
  <c r="F37" i="1"/>
  <c r="G37" i="1"/>
  <c r="H37" i="1"/>
  <c r="I37" i="1"/>
  <c r="J37" i="1"/>
  <c r="K37" i="1"/>
  <c r="L37" i="1"/>
  <c r="M37" i="1"/>
  <c r="D38" i="1"/>
  <c r="E38" i="1"/>
  <c r="F38" i="1"/>
  <c r="G38" i="1"/>
  <c r="H38" i="1"/>
  <c r="I38" i="1"/>
  <c r="J38" i="1"/>
  <c r="K38" i="1"/>
  <c r="L38" i="1"/>
  <c r="M38" i="1"/>
  <c r="D39" i="1"/>
  <c r="E39" i="1"/>
  <c r="F39" i="1"/>
  <c r="G39" i="1"/>
  <c r="I39" i="1"/>
  <c r="J39" i="1"/>
  <c r="K39" i="1"/>
  <c r="L39" i="1"/>
  <c r="M39" i="1"/>
  <c r="D40" i="1"/>
  <c r="E40" i="1"/>
  <c r="F40" i="1"/>
  <c r="G40" i="1"/>
  <c r="H40" i="1"/>
  <c r="I40" i="1"/>
  <c r="J40" i="1"/>
  <c r="K40" i="1"/>
  <c r="L40" i="1"/>
  <c r="M40" i="1"/>
  <c r="D41" i="1"/>
  <c r="E41" i="1"/>
  <c r="F41" i="1"/>
  <c r="G41" i="1"/>
  <c r="H41" i="1"/>
  <c r="I41" i="1"/>
  <c r="J41" i="1"/>
  <c r="K41" i="1"/>
  <c r="L41" i="1"/>
  <c r="M41" i="1"/>
  <c r="D42" i="1"/>
  <c r="E42" i="1"/>
  <c r="F42" i="1"/>
  <c r="G42" i="1"/>
  <c r="H42" i="1"/>
  <c r="I42" i="1"/>
  <c r="J42" i="1"/>
  <c r="K42" i="1"/>
  <c r="L42" i="1"/>
  <c r="M42" i="1"/>
  <c r="D43" i="1"/>
  <c r="E43" i="1"/>
  <c r="F43" i="1"/>
  <c r="G43" i="1"/>
  <c r="I43" i="1"/>
  <c r="J43" i="1"/>
  <c r="K43" i="1"/>
  <c r="L43" i="1"/>
  <c r="M43" i="1"/>
  <c r="D44" i="1"/>
  <c r="E44" i="1"/>
  <c r="F44" i="1"/>
  <c r="G44" i="1"/>
  <c r="I44" i="1"/>
  <c r="J44" i="1"/>
  <c r="K44" i="1"/>
  <c r="L44" i="1"/>
  <c r="M44" i="1"/>
  <c r="D45" i="1"/>
  <c r="E45" i="1"/>
  <c r="F45" i="1"/>
  <c r="G45" i="1"/>
  <c r="H45" i="1"/>
  <c r="I45" i="1"/>
  <c r="J45" i="1"/>
  <c r="K45" i="1"/>
  <c r="L45" i="1"/>
  <c r="M45" i="1"/>
  <c r="D46" i="1"/>
  <c r="E46" i="1"/>
  <c r="F46" i="1"/>
  <c r="G46" i="1"/>
  <c r="H46" i="1"/>
  <c r="I46" i="1"/>
  <c r="J46" i="1"/>
  <c r="K46" i="1"/>
  <c r="L46" i="1"/>
  <c r="M46" i="1"/>
  <c r="D47" i="1"/>
  <c r="E47" i="1"/>
  <c r="F47" i="1"/>
  <c r="G47" i="1"/>
  <c r="H47" i="1"/>
  <c r="I47" i="1"/>
  <c r="J47" i="1"/>
  <c r="K47" i="1"/>
  <c r="L47" i="1"/>
  <c r="M47" i="1"/>
  <c r="D48" i="1"/>
  <c r="E48" i="1"/>
  <c r="F48" i="1"/>
  <c r="G48" i="1"/>
  <c r="H48" i="1"/>
  <c r="I48" i="1"/>
  <c r="J48" i="1"/>
  <c r="K48" i="1"/>
  <c r="L48" i="1"/>
  <c r="M48" i="1"/>
  <c r="D49" i="1"/>
  <c r="E49" i="1"/>
  <c r="F49" i="1"/>
  <c r="G49" i="1"/>
  <c r="I49" i="1"/>
  <c r="J49" i="1"/>
  <c r="K49" i="1"/>
  <c r="L49" i="1"/>
  <c r="M49" i="1"/>
  <c r="M12" i="1"/>
  <c r="L12" i="1"/>
  <c r="K12" i="1"/>
  <c r="J12" i="1"/>
  <c r="I12" i="1"/>
  <c r="G12" i="1"/>
  <c r="F12" i="1"/>
  <c r="E12" i="1"/>
  <c r="D12" i="1"/>
  <c r="M37" i="11" l="1"/>
  <c r="R37" i="11"/>
  <c r="M38" i="11"/>
  <c r="R38" i="11"/>
  <c r="M39" i="11"/>
  <c r="R39" i="11"/>
  <c r="H37" i="3"/>
  <c r="I37" i="3" s="1"/>
  <c r="M37" i="3"/>
  <c r="R37" i="3"/>
  <c r="H38" i="3"/>
  <c r="M38" i="3"/>
  <c r="R38" i="3"/>
  <c r="H39" i="3"/>
  <c r="M39" i="3"/>
  <c r="R39" i="3"/>
  <c r="M37" i="15"/>
  <c r="R37" i="15"/>
  <c r="M38" i="15"/>
  <c r="R38" i="15"/>
  <c r="M39" i="15"/>
  <c r="R39" i="15"/>
  <c r="M37" i="14"/>
  <c r="R37" i="14"/>
  <c r="M38" i="14"/>
  <c r="R38" i="14"/>
  <c r="M39" i="14"/>
  <c r="R39" i="14"/>
  <c r="H37" i="16"/>
  <c r="M37" i="16"/>
  <c r="R37" i="16"/>
  <c r="H38" i="16"/>
  <c r="M38" i="16"/>
  <c r="R38" i="16"/>
  <c r="H39" i="16"/>
  <c r="I39" i="16" s="1"/>
  <c r="M39" i="16"/>
  <c r="R39" i="16"/>
  <c r="M37" i="17"/>
  <c r="R37" i="17"/>
  <c r="M38" i="17"/>
  <c r="R38" i="17"/>
  <c r="M39" i="17"/>
  <c r="R39" i="17"/>
  <c r="M37" i="18"/>
  <c r="R37" i="18"/>
  <c r="M38" i="18"/>
  <c r="R38" i="18"/>
  <c r="M39" i="18"/>
  <c r="K42" i="20" s="1"/>
  <c r="R39" i="18"/>
  <c r="M37" i="19"/>
  <c r="R37" i="19"/>
  <c r="M38" i="19"/>
  <c r="R38" i="19"/>
  <c r="M39" i="19"/>
  <c r="R39" i="19"/>
  <c r="M37" i="13"/>
  <c r="R37" i="13"/>
  <c r="M38" i="13"/>
  <c r="M41" i="20" s="1"/>
  <c r="R38" i="13"/>
  <c r="M39" i="13"/>
  <c r="R39" i="13"/>
  <c r="M37" i="2"/>
  <c r="R37" i="2"/>
  <c r="M38" i="2"/>
  <c r="D41" i="20" s="1"/>
  <c r="R38" i="2"/>
  <c r="M39" i="2"/>
  <c r="D42" i="20" s="1"/>
  <c r="R39" i="2"/>
  <c r="O42" i="1"/>
  <c r="N38" i="3" l="1"/>
  <c r="F41" i="20"/>
  <c r="N37" i="3"/>
  <c r="F40" i="20"/>
  <c r="S38" i="3"/>
  <c r="T38" i="3" s="1"/>
  <c r="N39" i="3"/>
  <c r="F42" i="20"/>
  <c r="N37" i="13"/>
  <c r="M40" i="20"/>
  <c r="N39" i="13"/>
  <c r="M42" i="20"/>
  <c r="N38" i="11"/>
  <c r="E41" i="20"/>
  <c r="N39" i="11"/>
  <c r="E42" i="20"/>
  <c r="N37" i="11"/>
  <c r="E40" i="20"/>
  <c r="S39" i="2"/>
  <c r="T39" i="2" s="1"/>
  <c r="N37" i="2"/>
  <c r="D40" i="20"/>
  <c r="N39" i="2"/>
  <c r="N38" i="14"/>
  <c r="H41" i="20"/>
  <c r="N39" i="14"/>
  <c r="H42" i="20"/>
  <c r="N37" i="14"/>
  <c r="H40" i="20"/>
  <c r="N38" i="18"/>
  <c r="K41" i="20"/>
  <c r="N37" i="18"/>
  <c r="K40" i="20"/>
  <c r="N37" i="19"/>
  <c r="L40" i="20"/>
  <c r="N39" i="19"/>
  <c r="L42" i="20"/>
  <c r="N38" i="19"/>
  <c r="L41" i="20"/>
  <c r="N39" i="15"/>
  <c r="G42" i="20"/>
  <c r="N37" i="15"/>
  <c r="G40" i="20"/>
  <c r="N38" i="15"/>
  <c r="G41" i="20"/>
  <c r="N39" i="17"/>
  <c r="J42" i="20"/>
  <c r="N37" i="17"/>
  <c r="J40" i="20"/>
  <c r="N38" i="17"/>
  <c r="J41" i="20"/>
  <c r="S38" i="16"/>
  <c r="T38" i="16" s="1"/>
  <c r="N39" i="16"/>
  <c r="I42" i="20"/>
  <c r="N38" i="16"/>
  <c r="I41" i="20"/>
  <c r="O41" i="20" s="1"/>
  <c r="N37" i="16"/>
  <c r="I40" i="20"/>
  <c r="S37" i="16"/>
  <c r="T37" i="16" s="1"/>
  <c r="S39" i="14"/>
  <c r="T39" i="14" s="1"/>
  <c r="S38" i="13"/>
  <c r="T38" i="13" s="1"/>
  <c r="S37" i="2"/>
  <c r="T37" i="2" s="1"/>
  <c r="S37" i="19"/>
  <c r="T37" i="19" s="1"/>
  <c r="S38" i="18"/>
  <c r="T38" i="18" s="1"/>
  <c r="S38" i="14"/>
  <c r="T38" i="14" s="1"/>
  <c r="S39" i="3"/>
  <c r="T39" i="3" s="1"/>
  <c r="S37" i="3"/>
  <c r="T37" i="3" s="1"/>
  <c r="S38" i="2"/>
  <c r="T38" i="2" s="1"/>
  <c r="S37" i="18"/>
  <c r="T37" i="18" s="1"/>
  <c r="S39" i="11"/>
  <c r="T39" i="11" s="1"/>
  <c r="S39" i="13"/>
  <c r="T39" i="13" s="1"/>
  <c r="N38" i="13"/>
  <c r="S39" i="18"/>
  <c r="T39" i="18" s="1"/>
  <c r="N38" i="2"/>
  <c r="S38" i="19"/>
  <c r="T38" i="19" s="1"/>
  <c r="N39" i="18"/>
  <c r="S39" i="16"/>
  <c r="T39" i="16" s="1"/>
  <c r="S37" i="15"/>
  <c r="T37" i="15" s="1"/>
  <c r="S37" i="17"/>
  <c r="T37" i="17" s="1"/>
  <c r="S38" i="15"/>
  <c r="T38" i="15" s="1"/>
  <c r="S37" i="13"/>
  <c r="T37" i="13" s="1"/>
  <c r="S38" i="17"/>
  <c r="T38" i="17" s="1"/>
  <c r="I37" i="16"/>
  <c r="S39" i="15"/>
  <c r="T39" i="15" s="1"/>
  <c r="I38" i="3"/>
  <c r="S37" i="11"/>
  <c r="T37" i="11" s="1"/>
  <c r="S39" i="19"/>
  <c r="T39" i="19" s="1"/>
  <c r="S39" i="17"/>
  <c r="T39" i="17" s="1"/>
  <c r="I38" i="16"/>
  <c r="S37" i="14"/>
  <c r="T37" i="14" s="1"/>
  <c r="I39" i="3"/>
  <c r="S38" i="11"/>
  <c r="T38" i="11" s="1"/>
  <c r="R46" i="19"/>
  <c r="M46" i="19"/>
  <c r="R45" i="19"/>
  <c r="M45" i="19"/>
  <c r="R44" i="19"/>
  <c r="M44" i="19"/>
  <c r="S44" i="19" s="1"/>
  <c r="T44" i="19" s="1"/>
  <c r="R43" i="19"/>
  <c r="M43" i="19"/>
  <c r="L46" i="20" s="1"/>
  <c r="R42" i="19"/>
  <c r="M42" i="19"/>
  <c r="L45" i="20" s="1"/>
  <c r="R41" i="19"/>
  <c r="M41" i="19"/>
  <c r="R40" i="19"/>
  <c r="M40" i="19"/>
  <c r="L43" i="20" s="1"/>
  <c r="R36" i="19"/>
  <c r="M36" i="19"/>
  <c r="R35" i="19"/>
  <c r="M35" i="19"/>
  <c r="R34" i="19"/>
  <c r="M34" i="19"/>
  <c r="R33" i="19"/>
  <c r="M33" i="19"/>
  <c r="R32" i="19"/>
  <c r="M32" i="19"/>
  <c r="L35" i="20" s="1"/>
  <c r="R31" i="19"/>
  <c r="M31" i="19"/>
  <c r="R30" i="19"/>
  <c r="M30" i="19"/>
  <c r="R29" i="19"/>
  <c r="M29" i="19"/>
  <c r="L32" i="20" s="1"/>
  <c r="R28" i="19"/>
  <c r="M28" i="19"/>
  <c r="R27" i="19"/>
  <c r="M27" i="19"/>
  <c r="R26" i="19"/>
  <c r="M26" i="19"/>
  <c r="R25" i="19"/>
  <c r="M25" i="19"/>
  <c r="R24" i="19"/>
  <c r="M24" i="19"/>
  <c r="S24" i="19"/>
  <c r="T24" i="19" s="1"/>
  <c r="R23" i="19"/>
  <c r="M23" i="19"/>
  <c r="R22" i="19"/>
  <c r="M22" i="19"/>
  <c r="R21" i="19"/>
  <c r="M21" i="19"/>
  <c r="L24" i="20" s="1"/>
  <c r="R20" i="19"/>
  <c r="M20" i="19"/>
  <c r="R19" i="19"/>
  <c r="M19" i="19"/>
  <c r="R18" i="19"/>
  <c r="M18" i="19"/>
  <c r="R17" i="19"/>
  <c r="N17" i="19"/>
  <c r="M17" i="19"/>
  <c r="L20" i="20" s="1"/>
  <c r="S17" i="19"/>
  <c r="T17" i="19" s="1"/>
  <c r="R16" i="19"/>
  <c r="M16" i="19"/>
  <c r="L19" i="20" s="1"/>
  <c r="R15" i="19"/>
  <c r="M15" i="19"/>
  <c r="R14" i="19"/>
  <c r="M14" i="19"/>
  <c r="R13" i="19"/>
  <c r="M13" i="19"/>
  <c r="L16" i="20" s="1"/>
  <c r="R12" i="19"/>
  <c r="M12" i="19"/>
  <c r="R11" i="19"/>
  <c r="M11" i="19"/>
  <c r="L14" i="20" s="1"/>
  <c r="R10" i="19"/>
  <c r="M10" i="19"/>
  <c r="R9" i="19"/>
  <c r="M9" i="19"/>
  <c r="R46" i="18"/>
  <c r="M46" i="18"/>
  <c r="R45" i="18"/>
  <c r="M45" i="18"/>
  <c r="R44" i="18"/>
  <c r="M44" i="18"/>
  <c r="K47" i="20" s="1"/>
  <c r="R43" i="18"/>
  <c r="M43" i="18"/>
  <c r="R42" i="18"/>
  <c r="M42" i="18"/>
  <c r="K45" i="20" s="1"/>
  <c r="R41" i="18"/>
  <c r="M41" i="18"/>
  <c r="R40" i="18"/>
  <c r="M40" i="18"/>
  <c r="R36" i="18"/>
  <c r="M36" i="18"/>
  <c r="R35" i="18"/>
  <c r="M35" i="18"/>
  <c r="R34" i="18"/>
  <c r="M34" i="18"/>
  <c r="R33" i="18"/>
  <c r="M33" i="18"/>
  <c r="K36" i="20" s="1"/>
  <c r="R32" i="18"/>
  <c r="M32" i="18"/>
  <c r="R31" i="18"/>
  <c r="M31" i="18"/>
  <c r="R30" i="18"/>
  <c r="M30" i="18"/>
  <c r="R29" i="18"/>
  <c r="M29" i="18"/>
  <c r="R28" i="18"/>
  <c r="M28" i="18"/>
  <c r="R27" i="18"/>
  <c r="M27" i="18"/>
  <c r="R26" i="18"/>
  <c r="M26" i="18"/>
  <c r="R25" i="18"/>
  <c r="M25" i="18"/>
  <c r="K28" i="20" s="1"/>
  <c r="R24" i="18"/>
  <c r="M24" i="18"/>
  <c r="R23" i="18"/>
  <c r="M23" i="18"/>
  <c r="R22" i="18"/>
  <c r="M22" i="18"/>
  <c r="R21" i="18"/>
  <c r="M21" i="18"/>
  <c r="R20" i="18"/>
  <c r="M20" i="18"/>
  <c r="R19" i="18"/>
  <c r="M19" i="18"/>
  <c r="R18" i="18"/>
  <c r="M18" i="18"/>
  <c r="K21" i="20" s="1"/>
  <c r="R17" i="18"/>
  <c r="M17" i="18"/>
  <c r="K20" i="20" s="1"/>
  <c r="R16" i="18"/>
  <c r="M16" i="18"/>
  <c r="R15" i="18"/>
  <c r="M15" i="18"/>
  <c r="R14" i="18"/>
  <c r="M14" i="18"/>
  <c r="R13" i="18"/>
  <c r="M13" i="18"/>
  <c r="R12" i="18"/>
  <c r="M12" i="18"/>
  <c r="R11" i="18"/>
  <c r="M11" i="18"/>
  <c r="R10" i="18"/>
  <c r="M10" i="18"/>
  <c r="R9" i="18"/>
  <c r="M9" i="18"/>
  <c r="K12" i="20" s="1"/>
  <c r="R46" i="17"/>
  <c r="M46" i="17"/>
  <c r="J49" i="20" s="1"/>
  <c r="R45" i="17"/>
  <c r="M45" i="17"/>
  <c r="J48" i="20" s="1"/>
  <c r="R44" i="17"/>
  <c r="N44" i="17"/>
  <c r="M44" i="17"/>
  <c r="J47" i="20" s="1"/>
  <c r="R43" i="17"/>
  <c r="M43" i="17"/>
  <c r="R42" i="17"/>
  <c r="M42" i="17"/>
  <c r="R41" i="17"/>
  <c r="M41" i="17"/>
  <c r="R40" i="17"/>
  <c r="M40" i="17"/>
  <c r="R36" i="17"/>
  <c r="M36" i="17"/>
  <c r="R35" i="17"/>
  <c r="M35" i="17"/>
  <c r="R34" i="17"/>
  <c r="M34" i="17"/>
  <c r="J37" i="20" s="1"/>
  <c r="R33" i="17"/>
  <c r="M33" i="17"/>
  <c r="R32" i="17"/>
  <c r="M32" i="17"/>
  <c r="R31" i="17"/>
  <c r="M31" i="17"/>
  <c r="R30" i="17"/>
  <c r="M30" i="17"/>
  <c r="R29" i="17"/>
  <c r="M29" i="17"/>
  <c r="R28" i="17"/>
  <c r="M28" i="17"/>
  <c r="R27" i="17"/>
  <c r="M27" i="17"/>
  <c r="J30" i="20" s="1"/>
  <c r="R26" i="17"/>
  <c r="M26" i="17"/>
  <c r="J29" i="20" s="1"/>
  <c r="R25" i="17"/>
  <c r="M25" i="17"/>
  <c r="R24" i="17"/>
  <c r="M24" i="17"/>
  <c r="R23" i="17"/>
  <c r="M23" i="17"/>
  <c r="J26" i="20" s="1"/>
  <c r="R22" i="17"/>
  <c r="M22" i="17"/>
  <c r="S22" i="17" s="1"/>
  <c r="T22" i="17" s="1"/>
  <c r="R21" i="17"/>
  <c r="M21" i="17"/>
  <c r="R20" i="17"/>
  <c r="M20" i="17"/>
  <c r="R19" i="17"/>
  <c r="M19" i="17"/>
  <c r="R18" i="17"/>
  <c r="M18" i="17"/>
  <c r="J21" i="20" s="1"/>
  <c r="R17" i="17"/>
  <c r="M17" i="17"/>
  <c r="R16" i="17"/>
  <c r="M16" i="17"/>
  <c r="R15" i="17"/>
  <c r="M15" i="17"/>
  <c r="J18" i="20" s="1"/>
  <c r="R14" i="17"/>
  <c r="M14" i="17"/>
  <c r="J17" i="20" s="1"/>
  <c r="S14" i="17"/>
  <c r="T14" i="17" s="1"/>
  <c r="R13" i="17"/>
  <c r="M13" i="17"/>
  <c r="R12" i="17"/>
  <c r="N12" i="17"/>
  <c r="M12" i="17"/>
  <c r="J15" i="20" s="1"/>
  <c r="R11" i="17"/>
  <c r="N11" i="17"/>
  <c r="M11" i="17"/>
  <c r="J14" i="20" s="1"/>
  <c r="R10" i="17"/>
  <c r="M10" i="17"/>
  <c r="J13" i="20" s="1"/>
  <c r="R9" i="17"/>
  <c r="N9" i="17"/>
  <c r="M9" i="17"/>
  <c r="J12" i="20" s="1"/>
  <c r="S9" i="17"/>
  <c r="T9" i="17" s="1"/>
  <c r="R46" i="16"/>
  <c r="S46" i="16" s="1"/>
  <c r="T46" i="16" s="1"/>
  <c r="M46" i="16"/>
  <c r="N46" i="16" s="1"/>
  <c r="I46" i="16"/>
  <c r="H46" i="16"/>
  <c r="R45" i="16"/>
  <c r="M45" i="16"/>
  <c r="H45" i="16"/>
  <c r="I45" i="16" s="1"/>
  <c r="R44" i="16"/>
  <c r="M44" i="16"/>
  <c r="H44" i="16"/>
  <c r="I44" i="16" s="1"/>
  <c r="R43" i="16"/>
  <c r="M43" i="16"/>
  <c r="H43" i="16"/>
  <c r="I43" i="16" s="1"/>
  <c r="R42" i="16"/>
  <c r="M42" i="16"/>
  <c r="I45" i="20" s="1"/>
  <c r="H42" i="16"/>
  <c r="I42" i="16" s="1"/>
  <c r="R41" i="16"/>
  <c r="M41" i="16"/>
  <c r="N41" i="16" s="1"/>
  <c r="H41" i="16"/>
  <c r="I41" i="16" s="1"/>
  <c r="R40" i="16"/>
  <c r="M40" i="16"/>
  <c r="N40" i="16" s="1"/>
  <c r="H40" i="16"/>
  <c r="R36" i="16"/>
  <c r="M36" i="16"/>
  <c r="N36" i="16" s="1"/>
  <c r="H36" i="16"/>
  <c r="I36" i="16" s="1"/>
  <c r="R35" i="16"/>
  <c r="M35" i="16"/>
  <c r="H35" i="16"/>
  <c r="I35" i="16" s="1"/>
  <c r="R34" i="16"/>
  <c r="M34" i="16"/>
  <c r="H34" i="16"/>
  <c r="I34" i="16" s="1"/>
  <c r="R33" i="16"/>
  <c r="M33" i="16"/>
  <c r="N33" i="16" s="1"/>
  <c r="H33" i="16"/>
  <c r="I33" i="16" s="1"/>
  <c r="R32" i="16"/>
  <c r="M32" i="16"/>
  <c r="N32" i="16" s="1"/>
  <c r="H32" i="16"/>
  <c r="R31" i="16"/>
  <c r="M31" i="16"/>
  <c r="I34" i="20" s="1"/>
  <c r="H31" i="16"/>
  <c r="I31" i="16" s="1"/>
  <c r="R30" i="16"/>
  <c r="M30" i="16"/>
  <c r="N30" i="16" s="1"/>
  <c r="H30" i="16"/>
  <c r="S30" i="16" s="1"/>
  <c r="T30" i="16" s="1"/>
  <c r="R29" i="16"/>
  <c r="M29" i="16"/>
  <c r="H29" i="16"/>
  <c r="R28" i="16"/>
  <c r="M28" i="16"/>
  <c r="H28" i="16"/>
  <c r="I28" i="16" s="1"/>
  <c r="R27" i="16"/>
  <c r="M27" i="16"/>
  <c r="N27" i="16" s="1"/>
  <c r="H27" i="16"/>
  <c r="I27" i="16" s="1"/>
  <c r="R26" i="16"/>
  <c r="M26" i="16"/>
  <c r="H26" i="16"/>
  <c r="R25" i="16"/>
  <c r="M25" i="16"/>
  <c r="N25" i="16" s="1"/>
  <c r="H25" i="16"/>
  <c r="I25" i="16" s="1"/>
  <c r="R24" i="16"/>
  <c r="M24" i="16"/>
  <c r="H24" i="16"/>
  <c r="S24" i="16" s="1"/>
  <c r="T24" i="16" s="1"/>
  <c r="R23" i="16"/>
  <c r="M23" i="16"/>
  <c r="I26" i="20" s="1"/>
  <c r="H23" i="16"/>
  <c r="I23" i="16" s="1"/>
  <c r="R22" i="16"/>
  <c r="M22" i="16"/>
  <c r="I25" i="20" s="1"/>
  <c r="H22" i="16"/>
  <c r="I22" i="16" s="1"/>
  <c r="R21" i="16"/>
  <c r="M21" i="16"/>
  <c r="N21" i="16" s="1"/>
  <c r="H21" i="16"/>
  <c r="R20" i="16"/>
  <c r="M20" i="16"/>
  <c r="H20" i="16"/>
  <c r="I20" i="16" s="1"/>
  <c r="R19" i="16"/>
  <c r="M19" i="16"/>
  <c r="N19" i="16" s="1"/>
  <c r="H19" i="16"/>
  <c r="I19" i="16" s="1"/>
  <c r="R18" i="16"/>
  <c r="M18" i="16"/>
  <c r="H18" i="16"/>
  <c r="I18" i="16" s="1"/>
  <c r="R17" i="16"/>
  <c r="M17" i="16"/>
  <c r="H17" i="16"/>
  <c r="I17" i="16" s="1"/>
  <c r="R16" i="16"/>
  <c r="M16" i="16"/>
  <c r="H16" i="16"/>
  <c r="R15" i="16"/>
  <c r="M15" i="16"/>
  <c r="I18" i="20" s="1"/>
  <c r="H15" i="16"/>
  <c r="I15" i="16" s="1"/>
  <c r="R14" i="16"/>
  <c r="M14" i="16"/>
  <c r="H14" i="16"/>
  <c r="I14" i="16" s="1"/>
  <c r="R13" i="16"/>
  <c r="M13" i="16"/>
  <c r="H13" i="16"/>
  <c r="S13" i="16" s="1"/>
  <c r="T13" i="16" s="1"/>
  <c r="R12" i="16"/>
  <c r="M12" i="16"/>
  <c r="H12" i="16"/>
  <c r="I12" i="16" s="1"/>
  <c r="R11" i="16"/>
  <c r="M11" i="16"/>
  <c r="N11" i="16" s="1"/>
  <c r="H11" i="16"/>
  <c r="I11" i="16" s="1"/>
  <c r="R10" i="16"/>
  <c r="N10" i="16"/>
  <c r="M10" i="16"/>
  <c r="I13" i="20" s="1"/>
  <c r="H10" i="16"/>
  <c r="I10" i="16" s="1"/>
  <c r="R9" i="16"/>
  <c r="M9" i="16"/>
  <c r="H9" i="16"/>
  <c r="I9" i="16" s="1"/>
  <c r="N10" i="18" l="1"/>
  <c r="K13" i="20"/>
  <c r="N29" i="18"/>
  <c r="K32" i="20"/>
  <c r="N40" i="18"/>
  <c r="K43" i="20"/>
  <c r="N18" i="18"/>
  <c r="N20" i="18"/>
  <c r="K23" i="20"/>
  <c r="N22" i="18"/>
  <c r="K25" i="20"/>
  <c r="N24" i="18"/>
  <c r="K27" i="20"/>
  <c r="N26" i="18"/>
  <c r="K29" i="20"/>
  <c r="N42" i="18"/>
  <c r="N46" i="18"/>
  <c r="K49" i="20"/>
  <c r="N12" i="18"/>
  <c r="K15" i="20"/>
  <c r="N16" i="18"/>
  <c r="K19" i="20"/>
  <c r="N27" i="18"/>
  <c r="K30" i="20"/>
  <c r="N31" i="18"/>
  <c r="K34" i="20"/>
  <c r="N35" i="18"/>
  <c r="K38" i="20"/>
  <c r="N11" i="18"/>
  <c r="K14" i="20"/>
  <c r="N13" i="18"/>
  <c r="K16" i="20"/>
  <c r="N15" i="18"/>
  <c r="K18" i="20"/>
  <c r="N28" i="18"/>
  <c r="K31" i="20"/>
  <c r="N30" i="18"/>
  <c r="K33" i="20"/>
  <c r="N32" i="18"/>
  <c r="K35" i="20"/>
  <c r="N34" i="18"/>
  <c r="K37" i="20"/>
  <c r="N36" i="18"/>
  <c r="K39" i="20"/>
  <c r="N41" i="18"/>
  <c r="K44" i="20"/>
  <c r="N14" i="18"/>
  <c r="K17" i="20"/>
  <c r="N19" i="18"/>
  <c r="K22" i="20"/>
  <c r="N21" i="18"/>
  <c r="K24" i="20"/>
  <c r="N23" i="18"/>
  <c r="K26" i="20"/>
  <c r="S27" i="18"/>
  <c r="T27" i="18" s="1"/>
  <c r="N43" i="18"/>
  <c r="K46" i="20"/>
  <c r="N45" i="18"/>
  <c r="K48" i="20"/>
  <c r="N25" i="19"/>
  <c r="L28" i="20"/>
  <c r="N33" i="19"/>
  <c r="L36" i="20"/>
  <c r="N35" i="19"/>
  <c r="L38" i="20"/>
  <c r="N45" i="19"/>
  <c r="L48" i="20"/>
  <c r="N24" i="19"/>
  <c r="L27" i="20"/>
  <c r="N42" i="19"/>
  <c r="N9" i="19"/>
  <c r="L12" i="20"/>
  <c r="N20" i="19"/>
  <c r="L23" i="20"/>
  <c r="N27" i="19"/>
  <c r="L30" i="20"/>
  <c r="N12" i="19"/>
  <c r="L15" i="20"/>
  <c r="N23" i="19"/>
  <c r="L26" i="20"/>
  <c r="N26" i="19"/>
  <c r="L29" i="20"/>
  <c r="N28" i="19"/>
  <c r="L31" i="20"/>
  <c r="N30" i="19"/>
  <c r="L33" i="20"/>
  <c r="N34" i="19"/>
  <c r="L37" i="20"/>
  <c r="N36" i="19"/>
  <c r="L39" i="20"/>
  <c r="N41" i="19"/>
  <c r="L44" i="20"/>
  <c r="S42" i="19"/>
  <c r="T42" i="19" s="1"/>
  <c r="N44" i="19"/>
  <c r="L47" i="20"/>
  <c r="N46" i="19"/>
  <c r="L49" i="20"/>
  <c r="N15" i="19"/>
  <c r="L18" i="20"/>
  <c r="N18" i="19"/>
  <c r="L21" i="20"/>
  <c r="N22" i="19"/>
  <c r="L25" i="20"/>
  <c r="N31" i="19"/>
  <c r="L34" i="20"/>
  <c r="N10" i="19"/>
  <c r="L13" i="20"/>
  <c r="N14" i="19"/>
  <c r="L17" i="20"/>
  <c r="N19" i="19"/>
  <c r="L22" i="20"/>
  <c r="S19" i="19"/>
  <c r="T19" i="19" s="1"/>
  <c r="S25" i="19"/>
  <c r="T25" i="19" s="1"/>
  <c r="O42" i="20"/>
  <c r="N19" i="17"/>
  <c r="J22" i="20"/>
  <c r="N25" i="17"/>
  <c r="J28" i="20"/>
  <c r="N29" i="17"/>
  <c r="J32" i="20"/>
  <c r="S31" i="17"/>
  <c r="T31" i="17" s="1"/>
  <c r="J34" i="20"/>
  <c r="N33" i="17"/>
  <c r="J36" i="20"/>
  <c r="N35" i="17"/>
  <c r="J38" i="20"/>
  <c r="N40" i="17"/>
  <c r="J43" i="20"/>
  <c r="S42" i="17"/>
  <c r="T42" i="17" s="1"/>
  <c r="J45" i="20"/>
  <c r="N17" i="17"/>
  <c r="J20" i="20"/>
  <c r="N21" i="17"/>
  <c r="J24" i="20"/>
  <c r="S12" i="17"/>
  <c r="T12" i="17" s="1"/>
  <c r="N13" i="17"/>
  <c r="J16" i="20"/>
  <c r="N14" i="17"/>
  <c r="N16" i="17"/>
  <c r="J19" i="20"/>
  <c r="N20" i="17"/>
  <c r="J23" i="20"/>
  <c r="N22" i="17"/>
  <c r="J25" i="20"/>
  <c r="N24" i="17"/>
  <c r="J27" i="20"/>
  <c r="N28" i="17"/>
  <c r="J31" i="20"/>
  <c r="N30" i="17"/>
  <c r="J33" i="20"/>
  <c r="N32" i="17"/>
  <c r="J35" i="20"/>
  <c r="N36" i="17"/>
  <c r="J39" i="20"/>
  <c r="N41" i="17"/>
  <c r="J44" i="20"/>
  <c r="N43" i="17"/>
  <c r="J46" i="20"/>
  <c r="N46" i="17"/>
  <c r="O40" i="20"/>
  <c r="N43" i="16"/>
  <c r="I46" i="20"/>
  <c r="N13" i="16"/>
  <c r="I16" i="20"/>
  <c r="N44" i="16"/>
  <c r="I47" i="20"/>
  <c r="N35" i="16"/>
  <c r="I38" i="20"/>
  <c r="N34" i="16"/>
  <c r="I37" i="20"/>
  <c r="N29" i="16"/>
  <c r="I32" i="20"/>
  <c r="N26" i="16"/>
  <c r="I29" i="20"/>
  <c r="N24" i="16"/>
  <c r="I27" i="20"/>
  <c r="N18" i="16"/>
  <c r="I21" i="20"/>
  <c r="N17" i="16"/>
  <c r="I20" i="20"/>
  <c r="N16" i="16"/>
  <c r="I19" i="20"/>
  <c r="N14" i="16"/>
  <c r="I17" i="20"/>
  <c r="S12" i="16"/>
  <c r="T12" i="16" s="1"/>
  <c r="I15" i="20"/>
  <c r="N9" i="16"/>
  <c r="I12" i="20"/>
  <c r="S10" i="17"/>
  <c r="T10" i="17" s="1"/>
  <c r="S26" i="17"/>
  <c r="T26" i="17" s="1"/>
  <c r="S45" i="17"/>
  <c r="T45" i="17" s="1"/>
  <c r="S20" i="18"/>
  <c r="T20" i="18" s="1"/>
  <c r="S23" i="16"/>
  <c r="T23" i="16" s="1"/>
  <c r="S31" i="16"/>
  <c r="T31" i="16" s="1"/>
  <c r="S35" i="17"/>
  <c r="T35" i="17" s="1"/>
  <c r="S10" i="16"/>
  <c r="T10" i="16" s="1"/>
  <c r="S20" i="16"/>
  <c r="T20" i="16" s="1"/>
  <c r="I24" i="16"/>
  <c r="S34" i="16"/>
  <c r="T34" i="16" s="1"/>
  <c r="S42" i="16"/>
  <c r="T42" i="16" s="1"/>
  <c r="S13" i="17"/>
  <c r="T13" i="17" s="1"/>
  <c r="S33" i="17"/>
  <c r="T33" i="17" s="1"/>
  <c r="S21" i="18"/>
  <c r="T21" i="18" s="1"/>
  <c r="S12" i="19"/>
  <c r="T12" i="19" s="1"/>
  <c r="S14" i="16"/>
  <c r="T14" i="16" s="1"/>
  <c r="S16" i="16"/>
  <c r="T16" i="16" s="1"/>
  <c r="S32" i="16"/>
  <c r="T32" i="16" s="1"/>
  <c r="S18" i="17"/>
  <c r="T18" i="17" s="1"/>
  <c r="S32" i="17"/>
  <c r="T32" i="17" s="1"/>
  <c r="S32" i="18"/>
  <c r="T32" i="18" s="1"/>
  <c r="S33" i="18"/>
  <c r="T33" i="18" s="1"/>
  <c r="S41" i="18"/>
  <c r="T41" i="18" s="1"/>
  <c r="I16" i="16"/>
  <c r="S22" i="16"/>
  <c r="T22" i="16" s="1"/>
  <c r="S26" i="16"/>
  <c r="T26" i="16" s="1"/>
  <c r="I32" i="16"/>
  <c r="S41" i="16"/>
  <c r="T41" i="16" s="1"/>
  <c r="S45" i="16"/>
  <c r="T45" i="16" s="1"/>
  <c r="S27" i="17"/>
  <c r="T27" i="17" s="1"/>
  <c r="S9" i="18"/>
  <c r="T9" i="18" s="1"/>
  <c r="S12" i="18"/>
  <c r="T12" i="18" s="1"/>
  <c r="S11" i="19"/>
  <c r="T11" i="19" s="1"/>
  <c r="S15" i="19"/>
  <c r="T15" i="19" s="1"/>
  <c r="S21" i="19"/>
  <c r="T21" i="19" s="1"/>
  <c r="S29" i="19"/>
  <c r="T29" i="19" s="1"/>
  <c r="S33" i="19"/>
  <c r="T33" i="19" s="1"/>
  <c r="S11" i="17"/>
  <c r="T11" i="17" s="1"/>
  <c r="S15" i="17"/>
  <c r="T15" i="17" s="1"/>
  <c r="S34" i="17"/>
  <c r="T34" i="17" s="1"/>
  <c r="S41" i="17"/>
  <c r="T41" i="17" s="1"/>
  <c r="S43" i="17"/>
  <c r="T43" i="17" s="1"/>
  <c r="S17" i="18"/>
  <c r="T17" i="18" s="1"/>
  <c r="S43" i="18"/>
  <c r="T43" i="18" s="1"/>
  <c r="S20" i="19"/>
  <c r="T20" i="19" s="1"/>
  <c r="S22" i="19"/>
  <c r="T22" i="19" s="1"/>
  <c r="S43" i="19"/>
  <c r="T43" i="19" s="1"/>
  <c r="N20" i="16"/>
  <c r="N22" i="16"/>
  <c r="I26" i="16"/>
  <c r="S40" i="16"/>
  <c r="T40" i="16" s="1"/>
  <c r="N45" i="16"/>
  <c r="S16" i="17"/>
  <c r="T16" i="17" s="1"/>
  <c r="S19" i="17"/>
  <c r="T19" i="17" s="1"/>
  <c r="S23" i="17"/>
  <c r="T23" i="17" s="1"/>
  <c r="N27" i="17"/>
  <c r="S24" i="18"/>
  <c r="T24" i="18" s="1"/>
  <c r="S30" i="18"/>
  <c r="T30" i="18" s="1"/>
  <c r="N11" i="19"/>
  <c r="S27" i="19"/>
  <c r="T27" i="19" s="1"/>
  <c r="S15" i="16"/>
  <c r="T15" i="16" s="1"/>
  <c r="S18" i="16"/>
  <c r="T18" i="16" s="1"/>
  <c r="I30" i="16"/>
  <c r="S43" i="16"/>
  <c r="T43" i="16" s="1"/>
  <c r="S20" i="17"/>
  <c r="T20" i="17" s="1"/>
  <c r="S21" i="17"/>
  <c r="T21" i="17" s="1"/>
  <c r="S44" i="17"/>
  <c r="T44" i="17" s="1"/>
  <c r="S16" i="18"/>
  <c r="T16" i="18" s="1"/>
  <c r="S22" i="18"/>
  <c r="T22" i="18" s="1"/>
  <c r="S36" i="18"/>
  <c r="T36" i="18" s="1"/>
  <c r="S46" i="18"/>
  <c r="T46" i="18" s="1"/>
  <c r="S9" i="19"/>
  <c r="T9" i="19" s="1"/>
  <c r="S13" i="19"/>
  <c r="T13" i="19" s="1"/>
  <c r="S28" i="19"/>
  <c r="T28" i="19" s="1"/>
  <c r="S30" i="19"/>
  <c r="T30" i="19" s="1"/>
  <c r="S31" i="19"/>
  <c r="T31" i="19" s="1"/>
  <c r="S21" i="16"/>
  <c r="T21" i="16" s="1"/>
  <c r="S28" i="16"/>
  <c r="T28" i="16" s="1"/>
  <c r="S24" i="17"/>
  <c r="T24" i="17" s="1"/>
  <c r="S46" i="17"/>
  <c r="T46" i="17" s="1"/>
  <c r="S14" i="18"/>
  <c r="T14" i="18" s="1"/>
  <c r="S28" i="18"/>
  <c r="T28" i="18" s="1"/>
  <c r="S35" i="18"/>
  <c r="T35" i="18" s="1"/>
  <c r="S40" i="18"/>
  <c r="T40" i="18" s="1"/>
  <c r="S42" i="18"/>
  <c r="T42" i="18" s="1"/>
  <c r="S23" i="19"/>
  <c r="T23" i="19" s="1"/>
  <c r="S40" i="19"/>
  <c r="T40" i="19" s="1"/>
  <c r="S46" i="19"/>
  <c r="T46" i="19" s="1"/>
  <c r="N28" i="16"/>
  <c r="S36" i="16"/>
  <c r="T36" i="16" s="1"/>
  <c r="S17" i="17"/>
  <c r="T17" i="17" s="1"/>
  <c r="S28" i="17"/>
  <c r="T28" i="17" s="1"/>
  <c r="S29" i="17"/>
  <c r="T29" i="17" s="1"/>
  <c r="S29" i="18"/>
  <c r="T29" i="18" s="1"/>
  <c r="S31" i="18"/>
  <c r="T31" i="18" s="1"/>
  <c r="S44" i="18"/>
  <c r="T44" i="18" s="1"/>
  <c r="S14" i="19"/>
  <c r="T14" i="19" s="1"/>
  <c r="S32" i="19"/>
  <c r="T32" i="19" s="1"/>
  <c r="S35" i="19"/>
  <c r="T35" i="19" s="1"/>
  <c r="S30" i="17"/>
  <c r="T30" i="17" s="1"/>
  <c r="S19" i="18"/>
  <c r="T19" i="18" s="1"/>
  <c r="S23" i="18"/>
  <c r="T23" i="18" s="1"/>
  <c r="S36" i="19"/>
  <c r="T36" i="19" s="1"/>
  <c r="S41" i="19"/>
  <c r="T41" i="19" s="1"/>
  <c r="N12" i="16"/>
  <c r="S29" i="16"/>
  <c r="T29" i="16" s="1"/>
  <c r="S25" i="17"/>
  <c r="T25" i="17" s="1"/>
  <c r="S36" i="17"/>
  <c r="T36" i="17" s="1"/>
  <c r="S40" i="17"/>
  <c r="T40" i="17" s="1"/>
  <c r="S11" i="18"/>
  <c r="T11" i="18" s="1"/>
  <c r="S13" i="18"/>
  <c r="T13" i="18" s="1"/>
  <c r="S15" i="18"/>
  <c r="T15" i="18" s="1"/>
  <c r="S25" i="18"/>
  <c r="T25" i="18" s="1"/>
  <c r="S16" i="19"/>
  <c r="T16" i="19" s="1"/>
  <c r="S10" i="19"/>
  <c r="T10" i="19" s="1"/>
  <c r="N16" i="19"/>
  <c r="S18" i="19"/>
  <c r="T18" i="19" s="1"/>
  <c r="S26" i="19"/>
  <c r="T26" i="19" s="1"/>
  <c r="N32" i="19"/>
  <c r="S34" i="19"/>
  <c r="T34" i="19" s="1"/>
  <c r="N43" i="19"/>
  <c r="S45" i="19"/>
  <c r="T45" i="19" s="1"/>
  <c r="N13" i="19"/>
  <c r="N21" i="19"/>
  <c r="N29" i="19"/>
  <c r="N40" i="19"/>
  <c r="N9" i="18"/>
  <c r="N17" i="18"/>
  <c r="N25" i="18"/>
  <c r="N33" i="18"/>
  <c r="N44" i="18"/>
  <c r="S10" i="18"/>
  <c r="T10" i="18" s="1"/>
  <c r="S18" i="18"/>
  <c r="T18" i="18" s="1"/>
  <c r="S26" i="18"/>
  <c r="T26" i="18" s="1"/>
  <c r="S34" i="18"/>
  <c r="T34" i="18" s="1"/>
  <c r="S45" i="18"/>
  <c r="T45" i="18" s="1"/>
  <c r="N10" i="17"/>
  <c r="N18" i="17"/>
  <c r="N26" i="17"/>
  <c r="N34" i="17"/>
  <c r="N45" i="17"/>
  <c r="N15" i="17"/>
  <c r="N23" i="17"/>
  <c r="N31" i="17"/>
  <c r="N42" i="17"/>
  <c r="S11" i="16"/>
  <c r="T11" i="16" s="1"/>
  <c r="S19" i="16"/>
  <c r="T19" i="16" s="1"/>
  <c r="S27" i="16"/>
  <c r="T27" i="16" s="1"/>
  <c r="S35" i="16"/>
  <c r="T35" i="16" s="1"/>
  <c r="S9" i="16"/>
  <c r="T9" i="16" s="1"/>
  <c r="I13" i="16"/>
  <c r="N15" i="16"/>
  <c r="S17" i="16"/>
  <c r="T17" i="16" s="1"/>
  <c r="I21" i="16"/>
  <c r="N23" i="16"/>
  <c r="S25" i="16"/>
  <c r="T25" i="16" s="1"/>
  <c r="I29" i="16"/>
  <c r="N31" i="16"/>
  <c r="S33" i="16"/>
  <c r="T33" i="16" s="1"/>
  <c r="I40" i="16"/>
  <c r="N42" i="16"/>
  <c r="S44" i="16"/>
  <c r="T44" i="16" s="1"/>
  <c r="R46" i="15"/>
  <c r="M46" i="15"/>
  <c r="R45" i="15"/>
  <c r="M45" i="15"/>
  <c r="G48" i="20" s="1"/>
  <c r="R44" i="15"/>
  <c r="M44" i="15"/>
  <c r="R43" i="15"/>
  <c r="M43" i="15"/>
  <c r="R42" i="15"/>
  <c r="M42" i="15"/>
  <c r="R41" i="15"/>
  <c r="M41" i="15"/>
  <c r="R40" i="15"/>
  <c r="M40" i="15"/>
  <c r="R36" i="15"/>
  <c r="M36" i="15"/>
  <c r="G39" i="20" s="1"/>
  <c r="R35" i="15"/>
  <c r="N35" i="15"/>
  <c r="M35" i="15"/>
  <c r="G38" i="20" s="1"/>
  <c r="R34" i="15"/>
  <c r="M34" i="15"/>
  <c r="R33" i="15"/>
  <c r="M33" i="15"/>
  <c r="R32" i="15"/>
  <c r="M32" i="15"/>
  <c r="R31" i="15"/>
  <c r="M31" i="15"/>
  <c r="R30" i="15"/>
  <c r="M30" i="15"/>
  <c r="R29" i="15"/>
  <c r="M29" i="15"/>
  <c r="R28" i="15"/>
  <c r="M28" i="15"/>
  <c r="R27" i="15"/>
  <c r="M27" i="15"/>
  <c r="R26" i="15"/>
  <c r="M26" i="15"/>
  <c r="R25" i="15"/>
  <c r="M25" i="15"/>
  <c r="R24" i="15"/>
  <c r="M24" i="15"/>
  <c r="R23" i="15"/>
  <c r="M23" i="15"/>
  <c r="R22" i="15"/>
  <c r="M22" i="15"/>
  <c r="R21" i="15"/>
  <c r="M21" i="15"/>
  <c r="R20" i="15"/>
  <c r="M20" i="15"/>
  <c r="G23" i="20" s="1"/>
  <c r="R19" i="15"/>
  <c r="M19" i="15"/>
  <c r="R18" i="15"/>
  <c r="M18" i="15"/>
  <c r="R17" i="15"/>
  <c r="M17" i="15"/>
  <c r="R16" i="15"/>
  <c r="M16" i="15"/>
  <c r="R15" i="15"/>
  <c r="M15" i="15"/>
  <c r="R14" i="15"/>
  <c r="M14" i="15"/>
  <c r="R13" i="15"/>
  <c r="M13" i="15"/>
  <c r="R12" i="15"/>
  <c r="M12" i="15"/>
  <c r="R11" i="15"/>
  <c r="M11" i="15"/>
  <c r="R10" i="15"/>
  <c r="M10" i="15"/>
  <c r="R9" i="15"/>
  <c r="M9" i="15"/>
  <c r="N41" i="15" l="1"/>
  <c r="G44" i="20"/>
  <c r="N11" i="15"/>
  <c r="G14" i="20"/>
  <c r="N17" i="15"/>
  <c r="G20" i="20"/>
  <c r="N19" i="15"/>
  <c r="G22" i="20"/>
  <c r="N21" i="15"/>
  <c r="G24" i="20"/>
  <c r="N23" i="15"/>
  <c r="G26" i="20"/>
  <c r="N25" i="15"/>
  <c r="G28" i="20"/>
  <c r="N27" i="15"/>
  <c r="G30" i="20"/>
  <c r="N29" i="15"/>
  <c r="G32" i="20"/>
  <c r="N31" i="15"/>
  <c r="G34" i="20"/>
  <c r="N33" i="15"/>
  <c r="G36" i="20"/>
  <c r="N43" i="15"/>
  <c r="G46" i="20"/>
  <c r="N40" i="15"/>
  <c r="G43" i="20"/>
  <c r="N42" i="15"/>
  <c r="G45" i="20"/>
  <c r="N46" i="15"/>
  <c r="G49" i="20"/>
  <c r="N9" i="15"/>
  <c r="G12" i="20"/>
  <c r="N13" i="15"/>
  <c r="G16" i="20"/>
  <c r="N15" i="15"/>
  <c r="G18" i="20"/>
  <c r="N44" i="15"/>
  <c r="G47" i="20"/>
  <c r="N10" i="15"/>
  <c r="G13" i="20"/>
  <c r="N12" i="15"/>
  <c r="G15" i="20"/>
  <c r="N14" i="15"/>
  <c r="G17" i="20"/>
  <c r="N16" i="15"/>
  <c r="G19" i="20"/>
  <c r="N18" i="15"/>
  <c r="G21" i="20"/>
  <c r="N22" i="15"/>
  <c r="G25" i="20"/>
  <c r="N24" i="15"/>
  <c r="G27" i="20"/>
  <c r="N26" i="15"/>
  <c r="G29" i="20"/>
  <c r="N28" i="15"/>
  <c r="G31" i="20"/>
  <c r="N30" i="15"/>
  <c r="G33" i="20"/>
  <c r="N32" i="15"/>
  <c r="G35" i="20"/>
  <c r="N34" i="15"/>
  <c r="G37" i="20"/>
  <c r="S20" i="15"/>
  <c r="T20" i="15" s="1"/>
  <c r="S12" i="15"/>
  <c r="T12" i="15" s="1"/>
  <c r="S19" i="15"/>
  <c r="T19" i="15" s="1"/>
  <c r="S23" i="15"/>
  <c r="T23" i="15" s="1"/>
  <c r="N20" i="15"/>
  <c r="S16" i="15"/>
  <c r="T16" i="15" s="1"/>
  <c r="S28" i="15"/>
  <c r="T28" i="15" s="1"/>
  <c r="S35" i="15"/>
  <c r="T35" i="15" s="1"/>
  <c r="S17" i="15"/>
  <c r="T17" i="15" s="1"/>
  <c r="S32" i="15"/>
  <c r="T32" i="15" s="1"/>
  <c r="S40" i="15"/>
  <c r="T40" i="15" s="1"/>
  <c r="S24" i="15"/>
  <c r="T24" i="15" s="1"/>
  <c r="S36" i="15"/>
  <c r="T36" i="15" s="1"/>
  <c r="S15" i="15"/>
  <c r="T15" i="15" s="1"/>
  <c r="S9" i="15"/>
  <c r="T9" i="15" s="1"/>
  <c r="S22" i="15"/>
  <c r="T22" i="15" s="1"/>
  <c r="S13" i="15"/>
  <c r="T13" i="15" s="1"/>
  <c r="S26" i="15"/>
  <c r="T26" i="15" s="1"/>
  <c r="S31" i="15"/>
  <c r="T31" i="15" s="1"/>
  <c r="S33" i="15"/>
  <c r="T33" i="15" s="1"/>
  <c r="S14" i="15"/>
  <c r="T14" i="15" s="1"/>
  <c r="S29" i="15"/>
  <c r="T29" i="15" s="1"/>
  <c r="N36" i="15"/>
  <c r="S25" i="15"/>
  <c r="T25" i="15" s="1"/>
  <c r="S18" i="15"/>
  <c r="T18" i="15" s="1"/>
  <c r="S21" i="15"/>
  <c r="T21" i="15" s="1"/>
  <c r="S41" i="15"/>
  <c r="T41" i="15" s="1"/>
  <c r="S43" i="15"/>
  <c r="T43" i="15" s="1"/>
  <c r="S30" i="15"/>
  <c r="T30" i="15" s="1"/>
  <c r="S45" i="15"/>
  <c r="T45" i="15" s="1"/>
  <c r="S46" i="15"/>
  <c r="T46" i="15" s="1"/>
  <c r="S11" i="15"/>
  <c r="T11" i="15" s="1"/>
  <c r="S27" i="15"/>
  <c r="T27" i="15" s="1"/>
  <c r="S34" i="15"/>
  <c r="T34" i="15" s="1"/>
  <c r="S42" i="15"/>
  <c r="T42" i="15" s="1"/>
  <c r="S44" i="15"/>
  <c r="T44" i="15" s="1"/>
  <c r="N45" i="15"/>
  <c r="S10" i="15"/>
  <c r="T10" i="15" s="1"/>
  <c r="H9" i="3"/>
  <c r="H12" i="1"/>
  <c r="R46" i="3"/>
  <c r="R45" i="3"/>
  <c r="R44" i="3"/>
  <c r="R43" i="3"/>
  <c r="R42" i="3"/>
  <c r="R41" i="3"/>
  <c r="R40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46" i="11"/>
  <c r="R45" i="11"/>
  <c r="R44" i="11"/>
  <c r="R43" i="11"/>
  <c r="R42" i="11"/>
  <c r="R41" i="11"/>
  <c r="R40" i="11"/>
  <c r="R36" i="11"/>
  <c r="R35" i="11"/>
  <c r="R34" i="11"/>
  <c r="R33" i="11"/>
  <c r="R32" i="11"/>
  <c r="R31" i="11"/>
  <c r="R30" i="11"/>
  <c r="R29" i="11"/>
  <c r="R28" i="11"/>
  <c r="R27" i="11"/>
  <c r="R26" i="11"/>
  <c r="R25" i="11"/>
  <c r="R24" i="11"/>
  <c r="R23" i="11"/>
  <c r="R22" i="11"/>
  <c r="R21" i="11"/>
  <c r="R20" i="11"/>
  <c r="R19" i="11"/>
  <c r="R18" i="11"/>
  <c r="R17" i="11"/>
  <c r="R16" i="11"/>
  <c r="R15" i="11"/>
  <c r="R14" i="11"/>
  <c r="R13" i="11"/>
  <c r="R12" i="11"/>
  <c r="R11" i="11"/>
  <c r="R10" i="11"/>
  <c r="R9" i="11"/>
  <c r="R46" i="13"/>
  <c r="R45" i="13"/>
  <c r="R44" i="13"/>
  <c r="R43" i="13"/>
  <c r="R42" i="13"/>
  <c r="R41" i="13"/>
  <c r="R40" i="13"/>
  <c r="R36" i="13"/>
  <c r="R35" i="13"/>
  <c r="R34" i="13"/>
  <c r="R33" i="13"/>
  <c r="R32" i="13"/>
  <c r="R31" i="13"/>
  <c r="R30" i="13"/>
  <c r="R29" i="13"/>
  <c r="R28" i="13"/>
  <c r="R27" i="13"/>
  <c r="R26" i="13"/>
  <c r="R25" i="13"/>
  <c r="R24" i="13"/>
  <c r="R23" i="13"/>
  <c r="R22" i="13"/>
  <c r="R21" i="13"/>
  <c r="R20" i="13"/>
  <c r="R19" i="13"/>
  <c r="R18" i="13"/>
  <c r="R17" i="13"/>
  <c r="R16" i="13"/>
  <c r="R15" i="13"/>
  <c r="R14" i="13"/>
  <c r="R13" i="13"/>
  <c r="R12" i="13"/>
  <c r="R11" i="13"/>
  <c r="R10" i="13"/>
  <c r="R9" i="13"/>
  <c r="R46" i="14"/>
  <c r="R45" i="14"/>
  <c r="R44" i="14"/>
  <c r="R43" i="14"/>
  <c r="R42" i="14"/>
  <c r="R41" i="14"/>
  <c r="R40" i="14"/>
  <c r="R36" i="14"/>
  <c r="R35" i="14"/>
  <c r="R34" i="14"/>
  <c r="R33" i="14"/>
  <c r="R32" i="14"/>
  <c r="R31" i="14"/>
  <c r="R30" i="14"/>
  <c r="R29" i="14"/>
  <c r="R28" i="14"/>
  <c r="R27" i="14"/>
  <c r="R26" i="14"/>
  <c r="R25" i="14"/>
  <c r="R24" i="14"/>
  <c r="R23" i="14"/>
  <c r="R22" i="14"/>
  <c r="R21" i="14"/>
  <c r="R20" i="14"/>
  <c r="R19" i="14"/>
  <c r="R18" i="14"/>
  <c r="R17" i="14"/>
  <c r="R16" i="14"/>
  <c r="R15" i="14"/>
  <c r="R14" i="14"/>
  <c r="R13" i="14"/>
  <c r="R12" i="14"/>
  <c r="R11" i="14"/>
  <c r="R10" i="14"/>
  <c r="R9" i="14"/>
  <c r="R46" i="2"/>
  <c r="R45" i="2"/>
  <c r="R44" i="2"/>
  <c r="R43" i="2"/>
  <c r="R42" i="2"/>
  <c r="R41" i="2"/>
  <c r="R40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M46" i="3"/>
  <c r="F49" i="20" s="1"/>
  <c r="M45" i="3"/>
  <c r="F48" i="20" s="1"/>
  <c r="M44" i="3"/>
  <c r="F47" i="20" s="1"/>
  <c r="M43" i="3"/>
  <c r="F46" i="20" s="1"/>
  <c r="M42" i="3"/>
  <c r="F45" i="20" s="1"/>
  <c r="M41" i="3"/>
  <c r="F44" i="20" s="1"/>
  <c r="M40" i="3"/>
  <c r="F43" i="20" s="1"/>
  <c r="M36" i="3"/>
  <c r="F39" i="20" s="1"/>
  <c r="M35" i="3"/>
  <c r="F38" i="20" s="1"/>
  <c r="M34" i="3"/>
  <c r="F37" i="20" s="1"/>
  <c r="M33" i="3"/>
  <c r="F36" i="20" s="1"/>
  <c r="M32" i="3"/>
  <c r="F35" i="20" s="1"/>
  <c r="M31" i="3"/>
  <c r="F34" i="20" s="1"/>
  <c r="M30" i="3"/>
  <c r="F33" i="20" s="1"/>
  <c r="M29" i="3"/>
  <c r="F32" i="20" s="1"/>
  <c r="M28" i="3"/>
  <c r="F31" i="20" s="1"/>
  <c r="M27" i="3"/>
  <c r="F30" i="20" s="1"/>
  <c r="M26" i="3"/>
  <c r="F29" i="20" s="1"/>
  <c r="M25" i="3"/>
  <c r="F28" i="20" s="1"/>
  <c r="M24" i="3"/>
  <c r="F27" i="20" s="1"/>
  <c r="M23" i="3"/>
  <c r="F26" i="20" s="1"/>
  <c r="M22" i="3"/>
  <c r="F25" i="20" s="1"/>
  <c r="M21" i="3"/>
  <c r="F24" i="20" s="1"/>
  <c r="M20" i="3"/>
  <c r="F23" i="20" s="1"/>
  <c r="M19" i="3"/>
  <c r="F22" i="20" s="1"/>
  <c r="M18" i="3"/>
  <c r="F21" i="20" s="1"/>
  <c r="M17" i="3"/>
  <c r="F20" i="20" s="1"/>
  <c r="M16" i="3"/>
  <c r="F19" i="20" s="1"/>
  <c r="M15" i="3"/>
  <c r="F18" i="20" s="1"/>
  <c r="M14" i="3"/>
  <c r="F17" i="20" s="1"/>
  <c r="M13" i="3"/>
  <c r="F16" i="20" s="1"/>
  <c r="M12" i="3"/>
  <c r="F15" i="20" s="1"/>
  <c r="M11" i="3"/>
  <c r="F14" i="20" s="1"/>
  <c r="M10" i="3"/>
  <c r="F13" i="20" s="1"/>
  <c r="M9" i="3"/>
  <c r="F12" i="20" s="1"/>
  <c r="M46" i="11"/>
  <c r="E49" i="20" s="1"/>
  <c r="M45" i="11"/>
  <c r="E48" i="20" s="1"/>
  <c r="M44" i="11"/>
  <c r="E47" i="20" s="1"/>
  <c r="M43" i="11"/>
  <c r="E46" i="20" s="1"/>
  <c r="O46" i="20" s="1"/>
  <c r="M42" i="11"/>
  <c r="E45" i="20" s="1"/>
  <c r="M41" i="11"/>
  <c r="E44" i="20" s="1"/>
  <c r="M40" i="11"/>
  <c r="E43" i="20" s="1"/>
  <c r="M36" i="11"/>
  <c r="E39" i="20" s="1"/>
  <c r="M35" i="11"/>
  <c r="E38" i="20" s="1"/>
  <c r="M34" i="11"/>
  <c r="E37" i="20" s="1"/>
  <c r="M33" i="11"/>
  <c r="E36" i="20" s="1"/>
  <c r="M32" i="11"/>
  <c r="E35" i="20" s="1"/>
  <c r="M31" i="11"/>
  <c r="E34" i="20" s="1"/>
  <c r="M30" i="11"/>
  <c r="E33" i="20" s="1"/>
  <c r="M29" i="11"/>
  <c r="E32" i="20" s="1"/>
  <c r="M28" i="11"/>
  <c r="E31" i="20" s="1"/>
  <c r="M27" i="11"/>
  <c r="E30" i="20" s="1"/>
  <c r="M26" i="11"/>
  <c r="E29" i="20" s="1"/>
  <c r="M25" i="11"/>
  <c r="E28" i="20" s="1"/>
  <c r="M24" i="11"/>
  <c r="E27" i="20" s="1"/>
  <c r="M23" i="11"/>
  <c r="E26" i="20" s="1"/>
  <c r="M22" i="11"/>
  <c r="E25" i="20" s="1"/>
  <c r="M21" i="11"/>
  <c r="E24" i="20" s="1"/>
  <c r="M20" i="11"/>
  <c r="E23" i="20" s="1"/>
  <c r="M19" i="11"/>
  <c r="E22" i="20" s="1"/>
  <c r="M18" i="11"/>
  <c r="E21" i="20" s="1"/>
  <c r="M17" i="11"/>
  <c r="E20" i="20" s="1"/>
  <c r="M16" i="11"/>
  <c r="E19" i="20" s="1"/>
  <c r="M15" i="11"/>
  <c r="E18" i="20" s="1"/>
  <c r="M14" i="11"/>
  <c r="E17" i="20" s="1"/>
  <c r="M13" i="11"/>
  <c r="E16" i="20" s="1"/>
  <c r="M12" i="11"/>
  <c r="E15" i="20" s="1"/>
  <c r="M11" i="11"/>
  <c r="E14" i="20" s="1"/>
  <c r="M10" i="11"/>
  <c r="E13" i="20" s="1"/>
  <c r="M9" i="11"/>
  <c r="E12" i="20" s="1"/>
  <c r="M46" i="13"/>
  <c r="M49" i="20" s="1"/>
  <c r="M45" i="13"/>
  <c r="M48" i="20" s="1"/>
  <c r="M44" i="13"/>
  <c r="M47" i="20" s="1"/>
  <c r="M43" i="13"/>
  <c r="M46" i="20" s="1"/>
  <c r="M42" i="13"/>
  <c r="M45" i="20" s="1"/>
  <c r="M41" i="13"/>
  <c r="M44" i="20" s="1"/>
  <c r="M40" i="13"/>
  <c r="M43" i="20" s="1"/>
  <c r="M36" i="13"/>
  <c r="M39" i="20" s="1"/>
  <c r="M35" i="13"/>
  <c r="M38" i="20" s="1"/>
  <c r="M34" i="13"/>
  <c r="M37" i="20" s="1"/>
  <c r="M33" i="13"/>
  <c r="M36" i="20" s="1"/>
  <c r="M32" i="13"/>
  <c r="M35" i="20" s="1"/>
  <c r="M31" i="13"/>
  <c r="M34" i="20" s="1"/>
  <c r="M30" i="13"/>
  <c r="M33" i="20" s="1"/>
  <c r="M29" i="13"/>
  <c r="M32" i="20" s="1"/>
  <c r="M28" i="13"/>
  <c r="M31" i="20" s="1"/>
  <c r="M27" i="13"/>
  <c r="M30" i="20" s="1"/>
  <c r="M26" i="13"/>
  <c r="M29" i="20" s="1"/>
  <c r="M25" i="13"/>
  <c r="M28" i="20" s="1"/>
  <c r="M24" i="13"/>
  <c r="M27" i="20" s="1"/>
  <c r="M23" i="13"/>
  <c r="M26" i="20" s="1"/>
  <c r="M22" i="13"/>
  <c r="M25" i="20" s="1"/>
  <c r="M21" i="13"/>
  <c r="M24" i="20" s="1"/>
  <c r="M20" i="13"/>
  <c r="M23" i="20" s="1"/>
  <c r="M19" i="13"/>
  <c r="M22" i="20" s="1"/>
  <c r="M18" i="13"/>
  <c r="M21" i="20" s="1"/>
  <c r="M17" i="13"/>
  <c r="M20" i="20" s="1"/>
  <c r="M16" i="13"/>
  <c r="M19" i="20" s="1"/>
  <c r="M15" i="13"/>
  <c r="M18" i="20" s="1"/>
  <c r="M14" i="13"/>
  <c r="M17" i="20" s="1"/>
  <c r="M13" i="13"/>
  <c r="M16" i="20" s="1"/>
  <c r="M12" i="13"/>
  <c r="M15" i="20" s="1"/>
  <c r="M11" i="13"/>
  <c r="M14" i="20" s="1"/>
  <c r="M10" i="13"/>
  <c r="M13" i="20" s="1"/>
  <c r="M9" i="13"/>
  <c r="M12" i="20" s="1"/>
  <c r="M46" i="14"/>
  <c r="H49" i="20" s="1"/>
  <c r="M45" i="14"/>
  <c r="H48" i="20" s="1"/>
  <c r="M44" i="14"/>
  <c r="H47" i="20" s="1"/>
  <c r="M43" i="14"/>
  <c r="H46" i="20" s="1"/>
  <c r="M42" i="14"/>
  <c r="H45" i="20" s="1"/>
  <c r="M41" i="14"/>
  <c r="H44" i="20" s="1"/>
  <c r="M40" i="14"/>
  <c r="H43" i="20" s="1"/>
  <c r="M36" i="14"/>
  <c r="H39" i="20" s="1"/>
  <c r="M35" i="14"/>
  <c r="H38" i="20" s="1"/>
  <c r="M34" i="14"/>
  <c r="H37" i="20" s="1"/>
  <c r="M33" i="14"/>
  <c r="H36" i="20" s="1"/>
  <c r="M32" i="14"/>
  <c r="H35" i="20" s="1"/>
  <c r="M31" i="14"/>
  <c r="H34" i="20" s="1"/>
  <c r="M30" i="14"/>
  <c r="H33" i="20" s="1"/>
  <c r="M29" i="14"/>
  <c r="H32" i="20" s="1"/>
  <c r="M28" i="14"/>
  <c r="H31" i="20" s="1"/>
  <c r="M27" i="14"/>
  <c r="H30" i="20" s="1"/>
  <c r="M26" i="14"/>
  <c r="H29" i="20" s="1"/>
  <c r="M25" i="14"/>
  <c r="H28" i="20" s="1"/>
  <c r="M24" i="14"/>
  <c r="H27" i="20" s="1"/>
  <c r="M23" i="14"/>
  <c r="H26" i="20" s="1"/>
  <c r="M22" i="14"/>
  <c r="H25" i="20" s="1"/>
  <c r="M21" i="14"/>
  <c r="H24" i="20" s="1"/>
  <c r="M20" i="14"/>
  <c r="H23" i="20" s="1"/>
  <c r="M19" i="14"/>
  <c r="H22" i="20" s="1"/>
  <c r="M18" i="14"/>
  <c r="H21" i="20" s="1"/>
  <c r="M17" i="14"/>
  <c r="H20" i="20" s="1"/>
  <c r="M16" i="14"/>
  <c r="H19" i="20" s="1"/>
  <c r="M15" i="14"/>
  <c r="H18" i="20" s="1"/>
  <c r="M14" i="14"/>
  <c r="H17" i="20" s="1"/>
  <c r="M13" i="14"/>
  <c r="H16" i="20" s="1"/>
  <c r="M12" i="14"/>
  <c r="H15" i="20" s="1"/>
  <c r="M11" i="14"/>
  <c r="H14" i="20" s="1"/>
  <c r="M10" i="14"/>
  <c r="H13" i="20" s="1"/>
  <c r="M9" i="14"/>
  <c r="H12" i="20" s="1"/>
  <c r="M46" i="2"/>
  <c r="D49" i="20" s="1"/>
  <c r="M45" i="2"/>
  <c r="D48" i="20" s="1"/>
  <c r="M44" i="2"/>
  <c r="D47" i="20" s="1"/>
  <c r="M43" i="2"/>
  <c r="D46" i="20" s="1"/>
  <c r="M42" i="2"/>
  <c r="D45" i="20" s="1"/>
  <c r="M41" i="2"/>
  <c r="D44" i="20" s="1"/>
  <c r="M40" i="2"/>
  <c r="D43" i="20" s="1"/>
  <c r="M36" i="2"/>
  <c r="D39" i="20" s="1"/>
  <c r="O39" i="20" s="1"/>
  <c r="M35" i="2"/>
  <c r="D38" i="20" s="1"/>
  <c r="M34" i="2"/>
  <c r="D37" i="20" s="1"/>
  <c r="M33" i="2"/>
  <c r="D36" i="20" s="1"/>
  <c r="M32" i="2"/>
  <c r="D35" i="20" s="1"/>
  <c r="M31" i="2"/>
  <c r="D34" i="20" s="1"/>
  <c r="M30" i="2"/>
  <c r="D33" i="20" s="1"/>
  <c r="M29" i="2"/>
  <c r="D32" i="20" s="1"/>
  <c r="M28" i="2"/>
  <c r="D31" i="20" s="1"/>
  <c r="M27" i="2"/>
  <c r="D30" i="20" s="1"/>
  <c r="M26" i="2"/>
  <c r="D29" i="20" s="1"/>
  <c r="M25" i="2"/>
  <c r="D28" i="20" s="1"/>
  <c r="M24" i="2"/>
  <c r="D27" i="20" s="1"/>
  <c r="M23" i="2"/>
  <c r="D26" i="20" s="1"/>
  <c r="M22" i="2"/>
  <c r="D25" i="20" s="1"/>
  <c r="M21" i="2"/>
  <c r="D24" i="20" s="1"/>
  <c r="M20" i="2"/>
  <c r="D23" i="20" s="1"/>
  <c r="M19" i="2"/>
  <c r="D22" i="20" s="1"/>
  <c r="M18" i="2"/>
  <c r="D21" i="20" s="1"/>
  <c r="M17" i="2"/>
  <c r="D20" i="20" s="1"/>
  <c r="M16" i="2"/>
  <c r="D19" i="20" s="1"/>
  <c r="M15" i="2"/>
  <c r="D18" i="20" s="1"/>
  <c r="M14" i="2"/>
  <c r="D17" i="20" s="1"/>
  <c r="M13" i="2"/>
  <c r="D16" i="20" s="1"/>
  <c r="M12" i="2"/>
  <c r="D15" i="20" s="1"/>
  <c r="M11" i="2"/>
  <c r="D14" i="20" s="1"/>
  <c r="M10" i="2"/>
  <c r="D13" i="20" s="1"/>
  <c r="M9" i="2"/>
  <c r="D12" i="20" s="1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40" i="3"/>
  <c r="H41" i="3"/>
  <c r="H42" i="3"/>
  <c r="H43" i="3"/>
  <c r="H44" i="3"/>
  <c r="H45" i="3"/>
  <c r="H46" i="3"/>
  <c r="H14" i="1"/>
  <c r="H22" i="1"/>
  <c r="H24" i="1"/>
  <c r="H28" i="1"/>
  <c r="H35" i="1"/>
  <c r="H36" i="1"/>
  <c r="H39" i="1"/>
  <c r="H43" i="1"/>
  <c r="O43" i="1" s="1"/>
  <c r="H44" i="1"/>
  <c r="O44" i="1" s="1"/>
  <c r="H49" i="1"/>
  <c r="O37" i="20" l="1"/>
  <c r="O33" i="20"/>
  <c r="O29" i="20"/>
  <c r="O25" i="20"/>
  <c r="O19" i="20"/>
  <c r="O44" i="20"/>
  <c r="O48" i="20"/>
  <c r="O38" i="20"/>
  <c r="O45" i="20"/>
  <c r="O15" i="20"/>
  <c r="O23" i="20"/>
  <c r="O27" i="20"/>
  <c r="O12" i="20"/>
  <c r="O16" i="20"/>
  <c r="O20" i="20"/>
  <c r="O24" i="20"/>
  <c r="O28" i="20"/>
  <c r="O32" i="20"/>
  <c r="O47" i="20"/>
  <c r="O36" i="20"/>
  <c r="O35" i="20"/>
  <c r="O31" i="20"/>
  <c r="O21" i="20"/>
  <c r="O17" i="20"/>
  <c r="O13" i="20"/>
  <c r="O18" i="20"/>
  <c r="O49" i="20"/>
  <c r="O43" i="20"/>
  <c r="O34" i="20"/>
  <c r="O30" i="20"/>
  <c r="O26" i="20"/>
  <c r="O22" i="20"/>
  <c r="O14" i="20"/>
  <c r="S17" i="20" l="1"/>
  <c r="I46" i="3"/>
  <c r="I45" i="3"/>
  <c r="I44" i="3"/>
  <c r="I43" i="3"/>
  <c r="I42" i="3"/>
  <c r="I41" i="3"/>
  <c r="I40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N18" i="13" l="1"/>
  <c r="N17" i="13"/>
  <c r="O20" i="1"/>
  <c r="N18" i="14"/>
  <c r="S17" i="14"/>
  <c r="T17" i="14" s="1"/>
  <c r="N17" i="14"/>
  <c r="S17" i="2"/>
  <c r="T17" i="2" s="1"/>
  <c r="N18" i="2"/>
  <c r="N17" i="2"/>
  <c r="N18" i="3"/>
  <c r="N17" i="3"/>
  <c r="S17" i="3"/>
  <c r="T17" i="3" s="1"/>
  <c r="N18" i="11"/>
  <c r="S17" i="11"/>
  <c r="T17" i="11" s="1"/>
  <c r="N17" i="11"/>
  <c r="S18" i="13"/>
  <c r="T18" i="13" s="1"/>
  <c r="S17" i="13"/>
  <c r="T17" i="13" s="1"/>
  <c r="S18" i="14"/>
  <c r="T18" i="14" s="1"/>
  <c r="S18" i="2"/>
  <c r="T18" i="2" s="1"/>
  <c r="S18" i="11"/>
  <c r="T18" i="11" s="1"/>
  <c r="S18" i="3"/>
  <c r="T18" i="3" s="1"/>
  <c r="O21" i="1" l="1"/>
  <c r="N35" i="2" l="1"/>
  <c r="N45" i="2"/>
  <c r="N34" i="2"/>
  <c r="N26" i="2"/>
  <c r="N16" i="2"/>
  <c r="N27" i="2"/>
  <c r="N44" i="2"/>
  <c r="N33" i="2"/>
  <c r="N25" i="2"/>
  <c r="N15" i="2"/>
  <c r="N19" i="2"/>
  <c r="N43" i="2"/>
  <c r="N32" i="2"/>
  <c r="N24" i="2"/>
  <c r="N14" i="2"/>
  <c r="N42" i="2"/>
  <c r="N23" i="2"/>
  <c r="N31" i="2"/>
  <c r="N13" i="2"/>
  <c r="N9" i="2"/>
  <c r="N41" i="2"/>
  <c r="N30" i="2"/>
  <c r="N22" i="2"/>
  <c r="N12" i="2"/>
  <c r="N29" i="2"/>
  <c r="N21" i="2"/>
  <c r="N11" i="2"/>
  <c r="N40" i="2"/>
  <c r="N46" i="2"/>
  <c r="N36" i="2"/>
  <c r="N28" i="2"/>
  <c r="N20" i="2"/>
  <c r="N10" i="2"/>
  <c r="N20" i="13" l="1"/>
  <c r="N36" i="13"/>
  <c r="N43" i="13"/>
  <c r="N46" i="13"/>
  <c r="N32" i="13"/>
  <c r="N11" i="13"/>
  <c r="N21" i="13"/>
  <c r="N29" i="13"/>
  <c r="N40" i="13"/>
  <c r="N24" i="13"/>
  <c r="N15" i="13"/>
  <c r="N25" i="13"/>
  <c r="N33" i="13"/>
  <c r="N44" i="13"/>
  <c r="N14" i="13"/>
  <c r="N12" i="13"/>
  <c r="N22" i="13"/>
  <c r="N30" i="13"/>
  <c r="N41" i="13"/>
  <c r="N10" i="13"/>
  <c r="N28" i="13"/>
  <c r="N16" i="13"/>
  <c r="N26" i="13"/>
  <c r="N34" i="13"/>
  <c r="N45" i="13"/>
  <c r="N9" i="13"/>
  <c r="N13" i="13"/>
  <c r="N19" i="13"/>
  <c r="N23" i="13"/>
  <c r="N27" i="13"/>
  <c r="N31" i="13"/>
  <c r="N35" i="13"/>
  <c r="N42" i="13"/>
  <c r="N23" i="14" l="1"/>
  <c r="N15" i="14"/>
  <c r="N25" i="14"/>
  <c r="N33" i="14"/>
  <c r="N44" i="14"/>
  <c r="N13" i="14"/>
  <c r="N16" i="14"/>
  <c r="N26" i="14"/>
  <c r="N34" i="14"/>
  <c r="N45" i="14"/>
  <c r="N35" i="14"/>
  <c r="N10" i="14"/>
  <c r="N20" i="14"/>
  <c r="N28" i="14"/>
  <c r="N36" i="14"/>
  <c r="N46" i="14"/>
  <c r="N27" i="14"/>
  <c r="N11" i="14"/>
  <c r="N21" i="14"/>
  <c r="N29" i="14"/>
  <c r="N40" i="14"/>
  <c r="N19" i="14"/>
  <c r="N12" i="14"/>
  <c r="N22" i="14"/>
  <c r="N30" i="14"/>
  <c r="N41" i="14"/>
  <c r="N31" i="14"/>
  <c r="N9" i="14"/>
  <c r="N42" i="14"/>
  <c r="N14" i="14"/>
  <c r="N24" i="14"/>
  <c r="N32" i="14"/>
  <c r="N43" i="14"/>
  <c r="N10" i="3" l="1"/>
  <c r="N12" i="3"/>
  <c r="N22" i="3"/>
  <c r="N30" i="3"/>
  <c r="N41" i="3"/>
  <c r="N13" i="3"/>
  <c r="N23" i="3"/>
  <c r="N31" i="3"/>
  <c r="N42" i="3"/>
  <c r="N40" i="3"/>
  <c r="N24" i="3"/>
  <c r="N29" i="3"/>
  <c r="N43" i="3"/>
  <c r="N15" i="3"/>
  <c r="N25" i="3"/>
  <c r="N33" i="3"/>
  <c r="N44" i="3"/>
  <c r="N11" i="3"/>
  <c r="N14" i="3"/>
  <c r="N32" i="3"/>
  <c r="N16" i="3"/>
  <c r="N26" i="3"/>
  <c r="N34" i="3"/>
  <c r="N45" i="3"/>
  <c r="N21" i="3"/>
  <c r="N9" i="3"/>
  <c r="N19" i="3"/>
  <c r="N27" i="3"/>
  <c r="N35" i="3"/>
  <c r="N20" i="3"/>
  <c r="N28" i="3"/>
  <c r="N36" i="3"/>
  <c r="N46" i="3"/>
  <c r="N15" i="11" l="1"/>
  <c r="N25" i="11"/>
  <c r="N33" i="11"/>
  <c r="N44" i="11"/>
  <c r="N16" i="11"/>
  <c r="N26" i="11"/>
  <c r="N34" i="11"/>
  <c r="N45" i="11"/>
  <c r="N19" i="11"/>
  <c r="N27" i="11"/>
  <c r="N35" i="11"/>
  <c r="N20" i="11"/>
  <c r="N28" i="11"/>
  <c r="N36" i="11"/>
  <c r="N46" i="11"/>
  <c r="N10" i="11"/>
  <c r="N21" i="11"/>
  <c r="N29" i="11"/>
  <c r="N40" i="11"/>
  <c r="N11" i="11"/>
  <c r="N12" i="11"/>
  <c r="N22" i="11"/>
  <c r="N30" i="11"/>
  <c r="N41" i="11"/>
  <c r="N9" i="11"/>
  <c r="N13" i="11"/>
  <c r="N23" i="11"/>
  <c r="N31" i="11"/>
  <c r="N42" i="11"/>
  <c r="N14" i="11"/>
  <c r="N24" i="11"/>
  <c r="N32" i="11"/>
  <c r="N43" i="11"/>
  <c r="O24" i="1"/>
  <c r="O47" i="1"/>
  <c r="O40" i="1"/>
  <c r="O37" i="1"/>
  <c r="O25" i="1"/>
  <c r="O48" i="1"/>
  <c r="O22" i="1"/>
  <c r="O30" i="1"/>
  <c r="O38" i="1"/>
  <c r="O36" i="1"/>
  <c r="O41" i="1"/>
  <c r="O26" i="1"/>
  <c r="O34" i="1"/>
  <c r="O45" i="1"/>
  <c r="O28" i="1"/>
  <c r="O29" i="1"/>
  <c r="O27" i="1"/>
  <c r="O35" i="1"/>
  <c r="O39" i="1"/>
  <c r="O49" i="1"/>
  <c r="O32" i="1"/>
  <c r="O33" i="1"/>
  <c r="O23" i="1"/>
  <c r="O31" i="1"/>
  <c r="O46" i="1"/>
  <c r="O14" i="1"/>
  <c r="O18" i="1"/>
  <c r="O19" i="1"/>
  <c r="O15" i="1"/>
  <c r="O16" i="1"/>
  <c r="O12" i="1"/>
  <c r="O17" i="1"/>
  <c r="O13" i="1"/>
  <c r="S28" i="13" l="1"/>
  <c r="T28" i="13" s="1"/>
  <c r="S28" i="2"/>
  <c r="T28" i="2" s="1"/>
  <c r="S28" i="11"/>
  <c r="T28" i="11" s="1"/>
  <c r="S26" i="14"/>
  <c r="T26" i="14" s="1"/>
  <c r="S27" i="3"/>
  <c r="T27" i="3" s="1"/>
  <c r="S28" i="3"/>
  <c r="T28" i="3" s="1"/>
  <c r="S26" i="3"/>
  <c r="T26" i="3" s="1"/>
  <c r="S29" i="14"/>
  <c r="T29" i="14" s="1"/>
  <c r="S27" i="2"/>
  <c r="T27" i="2" s="1"/>
  <c r="S27" i="13"/>
  <c r="T27" i="13" s="1"/>
  <c r="S27" i="11"/>
  <c r="T27" i="11" s="1"/>
  <c r="S29" i="2"/>
  <c r="T29" i="2" s="1"/>
  <c r="S29" i="13"/>
  <c r="T29" i="13" s="1"/>
  <c r="S29" i="11"/>
  <c r="T29" i="11" s="1"/>
  <c r="S29" i="3"/>
  <c r="T29" i="3" s="1"/>
  <c r="S28" i="14"/>
  <c r="T28" i="14" s="1"/>
  <c r="S26" i="2"/>
  <c r="T26" i="2" s="1"/>
  <c r="S26" i="13"/>
  <c r="T26" i="13" s="1"/>
  <c r="S26" i="11"/>
  <c r="T26" i="11" s="1"/>
  <c r="S27" i="14"/>
  <c r="T27" i="14" s="1"/>
  <c r="S17" i="1" l="1"/>
  <c r="S42" i="13" l="1"/>
  <c r="T42" i="13" s="1"/>
  <c r="S42" i="11"/>
  <c r="T42" i="11" s="1"/>
  <c r="S42" i="2"/>
  <c r="T42" i="2" s="1"/>
  <c r="S42" i="14"/>
  <c r="T42" i="14" s="1"/>
  <c r="S42" i="3"/>
  <c r="T42" i="3" s="1"/>
  <c r="S33" i="13" l="1"/>
  <c r="T33" i="13" s="1"/>
  <c r="S33" i="2"/>
  <c r="T33" i="2" s="1"/>
  <c r="S33" i="11"/>
  <c r="T33" i="11" s="1"/>
  <c r="S33" i="3"/>
  <c r="T33" i="3" s="1"/>
  <c r="S33" i="14"/>
  <c r="T33" i="14" s="1"/>
  <c r="X13" i="1"/>
  <c r="W13" i="1"/>
  <c r="V13" i="1"/>
  <c r="U13" i="1"/>
  <c r="T13" i="1"/>
  <c r="S13" i="1"/>
  <c r="R13" i="1" l="1"/>
  <c r="Q13" i="1"/>
  <c r="W14" i="1"/>
  <c r="U14" i="1"/>
  <c r="S14" i="1"/>
  <c r="Q14" i="1" l="1"/>
  <c r="S45" i="11" l="1"/>
  <c r="T45" i="11" s="1"/>
  <c r="S44" i="11"/>
  <c r="T44" i="11" s="1"/>
  <c r="S43" i="11"/>
  <c r="T43" i="11" s="1"/>
  <c r="S41" i="11"/>
  <c r="T41" i="11" s="1"/>
  <c r="S40" i="11"/>
  <c r="T40" i="11" s="1"/>
  <c r="S45" i="2"/>
  <c r="T45" i="2" s="1"/>
  <c r="S44" i="2"/>
  <c r="T44" i="2" s="1"/>
  <c r="S43" i="2"/>
  <c r="T43" i="2" s="1"/>
  <c r="S41" i="2"/>
  <c r="T41" i="2" s="1"/>
  <c r="S40" i="2"/>
  <c r="T40" i="2" s="1"/>
  <c r="S45" i="3"/>
  <c r="T45" i="3" s="1"/>
  <c r="S43" i="3"/>
  <c r="T43" i="3" s="1"/>
  <c r="S40" i="3"/>
  <c r="T40" i="3" s="1"/>
  <c r="S44" i="3"/>
  <c r="T44" i="3" s="1"/>
  <c r="S41" i="3"/>
  <c r="T41" i="3" s="1"/>
  <c r="S45" i="13"/>
  <c r="T45" i="13" s="1"/>
  <c r="S44" i="13"/>
  <c r="T44" i="13" s="1"/>
  <c r="S43" i="13"/>
  <c r="T43" i="13" s="1"/>
  <c r="S41" i="13"/>
  <c r="T41" i="13" s="1"/>
  <c r="S40" i="13"/>
  <c r="T40" i="13" s="1"/>
  <c r="S45" i="14"/>
  <c r="T45" i="14" s="1"/>
  <c r="S44" i="14"/>
  <c r="T44" i="14" s="1"/>
  <c r="S43" i="14"/>
  <c r="T43" i="14" s="1"/>
  <c r="S41" i="14"/>
  <c r="T41" i="14" s="1"/>
  <c r="S40" i="14"/>
  <c r="T40" i="14" s="1"/>
  <c r="S46" i="3" l="1"/>
  <c r="T46" i="3" s="1"/>
  <c r="S10" i="14"/>
  <c r="T10" i="14" s="1"/>
  <c r="S12" i="14"/>
  <c r="T12" i="14" s="1"/>
  <c r="S14" i="14"/>
  <c r="T14" i="14" s="1"/>
  <c r="S16" i="14"/>
  <c r="T16" i="14" s="1"/>
  <c r="S19" i="14"/>
  <c r="T19" i="14" s="1"/>
  <c r="S21" i="14"/>
  <c r="T21" i="14" s="1"/>
  <c r="S23" i="14"/>
  <c r="T23" i="14" s="1"/>
  <c r="S25" i="14"/>
  <c r="T25" i="14" s="1"/>
  <c r="S30" i="14"/>
  <c r="T30" i="14" s="1"/>
  <c r="S9" i="3"/>
  <c r="T9" i="3" s="1"/>
  <c r="S11" i="3"/>
  <c r="T11" i="3" s="1"/>
  <c r="S13" i="3"/>
  <c r="T13" i="3" s="1"/>
  <c r="S15" i="3"/>
  <c r="T15" i="3" s="1"/>
  <c r="S20" i="3"/>
  <c r="T20" i="3" s="1"/>
  <c r="S22" i="3"/>
  <c r="T22" i="3" s="1"/>
  <c r="S24" i="3"/>
  <c r="T24" i="3" s="1"/>
  <c r="S32" i="14"/>
  <c r="T32" i="14" s="1"/>
  <c r="S35" i="14"/>
  <c r="T35" i="14" s="1"/>
  <c r="S31" i="3"/>
  <c r="T31" i="3" s="1"/>
  <c r="S34" i="3"/>
  <c r="T34" i="3" s="1"/>
  <c r="S36" i="3"/>
  <c r="T36" i="3" s="1"/>
  <c r="S10" i="11"/>
  <c r="T10" i="11" s="1"/>
  <c r="S12" i="11"/>
  <c r="T12" i="11" s="1"/>
  <c r="S14" i="11"/>
  <c r="T14" i="11" s="1"/>
  <c r="S16" i="11"/>
  <c r="T16" i="11" s="1"/>
  <c r="S19" i="11"/>
  <c r="T19" i="11" s="1"/>
  <c r="S21" i="11"/>
  <c r="T21" i="11" s="1"/>
  <c r="S23" i="11"/>
  <c r="T23" i="11" s="1"/>
  <c r="S25" i="11"/>
  <c r="T25" i="11" s="1"/>
  <c r="S30" i="11"/>
  <c r="T30" i="11" s="1"/>
  <c r="S32" i="11"/>
  <c r="T32" i="11" s="1"/>
  <c r="S35" i="11"/>
  <c r="T35" i="11" s="1"/>
  <c r="S10" i="13"/>
  <c r="T10" i="13" s="1"/>
  <c r="S12" i="13"/>
  <c r="T12" i="13" s="1"/>
  <c r="S14" i="13"/>
  <c r="T14" i="13" s="1"/>
  <c r="S16" i="13"/>
  <c r="T16" i="13" s="1"/>
  <c r="S19" i="13"/>
  <c r="T19" i="13" s="1"/>
  <c r="S21" i="13"/>
  <c r="T21" i="13" s="1"/>
  <c r="S23" i="13"/>
  <c r="T23" i="13" s="1"/>
  <c r="S25" i="13"/>
  <c r="T25" i="13" s="1"/>
  <c r="S30" i="13"/>
  <c r="T30" i="13" s="1"/>
  <c r="S32" i="13"/>
  <c r="T32" i="13" s="1"/>
  <c r="S35" i="13"/>
  <c r="T35" i="13" s="1"/>
  <c r="S10" i="3"/>
  <c r="T10" i="3" s="1"/>
  <c r="S12" i="3"/>
  <c r="T12" i="3" s="1"/>
  <c r="S14" i="3"/>
  <c r="T14" i="3" s="1"/>
  <c r="S16" i="3"/>
  <c r="T16" i="3" s="1"/>
  <c r="S19" i="3"/>
  <c r="T19" i="3" s="1"/>
  <c r="S21" i="3"/>
  <c r="T21" i="3" s="1"/>
  <c r="S23" i="3"/>
  <c r="T23" i="3" s="1"/>
  <c r="S25" i="3"/>
  <c r="T25" i="3" s="1"/>
  <c r="S30" i="3"/>
  <c r="T30" i="3" s="1"/>
  <c r="S32" i="3"/>
  <c r="T32" i="3" s="1"/>
  <c r="S35" i="3"/>
  <c r="T35" i="3" s="1"/>
  <c r="S9" i="11"/>
  <c r="T9" i="11" s="1"/>
  <c r="S11" i="11"/>
  <c r="T11" i="11" s="1"/>
  <c r="S13" i="11"/>
  <c r="T13" i="11" s="1"/>
  <c r="S15" i="11"/>
  <c r="T15" i="11" s="1"/>
  <c r="S20" i="11"/>
  <c r="T20" i="11" s="1"/>
  <c r="S22" i="11"/>
  <c r="T22" i="11" s="1"/>
  <c r="S24" i="11"/>
  <c r="T24" i="11" s="1"/>
  <c r="S31" i="11"/>
  <c r="T31" i="11" s="1"/>
  <c r="S34" i="11"/>
  <c r="T34" i="11" s="1"/>
  <c r="S36" i="11"/>
  <c r="T36" i="11" s="1"/>
  <c r="S46" i="11"/>
  <c r="T46" i="11" s="1"/>
  <c r="S9" i="13"/>
  <c r="T9" i="13" s="1"/>
  <c r="S11" i="13"/>
  <c r="T11" i="13" s="1"/>
  <c r="S13" i="13"/>
  <c r="T13" i="13" s="1"/>
  <c r="S15" i="13"/>
  <c r="T15" i="13" s="1"/>
  <c r="S20" i="13"/>
  <c r="T20" i="13" s="1"/>
  <c r="S22" i="13"/>
  <c r="T22" i="13" s="1"/>
  <c r="S24" i="13"/>
  <c r="T24" i="13" s="1"/>
  <c r="S31" i="13"/>
  <c r="T31" i="13" s="1"/>
  <c r="S34" i="13"/>
  <c r="T34" i="13" s="1"/>
  <c r="S36" i="13"/>
  <c r="T36" i="13" s="1"/>
  <c r="S46" i="13"/>
  <c r="T46" i="13" s="1"/>
  <c r="S9" i="14"/>
  <c r="T9" i="14" s="1"/>
  <c r="S11" i="14"/>
  <c r="T11" i="14" s="1"/>
  <c r="S13" i="14"/>
  <c r="T13" i="14" s="1"/>
  <c r="S15" i="14"/>
  <c r="T15" i="14" s="1"/>
  <c r="S20" i="14"/>
  <c r="T20" i="14" s="1"/>
  <c r="S22" i="14"/>
  <c r="T22" i="14" s="1"/>
  <c r="S24" i="14"/>
  <c r="T24" i="14" s="1"/>
  <c r="S31" i="14"/>
  <c r="T31" i="14" s="1"/>
  <c r="S34" i="14"/>
  <c r="T34" i="14" s="1"/>
  <c r="S36" i="14"/>
  <c r="T36" i="14" s="1"/>
  <c r="S46" i="14"/>
  <c r="T46" i="14" s="1"/>
  <c r="S9" i="2" l="1"/>
  <c r="T9" i="2" s="1"/>
  <c r="S11" i="2"/>
  <c r="T11" i="2" s="1"/>
  <c r="S13" i="2"/>
  <c r="T13" i="2" s="1"/>
  <c r="S15" i="2"/>
  <c r="T15" i="2" s="1"/>
  <c r="S20" i="2"/>
  <c r="T20" i="2" s="1"/>
  <c r="S22" i="2"/>
  <c r="T22" i="2" s="1"/>
  <c r="S24" i="2"/>
  <c r="T24" i="2" s="1"/>
  <c r="S31" i="2"/>
  <c r="T31" i="2" s="1"/>
  <c r="S34" i="2"/>
  <c r="T34" i="2" s="1"/>
  <c r="S46" i="2"/>
  <c r="T46" i="2" s="1"/>
  <c r="S36" i="2"/>
  <c r="T36" i="2" s="1"/>
  <c r="S35" i="2"/>
  <c r="T35" i="2" s="1"/>
  <c r="S10" i="2"/>
  <c r="T10" i="2" s="1"/>
  <c r="S12" i="2"/>
  <c r="T12" i="2" s="1"/>
  <c r="S14" i="2"/>
  <c r="T14" i="2" s="1"/>
  <c r="S16" i="2"/>
  <c r="T16" i="2" s="1"/>
  <c r="S19" i="2"/>
  <c r="T19" i="2" s="1"/>
  <c r="S21" i="2"/>
  <c r="T21" i="2" s="1"/>
  <c r="S23" i="2"/>
  <c r="T23" i="2" s="1"/>
  <c r="S25" i="2"/>
  <c r="T25" i="2" s="1"/>
  <c r="S30" i="2"/>
  <c r="T30" i="2" s="1"/>
  <c r="S32" i="2"/>
  <c r="T32" i="2" s="1"/>
</calcChain>
</file>

<file path=xl/sharedStrings.xml><?xml version="1.0" encoding="utf-8"?>
<sst xmlns="http://schemas.openxmlformats.org/spreadsheetml/2006/main" count="1074" uniqueCount="121">
  <si>
    <t>Visto</t>
  </si>
  <si>
    <t>NOME COMPLETO</t>
  </si>
  <si>
    <t>DISCIPLINAS</t>
  </si>
  <si>
    <t>Observação</t>
  </si>
  <si>
    <t xml:space="preserve">Género </t>
  </si>
  <si>
    <t>M</t>
  </si>
  <si>
    <t>F</t>
  </si>
  <si>
    <t>TRANSITA</t>
  </si>
  <si>
    <t>N/TRANSITA</t>
  </si>
  <si>
    <t>O Subdirector Pedagógico</t>
  </si>
  <si>
    <t>_____________________________</t>
  </si>
  <si>
    <t>GABRIEL PRÓSPERO MABIALA</t>
  </si>
  <si>
    <r>
      <t xml:space="preserve">Disciplina: </t>
    </r>
    <r>
      <rPr>
        <b/>
        <sz val="12"/>
        <color indexed="8"/>
        <rFont val="Times New Roman"/>
        <family val="1"/>
      </rPr>
      <t xml:space="preserve"> Língua Portuguesa</t>
    </r>
  </si>
  <si>
    <t>Nome do (a) Aluno (a)</t>
  </si>
  <si>
    <t>MFD</t>
  </si>
  <si>
    <t>OBS</t>
  </si>
  <si>
    <t>MAC</t>
  </si>
  <si>
    <t>NPT</t>
  </si>
  <si>
    <t>MT1</t>
  </si>
  <si>
    <t>MT2</t>
  </si>
  <si>
    <t>MT3</t>
  </si>
  <si>
    <t>_______________________________</t>
  </si>
  <si>
    <t>___________________________</t>
  </si>
  <si>
    <t>ALBERTO SASSA TATI</t>
  </si>
  <si>
    <r>
      <t>N</t>
    </r>
    <r>
      <rPr>
        <b/>
        <sz val="11"/>
        <color indexed="8"/>
        <rFont val="Times New Roman"/>
        <family val="1"/>
      </rPr>
      <t>◦</t>
    </r>
  </si>
  <si>
    <r>
      <t>N</t>
    </r>
    <r>
      <rPr>
        <b/>
        <sz val="11"/>
        <color theme="1"/>
        <rFont val="Calibri"/>
        <family val="2"/>
      </rPr>
      <t>º</t>
    </r>
    <r>
      <rPr>
        <b/>
        <sz val="9.35"/>
        <color theme="1"/>
        <rFont val="Times New Roman"/>
        <family val="1"/>
      </rPr>
      <t xml:space="preserve"> MATRI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</si>
  <si>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Matemática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</si>
  <si>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Língua Inglesa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</si>
  <si>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Empreendedorismo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</si>
  <si>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Educação Física</t>
    </r>
  </si>
  <si>
    <t>Director do Complexo</t>
  </si>
  <si>
    <t>DADOS ESTATÍSTICOS</t>
  </si>
  <si>
    <t>MATRICULADOS</t>
  </si>
  <si>
    <t>Desistido/a</t>
  </si>
  <si>
    <t>NPR2</t>
  </si>
  <si>
    <r>
      <t>N</t>
    </r>
    <r>
      <rPr>
        <b/>
        <sz val="12"/>
        <color indexed="8"/>
        <rFont val="Agency FB"/>
        <family val="2"/>
      </rPr>
      <t>º</t>
    </r>
  </si>
  <si>
    <t>Avaliações/I Trimestre</t>
  </si>
  <si>
    <t>Avaliações/II Trimestre</t>
  </si>
  <si>
    <t>Avaliações/IIITrimestre</t>
  </si>
  <si>
    <t>FALTAS</t>
  </si>
  <si>
    <t>J/I</t>
  </si>
  <si>
    <t>MINI-PAUTA - I Ciclo do Ensino Secundário Geral</t>
  </si>
  <si>
    <t xml:space="preserve">                       COMPLEXO ESCOLAR PRIVADO JOMORAIS</t>
  </si>
  <si>
    <t xml:space="preserve">                      COMPLEXO ESCOLAR PRIVADO JOMORAIS</t>
  </si>
  <si>
    <t xml:space="preserve">                  COMPLEXO ESCOLAR PRIVADO JOMORAIS</t>
  </si>
  <si>
    <t xml:space="preserve">                    COMPLEXO ESCOLAR PRIVADO JOMORAIS</t>
  </si>
  <si>
    <t>MÉDIA</t>
  </si>
  <si>
    <t>MÁXIMA</t>
  </si>
  <si>
    <t>NOME DO/A ALUNO/A</t>
  </si>
  <si>
    <t>IDADE:</t>
  </si>
  <si>
    <t>O (A) Professor (a)</t>
  </si>
  <si>
    <t>Madalena Simba Mavinga Maciala</t>
  </si>
  <si>
    <t xml:space="preserve">                                 </t>
  </si>
  <si>
    <t>ANOS</t>
  </si>
  <si>
    <r>
      <t xml:space="preserve">COMPLEXO ESCOLAR PRIVADO JOMORAIS, </t>
    </r>
    <r>
      <rPr>
        <b/>
        <sz val="11"/>
        <color theme="1"/>
        <rFont val="Times New Roman"/>
        <family val="1"/>
      </rPr>
      <t>8 de dezembro de 2025.-</t>
    </r>
  </si>
  <si>
    <r>
      <t>Ano Lectivo:</t>
    </r>
    <r>
      <rPr>
        <b/>
        <sz val="12"/>
        <color theme="1"/>
        <rFont val="Times New Roman"/>
        <family val="1"/>
      </rPr>
      <t>2025/2026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</si>
  <si>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Informática</t>
    </r>
  </si>
  <si>
    <r>
      <t>Classe: 10</t>
    </r>
    <r>
      <rPr>
        <b/>
        <sz val="12"/>
        <color theme="1"/>
        <rFont val="Times New Roman"/>
        <family val="1"/>
      </rPr>
      <t>ª</t>
    </r>
  </si>
  <si>
    <t>Inglês</t>
  </si>
  <si>
    <t>Mat.</t>
  </si>
  <si>
    <t>Infor.</t>
  </si>
  <si>
    <t>Ed. Fis.</t>
  </si>
  <si>
    <t>Emp.</t>
  </si>
  <si>
    <t>L.Port.</t>
  </si>
  <si>
    <r>
      <t xml:space="preserve">Período: </t>
    </r>
    <r>
      <rPr>
        <b/>
        <sz val="12"/>
        <color theme="1"/>
        <rFont val="Times New Roman"/>
        <family val="1"/>
      </rPr>
      <t>Vespertino</t>
    </r>
  </si>
  <si>
    <t>O Director de Turma</t>
  </si>
  <si>
    <r>
      <t xml:space="preserve">Curso: </t>
    </r>
    <r>
      <rPr>
        <b/>
        <sz val="12"/>
        <color theme="1"/>
        <rFont val="Times New Roman"/>
        <family val="1"/>
      </rPr>
      <t>Ciências Económico-jurídicas</t>
    </r>
  </si>
  <si>
    <r>
      <t xml:space="preserve">Turma: </t>
    </r>
    <r>
      <rPr>
        <b/>
        <sz val="12"/>
        <color theme="1"/>
        <rFont val="Times New Roman"/>
        <family val="1"/>
      </rPr>
      <t>Única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</si>
  <si>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Introdução ao Direito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</si>
  <si>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Introdução à Economia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</si>
  <si>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História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</si>
  <si>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Geografia</t>
    </r>
  </si>
  <si>
    <t>CURSO: CIÊNCIAS ECONÓMICO-JURÍDICAS</t>
  </si>
  <si>
    <r>
      <rPr>
        <b/>
        <sz val="14"/>
        <rFont val="Times New Roman"/>
        <family val="1"/>
      </rPr>
      <t>Ano Lectivo:</t>
    </r>
    <r>
      <rPr>
        <b/>
        <sz val="14"/>
        <color indexed="10"/>
        <rFont val="Times New Roman"/>
        <family val="1"/>
      </rPr>
      <t xml:space="preserve"> 2025-2026            10ª</t>
    </r>
    <r>
      <rPr>
        <b/>
        <sz val="14"/>
        <color indexed="8"/>
        <rFont val="Times New Roman"/>
        <family val="1"/>
      </rPr>
      <t xml:space="preserve"> Classe          Turma: </t>
    </r>
    <r>
      <rPr>
        <b/>
        <sz val="14"/>
        <color rgb="FFFF0000"/>
        <rFont val="Times New Roman"/>
        <family val="1"/>
      </rPr>
      <t>A</t>
    </r>
    <r>
      <rPr>
        <b/>
        <sz val="14"/>
        <color indexed="8"/>
        <rFont val="Times New Roman"/>
        <family val="1"/>
      </rPr>
      <t xml:space="preserve">           Sala: </t>
    </r>
    <r>
      <rPr>
        <b/>
        <sz val="14"/>
        <color indexed="10"/>
        <rFont val="Times New Roman"/>
        <family val="1"/>
      </rPr>
      <t>B1</t>
    </r>
    <r>
      <rPr>
        <b/>
        <sz val="14"/>
        <color indexed="8"/>
        <rFont val="Times New Roman"/>
        <family val="1"/>
      </rPr>
      <t xml:space="preserve">    </t>
    </r>
    <r>
      <rPr>
        <b/>
        <sz val="14"/>
        <color indexed="10"/>
        <rFont val="Times New Roman"/>
        <family val="1"/>
      </rPr>
      <t xml:space="preserve">    </t>
    </r>
    <r>
      <rPr>
        <b/>
        <sz val="14"/>
        <color indexed="8"/>
        <rFont val="Times New Roman"/>
        <family val="1"/>
      </rPr>
      <t xml:space="preserve"> Período: </t>
    </r>
    <r>
      <rPr>
        <b/>
        <sz val="14"/>
        <color indexed="10"/>
        <rFont val="Times New Roman"/>
        <family val="1"/>
      </rPr>
      <t xml:space="preserve">Vespertino                    </t>
    </r>
    <r>
      <rPr>
        <b/>
        <sz val="14"/>
        <rFont val="Times New Roman"/>
        <family val="1"/>
      </rPr>
      <t xml:space="preserve">I </t>
    </r>
    <r>
      <rPr>
        <b/>
        <sz val="14"/>
        <color indexed="10"/>
        <rFont val="Times New Roman"/>
        <family val="1"/>
      </rPr>
      <t xml:space="preserve">Trimestre </t>
    </r>
  </si>
  <si>
    <t>Int. Dto</t>
  </si>
  <si>
    <t>Int. Eco</t>
  </si>
  <si>
    <t>Hist.</t>
  </si>
  <si>
    <t>Geo.</t>
  </si>
  <si>
    <t>ANASTÁSIO ZOVO NZUZI</t>
  </si>
  <si>
    <t>Albertina Futi Mavungo</t>
  </si>
  <si>
    <t>António Chimpanzo Inocêncio</t>
  </si>
  <si>
    <t>Augusto Mbungo Lando Barros</t>
  </si>
  <si>
    <t>Chianica Bete Quende</t>
  </si>
  <si>
    <t xml:space="preserve">Claudete Vuângela </t>
  </si>
  <si>
    <t>Cristina Massanga Vubo</t>
  </si>
  <si>
    <t>Dalmácia Carlota Quitunga</t>
  </si>
  <si>
    <t>Daniela Teresa Elias Pinto</t>
  </si>
  <si>
    <t>Delfina Goma Nsoki</t>
  </si>
  <si>
    <t>Deolinda Ngueve Waia</t>
  </si>
  <si>
    <t>Estanislau Massiala Roque</t>
  </si>
  <si>
    <t>Estrela Teta Lumbauziládio</t>
  </si>
  <si>
    <t>Gertrudes De Jesus Pucuta Melo</t>
  </si>
  <si>
    <t>Guiomar Isabel Malonda André</t>
  </si>
  <si>
    <t>Francisco Chocolate Chinene</t>
  </si>
  <si>
    <t>Isabel Mavinga Chiana Chocolate</t>
  </si>
  <si>
    <t>Jacinto Luciano</t>
  </si>
  <si>
    <t>Joana Suzana Felismina</t>
  </si>
  <si>
    <t>João Maria Sambo</t>
  </si>
  <si>
    <t>Joaquim Osvaldo Deca Ngaca</t>
  </si>
  <si>
    <t>Josefina Lembe Zau Futi</t>
  </si>
  <si>
    <t>Lourdes Puati Issambo</t>
  </si>
  <si>
    <t>Luís Liberal Lemos Casimiro</t>
  </si>
  <si>
    <t>Marciano V. Shachilombe</t>
  </si>
  <si>
    <t>Maria Nsuami</t>
  </si>
  <si>
    <t>Miriame Puati Sumbo</t>
  </si>
  <si>
    <t>Odeth Nzuzi Chibinda Pambo</t>
  </si>
  <si>
    <t>Paulina Esperança Ntoni</t>
  </si>
  <si>
    <t>Paulo Cawalende Savicaia</t>
  </si>
  <si>
    <t>Regina De Fatima Mavungo Andre</t>
  </si>
  <si>
    <t>Ruth Lutete Mambuco</t>
  </si>
  <si>
    <t>Ruth Massiala Luemba</t>
  </si>
  <si>
    <t>Tatiana Nzita Mangovo</t>
  </si>
  <si>
    <t>Victor Cadete Macaia</t>
  </si>
  <si>
    <t>Zeferino D. Cambimbi Candongo</t>
  </si>
  <si>
    <t>Filomena de Fátima Goma Monteiro</t>
  </si>
  <si>
    <t>Maria Zinga Barros</t>
  </si>
  <si>
    <t>Mariana Cachala Muanda Calunga</t>
  </si>
  <si>
    <t>DESISTIDO</t>
  </si>
  <si>
    <t>DESISTIDA</t>
  </si>
  <si>
    <r>
      <rPr>
        <b/>
        <sz val="14"/>
        <rFont val="Times New Roman"/>
        <family val="1"/>
      </rPr>
      <t>Ano Lectivo:</t>
    </r>
    <r>
      <rPr>
        <b/>
        <sz val="14"/>
        <color indexed="10"/>
        <rFont val="Times New Roman"/>
        <family val="1"/>
      </rPr>
      <t xml:space="preserve"> 2025-2026            10ª</t>
    </r>
    <r>
      <rPr>
        <b/>
        <sz val="14"/>
        <color indexed="8"/>
        <rFont val="Times New Roman"/>
        <family val="1"/>
      </rPr>
      <t xml:space="preserve"> Classe          Turma: </t>
    </r>
    <r>
      <rPr>
        <b/>
        <sz val="14"/>
        <color rgb="FFFF0000"/>
        <rFont val="Times New Roman"/>
        <family val="1"/>
      </rPr>
      <t>A</t>
    </r>
    <r>
      <rPr>
        <b/>
        <sz val="14"/>
        <color indexed="8"/>
        <rFont val="Times New Roman"/>
        <family val="1"/>
      </rPr>
      <t xml:space="preserve">           Sala: </t>
    </r>
    <r>
      <rPr>
        <b/>
        <sz val="14"/>
        <color indexed="10"/>
        <rFont val="Times New Roman"/>
        <family val="1"/>
      </rPr>
      <t>B1</t>
    </r>
    <r>
      <rPr>
        <b/>
        <sz val="14"/>
        <color indexed="8"/>
        <rFont val="Times New Roman"/>
        <family val="1"/>
      </rPr>
      <t xml:space="preserve">    </t>
    </r>
    <r>
      <rPr>
        <b/>
        <sz val="14"/>
        <color indexed="10"/>
        <rFont val="Times New Roman"/>
        <family val="1"/>
      </rPr>
      <t xml:space="preserve">    </t>
    </r>
    <r>
      <rPr>
        <b/>
        <sz val="14"/>
        <color indexed="8"/>
        <rFont val="Times New Roman"/>
        <family val="1"/>
      </rPr>
      <t xml:space="preserve"> Período: </t>
    </r>
    <r>
      <rPr>
        <b/>
        <sz val="14"/>
        <color indexed="10"/>
        <rFont val="Times New Roman"/>
        <family val="1"/>
      </rPr>
      <t xml:space="preserve">Vespertino                    </t>
    </r>
    <r>
      <rPr>
        <b/>
        <sz val="14"/>
        <rFont val="Times New Roman"/>
        <family val="1"/>
      </rPr>
      <t xml:space="preserve">II </t>
    </r>
    <r>
      <rPr>
        <b/>
        <sz val="14"/>
        <color indexed="10"/>
        <rFont val="Times New Roman"/>
        <family val="1"/>
      </rPr>
      <t xml:space="preserve">Trimestre </t>
    </r>
  </si>
  <si>
    <r>
      <t xml:space="preserve">COMPLEXO ESCOLAR PRIVADO JOMORAIS, </t>
    </r>
    <r>
      <rPr>
        <b/>
        <sz val="11"/>
        <color theme="1"/>
        <rFont val="Times New Roman"/>
        <family val="1"/>
      </rPr>
      <t>27 de março de 2026.-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</si>
</sst>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8"/>
      <color theme="1"/>
      <name val="Times New Roman"/>
      <family val="1"/>
    </font>
    <font>
      <sz val="11"/>
      <name val="Calibri"/>
      <family val="2"/>
    </font>
    <font>
      <b/>
      <sz val="18"/>
      <color theme="1"/>
      <name val="Agency FB"/>
      <family val="2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Agency FB"/>
      <family val="2"/>
    </font>
    <font>
      <sz val="11"/>
      <color theme="1"/>
      <name val="Agency FB"/>
      <family val="2"/>
    </font>
    <font>
      <b/>
      <sz val="10"/>
      <color rgb="FF0000CC"/>
      <name val="Calibri"/>
      <family val="2"/>
      <scheme val="minor"/>
    </font>
    <font>
      <i/>
      <sz val="9"/>
      <color theme="1"/>
      <name val="Times New Roman"/>
      <family val="1"/>
    </font>
    <font>
      <b/>
      <sz val="12"/>
      <color theme="1"/>
      <name val="Blackadder ITC"/>
      <family val="5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Blackadder ITC"/>
      <family val="5"/>
    </font>
    <font>
      <b/>
      <sz val="11"/>
      <color theme="1"/>
      <name val="Calibri"/>
      <family val="2"/>
    </font>
    <font>
      <b/>
      <sz val="9.35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color theme="1"/>
      <name val="Arial Black"/>
      <family val="2"/>
    </font>
    <font>
      <sz val="11"/>
      <color rgb="FF0070C0"/>
      <name val="Arial Black"/>
      <family val="2"/>
    </font>
    <font>
      <b/>
      <sz val="14"/>
      <color theme="1"/>
      <name val="Agency FB"/>
      <family val="2"/>
    </font>
    <font>
      <sz val="10"/>
      <name val="Arial"/>
      <family val="2"/>
    </font>
    <font>
      <b/>
      <sz val="12"/>
      <color theme="1"/>
      <name val="Agency FB"/>
      <family val="2"/>
    </font>
    <font>
      <sz val="12"/>
      <color theme="1"/>
      <name val="Agency FB"/>
      <family val="2"/>
    </font>
    <font>
      <b/>
      <sz val="12"/>
      <color indexed="8"/>
      <name val="Agency FB"/>
      <family val="2"/>
    </font>
    <font>
      <sz val="12"/>
      <color rgb="FF000000"/>
      <name val="Agency FB"/>
      <family val="2"/>
    </font>
    <font>
      <sz val="14"/>
      <color theme="1"/>
      <name val="Agency FB"/>
      <family val="2"/>
    </font>
    <font>
      <b/>
      <sz val="20"/>
      <color theme="1"/>
      <name val="Papyrus"/>
      <family val="4"/>
    </font>
    <font>
      <b/>
      <sz val="20"/>
      <color rgb="FF0070C0"/>
      <name val="Calibri"/>
      <family val="2"/>
      <scheme val="minor"/>
    </font>
    <font>
      <sz val="12"/>
      <color rgb="FF000000"/>
      <name val="Agency FB"/>
      <family val="2"/>
    </font>
    <font>
      <sz val="12"/>
      <name val="Agency FB"/>
      <family val="2"/>
    </font>
    <font>
      <b/>
      <sz val="12"/>
      <color rgb="FFFF0000"/>
      <name val="Agency FB"/>
      <family val="2"/>
    </font>
    <font>
      <b/>
      <sz val="12"/>
      <color rgb="FF0070C0"/>
      <name val="Agency FB"/>
      <family val="2"/>
    </font>
    <font>
      <sz val="12"/>
      <color rgb="FF000000"/>
      <name val="Agency FB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2"/>
      <color theme="1"/>
      <name val="Snap ITC"/>
      <family val="5"/>
    </font>
    <font>
      <b/>
      <sz val="14"/>
      <name val="Times New Roman"/>
      <family val="1"/>
    </font>
    <font>
      <b/>
      <sz val="14"/>
      <color indexed="10"/>
      <name val="Times New Roman"/>
      <family val="1"/>
    </font>
    <font>
      <b/>
      <sz val="14"/>
      <color indexed="8"/>
      <name val="Times New Roman"/>
      <family val="1"/>
    </font>
    <font>
      <b/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color rgb="FF000000"/>
      <name val="Agency FB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dashDot">
        <color indexed="64"/>
      </left>
      <right/>
      <top style="dashDot">
        <color indexed="64"/>
      </top>
      <bottom style="dashDot">
        <color indexed="64"/>
      </bottom>
      <diagonal/>
    </border>
    <border>
      <left/>
      <right/>
      <top style="dashDot">
        <color indexed="64"/>
      </top>
      <bottom style="dashDot">
        <color indexed="64"/>
      </bottom>
      <diagonal/>
    </border>
    <border>
      <left/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dashDot">
        <color indexed="64"/>
      </left>
      <right/>
      <top style="dashDot">
        <color indexed="64"/>
      </top>
      <bottom style="medium">
        <color indexed="64"/>
      </bottom>
      <diagonal/>
    </border>
    <border>
      <left/>
      <right/>
      <top style="dashDot">
        <color indexed="64"/>
      </top>
      <bottom style="medium">
        <color indexed="64"/>
      </bottom>
      <diagonal/>
    </border>
    <border>
      <left/>
      <right style="dashDot">
        <color indexed="64"/>
      </right>
      <top style="dashDot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33" fillId="0" borderId="0"/>
  </cellStyleXfs>
  <cellXfs count="264">
    <xf numFmtId="0" fontId="0" fillId="0" borderId="0" xfId="0"/>
    <xf numFmtId="0" fontId="1" fillId="0" borderId="0" xfId="1"/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 wrapText="1"/>
    </xf>
    <xf numFmtId="0" fontId="6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1" fillId="0" borderId="0" xfId="1" applyBorder="1" applyAlignment="1">
      <alignment horizontal="center" vertical="center"/>
    </xf>
    <xf numFmtId="0" fontId="18" fillId="0" borderId="0" xfId="3" applyFont="1" applyBorder="1" applyAlignment="1">
      <alignment horizontal="justify" vertical="center" wrapText="1"/>
    </xf>
    <xf numFmtId="1" fontId="1" fillId="0" borderId="0" xfId="1" applyNumberFormat="1" applyFill="1" applyBorder="1" applyAlignment="1">
      <alignment horizontal="center" vertical="center"/>
    </xf>
    <xf numFmtId="164" fontId="19" fillId="0" borderId="0" xfId="3" applyNumberFormat="1" applyFont="1" applyFill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1" fillId="0" borderId="0" xfId="1" applyAlignment="1">
      <alignment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/>
    <xf numFmtId="0" fontId="0" fillId="0" borderId="0" xfId="0" applyBorder="1"/>
    <xf numFmtId="0" fontId="0" fillId="0" borderId="0" xfId="0" applyBorder="1" applyAlignment="1"/>
    <xf numFmtId="0" fontId="25" fillId="0" borderId="0" xfId="0" applyFont="1" applyBorder="1" applyAlignment="1"/>
    <xf numFmtId="0" fontId="5" fillId="0" borderId="0" xfId="0" applyFont="1" applyAlignment="1"/>
    <xf numFmtId="0" fontId="5" fillId="0" borderId="0" xfId="0" applyFont="1"/>
    <xf numFmtId="0" fontId="0" fillId="0" borderId="0" xfId="0" applyAlignment="1"/>
    <xf numFmtId="0" fontId="20" fillId="0" borderId="0" xfId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0" xfId="1" applyFill="1" applyBorder="1"/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164" fontId="35" fillId="0" borderId="1" xfId="0" applyNumberFormat="1" applyFont="1" applyBorder="1" applyAlignment="1">
      <alignment horizontal="center"/>
    </xf>
    <xf numFmtId="0" fontId="35" fillId="0" borderId="30" xfId="0" applyFont="1" applyBorder="1" applyAlignment="1">
      <alignment horizontal="center"/>
    </xf>
    <xf numFmtId="164" fontId="35" fillId="0" borderId="25" xfId="0" applyNumberFormat="1" applyFont="1" applyBorder="1" applyAlignment="1">
      <alignment horizontal="center"/>
    </xf>
    <xf numFmtId="0" fontId="34" fillId="0" borderId="25" xfId="0" applyFont="1" applyBorder="1" applyAlignment="1">
      <alignment horizontal="center" vertical="top"/>
    </xf>
    <xf numFmtId="0" fontId="34" fillId="0" borderId="24" xfId="0" applyFont="1" applyBorder="1" applyAlignment="1">
      <alignment horizontal="center" vertical="top"/>
    </xf>
    <xf numFmtId="0" fontId="34" fillId="0" borderId="34" xfId="0" applyFont="1" applyBorder="1" applyAlignment="1">
      <alignment horizontal="center" vertical="top"/>
    </xf>
    <xf numFmtId="1" fontId="35" fillId="0" borderId="31" xfId="0" applyNumberFormat="1" applyFont="1" applyBorder="1" applyAlignment="1">
      <alignment horizontal="center"/>
    </xf>
    <xf numFmtId="1" fontId="35" fillId="0" borderId="23" xfId="0" applyNumberFormat="1" applyFont="1" applyBorder="1" applyAlignment="1">
      <alignment horizontal="center"/>
    </xf>
    <xf numFmtId="164" fontId="35" fillId="0" borderId="33" xfId="0" applyNumberFormat="1" applyFont="1" applyBorder="1" applyAlignment="1">
      <alignment horizontal="center" vertical="center"/>
    </xf>
    <xf numFmtId="1" fontId="38" fillId="0" borderId="31" xfId="0" applyNumberFormat="1" applyFont="1" applyBorder="1" applyAlignment="1">
      <alignment horizontal="center"/>
    </xf>
    <xf numFmtId="1" fontId="38" fillId="0" borderId="23" xfId="0" applyNumberFormat="1" applyFont="1" applyBorder="1" applyAlignment="1">
      <alignment horizontal="center"/>
    </xf>
    <xf numFmtId="0" fontId="34" fillId="0" borderId="16" xfId="0" applyFont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5" fillId="2" borderId="38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0" fontId="10" fillId="0" borderId="0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1" fillId="0" borderId="0" xfId="1" applyFont="1" applyAlignment="1">
      <alignment horizontal="center"/>
    </xf>
    <xf numFmtId="1" fontId="17" fillId="2" borderId="6" xfId="0" applyNumberFormat="1" applyFont="1" applyFill="1" applyBorder="1" applyAlignment="1">
      <alignment horizontal="center" vertical="center"/>
    </xf>
    <xf numFmtId="1" fontId="17" fillId="2" borderId="8" xfId="0" applyNumberFormat="1" applyFont="1" applyFill="1" applyBorder="1" applyAlignment="1">
      <alignment horizontal="center" vertical="center"/>
    </xf>
    <xf numFmtId="1" fontId="17" fillId="2" borderId="7" xfId="0" applyNumberFormat="1" applyFont="1" applyFill="1" applyBorder="1" applyAlignment="1">
      <alignment horizontal="center" vertical="center"/>
    </xf>
    <xf numFmtId="0" fontId="1" fillId="2" borderId="12" xfId="1" applyFill="1" applyBorder="1"/>
    <xf numFmtId="0" fontId="14" fillId="2" borderId="11" xfId="0" applyFont="1" applyFill="1" applyBorder="1" applyAlignment="1">
      <alignment horizontal="center" vertical="center"/>
    </xf>
    <xf numFmtId="0" fontId="37" fillId="0" borderId="12" xfId="0" applyFont="1" applyBorder="1" applyAlignment="1">
      <alignment vertical="center" wrapText="1"/>
    </xf>
    <xf numFmtId="0" fontId="37" fillId="0" borderId="36" xfId="0" applyFont="1" applyBorder="1" applyAlignment="1">
      <alignment vertical="center" wrapText="1"/>
    </xf>
    <xf numFmtId="0" fontId="35" fillId="0" borderId="29" xfId="0" applyFont="1" applyBorder="1" applyAlignment="1">
      <alignment horizontal="center"/>
    </xf>
    <xf numFmtId="1" fontId="41" fillId="0" borderId="1" xfId="0" applyNumberFormat="1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1" fillId="3" borderId="1" xfId="0" applyFont="1" applyFill="1" applyBorder="1" applyAlignment="1">
      <alignment horizontal="center"/>
    </xf>
    <xf numFmtId="1" fontId="41" fillId="0" borderId="25" xfId="0" applyNumberFormat="1" applyFont="1" applyBorder="1" applyAlignment="1">
      <alignment horizontal="center"/>
    </xf>
    <xf numFmtId="0" fontId="41" fillId="0" borderId="25" xfId="0" applyFont="1" applyBorder="1" applyAlignment="1">
      <alignment horizontal="center"/>
    </xf>
    <xf numFmtId="0" fontId="41" fillId="3" borderId="25" xfId="0" applyFont="1" applyFill="1" applyBorder="1" applyAlignment="1">
      <alignment horizontal="center"/>
    </xf>
    <xf numFmtId="0" fontId="35" fillId="2" borderId="37" xfId="0" applyFont="1" applyFill="1" applyBorder="1" applyAlignment="1">
      <alignment horizontal="center"/>
    </xf>
    <xf numFmtId="164" fontId="42" fillId="0" borderId="37" xfId="0" applyNumberFormat="1" applyFont="1" applyBorder="1" applyAlignment="1">
      <alignment horizontal="center" vertical="center"/>
    </xf>
    <xf numFmtId="164" fontId="42" fillId="0" borderId="18" xfId="0" applyNumberFormat="1" applyFont="1" applyBorder="1" applyAlignment="1">
      <alignment horizontal="center" vertical="center"/>
    </xf>
    <xf numFmtId="0" fontId="35" fillId="0" borderId="15" xfId="0" applyFont="1" applyBorder="1" applyAlignment="1">
      <alignment horizontal="center"/>
    </xf>
    <xf numFmtId="0" fontId="10" fillId="0" borderId="0" xfId="0" applyFont="1" applyAlignment="1"/>
    <xf numFmtId="0" fontId="10" fillId="0" borderId="37" xfId="0" applyFont="1" applyBorder="1" applyAlignment="1"/>
    <xf numFmtId="164" fontId="42" fillId="0" borderId="31" xfId="0" applyNumberFormat="1" applyFont="1" applyBorder="1" applyAlignment="1">
      <alignment horizontal="center" vertical="center"/>
    </xf>
    <xf numFmtId="164" fontId="42" fillId="0" borderId="23" xfId="0" applyNumberFormat="1" applyFont="1" applyBorder="1" applyAlignment="1">
      <alignment horizontal="center" vertical="center"/>
    </xf>
    <xf numFmtId="0" fontId="35" fillId="0" borderId="18" xfId="0" applyFont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23" xfId="0" applyFont="1" applyBorder="1" applyAlignment="1">
      <alignment horizontal="center"/>
    </xf>
    <xf numFmtId="0" fontId="0" fillId="0" borderId="0" xfId="1" applyFont="1" applyBorder="1" applyAlignment="1">
      <alignment horizontal="center"/>
    </xf>
    <xf numFmtId="0" fontId="1" fillId="0" borderId="0" xfId="1" applyBorder="1" applyAlignment="1">
      <alignment horizontal="center"/>
    </xf>
    <xf numFmtId="1" fontId="5" fillId="2" borderId="50" xfId="1" applyNumberFormat="1" applyFont="1" applyFill="1" applyBorder="1" applyAlignment="1">
      <alignment horizontal="center" vertical="center"/>
    </xf>
    <xf numFmtId="1" fontId="5" fillId="2" borderId="51" xfId="1" applyNumberFormat="1" applyFont="1" applyFill="1" applyBorder="1" applyAlignment="1">
      <alignment horizontal="center" vertical="center"/>
    </xf>
    <xf numFmtId="1" fontId="5" fillId="2" borderId="52" xfId="1" applyNumberFormat="1" applyFont="1" applyFill="1" applyBorder="1" applyAlignment="1">
      <alignment horizontal="center" vertical="center"/>
    </xf>
    <xf numFmtId="1" fontId="5" fillId="2" borderId="53" xfId="1" applyNumberFormat="1" applyFont="1" applyFill="1" applyBorder="1" applyAlignment="1">
      <alignment horizontal="center" vertical="center"/>
    </xf>
    <xf numFmtId="1" fontId="5" fillId="2" borderId="54" xfId="1" applyNumberFormat="1" applyFont="1" applyFill="1" applyBorder="1" applyAlignment="1">
      <alignment horizontal="center" vertical="center"/>
    </xf>
    <xf numFmtId="1" fontId="5" fillId="2" borderId="55" xfId="1" applyNumberFormat="1" applyFont="1" applyFill="1" applyBorder="1" applyAlignment="1">
      <alignment horizontal="center" vertical="center"/>
    </xf>
    <xf numFmtId="1" fontId="5" fillId="2" borderId="56" xfId="1" applyNumberFormat="1" applyFont="1" applyFill="1" applyBorder="1" applyAlignment="1">
      <alignment horizontal="center" vertical="center"/>
    </xf>
    <xf numFmtId="1" fontId="5" fillId="2" borderId="57" xfId="1" applyNumberFormat="1" applyFont="1" applyFill="1" applyBorder="1" applyAlignment="1">
      <alignment horizontal="center" vertical="center"/>
    </xf>
    <xf numFmtId="1" fontId="5" fillId="2" borderId="58" xfId="1" applyNumberFormat="1" applyFont="1" applyFill="1" applyBorder="1" applyAlignment="1">
      <alignment horizontal="center" vertical="center"/>
    </xf>
    <xf numFmtId="164" fontId="37" fillId="0" borderId="32" xfId="0" applyNumberFormat="1" applyFont="1" applyBorder="1" applyAlignment="1">
      <alignment horizontal="center"/>
    </xf>
    <xf numFmtId="164" fontId="37" fillId="0" borderId="1" xfId="0" applyNumberFormat="1" applyFont="1" applyBorder="1" applyAlignment="1">
      <alignment horizontal="center"/>
    </xf>
    <xf numFmtId="164" fontId="37" fillId="0" borderId="24" xfId="0" applyNumberFormat="1" applyFont="1" applyBorder="1" applyAlignment="1">
      <alignment horizontal="center"/>
    </xf>
    <xf numFmtId="164" fontId="37" fillId="0" borderId="25" xfId="0" applyNumberFormat="1" applyFont="1" applyBorder="1" applyAlignment="1">
      <alignment horizontal="center"/>
    </xf>
    <xf numFmtId="0" fontId="43" fillId="2" borderId="12" xfId="0" applyFont="1" applyFill="1" applyBorder="1" applyAlignment="1">
      <alignment horizontal="center" vertical="center"/>
    </xf>
    <xf numFmtId="0" fontId="44" fillId="2" borderId="12" xfId="0" applyFont="1" applyFill="1" applyBorder="1" applyAlignment="1">
      <alignment horizontal="center" vertical="center"/>
    </xf>
    <xf numFmtId="0" fontId="43" fillId="2" borderId="44" xfId="0" applyFont="1" applyFill="1" applyBorder="1" applyAlignment="1">
      <alignment horizontal="center" vertical="center"/>
    </xf>
    <xf numFmtId="164" fontId="45" fillId="0" borderId="1" xfId="0" applyNumberFormat="1" applyFont="1" applyBorder="1" applyAlignment="1">
      <alignment horizontal="center"/>
    </xf>
    <xf numFmtId="164" fontId="45" fillId="0" borderId="25" xfId="0" applyNumberFormat="1" applyFont="1" applyBorder="1" applyAlignment="1">
      <alignment horizontal="center"/>
    </xf>
    <xf numFmtId="0" fontId="0" fillId="0" borderId="1" xfId="1" applyFont="1" applyBorder="1" applyAlignment="1">
      <alignment horizontal="center"/>
    </xf>
    <xf numFmtId="164" fontId="37" fillId="0" borderId="33" xfId="0" applyNumberFormat="1" applyFont="1" applyBorder="1" applyAlignment="1">
      <alignment horizontal="center" vertical="center"/>
    </xf>
    <xf numFmtId="1" fontId="37" fillId="0" borderId="32" xfId="0" applyNumberFormat="1" applyFont="1" applyBorder="1" applyAlignment="1">
      <alignment horizontal="center"/>
    </xf>
    <xf numFmtId="1" fontId="37" fillId="0" borderId="1" xfId="0" applyNumberFormat="1" applyFont="1" applyBorder="1" applyAlignment="1">
      <alignment horizontal="center"/>
    </xf>
    <xf numFmtId="1" fontId="37" fillId="0" borderId="24" xfId="0" applyNumberFormat="1" applyFont="1" applyBorder="1" applyAlignment="1">
      <alignment horizontal="center"/>
    </xf>
    <xf numFmtId="1" fontId="37" fillId="0" borderId="25" xfId="0" applyNumberFormat="1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25" xfId="0" applyFont="1" applyBorder="1" applyAlignment="1">
      <alignment horizontal="center"/>
    </xf>
    <xf numFmtId="164" fontId="45" fillId="0" borderId="33" xfId="0" applyNumberFormat="1" applyFont="1" applyBorder="1" applyAlignment="1">
      <alignment horizontal="center" vertical="center"/>
    </xf>
    <xf numFmtId="0" fontId="45" fillId="0" borderId="32" xfId="0" applyFont="1" applyBorder="1" applyAlignment="1">
      <alignment horizontal="center"/>
    </xf>
    <xf numFmtId="0" fontId="45" fillId="0" borderId="24" xfId="0" applyFont="1" applyBorder="1" applyAlignment="1">
      <alignment horizontal="center"/>
    </xf>
    <xf numFmtId="0" fontId="46" fillId="0" borderId="59" xfId="0" applyFont="1" applyBorder="1" applyAlignment="1">
      <alignment horizontal="center" vertical="center" wrapText="1"/>
    </xf>
    <xf numFmtId="0" fontId="46" fillId="0" borderId="60" xfId="0" applyFont="1" applyBorder="1" applyAlignment="1">
      <alignment horizontal="center" vertical="center" wrapText="1"/>
    </xf>
    <xf numFmtId="0" fontId="47" fillId="0" borderId="60" xfId="0" applyFont="1" applyBorder="1" applyAlignment="1">
      <alignment horizontal="center" vertical="center" wrapText="1"/>
    </xf>
    <xf numFmtId="0" fontId="46" fillId="0" borderId="6" xfId="0" applyFont="1" applyBorder="1" applyAlignment="1">
      <alignment horizontal="center" vertical="center" wrapText="1"/>
    </xf>
    <xf numFmtId="0" fontId="46" fillId="0" borderId="8" xfId="0" applyFont="1" applyBorder="1" applyAlignment="1">
      <alignment horizontal="center" vertical="center" wrapText="1"/>
    </xf>
    <xf numFmtId="0" fontId="47" fillId="0" borderId="8" xfId="0" applyFont="1" applyBorder="1" applyAlignment="1">
      <alignment horizontal="center" vertical="center" wrapText="1"/>
    </xf>
    <xf numFmtId="0" fontId="46" fillId="0" borderId="7" xfId="0" applyFont="1" applyBorder="1" applyAlignment="1">
      <alignment horizontal="center" vertical="center" wrapText="1"/>
    </xf>
    <xf numFmtId="0" fontId="46" fillId="0" borderId="6" xfId="0" applyFont="1" applyBorder="1" applyAlignment="1">
      <alignment vertical="center" wrapText="1"/>
    </xf>
    <xf numFmtId="0" fontId="46" fillId="0" borderId="8" xfId="0" applyFont="1" applyBorder="1" applyAlignment="1">
      <alignment vertical="center" wrapText="1"/>
    </xf>
    <xf numFmtId="0" fontId="47" fillId="0" borderId="8" xfId="0" applyFont="1" applyBorder="1" applyAlignment="1">
      <alignment vertical="center" wrapText="1"/>
    </xf>
    <xf numFmtId="0" fontId="46" fillId="0" borderId="7" xfId="0" applyFont="1" applyBorder="1" applyAlignment="1">
      <alignment vertical="center" wrapText="1"/>
    </xf>
    <xf numFmtId="0" fontId="46" fillId="0" borderId="18" xfId="0" applyFont="1" applyBorder="1" applyAlignment="1">
      <alignment vertical="center" wrapText="1"/>
    </xf>
    <xf numFmtId="0" fontId="46" fillId="0" borderId="31" xfId="0" applyFont="1" applyBorder="1" applyAlignment="1">
      <alignment vertical="center" wrapText="1"/>
    </xf>
    <xf numFmtId="0" fontId="47" fillId="0" borderId="31" xfId="0" applyFont="1" applyBorder="1" applyAlignment="1">
      <alignment vertical="center" wrapText="1"/>
    </xf>
    <xf numFmtId="0" fontId="46" fillId="0" borderId="23" xfId="0" applyFont="1" applyBorder="1" applyAlignment="1">
      <alignment vertical="center" wrapText="1"/>
    </xf>
    <xf numFmtId="0" fontId="10" fillId="0" borderId="0" xfId="1" applyFont="1" applyBorder="1" applyAlignment="1">
      <alignment horizontal="center"/>
    </xf>
    <xf numFmtId="0" fontId="10" fillId="0" borderId="0" xfId="0" applyFont="1" applyAlignment="1">
      <alignment horizontal="left"/>
    </xf>
    <xf numFmtId="1" fontId="37" fillId="2" borderId="1" xfId="0" applyNumberFormat="1" applyFont="1" applyFill="1" applyBorder="1" applyAlignment="1">
      <alignment horizontal="center"/>
    </xf>
    <xf numFmtId="0" fontId="35" fillId="0" borderId="16" xfId="0" applyFont="1" applyBorder="1" applyAlignment="1">
      <alignment horizontal="center"/>
    </xf>
    <xf numFmtId="0" fontId="37" fillId="0" borderId="68" xfId="0" applyFont="1" applyBorder="1" applyAlignment="1">
      <alignment vertical="center" wrapText="1"/>
    </xf>
    <xf numFmtId="164" fontId="45" fillId="0" borderId="20" xfId="0" applyNumberFormat="1" applyFont="1" applyBorder="1" applyAlignment="1">
      <alignment horizontal="center"/>
    </xf>
    <xf numFmtId="164" fontId="45" fillId="0" borderId="35" xfId="0" applyNumberFormat="1" applyFont="1" applyBorder="1" applyAlignment="1">
      <alignment horizontal="center" vertical="center"/>
    </xf>
    <xf numFmtId="0" fontId="41" fillId="3" borderId="20" xfId="0" applyFont="1" applyFill="1" applyBorder="1" applyAlignment="1">
      <alignment horizontal="center"/>
    </xf>
    <xf numFmtId="164" fontId="42" fillId="0" borderId="68" xfId="0" applyNumberFormat="1" applyFont="1" applyBorder="1" applyAlignment="1">
      <alignment horizontal="center" vertical="center"/>
    </xf>
    <xf numFmtId="0" fontId="45" fillId="0" borderId="19" xfId="0" applyFont="1" applyBorder="1" applyAlignment="1">
      <alignment horizontal="center"/>
    </xf>
    <xf numFmtId="164" fontId="35" fillId="0" borderId="20" xfId="0" applyNumberFormat="1" applyFont="1" applyBorder="1" applyAlignment="1">
      <alignment horizontal="center"/>
    </xf>
    <xf numFmtId="1" fontId="35" fillId="0" borderId="18" xfId="0" applyNumberFormat="1" applyFont="1" applyBorder="1" applyAlignment="1">
      <alignment horizontal="center"/>
    </xf>
    <xf numFmtId="164" fontId="45" fillId="0" borderId="34" xfId="0" applyNumberFormat="1" applyFont="1" applyBorder="1" applyAlignment="1">
      <alignment horizontal="center" vertical="center"/>
    </xf>
    <xf numFmtId="164" fontId="42" fillId="0" borderId="14" xfId="0" applyNumberFormat="1" applyFont="1" applyBorder="1" applyAlignment="1">
      <alignment horizontal="center" vertical="center"/>
    </xf>
    <xf numFmtId="164" fontId="35" fillId="0" borderId="35" xfId="0" applyNumberFormat="1" applyFont="1" applyBorder="1" applyAlignment="1">
      <alignment horizontal="center" vertical="center"/>
    </xf>
    <xf numFmtId="0" fontId="35" fillId="0" borderId="69" xfId="0" applyFont="1" applyBorder="1" applyAlignment="1">
      <alignment horizontal="center"/>
    </xf>
    <xf numFmtId="1" fontId="37" fillId="0" borderId="19" xfId="0" applyNumberFormat="1" applyFont="1" applyBorder="1" applyAlignment="1">
      <alignment horizontal="center"/>
    </xf>
    <xf numFmtId="1" fontId="37" fillId="0" borderId="20" xfId="0" applyNumberFormat="1" applyFont="1" applyBorder="1" applyAlignment="1">
      <alignment horizontal="center"/>
    </xf>
    <xf numFmtId="1" fontId="41" fillId="0" borderId="20" xfId="0" applyNumberFormat="1" applyFont="1" applyBorder="1" applyAlignment="1">
      <alignment horizontal="center"/>
    </xf>
    <xf numFmtId="1" fontId="38" fillId="0" borderId="18" xfId="0" applyNumberFormat="1" applyFont="1" applyBorder="1" applyAlignment="1">
      <alignment horizontal="center"/>
    </xf>
    <xf numFmtId="164" fontId="35" fillId="0" borderId="34" xfId="0" applyNumberFormat="1" applyFont="1" applyBorder="1" applyAlignment="1">
      <alignment horizontal="center" vertical="center"/>
    </xf>
    <xf numFmtId="164" fontId="37" fillId="0" borderId="19" xfId="0" applyNumberFormat="1" applyFont="1" applyBorder="1" applyAlignment="1">
      <alignment horizontal="center"/>
    </xf>
    <xf numFmtId="164" fontId="37" fillId="0" borderId="20" xfId="0" applyNumberFormat="1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41" fillId="0" borderId="20" xfId="0" applyFont="1" applyBorder="1" applyAlignment="1">
      <alignment horizontal="center"/>
    </xf>
    <xf numFmtId="164" fontId="37" fillId="0" borderId="35" xfId="0" applyNumberFormat="1" applyFont="1" applyBorder="1" applyAlignment="1">
      <alignment horizontal="center" vertical="center"/>
    </xf>
    <xf numFmtId="164" fontId="37" fillId="0" borderId="34" xfId="0" applyNumberFormat="1" applyFont="1" applyBorder="1" applyAlignment="1">
      <alignment horizontal="center" vertical="center"/>
    </xf>
    <xf numFmtId="0" fontId="8" fillId="2" borderId="40" xfId="2" applyFont="1" applyFill="1" applyBorder="1" applyAlignment="1">
      <alignment horizontal="center" vertical="center" wrapText="1"/>
    </xf>
    <xf numFmtId="0" fontId="8" fillId="2" borderId="41" xfId="2" applyFont="1" applyFill="1" applyBorder="1" applyAlignment="1">
      <alignment horizontal="center" vertical="center" wrapText="1"/>
    </xf>
    <xf numFmtId="0" fontId="8" fillId="2" borderId="41" xfId="2" applyFont="1" applyFill="1" applyBorder="1" applyAlignment="1">
      <alignment horizontal="center" vertical="center"/>
    </xf>
    <xf numFmtId="0" fontId="8" fillId="2" borderId="42" xfId="2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8" fillId="2" borderId="72" xfId="2" applyFont="1" applyFill="1" applyBorder="1" applyAlignment="1">
      <alignment horizontal="center" vertical="center"/>
    </xf>
    <xf numFmtId="0" fontId="46" fillId="0" borderId="61" xfId="0" applyFont="1" applyBorder="1" applyAlignment="1">
      <alignment horizontal="center" vertical="center" wrapText="1"/>
    </xf>
    <xf numFmtId="0" fontId="47" fillId="0" borderId="59" xfId="0" applyFont="1" applyBorder="1" applyAlignment="1">
      <alignment horizontal="center" vertical="center" wrapText="1"/>
    </xf>
    <xf numFmtId="0" fontId="46" fillId="3" borderId="8" xfId="0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0" fontId="10" fillId="0" borderId="0" xfId="1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1" fillId="0" borderId="0" xfId="1" applyFont="1" applyAlignment="1">
      <alignment horizontal="center"/>
    </xf>
    <xf numFmtId="164" fontId="37" fillId="0" borderId="28" xfId="0" applyNumberFormat="1" applyFont="1" applyBorder="1" applyAlignment="1">
      <alignment horizontal="center"/>
    </xf>
    <xf numFmtId="164" fontId="37" fillId="0" borderId="2" xfId="0" applyNumberFormat="1" applyFont="1" applyBorder="1" applyAlignment="1">
      <alignment horizontal="center"/>
    </xf>
    <xf numFmtId="164" fontId="37" fillId="0" borderId="70" xfId="0" applyNumberFormat="1" applyFont="1" applyBorder="1" applyAlignment="1">
      <alignment horizontal="center"/>
    </xf>
    <xf numFmtId="164" fontId="37" fillId="0" borderId="71" xfId="0" applyNumberFormat="1" applyFont="1" applyBorder="1" applyAlignment="1">
      <alignment horizontal="center"/>
    </xf>
    <xf numFmtId="164" fontId="37" fillId="0" borderId="73" xfId="0" applyNumberFormat="1" applyFont="1" applyBorder="1" applyAlignment="1">
      <alignment horizontal="center"/>
    </xf>
    <xf numFmtId="164" fontId="37" fillId="0" borderId="39" xfId="0" applyNumberFormat="1" applyFont="1" applyBorder="1" applyAlignment="1">
      <alignment horizontal="center"/>
    </xf>
    <xf numFmtId="164" fontId="37" fillId="0" borderId="27" xfId="0" applyNumberFormat="1" applyFont="1" applyBorder="1" applyAlignment="1">
      <alignment horizontal="center"/>
    </xf>
    <xf numFmtId="164" fontId="37" fillId="0" borderId="35" xfId="0" applyNumberFormat="1" applyFont="1" applyBorder="1" applyAlignment="1">
      <alignment horizontal="center"/>
    </xf>
    <xf numFmtId="164" fontId="37" fillId="0" borderId="33" xfId="0" applyNumberFormat="1" applyFont="1" applyBorder="1" applyAlignment="1">
      <alignment horizontal="center"/>
    </xf>
    <xf numFmtId="164" fontId="37" fillId="0" borderId="34" xfId="0" applyNumberFormat="1" applyFont="1" applyBorder="1" applyAlignment="1">
      <alignment horizontal="center"/>
    </xf>
    <xf numFmtId="164" fontId="54" fillId="0" borderId="19" xfId="0" applyNumberFormat="1" applyFont="1" applyBorder="1" applyAlignment="1">
      <alignment horizontal="center"/>
    </xf>
    <xf numFmtId="164" fontId="54" fillId="0" borderId="20" xfId="0" applyNumberFormat="1" applyFont="1" applyBorder="1" applyAlignment="1">
      <alignment horizontal="center"/>
    </xf>
    <xf numFmtId="164" fontId="54" fillId="0" borderId="35" xfId="0" applyNumberFormat="1" applyFont="1" applyBorder="1" applyAlignment="1">
      <alignment horizontal="center" vertical="center"/>
    </xf>
    <xf numFmtId="0" fontId="54" fillId="0" borderId="69" xfId="0" applyFont="1" applyBorder="1" applyAlignment="1">
      <alignment horizontal="center"/>
    </xf>
    <xf numFmtId="1" fontId="54" fillId="0" borderId="19" xfId="0" applyNumberFormat="1" applyFont="1" applyBorder="1" applyAlignment="1">
      <alignment horizontal="center"/>
    </xf>
    <xf numFmtId="0" fontId="54" fillId="0" borderId="20" xfId="0" applyFont="1" applyBorder="1" applyAlignment="1">
      <alignment horizontal="center"/>
    </xf>
    <xf numFmtId="164" fontId="54" fillId="0" borderId="32" xfId="0" applyNumberFormat="1" applyFont="1" applyBorder="1" applyAlignment="1">
      <alignment horizontal="center"/>
    </xf>
    <xf numFmtId="164" fontId="54" fillId="0" borderId="1" xfId="0" applyNumberFormat="1" applyFont="1" applyBorder="1" applyAlignment="1">
      <alignment horizontal="center"/>
    </xf>
    <xf numFmtId="164" fontId="54" fillId="0" borderId="33" xfId="0" applyNumberFormat="1" applyFont="1" applyBorder="1" applyAlignment="1">
      <alignment horizontal="center" vertical="center"/>
    </xf>
    <xf numFmtId="0" fontId="54" fillId="0" borderId="29" xfId="0" applyFont="1" applyBorder="1" applyAlignment="1">
      <alignment horizontal="center"/>
    </xf>
    <xf numFmtId="1" fontId="54" fillId="0" borderId="32" xfId="0" applyNumberFormat="1" applyFont="1" applyBorder="1" applyAlignment="1">
      <alignment horizontal="center"/>
    </xf>
    <xf numFmtId="0" fontId="54" fillId="0" borderId="1" xfId="0" applyFont="1" applyBorder="1" applyAlignment="1">
      <alignment horizontal="center"/>
    </xf>
    <xf numFmtId="164" fontId="54" fillId="0" borderId="24" xfId="0" applyNumberFormat="1" applyFont="1" applyBorder="1" applyAlignment="1">
      <alignment horizontal="center"/>
    </xf>
    <xf numFmtId="164" fontId="54" fillId="0" borderId="25" xfId="0" applyNumberFormat="1" applyFont="1" applyBorder="1" applyAlignment="1">
      <alignment horizontal="center"/>
    </xf>
    <xf numFmtId="164" fontId="54" fillId="0" borderId="34" xfId="0" applyNumberFormat="1" applyFont="1" applyBorder="1" applyAlignment="1">
      <alignment horizontal="center" vertical="center"/>
    </xf>
    <xf numFmtId="0" fontId="54" fillId="0" borderId="15" xfId="0" applyFont="1" applyBorder="1" applyAlignment="1">
      <alignment horizontal="center"/>
    </xf>
    <xf numFmtId="1" fontId="54" fillId="0" borderId="24" xfId="0" applyNumberFormat="1" applyFont="1" applyBorder="1" applyAlignment="1">
      <alignment horizontal="center"/>
    </xf>
    <xf numFmtId="0" fontId="54" fillId="0" borderId="25" xfId="0" applyFont="1" applyBorder="1" applyAlignment="1">
      <alignment horizontal="center"/>
    </xf>
    <xf numFmtId="0" fontId="37" fillId="3" borderId="19" xfId="0" applyFont="1" applyFill="1" applyBorder="1" applyAlignment="1">
      <alignment horizontal="center"/>
    </xf>
    <xf numFmtId="0" fontId="37" fillId="3" borderId="20" xfId="0" applyFont="1" applyFill="1" applyBorder="1" applyAlignment="1">
      <alignment horizontal="center"/>
    </xf>
    <xf numFmtId="0" fontId="37" fillId="3" borderId="32" xfId="0" applyFont="1" applyFill="1" applyBorder="1" applyAlignment="1">
      <alignment horizontal="center"/>
    </xf>
    <xf numFmtId="0" fontId="37" fillId="3" borderId="1" xfId="0" applyFont="1" applyFill="1" applyBorder="1" applyAlignment="1">
      <alignment horizontal="center"/>
    </xf>
    <xf numFmtId="0" fontId="37" fillId="3" borderId="24" xfId="0" applyFont="1" applyFill="1" applyBorder="1" applyAlignment="1">
      <alignment horizontal="center"/>
    </xf>
    <xf numFmtId="0" fontId="37" fillId="3" borderId="25" xfId="0" applyFont="1" applyFill="1" applyBorder="1" applyAlignment="1">
      <alignment horizontal="center"/>
    </xf>
    <xf numFmtId="0" fontId="0" fillId="0" borderId="41" xfId="1" applyFont="1" applyBorder="1" applyAlignment="1">
      <alignment horizontal="center"/>
    </xf>
    <xf numFmtId="0" fontId="0" fillId="0" borderId="2" xfId="1" applyFont="1" applyBorder="1" applyAlignment="1">
      <alignment horizont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0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22" fillId="0" borderId="62" xfId="1" applyFont="1" applyBorder="1" applyAlignment="1">
      <alignment horizontal="center"/>
    </xf>
    <xf numFmtId="0" fontId="22" fillId="0" borderId="63" xfId="1" applyFont="1" applyBorder="1" applyAlignment="1">
      <alignment horizontal="center"/>
    </xf>
    <xf numFmtId="0" fontId="53" fillId="0" borderId="63" xfId="1" applyFont="1" applyBorder="1" applyAlignment="1">
      <alignment horizontal="center"/>
    </xf>
    <xf numFmtId="0" fontId="53" fillId="0" borderId="64" xfId="1" applyFont="1" applyBorder="1" applyAlignment="1">
      <alignment horizontal="center"/>
    </xf>
    <xf numFmtId="0" fontId="11" fillId="2" borderId="6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center"/>
    </xf>
    <xf numFmtId="0" fontId="11" fillId="2" borderId="10" xfId="1" applyFont="1" applyFill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center" vertical="center"/>
    </xf>
    <xf numFmtId="0" fontId="11" fillId="2" borderId="5" xfId="1" applyFont="1" applyFill="1" applyBorder="1" applyAlignment="1">
      <alignment horizontal="center" vertical="center"/>
    </xf>
    <xf numFmtId="0" fontId="12" fillId="2" borderId="49" xfId="1" applyFont="1" applyFill="1" applyBorder="1" applyAlignment="1">
      <alignment horizontal="center" vertical="center" textRotation="45"/>
    </xf>
    <xf numFmtId="0" fontId="12" fillId="2" borderId="44" xfId="1" applyFont="1" applyFill="1" applyBorder="1" applyAlignment="1">
      <alignment horizontal="center" vertical="center" textRotation="45"/>
    </xf>
    <xf numFmtId="0" fontId="48" fillId="0" borderId="65" xfId="1" applyFont="1" applyBorder="1" applyAlignment="1">
      <alignment horizontal="center"/>
    </xf>
    <xf numFmtId="0" fontId="48" fillId="0" borderId="66" xfId="1" applyFont="1" applyBorder="1" applyAlignment="1">
      <alignment horizontal="center"/>
    </xf>
    <xf numFmtId="0" fontId="48" fillId="0" borderId="67" xfId="1" applyFont="1" applyBorder="1" applyAlignment="1">
      <alignment horizontal="center"/>
    </xf>
    <xf numFmtId="0" fontId="12" fillId="2" borderId="43" xfId="1" applyFont="1" applyFill="1" applyBorder="1" applyAlignment="1">
      <alignment horizontal="center" vertical="center" textRotation="1"/>
    </xf>
    <xf numFmtId="0" fontId="12" fillId="2" borderId="45" xfId="1" applyFont="1" applyFill="1" applyBorder="1" applyAlignment="1">
      <alignment horizontal="center" vertical="center" textRotation="1"/>
    </xf>
    <xf numFmtId="0" fontId="0" fillId="0" borderId="43" xfId="1" applyFont="1" applyBorder="1" applyAlignment="1">
      <alignment horizontal="center" vertical="center"/>
    </xf>
    <xf numFmtId="0" fontId="0" fillId="0" borderId="45" xfId="1" applyFont="1" applyBorder="1" applyAlignment="1">
      <alignment horizontal="center" vertical="center"/>
    </xf>
    <xf numFmtId="164" fontId="40" fillId="0" borderId="46" xfId="1" applyNumberFormat="1" applyFont="1" applyBorder="1" applyAlignment="1">
      <alignment horizontal="center" vertical="center"/>
    </xf>
    <xf numFmtId="164" fontId="40" fillId="0" borderId="47" xfId="1" applyNumberFormat="1" applyFont="1" applyBorder="1" applyAlignment="1">
      <alignment horizontal="center" vertical="center"/>
    </xf>
    <xf numFmtId="0" fontId="0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32" fillId="0" borderId="17" xfId="0" applyFont="1" applyBorder="1" applyAlignment="1">
      <alignment horizontal="center" vertical="center" textRotation="45"/>
    </xf>
    <xf numFmtId="0" fontId="32" fillId="0" borderId="22" xfId="0" applyFont="1" applyBorder="1" applyAlignment="1">
      <alignment horizontal="center" vertical="center" textRotation="45"/>
    </xf>
    <xf numFmtId="0" fontId="32" fillId="0" borderId="13" xfId="0" applyFont="1" applyBorder="1" applyAlignment="1">
      <alignment horizontal="center" vertical="center" textRotation="45"/>
    </xf>
    <xf numFmtId="0" fontId="32" fillId="0" borderId="15" xfId="0" applyFont="1" applyBorder="1" applyAlignment="1">
      <alignment horizontal="center" vertical="center" textRotation="45"/>
    </xf>
    <xf numFmtId="0" fontId="10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34" fillId="0" borderId="16" xfId="0" applyFont="1" applyBorder="1" applyAlignment="1">
      <alignment vertical="center"/>
    </xf>
    <xf numFmtId="0" fontId="34" fillId="0" borderId="21" xfId="0" applyFont="1" applyBorder="1" applyAlignment="1">
      <alignment vertical="center"/>
    </xf>
    <xf numFmtId="0" fontId="34" fillId="0" borderId="18" xfId="0" applyFont="1" applyBorder="1" applyAlignment="1">
      <alignment horizontal="center" vertical="center"/>
    </xf>
    <xf numFmtId="0" fontId="34" fillId="0" borderId="4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top"/>
    </xf>
    <xf numFmtId="0" fontId="34" fillId="0" borderId="20" xfId="0" applyFont="1" applyBorder="1" applyAlignment="1">
      <alignment horizontal="center" vertical="top"/>
    </xf>
    <xf numFmtId="0" fontId="34" fillId="0" borderId="35" xfId="0" applyFont="1" applyBorder="1" applyAlignment="1">
      <alignment horizontal="center" vertical="top"/>
    </xf>
    <xf numFmtId="0" fontId="39" fillId="0" borderId="26" xfId="0" applyFont="1" applyBorder="1" applyAlignment="1">
      <alignment horizontal="center"/>
    </xf>
    <xf numFmtId="0" fontId="39" fillId="0" borderId="36" xfId="0" applyFont="1" applyBorder="1" applyAlignment="1">
      <alignment horizontal="center"/>
    </xf>
    <xf numFmtId="0" fontId="39" fillId="0" borderId="27" xfId="0" applyFont="1" applyBorder="1" applyAlignment="1">
      <alignment horizontal="center"/>
    </xf>
    <xf numFmtId="0" fontId="22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0" fillId="0" borderId="37" xfId="0" applyFont="1" applyBorder="1" applyAlignment="1">
      <alignment horizontal="right"/>
    </xf>
  </cellXfs>
  <cellStyles count="5">
    <cellStyle name="Normal" xfId="0" builtinId="0"/>
    <cellStyle name="Normal 2" xfId="2"/>
    <cellStyle name="Normal 2 2" xfId="3"/>
    <cellStyle name="Normal 2 2 2" xfId="4"/>
    <cellStyle name="Normal 8" xfId="1"/>
  </cellStyles>
  <dxfs count="268"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color rgb="FF0000FF"/>
      </font>
    </dxf>
    <dxf>
      <font>
        <b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color rgb="FF0000FF"/>
      </font>
    </dxf>
    <dxf>
      <font>
        <b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40900</xdr:colOff>
      <xdr:row>0</xdr:row>
      <xdr:rowOff>343460</xdr:rowOff>
    </xdr:from>
    <xdr:to>
      <xdr:col>13</xdr:col>
      <xdr:colOff>745750</xdr:colOff>
      <xdr:row>0</xdr:row>
      <xdr:rowOff>343460</xdr:rowOff>
    </xdr:to>
    <xdr:cxnSp macro="">
      <xdr:nvCxnSpPr>
        <xdr:cNvPr id="3" name="Conexão recta 2"/>
        <xdr:cNvCxnSpPr/>
      </xdr:nvCxnSpPr>
      <xdr:spPr>
        <a:xfrm>
          <a:off x="40900" y="343460"/>
          <a:ext cx="7124700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57150</xdr:colOff>
      <xdr:row>0</xdr:row>
      <xdr:rowOff>0</xdr:rowOff>
    </xdr:from>
    <xdr:to>
      <xdr:col>1</xdr:col>
      <xdr:colOff>577850</xdr:colOff>
      <xdr:row>0</xdr:row>
      <xdr:rowOff>304800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825500" cy="304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40900</xdr:colOff>
      <xdr:row>0</xdr:row>
      <xdr:rowOff>343460</xdr:rowOff>
    </xdr:from>
    <xdr:to>
      <xdr:col>13</xdr:col>
      <xdr:colOff>745750</xdr:colOff>
      <xdr:row>0</xdr:row>
      <xdr:rowOff>343460</xdr:rowOff>
    </xdr:to>
    <xdr:cxnSp macro="">
      <xdr:nvCxnSpPr>
        <xdr:cNvPr id="2" name="Conexão recta 2"/>
        <xdr:cNvCxnSpPr/>
      </xdr:nvCxnSpPr>
      <xdr:spPr>
        <a:xfrm>
          <a:off x="40900" y="343460"/>
          <a:ext cx="9353550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57150</xdr:colOff>
      <xdr:row>0</xdr:row>
      <xdr:rowOff>0</xdr:rowOff>
    </xdr:from>
    <xdr:to>
      <xdr:col>1</xdr:col>
      <xdr:colOff>577850</xdr:colOff>
      <xdr:row>0</xdr:row>
      <xdr:rowOff>304800</xdr:rowOff>
    </xdr:to>
    <xdr:pic>
      <xdr:nvPicPr>
        <xdr:cNvPr id="3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833120" cy="304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46</xdr:row>
          <xdr:rowOff>160020</xdr:rowOff>
        </xdr:from>
        <xdr:to>
          <xdr:col>13</xdr:col>
          <xdr:colOff>144780</xdr:colOff>
          <xdr:row>48</xdr:row>
          <xdr:rowOff>22860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19</xdr:col>
      <xdr:colOff>366991</xdr:colOff>
      <xdr:row>0</xdr:row>
      <xdr:rowOff>286310</xdr:rowOff>
    </xdr:to>
    <xdr:cxnSp macro="">
      <xdr:nvCxnSpPr>
        <xdr:cNvPr id="4" name="Conexão recta 7"/>
        <xdr:cNvCxnSpPr/>
      </xdr:nvCxnSpPr>
      <xdr:spPr>
        <a:xfrm>
          <a:off x="40900" y="286310"/>
          <a:ext cx="676499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6" name="Imagem 5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46</xdr:row>
          <xdr:rowOff>160020</xdr:rowOff>
        </xdr:from>
        <xdr:to>
          <xdr:col>13</xdr:col>
          <xdr:colOff>175260</xdr:colOff>
          <xdr:row>48</xdr:row>
          <xdr:rowOff>22860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19</xdr:col>
      <xdr:colOff>366991</xdr:colOff>
      <xdr:row>0</xdr:row>
      <xdr:rowOff>286310</xdr:rowOff>
    </xdr:to>
    <xdr:cxnSp macro="">
      <xdr:nvCxnSpPr>
        <xdr:cNvPr id="4" name="Conexão recta 7"/>
        <xdr:cNvCxnSpPr/>
      </xdr:nvCxnSpPr>
      <xdr:spPr>
        <a:xfrm>
          <a:off x="40900" y="286310"/>
          <a:ext cx="676499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95250</xdr:colOff>
      <xdr:row>0</xdr:row>
      <xdr:rowOff>38100</xdr:rowOff>
    </xdr:from>
    <xdr:to>
      <xdr:col>2</xdr:col>
      <xdr:colOff>377825</xdr:colOff>
      <xdr:row>0</xdr:row>
      <xdr:rowOff>257175</xdr:rowOff>
    </xdr:to>
    <xdr:pic>
      <xdr:nvPicPr>
        <xdr:cNvPr id="5" name="Imagem 4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46</xdr:row>
          <xdr:rowOff>160020</xdr:rowOff>
        </xdr:from>
        <xdr:to>
          <xdr:col>13</xdr:col>
          <xdr:colOff>175260</xdr:colOff>
          <xdr:row>48</xdr:row>
          <xdr:rowOff>22860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19</xdr:col>
      <xdr:colOff>366991</xdr:colOff>
      <xdr:row>0</xdr:row>
      <xdr:rowOff>286310</xdr:rowOff>
    </xdr:to>
    <xdr:cxnSp macro="">
      <xdr:nvCxnSpPr>
        <xdr:cNvPr id="4" name="Conexão recta 7"/>
        <xdr:cNvCxnSpPr/>
      </xdr:nvCxnSpPr>
      <xdr:spPr>
        <a:xfrm>
          <a:off x="40900" y="286310"/>
          <a:ext cx="676499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133349</xdr:colOff>
      <xdr:row>0</xdr:row>
      <xdr:rowOff>38100</xdr:rowOff>
    </xdr:from>
    <xdr:to>
      <xdr:col>2</xdr:col>
      <xdr:colOff>530224</xdr:colOff>
      <xdr:row>0</xdr:row>
      <xdr:rowOff>257175</xdr:rowOff>
    </xdr:to>
    <xdr:pic>
      <xdr:nvPicPr>
        <xdr:cNvPr id="5" name="Imagem 4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49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46</xdr:row>
          <xdr:rowOff>160020</xdr:rowOff>
        </xdr:from>
        <xdr:to>
          <xdr:col>13</xdr:col>
          <xdr:colOff>182880</xdr:colOff>
          <xdr:row>48</xdr:row>
          <xdr:rowOff>22860</xdr:rowOff>
        </xdr:to>
        <xdr:sp macro="" textlink="">
          <xdr:nvSpPr>
            <xdr:cNvPr id="15361" name="Object 1" hidden="1">
              <a:extLst>
                <a:ext uri="{63B3BB69-23CF-44E3-9099-C40C66FF867C}">
                  <a14:compatExt spid="_x0000_s153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19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9460566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133349</xdr:colOff>
      <xdr:row>0</xdr:row>
      <xdr:rowOff>38100</xdr:rowOff>
    </xdr:from>
    <xdr:to>
      <xdr:col>2</xdr:col>
      <xdr:colOff>530224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49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46</xdr:row>
          <xdr:rowOff>160020</xdr:rowOff>
        </xdr:from>
        <xdr:to>
          <xdr:col>8</xdr:col>
          <xdr:colOff>327660</xdr:colOff>
          <xdr:row>48</xdr:row>
          <xdr:rowOff>76200</xdr:rowOff>
        </xdr:to>
        <xdr:sp macro="" textlink="">
          <xdr:nvSpPr>
            <xdr:cNvPr id="14337" name="Object 1" hidden="1">
              <a:extLst>
                <a:ext uri="{63B3BB69-23CF-44E3-9099-C40C66FF867C}">
                  <a14:compatExt spid="_x0000_s143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19</xdr:col>
      <xdr:colOff>366991</xdr:colOff>
      <xdr:row>0</xdr:row>
      <xdr:rowOff>286310</xdr:rowOff>
    </xdr:to>
    <xdr:cxnSp macro="">
      <xdr:nvCxnSpPr>
        <xdr:cNvPr id="4" name="Conexão recta 7"/>
        <xdr:cNvCxnSpPr/>
      </xdr:nvCxnSpPr>
      <xdr:spPr>
        <a:xfrm>
          <a:off x="40900" y="286310"/>
          <a:ext cx="676499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</xdr:colOff>
      <xdr:row>0</xdr:row>
      <xdr:rowOff>38100</xdr:rowOff>
    </xdr:from>
    <xdr:to>
      <xdr:col>2</xdr:col>
      <xdr:colOff>406400</xdr:colOff>
      <xdr:row>0</xdr:row>
      <xdr:rowOff>257175</xdr:rowOff>
    </xdr:to>
    <xdr:pic>
      <xdr:nvPicPr>
        <xdr:cNvPr id="5" name="Imagem 4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46</xdr:row>
          <xdr:rowOff>160020</xdr:rowOff>
        </xdr:from>
        <xdr:to>
          <xdr:col>13</xdr:col>
          <xdr:colOff>182880</xdr:colOff>
          <xdr:row>48</xdr:row>
          <xdr:rowOff>22860</xdr:rowOff>
        </xdr:to>
        <xdr:sp macro="" textlink="">
          <xdr:nvSpPr>
            <xdr:cNvPr id="21505" name="Object 1" hidden="1">
              <a:extLst>
                <a:ext uri="{63B3BB69-23CF-44E3-9099-C40C66FF867C}">
                  <a14:compatExt spid="_x0000_s215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19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9460566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133349</xdr:colOff>
      <xdr:row>0</xdr:row>
      <xdr:rowOff>38100</xdr:rowOff>
    </xdr:from>
    <xdr:to>
      <xdr:col>2</xdr:col>
      <xdr:colOff>530224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49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46</xdr:row>
          <xdr:rowOff>160020</xdr:rowOff>
        </xdr:from>
        <xdr:to>
          <xdr:col>13</xdr:col>
          <xdr:colOff>182880</xdr:colOff>
          <xdr:row>48</xdr:row>
          <xdr:rowOff>22860</xdr:rowOff>
        </xdr:to>
        <xdr:sp macro="" textlink="">
          <xdr:nvSpPr>
            <xdr:cNvPr id="22529" name="Object 1" hidden="1">
              <a:extLst>
                <a:ext uri="{63B3BB69-23CF-44E3-9099-C40C66FF867C}">
                  <a14:compatExt spid="_x0000_s225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19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9460566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133349</xdr:colOff>
      <xdr:row>0</xdr:row>
      <xdr:rowOff>38100</xdr:rowOff>
    </xdr:from>
    <xdr:to>
      <xdr:col>2</xdr:col>
      <xdr:colOff>530224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49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46</xdr:row>
          <xdr:rowOff>160020</xdr:rowOff>
        </xdr:from>
        <xdr:to>
          <xdr:col>13</xdr:col>
          <xdr:colOff>182880</xdr:colOff>
          <xdr:row>48</xdr:row>
          <xdr:rowOff>22860</xdr:rowOff>
        </xdr:to>
        <xdr:sp macro="" textlink="">
          <xdr:nvSpPr>
            <xdr:cNvPr id="23553" name="Object 1" hidden="1">
              <a:extLst>
                <a:ext uri="{63B3BB69-23CF-44E3-9099-C40C66FF867C}">
                  <a14:compatExt spid="_x0000_s235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19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9460566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47625</xdr:colOff>
      <xdr:row>0</xdr:row>
      <xdr:rowOff>28575</xdr:rowOff>
    </xdr:from>
    <xdr:to>
      <xdr:col>2</xdr:col>
      <xdr:colOff>444500</xdr:colOff>
      <xdr:row>0</xdr:row>
      <xdr:rowOff>247650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28575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46</xdr:row>
          <xdr:rowOff>160020</xdr:rowOff>
        </xdr:from>
        <xdr:to>
          <xdr:col>13</xdr:col>
          <xdr:colOff>182880</xdr:colOff>
          <xdr:row>48</xdr:row>
          <xdr:rowOff>22860</xdr:rowOff>
        </xdr:to>
        <xdr:sp macro="" textlink="">
          <xdr:nvSpPr>
            <xdr:cNvPr id="24577" name="Object 1" hidden="1">
              <a:extLst>
                <a:ext uri="{63B3BB69-23CF-44E3-9099-C40C66FF867C}">
                  <a14:compatExt spid="_x0000_s245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19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9460566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47625</xdr:colOff>
      <xdr:row>0</xdr:row>
      <xdr:rowOff>28575</xdr:rowOff>
    </xdr:from>
    <xdr:to>
      <xdr:col>2</xdr:col>
      <xdr:colOff>444500</xdr:colOff>
      <xdr:row>0</xdr:row>
      <xdr:rowOff>247650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28575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46</xdr:row>
          <xdr:rowOff>160020</xdr:rowOff>
        </xdr:from>
        <xdr:to>
          <xdr:col>13</xdr:col>
          <xdr:colOff>175260</xdr:colOff>
          <xdr:row>48</xdr:row>
          <xdr:rowOff>22860</xdr:rowOff>
        </xdr:to>
        <xdr:sp macro="" textlink="">
          <xdr:nvSpPr>
            <xdr:cNvPr id="13313" name="Object 1" hidden="1">
              <a:extLst>
                <a:ext uri="{63B3BB69-23CF-44E3-9099-C40C66FF867C}">
                  <a14:compatExt spid="_x0000_s13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19</xdr:col>
      <xdr:colOff>366991</xdr:colOff>
      <xdr:row>0</xdr:row>
      <xdr:rowOff>286310</xdr:rowOff>
    </xdr:to>
    <xdr:cxnSp macro="">
      <xdr:nvCxnSpPr>
        <xdr:cNvPr id="4" name="Conexão recta 7"/>
        <xdr:cNvCxnSpPr/>
      </xdr:nvCxnSpPr>
      <xdr:spPr>
        <a:xfrm>
          <a:off x="40900" y="286310"/>
          <a:ext cx="676499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47625</xdr:colOff>
      <xdr:row>0</xdr:row>
      <xdr:rowOff>28575</xdr:rowOff>
    </xdr:from>
    <xdr:to>
      <xdr:col>2</xdr:col>
      <xdr:colOff>444500</xdr:colOff>
      <xdr:row>0</xdr:row>
      <xdr:rowOff>247650</xdr:rowOff>
    </xdr:to>
    <xdr:pic>
      <xdr:nvPicPr>
        <xdr:cNvPr id="5" name="Imagem 4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28575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oleObject" Target="../embeddings/Microsoft_Word_97_-_2003_Document.doc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1.doc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2.doc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4.emf"/><Relationship Id="rId4" Type="http://schemas.openxmlformats.org/officeDocument/2006/relationships/oleObject" Target="../embeddings/Microsoft_Word_97_-_2003_Document3.doc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5.emf"/><Relationship Id="rId4" Type="http://schemas.openxmlformats.org/officeDocument/2006/relationships/oleObject" Target="../embeddings/Microsoft_Word_97_-_2003_Document4.doc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6.emf"/><Relationship Id="rId4" Type="http://schemas.openxmlformats.org/officeDocument/2006/relationships/oleObject" Target="../embeddings/Microsoft_Word_97_-_2003_Document5.doc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7.emf"/><Relationship Id="rId4" Type="http://schemas.openxmlformats.org/officeDocument/2006/relationships/oleObject" Target="../embeddings/Microsoft_Word_97_-_2003_Document6.doc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8.emf"/><Relationship Id="rId4" Type="http://schemas.openxmlformats.org/officeDocument/2006/relationships/oleObject" Target="../embeddings/Microsoft_Word_97_-_2003_Document7.doc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5" Type="http://schemas.openxmlformats.org/officeDocument/2006/relationships/image" Target="../media/image9.emf"/><Relationship Id="rId4" Type="http://schemas.openxmlformats.org/officeDocument/2006/relationships/oleObject" Target="../embeddings/Microsoft_Word_97_-_2003_Document8.doc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5" Type="http://schemas.openxmlformats.org/officeDocument/2006/relationships/image" Target="../media/image10.emf"/><Relationship Id="rId4" Type="http://schemas.openxmlformats.org/officeDocument/2006/relationships/oleObject" Target="../embeddings/Microsoft_Word_97_-_2003_Document9.doc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Y57"/>
  <sheetViews>
    <sheetView showGridLines="0" zoomScale="85" zoomScaleNormal="85" zoomScalePageLayoutView="80" workbookViewId="0">
      <selection activeCell="O36" sqref="O36"/>
    </sheetView>
  </sheetViews>
  <sheetFormatPr defaultColWidth="9.109375" defaultRowHeight="14.4" x14ac:dyDescent="0.3"/>
  <cols>
    <col min="1" max="1" width="4.5546875" style="1" customWidth="1"/>
    <col min="2" max="2" width="9.33203125" style="1" customWidth="1"/>
    <col min="3" max="3" width="33.6640625" style="1" customWidth="1"/>
    <col min="4" max="4" width="10.109375" style="1" customWidth="1"/>
    <col min="5" max="7" width="7.109375" style="1" customWidth="1"/>
    <col min="8" max="8" width="8" style="1" customWidth="1"/>
    <col min="9" max="9" width="9.33203125" style="1" customWidth="1"/>
    <col min="10" max="10" width="8.44140625" style="1" customWidth="1"/>
    <col min="11" max="13" width="7.109375" style="1" customWidth="1"/>
    <col min="14" max="14" width="13.33203125" style="1" customWidth="1"/>
    <col min="15" max="15" width="7.33203125" style="1" customWidth="1"/>
    <col min="16" max="18" width="9.109375" style="1"/>
    <col min="19" max="24" width="9.44140625" style="1" bestFit="1" customWidth="1"/>
    <col min="25" max="16384" width="9.109375" style="1"/>
  </cols>
  <sheetData>
    <row r="1" spans="1:24" ht="36" customHeight="1" x14ac:dyDescent="0.3">
      <c r="A1" s="211" t="s">
        <v>42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49"/>
    </row>
    <row r="2" spans="1:24" ht="9.6" customHeight="1" x14ac:dyDescent="0.3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24" ht="9.6" customHeight="1" x14ac:dyDescent="0.3">
      <c r="A3" s="4"/>
      <c r="B3" s="4"/>
      <c r="C3" s="5" t="s"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24" ht="11.4" customHeight="1" x14ac:dyDescent="0.3">
      <c r="A4" s="7"/>
      <c r="B4" s="7"/>
      <c r="C4" s="8" t="s">
        <v>30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24" ht="8.25" customHeight="1" x14ac:dyDescent="0.3">
      <c r="A5" s="7"/>
      <c r="B5" s="7"/>
      <c r="C5" s="9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24" ht="12.75" customHeight="1" x14ac:dyDescent="0.3">
      <c r="A6" s="7"/>
      <c r="B6" s="7"/>
      <c r="C6" s="10" t="s">
        <v>11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24" ht="31.5" customHeight="1" x14ac:dyDescent="0.3">
      <c r="A7" s="7"/>
      <c r="B7" s="7"/>
      <c r="C7" s="10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24" ht="24" customHeight="1" x14ac:dyDescent="0.35">
      <c r="A8" s="212" t="s">
        <v>73</v>
      </c>
      <c r="B8" s="213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5"/>
      <c r="O8" s="50"/>
      <c r="Q8" s="27"/>
      <c r="R8" s="27"/>
      <c r="S8" s="27"/>
      <c r="T8" s="27"/>
      <c r="U8" s="27"/>
    </row>
    <row r="9" spans="1:24" ht="28.5" customHeight="1" thickBot="1" x14ac:dyDescent="0.45">
      <c r="A9" s="224" t="s">
        <v>72</v>
      </c>
      <c r="B9" s="225"/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6"/>
      <c r="O9" s="126"/>
      <c r="Q9" s="27"/>
      <c r="R9" s="27"/>
      <c r="S9" s="27"/>
      <c r="T9" s="27"/>
      <c r="U9" s="27"/>
    </row>
    <row r="10" spans="1:24" ht="12.75" customHeight="1" x14ac:dyDescent="0.3">
      <c r="A10" s="216" t="s">
        <v>24</v>
      </c>
      <c r="B10" s="216" t="s">
        <v>25</v>
      </c>
      <c r="C10" s="216" t="s">
        <v>1</v>
      </c>
      <c r="D10" s="219" t="s">
        <v>2</v>
      </c>
      <c r="E10" s="220"/>
      <c r="F10" s="220"/>
      <c r="G10" s="220"/>
      <c r="H10" s="220"/>
      <c r="I10" s="220"/>
      <c r="J10" s="220"/>
      <c r="K10" s="220"/>
      <c r="L10" s="220"/>
      <c r="M10" s="221"/>
      <c r="N10" s="222" t="s">
        <v>3</v>
      </c>
      <c r="O10" s="227" t="s">
        <v>46</v>
      </c>
      <c r="P10" s="58"/>
      <c r="Q10" s="236" t="s">
        <v>31</v>
      </c>
      <c r="R10" s="236"/>
      <c r="S10" s="236"/>
      <c r="T10" s="236"/>
      <c r="U10" s="236"/>
      <c r="V10" s="236"/>
      <c r="W10" s="236"/>
      <c r="X10" s="236"/>
    </row>
    <row r="11" spans="1:24" ht="22.8" thickBot="1" x14ac:dyDescent="0.35">
      <c r="A11" s="217"/>
      <c r="B11" s="218"/>
      <c r="C11" s="218"/>
      <c r="D11" s="153" t="s">
        <v>63</v>
      </c>
      <c r="E11" s="154" t="s">
        <v>58</v>
      </c>
      <c r="F11" s="154" t="s">
        <v>59</v>
      </c>
      <c r="G11" s="154" t="s">
        <v>60</v>
      </c>
      <c r="H11" s="158" t="s">
        <v>61</v>
      </c>
      <c r="I11" s="155" t="s">
        <v>74</v>
      </c>
      <c r="J11" s="155" t="s">
        <v>75</v>
      </c>
      <c r="K11" s="155" t="s">
        <v>76</v>
      </c>
      <c r="L11" s="155" t="s">
        <v>77</v>
      </c>
      <c r="M11" s="156" t="s">
        <v>62</v>
      </c>
      <c r="N11" s="223"/>
      <c r="O11" s="228"/>
      <c r="P11" s="59" t="s">
        <v>4</v>
      </c>
      <c r="Q11" s="236" t="s">
        <v>32</v>
      </c>
      <c r="R11" s="236"/>
      <c r="S11" s="237" t="s">
        <v>7</v>
      </c>
      <c r="T11" s="237"/>
      <c r="U11" s="238" t="s">
        <v>8</v>
      </c>
      <c r="V11" s="238"/>
      <c r="W11" s="239" t="s">
        <v>33</v>
      </c>
      <c r="X11" s="239"/>
    </row>
    <row r="12" spans="1:24" ht="18" customHeight="1" thickTop="1" thickBot="1" x14ac:dyDescent="0.35">
      <c r="A12" s="45">
        <v>1</v>
      </c>
      <c r="B12" s="114">
        <v>4570</v>
      </c>
      <c r="C12" s="118" t="s">
        <v>79</v>
      </c>
      <c r="D12" s="82">
        <f>SUM('10ªCEJ-U-L PORT'!H9)</f>
        <v>11.25</v>
      </c>
      <c r="E12" s="83">
        <f>SUM('10ªCEJ-U-INGLES'!H9)</f>
        <v>4</v>
      </c>
      <c r="F12" s="83">
        <f>SUM('10ªCEJ-U-MAT'!H9)</f>
        <v>10.25</v>
      </c>
      <c r="G12" s="83">
        <f>SUM('10ªCEJ-U-INFOR'!H9)</f>
        <v>15.5</v>
      </c>
      <c r="H12" s="83">
        <f>SUM('10ªCEJ-U-ED. FIS'!H9)</f>
        <v>14</v>
      </c>
      <c r="I12" s="83">
        <f>SUM('10ªCEJ-U-INT. DTO'!H9)</f>
        <v>9.5</v>
      </c>
      <c r="J12" s="83">
        <f>SUM('10ªCEJ-U-INT. ECO'!H9)</f>
        <v>17</v>
      </c>
      <c r="K12" s="83">
        <f>SUM('10ªCEJ-U-HIST.'!H9)</f>
        <v>14.5</v>
      </c>
      <c r="L12" s="83">
        <f>SUM('10ªCEJ-U-GEO'!H9)</f>
        <v>16.5</v>
      </c>
      <c r="M12" s="84">
        <f>SUM('10ªCEJ-U-EMPREEND'!H9)</f>
        <v>17</v>
      </c>
      <c r="N12" s="69" t="s">
        <v>8</v>
      </c>
      <c r="O12" s="55">
        <f t="shared" ref="O12:O46" si="0">AVERAGE(D12:M12)</f>
        <v>12.95</v>
      </c>
      <c r="P12" s="111" t="s">
        <v>6</v>
      </c>
      <c r="Q12" s="47" t="s">
        <v>5</v>
      </c>
      <c r="R12" s="26" t="s">
        <v>6</v>
      </c>
      <c r="S12" s="28" t="s">
        <v>5</v>
      </c>
      <c r="T12" s="28" t="s">
        <v>6</v>
      </c>
      <c r="U12" s="28" t="s">
        <v>5</v>
      </c>
      <c r="V12" s="28" t="s">
        <v>6</v>
      </c>
      <c r="W12" s="28" t="s">
        <v>5</v>
      </c>
      <c r="X12" s="28" t="s">
        <v>6</v>
      </c>
    </row>
    <row r="13" spans="1:24" ht="18" customHeight="1" thickBot="1" x14ac:dyDescent="0.35">
      <c r="A13" s="46">
        <v>2</v>
      </c>
      <c r="B13" s="116">
        <v>306</v>
      </c>
      <c r="C13" s="120" t="s">
        <v>80</v>
      </c>
      <c r="D13" s="85">
        <f>SUM('10ªCEJ-U-L PORT'!H10)</f>
        <v>8.75</v>
      </c>
      <c r="E13" s="86">
        <f>SUM('10ªCEJ-U-INGLES'!H10)</f>
        <v>4.5</v>
      </c>
      <c r="F13" s="86">
        <f>SUM('10ªCEJ-U-MAT'!H10)</f>
        <v>0</v>
      </c>
      <c r="G13" s="86">
        <f>SUM('10ªCEJ-U-INFOR'!H10)</f>
        <v>0</v>
      </c>
      <c r="H13" s="86">
        <f>SUM('10ªCEJ-U-ED. FIS'!H10)</f>
        <v>0</v>
      </c>
      <c r="I13" s="86">
        <f>SUM('10ªCEJ-U-INT. DTO'!H10)</f>
        <v>6.5</v>
      </c>
      <c r="J13" s="86">
        <f>SUM('10ªCEJ-U-INT. ECO'!H10)</f>
        <v>9</v>
      </c>
      <c r="K13" s="86">
        <f>SUM('10ªCEJ-U-HIST.'!H10)</f>
        <v>4.5</v>
      </c>
      <c r="L13" s="86">
        <f>SUM('10ªCEJ-U-GEO'!H10)</f>
        <v>6.5</v>
      </c>
      <c r="M13" s="87">
        <f>SUM('10ªCEJ-U-EMPREEND'!H10)</f>
        <v>0</v>
      </c>
      <c r="N13" s="95" t="s">
        <v>8</v>
      </c>
      <c r="O13" s="56">
        <f t="shared" si="0"/>
        <v>3.9750000000000001</v>
      </c>
      <c r="P13" s="113" t="s">
        <v>5</v>
      </c>
      <c r="Q13" s="48">
        <f>COUNTIF(P12:P49,"M")</f>
        <v>17</v>
      </c>
      <c r="R13" s="29">
        <f>COUNTIF(P12:P49,"F")</f>
        <v>21</v>
      </c>
      <c r="S13" s="30">
        <f>COUNTIFS(N12:N49,"Transita",P12:P49,"M")</f>
        <v>1</v>
      </c>
      <c r="T13" s="30">
        <f>COUNTIFS(N12:N49,"Transita",P12:P49,"F")</f>
        <v>2</v>
      </c>
      <c r="U13" s="30">
        <f>COUNTIFS(N12:N49,"N/Transita",P12:P49,"M")</f>
        <v>11</v>
      </c>
      <c r="V13" s="30">
        <f>COUNTIFS(N12:N49,"N/Transita",P12:P49,"F")</f>
        <v>16</v>
      </c>
      <c r="W13" s="30">
        <f>COUNTIFS(N12:N49,"DESISTIDO",P12:P49,"M")</f>
        <v>5</v>
      </c>
      <c r="X13" s="30">
        <f>COUNTIFS(N12:N49,"DESISTIDA",P12:P49,"F")</f>
        <v>3</v>
      </c>
    </row>
    <row r="14" spans="1:24" ht="18" customHeight="1" thickBot="1" x14ac:dyDescent="0.35">
      <c r="A14" s="46">
        <v>3</v>
      </c>
      <c r="B14" s="115">
        <v>4536</v>
      </c>
      <c r="C14" s="119" t="s">
        <v>81</v>
      </c>
      <c r="D14" s="85">
        <f>SUM('10ªCEJ-U-L PORT'!H11)</f>
        <v>0</v>
      </c>
      <c r="E14" s="86">
        <f>SUM('10ªCEJ-U-INGLES'!H11)</f>
        <v>0</v>
      </c>
      <c r="F14" s="86">
        <f>SUM('10ªCEJ-U-MAT'!H11)</f>
        <v>0</v>
      </c>
      <c r="G14" s="86">
        <f>SUM('10ªCEJ-U-INFOR'!H11)</f>
        <v>0</v>
      </c>
      <c r="H14" s="86">
        <f>SUM('10ªCEJ-U-ED. FIS'!H11)</f>
        <v>0</v>
      </c>
      <c r="I14" s="86">
        <f>SUM('10ªCEJ-U-INT. DTO'!H11)</f>
        <v>0</v>
      </c>
      <c r="J14" s="86">
        <f>SUM('10ªCEJ-U-INT. ECO'!H11)</f>
        <v>0</v>
      </c>
      <c r="K14" s="86">
        <f>SUM('10ªCEJ-U-HIST.'!H11)</f>
        <v>0</v>
      </c>
      <c r="L14" s="86">
        <f>SUM('10ªCEJ-U-GEO'!H11)</f>
        <v>0</v>
      </c>
      <c r="M14" s="87">
        <f>SUM('10ªCEJ-U-EMPREEND'!H11)</f>
        <v>0</v>
      </c>
      <c r="N14" s="95" t="s">
        <v>117</v>
      </c>
      <c r="O14" s="56">
        <f t="shared" si="0"/>
        <v>0</v>
      </c>
      <c r="P14" s="112" t="s">
        <v>5</v>
      </c>
      <c r="Q14" s="240">
        <f>SUM(Q13:R13)</f>
        <v>38</v>
      </c>
      <c r="R14" s="235"/>
      <c r="S14" s="241">
        <f t="shared" ref="S14" si="1">SUM(S12:T13)</f>
        <v>3</v>
      </c>
      <c r="T14" s="241"/>
      <c r="U14" s="235">
        <f t="shared" ref="U14:W14" si="2">SUM(U12:V13)</f>
        <v>27</v>
      </c>
      <c r="V14" s="235"/>
      <c r="W14" s="235">
        <f t="shared" si="2"/>
        <v>8</v>
      </c>
      <c r="X14" s="235"/>
    </row>
    <row r="15" spans="1:24" ht="18" customHeight="1" thickBot="1" x14ac:dyDescent="0.35">
      <c r="A15" s="46">
        <v>4</v>
      </c>
      <c r="B15" s="115">
        <v>4534</v>
      </c>
      <c r="C15" s="119" t="s">
        <v>82</v>
      </c>
      <c r="D15" s="85">
        <f>SUM('10ªCEJ-U-L PORT'!H12)</f>
        <v>10.5</v>
      </c>
      <c r="E15" s="86">
        <f>SUM('10ªCEJ-U-INGLES'!H12)</f>
        <v>11</v>
      </c>
      <c r="F15" s="86">
        <f>SUM('10ªCEJ-U-MAT'!H12)</f>
        <v>7</v>
      </c>
      <c r="G15" s="86">
        <f>SUM('10ªCEJ-U-INFOR'!H12)</f>
        <v>11</v>
      </c>
      <c r="H15" s="86">
        <f>SUM('10ªCEJ-U-ED. FIS'!H12)</f>
        <v>15</v>
      </c>
      <c r="I15" s="86">
        <f>SUM('10ªCEJ-U-INT. DTO'!H12)</f>
        <v>0</v>
      </c>
      <c r="J15" s="86">
        <f>SUM('10ªCEJ-U-INT. ECO'!H12)</f>
        <v>15.5</v>
      </c>
      <c r="K15" s="86">
        <f>SUM('10ªCEJ-U-HIST.'!H12)</f>
        <v>13</v>
      </c>
      <c r="L15" s="86">
        <f>SUM('10ªCEJ-U-GEO'!H12)</f>
        <v>12.5</v>
      </c>
      <c r="M15" s="87">
        <f>SUM('10ªCEJ-U-EMPREEND'!H12)</f>
        <v>8.5</v>
      </c>
      <c r="N15" s="95" t="s">
        <v>8</v>
      </c>
      <c r="O15" s="56">
        <f t="shared" si="0"/>
        <v>10.4</v>
      </c>
      <c r="P15" s="112" t="s">
        <v>6</v>
      </c>
    </row>
    <row r="16" spans="1:24" ht="18" customHeight="1" thickBot="1" x14ac:dyDescent="0.35">
      <c r="A16" s="46">
        <v>5</v>
      </c>
      <c r="B16" s="116">
        <v>4748</v>
      </c>
      <c r="C16" s="120" t="s">
        <v>83</v>
      </c>
      <c r="D16" s="85">
        <f>SUM('10ªCEJ-U-L PORT'!H13)</f>
        <v>8.5</v>
      </c>
      <c r="E16" s="86">
        <f>SUM('10ªCEJ-U-INGLES'!H13)</f>
        <v>2</v>
      </c>
      <c r="F16" s="86">
        <f>SUM('10ªCEJ-U-MAT'!H13)</f>
        <v>5</v>
      </c>
      <c r="G16" s="86">
        <f>SUM('10ªCEJ-U-INFOR'!H13)</f>
        <v>10.75</v>
      </c>
      <c r="H16" s="86">
        <f>SUM('10ªCEJ-U-ED. FIS'!H13)</f>
        <v>0</v>
      </c>
      <c r="I16" s="86">
        <f>SUM('10ªCEJ-U-INT. DTO'!H13)</f>
        <v>0</v>
      </c>
      <c r="J16" s="86">
        <f>SUM('10ªCEJ-U-INT. ECO'!H13)</f>
        <v>14.5</v>
      </c>
      <c r="K16" s="86">
        <f>SUM('10ªCEJ-U-HIST.'!H13)</f>
        <v>9</v>
      </c>
      <c r="L16" s="86">
        <f>SUM('10ªCEJ-U-GEO'!H13)</f>
        <v>10</v>
      </c>
      <c r="M16" s="87">
        <f>SUM('10ªCEJ-U-EMPREEND'!H13)</f>
        <v>13</v>
      </c>
      <c r="N16" s="95" t="s">
        <v>8</v>
      </c>
      <c r="O16" s="56">
        <f t="shared" si="0"/>
        <v>7.2750000000000004</v>
      </c>
      <c r="P16" s="113" t="s">
        <v>6</v>
      </c>
    </row>
    <row r="17" spans="1:25" ht="18" customHeight="1" thickBot="1" x14ac:dyDescent="0.35">
      <c r="A17" s="46">
        <v>6</v>
      </c>
      <c r="B17" s="115">
        <v>4587</v>
      </c>
      <c r="C17" s="119" t="s">
        <v>84</v>
      </c>
      <c r="D17" s="85">
        <f>SUM('10ªCEJ-U-L PORT'!H14)</f>
        <v>7.25</v>
      </c>
      <c r="E17" s="86">
        <f>SUM('10ªCEJ-U-INGLES'!H14)</f>
        <v>0</v>
      </c>
      <c r="F17" s="86">
        <f>SUM('10ªCEJ-U-MAT'!H14)</f>
        <v>0</v>
      </c>
      <c r="G17" s="86">
        <f>SUM('10ªCEJ-U-INFOR'!H14)</f>
        <v>10.5</v>
      </c>
      <c r="H17" s="86">
        <f>SUM('10ªCEJ-U-ED. FIS'!H14)</f>
        <v>10</v>
      </c>
      <c r="I17" s="86">
        <f>SUM('10ªCEJ-U-INT. DTO'!H14)</f>
        <v>0</v>
      </c>
      <c r="J17" s="86">
        <f>SUM('10ªCEJ-U-INT. ECO'!H14)</f>
        <v>8</v>
      </c>
      <c r="K17" s="86">
        <f>SUM('10ªCEJ-U-HIST.'!H14)</f>
        <v>11</v>
      </c>
      <c r="L17" s="86">
        <f>SUM('10ªCEJ-U-GEO'!H14)</f>
        <v>10</v>
      </c>
      <c r="M17" s="87">
        <f>SUM('10ªCEJ-U-EMPREEND'!H14)</f>
        <v>10.5</v>
      </c>
      <c r="N17" s="95" t="s">
        <v>8</v>
      </c>
      <c r="O17" s="56">
        <f t="shared" si="0"/>
        <v>6.7249999999999996</v>
      </c>
      <c r="P17" s="112" t="s">
        <v>6</v>
      </c>
      <c r="R17" s="229" t="s">
        <v>47</v>
      </c>
      <c r="S17" s="231">
        <f>MAX(O12:O50)</f>
        <v>15.95</v>
      </c>
    </row>
    <row r="18" spans="1:25" ht="18" customHeight="1" thickBot="1" x14ac:dyDescent="0.35">
      <c r="A18" s="46">
        <v>7</v>
      </c>
      <c r="B18" s="115">
        <v>3480</v>
      </c>
      <c r="C18" s="119" t="s">
        <v>85</v>
      </c>
      <c r="D18" s="85">
        <f>SUM('10ªCEJ-U-L PORT'!H15)</f>
        <v>13</v>
      </c>
      <c r="E18" s="86">
        <f>SUM('10ªCEJ-U-INGLES'!H15)</f>
        <v>13.5</v>
      </c>
      <c r="F18" s="86">
        <f>SUM('10ªCEJ-U-MAT'!H15)</f>
        <v>13</v>
      </c>
      <c r="G18" s="86">
        <f>SUM('10ªCEJ-U-INFOR'!H15)</f>
        <v>14</v>
      </c>
      <c r="H18" s="86">
        <f>SUM('10ªCEJ-U-ED. FIS'!H15)</f>
        <v>17</v>
      </c>
      <c r="I18" s="86">
        <f>SUM('10ªCEJ-U-INT. DTO'!H15)</f>
        <v>9.5</v>
      </c>
      <c r="J18" s="86">
        <f>SUM('10ªCEJ-U-INT. ECO'!H15)</f>
        <v>15.5</v>
      </c>
      <c r="K18" s="86">
        <f>SUM('10ªCEJ-U-HIST.'!H15)</f>
        <v>15.5</v>
      </c>
      <c r="L18" s="86">
        <f>SUM('10ªCEJ-U-GEO'!H15)</f>
        <v>16</v>
      </c>
      <c r="M18" s="87">
        <f>SUM('10ªCEJ-U-EMPREEND'!H15)</f>
        <v>17</v>
      </c>
      <c r="N18" s="95" t="s">
        <v>7</v>
      </c>
      <c r="O18" s="56">
        <f t="shared" si="0"/>
        <v>14.4</v>
      </c>
      <c r="P18" s="112" t="s">
        <v>6</v>
      </c>
      <c r="R18" s="230"/>
      <c r="S18" s="232"/>
    </row>
    <row r="19" spans="1:25" ht="18" customHeight="1" thickBot="1" x14ac:dyDescent="0.35">
      <c r="A19" s="46">
        <v>8</v>
      </c>
      <c r="B19" s="116">
        <v>4752</v>
      </c>
      <c r="C19" s="120" t="s">
        <v>86</v>
      </c>
      <c r="D19" s="85">
        <f>SUM('10ªCEJ-U-L PORT'!H16)</f>
        <v>8.25</v>
      </c>
      <c r="E19" s="86">
        <f>SUM('10ªCEJ-U-INGLES'!H16)</f>
        <v>3</v>
      </c>
      <c r="F19" s="86">
        <f>SUM('10ªCEJ-U-MAT'!H16)</f>
        <v>5.5</v>
      </c>
      <c r="G19" s="86">
        <f>SUM('10ªCEJ-U-INFOR'!H16)</f>
        <v>7.75</v>
      </c>
      <c r="H19" s="86">
        <f>SUM('10ªCEJ-U-ED. FIS'!H16)</f>
        <v>15</v>
      </c>
      <c r="I19" s="86">
        <f>SUM('10ªCEJ-U-INT. DTO'!H16)</f>
        <v>11</v>
      </c>
      <c r="J19" s="86">
        <f>SUM('10ªCEJ-U-INT. ECO'!H16)</f>
        <v>18</v>
      </c>
      <c r="K19" s="86">
        <f>SUM('10ªCEJ-U-HIST.'!H16)</f>
        <v>12.5</v>
      </c>
      <c r="L19" s="86">
        <f>SUM('10ªCEJ-U-GEO'!H16)</f>
        <v>9</v>
      </c>
      <c r="M19" s="87">
        <f>SUM('10ªCEJ-U-EMPREEND'!H16)</f>
        <v>11.5</v>
      </c>
      <c r="N19" s="95" t="s">
        <v>8</v>
      </c>
      <c r="O19" s="56">
        <f t="shared" si="0"/>
        <v>10.15</v>
      </c>
      <c r="P19" s="113" t="s">
        <v>6</v>
      </c>
      <c r="R19" s="233" t="s">
        <v>48</v>
      </c>
      <c r="S19" s="233"/>
      <c r="T19" s="233"/>
      <c r="U19" s="234" t="s">
        <v>51</v>
      </c>
      <c r="V19" s="234"/>
      <c r="W19" s="234"/>
      <c r="X19" s="234"/>
      <c r="Y19" s="234"/>
    </row>
    <row r="20" spans="1:25" ht="18" customHeight="1" thickBot="1" x14ac:dyDescent="0.35">
      <c r="A20" s="46">
        <v>9</v>
      </c>
      <c r="B20" s="115">
        <v>4640</v>
      </c>
      <c r="C20" s="119" t="s">
        <v>87</v>
      </c>
      <c r="D20" s="85">
        <f>SUM('10ªCEJ-U-L PORT'!H17)</f>
        <v>14</v>
      </c>
      <c r="E20" s="86">
        <f>SUM('10ªCEJ-U-INGLES'!H17)</f>
        <v>10.5</v>
      </c>
      <c r="F20" s="86">
        <f>SUM('10ªCEJ-U-MAT'!H17)</f>
        <v>12.5</v>
      </c>
      <c r="G20" s="86">
        <f>SUM('10ªCEJ-U-INFOR'!H17)</f>
        <v>15</v>
      </c>
      <c r="H20" s="86">
        <f>SUM('10ªCEJ-U-ED. FIS'!H17)</f>
        <v>16</v>
      </c>
      <c r="I20" s="86">
        <f>SUM('10ªCEJ-U-INT. DTO'!H17)</f>
        <v>0</v>
      </c>
      <c r="J20" s="86">
        <f>SUM('10ªCEJ-U-INT. ECO'!H17)</f>
        <v>11.5</v>
      </c>
      <c r="K20" s="86">
        <f>SUM('10ªCEJ-U-HIST.'!H17)</f>
        <v>17</v>
      </c>
      <c r="L20" s="86">
        <f>SUM('10ªCEJ-U-GEO'!H17)</f>
        <v>14.5</v>
      </c>
      <c r="M20" s="87">
        <f>SUM('10ªCEJ-U-EMPREEND'!H17)</f>
        <v>16.5</v>
      </c>
      <c r="N20" s="95" t="s">
        <v>8</v>
      </c>
      <c r="O20" s="56">
        <f t="shared" si="0"/>
        <v>12.75</v>
      </c>
      <c r="P20" s="112" t="s">
        <v>6</v>
      </c>
      <c r="R20" s="203" t="s">
        <v>49</v>
      </c>
      <c r="S20" s="100">
        <v>12</v>
      </c>
      <c r="T20" s="80"/>
      <c r="U20" s="81"/>
      <c r="V20" s="81"/>
      <c r="W20" s="81"/>
      <c r="X20" s="81"/>
      <c r="Y20" s="81"/>
    </row>
    <row r="21" spans="1:25" ht="18" customHeight="1" thickBot="1" x14ac:dyDescent="0.35">
      <c r="A21" s="46">
        <v>10</v>
      </c>
      <c r="B21" s="116">
        <v>4777</v>
      </c>
      <c r="C21" s="120" t="s">
        <v>88</v>
      </c>
      <c r="D21" s="85">
        <f>SUM('10ªCEJ-U-L PORT'!H18)</f>
        <v>9.25</v>
      </c>
      <c r="E21" s="86">
        <f>SUM('10ªCEJ-U-INGLES'!H18)</f>
        <v>0</v>
      </c>
      <c r="F21" s="86">
        <f>SUM('10ªCEJ-U-MAT'!H18)</f>
        <v>0</v>
      </c>
      <c r="G21" s="86">
        <f>SUM('10ªCEJ-U-INFOR'!H18)</f>
        <v>6.75</v>
      </c>
      <c r="H21" s="86">
        <f>SUM('10ªCEJ-U-ED. FIS'!H18)</f>
        <v>10</v>
      </c>
      <c r="I21" s="86">
        <f>SUM('10ªCEJ-U-INT. DTO'!H18)</f>
        <v>9</v>
      </c>
      <c r="J21" s="86">
        <f>SUM('10ªCEJ-U-INT. ECO'!H18)</f>
        <v>11</v>
      </c>
      <c r="K21" s="86">
        <f>SUM('10ªCEJ-U-HIST.'!H18)</f>
        <v>7</v>
      </c>
      <c r="L21" s="86">
        <f>SUM('10ªCEJ-U-GEO'!H18)</f>
        <v>8.5</v>
      </c>
      <c r="M21" s="87">
        <f>SUM('10ªCEJ-U-EMPREEND'!H18)</f>
        <v>5</v>
      </c>
      <c r="N21" s="96" t="s">
        <v>8</v>
      </c>
      <c r="O21" s="56">
        <f t="shared" si="0"/>
        <v>6.65</v>
      </c>
      <c r="P21" s="113" t="s">
        <v>6</v>
      </c>
      <c r="R21" s="204"/>
      <c r="S21" s="100" t="s">
        <v>53</v>
      </c>
    </row>
    <row r="22" spans="1:25" ht="18" customHeight="1" thickBot="1" x14ac:dyDescent="0.35">
      <c r="A22" s="46">
        <v>11</v>
      </c>
      <c r="B22" s="115">
        <v>3207</v>
      </c>
      <c r="C22" s="119" t="s">
        <v>89</v>
      </c>
      <c r="D22" s="85">
        <f>SUM('10ªCEJ-U-L PORT'!H19)</f>
        <v>0</v>
      </c>
      <c r="E22" s="86">
        <f>SUM('10ªCEJ-U-INGLES'!H19)</f>
        <v>0</v>
      </c>
      <c r="F22" s="86">
        <f>SUM('10ªCEJ-U-MAT'!H19)</f>
        <v>0</v>
      </c>
      <c r="G22" s="86">
        <f>SUM('10ªCEJ-U-INFOR'!H19)</f>
        <v>0</v>
      </c>
      <c r="H22" s="86">
        <f>SUM('10ªCEJ-U-ED. FIS'!H19)</f>
        <v>0</v>
      </c>
      <c r="I22" s="86">
        <f>SUM('10ªCEJ-U-INT. DTO'!H19)</f>
        <v>0</v>
      </c>
      <c r="J22" s="86">
        <f>SUM('10ªCEJ-U-INT. ECO'!H19)</f>
        <v>0</v>
      </c>
      <c r="K22" s="86">
        <f>SUM('10ªCEJ-U-HIST.'!H19)</f>
        <v>0</v>
      </c>
      <c r="L22" s="86">
        <f>SUM('10ªCEJ-U-GEO'!H19)</f>
        <v>0</v>
      </c>
      <c r="M22" s="87">
        <f>SUM('10ªCEJ-U-EMPREEND'!H19)</f>
        <v>0</v>
      </c>
      <c r="N22" s="95" t="s">
        <v>117</v>
      </c>
      <c r="O22" s="56">
        <f t="shared" si="0"/>
        <v>0</v>
      </c>
      <c r="P22" s="112" t="s">
        <v>5</v>
      </c>
    </row>
    <row r="23" spans="1:25" ht="18" customHeight="1" thickBot="1" x14ac:dyDescent="0.35">
      <c r="A23" s="46">
        <v>12</v>
      </c>
      <c r="B23" s="116">
        <v>4716</v>
      </c>
      <c r="C23" s="120" t="s">
        <v>90</v>
      </c>
      <c r="D23" s="85">
        <f>SUM('10ªCEJ-U-L PORT'!H20)</f>
        <v>8.5</v>
      </c>
      <c r="E23" s="86">
        <f>SUM('10ªCEJ-U-INGLES'!H20)</f>
        <v>14</v>
      </c>
      <c r="F23" s="86">
        <f>SUM('10ªCEJ-U-MAT'!H20)</f>
        <v>5.5</v>
      </c>
      <c r="G23" s="86">
        <f>SUM('10ªCEJ-U-INFOR'!H20)</f>
        <v>8.5</v>
      </c>
      <c r="H23" s="86">
        <f>SUM('10ªCEJ-U-ED. FIS'!H20)</f>
        <v>15</v>
      </c>
      <c r="I23" s="86">
        <f>SUM('10ªCEJ-U-INT. DTO'!H20)</f>
        <v>10</v>
      </c>
      <c r="J23" s="86">
        <f>SUM('10ªCEJ-U-INT. ECO'!H20)</f>
        <v>14.5</v>
      </c>
      <c r="K23" s="86">
        <f>SUM('10ªCEJ-U-HIST.'!H20)</f>
        <v>7</v>
      </c>
      <c r="L23" s="86">
        <f>SUM('10ªCEJ-U-GEO'!H20)</f>
        <v>8.5</v>
      </c>
      <c r="M23" s="87">
        <f>SUM('10ªCEJ-U-EMPREEND'!H20)</f>
        <v>8</v>
      </c>
      <c r="N23" s="95" t="s">
        <v>8</v>
      </c>
      <c r="O23" s="56">
        <f t="shared" si="0"/>
        <v>9.9499999999999993</v>
      </c>
      <c r="P23" s="113" t="s">
        <v>5</v>
      </c>
    </row>
    <row r="24" spans="1:25" ht="18" customHeight="1" thickBot="1" x14ac:dyDescent="0.35">
      <c r="A24" s="46">
        <v>13</v>
      </c>
      <c r="B24" s="115">
        <v>4625</v>
      </c>
      <c r="C24" s="119" t="s">
        <v>91</v>
      </c>
      <c r="D24" s="85">
        <f>SUM('10ªCEJ-U-L PORT'!H21)</f>
        <v>0</v>
      </c>
      <c r="E24" s="86">
        <f>SUM('10ªCEJ-U-INGLES'!H21)</f>
        <v>0</v>
      </c>
      <c r="F24" s="86">
        <f>SUM('10ªCEJ-U-MAT'!H21)</f>
        <v>0</v>
      </c>
      <c r="G24" s="86">
        <f>SUM('10ªCEJ-U-INFOR'!H21)</f>
        <v>0</v>
      </c>
      <c r="H24" s="86">
        <f>SUM('10ªCEJ-U-ED. FIS'!H21)</f>
        <v>0</v>
      </c>
      <c r="I24" s="86">
        <f>SUM('10ªCEJ-U-INT. DTO'!H21)</f>
        <v>0</v>
      </c>
      <c r="J24" s="86">
        <f>SUM('10ªCEJ-U-INT. ECO'!H21)</f>
        <v>0</v>
      </c>
      <c r="K24" s="86">
        <f>SUM('10ªCEJ-U-HIST.'!H21)</f>
        <v>0</v>
      </c>
      <c r="L24" s="86">
        <f>SUM('10ªCEJ-U-GEO'!H21)</f>
        <v>0</v>
      </c>
      <c r="M24" s="87">
        <f>SUM('10ªCEJ-U-EMPREEND'!H21)</f>
        <v>0</v>
      </c>
      <c r="N24" s="95" t="s">
        <v>118</v>
      </c>
      <c r="O24" s="56">
        <f t="shared" si="0"/>
        <v>0</v>
      </c>
      <c r="P24" s="112" t="s">
        <v>6</v>
      </c>
    </row>
    <row r="25" spans="1:25" ht="18" customHeight="1" thickBot="1" x14ac:dyDescent="0.35">
      <c r="A25" s="46">
        <v>14</v>
      </c>
      <c r="B25" s="115">
        <v>4552</v>
      </c>
      <c r="C25" s="119" t="s">
        <v>92</v>
      </c>
      <c r="D25" s="85">
        <f>SUM('10ªCEJ-U-L PORT'!H22)</f>
        <v>11</v>
      </c>
      <c r="E25" s="86">
        <f>SUM('10ªCEJ-U-INGLES'!H22)</f>
        <v>11.5</v>
      </c>
      <c r="F25" s="86">
        <f>SUM('10ªCEJ-U-MAT'!H22)</f>
        <v>10.25</v>
      </c>
      <c r="G25" s="86">
        <f>SUM('10ªCEJ-U-INFOR'!H22)</f>
        <v>15</v>
      </c>
      <c r="H25" s="86">
        <f>SUM('10ªCEJ-U-ED. FIS'!H22)</f>
        <v>17</v>
      </c>
      <c r="I25" s="86">
        <f>SUM('10ªCEJ-U-INT. DTO'!H22)</f>
        <v>10.5</v>
      </c>
      <c r="J25" s="86">
        <f>SUM('10ªCEJ-U-INT. ECO'!H22)</f>
        <v>15.5</v>
      </c>
      <c r="K25" s="86">
        <f>SUM('10ªCEJ-U-HIST.'!H22)</f>
        <v>15.5</v>
      </c>
      <c r="L25" s="86">
        <f>SUM('10ªCEJ-U-GEO'!H22)</f>
        <v>13</v>
      </c>
      <c r="M25" s="87">
        <f>SUM('10ªCEJ-U-EMPREEND'!H22)</f>
        <v>16.5</v>
      </c>
      <c r="N25" s="95" t="s">
        <v>7</v>
      </c>
      <c r="O25" s="56">
        <f t="shared" si="0"/>
        <v>13.574999999999999</v>
      </c>
      <c r="P25" s="112" t="s">
        <v>6</v>
      </c>
    </row>
    <row r="26" spans="1:25" ht="18" customHeight="1" thickBot="1" x14ac:dyDescent="0.35">
      <c r="A26" s="46">
        <v>15</v>
      </c>
      <c r="B26" s="116">
        <v>4720</v>
      </c>
      <c r="C26" s="120" t="s">
        <v>114</v>
      </c>
      <c r="D26" s="85">
        <f>SUM('10ªCEJ-U-L PORT'!H23)</f>
        <v>7.5</v>
      </c>
      <c r="E26" s="86">
        <f>SUM('10ªCEJ-U-INGLES'!H23)</f>
        <v>0</v>
      </c>
      <c r="F26" s="86">
        <f>SUM('10ªCEJ-U-MAT'!H23)</f>
        <v>5.5</v>
      </c>
      <c r="G26" s="86">
        <f>SUM('10ªCEJ-U-INFOR'!H23)</f>
        <v>0</v>
      </c>
      <c r="H26" s="86">
        <f>SUM('10ªCEJ-U-ED. FIS'!H23)</f>
        <v>10</v>
      </c>
      <c r="I26" s="86">
        <f>SUM('10ªCEJ-U-INT. DTO'!H23)</f>
        <v>9.5</v>
      </c>
      <c r="J26" s="86">
        <f>SUM('10ªCEJ-U-INT. ECO'!H23)</f>
        <v>0</v>
      </c>
      <c r="K26" s="86">
        <f>SUM('10ªCEJ-U-HIST.'!H23)</f>
        <v>12.5</v>
      </c>
      <c r="L26" s="86">
        <f>SUM('10ªCEJ-U-GEO'!H23)</f>
        <v>10</v>
      </c>
      <c r="M26" s="87">
        <f>SUM('10ªCEJ-U-EMPREEND'!H23)</f>
        <v>8.5</v>
      </c>
      <c r="N26" s="95" t="s">
        <v>8</v>
      </c>
      <c r="O26" s="56">
        <f t="shared" si="0"/>
        <v>6.35</v>
      </c>
      <c r="P26" s="113" t="s">
        <v>6</v>
      </c>
    </row>
    <row r="27" spans="1:25" ht="18" customHeight="1" thickBot="1" x14ac:dyDescent="0.35">
      <c r="A27" s="46">
        <v>16</v>
      </c>
      <c r="B27" s="116">
        <v>4747</v>
      </c>
      <c r="C27" s="120" t="s">
        <v>93</v>
      </c>
      <c r="D27" s="85">
        <f>SUM('10ªCEJ-U-L PORT'!H24)</f>
        <v>7.5</v>
      </c>
      <c r="E27" s="86">
        <f>SUM('10ªCEJ-U-INGLES'!H24)</f>
        <v>12</v>
      </c>
      <c r="F27" s="86">
        <f>SUM('10ªCEJ-U-MAT'!H24)</f>
        <v>0</v>
      </c>
      <c r="G27" s="86">
        <f>SUM('10ªCEJ-U-INFOR'!H24)</f>
        <v>9.5</v>
      </c>
      <c r="H27" s="86">
        <f>SUM('10ªCEJ-U-ED. FIS'!H24)</f>
        <v>8</v>
      </c>
      <c r="I27" s="86">
        <f>SUM('10ªCEJ-U-INT. DTO'!H24)</f>
        <v>0</v>
      </c>
      <c r="J27" s="86">
        <f>SUM('10ªCEJ-U-INT. ECO'!H24)</f>
        <v>12</v>
      </c>
      <c r="K27" s="86">
        <f>SUM('10ªCEJ-U-HIST.'!H24)</f>
        <v>8.5</v>
      </c>
      <c r="L27" s="86">
        <f>SUM('10ªCEJ-U-GEO'!H24)</f>
        <v>11</v>
      </c>
      <c r="M27" s="87">
        <f>SUM('10ªCEJ-U-EMPREEND'!H24)</f>
        <v>9.5</v>
      </c>
      <c r="N27" s="95" t="s">
        <v>8</v>
      </c>
      <c r="O27" s="56">
        <f t="shared" si="0"/>
        <v>7.8</v>
      </c>
      <c r="P27" s="113" t="s">
        <v>5</v>
      </c>
    </row>
    <row r="28" spans="1:25" ht="18" customHeight="1" thickBot="1" x14ac:dyDescent="0.35">
      <c r="A28" s="46">
        <v>17</v>
      </c>
      <c r="B28" s="115">
        <v>4635</v>
      </c>
      <c r="C28" s="119" t="s">
        <v>94</v>
      </c>
      <c r="D28" s="85">
        <f>SUM('10ªCEJ-U-L PORT'!H25)</f>
        <v>8</v>
      </c>
      <c r="E28" s="86">
        <f>SUM('10ªCEJ-U-INGLES'!H25)</f>
        <v>0</v>
      </c>
      <c r="F28" s="86">
        <f>SUM('10ªCEJ-U-MAT'!H25)</f>
        <v>0</v>
      </c>
      <c r="G28" s="86">
        <f>SUM('10ªCEJ-U-INFOR'!H25)</f>
        <v>0</v>
      </c>
      <c r="H28" s="86">
        <f>SUM('10ªCEJ-U-ED. FIS'!H25)</f>
        <v>0</v>
      </c>
      <c r="I28" s="86">
        <f>SUM('10ªCEJ-U-INT. DTO'!H25)</f>
        <v>0</v>
      </c>
      <c r="J28" s="86">
        <f>SUM('10ªCEJ-U-INT. ECO'!H25)</f>
        <v>0</v>
      </c>
      <c r="K28" s="86">
        <f>SUM('10ªCEJ-U-HIST.'!H25)</f>
        <v>0</v>
      </c>
      <c r="L28" s="86">
        <f>SUM('10ªCEJ-U-GEO'!H25)</f>
        <v>0</v>
      </c>
      <c r="M28" s="87">
        <f>SUM('10ªCEJ-U-EMPREEND'!H25)</f>
        <v>0</v>
      </c>
      <c r="N28" s="95" t="s">
        <v>118</v>
      </c>
      <c r="O28" s="56">
        <f t="shared" si="0"/>
        <v>0.8</v>
      </c>
      <c r="P28" s="112" t="s">
        <v>6</v>
      </c>
    </row>
    <row r="29" spans="1:25" ht="18" customHeight="1" thickBot="1" x14ac:dyDescent="0.35">
      <c r="A29" s="46">
        <v>18</v>
      </c>
      <c r="B29" s="116">
        <v>4738</v>
      </c>
      <c r="C29" s="120" t="s">
        <v>95</v>
      </c>
      <c r="D29" s="85">
        <f>SUM('10ªCEJ-U-L PORT'!H26)</f>
        <v>7.25</v>
      </c>
      <c r="E29" s="86">
        <f>SUM('10ªCEJ-U-INGLES'!H26)</f>
        <v>11.5</v>
      </c>
      <c r="F29" s="86">
        <f>SUM('10ªCEJ-U-MAT'!H26)</f>
        <v>5</v>
      </c>
      <c r="G29" s="86">
        <f>SUM('10ªCEJ-U-INFOR'!H26)</f>
        <v>9</v>
      </c>
      <c r="H29" s="86">
        <f>SUM('10ªCEJ-U-ED. FIS'!H26)</f>
        <v>12</v>
      </c>
      <c r="I29" s="86">
        <f>SUM('10ªCEJ-U-INT. DTO'!H26)</f>
        <v>10</v>
      </c>
      <c r="J29" s="86">
        <f>SUM('10ªCEJ-U-INT. ECO'!H26)</f>
        <v>9.5</v>
      </c>
      <c r="K29" s="86">
        <f>SUM('10ªCEJ-U-HIST.'!H26)</f>
        <v>7</v>
      </c>
      <c r="L29" s="86">
        <f>SUM('10ªCEJ-U-GEO'!H26)</f>
        <v>14.5</v>
      </c>
      <c r="M29" s="87">
        <f>SUM('10ªCEJ-U-EMPREEND'!H26)</f>
        <v>11</v>
      </c>
      <c r="N29" s="95" t="s">
        <v>8</v>
      </c>
      <c r="O29" s="56">
        <f t="shared" si="0"/>
        <v>9.6750000000000007</v>
      </c>
      <c r="P29" s="113" t="s">
        <v>5</v>
      </c>
    </row>
    <row r="30" spans="1:25" ht="18" customHeight="1" thickBot="1" x14ac:dyDescent="0.35">
      <c r="A30" s="46">
        <v>19</v>
      </c>
      <c r="B30" s="116">
        <v>4757</v>
      </c>
      <c r="C30" s="120" t="s">
        <v>96</v>
      </c>
      <c r="D30" s="85">
        <f>SUM('10ªCEJ-U-L PORT'!H27)</f>
        <v>0</v>
      </c>
      <c r="E30" s="86">
        <f>SUM('10ªCEJ-U-INGLES'!H27)</f>
        <v>0</v>
      </c>
      <c r="F30" s="86">
        <f>SUM('10ªCEJ-U-MAT'!H27)</f>
        <v>0</v>
      </c>
      <c r="G30" s="86">
        <f>SUM('10ªCEJ-U-INFOR'!H27)</f>
        <v>5</v>
      </c>
      <c r="H30" s="86">
        <f>SUM('10ªCEJ-U-ED. FIS'!H27)</f>
        <v>8</v>
      </c>
      <c r="I30" s="86">
        <f>SUM('10ªCEJ-U-INT. DTO'!H27)</f>
        <v>0</v>
      </c>
      <c r="J30" s="86">
        <f>SUM('10ªCEJ-U-INT. ECO'!H27)</f>
        <v>0</v>
      </c>
      <c r="K30" s="86">
        <f>SUM('10ªCEJ-U-HIST.'!H27)</f>
        <v>0</v>
      </c>
      <c r="L30" s="86">
        <f>SUM('10ªCEJ-U-GEO'!H27)</f>
        <v>0</v>
      </c>
      <c r="M30" s="87">
        <f>SUM('10ªCEJ-U-EMPREEND'!H27)</f>
        <v>5</v>
      </c>
      <c r="N30" s="95" t="s">
        <v>8</v>
      </c>
      <c r="O30" s="56">
        <f t="shared" si="0"/>
        <v>1.8</v>
      </c>
      <c r="P30" s="113" t="s">
        <v>6</v>
      </c>
    </row>
    <row r="31" spans="1:25" ht="18" customHeight="1" thickBot="1" x14ac:dyDescent="0.35">
      <c r="A31" s="46">
        <v>20</v>
      </c>
      <c r="B31" s="115">
        <v>3797</v>
      </c>
      <c r="C31" s="119" t="s">
        <v>97</v>
      </c>
      <c r="D31" s="85">
        <f>SUM('10ªCEJ-U-L PORT'!H28)</f>
        <v>9.25</v>
      </c>
      <c r="E31" s="86">
        <f>SUM('10ªCEJ-U-INGLES'!H28)</f>
        <v>3</v>
      </c>
      <c r="F31" s="86">
        <f>SUM('10ªCEJ-U-MAT'!H28)</f>
        <v>0</v>
      </c>
      <c r="G31" s="86">
        <f>SUM('10ªCEJ-U-INFOR'!H28)</f>
        <v>12.75</v>
      </c>
      <c r="H31" s="86">
        <f>SUM('10ªCEJ-U-ED. FIS'!H28)</f>
        <v>13</v>
      </c>
      <c r="I31" s="86">
        <f>SUM('10ªCEJ-U-INT. DTO'!H28)</f>
        <v>9</v>
      </c>
      <c r="J31" s="86">
        <f>SUM('10ªCEJ-U-INT. ECO'!H28)</f>
        <v>12</v>
      </c>
      <c r="K31" s="86">
        <f>SUM('10ªCEJ-U-HIST.'!H28)</f>
        <v>6</v>
      </c>
      <c r="L31" s="86">
        <f>SUM('10ªCEJ-U-GEO'!H28)</f>
        <v>10</v>
      </c>
      <c r="M31" s="87">
        <f>SUM('10ªCEJ-U-EMPREEND'!H28)</f>
        <v>6.5</v>
      </c>
      <c r="N31" s="95" t="s">
        <v>8</v>
      </c>
      <c r="O31" s="56">
        <f t="shared" si="0"/>
        <v>8.15</v>
      </c>
      <c r="P31" s="112" t="s">
        <v>5</v>
      </c>
    </row>
    <row r="32" spans="1:25" ht="18" customHeight="1" thickBot="1" x14ac:dyDescent="0.35">
      <c r="A32" s="46">
        <v>21</v>
      </c>
      <c r="B32" s="115">
        <v>4673</v>
      </c>
      <c r="C32" s="119" t="s">
        <v>98</v>
      </c>
      <c r="D32" s="85">
        <f>SUM('10ªCEJ-U-L PORT'!H29)</f>
        <v>12</v>
      </c>
      <c r="E32" s="86">
        <f>SUM('10ªCEJ-U-INGLES'!H29)</f>
        <v>14.5</v>
      </c>
      <c r="F32" s="86">
        <f>SUM('10ªCEJ-U-MAT'!H29)</f>
        <v>11.5</v>
      </c>
      <c r="G32" s="86">
        <f>SUM('10ªCEJ-U-INFOR'!H29)</f>
        <v>9.75</v>
      </c>
      <c r="H32" s="86">
        <f>SUM('10ªCEJ-U-ED. FIS'!H29)</f>
        <v>0</v>
      </c>
      <c r="I32" s="86">
        <f>SUM('10ªCEJ-U-INT. DTO'!H29)</f>
        <v>9</v>
      </c>
      <c r="J32" s="86">
        <f>SUM('10ªCEJ-U-INT. ECO'!H29)</f>
        <v>16</v>
      </c>
      <c r="K32" s="86">
        <f>SUM('10ªCEJ-U-HIST.'!H29)</f>
        <v>11.5</v>
      </c>
      <c r="L32" s="86">
        <f>SUM('10ªCEJ-U-GEO'!H29)</f>
        <v>14</v>
      </c>
      <c r="M32" s="87">
        <f>SUM('10ªCEJ-U-EMPREEND'!H29)</f>
        <v>12.5</v>
      </c>
      <c r="N32" s="95" t="s">
        <v>8</v>
      </c>
      <c r="O32" s="56">
        <f t="shared" si="0"/>
        <v>11.074999999999999</v>
      </c>
      <c r="P32" s="159" t="s">
        <v>5</v>
      </c>
    </row>
    <row r="33" spans="1:16" ht="18" customHeight="1" thickTop="1" thickBot="1" x14ac:dyDescent="0.35">
      <c r="A33" s="46">
        <v>22</v>
      </c>
      <c r="B33" s="116">
        <v>4729</v>
      </c>
      <c r="C33" s="120" t="s">
        <v>99</v>
      </c>
      <c r="D33" s="85">
        <f>SUM('10ªCEJ-U-L PORT'!H30)</f>
        <v>0</v>
      </c>
      <c r="E33" s="86">
        <f>SUM('10ªCEJ-U-INGLES'!H30)</f>
        <v>0</v>
      </c>
      <c r="F33" s="86">
        <f>SUM('10ªCEJ-U-MAT'!H30)</f>
        <v>6.5</v>
      </c>
      <c r="G33" s="86">
        <f>SUM('10ªCEJ-U-INFOR'!H30)</f>
        <v>5</v>
      </c>
      <c r="H33" s="86">
        <f>SUM('10ªCEJ-U-ED. FIS'!H30)</f>
        <v>8</v>
      </c>
      <c r="I33" s="86">
        <f>SUM('10ªCEJ-U-INT. DTO'!H30)</f>
        <v>0</v>
      </c>
      <c r="J33" s="86">
        <f>SUM('10ªCEJ-U-INT. ECO'!H30)</f>
        <v>15.5</v>
      </c>
      <c r="K33" s="86">
        <f>SUM('10ªCEJ-U-HIST.'!H30)</f>
        <v>12.5</v>
      </c>
      <c r="L33" s="86">
        <f>SUM('10ªCEJ-U-GEO'!H30)</f>
        <v>6.5</v>
      </c>
      <c r="M33" s="87">
        <f>SUM('10ªCEJ-U-EMPREEND'!H30)</f>
        <v>6</v>
      </c>
      <c r="N33" s="95" t="s">
        <v>8</v>
      </c>
      <c r="O33" s="56">
        <f t="shared" si="0"/>
        <v>6</v>
      </c>
      <c r="P33" s="160" t="s">
        <v>6</v>
      </c>
    </row>
    <row r="34" spans="1:16" ht="18" customHeight="1" thickBot="1" x14ac:dyDescent="0.35">
      <c r="A34" s="46">
        <v>23</v>
      </c>
      <c r="B34" s="115">
        <v>4626</v>
      </c>
      <c r="C34" s="119" t="s">
        <v>100</v>
      </c>
      <c r="D34" s="85">
        <f>SUM('10ªCEJ-U-L PORT'!H31)</f>
        <v>11.25</v>
      </c>
      <c r="E34" s="86">
        <f>SUM('10ªCEJ-U-INGLES'!H31)</f>
        <v>10.5</v>
      </c>
      <c r="F34" s="86">
        <f>SUM('10ªCEJ-U-MAT'!H31)</f>
        <v>6.5</v>
      </c>
      <c r="G34" s="86">
        <f>SUM('10ªCEJ-U-INFOR'!H31)</f>
        <v>15.25</v>
      </c>
      <c r="H34" s="86">
        <f>SUM('10ªCEJ-U-ED. FIS'!H31)</f>
        <v>15</v>
      </c>
      <c r="I34" s="86">
        <f>SUM('10ªCEJ-U-INT. DTO'!H31)</f>
        <v>9.5</v>
      </c>
      <c r="J34" s="86">
        <f>SUM('10ªCEJ-U-INT. ECO'!H31)</f>
        <v>17.5</v>
      </c>
      <c r="K34" s="86">
        <f>SUM('10ªCEJ-U-HIST.'!H31)</f>
        <v>15</v>
      </c>
      <c r="L34" s="86">
        <f>SUM('10ªCEJ-U-GEO'!H31)</f>
        <v>17</v>
      </c>
      <c r="M34" s="87">
        <f>SUM('10ªCEJ-U-EMPREEND'!H31)</f>
        <v>16.5</v>
      </c>
      <c r="N34" s="95" t="s">
        <v>8</v>
      </c>
      <c r="O34" s="56">
        <f t="shared" si="0"/>
        <v>13.4</v>
      </c>
      <c r="P34" s="112" t="s">
        <v>5</v>
      </c>
    </row>
    <row r="35" spans="1:16" ht="18" customHeight="1" thickBot="1" x14ac:dyDescent="0.35">
      <c r="A35" s="46">
        <v>24</v>
      </c>
      <c r="B35" s="115">
        <v>4569</v>
      </c>
      <c r="C35" s="119" t="s">
        <v>101</v>
      </c>
      <c r="D35" s="85">
        <f>SUM('10ªCEJ-U-L PORT'!H32)</f>
        <v>8</v>
      </c>
      <c r="E35" s="86">
        <f>SUM('10ªCEJ-U-INGLES'!H32)</f>
        <v>0</v>
      </c>
      <c r="F35" s="86">
        <f>SUM('10ªCEJ-U-MAT'!H32)</f>
        <v>0</v>
      </c>
      <c r="G35" s="86">
        <f>SUM('10ªCEJ-U-INFOR'!H32)</f>
        <v>0</v>
      </c>
      <c r="H35" s="86">
        <f>SUM('10ªCEJ-U-ED. FIS'!H32)</f>
        <v>0</v>
      </c>
      <c r="I35" s="86">
        <f>SUM('10ªCEJ-U-INT. DTO'!H32)</f>
        <v>0</v>
      </c>
      <c r="J35" s="86">
        <f>SUM('10ªCEJ-U-INT. ECO'!H32)</f>
        <v>0</v>
      </c>
      <c r="K35" s="86">
        <f>SUM('10ªCEJ-U-HIST.'!H32)</f>
        <v>0</v>
      </c>
      <c r="L35" s="86">
        <f>SUM('10ªCEJ-U-GEO'!H32)</f>
        <v>0</v>
      </c>
      <c r="M35" s="87">
        <f>SUM('10ªCEJ-U-EMPREEND'!H32)</f>
        <v>0</v>
      </c>
      <c r="N35" s="95" t="s">
        <v>117</v>
      </c>
      <c r="O35" s="56">
        <f t="shared" si="0"/>
        <v>0.8</v>
      </c>
      <c r="P35" s="112" t="s">
        <v>5</v>
      </c>
    </row>
    <row r="36" spans="1:16" ht="18" customHeight="1" thickBot="1" x14ac:dyDescent="0.35">
      <c r="A36" s="46">
        <v>25</v>
      </c>
      <c r="B36" s="116">
        <v>4736</v>
      </c>
      <c r="C36" s="120" t="s">
        <v>102</v>
      </c>
      <c r="D36" s="85">
        <f>SUM('10ªCEJ-U-L PORT'!H33)</f>
        <v>0</v>
      </c>
      <c r="E36" s="86">
        <f>SUM('10ªCEJ-U-INGLES'!H33)</f>
        <v>0</v>
      </c>
      <c r="F36" s="86">
        <f>SUM('10ªCEJ-U-MAT'!H33)</f>
        <v>0</v>
      </c>
      <c r="G36" s="86">
        <f>SUM('10ªCEJ-U-INFOR'!H33)</f>
        <v>0</v>
      </c>
      <c r="H36" s="86">
        <f>SUM('10ªCEJ-U-ED. FIS'!H33)</f>
        <v>0</v>
      </c>
      <c r="I36" s="86">
        <f>SUM('10ªCEJ-U-INT. DTO'!H33)</f>
        <v>0</v>
      </c>
      <c r="J36" s="86">
        <f>SUM('10ªCEJ-U-INT. ECO'!H33)</f>
        <v>0</v>
      </c>
      <c r="K36" s="86">
        <f>SUM('10ªCEJ-U-HIST.'!H33)</f>
        <v>0</v>
      </c>
      <c r="L36" s="86">
        <f>SUM('10ªCEJ-U-GEO'!H33)</f>
        <v>0</v>
      </c>
      <c r="M36" s="87">
        <f>SUM('10ªCEJ-U-EMPREEND'!H33)</f>
        <v>5</v>
      </c>
      <c r="N36" s="95" t="s">
        <v>117</v>
      </c>
      <c r="O36" s="56">
        <f t="shared" si="0"/>
        <v>0.5</v>
      </c>
      <c r="P36" s="113" t="s">
        <v>5</v>
      </c>
    </row>
    <row r="37" spans="1:16" ht="18" customHeight="1" thickBot="1" x14ac:dyDescent="0.35">
      <c r="A37" s="46">
        <v>26</v>
      </c>
      <c r="B37" s="115">
        <v>4540</v>
      </c>
      <c r="C37" s="119" t="s">
        <v>103</v>
      </c>
      <c r="D37" s="85">
        <f>SUM('10ªCEJ-U-L PORT'!H34)</f>
        <v>14.5</v>
      </c>
      <c r="E37" s="86">
        <f>SUM('10ªCEJ-U-INGLES'!H34)</f>
        <v>13.5</v>
      </c>
      <c r="F37" s="86">
        <f>SUM('10ªCEJ-U-MAT'!H34)</f>
        <v>12</v>
      </c>
      <c r="G37" s="86">
        <f>SUM('10ªCEJ-U-INFOR'!H34)</f>
        <v>16.5</v>
      </c>
      <c r="H37" s="86">
        <f>SUM('10ªCEJ-U-ED. FIS'!H34)</f>
        <v>18</v>
      </c>
      <c r="I37" s="86">
        <f>SUM('10ªCEJ-U-INT. DTO'!H34)</f>
        <v>14.5</v>
      </c>
      <c r="J37" s="86">
        <f>SUM('10ªCEJ-U-INT. ECO'!H34)</f>
        <v>18.5</v>
      </c>
      <c r="K37" s="86">
        <f>SUM('10ªCEJ-U-HIST.'!H34)</f>
        <v>17.5</v>
      </c>
      <c r="L37" s="86">
        <f>SUM('10ªCEJ-U-GEO'!H34)</f>
        <v>18.5</v>
      </c>
      <c r="M37" s="87">
        <f>SUM('10ªCEJ-U-EMPREEND'!H34)</f>
        <v>16</v>
      </c>
      <c r="N37" s="69" t="s">
        <v>7</v>
      </c>
      <c r="O37" s="56">
        <f t="shared" si="0"/>
        <v>15.95</v>
      </c>
      <c r="P37" s="112" t="s">
        <v>5</v>
      </c>
    </row>
    <row r="38" spans="1:16" ht="18" customHeight="1" thickBot="1" x14ac:dyDescent="0.35">
      <c r="A38" s="46">
        <v>27</v>
      </c>
      <c r="B38" s="116">
        <v>4701</v>
      </c>
      <c r="C38" s="120" t="s">
        <v>115</v>
      </c>
      <c r="D38" s="85">
        <f>SUM('10ªCEJ-U-L PORT'!H35)</f>
        <v>8.5</v>
      </c>
      <c r="E38" s="86">
        <f>SUM('10ªCEJ-U-INGLES'!H35)</f>
        <v>0</v>
      </c>
      <c r="F38" s="86">
        <f>SUM('10ªCEJ-U-MAT'!H35)</f>
        <v>5</v>
      </c>
      <c r="G38" s="86">
        <f>SUM('10ªCEJ-U-INFOR'!H35)</f>
        <v>0</v>
      </c>
      <c r="H38" s="86">
        <f>SUM('10ªCEJ-U-ED. FIS'!H35)</f>
        <v>10</v>
      </c>
      <c r="I38" s="86">
        <f>SUM('10ªCEJ-U-INT. DTO'!H35)</f>
        <v>9.5</v>
      </c>
      <c r="J38" s="86">
        <f>SUM('10ªCEJ-U-INT. ECO'!H35)</f>
        <v>0</v>
      </c>
      <c r="K38" s="86">
        <f>SUM('10ªCEJ-U-HIST.'!H35)</f>
        <v>10.5</v>
      </c>
      <c r="L38" s="86">
        <f>SUM('10ªCEJ-U-GEO'!H35)</f>
        <v>11.5</v>
      </c>
      <c r="M38" s="87">
        <f>SUM('10ªCEJ-U-EMPREEND'!H35)</f>
        <v>8.5</v>
      </c>
      <c r="N38" s="69" t="s">
        <v>8</v>
      </c>
      <c r="O38" s="56">
        <f t="shared" si="0"/>
        <v>6.35</v>
      </c>
      <c r="P38" s="113" t="s">
        <v>6</v>
      </c>
    </row>
    <row r="39" spans="1:16" ht="18" customHeight="1" thickBot="1" x14ac:dyDescent="0.35">
      <c r="A39" s="46">
        <v>28</v>
      </c>
      <c r="B39" s="116">
        <v>4707</v>
      </c>
      <c r="C39" s="120" t="s">
        <v>116</v>
      </c>
      <c r="D39" s="85">
        <f>SUM('10ªCEJ-U-L PORT'!H36)</f>
        <v>6.25</v>
      </c>
      <c r="E39" s="86">
        <f>SUM('10ªCEJ-U-INGLES'!H36)</f>
        <v>0</v>
      </c>
      <c r="F39" s="86">
        <f>SUM('10ªCEJ-U-MAT'!H36)</f>
        <v>0</v>
      </c>
      <c r="G39" s="86">
        <f>SUM('10ªCEJ-U-INFOR'!H36)</f>
        <v>0</v>
      </c>
      <c r="H39" s="86">
        <f>SUM('10ªCEJ-U-ED. FIS'!H36)</f>
        <v>14</v>
      </c>
      <c r="I39" s="86">
        <f>SUM('10ªCEJ-U-INT. DTO'!H36)</f>
        <v>10</v>
      </c>
      <c r="J39" s="86">
        <f>SUM('10ªCEJ-U-INT. ECO'!H36)</f>
        <v>0</v>
      </c>
      <c r="K39" s="86">
        <f>SUM('10ªCEJ-U-HIST.'!H36)</f>
        <v>11.5</v>
      </c>
      <c r="L39" s="86">
        <f>SUM('10ªCEJ-U-GEO'!H36)</f>
        <v>0</v>
      </c>
      <c r="M39" s="87">
        <f>SUM('10ªCEJ-U-EMPREEND'!H36)</f>
        <v>6</v>
      </c>
      <c r="N39" s="95" t="s">
        <v>8</v>
      </c>
      <c r="O39" s="56">
        <f t="shared" si="0"/>
        <v>4.7750000000000004</v>
      </c>
      <c r="P39" s="113" t="s">
        <v>6</v>
      </c>
    </row>
    <row r="40" spans="1:16" ht="18" customHeight="1" thickBot="1" x14ac:dyDescent="0.35">
      <c r="A40" s="46">
        <v>29</v>
      </c>
      <c r="B40" s="115">
        <v>4527</v>
      </c>
      <c r="C40" s="119" t="s">
        <v>104</v>
      </c>
      <c r="D40" s="85">
        <f>SUM('10ªCEJ-U-L PORT'!H37)</f>
        <v>0</v>
      </c>
      <c r="E40" s="86">
        <f>SUM('10ªCEJ-U-INGLES'!H37)</f>
        <v>13.5</v>
      </c>
      <c r="F40" s="86">
        <f>SUM('10ªCEJ-U-MAT'!H37)</f>
        <v>8.5</v>
      </c>
      <c r="G40" s="86">
        <f>SUM('10ªCEJ-U-INFOR'!H37)</f>
        <v>11</v>
      </c>
      <c r="H40" s="86">
        <f>SUM('10ªCEJ-U-ED. FIS'!H37)</f>
        <v>14</v>
      </c>
      <c r="I40" s="86">
        <f>SUM('10ªCEJ-U-INT. DTO'!H37)</f>
        <v>9</v>
      </c>
      <c r="J40" s="86">
        <f>SUM('10ªCEJ-U-INT. ECO'!H37)</f>
        <v>12</v>
      </c>
      <c r="K40" s="86">
        <f>SUM('10ªCEJ-U-HIST.'!H37)</f>
        <v>0</v>
      </c>
      <c r="L40" s="86">
        <f>SUM('10ªCEJ-U-GEO'!H37)</f>
        <v>12</v>
      </c>
      <c r="M40" s="87">
        <f>SUM('10ªCEJ-U-EMPREEND'!H37)</f>
        <v>0</v>
      </c>
      <c r="N40" s="95" t="s">
        <v>8</v>
      </c>
      <c r="O40" s="56">
        <f t="shared" si="0"/>
        <v>8</v>
      </c>
      <c r="P40" s="112" t="s">
        <v>5</v>
      </c>
    </row>
    <row r="41" spans="1:16" ht="18" customHeight="1" thickBot="1" x14ac:dyDescent="0.35">
      <c r="A41" s="46">
        <v>30</v>
      </c>
      <c r="B41" s="115">
        <v>4576</v>
      </c>
      <c r="C41" s="119" t="s">
        <v>105</v>
      </c>
      <c r="D41" s="85">
        <f>SUM('10ªCEJ-U-L PORT'!H38)</f>
        <v>13.5</v>
      </c>
      <c r="E41" s="86">
        <f>SUM('10ªCEJ-U-INGLES'!H38)</f>
        <v>7.5</v>
      </c>
      <c r="F41" s="86">
        <f>SUM('10ªCEJ-U-MAT'!H38)</f>
        <v>0</v>
      </c>
      <c r="G41" s="86">
        <f>SUM('10ªCEJ-U-INFOR'!H38)</f>
        <v>16.75</v>
      </c>
      <c r="H41" s="86">
        <f>SUM('10ªCEJ-U-ED. FIS'!H38)</f>
        <v>12</v>
      </c>
      <c r="I41" s="86">
        <f>SUM('10ªCEJ-U-INT. DTO'!H38)</f>
        <v>9.5</v>
      </c>
      <c r="J41" s="86">
        <f>SUM('10ªCEJ-U-INT. ECO'!H38)</f>
        <v>16</v>
      </c>
      <c r="K41" s="86">
        <f>SUM('10ªCEJ-U-HIST.'!H38)</f>
        <v>16.5</v>
      </c>
      <c r="L41" s="86">
        <f>SUM('10ªCEJ-U-GEO'!H38)</f>
        <v>17.5</v>
      </c>
      <c r="M41" s="87">
        <f>SUM('10ªCEJ-U-EMPREEND'!H38)</f>
        <v>16.5</v>
      </c>
      <c r="N41" s="95" t="s">
        <v>8</v>
      </c>
      <c r="O41" s="56">
        <f t="shared" si="0"/>
        <v>12.574999999999999</v>
      </c>
      <c r="P41" s="112" t="s">
        <v>6</v>
      </c>
    </row>
    <row r="42" spans="1:16" ht="18" customHeight="1" thickBot="1" x14ac:dyDescent="0.35">
      <c r="A42" s="46">
        <v>31</v>
      </c>
      <c r="B42" s="116">
        <v>4756</v>
      </c>
      <c r="C42" s="120" t="s">
        <v>106</v>
      </c>
      <c r="D42" s="85">
        <f>SUM('10ªCEJ-U-L PORT'!H39)</f>
        <v>10</v>
      </c>
      <c r="E42" s="86">
        <f>SUM('10ªCEJ-U-INGLES'!H39)</f>
        <v>7.5</v>
      </c>
      <c r="F42" s="86">
        <f>SUM('10ªCEJ-U-MAT'!H39)</f>
        <v>10</v>
      </c>
      <c r="G42" s="86">
        <f>SUM('10ªCEJ-U-INFOR'!H39)</f>
        <v>9.75</v>
      </c>
      <c r="H42" s="86">
        <f>SUM('10ªCEJ-U-ED. FIS'!H39)</f>
        <v>8</v>
      </c>
      <c r="I42" s="86">
        <f>SUM('10ªCEJ-U-INT. DTO'!H39)</f>
        <v>0</v>
      </c>
      <c r="J42" s="86">
        <f>SUM('10ªCEJ-U-INT. ECO'!H39)</f>
        <v>16.5</v>
      </c>
      <c r="K42" s="86">
        <f>SUM('10ªCEJ-U-HIST.'!H39)</f>
        <v>13.5</v>
      </c>
      <c r="L42" s="86">
        <f>SUM('10ªCEJ-U-GEO'!H39)</f>
        <v>13.5</v>
      </c>
      <c r="M42" s="87">
        <f>SUM('10ªCEJ-U-EMPREEND'!H39)</f>
        <v>9</v>
      </c>
      <c r="N42" s="95" t="s">
        <v>8</v>
      </c>
      <c r="O42" s="56">
        <f t="shared" si="0"/>
        <v>9.7750000000000004</v>
      </c>
      <c r="P42" s="113" t="s">
        <v>6</v>
      </c>
    </row>
    <row r="43" spans="1:16" ht="18" customHeight="1" thickBot="1" x14ac:dyDescent="0.35">
      <c r="A43" s="46">
        <v>32</v>
      </c>
      <c r="B43" s="116">
        <v>4762</v>
      </c>
      <c r="C43" s="120" t="s">
        <v>107</v>
      </c>
      <c r="D43" s="85">
        <f>SUM('10ªCEJ-U-L PORT'!H40)</f>
        <v>0</v>
      </c>
      <c r="E43" s="86">
        <f>SUM('10ªCEJ-U-INGLES'!H40)</f>
        <v>0</v>
      </c>
      <c r="F43" s="86">
        <f>SUM('10ªCEJ-U-MAT'!H40)</f>
        <v>0</v>
      </c>
      <c r="G43" s="86">
        <f>SUM('10ªCEJ-U-INFOR'!H40)</f>
        <v>5</v>
      </c>
      <c r="H43" s="86">
        <f>SUM('10ªCEJ-U-ED. FIS'!H40)</f>
        <v>0</v>
      </c>
      <c r="I43" s="86">
        <f>SUM('10ªCEJ-U-INT. DTO'!H40)</f>
        <v>0</v>
      </c>
      <c r="J43" s="86">
        <f>SUM('10ªCEJ-U-INT. ECO'!H40)</f>
        <v>0</v>
      </c>
      <c r="K43" s="86">
        <f>SUM('10ªCEJ-U-HIST.'!H40)</f>
        <v>0</v>
      </c>
      <c r="L43" s="86">
        <f>SUM('10ªCEJ-U-GEO'!H40)</f>
        <v>0</v>
      </c>
      <c r="M43" s="87">
        <f>SUM('10ªCEJ-U-EMPREEND'!H40)</f>
        <v>5</v>
      </c>
      <c r="N43" s="95" t="s">
        <v>8</v>
      </c>
      <c r="O43" s="56">
        <f t="shared" si="0"/>
        <v>1</v>
      </c>
      <c r="P43" s="113" t="s">
        <v>5</v>
      </c>
    </row>
    <row r="44" spans="1:16" ht="18" customHeight="1" thickBot="1" x14ac:dyDescent="0.35">
      <c r="A44" s="46">
        <v>33</v>
      </c>
      <c r="B44" s="115">
        <v>4672</v>
      </c>
      <c r="C44" s="119" t="s">
        <v>108</v>
      </c>
      <c r="D44" s="85">
        <f>SUM('10ªCEJ-U-L PORT'!H41)</f>
        <v>0</v>
      </c>
      <c r="E44" s="86">
        <f>SUM('10ªCEJ-U-INGLES'!H41)</f>
        <v>0</v>
      </c>
      <c r="F44" s="86">
        <f>SUM('10ªCEJ-U-MAT'!H41)</f>
        <v>0</v>
      </c>
      <c r="G44" s="86">
        <f>SUM('10ªCEJ-U-INFOR'!H41)</f>
        <v>5</v>
      </c>
      <c r="H44" s="86">
        <f>SUM('10ªCEJ-U-ED. FIS'!H41)</f>
        <v>0</v>
      </c>
      <c r="I44" s="86">
        <f>SUM('10ªCEJ-U-INT. DTO'!H41)</f>
        <v>0</v>
      </c>
      <c r="J44" s="86">
        <f>SUM('10ªCEJ-U-INT. ECO'!H41)</f>
        <v>0</v>
      </c>
      <c r="K44" s="86">
        <f>SUM('10ªCEJ-U-HIST.'!H41)</f>
        <v>0</v>
      </c>
      <c r="L44" s="86">
        <f>SUM('10ªCEJ-U-GEO'!H41)</f>
        <v>0</v>
      </c>
      <c r="M44" s="87">
        <f>SUM('10ªCEJ-U-EMPREEND'!H41)</f>
        <v>0</v>
      </c>
      <c r="N44" s="95" t="s">
        <v>118</v>
      </c>
      <c r="O44" s="56">
        <f t="shared" si="0"/>
        <v>0.5</v>
      </c>
      <c r="P44" s="112" t="s">
        <v>6</v>
      </c>
    </row>
    <row r="45" spans="1:16" ht="18" customHeight="1" thickBot="1" x14ac:dyDescent="0.35">
      <c r="A45" s="46">
        <v>34</v>
      </c>
      <c r="B45" s="115">
        <v>4657</v>
      </c>
      <c r="C45" s="119" t="s">
        <v>109</v>
      </c>
      <c r="D45" s="85">
        <f>SUM('10ªCEJ-U-L PORT'!H42)</f>
        <v>9</v>
      </c>
      <c r="E45" s="86">
        <f>SUM('10ªCEJ-U-INGLES'!H42)</f>
        <v>11</v>
      </c>
      <c r="F45" s="86">
        <f>SUM('10ªCEJ-U-MAT'!H42)</f>
        <v>10</v>
      </c>
      <c r="G45" s="86">
        <f>SUM('10ªCEJ-U-INFOR'!H42)</f>
        <v>10.25</v>
      </c>
      <c r="H45" s="86">
        <f>SUM('10ªCEJ-U-ED. FIS'!H42)</f>
        <v>13</v>
      </c>
      <c r="I45" s="86">
        <f>SUM('10ªCEJ-U-INT. DTO'!H42)</f>
        <v>9</v>
      </c>
      <c r="J45" s="86">
        <f>SUM('10ªCEJ-U-INT. ECO'!H42)</f>
        <v>16.5</v>
      </c>
      <c r="K45" s="86">
        <f>SUM('10ªCEJ-U-HIST.'!H42)</f>
        <v>14</v>
      </c>
      <c r="L45" s="86">
        <f>SUM('10ªCEJ-U-GEO'!H42)</f>
        <v>11.5</v>
      </c>
      <c r="M45" s="87">
        <f>SUM('10ªCEJ-U-EMPREEND'!H42)</f>
        <v>10.5</v>
      </c>
      <c r="N45" s="95" t="s">
        <v>8</v>
      </c>
      <c r="O45" s="56">
        <f t="shared" si="0"/>
        <v>11.475</v>
      </c>
      <c r="P45" s="112" t="s">
        <v>6</v>
      </c>
    </row>
    <row r="46" spans="1:16" ht="18" customHeight="1" thickBot="1" x14ac:dyDescent="0.35">
      <c r="A46" s="46">
        <v>35</v>
      </c>
      <c r="B46" s="115">
        <v>4690</v>
      </c>
      <c r="C46" s="119" t="s">
        <v>110</v>
      </c>
      <c r="D46" s="85">
        <f>SUM('10ªCEJ-U-L PORT'!H43)</f>
        <v>11.25</v>
      </c>
      <c r="E46" s="86">
        <f>SUM('10ªCEJ-U-INGLES'!H43)</f>
        <v>10</v>
      </c>
      <c r="F46" s="86">
        <f>SUM('10ªCEJ-U-MAT'!H43)</f>
        <v>0</v>
      </c>
      <c r="G46" s="86">
        <f>SUM('10ªCEJ-U-INFOR'!H43)</f>
        <v>13.5</v>
      </c>
      <c r="H46" s="86">
        <f>SUM('10ªCEJ-U-ED. FIS'!H43)</f>
        <v>16</v>
      </c>
      <c r="I46" s="86">
        <f>SUM('10ªCEJ-U-INT. DTO'!H43)</f>
        <v>10</v>
      </c>
      <c r="J46" s="86">
        <f>SUM('10ªCEJ-U-INT. ECO'!H43)</f>
        <v>17.5</v>
      </c>
      <c r="K46" s="86">
        <f>SUM('10ªCEJ-U-HIST.'!H43)</f>
        <v>14</v>
      </c>
      <c r="L46" s="86">
        <f>SUM('10ªCEJ-U-GEO'!H43)</f>
        <v>15.5</v>
      </c>
      <c r="M46" s="87">
        <f>SUM('10ªCEJ-U-EMPREEND'!H43)</f>
        <v>16</v>
      </c>
      <c r="N46" s="95" t="s">
        <v>8</v>
      </c>
      <c r="O46" s="56">
        <f t="shared" si="0"/>
        <v>12.375</v>
      </c>
      <c r="P46" s="112" t="s">
        <v>5</v>
      </c>
    </row>
    <row r="47" spans="1:16" ht="18" customHeight="1" thickBot="1" x14ac:dyDescent="0.35">
      <c r="A47" s="46">
        <v>36</v>
      </c>
      <c r="B47" s="116">
        <v>4773</v>
      </c>
      <c r="C47" s="120" t="s">
        <v>111</v>
      </c>
      <c r="D47" s="85">
        <f>SUM('10ªCEJ-U-L PORT'!H44)</f>
        <v>9.75</v>
      </c>
      <c r="E47" s="86">
        <f>SUM('10ªCEJ-U-INGLES'!H44)</f>
        <v>12.5</v>
      </c>
      <c r="F47" s="86">
        <f>SUM('10ªCEJ-U-MAT'!H44)</f>
        <v>0</v>
      </c>
      <c r="G47" s="86">
        <f>SUM('10ªCEJ-U-INFOR'!H44)</f>
        <v>11.5</v>
      </c>
      <c r="H47" s="86">
        <f>SUM('10ªCEJ-U-ED. FIS'!H44)</f>
        <v>8</v>
      </c>
      <c r="I47" s="86">
        <f>SUM('10ªCEJ-U-INT. DTO'!H44)</f>
        <v>8.5</v>
      </c>
      <c r="J47" s="86">
        <f>SUM('10ªCEJ-U-INT. ECO'!H44)</f>
        <v>17.5</v>
      </c>
      <c r="K47" s="86">
        <f>SUM('10ªCEJ-U-HIST.'!H44)</f>
        <v>11</v>
      </c>
      <c r="L47" s="86">
        <f>SUM('10ªCEJ-U-GEO'!H44)</f>
        <v>10.5</v>
      </c>
      <c r="M47" s="87">
        <f>SUM('10ªCEJ-U-EMPREEND'!H44)</f>
        <v>13</v>
      </c>
      <c r="N47" s="95" t="s">
        <v>8</v>
      </c>
      <c r="O47" s="56">
        <f t="shared" ref="O47:O49" si="3">AVERAGE(D47:M47)</f>
        <v>10.225</v>
      </c>
      <c r="P47" s="113" t="s">
        <v>6</v>
      </c>
    </row>
    <row r="48" spans="1:16" ht="18" customHeight="1" thickBot="1" x14ac:dyDescent="0.35">
      <c r="A48" s="46">
        <v>37</v>
      </c>
      <c r="B48" s="161">
        <v>4616</v>
      </c>
      <c r="C48" s="119" t="s">
        <v>112</v>
      </c>
      <c r="D48" s="85">
        <f>SUM('10ªCEJ-U-L PORT'!H45)</f>
        <v>12</v>
      </c>
      <c r="E48" s="86">
        <f>SUM('10ªCEJ-U-INGLES'!H45)</f>
        <v>18.5</v>
      </c>
      <c r="F48" s="86">
        <f>SUM('10ªCEJ-U-MAT'!H45)</f>
        <v>6.5</v>
      </c>
      <c r="G48" s="86">
        <f>SUM('10ªCEJ-U-INFOR'!H45)</f>
        <v>14.25</v>
      </c>
      <c r="H48" s="86">
        <f>SUM('10ªCEJ-U-ED. FIS'!H45)</f>
        <v>8</v>
      </c>
      <c r="I48" s="86">
        <f>SUM('10ªCEJ-U-INT. DTO'!H45)</f>
        <v>8.5</v>
      </c>
      <c r="J48" s="86">
        <f>SUM('10ªCEJ-U-INT. ECO'!H45)</f>
        <v>13</v>
      </c>
      <c r="K48" s="86">
        <f>SUM('10ªCEJ-U-HIST.'!H45)</f>
        <v>16.5</v>
      </c>
      <c r="L48" s="86">
        <f>SUM('10ªCEJ-U-GEO'!H45)</f>
        <v>18</v>
      </c>
      <c r="M48" s="87">
        <f>SUM('10ªCEJ-U-EMPREEND'!H45)</f>
        <v>10.5</v>
      </c>
      <c r="N48" s="95" t="s">
        <v>8</v>
      </c>
      <c r="O48" s="56">
        <f t="shared" si="3"/>
        <v>12.574999999999999</v>
      </c>
      <c r="P48" s="112" t="s">
        <v>5</v>
      </c>
    </row>
    <row r="49" spans="1:16" ht="18" customHeight="1" thickBot="1" x14ac:dyDescent="0.35">
      <c r="A49" s="46">
        <v>38</v>
      </c>
      <c r="B49" s="117">
        <v>4680</v>
      </c>
      <c r="C49" s="121" t="s">
        <v>113</v>
      </c>
      <c r="D49" s="88">
        <f>SUM('10ªCEJ-U-L PORT'!H46)</f>
        <v>0</v>
      </c>
      <c r="E49" s="89">
        <f>SUM('10ªCEJ-U-INGLES'!H46)</f>
        <v>0</v>
      </c>
      <c r="F49" s="89">
        <f>SUM('10ªCEJ-U-MAT'!H46)</f>
        <v>0</v>
      </c>
      <c r="G49" s="89">
        <f>SUM('10ªCEJ-U-INFOR'!H46)</f>
        <v>0</v>
      </c>
      <c r="H49" s="89">
        <f>SUM('10ªCEJ-U-ED. FIS'!H46)</f>
        <v>0</v>
      </c>
      <c r="I49" s="89">
        <f>SUM('10ªCEJ-U-INT. DTO'!H46)</f>
        <v>0</v>
      </c>
      <c r="J49" s="89">
        <f>SUM('10ªCEJ-U-INT. ECO'!H46)</f>
        <v>0</v>
      </c>
      <c r="K49" s="89">
        <f>SUM('10ªCEJ-U-HIST.'!H46)</f>
        <v>0</v>
      </c>
      <c r="L49" s="89">
        <f>SUM('10ªCEJ-U-GEO'!H46)</f>
        <v>0</v>
      </c>
      <c r="M49" s="90">
        <f>SUM('10ªCEJ-U-EMPREEND'!H46)</f>
        <v>0</v>
      </c>
      <c r="N49" s="97" t="s">
        <v>117</v>
      </c>
      <c r="O49" s="57">
        <f t="shared" si="3"/>
        <v>0</v>
      </c>
      <c r="P49" s="112" t="s">
        <v>5</v>
      </c>
    </row>
    <row r="50" spans="1:16" ht="6" customHeight="1" x14ac:dyDescent="0.3">
      <c r="A50" s="11"/>
      <c r="B50" s="11"/>
      <c r="C50" s="12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4"/>
      <c r="O50" s="14"/>
    </row>
    <row r="51" spans="1:16" ht="19.5" customHeight="1" x14ac:dyDescent="0.3">
      <c r="A51" s="11"/>
      <c r="B51" s="11"/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  <c r="O51" s="14"/>
    </row>
    <row r="52" spans="1:16" ht="13.5" customHeight="1" x14ac:dyDescent="0.3">
      <c r="A52" s="207" t="s">
        <v>54</v>
      </c>
      <c r="B52" s="207"/>
      <c r="C52" s="207"/>
      <c r="D52" s="207"/>
      <c r="E52" s="207"/>
      <c r="F52" s="207"/>
      <c r="G52" s="207"/>
      <c r="H52" s="207"/>
      <c r="I52" s="207"/>
      <c r="J52" s="207"/>
      <c r="K52" s="207"/>
      <c r="L52" s="207"/>
      <c r="M52" s="207"/>
      <c r="N52" s="207"/>
      <c r="O52" s="52"/>
    </row>
    <row r="53" spans="1:16" ht="13.5" customHeight="1" x14ac:dyDescent="0.3">
      <c r="A53" s="15"/>
      <c r="B53" s="25"/>
      <c r="C53" s="15"/>
      <c r="D53" s="15"/>
      <c r="E53" s="15"/>
      <c r="F53" s="15"/>
      <c r="G53" s="15"/>
      <c r="H53" s="15"/>
      <c r="I53" s="15"/>
      <c r="J53" s="15"/>
      <c r="K53" s="25"/>
      <c r="L53" s="15"/>
      <c r="M53" s="15"/>
      <c r="N53" s="15"/>
      <c r="O53" s="25"/>
    </row>
    <row r="54" spans="1:16" ht="13.5" customHeight="1" x14ac:dyDescent="0.3">
      <c r="A54" s="15"/>
      <c r="B54" s="25"/>
      <c r="C54" s="15"/>
      <c r="D54" s="15"/>
      <c r="E54" s="15"/>
      <c r="F54" s="15"/>
      <c r="G54" s="15"/>
      <c r="H54" s="15"/>
      <c r="I54" s="15"/>
      <c r="J54" s="15"/>
      <c r="K54" s="25"/>
      <c r="L54" s="15"/>
      <c r="M54" s="15"/>
      <c r="N54" s="15"/>
      <c r="O54" s="25"/>
    </row>
    <row r="55" spans="1:16" ht="14.25" customHeight="1" x14ac:dyDescent="0.3">
      <c r="A55" s="208" t="s">
        <v>65</v>
      </c>
      <c r="B55" s="208"/>
      <c r="C55" s="208"/>
      <c r="D55" s="208"/>
      <c r="E55" s="208"/>
      <c r="F55" s="16"/>
      <c r="G55" s="16"/>
      <c r="H55" s="16"/>
      <c r="I55" s="16"/>
      <c r="J55" s="16"/>
      <c r="K55" s="16"/>
      <c r="L55" s="208" t="s">
        <v>9</v>
      </c>
      <c r="M55" s="208"/>
      <c r="N55" s="208"/>
      <c r="O55" s="53"/>
    </row>
    <row r="56" spans="1:16" ht="8.25" customHeight="1" x14ac:dyDescent="0.3">
      <c r="A56" s="209" t="s">
        <v>22</v>
      </c>
      <c r="B56" s="210"/>
      <c r="C56" s="210"/>
      <c r="D56" s="210"/>
      <c r="E56" s="210"/>
      <c r="F56" s="16"/>
      <c r="G56" s="16"/>
      <c r="H56" s="16"/>
      <c r="I56" s="16"/>
      <c r="J56" s="16"/>
      <c r="K56" s="16"/>
      <c r="L56" s="209" t="s">
        <v>10</v>
      </c>
      <c r="M56" s="210"/>
      <c r="N56" s="210"/>
      <c r="O56" s="54"/>
    </row>
    <row r="57" spans="1:16" ht="15.6" x14ac:dyDescent="0.3">
      <c r="A57" s="205" t="s">
        <v>78</v>
      </c>
      <c r="B57" s="205"/>
      <c r="C57" s="205"/>
      <c r="D57" s="205"/>
      <c r="E57" s="205"/>
      <c r="L57" s="206" t="s">
        <v>23</v>
      </c>
      <c r="M57" s="206"/>
      <c r="N57" s="206"/>
      <c r="O57" s="51"/>
    </row>
  </sheetData>
  <mergeCells count="30">
    <mergeCell ref="O10:O11"/>
    <mergeCell ref="R17:R18"/>
    <mergeCell ref="S17:S18"/>
    <mergeCell ref="R19:T19"/>
    <mergeCell ref="U19:Y19"/>
    <mergeCell ref="U14:V14"/>
    <mergeCell ref="W14:X14"/>
    <mergeCell ref="Q10:X10"/>
    <mergeCell ref="Q11:R11"/>
    <mergeCell ref="S11:T11"/>
    <mergeCell ref="U11:V11"/>
    <mergeCell ref="W11:X11"/>
    <mergeCell ref="Q14:R14"/>
    <mergeCell ref="S14:T14"/>
    <mergeCell ref="A1:N1"/>
    <mergeCell ref="A8:N8"/>
    <mergeCell ref="A10:A11"/>
    <mergeCell ref="C10:C11"/>
    <mergeCell ref="D10:M10"/>
    <mergeCell ref="N10:N11"/>
    <mergeCell ref="B10:B11"/>
    <mergeCell ref="A9:N9"/>
    <mergeCell ref="R20:R21"/>
    <mergeCell ref="A57:E57"/>
    <mergeCell ref="L57:N57"/>
    <mergeCell ref="A52:N52"/>
    <mergeCell ref="A55:E55"/>
    <mergeCell ref="L55:N55"/>
    <mergeCell ref="A56:E56"/>
    <mergeCell ref="L56:N56"/>
  </mergeCells>
  <conditionalFormatting sqref="D12:M51">
    <cfRule type="cellIs" dxfId="267" priority="20" stopIfTrue="1" operator="lessThan">
      <formula>9.49</formula>
    </cfRule>
    <cfRule type="cellIs" dxfId="266" priority="21" stopIfTrue="1" operator="greaterThanOrEqual">
      <formula>9.5</formula>
    </cfRule>
  </conditionalFormatting>
  <conditionalFormatting sqref="U13:X14">
    <cfRule type="cellIs" dxfId="265" priority="19" stopIfTrue="1" operator="greaterThanOrEqual">
      <formula>0.1</formula>
    </cfRule>
  </conditionalFormatting>
  <conditionalFormatting sqref="U13:X14">
    <cfRule type="cellIs" dxfId="264" priority="18" stopIfTrue="1" operator="equal">
      <formula>0</formula>
    </cfRule>
  </conditionalFormatting>
  <conditionalFormatting sqref="S13:T14">
    <cfRule type="cellIs" dxfId="263" priority="17" stopIfTrue="1" operator="greaterThanOrEqual">
      <formula>0</formula>
    </cfRule>
  </conditionalFormatting>
  <conditionalFormatting sqref="N39:N49 N13:N36">
    <cfRule type="cellIs" dxfId="262" priority="15" stopIfTrue="1" operator="equal">
      <formula>"N/TRANSITA"</formula>
    </cfRule>
    <cfRule type="cellIs" dxfId="261" priority="16" stopIfTrue="1" operator="equal">
      <formula>"TRANSITA"</formula>
    </cfRule>
  </conditionalFormatting>
  <conditionalFormatting sqref="O12:O49">
    <cfRule type="cellIs" dxfId="260" priority="1" stopIfTrue="1" operator="lessThanOrEqual">
      <formula>9.9</formula>
    </cfRule>
    <cfRule type="cellIs" dxfId="259" priority="2" stopIfTrue="1" operator="greaterThanOrEqual">
      <formula>10</formula>
    </cfRule>
  </conditionalFormatting>
  <pageMargins left="0.29803921568627451" right="0.14901960784313725" top="0.42843137254901958" bottom="0.27009803921568626" header="0.35433070866141736" footer="0.31496062992125984"/>
  <pageSetup paperSize="9" scale="94" orientation="portrait" horizontalDpi="4294967293" verticalDpi="4294967293" r:id="rId1"/>
  <colBreaks count="1" manualBreakCount="1">
    <brk id="15" max="104857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stopIfTrue="1" operator="containsText" id="{F6B0EB12-D3EF-434C-857A-A8F6BE376D57}">
            <xm:f>NOT(ISERROR(SEARCH("N/TRANSITA",N12)))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6" stopIfTrue="1" operator="containsText" id="{EFF6449E-1667-4969-A05E-AA70771FC7EA}">
            <xm:f>NOT(ISERROR(SEARCH("TRANSITA",N12)))</xm:f>
            <xm:f>"TRANSITA"</xm:f>
            <x14:dxf>
              <font>
                <b/>
                <i val="0"/>
                <color rgb="FF0000FF"/>
              </font>
            </x14:dxf>
          </x14:cfRule>
          <xm:sqref>N12</xm:sqref>
        </x14:conditionalFormatting>
        <x14:conditionalFormatting xmlns:xm="http://schemas.microsoft.com/office/excel/2006/main">
          <x14:cfRule type="containsText" priority="3" stopIfTrue="1" operator="containsText" id="{0FE96EDE-9216-47BE-893A-0D1737F5D24C}">
            <xm:f>NOT(ISERROR(SEARCH("N/TRANSITA",N37)))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4" stopIfTrue="1" operator="containsText" id="{10CE952C-9911-47DE-9234-F1DFF6639B2E}">
            <xm:f>NOT(ISERROR(SEARCH("TRANSITA",N37)))</xm:f>
            <xm:f>"TRANSITA"</xm:f>
            <x14:dxf>
              <font>
                <b/>
                <i val="0"/>
                <color rgb="FF0000FF"/>
              </font>
            </x14:dxf>
          </x14:cfRule>
          <xm:sqref>N37:N38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Y57"/>
  <sheetViews>
    <sheetView showGridLines="0" tabSelected="1" topLeftCell="A7" zoomScale="85" zoomScaleNormal="85" zoomScalePageLayoutView="80" workbookViewId="0">
      <selection activeCell="N30" sqref="N30"/>
    </sheetView>
  </sheetViews>
  <sheetFormatPr defaultColWidth="9.109375" defaultRowHeight="14.4" x14ac:dyDescent="0.3"/>
  <cols>
    <col min="1" max="1" width="4.5546875" style="1" customWidth="1"/>
    <col min="2" max="2" width="9.33203125" style="1" customWidth="1"/>
    <col min="3" max="3" width="33.6640625" style="1" customWidth="1"/>
    <col min="4" max="4" width="10.109375" style="1" customWidth="1"/>
    <col min="5" max="7" width="7.109375" style="1" customWidth="1"/>
    <col min="8" max="8" width="8" style="1" customWidth="1"/>
    <col min="9" max="9" width="9.33203125" style="1" customWidth="1"/>
    <col min="10" max="10" width="8.44140625" style="1" customWidth="1"/>
    <col min="11" max="13" width="7.109375" style="1" customWidth="1"/>
    <col min="14" max="14" width="13.33203125" style="1" customWidth="1"/>
    <col min="15" max="15" width="7.33203125" style="1" customWidth="1"/>
    <col min="16" max="18" width="9.109375" style="1"/>
    <col min="19" max="24" width="9.44140625" style="1" bestFit="1" customWidth="1"/>
    <col min="25" max="16384" width="9.109375" style="1"/>
  </cols>
  <sheetData>
    <row r="1" spans="1:24" ht="36" customHeight="1" x14ac:dyDescent="0.3">
      <c r="A1" s="211" t="s">
        <v>42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164"/>
    </row>
    <row r="2" spans="1:24" ht="9.6" customHeight="1" x14ac:dyDescent="0.3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24" ht="9.6" customHeight="1" x14ac:dyDescent="0.3">
      <c r="A3" s="4"/>
      <c r="B3" s="4"/>
      <c r="C3" s="5" t="s"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24" ht="11.4" customHeight="1" x14ac:dyDescent="0.3">
      <c r="A4" s="7"/>
      <c r="B4" s="7"/>
      <c r="C4" s="8" t="s">
        <v>30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24" ht="8.25" customHeight="1" x14ac:dyDescent="0.3">
      <c r="A5" s="7"/>
      <c r="B5" s="7"/>
      <c r="C5" s="9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24" ht="12.75" customHeight="1" x14ac:dyDescent="0.3">
      <c r="A6" s="7"/>
      <c r="B6" s="7"/>
      <c r="C6" s="10" t="s">
        <v>11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24" ht="31.5" customHeight="1" x14ac:dyDescent="0.3">
      <c r="A7" s="7"/>
      <c r="B7" s="7"/>
      <c r="C7" s="10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24" ht="24" customHeight="1" x14ac:dyDescent="0.35">
      <c r="A8" s="212" t="s">
        <v>119</v>
      </c>
      <c r="B8" s="213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5"/>
      <c r="O8" s="126"/>
      <c r="Q8" s="27"/>
      <c r="R8" s="27"/>
      <c r="S8" s="27"/>
      <c r="T8" s="27"/>
      <c r="U8" s="27"/>
    </row>
    <row r="9" spans="1:24" ht="28.5" customHeight="1" thickBot="1" x14ac:dyDescent="0.45">
      <c r="A9" s="224" t="s">
        <v>72</v>
      </c>
      <c r="B9" s="225"/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6"/>
      <c r="O9" s="126"/>
      <c r="Q9" s="27"/>
      <c r="R9" s="27"/>
      <c r="S9" s="27"/>
      <c r="T9" s="27"/>
      <c r="U9" s="27"/>
    </row>
    <row r="10" spans="1:24" ht="12.75" customHeight="1" x14ac:dyDescent="0.3">
      <c r="A10" s="216" t="s">
        <v>24</v>
      </c>
      <c r="B10" s="216" t="s">
        <v>25</v>
      </c>
      <c r="C10" s="216" t="s">
        <v>1</v>
      </c>
      <c r="D10" s="219" t="s">
        <v>2</v>
      </c>
      <c r="E10" s="220"/>
      <c r="F10" s="220"/>
      <c r="G10" s="220"/>
      <c r="H10" s="220"/>
      <c r="I10" s="220"/>
      <c r="J10" s="220"/>
      <c r="K10" s="220"/>
      <c r="L10" s="220"/>
      <c r="M10" s="221"/>
      <c r="N10" s="222" t="s">
        <v>3</v>
      </c>
      <c r="O10" s="227" t="s">
        <v>46</v>
      </c>
      <c r="P10" s="58"/>
      <c r="Q10" s="236" t="s">
        <v>31</v>
      </c>
      <c r="R10" s="236"/>
      <c r="S10" s="236"/>
      <c r="T10" s="236"/>
      <c r="U10" s="236"/>
      <c r="V10" s="236"/>
      <c r="W10" s="236"/>
      <c r="X10" s="236"/>
    </row>
    <row r="11" spans="1:24" ht="22.8" thickBot="1" x14ac:dyDescent="0.35">
      <c r="A11" s="217"/>
      <c r="B11" s="218"/>
      <c r="C11" s="218"/>
      <c r="D11" s="153" t="s">
        <v>63</v>
      </c>
      <c r="E11" s="154" t="s">
        <v>58</v>
      </c>
      <c r="F11" s="154" t="s">
        <v>59</v>
      </c>
      <c r="G11" s="154" t="s">
        <v>60</v>
      </c>
      <c r="H11" s="158" t="s">
        <v>61</v>
      </c>
      <c r="I11" s="155" t="s">
        <v>74</v>
      </c>
      <c r="J11" s="155" t="s">
        <v>75</v>
      </c>
      <c r="K11" s="155" t="s">
        <v>76</v>
      </c>
      <c r="L11" s="155" t="s">
        <v>77</v>
      </c>
      <c r="M11" s="156" t="s">
        <v>62</v>
      </c>
      <c r="N11" s="223"/>
      <c r="O11" s="228"/>
      <c r="P11" s="59" t="s">
        <v>4</v>
      </c>
      <c r="Q11" s="236" t="s">
        <v>32</v>
      </c>
      <c r="R11" s="236"/>
      <c r="S11" s="237" t="s">
        <v>7</v>
      </c>
      <c r="T11" s="237"/>
      <c r="U11" s="238" t="s">
        <v>8</v>
      </c>
      <c r="V11" s="238"/>
      <c r="W11" s="239" t="s">
        <v>33</v>
      </c>
      <c r="X11" s="239"/>
    </row>
    <row r="12" spans="1:24" ht="18" customHeight="1" thickTop="1" thickBot="1" x14ac:dyDescent="0.35">
      <c r="A12" s="45">
        <v>1</v>
      </c>
      <c r="B12" s="114">
        <v>4570</v>
      </c>
      <c r="C12" s="118" t="s">
        <v>79</v>
      </c>
      <c r="D12" s="82">
        <f>SUM('10ªCEJ-U-L PORT'!M9)</f>
        <v>13</v>
      </c>
      <c r="E12" s="83">
        <f>SUM('10ªCEJ-U-INGLES'!M9)</f>
        <v>17.5</v>
      </c>
      <c r="F12" s="83">
        <f>SUM('10ªCEJ-U-MAT'!M9)</f>
        <v>12</v>
      </c>
      <c r="G12" s="83">
        <f>SUM('10ªCEJ-U-INFOR'!M9)</f>
        <v>13.5</v>
      </c>
      <c r="H12" s="83">
        <f>SUM('10ªCEJ-U-ED. FIS'!M9)</f>
        <v>7</v>
      </c>
      <c r="I12" s="83">
        <f>SUM('10ªCEJ-U-INT. DTO'!M9)</f>
        <v>11</v>
      </c>
      <c r="J12" s="83">
        <f>SUM('10ªCEJ-U-INT. ECO'!M9)</f>
        <v>13</v>
      </c>
      <c r="K12" s="83">
        <f>SUM('10ªCEJ-U-HIST.'!M9)</f>
        <v>15</v>
      </c>
      <c r="L12" s="83">
        <f>SUM('10ªCEJ-U-GEO'!M9)</f>
        <v>16.5</v>
      </c>
      <c r="M12" s="84">
        <f>SUM('10ªCEJ-U-EMPREEND'!M9)</f>
        <v>14</v>
      </c>
      <c r="N12" s="69" t="s">
        <v>8</v>
      </c>
      <c r="O12" s="55">
        <f t="shared" ref="O12:O49" si="0">AVERAGE(D12:M12)</f>
        <v>13.25</v>
      </c>
      <c r="P12" s="111" t="s">
        <v>6</v>
      </c>
      <c r="Q12" s="47" t="s">
        <v>5</v>
      </c>
      <c r="R12" s="163" t="s">
        <v>6</v>
      </c>
      <c r="S12" s="28" t="s">
        <v>5</v>
      </c>
      <c r="T12" s="28" t="s">
        <v>6</v>
      </c>
      <c r="U12" s="28" t="s">
        <v>5</v>
      </c>
      <c r="V12" s="28" t="s">
        <v>6</v>
      </c>
      <c r="W12" s="28" t="s">
        <v>5</v>
      </c>
      <c r="X12" s="28" t="s">
        <v>6</v>
      </c>
    </row>
    <row r="13" spans="1:24" ht="18" customHeight="1" thickBot="1" x14ac:dyDescent="0.35">
      <c r="A13" s="46">
        <v>2</v>
      </c>
      <c r="B13" s="116">
        <v>306</v>
      </c>
      <c r="C13" s="120" t="s">
        <v>80</v>
      </c>
      <c r="D13" s="85">
        <f>SUM('10ªCEJ-U-L PORT'!M10)</f>
        <v>5.75</v>
      </c>
      <c r="E13" s="86">
        <f>SUM('10ªCEJ-U-INGLES'!M10)</f>
        <v>9.5</v>
      </c>
      <c r="F13" s="86">
        <f>SUM('10ªCEJ-U-MAT'!M10)</f>
        <v>12</v>
      </c>
      <c r="G13" s="86">
        <f>SUM('10ªCEJ-U-INFOR'!M10)</f>
        <v>4.5</v>
      </c>
      <c r="H13" s="86">
        <f>SUM('10ªCEJ-U-ED. FIS'!M10)</f>
        <v>0</v>
      </c>
      <c r="I13" s="86">
        <f>SUM('10ªCEJ-U-INT. DTO'!M10)</f>
        <v>0</v>
      </c>
      <c r="J13" s="86">
        <f>SUM('10ªCEJ-U-INT. ECO'!M10)</f>
        <v>10</v>
      </c>
      <c r="K13" s="86">
        <f>SUM('10ªCEJ-U-HIST.'!M10)</f>
        <v>5</v>
      </c>
      <c r="L13" s="86">
        <f>SUM('10ªCEJ-U-GEO'!M10)</f>
        <v>6.25</v>
      </c>
      <c r="M13" s="87">
        <f>SUM('10ªCEJ-U-EMPREEND'!M10)</f>
        <v>2.5</v>
      </c>
      <c r="N13" s="95" t="s">
        <v>8</v>
      </c>
      <c r="O13" s="56">
        <f t="shared" si="0"/>
        <v>5.55</v>
      </c>
      <c r="P13" s="113" t="s">
        <v>5</v>
      </c>
      <c r="Q13" s="48">
        <f>COUNTIF(P12:P49,"M")</f>
        <v>16</v>
      </c>
      <c r="R13" s="29">
        <f>COUNTIF(P12:P49,"F")</f>
        <v>22</v>
      </c>
      <c r="S13" s="30">
        <f>COUNTIFS(N12:N49,"Transita",P12:P49,"M")</f>
        <v>1</v>
      </c>
      <c r="T13" s="30">
        <f>COUNTIFS(N12:N49,"Transita",P12:P49,"F")</f>
        <v>2</v>
      </c>
      <c r="U13" s="30">
        <f>COUNTIFS(N12:N49,"N/Transita",P12:P49,"M")</f>
        <v>8</v>
      </c>
      <c r="V13" s="30">
        <f>COUNTIFS(N12:N49,"N/Transita",P12:P49,"F")</f>
        <v>13</v>
      </c>
      <c r="W13" s="30">
        <f>COUNTIFS(N12:N49,"DESISTIDO",P12:P49,"M")</f>
        <v>7</v>
      </c>
      <c r="X13" s="30">
        <f>COUNTIFS(N12:N49,"DESISTIDA",P12:P49,"F")</f>
        <v>7</v>
      </c>
    </row>
    <row r="14" spans="1:24" ht="18" customHeight="1" thickBot="1" x14ac:dyDescent="0.35">
      <c r="A14" s="46">
        <v>3</v>
      </c>
      <c r="B14" s="115">
        <v>4536</v>
      </c>
      <c r="C14" s="119" t="s">
        <v>81</v>
      </c>
      <c r="D14" s="85">
        <f>SUM('10ªCEJ-U-L PORT'!M11)</f>
        <v>0</v>
      </c>
      <c r="E14" s="86">
        <f>SUM('10ªCEJ-U-INGLES'!M11)</f>
        <v>0</v>
      </c>
      <c r="F14" s="86">
        <f>SUM('10ªCEJ-U-MAT'!M11)</f>
        <v>12</v>
      </c>
      <c r="G14" s="86">
        <f>SUM('10ªCEJ-U-INFOR'!M11)</f>
        <v>0</v>
      </c>
      <c r="H14" s="86">
        <f>SUM('10ªCEJ-U-ED. FIS'!M11)</f>
        <v>0</v>
      </c>
      <c r="I14" s="86">
        <f>SUM('10ªCEJ-U-INT. DTO'!M11)</f>
        <v>0</v>
      </c>
      <c r="J14" s="86">
        <f>SUM('10ªCEJ-U-INT. ECO'!M11)</f>
        <v>0</v>
      </c>
      <c r="K14" s="86">
        <f>SUM('10ªCEJ-U-HIST.'!M11)</f>
        <v>0</v>
      </c>
      <c r="L14" s="86">
        <f>SUM('10ªCEJ-U-GEO'!M11)</f>
        <v>0</v>
      </c>
      <c r="M14" s="87">
        <f>SUM('10ªCEJ-U-EMPREEND'!M11)</f>
        <v>0</v>
      </c>
      <c r="N14" s="95" t="s">
        <v>117</v>
      </c>
      <c r="O14" s="56">
        <f t="shared" si="0"/>
        <v>1.2</v>
      </c>
      <c r="P14" s="112" t="s">
        <v>5</v>
      </c>
      <c r="Q14" s="240">
        <f>SUM(Q13:R13)</f>
        <v>38</v>
      </c>
      <c r="R14" s="235"/>
      <c r="S14" s="241">
        <f t="shared" ref="S14" si="1">SUM(S12:T13)</f>
        <v>3</v>
      </c>
      <c r="T14" s="241"/>
      <c r="U14" s="235">
        <f t="shared" ref="U14:W14" si="2">SUM(U12:V13)</f>
        <v>21</v>
      </c>
      <c r="V14" s="235"/>
      <c r="W14" s="235">
        <f t="shared" si="2"/>
        <v>14</v>
      </c>
      <c r="X14" s="235"/>
    </row>
    <row r="15" spans="1:24" ht="18" customHeight="1" thickBot="1" x14ac:dyDescent="0.35">
      <c r="A15" s="46">
        <v>4</v>
      </c>
      <c r="B15" s="115">
        <v>4534</v>
      </c>
      <c r="C15" s="119" t="s">
        <v>82</v>
      </c>
      <c r="D15" s="85">
        <f>SUM('10ªCEJ-U-L PORT'!M12)</f>
        <v>6.25</v>
      </c>
      <c r="E15" s="86">
        <f>SUM('10ªCEJ-U-INGLES'!M12)</f>
        <v>10</v>
      </c>
      <c r="F15" s="86">
        <f>SUM('10ªCEJ-U-MAT'!M12)</f>
        <v>12</v>
      </c>
      <c r="G15" s="86">
        <f>SUM('10ªCEJ-U-INFOR'!M12)</f>
        <v>8</v>
      </c>
      <c r="H15" s="86">
        <f>SUM('10ªCEJ-U-ED. FIS'!M12)</f>
        <v>10</v>
      </c>
      <c r="I15" s="86">
        <f>SUM('10ªCEJ-U-INT. DTO'!M12)</f>
        <v>10</v>
      </c>
      <c r="J15" s="86">
        <f>SUM('10ªCEJ-U-INT. ECO'!M12)</f>
        <v>15</v>
      </c>
      <c r="K15" s="86">
        <f>SUM('10ªCEJ-U-HIST.'!M12)</f>
        <v>12</v>
      </c>
      <c r="L15" s="86">
        <f>SUM('10ªCEJ-U-GEO'!M12)</f>
        <v>3</v>
      </c>
      <c r="M15" s="87">
        <f>SUM('10ªCEJ-U-EMPREEND'!M12)</f>
        <v>10</v>
      </c>
      <c r="N15" s="95" t="s">
        <v>8</v>
      </c>
      <c r="O15" s="56">
        <f t="shared" si="0"/>
        <v>9.625</v>
      </c>
      <c r="P15" s="112" t="s">
        <v>6</v>
      </c>
    </row>
    <row r="16" spans="1:24" ht="18" customHeight="1" thickBot="1" x14ac:dyDescent="0.35">
      <c r="A16" s="46">
        <v>5</v>
      </c>
      <c r="B16" s="116">
        <v>4748</v>
      </c>
      <c r="C16" s="120" t="s">
        <v>83</v>
      </c>
      <c r="D16" s="85">
        <f>SUM('10ªCEJ-U-L PORT'!M13)</f>
        <v>6.75</v>
      </c>
      <c r="E16" s="86">
        <f>SUM('10ªCEJ-U-INGLES'!M13)</f>
        <v>8</v>
      </c>
      <c r="F16" s="86">
        <f>SUM('10ªCEJ-U-MAT'!M13)</f>
        <v>12</v>
      </c>
      <c r="G16" s="86">
        <f>SUM('10ªCEJ-U-INFOR'!M13)</f>
        <v>9.25</v>
      </c>
      <c r="H16" s="86">
        <f>SUM('10ªCEJ-U-ED. FIS'!M13)</f>
        <v>0</v>
      </c>
      <c r="I16" s="86">
        <f>SUM('10ªCEJ-U-INT. DTO'!M13)</f>
        <v>7</v>
      </c>
      <c r="J16" s="86">
        <f>SUM('10ªCEJ-U-INT. ECO'!M13)</f>
        <v>10.5</v>
      </c>
      <c r="K16" s="86">
        <f>SUM('10ªCEJ-U-HIST.'!M13)</f>
        <v>8</v>
      </c>
      <c r="L16" s="86">
        <f>SUM('10ªCEJ-U-GEO'!M13)</f>
        <v>9</v>
      </c>
      <c r="M16" s="87">
        <f>SUM('10ªCEJ-U-EMPREEND'!M13)</f>
        <v>10</v>
      </c>
      <c r="N16" s="95" t="s">
        <v>8</v>
      </c>
      <c r="O16" s="56">
        <f t="shared" si="0"/>
        <v>8.0500000000000007</v>
      </c>
      <c r="P16" s="113" t="s">
        <v>6</v>
      </c>
    </row>
    <row r="17" spans="1:25" ht="18" customHeight="1" thickBot="1" x14ac:dyDescent="0.35">
      <c r="A17" s="46">
        <v>6</v>
      </c>
      <c r="B17" s="115">
        <v>4587</v>
      </c>
      <c r="C17" s="119" t="s">
        <v>84</v>
      </c>
      <c r="D17" s="85">
        <f>SUM('10ªCEJ-U-L PORT'!M14)</f>
        <v>3</v>
      </c>
      <c r="E17" s="86">
        <f>SUM('10ªCEJ-U-INGLES'!M14)</f>
        <v>8</v>
      </c>
      <c r="F17" s="86">
        <f>SUM('10ªCEJ-U-MAT'!M14)</f>
        <v>12</v>
      </c>
      <c r="G17" s="86">
        <f>SUM('10ªCEJ-U-INFOR'!M14)</f>
        <v>2.75</v>
      </c>
      <c r="H17" s="86">
        <f>SUM('10ªCEJ-U-ED. FIS'!M14)</f>
        <v>0</v>
      </c>
      <c r="I17" s="86">
        <f>SUM('10ªCEJ-U-INT. DTO'!M14)</f>
        <v>10</v>
      </c>
      <c r="J17" s="86">
        <f>SUM('10ªCEJ-U-INT. ECO'!M14)</f>
        <v>8</v>
      </c>
      <c r="K17" s="86">
        <f>SUM('10ªCEJ-U-HIST.'!M14)</f>
        <v>8</v>
      </c>
      <c r="L17" s="86">
        <f>SUM('10ªCEJ-U-GEO'!M14)</f>
        <v>10</v>
      </c>
      <c r="M17" s="87">
        <f>SUM('10ªCEJ-U-EMPREEND'!M14)</f>
        <v>10</v>
      </c>
      <c r="N17" s="95" t="s">
        <v>8</v>
      </c>
      <c r="O17" s="56">
        <f t="shared" si="0"/>
        <v>7.1749999999999998</v>
      </c>
      <c r="P17" s="112" t="s">
        <v>6</v>
      </c>
      <c r="R17" s="229" t="s">
        <v>47</v>
      </c>
      <c r="S17" s="231">
        <f>MAX(O12:O50)</f>
        <v>15.3</v>
      </c>
    </row>
    <row r="18" spans="1:25" ht="18" customHeight="1" thickBot="1" x14ac:dyDescent="0.35">
      <c r="A18" s="46">
        <v>7</v>
      </c>
      <c r="B18" s="115">
        <v>3480</v>
      </c>
      <c r="C18" s="119" t="s">
        <v>85</v>
      </c>
      <c r="D18" s="85">
        <f>SUM('10ªCEJ-U-L PORT'!M15)</f>
        <v>11.75</v>
      </c>
      <c r="E18" s="86">
        <f>SUM('10ªCEJ-U-INGLES'!M15)</f>
        <v>15</v>
      </c>
      <c r="F18" s="86">
        <f>SUM('10ªCEJ-U-MAT'!M15)</f>
        <v>12</v>
      </c>
      <c r="G18" s="86">
        <f>SUM('10ªCEJ-U-INFOR'!M15)</f>
        <v>13.75</v>
      </c>
      <c r="H18" s="86">
        <f>SUM('10ªCEJ-U-ED. FIS'!M15)</f>
        <v>18</v>
      </c>
      <c r="I18" s="86">
        <f>SUM('10ªCEJ-U-INT. DTO'!M15)</f>
        <v>10.5</v>
      </c>
      <c r="J18" s="86">
        <f>SUM('10ªCEJ-U-INT. ECO'!M15)</f>
        <v>17.25</v>
      </c>
      <c r="K18" s="86">
        <f>SUM('10ªCEJ-U-HIST.'!M15)</f>
        <v>15</v>
      </c>
      <c r="L18" s="86">
        <f>SUM('10ªCEJ-U-GEO'!M15)</f>
        <v>17.5</v>
      </c>
      <c r="M18" s="87">
        <f>SUM('10ªCEJ-U-EMPREEND'!M15)</f>
        <v>14.25</v>
      </c>
      <c r="N18" s="95" t="s">
        <v>7</v>
      </c>
      <c r="O18" s="56">
        <f t="shared" si="0"/>
        <v>14.5</v>
      </c>
      <c r="P18" s="112" t="s">
        <v>6</v>
      </c>
      <c r="R18" s="230"/>
      <c r="S18" s="232"/>
    </row>
    <row r="19" spans="1:25" ht="18" customHeight="1" thickBot="1" x14ac:dyDescent="0.35">
      <c r="A19" s="46">
        <v>8</v>
      </c>
      <c r="B19" s="116">
        <v>4752</v>
      </c>
      <c r="C19" s="120" t="s">
        <v>86</v>
      </c>
      <c r="D19" s="85">
        <f>SUM('10ªCEJ-U-L PORT'!M16)</f>
        <v>6</v>
      </c>
      <c r="E19" s="86">
        <f>SUM('10ªCEJ-U-INGLES'!M16)</f>
        <v>10.5</v>
      </c>
      <c r="F19" s="86">
        <f>SUM('10ªCEJ-U-MAT'!M16)</f>
        <v>12</v>
      </c>
      <c r="G19" s="86">
        <f>SUM('10ªCEJ-U-INFOR'!M16)</f>
        <v>3.25</v>
      </c>
      <c r="H19" s="86">
        <f>SUM('10ªCEJ-U-ED. FIS'!M16)</f>
        <v>0</v>
      </c>
      <c r="I19" s="86">
        <f>SUM('10ªCEJ-U-INT. DTO'!M16)</f>
        <v>9.5</v>
      </c>
      <c r="J19" s="86">
        <f>SUM('10ªCEJ-U-INT. ECO'!M16)</f>
        <v>12.5</v>
      </c>
      <c r="K19" s="86">
        <f>SUM('10ªCEJ-U-HIST.'!M16)</f>
        <v>11</v>
      </c>
      <c r="L19" s="86">
        <f>SUM('10ªCEJ-U-GEO'!M16)</f>
        <v>8</v>
      </c>
      <c r="M19" s="87">
        <f>SUM('10ªCEJ-U-EMPREEND'!M16)</f>
        <v>10</v>
      </c>
      <c r="N19" s="95" t="s">
        <v>8</v>
      </c>
      <c r="O19" s="56">
        <f t="shared" si="0"/>
        <v>8.2750000000000004</v>
      </c>
      <c r="P19" s="113" t="s">
        <v>6</v>
      </c>
      <c r="R19" s="233" t="s">
        <v>48</v>
      </c>
      <c r="S19" s="233"/>
      <c r="T19" s="233"/>
      <c r="U19" s="234" t="s">
        <v>51</v>
      </c>
      <c r="V19" s="234"/>
      <c r="W19" s="234"/>
      <c r="X19" s="234"/>
      <c r="Y19" s="234"/>
    </row>
    <row r="20" spans="1:25" ht="18" customHeight="1" thickBot="1" x14ac:dyDescent="0.35">
      <c r="A20" s="46">
        <v>9</v>
      </c>
      <c r="B20" s="115">
        <v>4640</v>
      </c>
      <c r="C20" s="119" t="s">
        <v>87</v>
      </c>
      <c r="D20" s="85">
        <f>SUM('10ªCEJ-U-L PORT'!M17)</f>
        <v>10.25</v>
      </c>
      <c r="E20" s="86">
        <f>SUM('10ªCEJ-U-INGLES'!M17)</f>
        <v>14.5</v>
      </c>
      <c r="F20" s="86">
        <f>SUM('10ªCEJ-U-MAT'!M17)</f>
        <v>12</v>
      </c>
      <c r="G20" s="86">
        <f>SUM('10ªCEJ-U-INFOR'!M17)</f>
        <v>9.25</v>
      </c>
      <c r="H20" s="86">
        <f>SUM('10ªCEJ-U-ED. FIS'!M17)</f>
        <v>14</v>
      </c>
      <c r="I20" s="86">
        <f>SUM('10ªCEJ-U-INT. DTO'!M17)</f>
        <v>12.5</v>
      </c>
      <c r="J20" s="86">
        <f>SUM('10ªCEJ-U-INT. ECO'!M17)</f>
        <v>11</v>
      </c>
      <c r="K20" s="86">
        <f>SUM('10ªCEJ-U-HIST.'!M17)</f>
        <v>12.5</v>
      </c>
      <c r="L20" s="86">
        <f>SUM('10ªCEJ-U-GEO'!M17)</f>
        <v>10.5</v>
      </c>
      <c r="M20" s="87">
        <f>SUM('10ªCEJ-U-EMPREEND'!M17)</f>
        <v>11</v>
      </c>
      <c r="N20" s="95" t="s">
        <v>8</v>
      </c>
      <c r="O20" s="56">
        <f t="shared" si="0"/>
        <v>11.75</v>
      </c>
      <c r="P20" s="112" t="s">
        <v>6</v>
      </c>
      <c r="R20" s="203" t="s">
        <v>49</v>
      </c>
      <c r="S20" s="162">
        <v>12</v>
      </c>
      <c r="T20" s="80"/>
      <c r="U20" s="81"/>
      <c r="V20" s="81"/>
      <c r="W20" s="81"/>
      <c r="X20" s="81"/>
      <c r="Y20" s="81"/>
    </row>
    <row r="21" spans="1:25" ht="18" customHeight="1" thickBot="1" x14ac:dyDescent="0.35">
      <c r="A21" s="46">
        <v>10</v>
      </c>
      <c r="B21" s="116">
        <v>4777</v>
      </c>
      <c r="C21" s="120" t="s">
        <v>88</v>
      </c>
      <c r="D21" s="85">
        <f>SUM('10ªCEJ-U-L PORT'!M18)</f>
        <v>3.25</v>
      </c>
      <c r="E21" s="86">
        <f>SUM('10ªCEJ-U-INGLES'!M18)</f>
        <v>4</v>
      </c>
      <c r="F21" s="86">
        <f>SUM('10ªCEJ-U-MAT'!M18)</f>
        <v>12</v>
      </c>
      <c r="G21" s="86">
        <f>SUM('10ªCEJ-U-INFOR'!M18)</f>
        <v>3.5</v>
      </c>
      <c r="H21" s="86">
        <f>SUM('10ªCEJ-U-ED. FIS'!M18)</f>
        <v>0</v>
      </c>
      <c r="I21" s="86">
        <f>SUM('10ªCEJ-U-INT. DTO'!M18)</f>
        <v>9.5</v>
      </c>
      <c r="J21" s="86">
        <f>SUM('10ªCEJ-U-INT. ECO'!M18)</f>
        <v>10</v>
      </c>
      <c r="K21" s="86">
        <f>SUM('10ªCEJ-U-HIST.'!M18)</f>
        <v>10.75</v>
      </c>
      <c r="L21" s="86">
        <f>SUM('10ªCEJ-U-GEO'!M18)</f>
        <v>1</v>
      </c>
      <c r="M21" s="87">
        <f>SUM('10ªCEJ-U-EMPREEND'!M18)</f>
        <v>2.5</v>
      </c>
      <c r="N21" s="96" t="s">
        <v>8</v>
      </c>
      <c r="O21" s="56">
        <f t="shared" si="0"/>
        <v>5.65</v>
      </c>
      <c r="P21" s="113" t="s">
        <v>6</v>
      </c>
      <c r="R21" s="204"/>
      <c r="S21" s="162" t="s">
        <v>53</v>
      </c>
    </row>
    <row r="22" spans="1:25" ht="18" customHeight="1" thickBot="1" x14ac:dyDescent="0.35">
      <c r="A22" s="46">
        <v>11</v>
      </c>
      <c r="B22" s="115">
        <v>3207</v>
      </c>
      <c r="C22" s="119" t="s">
        <v>89</v>
      </c>
      <c r="D22" s="85">
        <f>SUM('10ªCEJ-U-L PORT'!M19)</f>
        <v>0</v>
      </c>
      <c r="E22" s="86">
        <f>SUM('10ªCEJ-U-INGLES'!M19)</f>
        <v>0</v>
      </c>
      <c r="F22" s="86">
        <f>SUM('10ªCEJ-U-MAT'!M19)</f>
        <v>12</v>
      </c>
      <c r="G22" s="86">
        <f>SUM('10ªCEJ-U-INFOR'!M19)</f>
        <v>0</v>
      </c>
      <c r="H22" s="86">
        <f>SUM('10ªCEJ-U-ED. FIS'!M19)</f>
        <v>0</v>
      </c>
      <c r="I22" s="86">
        <f>SUM('10ªCEJ-U-INT. DTO'!M19)</f>
        <v>0</v>
      </c>
      <c r="J22" s="86">
        <f>SUM('10ªCEJ-U-INT. ECO'!M19)</f>
        <v>0</v>
      </c>
      <c r="K22" s="86">
        <f>SUM('10ªCEJ-U-HIST.'!M19)</f>
        <v>0</v>
      </c>
      <c r="L22" s="86">
        <f>SUM('10ªCEJ-U-GEO'!M19)</f>
        <v>0</v>
      </c>
      <c r="M22" s="87">
        <f>SUM('10ªCEJ-U-EMPREEND'!M19)</f>
        <v>0</v>
      </c>
      <c r="N22" s="95" t="s">
        <v>117</v>
      </c>
      <c r="O22" s="56">
        <f t="shared" si="0"/>
        <v>1.2</v>
      </c>
      <c r="P22" s="112" t="s">
        <v>5</v>
      </c>
    </row>
    <row r="23" spans="1:25" ht="18" customHeight="1" thickBot="1" x14ac:dyDescent="0.35">
      <c r="A23" s="46">
        <v>12</v>
      </c>
      <c r="B23" s="116">
        <v>4716</v>
      </c>
      <c r="C23" s="120" t="s">
        <v>90</v>
      </c>
      <c r="D23" s="85">
        <f>SUM('10ªCEJ-U-L PORT'!M20)</f>
        <v>5</v>
      </c>
      <c r="E23" s="86">
        <f>SUM('10ªCEJ-U-INGLES'!M20)</f>
        <v>3</v>
      </c>
      <c r="F23" s="86">
        <f>SUM('10ªCEJ-U-MAT'!M20)</f>
        <v>12</v>
      </c>
      <c r="G23" s="86">
        <f>SUM('10ªCEJ-U-INFOR'!M20)</f>
        <v>0</v>
      </c>
      <c r="H23" s="86">
        <f>SUM('10ªCEJ-U-ED. FIS'!M20)</f>
        <v>0</v>
      </c>
      <c r="I23" s="86">
        <f>SUM('10ªCEJ-U-INT. DTO'!M20)</f>
        <v>0</v>
      </c>
      <c r="J23" s="86">
        <f>SUM('10ªCEJ-U-INT. ECO'!M20)</f>
        <v>0</v>
      </c>
      <c r="K23" s="86">
        <f>SUM('10ªCEJ-U-HIST.'!M20)</f>
        <v>0</v>
      </c>
      <c r="L23" s="86">
        <f>SUM('10ªCEJ-U-GEO'!M20)</f>
        <v>0</v>
      </c>
      <c r="M23" s="87">
        <f>SUM('10ªCEJ-U-EMPREEND'!M20)</f>
        <v>0</v>
      </c>
      <c r="N23" s="95" t="s">
        <v>118</v>
      </c>
      <c r="O23" s="56">
        <f t="shared" si="0"/>
        <v>2</v>
      </c>
      <c r="P23" s="113" t="s">
        <v>6</v>
      </c>
    </row>
    <row r="24" spans="1:25" ht="18" customHeight="1" thickBot="1" x14ac:dyDescent="0.35">
      <c r="A24" s="46">
        <v>13</v>
      </c>
      <c r="B24" s="115">
        <v>4625</v>
      </c>
      <c r="C24" s="119" t="s">
        <v>91</v>
      </c>
      <c r="D24" s="85">
        <f>SUM('10ªCEJ-U-L PORT'!M21)</f>
        <v>0</v>
      </c>
      <c r="E24" s="86">
        <f>SUM('10ªCEJ-U-INGLES'!M21)</f>
        <v>0</v>
      </c>
      <c r="F24" s="86">
        <f>SUM('10ªCEJ-U-MAT'!M21)</f>
        <v>12</v>
      </c>
      <c r="G24" s="86">
        <f>SUM('10ªCEJ-U-INFOR'!M21)</f>
        <v>0</v>
      </c>
      <c r="H24" s="86">
        <f>SUM('10ªCEJ-U-ED. FIS'!M21)</f>
        <v>0</v>
      </c>
      <c r="I24" s="86">
        <f>SUM('10ªCEJ-U-INT. DTO'!M21)</f>
        <v>0</v>
      </c>
      <c r="J24" s="86">
        <f>SUM('10ªCEJ-U-INT. ECO'!M21)</f>
        <v>0</v>
      </c>
      <c r="K24" s="86">
        <f>SUM('10ªCEJ-U-HIST.'!M21)</f>
        <v>0</v>
      </c>
      <c r="L24" s="86">
        <f>SUM('10ªCEJ-U-GEO'!M21)</f>
        <v>0</v>
      </c>
      <c r="M24" s="87">
        <f>SUM('10ªCEJ-U-EMPREEND'!M21)</f>
        <v>0</v>
      </c>
      <c r="N24" s="95" t="s">
        <v>118</v>
      </c>
      <c r="O24" s="56">
        <f t="shared" si="0"/>
        <v>1.2</v>
      </c>
      <c r="P24" s="112" t="s">
        <v>6</v>
      </c>
    </row>
    <row r="25" spans="1:25" ht="18" customHeight="1" thickBot="1" x14ac:dyDescent="0.35">
      <c r="A25" s="46">
        <v>14</v>
      </c>
      <c r="B25" s="115">
        <v>4552</v>
      </c>
      <c r="C25" s="119" t="s">
        <v>92</v>
      </c>
      <c r="D25" s="85">
        <f>SUM('10ªCEJ-U-L PORT'!M22)</f>
        <v>7.25</v>
      </c>
      <c r="E25" s="86">
        <f>SUM('10ªCEJ-U-INGLES'!M22)</f>
        <v>14.5</v>
      </c>
      <c r="F25" s="86">
        <f>SUM('10ªCEJ-U-MAT'!M22)</f>
        <v>12</v>
      </c>
      <c r="G25" s="86">
        <f>SUM('10ªCEJ-U-INFOR'!M22)</f>
        <v>9.5</v>
      </c>
      <c r="H25" s="86">
        <f>SUM('10ªCEJ-U-ED. FIS'!M22)</f>
        <v>7</v>
      </c>
      <c r="I25" s="86">
        <f>SUM('10ªCEJ-U-INT. DTO'!M22)</f>
        <v>10</v>
      </c>
      <c r="J25" s="86">
        <f>SUM('10ªCEJ-U-INT. ECO'!M22)</f>
        <v>15</v>
      </c>
      <c r="K25" s="86">
        <f>SUM('10ªCEJ-U-HIST.'!M22)</f>
        <v>8.5</v>
      </c>
      <c r="L25" s="86">
        <f>SUM('10ªCEJ-U-GEO'!M22)</f>
        <v>9</v>
      </c>
      <c r="M25" s="87">
        <f>SUM('10ªCEJ-U-EMPREEND'!M22)</f>
        <v>11.5</v>
      </c>
      <c r="N25" s="95" t="s">
        <v>8</v>
      </c>
      <c r="O25" s="56">
        <f t="shared" si="0"/>
        <v>10.425000000000001</v>
      </c>
      <c r="P25" s="112" t="s">
        <v>6</v>
      </c>
    </row>
    <row r="26" spans="1:25" ht="18" customHeight="1" thickBot="1" x14ac:dyDescent="0.35">
      <c r="A26" s="46">
        <v>15</v>
      </c>
      <c r="B26" s="116">
        <v>4720</v>
      </c>
      <c r="C26" s="120" t="s">
        <v>114</v>
      </c>
      <c r="D26" s="85">
        <f>SUM('10ªCEJ-U-L PORT'!M23)</f>
        <v>5.5</v>
      </c>
      <c r="E26" s="86">
        <f>SUM('10ªCEJ-U-INGLES'!M23)</f>
        <v>7</v>
      </c>
      <c r="F26" s="86">
        <f>SUM('10ªCEJ-U-MAT'!M23)</f>
        <v>12</v>
      </c>
      <c r="G26" s="86">
        <f>SUM('10ªCEJ-U-INFOR'!M23)</f>
        <v>3.75</v>
      </c>
      <c r="H26" s="86">
        <f>SUM('10ªCEJ-U-ED. FIS'!M23)</f>
        <v>0</v>
      </c>
      <c r="I26" s="86">
        <f>SUM('10ªCEJ-U-INT. DTO'!M23)</f>
        <v>8.5</v>
      </c>
      <c r="J26" s="86">
        <f>SUM('10ªCEJ-U-INT. ECO'!M23)</f>
        <v>7.5</v>
      </c>
      <c r="K26" s="86">
        <f>SUM('10ªCEJ-U-HIST.'!M23)</f>
        <v>10</v>
      </c>
      <c r="L26" s="86">
        <f>SUM('10ªCEJ-U-GEO'!M23)</f>
        <v>6.25</v>
      </c>
      <c r="M26" s="87">
        <f>SUM('10ªCEJ-U-EMPREEND'!M23)</f>
        <v>2.5</v>
      </c>
      <c r="N26" s="95" t="s">
        <v>8</v>
      </c>
      <c r="O26" s="56">
        <f t="shared" si="0"/>
        <v>6.3</v>
      </c>
      <c r="P26" s="113" t="s">
        <v>6</v>
      </c>
    </row>
    <row r="27" spans="1:25" ht="18" customHeight="1" thickBot="1" x14ac:dyDescent="0.35">
      <c r="A27" s="46">
        <v>16</v>
      </c>
      <c r="B27" s="116">
        <v>4747</v>
      </c>
      <c r="C27" s="120" t="s">
        <v>93</v>
      </c>
      <c r="D27" s="85">
        <f>SUM('10ªCEJ-U-L PORT'!M24)</f>
        <v>6.75</v>
      </c>
      <c r="E27" s="86">
        <f>SUM('10ªCEJ-U-INGLES'!M24)</f>
        <v>9.5</v>
      </c>
      <c r="F27" s="86">
        <f>SUM('10ªCEJ-U-MAT'!M24)</f>
        <v>12</v>
      </c>
      <c r="G27" s="86">
        <f>SUM('10ªCEJ-U-INFOR'!M24)</f>
        <v>7.25</v>
      </c>
      <c r="H27" s="86">
        <f>SUM('10ªCEJ-U-ED. FIS'!M24)</f>
        <v>0</v>
      </c>
      <c r="I27" s="86">
        <f>SUM('10ªCEJ-U-INT. DTO'!M24)</f>
        <v>0</v>
      </c>
      <c r="J27" s="86">
        <f>SUM('10ªCEJ-U-INT. ECO'!M24)</f>
        <v>10</v>
      </c>
      <c r="K27" s="86">
        <f>SUM('10ªCEJ-U-HIST.'!M24)</f>
        <v>10.5</v>
      </c>
      <c r="L27" s="86">
        <f>SUM('10ªCEJ-U-GEO'!M24)</f>
        <v>6</v>
      </c>
      <c r="M27" s="87">
        <f>SUM('10ªCEJ-U-EMPREEND'!M24)</f>
        <v>2.5</v>
      </c>
      <c r="N27" s="95" t="s">
        <v>8</v>
      </c>
      <c r="O27" s="56">
        <f t="shared" si="0"/>
        <v>6.45</v>
      </c>
      <c r="P27" s="113" t="s">
        <v>5</v>
      </c>
    </row>
    <row r="28" spans="1:25" ht="18" customHeight="1" thickBot="1" x14ac:dyDescent="0.35">
      <c r="A28" s="46">
        <v>17</v>
      </c>
      <c r="B28" s="115">
        <v>4635</v>
      </c>
      <c r="C28" s="119" t="s">
        <v>94</v>
      </c>
      <c r="D28" s="85">
        <f>SUM('10ªCEJ-U-L PORT'!M25)</f>
        <v>0</v>
      </c>
      <c r="E28" s="86">
        <f>SUM('10ªCEJ-U-INGLES'!M25)</f>
        <v>0</v>
      </c>
      <c r="F28" s="86">
        <f>SUM('10ªCEJ-U-MAT'!M25)</f>
        <v>12</v>
      </c>
      <c r="G28" s="86">
        <f>SUM('10ªCEJ-U-INFOR'!M25)</f>
        <v>0</v>
      </c>
      <c r="H28" s="86">
        <f>SUM('10ªCEJ-U-ED. FIS'!M25)</f>
        <v>0</v>
      </c>
      <c r="I28" s="86">
        <f>SUM('10ªCEJ-U-INT. DTO'!M25)</f>
        <v>0</v>
      </c>
      <c r="J28" s="86">
        <f>SUM('10ªCEJ-U-INT. ECO'!M25)</f>
        <v>0</v>
      </c>
      <c r="K28" s="86">
        <f>SUM('10ªCEJ-U-HIST.'!M25)</f>
        <v>0</v>
      </c>
      <c r="L28" s="86">
        <f>SUM('10ªCEJ-U-GEO'!M25)</f>
        <v>0</v>
      </c>
      <c r="M28" s="87">
        <f>SUM('10ªCEJ-U-EMPREEND'!M25)</f>
        <v>0</v>
      </c>
      <c r="N28" s="95" t="s">
        <v>118</v>
      </c>
      <c r="O28" s="56">
        <f t="shared" si="0"/>
        <v>1.2</v>
      </c>
      <c r="P28" s="112" t="s">
        <v>6</v>
      </c>
    </row>
    <row r="29" spans="1:25" ht="18" customHeight="1" thickBot="1" x14ac:dyDescent="0.35">
      <c r="A29" s="46">
        <v>18</v>
      </c>
      <c r="B29" s="116">
        <v>4738</v>
      </c>
      <c r="C29" s="120" t="s">
        <v>95</v>
      </c>
      <c r="D29" s="85">
        <f>SUM('10ªCEJ-U-L PORT'!M26)</f>
        <v>7.75</v>
      </c>
      <c r="E29" s="86">
        <f>SUM('10ªCEJ-U-INGLES'!M26)</f>
        <v>11</v>
      </c>
      <c r="F29" s="86">
        <f>SUM('10ªCEJ-U-MAT'!M26)</f>
        <v>12</v>
      </c>
      <c r="G29" s="86">
        <f>SUM('10ªCEJ-U-INFOR'!M26)</f>
        <v>0.25</v>
      </c>
      <c r="H29" s="86">
        <f>SUM('10ªCEJ-U-ED. FIS'!M26)</f>
        <v>0</v>
      </c>
      <c r="I29" s="86">
        <f>SUM('10ªCEJ-U-INT. DTO'!M26)</f>
        <v>0</v>
      </c>
      <c r="J29" s="86">
        <f>SUM('10ªCEJ-U-INT. ECO'!M26)</f>
        <v>10</v>
      </c>
      <c r="K29" s="86">
        <f>SUM('10ªCEJ-U-HIST.'!M26)</f>
        <v>7.5</v>
      </c>
      <c r="L29" s="86">
        <f>SUM('10ªCEJ-U-GEO'!M26)</f>
        <v>8</v>
      </c>
      <c r="M29" s="87">
        <f>SUM('10ªCEJ-U-EMPREEND'!M26)</f>
        <v>2.5</v>
      </c>
      <c r="N29" s="95" t="s">
        <v>8</v>
      </c>
      <c r="O29" s="56">
        <f t="shared" si="0"/>
        <v>5.9</v>
      </c>
      <c r="P29" s="113" t="s">
        <v>5</v>
      </c>
    </row>
    <row r="30" spans="1:25" ht="18" customHeight="1" thickBot="1" x14ac:dyDescent="0.35">
      <c r="A30" s="46">
        <v>19</v>
      </c>
      <c r="B30" s="116">
        <v>4757</v>
      </c>
      <c r="C30" s="120" t="s">
        <v>96</v>
      </c>
      <c r="D30" s="85">
        <f>SUM('10ªCEJ-U-L PORT'!M27)</f>
        <v>0</v>
      </c>
      <c r="E30" s="86">
        <f>SUM('10ªCEJ-U-INGLES'!M27)</f>
        <v>0</v>
      </c>
      <c r="F30" s="86">
        <f>SUM('10ªCEJ-U-MAT'!M27)</f>
        <v>12</v>
      </c>
      <c r="G30" s="86">
        <f>SUM('10ªCEJ-U-INFOR'!M27)</f>
        <v>0</v>
      </c>
      <c r="H30" s="86">
        <f>SUM('10ªCEJ-U-ED. FIS'!M27)</f>
        <v>0</v>
      </c>
      <c r="I30" s="86">
        <f>SUM('10ªCEJ-U-INT. DTO'!M27)</f>
        <v>0</v>
      </c>
      <c r="J30" s="86">
        <f>SUM('10ªCEJ-U-INT. ECO'!M27)</f>
        <v>0</v>
      </c>
      <c r="K30" s="86">
        <f>SUM('10ªCEJ-U-HIST.'!M27)</f>
        <v>0</v>
      </c>
      <c r="L30" s="86">
        <f>SUM('10ªCEJ-U-GEO'!M27)</f>
        <v>0</v>
      </c>
      <c r="M30" s="87">
        <f>SUM('10ªCEJ-U-EMPREEND'!M27)</f>
        <v>0</v>
      </c>
      <c r="N30" s="95" t="s">
        <v>118</v>
      </c>
      <c r="O30" s="56">
        <f t="shared" si="0"/>
        <v>1.2</v>
      </c>
      <c r="P30" s="113" t="s">
        <v>6</v>
      </c>
    </row>
    <row r="31" spans="1:25" ht="18" customHeight="1" thickBot="1" x14ac:dyDescent="0.35">
      <c r="A31" s="46">
        <v>20</v>
      </c>
      <c r="B31" s="115">
        <v>3797</v>
      </c>
      <c r="C31" s="119" t="s">
        <v>97</v>
      </c>
      <c r="D31" s="85">
        <f>SUM('10ªCEJ-U-L PORT'!M28)</f>
        <v>1</v>
      </c>
      <c r="E31" s="86">
        <f>SUM('10ªCEJ-U-INGLES'!M28)</f>
        <v>0</v>
      </c>
      <c r="F31" s="86">
        <f>SUM('10ªCEJ-U-MAT'!M28)</f>
        <v>12</v>
      </c>
      <c r="G31" s="86">
        <f>SUM('10ªCEJ-U-INFOR'!M28)</f>
        <v>0</v>
      </c>
      <c r="H31" s="86">
        <f>SUM('10ªCEJ-U-ED. FIS'!M28)</f>
        <v>0</v>
      </c>
      <c r="I31" s="86">
        <f>SUM('10ªCEJ-U-INT. DTO'!M28)</f>
        <v>0</v>
      </c>
      <c r="J31" s="86">
        <f>SUM('10ªCEJ-U-INT. ECO'!M28)</f>
        <v>5</v>
      </c>
      <c r="K31" s="86">
        <f>SUM('10ªCEJ-U-HIST.'!M28)</f>
        <v>0</v>
      </c>
      <c r="L31" s="86">
        <f>SUM('10ªCEJ-U-GEO'!M28)</f>
        <v>0</v>
      </c>
      <c r="M31" s="87">
        <f>SUM('10ªCEJ-U-EMPREEND'!M28)</f>
        <v>0</v>
      </c>
      <c r="N31" s="95" t="s">
        <v>117</v>
      </c>
      <c r="O31" s="56">
        <f t="shared" si="0"/>
        <v>1.8</v>
      </c>
      <c r="P31" s="112" t="s">
        <v>5</v>
      </c>
    </row>
    <row r="32" spans="1:25" ht="18" customHeight="1" thickBot="1" x14ac:dyDescent="0.35">
      <c r="A32" s="46">
        <v>21</v>
      </c>
      <c r="B32" s="115">
        <v>4673</v>
      </c>
      <c r="C32" s="119" t="s">
        <v>98</v>
      </c>
      <c r="D32" s="85">
        <f>SUM('10ªCEJ-U-L PORT'!M29)</f>
        <v>8.5</v>
      </c>
      <c r="E32" s="86">
        <f>SUM('10ªCEJ-U-INGLES'!M29)</f>
        <v>8</v>
      </c>
      <c r="F32" s="86">
        <f>SUM('10ªCEJ-U-MAT'!M29)</f>
        <v>12</v>
      </c>
      <c r="G32" s="86">
        <f>SUM('10ªCEJ-U-INFOR'!M29)</f>
        <v>4.5</v>
      </c>
      <c r="H32" s="86">
        <f>SUM('10ªCEJ-U-ED. FIS'!M29)</f>
        <v>0</v>
      </c>
      <c r="I32" s="86">
        <f>SUM('10ªCEJ-U-INT. DTO'!M29)</f>
        <v>10</v>
      </c>
      <c r="J32" s="86">
        <f>SUM('10ªCEJ-U-INT. ECO'!M29)</f>
        <v>5</v>
      </c>
      <c r="K32" s="86">
        <f>SUM('10ªCEJ-U-HIST.'!M29)</f>
        <v>10</v>
      </c>
      <c r="L32" s="86">
        <f>SUM('10ªCEJ-U-GEO'!M29)</f>
        <v>2</v>
      </c>
      <c r="M32" s="87">
        <f>SUM('10ªCEJ-U-EMPREEND'!M29)</f>
        <v>10</v>
      </c>
      <c r="N32" s="95" t="s">
        <v>8</v>
      </c>
      <c r="O32" s="56">
        <f t="shared" si="0"/>
        <v>7</v>
      </c>
      <c r="P32" s="159" t="s">
        <v>5</v>
      </c>
    </row>
    <row r="33" spans="1:16" ht="18" customHeight="1" thickTop="1" thickBot="1" x14ac:dyDescent="0.35">
      <c r="A33" s="46">
        <v>22</v>
      </c>
      <c r="B33" s="116">
        <v>4729</v>
      </c>
      <c r="C33" s="120" t="s">
        <v>99</v>
      </c>
      <c r="D33" s="85">
        <f>SUM('10ªCEJ-U-L PORT'!M30)</f>
        <v>0</v>
      </c>
      <c r="E33" s="86">
        <f>SUM('10ªCEJ-U-INGLES'!M30)</f>
        <v>0</v>
      </c>
      <c r="F33" s="86">
        <f>SUM('10ªCEJ-U-MAT'!M30)</f>
        <v>12</v>
      </c>
      <c r="G33" s="86">
        <f>SUM('10ªCEJ-U-INFOR'!M30)</f>
        <v>0</v>
      </c>
      <c r="H33" s="86">
        <f>SUM('10ªCEJ-U-ED. FIS'!M30)</f>
        <v>0</v>
      </c>
      <c r="I33" s="86">
        <f>SUM('10ªCEJ-U-INT. DTO'!M30)</f>
        <v>0</v>
      </c>
      <c r="J33" s="86">
        <f>SUM('10ªCEJ-U-INT. ECO'!M30)</f>
        <v>0</v>
      </c>
      <c r="K33" s="86">
        <f>SUM('10ªCEJ-U-HIST.'!M30)</f>
        <v>0</v>
      </c>
      <c r="L33" s="86">
        <f>SUM('10ªCEJ-U-GEO'!M30)</f>
        <v>0</v>
      </c>
      <c r="M33" s="87">
        <f>SUM('10ªCEJ-U-EMPREEND'!M30)</f>
        <v>0</v>
      </c>
      <c r="N33" s="95" t="s">
        <v>118</v>
      </c>
      <c r="O33" s="56">
        <f t="shared" si="0"/>
        <v>1.2</v>
      </c>
      <c r="P33" s="160" t="s">
        <v>6</v>
      </c>
    </row>
    <row r="34" spans="1:16" ht="18" customHeight="1" thickBot="1" x14ac:dyDescent="0.35">
      <c r="A34" s="46">
        <v>23</v>
      </c>
      <c r="B34" s="115">
        <v>4626</v>
      </c>
      <c r="C34" s="119" t="s">
        <v>100</v>
      </c>
      <c r="D34" s="85">
        <f>SUM('10ªCEJ-U-L PORT'!M31)</f>
        <v>8.5</v>
      </c>
      <c r="E34" s="86">
        <f>SUM('10ªCEJ-U-INGLES'!M31)</f>
        <v>17.5</v>
      </c>
      <c r="F34" s="86">
        <f>SUM('10ªCEJ-U-MAT'!M31)</f>
        <v>12</v>
      </c>
      <c r="G34" s="86">
        <f>SUM('10ªCEJ-U-INFOR'!M31)</f>
        <v>15.75</v>
      </c>
      <c r="H34" s="86">
        <f>SUM('10ªCEJ-U-ED. FIS'!M31)</f>
        <v>7</v>
      </c>
      <c r="I34" s="86">
        <f>SUM('10ªCEJ-U-INT. DTO'!M31)</f>
        <v>9.5</v>
      </c>
      <c r="J34" s="86">
        <f>SUM('10ªCEJ-U-INT. ECO'!M31)</f>
        <v>12.5</v>
      </c>
      <c r="K34" s="86">
        <f>SUM('10ªCEJ-U-HIST.'!M31)</f>
        <v>13.5</v>
      </c>
      <c r="L34" s="86">
        <f>SUM('10ªCEJ-U-GEO'!M31)</f>
        <v>13.5</v>
      </c>
      <c r="M34" s="87">
        <f>SUM('10ªCEJ-U-EMPREEND'!M31)</f>
        <v>10.5</v>
      </c>
      <c r="N34" s="95" t="s">
        <v>8</v>
      </c>
      <c r="O34" s="56">
        <f t="shared" si="0"/>
        <v>12.025</v>
      </c>
      <c r="P34" s="112" t="s">
        <v>5</v>
      </c>
    </row>
    <row r="35" spans="1:16" ht="18" customHeight="1" thickBot="1" x14ac:dyDescent="0.35">
      <c r="A35" s="46">
        <v>24</v>
      </c>
      <c r="B35" s="115">
        <v>4569</v>
      </c>
      <c r="C35" s="119" t="s">
        <v>101</v>
      </c>
      <c r="D35" s="85">
        <f>SUM('10ªCEJ-U-L PORT'!M32)</f>
        <v>2</v>
      </c>
      <c r="E35" s="86">
        <f>SUM('10ªCEJ-U-INGLES'!M32)</f>
        <v>0</v>
      </c>
      <c r="F35" s="86">
        <f>SUM('10ªCEJ-U-MAT'!M32)</f>
        <v>12</v>
      </c>
      <c r="G35" s="86">
        <f>SUM('10ªCEJ-U-INFOR'!M32)</f>
        <v>0</v>
      </c>
      <c r="H35" s="86">
        <f>SUM('10ªCEJ-U-ED. FIS'!M32)</f>
        <v>0</v>
      </c>
      <c r="I35" s="86">
        <f>SUM('10ªCEJ-U-INT. DTO'!M32)</f>
        <v>0</v>
      </c>
      <c r="J35" s="86">
        <f>SUM('10ªCEJ-U-INT. ECO'!M32)</f>
        <v>0</v>
      </c>
      <c r="K35" s="86">
        <f>SUM('10ªCEJ-U-HIST.'!M32)</f>
        <v>0</v>
      </c>
      <c r="L35" s="86">
        <f>SUM('10ªCEJ-U-GEO'!M32)</f>
        <v>0</v>
      </c>
      <c r="M35" s="87">
        <f>SUM('10ªCEJ-U-EMPREEND'!M32)</f>
        <v>0</v>
      </c>
      <c r="N35" s="95" t="s">
        <v>117</v>
      </c>
      <c r="O35" s="56">
        <f t="shared" si="0"/>
        <v>1.4</v>
      </c>
      <c r="P35" s="112" t="s">
        <v>5</v>
      </c>
    </row>
    <row r="36" spans="1:16" ht="18" customHeight="1" thickBot="1" x14ac:dyDescent="0.35">
      <c r="A36" s="46">
        <v>25</v>
      </c>
      <c r="B36" s="116">
        <v>4736</v>
      </c>
      <c r="C36" s="120" t="s">
        <v>102</v>
      </c>
      <c r="D36" s="85">
        <f>SUM('10ªCEJ-U-L PORT'!M33)</f>
        <v>0</v>
      </c>
      <c r="E36" s="86">
        <f>SUM('10ªCEJ-U-INGLES'!M33)</f>
        <v>0</v>
      </c>
      <c r="F36" s="86">
        <f>SUM('10ªCEJ-U-MAT'!M33)</f>
        <v>12</v>
      </c>
      <c r="G36" s="86">
        <f>SUM('10ªCEJ-U-INFOR'!M33)</f>
        <v>0</v>
      </c>
      <c r="H36" s="86">
        <f>SUM('10ªCEJ-U-ED. FIS'!M33)</f>
        <v>0</v>
      </c>
      <c r="I36" s="86">
        <f>SUM('10ªCEJ-U-INT. DTO'!M33)</f>
        <v>0</v>
      </c>
      <c r="J36" s="86">
        <f>SUM('10ªCEJ-U-INT. ECO'!M33)</f>
        <v>0</v>
      </c>
      <c r="K36" s="86">
        <f>SUM('10ªCEJ-U-HIST.'!M33)</f>
        <v>0</v>
      </c>
      <c r="L36" s="86">
        <f>SUM('10ªCEJ-U-GEO'!M33)</f>
        <v>0</v>
      </c>
      <c r="M36" s="87">
        <f>SUM('10ªCEJ-U-EMPREEND'!M33)</f>
        <v>0</v>
      </c>
      <c r="N36" s="95" t="s">
        <v>117</v>
      </c>
      <c r="O36" s="56">
        <f t="shared" si="0"/>
        <v>1.2</v>
      </c>
      <c r="P36" s="113" t="s">
        <v>5</v>
      </c>
    </row>
    <row r="37" spans="1:16" ht="18" customHeight="1" thickBot="1" x14ac:dyDescent="0.35">
      <c r="A37" s="46">
        <v>26</v>
      </c>
      <c r="B37" s="115">
        <v>4540</v>
      </c>
      <c r="C37" s="119" t="s">
        <v>103</v>
      </c>
      <c r="D37" s="85">
        <f>SUM('10ªCEJ-U-L PORT'!M34)</f>
        <v>13.5</v>
      </c>
      <c r="E37" s="86">
        <f>SUM('10ªCEJ-U-INGLES'!M34)</f>
        <v>18</v>
      </c>
      <c r="F37" s="86">
        <f>SUM('10ªCEJ-U-MAT'!M34)</f>
        <v>12</v>
      </c>
      <c r="G37" s="86">
        <f>SUM('10ªCEJ-U-INFOR'!M34)</f>
        <v>14.75</v>
      </c>
      <c r="H37" s="86">
        <f>SUM('10ªCEJ-U-ED. FIS'!M34)</f>
        <v>12</v>
      </c>
      <c r="I37" s="86">
        <f>SUM('10ªCEJ-U-INT. DTO'!M34)</f>
        <v>15</v>
      </c>
      <c r="J37" s="86">
        <f>SUM('10ªCEJ-U-INT. ECO'!M34)</f>
        <v>16.5</v>
      </c>
      <c r="K37" s="86">
        <f>SUM('10ªCEJ-U-HIST.'!M34)</f>
        <v>19</v>
      </c>
      <c r="L37" s="86">
        <f>SUM('10ªCEJ-U-GEO'!M34)</f>
        <v>16.5</v>
      </c>
      <c r="M37" s="87">
        <f>SUM('10ªCEJ-U-EMPREEND'!M34)</f>
        <v>15.75</v>
      </c>
      <c r="N37" s="69" t="s">
        <v>7</v>
      </c>
      <c r="O37" s="56">
        <f t="shared" si="0"/>
        <v>15.3</v>
      </c>
      <c r="P37" s="112" t="s">
        <v>5</v>
      </c>
    </row>
    <row r="38" spans="1:16" ht="18" customHeight="1" thickBot="1" x14ac:dyDescent="0.35">
      <c r="A38" s="46">
        <v>27</v>
      </c>
      <c r="B38" s="116">
        <v>4701</v>
      </c>
      <c r="C38" s="120" t="s">
        <v>115</v>
      </c>
      <c r="D38" s="85">
        <f>SUM('10ªCEJ-U-L PORT'!M35)</f>
        <v>2.5</v>
      </c>
      <c r="E38" s="86">
        <f>SUM('10ªCEJ-U-INGLES'!M35)</f>
        <v>8</v>
      </c>
      <c r="F38" s="86">
        <f>SUM('10ªCEJ-U-MAT'!M35)</f>
        <v>12</v>
      </c>
      <c r="G38" s="86">
        <f>SUM('10ªCEJ-U-INFOR'!M35)</f>
        <v>1.75</v>
      </c>
      <c r="H38" s="86">
        <f>SUM('10ªCEJ-U-ED. FIS'!M35)</f>
        <v>0</v>
      </c>
      <c r="I38" s="86">
        <f>SUM('10ªCEJ-U-INT. DTO'!M35)</f>
        <v>11</v>
      </c>
      <c r="J38" s="86">
        <f>SUM('10ªCEJ-U-INT. ECO'!M35)</f>
        <v>9</v>
      </c>
      <c r="K38" s="86">
        <f>SUM('10ªCEJ-U-HIST.'!M35)</f>
        <v>10.5</v>
      </c>
      <c r="L38" s="86">
        <f>SUM('10ªCEJ-U-GEO'!M35)</f>
        <v>5.5</v>
      </c>
      <c r="M38" s="87">
        <f>SUM('10ªCEJ-U-EMPREEND'!M35)</f>
        <v>3</v>
      </c>
      <c r="N38" s="69" t="s">
        <v>8</v>
      </c>
      <c r="O38" s="56">
        <f t="shared" si="0"/>
        <v>6.3250000000000002</v>
      </c>
      <c r="P38" s="113" t="s">
        <v>6</v>
      </c>
    </row>
    <row r="39" spans="1:16" ht="18" customHeight="1" thickBot="1" x14ac:dyDescent="0.35">
      <c r="A39" s="46">
        <v>28</v>
      </c>
      <c r="B39" s="116">
        <v>4707</v>
      </c>
      <c r="C39" s="120" t="s">
        <v>116</v>
      </c>
      <c r="D39" s="85">
        <f>SUM('10ªCEJ-U-L PORT'!M36)</f>
        <v>0</v>
      </c>
      <c r="E39" s="86">
        <f>SUM('10ªCEJ-U-INGLES'!M36)</f>
        <v>0</v>
      </c>
      <c r="F39" s="86">
        <f>SUM('10ªCEJ-U-MAT'!M36)</f>
        <v>12</v>
      </c>
      <c r="G39" s="86">
        <f>SUM('10ªCEJ-U-INFOR'!M36)</f>
        <v>0</v>
      </c>
      <c r="H39" s="86">
        <f>SUM('10ªCEJ-U-ED. FIS'!M36)</f>
        <v>0</v>
      </c>
      <c r="I39" s="86">
        <f>SUM('10ªCEJ-U-INT. DTO'!M36)</f>
        <v>0</v>
      </c>
      <c r="J39" s="86">
        <f>SUM('10ªCEJ-U-INT. ECO'!M36)</f>
        <v>0</v>
      </c>
      <c r="K39" s="86">
        <f>SUM('10ªCEJ-U-HIST.'!M36)</f>
        <v>0</v>
      </c>
      <c r="L39" s="86">
        <f>SUM('10ªCEJ-U-GEO'!M36)</f>
        <v>0</v>
      </c>
      <c r="M39" s="87">
        <f>SUM('10ªCEJ-U-EMPREEND'!M36)</f>
        <v>0</v>
      </c>
      <c r="N39" s="95" t="s">
        <v>118</v>
      </c>
      <c r="O39" s="56">
        <f t="shared" si="0"/>
        <v>1.2</v>
      </c>
      <c r="P39" s="113" t="s">
        <v>6</v>
      </c>
    </row>
    <row r="40" spans="1:16" ht="18" customHeight="1" thickBot="1" x14ac:dyDescent="0.35">
      <c r="A40" s="46">
        <v>29</v>
      </c>
      <c r="B40" s="115">
        <v>4527</v>
      </c>
      <c r="C40" s="119" t="s">
        <v>104</v>
      </c>
      <c r="D40" s="85">
        <f>SUM('10ªCEJ-U-L PORT'!M37)</f>
        <v>1.75</v>
      </c>
      <c r="E40" s="86">
        <f>SUM('10ªCEJ-U-INGLES'!M37)</f>
        <v>4</v>
      </c>
      <c r="F40" s="86">
        <f>SUM('10ªCEJ-U-MAT'!M37)</f>
        <v>12</v>
      </c>
      <c r="G40" s="86">
        <f>SUM('10ªCEJ-U-INFOR'!M37)</f>
        <v>0</v>
      </c>
      <c r="H40" s="86">
        <f>SUM('10ªCEJ-U-ED. FIS'!M37)</f>
        <v>0</v>
      </c>
      <c r="I40" s="86">
        <f>SUM('10ªCEJ-U-INT. DTO'!M37)</f>
        <v>0</v>
      </c>
      <c r="J40" s="86">
        <f>SUM('10ªCEJ-U-INT. ECO'!M37)</f>
        <v>0</v>
      </c>
      <c r="K40" s="86">
        <f>SUM('10ªCEJ-U-HIST.'!M37)</f>
        <v>0</v>
      </c>
      <c r="L40" s="86">
        <f>SUM('10ªCEJ-U-GEO'!M37)</f>
        <v>0</v>
      </c>
      <c r="M40" s="87">
        <f>SUM('10ªCEJ-U-EMPREEND'!M37)</f>
        <v>2.5</v>
      </c>
      <c r="N40" s="95" t="s">
        <v>117</v>
      </c>
      <c r="O40" s="56">
        <f t="shared" si="0"/>
        <v>2.0249999999999999</v>
      </c>
      <c r="P40" s="112" t="s">
        <v>5</v>
      </c>
    </row>
    <row r="41" spans="1:16" ht="18" customHeight="1" thickBot="1" x14ac:dyDescent="0.35">
      <c r="A41" s="46">
        <v>30</v>
      </c>
      <c r="B41" s="115">
        <v>4576</v>
      </c>
      <c r="C41" s="119" t="s">
        <v>105</v>
      </c>
      <c r="D41" s="85">
        <f>SUM('10ªCEJ-U-L PORT'!M38)</f>
        <v>14</v>
      </c>
      <c r="E41" s="86">
        <f>SUM('10ªCEJ-U-INGLES'!M38)</f>
        <v>13</v>
      </c>
      <c r="F41" s="86">
        <f>SUM('10ªCEJ-U-MAT'!M38)</f>
        <v>12</v>
      </c>
      <c r="G41" s="86">
        <f>SUM('10ªCEJ-U-INFOR'!M38)</f>
        <v>13.5</v>
      </c>
      <c r="H41" s="86">
        <f>SUM('10ªCEJ-U-ED. FIS'!M38)</f>
        <v>10</v>
      </c>
      <c r="I41" s="86">
        <f>SUM('10ªCEJ-U-INT. DTO'!M38)</f>
        <v>11.5</v>
      </c>
      <c r="J41" s="86">
        <f>SUM('10ªCEJ-U-INT. ECO'!M38)</f>
        <v>16.5</v>
      </c>
      <c r="K41" s="86">
        <f>SUM('10ªCEJ-U-HIST.'!M38)</f>
        <v>13.5</v>
      </c>
      <c r="L41" s="86">
        <f>SUM('10ªCEJ-U-GEO'!M38)</f>
        <v>14.5</v>
      </c>
      <c r="M41" s="87">
        <f>SUM('10ªCEJ-U-EMPREEND'!M38)</f>
        <v>11.25</v>
      </c>
      <c r="N41" s="95" t="s">
        <v>7</v>
      </c>
      <c r="O41" s="56">
        <f t="shared" si="0"/>
        <v>12.975</v>
      </c>
      <c r="P41" s="112" t="s">
        <v>6</v>
      </c>
    </row>
    <row r="42" spans="1:16" ht="18" customHeight="1" thickBot="1" x14ac:dyDescent="0.35">
      <c r="A42" s="46">
        <v>31</v>
      </c>
      <c r="B42" s="116">
        <v>4756</v>
      </c>
      <c r="C42" s="120" t="s">
        <v>106</v>
      </c>
      <c r="D42" s="85">
        <f>SUM('10ªCEJ-U-L PORT'!M39)</f>
        <v>4</v>
      </c>
      <c r="E42" s="86">
        <f>SUM('10ªCEJ-U-INGLES'!M39)</f>
        <v>9</v>
      </c>
      <c r="F42" s="86">
        <f>SUM('10ªCEJ-U-MAT'!M39)</f>
        <v>12</v>
      </c>
      <c r="G42" s="86">
        <f>SUM('10ªCEJ-U-INFOR'!M39)</f>
        <v>1.5</v>
      </c>
      <c r="H42" s="86">
        <f>SUM('10ªCEJ-U-ED. FIS'!M39)</f>
        <v>0</v>
      </c>
      <c r="I42" s="86">
        <f>SUM('10ªCEJ-U-INT. DTO'!M39)</f>
        <v>8.5</v>
      </c>
      <c r="J42" s="86">
        <f>SUM('10ªCEJ-U-INT. ECO'!M39)</f>
        <v>7.5</v>
      </c>
      <c r="K42" s="86">
        <f>SUM('10ªCEJ-U-HIST.'!M39)</f>
        <v>8</v>
      </c>
      <c r="L42" s="86">
        <f>SUM('10ªCEJ-U-GEO'!M39)</f>
        <v>4</v>
      </c>
      <c r="M42" s="87">
        <f>SUM('10ªCEJ-U-EMPREEND'!M39)</f>
        <v>2.5</v>
      </c>
      <c r="N42" s="95" t="s">
        <v>8</v>
      </c>
      <c r="O42" s="56">
        <f t="shared" si="0"/>
        <v>5.7</v>
      </c>
      <c r="P42" s="113" t="s">
        <v>6</v>
      </c>
    </row>
    <row r="43" spans="1:16" ht="18" customHeight="1" thickBot="1" x14ac:dyDescent="0.35">
      <c r="A43" s="46">
        <v>32</v>
      </c>
      <c r="B43" s="116">
        <v>4762</v>
      </c>
      <c r="C43" s="120" t="s">
        <v>107</v>
      </c>
      <c r="D43" s="85">
        <f>SUM('10ªCEJ-U-L PORT'!M40)</f>
        <v>2.5</v>
      </c>
      <c r="E43" s="86">
        <f>SUM('10ªCEJ-U-INGLES'!M40)</f>
        <v>0</v>
      </c>
      <c r="F43" s="86">
        <f>SUM('10ªCEJ-U-MAT'!M40)</f>
        <v>12</v>
      </c>
      <c r="G43" s="86">
        <f>SUM('10ªCEJ-U-INFOR'!M40)</f>
        <v>0</v>
      </c>
      <c r="H43" s="86">
        <f>SUM('10ªCEJ-U-ED. FIS'!M40)</f>
        <v>0</v>
      </c>
      <c r="I43" s="86">
        <f>SUM('10ªCEJ-U-INT. DTO'!M40)</f>
        <v>0</v>
      </c>
      <c r="J43" s="86">
        <f>SUM('10ªCEJ-U-INT. ECO'!M40)</f>
        <v>0</v>
      </c>
      <c r="K43" s="86">
        <f>SUM('10ªCEJ-U-HIST.'!M40)</f>
        <v>2.5</v>
      </c>
      <c r="L43" s="86">
        <f>SUM('10ªCEJ-U-GEO'!M40)</f>
        <v>0</v>
      </c>
      <c r="M43" s="87">
        <f>SUM('10ªCEJ-U-EMPREEND'!M40)</f>
        <v>2.5</v>
      </c>
      <c r="N43" s="95" t="s">
        <v>8</v>
      </c>
      <c r="O43" s="56">
        <f t="shared" si="0"/>
        <v>1.95</v>
      </c>
      <c r="P43" s="113" t="s">
        <v>5</v>
      </c>
    </row>
    <row r="44" spans="1:16" ht="18" customHeight="1" thickBot="1" x14ac:dyDescent="0.35">
      <c r="A44" s="46">
        <v>33</v>
      </c>
      <c r="B44" s="115">
        <v>4672</v>
      </c>
      <c r="C44" s="119" t="s">
        <v>108</v>
      </c>
      <c r="D44" s="85">
        <f>SUM('10ªCEJ-U-L PORT'!M41)</f>
        <v>0</v>
      </c>
      <c r="E44" s="86">
        <f>SUM('10ªCEJ-U-INGLES'!M41)</f>
        <v>0</v>
      </c>
      <c r="F44" s="86">
        <f>SUM('10ªCEJ-U-MAT'!M41)</f>
        <v>12</v>
      </c>
      <c r="G44" s="86">
        <f>SUM('10ªCEJ-U-INFOR'!M41)</f>
        <v>0</v>
      </c>
      <c r="H44" s="86">
        <f>SUM('10ªCEJ-U-ED. FIS'!M41)</f>
        <v>0</v>
      </c>
      <c r="I44" s="86">
        <f>SUM('10ªCEJ-U-INT. DTO'!M41)</f>
        <v>0</v>
      </c>
      <c r="J44" s="86">
        <f>SUM('10ªCEJ-U-INT. ECO'!M41)</f>
        <v>0</v>
      </c>
      <c r="K44" s="86">
        <f>SUM('10ªCEJ-U-HIST.'!M41)</f>
        <v>0</v>
      </c>
      <c r="L44" s="86">
        <f>SUM('10ªCEJ-U-GEO'!M41)</f>
        <v>0</v>
      </c>
      <c r="M44" s="87">
        <f>SUM('10ªCEJ-U-EMPREEND'!M41)</f>
        <v>0</v>
      </c>
      <c r="N44" s="95" t="s">
        <v>118</v>
      </c>
      <c r="O44" s="56">
        <f t="shared" si="0"/>
        <v>1.2</v>
      </c>
      <c r="P44" s="112" t="s">
        <v>6</v>
      </c>
    </row>
    <row r="45" spans="1:16" ht="18" customHeight="1" thickBot="1" x14ac:dyDescent="0.35">
      <c r="A45" s="46">
        <v>34</v>
      </c>
      <c r="B45" s="115">
        <v>4657</v>
      </c>
      <c r="C45" s="119" t="s">
        <v>109</v>
      </c>
      <c r="D45" s="85">
        <f>SUM('10ªCEJ-U-L PORT'!M42)</f>
        <v>5</v>
      </c>
      <c r="E45" s="86">
        <f>SUM('10ªCEJ-U-INGLES'!M42)</f>
        <v>7.5</v>
      </c>
      <c r="F45" s="86">
        <f>SUM('10ªCEJ-U-MAT'!M42)</f>
        <v>12</v>
      </c>
      <c r="G45" s="86">
        <f>SUM('10ªCEJ-U-INFOR'!M42)</f>
        <v>0</v>
      </c>
      <c r="H45" s="86">
        <f>SUM('10ªCEJ-U-ED. FIS'!M42)</f>
        <v>8</v>
      </c>
      <c r="I45" s="86">
        <f>SUM('10ªCEJ-U-INT. DTO'!M42)</f>
        <v>6</v>
      </c>
      <c r="J45" s="86">
        <f>SUM('10ªCEJ-U-INT. ECO'!M42)</f>
        <v>15.5</v>
      </c>
      <c r="K45" s="86">
        <f>SUM('10ªCEJ-U-HIST.'!M42)</f>
        <v>10.5</v>
      </c>
      <c r="L45" s="86">
        <f>SUM('10ªCEJ-U-GEO'!M42)</f>
        <v>8.5</v>
      </c>
      <c r="M45" s="87">
        <f>SUM('10ªCEJ-U-EMPREEND'!M42)</f>
        <v>10</v>
      </c>
      <c r="N45" s="95" t="s">
        <v>8</v>
      </c>
      <c r="O45" s="56">
        <f t="shared" si="0"/>
        <v>8.3000000000000007</v>
      </c>
      <c r="P45" s="112" t="s">
        <v>6</v>
      </c>
    </row>
    <row r="46" spans="1:16" ht="18" customHeight="1" thickBot="1" x14ac:dyDescent="0.35">
      <c r="A46" s="46">
        <v>35</v>
      </c>
      <c r="B46" s="115">
        <v>4690</v>
      </c>
      <c r="C46" s="119" t="s">
        <v>110</v>
      </c>
      <c r="D46" s="85">
        <f>SUM('10ªCEJ-U-L PORT'!M43)</f>
        <v>6.25</v>
      </c>
      <c r="E46" s="86">
        <f>SUM('10ªCEJ-U-INGLES'!M43)</f>
        <v>11</v>
      </c>
      <c r="F46" s="86">
        <f>SUM('10ªCEJ-U-MAT'!M43)</f>
        <v>12</v>
      </c>
      <c r="G46" s="86">
        <f>SUM('10ªCEJ-U-INFOR'!M43)</f>
        <v>11.25</v>
      </c>
      <c r="H46" s="86">
        <f>SUM('10ªCEJ-U-ED. FIS'!M43)</f>
        <v>12</v>
      </c>
      <c r="I46" s="86">
        <f>SUM('10ªCEJ-U-INT. DTO'!M43)</f>
        <v>5</v>
      </c>
      <c r="J46" s="86">
        <f>SUM('10ªCEJ-U-INT. ECO'!M43)</f>
        <v>12</v>
      </c>
      <c r="K46" s="86">
        <f>SUM('10ªCEJ-U-HIST.'!M43)</f>
        <v>15</v>
      </c>
      <c r="L46" s="86">
        <f>SUM('10ªCEJ-U-GEO'!M43)</f>
        <v>12</v>
      </c>
      <c r="M46" s="87">
        <f>SUM('10ªCEJ-U-EMPREEND'!M43)</f>
        <v>10.5</v>
      </c>
      <c r="N46" s="95" t="s">
        <v>8</v>
      </c>
      <c r="O46" s="56">
        <f t="shared" si="0"/>
        <v>10.7</v>
      </c>
      <c r="P46" s="112" t="s">
        <v>5</v>
      </c>
    </row>
    <row r="47" spans="1:16" ht="18" customHeight="1" thickBot="1" x14ac:dyDescent="0.35">
      <c r="A47" s="46">
        <v>36</v>
      </c>
      <c r="B47" s="116">
        <v>4773</v>
      </c>
      <c r="C47" s="120" t="s">
        <v>111</v>
      </c>
      <c r="D47" s="85">
        <f>SUM('10ªCEJ-U-L PORT'!M44)</f>
        <v>8.75</v>
      </c>
      <c r="E47" s="86">
        <f>SUM('10ªCEJ-U-INGLES'!M44)</f>
        <v>13.5</v>
      </c>
      <c r="F47" s="86">
        <f>SUM('10ªCEJ-U-MAT'!M44)</f>
        <v>12</v>
      </c>
      <c r="G47" s="86">
        <f>SUM('10ªCEJ-U-INFOR'!M44)</f>
        <v>13.35</v>
      </c>
      <c r="H47" s="86">
        <f>SUM('10ªCEJ-U-ED. FIS'!M44)</f>
        <v>0</v>
      </c>
      <c r="I47" s="86">
        <f>SUM('10ªCEJ-U-INT. DTO'!M44)</f>
        <v>9.5</v>
      </c>
      <c r="J47" s="86">
        <f>SUM('10ªCEJ-U-INT. ECO'!M44)</f>
        <v>16.5</v>
      </c>
      <c r="K47" s="86">
        <f>SUM('10ªCEJ-U-HIST.'!M44)</f>
        <v>13.5</v>
      </c>
      <c r="L47" s="86">
        <f>SUM('10ªCEJ-U-GEO'!M44)</f>
        <v>15.5</v>
      </c>
      <c r="M47" s="87">
        <f>SUM('10ªCEJ-U-EMPREEND'!M44)</f>
        <v>10.5</v>
      </c>
      <c r="N47" s="95" t="s">
        <v>8</v>
      </c>
      <c r="O47" s="56">
        <f t="shared" si="0"/>
        <v>11.309999999999999</v>
      </c>
      <c r="P47" s="113" t="s">
        <v>6</v>
      </c>
    </row>
    <row r="48" spans="1:16" ht="18" customHeight="1" thickBot="1" x14ac:dyDescent="0.35">
      <c r="A48" s="46">
        <v>37</v>
      </c>
      <c r="B48" s="161">
        <v>4616</v>
      </c>
      <c r="C48" s="119" t="s">
        <v>112</v>
      </c>
      <c r="D48" s="85">
        <f>SUM('10ªCEJ-U-L PORT'!M45)</f>
        <v>3</v>
      </c>
      <c r="E48" s="86">
        <f>SUM('10ªCEJ-U-INGLES'!M45)</f>
        <v>0</v>
      </c>
      <c r="F48" s="86">
        <f>SUM('10ªCEJ-U-MAT'!M45)</f>
        <v>12</v>
      </c>
      <c r="G48" s="86">
        <f>SUM('10ªCEJ-U-INFOR'!M45)</f>
        <v>0</v>
      </c>
      <c r="H48" s="86">
        <f>SUM('10ªCEJ-U-ED. FIS'!M45)</f>
        <v>0</v>
      </c>
      <c r="I48" s="86">
        <f>SUM('10ªCEJ-U-INT. DTO'!M45)</f>
        <v>0</v>
      </c>
      <c r="J48" s="86">
        <f>SUM('10ªCEJ-U-INT. ECO'!M45)</f>
        <v>0</v>
      </c>
      <c r="K48" s="86">
        <f>SUM('10ªCEJ-U-HIST.'!M45)</f>
        <v>7</v>
      </c>
      <c r="L48" s="86">
        <f>SUM('10ªCEJ-U-GEO'!M45)</f>
        <v>0</v>
      </c>
      <c r="M48" s="87">
        <f>SUM('10ªCEJ-U-EMPREEND'!M45)</f>
        <v>0</v>
      </c>
      <c r="N48" s="95" t="s">
        <v>8</v>
      </c>
      <c r="O48" s="56">
        <f t="shared" si="0"/>
        <v>2.2000000000000002</v>
      </c>
      <c r="P48" s="112" t="s">
        <v>5</v>
      </c>
    </row>
    <row r="49" spans="1:16" ht="18" customHeight="1" thickBot="1" x14ac:dyDescent="0.35">
      <c r="A49" s="46">
        <v>38</v>
      </c>
      <c r="B49" s="117">
        <v>4680</v>
      </c>
      <c r="C49" s="121" t="s">
        <v>113</v>
      </c>
      <c r="D49" s="88">
        <f>SUM('10ªCEJ-U-L PORT'!M46)</f>
        <v>0</v>
      </c>
      <c r="E49" s="89">
        <f>SUM('10ªCEJ-U-INGLES'!M46)</f>
        <v>0</v>
      </c>
      <c r="F49" s="89">
        <f>SUM('10ªCEJ-U-MAT'!M46)</f>
        <v>12</v>
      </c>
      <c r="G49" s="89">
        <f>SUM('10ªCEJ-U-INFOR'!M46)</f>
        <v>0</v>
      </c>
      <c r="H49" s="89">
        <f>SUM('10ªCEJ-U-ED. FIS'!M46)</f>
        <v>0</v>
      </c>
      <c r="I49" s="89">
        <f>SUM('10ªCEJ-U-INT. DTO'!M46)</f>
        <v>0</v>
      </c>
      <c r="J49" s="89">
        <f>SUM('10ªCEJ-U-INT. ECO'!M46)</f>
        <v>0</v>
      </c>
      <c r="K49" s="89">
        <f>SUM('10ªCEJ-U-HIST.'!M46)</f>
        <v>0</v>
      </c>
      <c r="L49" s="89">
        <f>SUM('10ªCEJ-U-GEO'!M46)</f>
        <v>0</v>
      </c>
      <c r="M49" s="90">
        <f>SUM('10ªCEJ-U-EMPREEND'!M46)</f>
        <v>0</v>
      </c>
      <c r="N49" s="97" t="s">
        <v>117</v>
      </c>
      <c r="O49" s="57">
        <f t="shared" si="0"/>
        <v>1.2</v>
      </c>
      <c r="P49" s="112" t="s">
        <v>5</v>
      </c>
    </row>
    <row r="50" spans="1:16" ht="6" customHeight="1" x14ac:dyDescent="0.3">
      <c r="A50" s="11"/>
      <c r="B50" s="11"/>
      <c r="C50" s="12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4"/>
      <c r="O50" s="14"/>
    </row>
    <row r="51" spans="1:16" ht="19.5" customHeight="1" x14ac:dyDescent="0.3">
      <c r="A51" s="11"/>
      <c r="B51" s="11"/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  <c r="O51" s="14"/>
    </row>
    <row r="52" spans="1:16" ht="13.5" customHeight="1" x14ac:dyDescent="0.3">
      <c r="A52" s="207" t="s">
        <v>120</v>
      </c>
      <c r="B52" s="207"/>
      <c r="C52" s="207"/>
      <c r="D52" s="207"/>
      <c r="E52" s="207"/>
      <c r="F52" s="207"/>
      <c r="G52" s="207"/>
      <c r="H52" s="207"/>
      <c r="I52" s="207"/>
      <c r="J52" s="207"/>
      <c r="K52" s="207"/>
      <c r="L52" s="207"/>
      <c r="M52" s="207"/>
      <c r="N52" s="207"/>
      <c r="O52" s="166"/>
    </row>
    <row r="53" spans="1:16" ht="13.5" customHeight="1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1:16" ht="13.5" customHeight="1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1:16" ht="14.25" customHeight="1" x14ac:dyDescent="0.3">
      <c r="A55" s="208" t="s">
        <v>65</v>
      </c>
      <c r="B55" s="208"/>
      <c r="C55" s="208"/>
      <c r="D55" s="208"/>
      <c r="E55" s="208"/>
      <c r="F55" s="16"/>
      <c r="G55" s="16"/>
      <c r="H55" s="16"/>
      <c r="I55" s="16"/>
      <c r="J55" s="16"/>
      <c r="K55" s="16"/>
      <c r="L55" s="208" t="s">
        <v>9</v>
      </c>
      <c r="M55" s="208"/>
      <c r="N55" s="208"/>
      <c r="O55" s="167"/>
    </row>
    <row r="56" spans="1:16" ht="8.25" customHeight="1" x14ac:dyDescent="0.3">
      <c r="A56" s="209" t="s">
        <v>22</v>
      </c>
      <c r="B56" s="210"/>
      <c r="C56" s="210"/>
      <c r="D56" s="210"/>
      <c r="E56" s="210"/>
      <c r="F56" s="16"/>
      <c r="G56" s="16"/>
      <c r="H56" s="16"/>
      <c r="I56" s="16"/>
      <c r="J56" s="16"/>
      <c r="K56" s="16"/>
      <c r="L56" s="209" t="s">
        <v>10</v>
      </c>
      <c r="M56" s="210"/>
      <c r="N56" s="210"/>
      <c r="O56" s="168"/>
    </row>
    <row r="57" spans="1:16" ht="15.6" x14ac:dyDescent="0.3">
      <c r="A57" s="205" t="s">
        <v>78</v>
      </c>
      <c r="B57" s="205"/>
      <c r="C57" s="205"/>
      <c r="D57" s="205"/>
      <c r="E57" s="205"/>
      <c r="L57" s="206" t="s">
        <v>23</v>
      </c>
      <c r="M57" s="206"/>
      <c r="N57" s="206"/>
      <c r="O57" s="165"/>
    </row>
  </sheetData>
  <mergeCells count="30">
    <mergeCell ref="A56:E56"/>
    <mergeCell ref="L56:N56"/>
    <mergeCell ref="A57:E57"/>
    <mergeCell ref="L57:N57"/>
    <mergeCell ref="R19:T19"/>
    <mergeCell ref="U19:Y19"/>
    <mergeCell ref="R20:R21"/>
    <mergeCell ref="A52:N52"/>
    <mergeCell ref="A55:E55"/>
    <mergeCell ref="L55:N55"/>
    <mergeCell ref="Q14:R14"/>
    <mergeCell ref="S14:T14"/>
    <mergeCell ref="U14:V14"/>
    <mergeCell ref="W14:X14"/>
    <mergeCell ref="R17:R18"/>
    <mergeCell ref="S17:S18"/>
    <mergeCell ref="O10:O11"/>
    <mergeCell ref="Q10:X10"/>
    <mergeCell ref="Q11:R11"/>
    <mergeCell ref="S11:T11"/>
    <mergeCell ref="U11:V11"/>
    <mergeCell ref="W11:X11"/>
    <mergeCell ref="A1:N1"/>
    <mergeCell ref="A8:N8"/>
    <mergeCell ref="A9:N9"/>
    <mergeCell ref="A10:A11"/>
    <mergeCell ref="B10:B11"/>
    <mergeCell ref="C10:C11"/>
    <mergeCell ref="D10:M10"/>
    <mergeCell ref="N10:N11"/>
  </mergeCells>
  <conditionalFormatting sqref="D12:M51">
    <cfRule type="cellIs" dxfId="254" priority="12" stopIfTrue="1" operator="lessThan">
      <formula>9.49</formula>
    </cfRule>
    <cfRule type="cellIs" dxfId="253" priority="13" stopIfTrue="1" operator="greaterThanOrEqual">
      <formula>9.5</formula>
    </cfRule>
  </conditionalFormatting>
  <conditionalFormatting sqref="U13:X14">
    <cfRule type="cellIs" dxfId="252" priority="11" stopIfTrue="1" operator="greaterThanOrEqual">
      <formula>0.1</formula>
    </cfRule>
  </conditionalFormatting>
  <conditionalFormatting sqref="U13:X14">
    <cfRule type="cellIs" dxfId="251" priority="10" stopIfTrue="1" operator="equal">
      <formula>0</formula>
    </cfRule>
  </conditionalFormatting>
  <conditionalFormatting sqref="S13:T14">
    <cfRule type="cellIs" dxfId="250" priority="9" stopIfTrue="1" operator="greaterThanOrEqual">
      <formula>0</formula>
    </cfRule>
  </conditionalFormatting>
  <conditionalFormatting sqref="N39:N49 N13:N36">
    <cfRule type="cellIs" dxfId="249" priority="7" stopIfTrue="1" operator="equal">
      <formula>"N/TRANSITA"</formula>
    </cfRule>
    <cfRule type="cellIs" dxfId="248" priority="8" stopIfTrue="1" operator="equal">
      <formula>"TRANSITA"</formula>
    </cfRule>
  </conditionalFormatting>
  <conditionalFormatting sqref="O12:O49">
    <cfRule type="cellIs" dxfId="247" priority="1" stopIfTrue="1" operator="lessThanOrEqual">
      <formula>9.9</formula>
    </cfRule>
    <cfRule type="cellIs" dxfId="246" priority="2" stopIfTrue="1" operator="greaterThanOrEqual">
      <formula>10</formula>
    </cfRule>
  </conditionalFormatting>
  <pageMargins left="0.29803921568627451" right="0.14901960784313725" top="0.42843137254901958" bottom="0.27009803921568626" header="0.35433070866141736" footer="0.31496062992125984"/>
  <pageSetup paperSize="9" scale="94" orientation="portrait" horizontalDpi="4294967293" verticalDpi="4294967293" r:id="rId1"/>
  <colBreaks count="1" manualBreakCount="1">
    <brk id="15" max="104857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stopIfTrue="1" operator="containsText" id="{D1E112DA-C87A-417E-B3E4-D3374B93ACFF}">
            <xm:f>NOT(ISERROR(SEARCH("N/TRANSITA",N12)))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6" stopIfTrue="1" operator="containsText" id="{661D8DA1-70EF-4AF7-B77D-FA9E6ED58A88}">
            <xm:f>NOT(ISERROR(SEARCH("TRANSITA",N12)))</xm:f>
            <xm:f>"TRANSITA"</xm:f>
            <x14:dxf>
              <font>
                <b/>
                <i val="0"/>
                <color rgb="FF0000FF"/>
              </font>
            </x14:dxf>
          </x14:cfRule>
          <xm:sqref>N12</xm:sqref>
        </x14:conditionalFormatting>
        <x14:conditionalFormatting xmlns:xm="http://schemas.microsoft.com/office/excel/2006/main">
          <x14:cfRule type="containsText" priority="3" stopIfTrue="1" operator="containsText" id="{7F472ED8-3554-42E4-91F8-1DA3AB8C7FEE}">
            <xm:f>NOT(ISERROR(SEARCH("N/TRANSITA",N37)))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4" stopIfTrue="1" operator="containsText" id="{360D2B7B-180E-4800-92EC-401BC861290E}">
            <xm:f>NOT(ISERROR(SEARCH("TRANSITA",N37)))</xm:f>
            <xm:f>"TRANSITA"</xm:f>
            <x14:dxf>
              <font>
                <b/>
                <i val="0"/>
                <color rgb="FF0000FF"/>
              </font>
            </x14:dxf>
          </x14:cfRule>
          <xm:sqref>N37:N38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W51"/>
  <sheetViews>
    <sheetView showGridLines="0" topLeftCell="A43" zoomScale="115" zoomScaleNormal="115" zoomScalePageLayoutView="85" workbookViewId="0">
      <selection activeCell="G16" sqref="G16"/>
    </sheetView>
  </sheetViews>
  <sheetFormatPr defaultRowHeight="14.4" x14ac:dyDescent="0.3"/>
  <cols>
    <col min="1" max="1" width="1.6640625" customWidth="1"/>
    <col min="2" max="2" width="3.6640625" customWidth="1"/>
    <col min="3" max="3" width="35.109375" customWidth="1"/>
    <col min="4" max="4" width="6.44140625" customWidth="1"/>
    <col min="5" max="8" width="5.109375" customWidth="1"/>
    <col min="9" max="9" width="11.6640625" customWidth="1"/>
    <col min="10" max="13" width="5.109375" customWidth="1"/>
    <col min="14" max="14" width="12.109375" customWidth="1"/>
    <col min="15" max="18" width="5.109375" customWidth="1"/>
    <col min="19" max="19" width="6" customWidth="1"/>
    <col min="20" max="20" width="11.44140625" customWidth="1"/>
    <col min="21" max="21" width="3.44140625" customWidth="1"/>
    <col min="22" max="22" width="5" customWidth="1"/>
  </cols>
  <sheetData>
    <row r="1" spans="1:23" ht="30" customHeight="1" x14ac:dyDescent="0.3">
      <c r="A1" s="261" t="s">
        <v>45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</row>
    <row r="2" spans="1:23" ht="30" customHeight="1" x14ac:dyDescent="0.3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23" ht="12" customHeight="1" x14ac:dyDescent="0.3"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</row>
    <row r="4" spans="1:23" ht="17.399999999999999" customHeight="1" x14ac:dyDescent="0.3">
      <c r="B4" s="262" t="s">
        <v>57</v>
      </c>
      <c r="C4" s="262"/>
      <c r="D4" s="31"/>
      <c r="F4" s="73"/>
      <c r="G4" s="73"/>
      <c r="I4" s="73" t="s">
        <v>12</v>
      </c>
      <c r="J4" s="73"/>
      <c r="K4" s="73"/>
      <c r="L4" s="73"/>
      <c r="M4" s="73"/>
      <c r="N4" s="31"/>
      <c r="P4" s="243" t="s">
        <v>55</v>
      </c>
      <c r="Q4" s="243"/>
      <c r="R4" s="243"/>
      <c r="S4" s="243"/>
      <c r="T4" s="243"/>
    </row>
    <row r="5" spans="1:23" ht="18" customHeight="1" x14ac:dyDescent="0.3">
      <c r="B5" s="262" t="s">
        <v>64</v>
      </c>
      <c r="C5" s="262"/>
      <c r="D5" s="31"/>
      <c r="E5" s="74" t="s">
        <v>52</v>
      </c>
      <c r="F5" s="74"/>
      <c r="I5" s="74" t="s">
        <v>67</v>
      </c>
      <c r="J5" s="74"/>
      <c r="K5" s="74"/>
      <c r="N5" s="263" t="s">
        <v>66</v>
      </c>
      <c r="O5" s="263"/>
      <c r="P5" s="263"/>
      <c r="Q5" s="263"/>
      <c r="R5" s="263"/>
      <c r="S5" s="263"/>
      <c r="T5" s="263"/>
    </row>
    <row r="6" spans="1:23" ht="34.5" customHeight="1" thickBot="1" x14ac:dyDescent="1.05">
      <c r="B6" s="258" t="s">
        <v>41</v>
      </c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60"/>
    </row>
    <row r="7" spans="1:23" ht="19.5" customHeight="1" thickTop="1" x14ac:dyDescent="0.3">
      <c r="B7" s="251" t="s">
        <v>35</v>
      </c>
      <c r="C7" s="253" t="s">
        <v>13</v>
      </c>
      <c r="D7" s="43" t="s">
        <v>39</v>
      </c>
      <c r="E7" s="255" t="s">
        <v>36</v>
      </c>
      <c r="F7" s="256"/>
      <c r="G7" s="256"/>
      <c r="H7" s="257"/>
      <c r="I7" s="246" t="s">
        <v>15</v>
      </c>
      <c r="J7" s="255" t="s">
        <v>37</v>
      </c>
      <c r="K7" s="256"/>
      <c r="L7" s="256"/>
      <c r="M7" s="257"/>
      <c r="N7" s="246" t="s">
        <v>15</v>
      </c>
      <c r="O7" s="255" t="s">
        <v>38</v>
      </c>
      <c r="P7" s="256"/>
      <c r="Q7" s="256"/>
      <c r="R7" s="257"/>
      <c r="S7" s="244" t="s">
        <v>14</v>
      </c>
      <c r="T7" s="246" t="s">
        <v>15</v>
      </c>
    </row>
    <row r="8" spans="1:23" ht="20.25" customHeight="1" thickBot="1" x14ac:dyDescent="0.35">
      <c r="B8" s="252"/>
      <c r="C8" s="254"/>
      <c r="D8" s="44" t="s">
        <v>40</v>
      </c>
      <c r="E8" s="36" t="s">
        <v>16</v>
      </c>
      <c r="F8" s="35" t="s">
        <v>17</v>
      </c>
      <c r="G8" s="35" t="s">
        <v>34</v>
      </c>
      <c r="H8" s="37" t="s">
        <v>18</v>
      </c>
      <c r="I8" s="247"/>
      <c r="J8" s="36" t="s">
        <v>16</v>
      </c>
      <c r="K8" s="35" t="s">
        <v>17</v>
      </c>
      <c r="L8" s="35" t="s">
        <v>34</v>
      </c>
      <c r="M8" s="37" t="s">
        <v>19</v>
      </c>
      <c r="N8" s="247"/>
      <c r="O8" s="36" t="s">
        <v>16</v>
      </c>
      <c r="P8" s="35" t="s">
        <v>17</v>
      </c>
      <c r="Q8" s="35" t="s">
        <v>34</v>
      </c>
      <c r="R8" s="37" t="s">
        <v>20</v>
      </c>
      <c r="S8" s="245"/>
      <c r="T8" s="247"/>
    </row>
    <row r="9" spans="1:23" ht="14.25" customHeight="1" thickTop="1" x14ac:dyDescent="0.3">
      <c r="B9" s="129">
        <v>1</v>
      </c>
      <c r="C9" s="122" t="s">
        <v>79</v>
      </c>
      <c r="D9" s="130"/>
      <c r="E9" s="147">
        <v>13</v>
      </c>
      <c r="F9" s="148">
        <v>9.5</v>
      </c>
      <c r="G9" s="148"/>
      <c r="H9" s="151">
        <f>AVERAGE(E9,MAX(F9:G9))</f>
        <v>11.25</v>
      </c>
      <c r="I9" s="134" t="str">
        <f>IF(H9&gt;=10,"TRANSITA","N/TRANSITA")</f>
        <v>TRANSITA</v>
      </c>
      <c r="J9" s="197">
        <v>14</v>
      </c>
      <c r="K9" s="198">
        <v>12</v>
      </c>
      <c r="L9" s="133"/>
      <c r="M9" s="132">
        <f>AVERAGE(J9,MAX(K9:L9))</f>
        <v>13</v>
      </c>
      <c r="N9" s="134" t="str">
        <f>IF(M9&gt;=10,"TRANSITA","N/TRANSITA")</f>
        <v>TRANSITA</v>
      </c>
      <c r="O9" s="135"/>
      <c r="P9" s="131"/>
      <c r="Q9" s="136"/>
      <c r="R9" s="132">
        <f>AVERAGE(O9,MAX(P9:Q9))</f>
        <v>0</v>
      </c>
      <c r="S9" s="137">
        <f t="shared" ref="S9:S43" si="0">SUM(H9,M9,R9)/3</f>
        <v>8.0833333333333339</v>
      </c>
      <c r="T9" s="71" t="str">
        <f>IF(S9&gt;=10,"TRANSITA","N/TRANSITA")</f>
        <v>N/TRANSITA</v>
      </c>
    </row>
    <row r="10" spans="1:23" ht="14.25" customHeight="1" x14ac:dyDescent="0.3">
      <c r="B10" s="33">
        <v>2</v>
      </c>
      <c r="C10" s="124" t="s">
        <v>80</v>
      </c>
      <c r="D10" s="60"/>
      <c r="E10" s="91">
        <v>13</v>
      </c>
      <c r="F10" s="92">
        <v>4.5</v>
      </c>
      <c r="G10" s="92"/>
      <c r="H10" s="101">
        <f t="shared" ref="H10:H46" si="1">AVERAGE(E10,MAX(F10:G10))</f>
        <v>8.75</v>
      </c>
      <c r="I10" s="70" t="str">
        <f t="shared" ref="I10:I46" si="2">IF(H10&gt;=10,"TRANSITA","N/TRANSITA")</f>
        <v>N/TRANSITA</v>
      </c>
      <c r="J10" s="199">
        <v>10</v>
      </c>
      <c r="K10" s="200">
        <v>1.5</v>
      </c>
      <c r="L10" s="65"/>
      <c r="M10" s="108">
        <f t="shared" ref="M10:M46" si="3">AVERAGE(J10,MAX(K10:L10))</f>
        <v>5.75</v>
      </c>
      <c r="N10" s="70" t="str">
        <f t="shared" ref="N10:N46" si="4">IF(M10&gt;=10,"TRANSITA","N/TRANSITA")</f>
        <v>N/TRANSITA</v>
      </c>
      <c r="O10" s="109"/>
      <c r="P10" s="98"/>
      <c r="Q10" s="32"/>
      <c r="R10" s="108">
        <f t="shared" ref="R10:R46" si="5">AVERAGE(O10,MAX(P10:Q10))</f>
        <v>0</v>
      </c>
      <c r="S10" s="38">
        <f t="shared" si="0"/>
        <v>4.833333333333333</v>
      </c>
      <c r="T10" s="75" t="str">
        <f t="shared" ref="T10:T46" si="6">IF(S10&gt;=10,"TRANSITA","N/TRANSITA")</f>
        <v>N/TRANSITA</v>
      </c>
    </row>
    <row r="11" spans="1:23" ht="14.25" customHeight="1" x14ac:dyDescent="0.3">
      <c r="B11" s="33">
        <v>3</v>
      </c>
      <c r="C11" s="123" t="s">
        <v>81</v>
      </c>
      <c r="D11" s="60"/>
      <c r="E11" s="91"/>
      <c r="F11" s="92"/>
      <c r="G11" s="92"/>
      <c r="H11" s="101">
        <f t="shared" si="1"/>
        <v>0</v>
      </c>
      <c r="I11" s="70" t="str">
        <f t="shared" si="2"/>
        <v>N/TRANSITA</v>
      </c>
      <c r="J11" s="199"/>
      <c r="K11" s="200"/>
      <c r="L11" s="65"/>
      <c r="M11" s="108">
        <f t="shared" si="3"/>
        <v>0</v>
      </c>
      <c r="N11" s="70" t="str">
        <f t="shared" si="4"/>
        <v>N/TRANSITA</v>
      </c>
      <c r="O11" s="109"/>
      <c r="P11" s="98"/>
      <c r="Q11" s="32"/>
      <c r="R11" s="108">
        <f t="shared" si="5"/>
        <v>0</v>
      </c>
      <c r="S11" s="38">
        <f t="shared" si="0"/>
        <v>0</v>
      </c>
      <c r="T11" s="75" t="str">
        <f t="shared" si="6"/>
        <v>N/TRANSITA</v>
      </c>
    </row>
    <row r="12" spans="1:23" ht="14.25" customHeight="1" x14ac:dyDescent="0.3">
      <c r="B12" s="33">
        <v>4</v>
      </c>
      <c r="C12" s="123" t="s">
        <v>82</v>
      </c>
      <c r="D12" s="60"/>
      <c r="E12" s="91">
        <v>13</v>
      </c>
      <c r="F12" s="92">
        <v>8</v>
      </c>
      <c r="G12" s="92"/>
      <c r="H12" s="101">
        <f t="shared" si="1"/>
        <v>10.5</v>
      </c>
      <c r="I12" s="70" t="str">
        <f t="shared" si="2"/>
        <v>TRANSITA</v>
      </c>
      <c r="J12" s="199">
        <v>10</v>
      </c>
      <c r="K12" s="200">
        <v>2.5</v>
      </c>
      <c r="L12" s="65"/>
      <c r="M12" s="108">
        <f t="shared" si="3"/>
        <v>6.25</v>
      </c>
      <c r="N12" s="70" t="str">
        <f t="shared" si="4"/>
        <v>N/TRANSITA</v>
      </c>
      <c r="O12" s="109"/>
      <c r="P12" s="98"/>
      <c r="Q12" s="32"/>
      <c r="R12" s="108">
        <f t="shared" si="5"/>
        <v>0</v>
      </c>
      <c r="S12" s="38">
        <f t="shared" si="0"/>
        <v>5.583333333333333</v>
      </c>
      <c r="T12" s="75" t="str">
        <f t="shared" si="6"/>
        <v>N/TRANSITA</v>
      </c>
    </row>
    <row r="13" spans="1:23" ht="14.25" customHeight="1" x14ac:dyDescent="0.3">
      <c r="B13" s="33">
        <v>5</v>
      </c>
      <c r="C13" s="124" t="s">
        <v>83</v>
      </c>
      <c r="D13" s="60"/>
      <c r="E13" s="91">
        <v>12</v>
      </c>
      <c r="F13" s="92">
        <v>5</v>
      </c>
      <c r="G13" s="92"/>
      <c r="H13" s="101">
        <f t="shared" si="1"/>
        <v>8.5</v>
      </c>
      <c r="I13" s="70" t="str">
        <f t="shared" si="2"/>
        <v>N/TRANSITA</v>
      </c>
      <c r="J13" s="199">
        <v>10</v>
      </c>
      <c r="K13" s="200">
        <v>3.5</v>
      </c>
      <c r="L13" s="65"/>
      <c r="M13" s="108">
        <f t="shared" si="3"/>
        <v>6.75</v>
      </c>
      <c r="N13" s="70" t="str">
        <f t="shared" si="4"/>
        <v>N/TRANSITA</v>
      </c>
      <c r="O13" s="109"/>
      <c r="P13" s="98"/>
      <c r="Q13" s="32"/>
      <c r="R13" s="108">
        <f t="shared" si="5"/>
        <v>0</v>
      </c>
      <c r="S13" s="38">
        <f t="shared" si="0"/>
        <v>5.083333333333333</v>
      </c>
      <c r="T13" s="75" t="str">
        <f t="shared" si="6"/>
        <v>N/TRANSITA</v>
      </c>
      <c r="U13" s="18"/>
      <c r="V13" s="18"/>
      <c r="W13" s="18"/>
    </row>
    <row r="14" spans="1:23" ht="14.25" customHeight="1" x14ac:dyDescent="0.3">
      <c r="B14" s="33">
        <v>6</v>
      </c>
      <c r="C14" s="123" t="s">
        <v>84</v>
      </c>
      <c r="D14" s="60"/>
      <c r="E14" s="91">
        <v>12</v>
      </c>
      <c r="F14" s="92">
        <v>2.5</v>
      </c>
      <c r="G14" s="92"/>
      <c r="H14" s="101">
        <f t="shared" si="1"/>
        <v>7.25</v>
      </c>
      <c r="I14" s="70" t="str">
        <f t="shared" si="2"/>
        <v>N/TRANSITA</v>
      </c>
      <c r="J14" s="199">
        <v>3</v>
      </c>
      <c r="K14" s="200">
        <v>3</v>
      </c>
      <c r="L14" s="65"/>
      <c r="M14" s="108">
        <f t="shared" si="3"/>
        <v>3</v>
      </c>
      <c r="N14" s="70" t="str">
        <f t="shared" si="4"/>
        <v>N/TRANSITA</v>
      </c>
      <c r="O14" s="109"/>
      <c r="P14" s="98"/>
      <c r="Q14" s="32"/>
      <c r="R14" s="108">
        <f t="shared" si="5"/>
        <v>0</v>
      </c>
      <c r="S14" s="38">
        <f t="shared" si="0"/>
        <v>3.4166666666666665</v>
      </c>
      <c r="T14" s="75" t="str">
        <f t="shared" si="6"/>
        <v>N/TRANSITA</v>
      </c>
    </row>
    <row r="15" spans="1:23" ht="14.25" customHeight="1" x14ac:dyDescent="0.3">
      <c r="B15" s="33">
        <v>7</v>
      </c>
      <c r="C15" s="123" t="s">
        <v>85</v>
      </c>
      <c r="D15" s="60"/>
      <c r="E15" s="91">
        <v>16</v>
      </c>
      <c r="F15" s="92">
        <v>10</v>
      </c>
      <c r="G15" s="92"/>
      <c r="H15" s="101">
        <f t="shared" si="1"/>
        <v>13</v>
      </c>
      <c r="I15" s="70" t="str">
        <f t="shared" si="2"/>
        <v>TRANSITA</v>
      </c>
      <c r="J15" s="199">
        <v>13</v>
      </c>
      <c r="K15" s="200">
        <v>10.5</v>
      </c>
      <c r="L15" s="65"/>
      <c r="M15" s="108">
        <f t="shared" si="3"/>
        <v>11.75</v>
      </c>
      <c r="N15" s="70" t="str">
        <f t="shared" si="4"/>
        <v>TRANSITA</v>
      </c>
      <c r="O15" s="109"/>
      <c r="P15" s="98"/>
      <c r="Q15" s="32"/>
      <c r="R15" s="108">
        <f t="shared" si="5"/>
        <v>0</v>
      </c>
      <c r="S15" s="38">
        <f t="shared" si="0"/>
        <v>8.25</v>
      </c>
      <c r="T15" s="75" t="str">
        <f t="shared" si="6"/>
        <v>N/TRANSITA</v>
      </c>
    </row>
    <row r="16" spans="1:23" ht="14.25" customHeight="1" x14ac:dyDescent="0.3">
      <c r="B16" s="33">
        <v>8</v>
      </c>
      <c r="C16" s="124" t="s">
        <v>86</v>
      </c>
      <c r="D16" s="60"/>
      <c r="E16" s="91">
        <v>13.5</v>
      </c>
      <c r="F16" s="92">
        <v>3</v>
      </c>
      <c r="G16" s="92"/>
      <c r="H16" s="101">
        <f t="shared" si="1"/>
        <v>8.25</v>
      </c>
      <c r="I16" s="70" t="str">
        <f t="shared" si="2"/>
        <v>N/TRANSITA</v>
      </c>
      <c r="J16" s="199">
        <v>10</v>
      </c>
      <c r="K16" s="200">
        <v>2</v>
      </c>
      <c r="L16" s="65"/>
      <c r="M16" s="108">
        <f t="shared" si="3"/>
        <v>6</v>
      </c>
      <c r="N16" s="70" t="str">
        <f t="shared" si="4"/>
        <v>N/TRANSITA</v>
      </c>
      <c r="O16" s="109"/>
      <c r="P16" s="98"/>
      <c r="Q16" s="32"/>
      <c r="R16" s="108">
        <f t="shared" si="5"/>
        <v>0</v>
      </c>
      <c r="S16" s="38">
        <f t="shared" si="0"/>
        <v>4.75</v>
      </c>
      <c r="T16" s="75" t="str">
        <f t="shared" si="6"/>
        <v>N/TRANSITA</v>
      </c>
    </row>
    <row r="17" spans="2:20" ht="14.25" customHeight="1" x14ac:dyDescent="0.3">
      <c r="B17" s="33">
        <v>9</v>
      </c>
      <c r="C17" s="123" t="s">
        <v>87</v>
      </c>
      <c r="D17" s="60"/>
      <c r="E17" s="91">
        <v>16</v>
      </c>
      <c r="F17" s="92">
        <v>12</v>
      </c>
      <c r="G17" s="92"/>
      <c r="H17" s="101">
        <f t="shared" si="1"/>
        <v>14</v>
      </c>
      <c r="I17" s="70" t="str">
        <f t="shared" si="2"/>
        <v>TRANSITA</v>
      </c>
      <c r="J17" s="199">
        <v>12</v>
      </c>
      <c r="K17" s="200">
        <v>8.5</v>
      </c>
      <c r="L17" s="65"/>
      <c r="M17" s="108">
        <f t="shared" si="3"/>
        <v>10.25</v>
      </c>
      <c r="N17" s="70" t="str">
        <f t="shared" ref="N17:N18" si="7">IF(M17&gt;=10,"TRANSITA","N/TRANSITA")</f>
        <v>TRANSITA</v>
      </c>
      <c r="O17" s="109"/>
      <c r="P17" s="98"/>
      <c r="Q17" s="32"/>
      <c r="R17" s="108">
        <f t="shared" si="5"/>
        <v>0</v>
      </c>
      <c r="S17" s="38">
        <f t="shared" si="0"/>
        <v>8.0833333333333339</v>
      </c>
      <c r="T17" s="75" t="str">
        <f t="shared" ref="T17:T18" si="8">IF(S17&gt;=10,"TRANSITA","N/TRANSITA")</f>
        <v>N/TRANSITA</v>
      </c>
    </row>
    <row r="18" spans="2:20" ht="14.25" customHeight="1" x14ac:dyDescent="0.3">
      <c r="B18" s="33">
        <v>10</v>
      </c>
      <c r="C18" s="124" t="s">
        <v>88</v>
      </c>
      <c r="D18" s="60"/>
      <c r="E18" s="91">
        <v>13</v>
      </c>
      <c r="F18" s="92">
        <v>5.5</v>
      </c>
      <c r="G18" s="92"/>
      <c r="H18" s="101">
        <f t="shared" si="1"/>
        <v>9.25</v>
      </c>
      <c r="I18" s="70" t="str">
        <f t="shared" si="2"/>
        <v>N/TRANSITA</v>
      </c>
      <c r="J18" s="199">
        <v>4</v>
      </c>
      <c r="K18" s="200">
        <v>2.5</v>
      </c>
      <c r="L18" s="65"/>
      <c r="M18" s="108">
        <f t="shared" si="3"/>
        <v>3.25</v>
      </c>
      <c r="N18" s="70" t="str">
        <f t="shared" si="7"/>
        <v>N/TRANSITA</v>
      </c>
      <c r="O18" s="109"/>
      <c r="P18" s="98"/>
      <c r="Q18" s="32"/>
      <c r="R18" s="108">
        <f t="shared" si="5"/>
        <v>0</v>
      </c>
      <c r="S18" s="38">
        <f t="shared" si="0"/>
        <v>4.166666666666667</v>
      </c>
      <c r="T18" s="75" t="str">
        <f t="shared" si="8"/>
        <v>N/TRANSITA</v>
      </c>
    </row>
    <row r="19" spans="2:20" ht="14.25" customHeight="1" x14ac:dyDescent="0.3">
      <c r="B19" s="33">
        <v>11</v>
      </c>
      <c r="C19" s="123" t="s">
        <v>89</v>
      </c>
      <c r="D19" s="60"/>
      <c r="E19" s="91"/>
      <c r="F19" s="92"/>
      <c r="G19" s="92"/>
      <c r="H19" s="101">
        <f t="shared" si="1"/>
        <v>0</v>
      </c>
      <c r="I19" s="70" t="str">
        <f t="shared" si="2"/>
        <v>N/TRANSITA</v>
      </c>
      <c r="J19" s="199"/>
      <c r="K19" s="200"/>
      <c r="L19" s="65"/>
      <c r="M19" s="108">
        <f t="shared" si="3"/>
        <v>0</v>
      </c>
      <c r="N19" s="70" t="str">
        <f t="shared" si="4"/>
        <v>N/TRANSITA</v>
      </c>
      <c r="O19" s="109"/>
      <c r="P19" s="98"/>
      <c r="Q19" s="32"/>
      <c r="R19" s="108">
        <f t="shared" si="5"/>
        <v>0</v>
      </c>
      <c r="S19" s="38">
        <f t="shared" si="0"/>
        <v>0</v>
      </c>
      <c r="T19" s="75" t="str">
        <f t="shared" si="6"/>
        <v>N/TRANSITA</v>
      </c>
    </row>
    <row r="20" spans="2:20" ht="14.25" customHeight="1" x14ac:dyDescent="0.3">
      <c r="B20" s="33">
        <v>12</v>
      </c>
      <c r="C20" s="124" t="s">
        <v>90</v>
      </c>
      <c r="D20" s="60"/>
      <c r="E20" s="91">
        <v>12</v>
      </c>
      <c r="F20" s="92">
        <v>5</v>
      </c>
      <c r="G20" s="92"/>
      <c r="H20" s="101">
        <f t="shared" si="1"/>
        <v>8.5</v>
      </c>
      <c r="I20" s="70" t="str">
        <f t="shared" si="2"/>
        <v>N/TRANSITA</v>
      </c>
      <c r="J20" s="199">
        <v>10</v>
      </c>
      <c r="K20" s="200"/>
      <c r="L20" s="65"/>
      <c r="M20" s="108">
        <f t="shared" si="3"/>
        <v>5</v>
      </c>
      <c r="N20" s="70" t="str">
        <f t="shared" si="4"/>
        <v>N/TRANSITA</v>
      </c>
      <c r="O20" s="109"/>
      <c r="P20" s="98"/>
      <c r="Q20" s="32"/>
      <c r="R20" s="108">
        <f t="shared" si="5"/>
        <v>0</v>
      </c>
      <c r="S20" s="38">
        <f t="shared" si="0"/>
        <v>4.5</v>
      </c>
      <c r="T20" s="75" t="str">
        <f t="shared" si="6"/>
        <v>N/TRANSITA</v>
      </c>
    </row>
    <row r="21" spans="2:20" ht="14.25" customHeight="1" x14ac:dyDescent="0.3">
      <c r="B21" s="33">
        <v>13</v>
      </c>
      <c r="C21" s="123" t="s">
        <v>91</v>
      </c>
      <c r="D21" s="60"/>
      <c r="E21" s="91"/>
      <c r="F21" s="92"/>
      <c r="G21" s="92"/>
      <c r="H21" s="101">
        <f t="shared" si="1"/>
        <v>0</v>
      </c>
      <c r="I21" s="70" t="str">
        <f t="shared" si="2"/>
        <v>N/TRANSITA</v>
      </c>
      <c r="J21" s="199"/>
      <c r="K21" s="200"/>
      <c r="L21" s="65"/>
      <c r="M21" s="108">
        <f t="shared" si="3"/>
        <v>0</v>
      </c>
      <c r="N21" s="70" t="str">
        <f t="shared" si="4"/>
        <v>N/TRANSITA</v>
      </c>
      <c r="O21" s="109"/>
      <c r="P21" s="98"/>
      <c r="Q21" s="32"/>
      <c r="R21" s="108">
        <f t="shared" si="5"/>
        <v>0</v>
      </c>
      <c r="S21" s="38">
        <f t="shared" si="0"/>
        <v>0</v>
      </c>
      <c r="T21" s="75" t="str">
        <f t="shared" si="6"/>
        <v>N/TRANSITA</v>
      </c>
    </row>
    <row r="22" spans="2:20" ht="14.25" customHeight="1" x14ac:dyDescent="0.3">
      <c r="B22" s="33">
        <v>14</v>
      </c>
      <c r="C22" s="123" t="s">
        <v>92</v>
      </c>
      <c r="D22" s="60"/>
      <c r="E22" s="91">
        <v>16</v>
      </c>
      <c r="F22" s="92">
        <v>6</v>
      </c>
      <c r="G22" s="92"/>
      <c r="H22" s="101">
        <f t="shared" si="1"/>
        <v>11</v>
      </c>
      <c r="I22" s="70" t="str">
        <f t="shared" si="2"/>
        <v>TRANSITA</v>
      </c>
      <c r="J22" s="199">
        <v>12</v>
      </c>
      <c r="K22" s="200">
        <v>2.5</v>
      </c>
      <c r="L22" s="65"/>
      <c r="M22" s="108">
        <f t="shared" si="3"/>
        <v>7.25</v>
      </c>
      <c r="N22" s="70" t="str">
        <f t="shared" si="4"/>
        <v>N/TRANSITA</v>
      </c>
      <c r="O22" s="109"/>
      <c r="P22" s="98"/>
      <c r="Q22" s="32"/>
      <c r="R22" s="108">
        <f t="shared" si="5"/>
        <v>0</v>
      </c>
      <c r="S22" s="38">
        <f t="shared" si="0"/>
        <v>6.083333333333333</v>
      </c>
      <c r="T22" s="75" t="str">
        <f t="shared" si="6"/>
        <v>N/TRANSITA</v>
      </c>
    </row>
    <row r="23" spans="2:20" ht="14.25" customHeight="1" x14ac:dyDescent="0.3">
      <c r="B23" s="33">
        <v>15</v>
      </c>
      <c r="C23" s="124" t="s">
        <v>114</v>
      </c>
      <c r="D23" s="60"/>
      <c r="E23" s="91">
        <v>12</v>
      </c>
      <c r="F23" s="92">
        <v>3</v>
      </c>
      <c r="G23" s="92"/>
      <c r="H23" s="101">
        <f t="shared" si="1"/>
        <v>7.5</v>
      </c>
      <c r="I23" s="70" t="str">
        <f t="shared" si="2"/>
        <v>N/TRANSITA</v>
      </c>
      <c r="J23" s="199">
        <v>10</v>
      </c>
      <c r="K23" s="200">
        <v>1</v>
      </c>
      <c r="L23" s="65"/>
      <c r="M23" s="108">
        <f t="shared" si="3"/>
        <v>5.5</v>
      </c>
      <c r="N23" s="70" t="str">
        <f t="shared" si="4"/>
        <v>N/TRANSITA</v>
      </c>
      <c r="O23" s="109"/>
      <c r="P23" s="98"/>
      <c r="Q23" s="32"/>
      <c r="R23" s="108">
        <f t="shared" si="5"/>
        <v>0</v>
      </c>
      <c r="S23" s="38">
        <f t="shared" si="0"/>
        <v>4.333333333333333</v>
      </c>
      <c r="T23" s="75" t="str">
        <f t="shared" si="6"/>
        <v>N/TRANSITA</v>
      </c>
    </row>
    <row r="24" spans="2:20" ht="14.25" customHeight="1" x14ac:dyDescent="0.3">
      <c r="B24" s="33">
        <v>16</v>
      </c>
      <c r="C24" s="124" t="s">
        <v>93</v>
      </c>
      <c r="D24" s="60"/>
      <c r="E24" s="91">
        <v>12</v>
      </c>
      <c r="F24" s="92">
        <v>3</v>
      </c>
      <c r="G24" s="92"/>
      <c r="H24" s="101">
        <f t="shared" si="1"/>
        <v>7.5</v>
      </c>
      <c r="I24" s="70" t="str">
        <f t="shared" si="2"/>
        <v>N/TRANSITA</v>
      </c>
      <c r="J24" s="199">
        <v>10</v>
      </c>
      <c r="K24" s="200">
        <v>3.5</v>
      </c>
      <c r="L24" s="65"/>
      <c r="M24" s="108">
        <f t="shared" si="3"/>
        <v>6.75</v>
      </c>
      <c r="N24" s="70" t="str">
        <f t="shared" si="4"/>
        <v>N/TRANSITA</v>
      </c>
      <c r="O24" s="109"/>
      <c r="P24" s="98"/>
      <c r="Q24" s="32"/>
      <c r="R24" s="108">
        <f t="shared" si="5"/>
        <v>0</v>
      </c>
      <c r="S24" s="38">
        <f t="shared" si="0"/>
        <v>4.75</v>
      </c>
      <c r="T24" s="75" t="str">
        <f t="shared" si="6"/>
        <v>N/TRANSITA</v>
      </c>
    </row>
    <row r="25" spans="2:20" ht="14.25" customHeight="1" x14ac:dyDescent="0.3">
      <c r="B25" s="33">
        <v>17</v>
      </c>
      <c r="C25" s="123" t="s">
        <v>94</v>
      </c>
      <c r="D25" s="60"/>
      <c r="E25" s="91">
        <v>16</v>
      </c>
      <c r="F25" s="92"/>
      <c r="G25" s="92"/>
      <c r="H25" s="101">
        <f t="shared" si="1"/>
        <v>8</v>
      </c>
      <c r="I25" s="70" t="str">
        <f t="shared" si="2"/>
        <v>N/TRANSITA</v>
      </c>
      <c r="J25" s="199">
        <v>0</v>
      </c>
      <c r="K25" s="200"/>
      <c r="L25" s="65"/>
      <c r="M25" s="108">
        <f t="shared" si="3"/>
        <v>0</v>
      </c>
      <c r="N25" s="70" t="str">
        <f t="shared" si="4"/>
        <v>N/TRANSITA</v>
      </c>
      <c r="O25" s="109"/>
      <c r="P25" s="98"/>
      <c r="Q25" s="32"/>
      <c r="R25" s="108">
        <f t="shared" si="5"/>
        <v>0</v>
      </c>
      <c r="S25" s="38">
        <f t="shared" si="0"/>
        <v>2.6666666666666665</v>
      </c>
      <c r="T25" s="75" t="str">
        <f t="shared" si="6"/>
        <v>N/TRANSITA</v>
      </c>
    </row>
    <row r="26" spans="2:20" ht="14.25" customHeight="1" x14ac:dyDescent="0.3">
      <c r="B26" s="33">
        <v>18</v>
      </c>
      <c r="C26" s="124" t="s">
        <v>95</v>
      </c>
      <c r="D26" s="60"/>
      <c r="E26" s="91">
        <v>12</v>
      </c>
      <c r="F26" s="92">
        <v>2.5</v>
      </c>
      <c r="G26" s="92"/>
      <c r="H26" s="101">
        <f t="shared" si="1"/>
        <v>7.25</v>
      </c>
      <c r="I26" s="70" t="str">
        <f t="shared" si="2"/>
        <v>N/TRANSITA</v>
      </c>
      <c r="J26" s="199">
        <v>10</v>
      </c>
      <c r="K26" s="200">
        <v>5.5</v>
      </c>
      <c r="L26" s="65"/>
      <c r="M26" s="108">
        <f t="shared" si="3"/>
        <v>7.75</v>
      </c>
      <c r="N26" s="70" t="str">
        <f t="shared" si="4"/>
        <v>N/TRANSITA</v>
      </c>
      <c r="O26" s="109"/>
      <c r="P26" s="98"/>
      <c r="Q26" s="32"/>
      <c r="R26" s="108">
        <f t="shared" si="5"/>
        <v>0</v>
      </c>
      <c r="S26" s="38">
        <f t="shared" si="0"/>
        <v>5</v>
      </c>
      <c r="T26" s="75" t="str">
        <f t="shared" si="6"/>
        <v>N/TRANSITA</v>
      </c>
    </row>
    <row r="27" spans="2:20" ht="14.25" customHeight="1" x14ac:dyDescent="0.3">
      <c r="B27" s="33">
        <v>19</v>
      </c>
      <c r="C27" s="124" t="s">
        <v>96</v>
      </c>
      <c r="D27" s="60"/>
      <c r="E27" s="91"/>
      <c r="F27" s="92"/>
      <c r="G27" s="92"/>
      <c r="H27" s="101">
        <f t="shared" si="1"/>
        <v>0</v>
      </c>
      <c r="I27" s="70" t="str">
        <f t="shared" si="2"/>
        <v>N/TRANSITA</v>
      </c>
      <c r="J27" s="199"/>
      <c r="K27" s="200"/>
      <c r="L27" s="65"/>
      <c r="M27" s="108">
        <f t="shared" si="3"/>
        <v>0</v>
      </c>
      <c r="N27" s="70" t="str">
        <f t="shared" si="4"/>
        <v>N/TRANSITA</v>
      </c>
      <c r="O27" s="109"/>
      <c r="P27" s="98"/>
      <c r="Q27" s="32"/>
      <c r="R27" s="108">
        <f t="shared" si="5"/>
        <v>0</v>
      </c>
      <c r="S27" s="38">
        <f t="shared" si="0"/>
        <v>0</v>
      </c>
      <c r="T27" s="75" t="str">
        <f t="shared" si="6"/>
        <v>N/TRANSITA</v>
      </c>
    </row>
    <row r="28" spans="2:20" ht="14.25" customHeight="1" x14ac:dyDescent="0.3">
      <c r="B28" s="33">
        <v>20</v>
      </c>
      <c r="C28" s="123" t="s">
        <v>97</v>
      </c>
      <c r="D28" s="60"/>
      <c r="E28" s="91">
        <v>13</v>
      </c>
      <c r="F28" s="92">
        <v>5.5</v>
      </c>
      <c r="G28" s="92"/>
      <c r="H28" s="101">
        <f t="shared" si="1"/>
        <v>9.25</v>
      </c>
      <c r="I28" s="70" t="str">
        <f t="shared" si="2"/>
        <v>N/TRANSITA</v>
      </c>
      <c r="J28" s="199">
        <v>2</v>
      </c>
      <c r="K28" s="200"/>
      <c r="L28" s="65"/>
      <c r="M28" s="108">
        <f t="shared" si="3"/>
        <v>1</v>
      </c>
      <c r="N28" s="70" t="str">
        <f t="shared" si="4"/>
        <v>N/TRANSITA</v>
      </c>
      <c r="O28" s="109"/>
      <c r="P28" s="98"/>
      <c r="Q28" s="32"/>
      <c r="R28" s="108">
        <f t="shared" si="5"/>
        <v>0</v>
      </c>
      <c r="S28" s="38">
        <f t="shared" si="0"/>
        <v>3.4166666666666665</v>
      </c>
      <c r="T28" s="75" t="str">
        <f t="shared" si="6"/>
        <v>N/TRANSITA</v>
      </c>
    </row>
    <row r="29" spans="2:20" ht="14.25" customHeight="1" x14ac:dyDescent="0.3">
      <c r="B29" s="33">
        <v>21</v>
      </c>
      <c r="C29" s="123" t="s">
        <v>98</v>
      </c>
      <c r="D29" s="60"/>
      <c r="E29" s="91">
        <v>16</v>
      </c>
      <c r="F29" s="92">
        <v>8</v>
      </c>
      <c r="G29" s="92"/>
      <c r="H29" s="101">
        <f t="shared" si="1"/>
        <v>12</v>
      </c>
      <c r="I29" s="70" t="str">
        <f t="shared" si="2"/>
        <v>TRANSITA</v>
      </c>
      <c r="J29" s="199">
        <v>10</v>
      </c>
      <c r="K29" s="200">
        <v>7</v>
      </c>
      <c r="L29" s="65"/>
      <c r="M29" s="108">
        <f t="shared" si="3"/>
        <v>8.5</v>
      </c>
      <c r="N29" s="70" t="str">
        <f t="shared" si="4"/>
        <v>N/TRANSITA</v>
      </c>
      <c r="O29" s="109"/>
      <c r="P29" s="98"/>
      <c r="Q29" s="32"/>
      <c r="R29" s="108">
        <f t="shared" si="5"/>
        <v>0</v>
      </c>
      <c r="S29" s="38">
        <f t="shared" si="0"/>
        <v>6.833333333333333</v>
      </c>
      <c r="T29" s="75" t="str">
        <f t="shared" si="6"/>
        <v>N/TRANSITA</v>
      </c>
    </row>
    <row r="30" spans="2:20" ht="14.25" customHeight="1" x14ac:dyDescent="0.3">
      <c r="B30" s="33">
        <v>22</v>
      </c>
      <c r="C30" s="124" t="s">
        <v>99</v>
      </c>
      <c r="D30" s="60"/>
      <c r="E30" s="91"/>
      <c r="F30" s="92"/>
      <c r="G30" s="92"/>
      <c r="H30" s="101">
        <f t="shared" si="1"/>
        <v>0</v>
      </c>
      <c r="I30" s="70" t="str">
        <f t="shared" si="2"/>
        <v>N/TRANSITA</v>
      </c>
      <c r="J30" s="199"/>
      <c r="K30" s="200"/>
      <c r="L30" s="65"/>
      <c r="M30" s="108">
        <f t="shared" si="3"/>
        <v>0</v>
      </c>
      <c r="N30" s="70" t="str">
        <f t="shared" si="4"/>
        <v>N/TRANSITA</v>
      </c>
      <c r="O30" s="109"/>
      <c r="P30" s="98"/>
      <c r="Q30" s="32"/>
      <c r="R30" s="108">
        <f t="shared" si="5"/>
        <v>0</v>
      </c>
      <c r="S30" s="38">
        <f t="shared" si="0"/>
        <v>0</v>
      </c>
      <c r="T30" s="75" t="str">
        <f t="shared" si="6"/>
        <v>N/TRANSITA</v>
      </c>
    </row>
    <row r="31" spans="2:20" ht="14.25" customHeight="1" x14ac:dyDescent="0.3">
      <c r="B31" s="33">
        <v>23</v>
      </c>
      <c r="C31" s="123" t="s">
        <v>100</v>
      </c>
      <c r="D31" s="60"/>
      <c r="E31" s="91">
        <v>16</v>
      </c>
      <c r="F31" s="92">
        <v>6.5</v>
      </c>
      <c r="G31" s="92"/>
      <c r="H31" s="101">
        <f t="shared" si="1"/>
        <v>11.25</v>
      </c>
      <c r="I31" s="70" t="str">
        <f t="shared" si="2"/>
        <v>TRANSITA</v>
      </c>
      <c r="J31" s="199">
        <v>10</v>
      </c>
      <c r="K31" s="200">
        <v>7</v>
      </c>
      <c r="L31" s="65"/>
      <c r="M31" s="108">
        <f t="shared" si="3"/>
        <v>8.5</v>
      </c>
      <c r="N31" s="70" t="str">
        <f t="shared" si="4"/>
        <v>N/TRANSITA</v>
      </c>
      <c r="O31" s="109"/>
      <c r="P31" s="98"/>
      <c r="Q31" s="32"/>
      <c r="R31" s="108">
        <f t="shared" si="5"/>
        <v>0</v>
      </c>
      <c r="S31" s="38">
        <f t="shared" si="0"/>
        <v>6.583333333333333</v>
      </c>
      <c r="T31" s="75" t="str">
        <f t="shared" si="6"/>
        <v>N/TRANSITA</v>
      </c>
    </row>
    <row r="32" spans="2:20" ht="14.25" customHeight="1" x14ac:dyDescent="0.3">
      <c r="B32" s="33">
        <v>24</v>
      </c>
      <c r="C32" s="123" t="s">
        <v>101</v>
      </c>
      <c r="D32" s="60"/>
      <c r="E32" s="91">
        <v>16</v>
      </c>
      <c r="F32" s="92"/>
      <c r="G32" s="92"/>
      <c r="H32" s="101">
        <f t="shared" si="1"/>
        <v>8</v>
      </c>
      <c r="I32" s="70" t="str">
        <f t="shared" si="2"/>
        <v>N/TRANSITA</v>
      </c>
      <c r="J32" s="199">
        <v>4</v>
      </c>
      <c r="K32" s="200"/>
      <c r="L32" s="65"/>
      <c r="M32" s="108">
        <f t="shared" si="3"/>
        <v>2</v>
      </c>
      <c r="N32" s="70" t="str">
        <f t="shared" si="4"/>
        <v>N/TRANSITA</v>
      </c>
      <c r="O32" s="109"/>
      <c r="P32" s="98"/>
      <c r="Q32" s="32"/>
      <c r="R32" s="108">
        <f t="shared" si="5"/>
        <v>0</v>
      </c>
      <c r="S32" s="38">
        <f t="shared" si="0"/>
        <v>3.3333333333333335</v>
      </c>
      <c r="T32" s="75" t="str">
        <f t="shared" si="6"/>
        <v>N/TRANSITA</v>
      </c>
    </row>
    <row r="33" spans="1:20" ht="14.25" customHeight="1" x14ac:dyDescent="0.3">
      <c r="B33" s="33">
        <v>25</v>
      </c>
      <c r="C33" s="124" t="s">
        <v>102</v>
      </c>
      <c r="D33" s="60"/>
      <c r="E33" s="91"/>
      <c r="F33" s="92"/>
      <c r="G33" s="92"/>
      <c r="H33" s="101">
        <f t="shared" si="1"/>
        <v>0</v>
      </c>
      <c r="I33" s="70" t="str">
        <f t="shared" si="2"/>
        <v>N/TRANSITA</v>
      </c>
      <c r="J33" s="199"/>
      <c r="K33" s="200"/>
      <c r="L33" s="65"/>
      <c r="M33" s="108">
        <f t="shared" si="3"/>
        <v>0</v>
      </c>
      <c r="N33" s="70" t="str">
        <f t="shared" si="4"/>
        <v>N/TRANSITA</v>
      </c>
      <c r="O33" s="109"/>
      <c r="P33" s="98"/>
      <c r="Q33" s="32"/>
      <c r="R33" s="108">
        <f t="shared" si="5"/>
        <v>0</v>
      </c>
      <c r="S33" s="38">
        <f t="shared" si="0"/>
        <v>0</v>
      </c>
      <c r="T33" s="75" t="str">
        <f t="shared" si="6"/>
        <v>N/TRANSITA</v>
      </c>
    </row>
    <row r="34" spans="1:20" ht="14.25" customHeight="1" x14ac:dyDescent="0.3">
      <c r="B34" s="33">
        <v>26</v>
      </c>
      <c r="C34" s="123" t="s">
        <v>103</v>
      </c>
      <c r="D34" s="60"/>
      <c r="E34" s="91">
        <v>16</v>
      </c>
      <c r="F34" s="92">
        <v>13</v>
      </c>
      <c r="G34" s="92"/>
      <c r="H34" s="101">
        <f t="shared" si="1"/>
        <v>14.5</v>
      </c>
      <c r="I34" s="70" t="str">
        <f t="shared" si="2"/>
        <v>TRANSITA</v>
      </c>
      <c r="J34" s="199">
        <v>16</v>
      </c>
      <c r="K34" s="200">
        <v>11</v>
      </c>
      <c r="L34" s="65"/>
      <c r="M34" s="108">
        <f t="shared" si="3"/>
        <v>13.5</v>
      </c>
      <c r="N34" s="70" t="str">
        <f t="shared" si="4"/>
        <v>TRANSITA</v>
      </c>
      <c r="O34" s="109"/>
      <c r="P34" s="98"/>
      <c r="Q34" s="32"/>
      <c r="R34" s="108">
        <f t="shared" si="5"/>
        <v>0</v>
      </c>
      <c r="S34" s="38">
        <f t="shared" si="0"/>
        <v>9.3333333333333339</v>
      </c>
      <c r="T34" s="75" t="str">
        <f t="shared" si="6"/>
        <v>N/TRANSITA</v>
      </c>
    </row>
    <row r="35" spans="1:20" ht="14.25" customHeight="1" x14ac:dyDescent="0.3">
      <c r="B35" s="33">
        <v>27</v>
      </c>
      <c r="C35" s="124" t="s">
        <v>115</v>
      </c>
      <c r="D35" s="60"/>
      <c r="E35" s="91">
        <v>13</v>
      </c>
      <c r="F35" s="92">
        <v>4</v>
      </c>
      <c r="G35" s="92"/>
      <c r="H35" s="101">
        <f t="shared" si="1"/>
        <v>8.5</v>
      </c>
      <c r="I35" s="70" t="str">
        <f t="shared" si="2"/>
        <v>N/TRANSITA</v>
      </c>
      <c r="J35" s="199">
        <v>1</v>
      </c>
      <c r="K35" s="200">
        <v>4</v>
      </c>
      <c r="L35" s="65"/>
      <c r="M35" s="108">
        <f t="shared" si="3"/>
        <v>2.5</v>
      </c>
      <c r="N35" s="70" t="str">
        <f t="shared" si="4"/>
        <v>N/TRANSITA</v>
      </c>
      <c r="O35" s="109"/>
      <c r="P35" s="98"/>
      <c r="Q35" s="32"/>
      <c r="R35" s="108">
        <f t="shared" si="5"/>
        <v>0</v>
      </c>
      <c r="S35" s="38">
        <f t="shared" si="0"/>
        <v>3.6666666666666665</v>
      </c>
      <c r="T35" s="75" t="str">
        <f t="shared" si="6"/>
        <v>N/TRANSITA</v>
      </c>
    </row>
    <row r="36" spans="1:20" ht="14.25" customHeight="1" x14ac:dyDescent="0.3">
      <c r="B36" s="33">
        <v>28</v>
      </c>
      <c r="C36" s="124" t="s">
        <v>116</v>
      </c>
      <c r="D36" s="60"/>
      <c r="E36" s="91">
        <v>10</v>
      </c>
      <c r="F36" s="92">
        <v>2.5</v>
      </c>
      <c r="G36" s="92"/>
      <c r="H36" s="101">
        <f t="shared" si="1"/>
        <v>6.25</v>
      </c>
      <c r="I36" s="70" t="str">
        <f t="shared" si="2"/>
        <v>N/TRANSITA</v>
      </c>
      <c r="J36" s="199"/>
      <c r="K36" s="200"/>
      <c r="L36" s="65"/>
      <c r="M36" s="108">
        <f t="shared" si="3"/>
        <v>0</v>
      </c>
      <c r="N36" s="70" t="str">
        <f t="shared" si="4"/>
        <v>N/TRANSITA</v>
      </c>
      <c r="O36" s="109"/>
      <c r="P36" s="98"/>
      <c r="Q36" s="32"/>
      <c r="R36" s="108">
        <f t="shared" si="5"/>
        <v>0</v>
      </c>
      <c r="S36" s="38">
        <f t="shared" si="0"/>
        <v>2.0833333333333335</v>
      </c>
      <c r="T36" s="75" t="str">
        <f t="shared" si="6"/>
        <v>N/TRANSITA</v>
      </c>
    </row>
    <row r="37" spans="1:20" ht="14.25" customHeight="1" x14ac:dyDescent="0.3">
      <c r="B37" s="33">
        <v>29</v>
      </c>
      <c r="C37" s="123" t="s">
        <v>104</v>
      </c>
      <c r="D37" s="60"/>
      <c r="E37" s="91"/>
      <c r="F37" s="92"/>
      <c r="G37" s="92"/>
      <c r="H37" s="101">
        <f t="shared" si="1"/>
        <v>0</v>
      </c>
      <c r="I37" s="70" t="str">
        <f t="shared" si="2"/>
        <v>N/TRANSITA</v>
      </c>
      <c r="J37" s="199">
        <v>3</v>
      </c>
      <c r="K37" s="200">
        <v>0.5</v>
      </c>
      <c r="L37" s="65"/>
      <c r="M37" s="108">
        <f t="shared" ref="M37:M39" si="9">AVERAGE(J37,MAX(K37:L37))</f>
        <v>1.75</v>
      </c>
      <c r="N37" s="70" t="str">
        <f t="shared" ref="N37:N39" si="10">IF(M37&gt;=10,"TRANSITA","N/TRANSITA")</f>
        <v>N/TRANSITA</v>
      </c>
      <c r="O37" s="109"/>
      <c r="P37" s="98"/>
      <c r="Q37" s="32"/>
      <c r="R37" s="108">
        <f t="shared" ref="R37:R39" si="11">AVERAGE(O37,MAX(P37:Q37))</f>
        <v>0</v>
      </c>
      <c r="S37" s="38">
        <f t="shared" ref="S37:S39" si="12">SUM(H37,M37,R37)/3</f>
        <v>0.58333333333333337</v>
      </c>
      <c r="T37" s="75" t="str">
        <f t="shared" ref="T37:T39" si="13">IF(S37&gt;=10,"TRANSITA","N/TRANSITA")</f>
        <v>N/TRANSITA</v>
      </c>
    </row>
    <row r="38" spans="1:20" ht="14.25" customHeight="1" x14ac:dyDescent="0.3">
      <c r="B38" s="33">
        <v>30</v>
      </c>
      <c r="C38" s="123" t="s">
        <v>105</v>
      </c>
      <c r="D38" s="60"/>
      <c r="E38" s="91">
        <v>15</v>
      </c>
      <c r="F38" s="92">
        <v>12</v>
      </c>
      <c r="G38" s="92"/>
      <c r="H38" s="101">
        <f t="shared" si="1"/>
        <v>13.5</v>
      </c>
      <c r="I38" s="70" t="str">
        <f t="shared" si="2"/>
        <v>TRANSITA</v>
      </c>
      <c r="J38" s="199">
        <v>16</v>
      </c>
      <c r="K38" s="200">
        <v>12</v>
      </c>
      <c r="L38" s="65"/>
      <c r="M38" s="108">
        <f t="shared" si="9"/>
        <v>14</v>
      </c>
      <c r="N38" s="70" t="str">
        <f t="shared" si="10"/>
        <v>TRANSITA</v>
      </c>
      <c r="O38" s="109"/>
      <c r="P38" s="98"/>
      <c r="Q38" s="32"/>
      <c r="R38" s="108">
        <f t="shared" si="11"/>
        <v>0</v>
      </c>
      <c r="S38" s="38">
        <f t="shared" si="12"/>
        <v>9.1666666666666661</v>
      </c>
      <c r="T38" s="75" t="str">
        <f t="shared" si="13"/>
        <v>N/TRANSITA</v>
      </c>
    </row>
    <row r="39" spans="1:20" ht="14.25" customHeight="1" x14ac:dyDescent="0.3">
      <c r="B39" s="33">
        <v>31</v>
      </c>
      <c r="C39" s="124" t="s">
        <v>106</v>
      </c>
      <c r="D39" s="60"/>
      <c r="E39" s="91">
        <v>14</v>
      </c>
      <c r="F39" s="92">
        <v>6</v>
      </c>
      <c r="G39" s="92"/>
      <c r="H39" s="101">
        <f t="shared" si="1"/>
        <v>10</v>
      </c>
      <c r="I39" s="70" t="str">
        <f t="shared" si="2"/>
        <v>TRANSITA</v>
      </c>
      <c r="J39" s="199">
        <v>4</v>
      </c>
      <c r="K39" s="200">
        <v>4</v>
      </c>
      <c r="L39" s="65"/>
      <c r="M39" s="108">
        <f t="shared" si="9"/>
        <v>4</v>
      </c>
      <c r="N39" s="70" t="str">
        <f t="shared" si="10"/>
        <v>N/TRANSITA</v>
      </c>
      <c r="O39" s="109"/>
      <c r="P39" s="98"/>
      <c r="Q39" s="32"/>
      <c r="R39" s="108">
        <f t="shared" si="11"/>
        <v>0</v>
      </c>
      <c r="S39" s="38">
        <f t="shared" si="12"/>
        <v>4.666666666666667</v>
      </c>
      <c r="T39" s="75" t="str">
        <f t="shared" si="13"/>
        <v>N/TRANSITA</v>
      </c>
    </row>
    <row r="40" spans="1:20" ht="14.25" customHeight="1" x14ac:dyDescent="0.3">
      <c r="B40" s="33">
        <v>32</v>
      </c>
      <c r="C40" s="124" t="s">
        <v>107</v>
      </c>
      <c r="D40" s="60"/>
      <c r="E40" s="91"/>
      <c r="F40" s="92"/>
      <c r="G40" s="92"/>
      <c r="H40" s="101">
        <f t="shared" si="1"/>
        <v>0</v>
      </c>
      <c r="I40" s="70" t="str">
        <f t="shared" si="2"/>
        <v>N/TRANSITA</v>
      </c>
      <c r="J40" s="199">
        <v>3</v>
      </c>
      <c r="K40" s="200">
        <v>2</v>
      </c>
      <c r="L40" s="65"/>
      <c r="M40" s="108">
        <f t="shared" si="3"/>
        <v>2.5</v>
      </c>
      <c r="N40" s="70" t="str">
        <f t="shared" si="4"/>
        <v>N/TRANSITA</v>
      </c>
      <c r="O40" s="109"/>
      <c r="P40" s="98"/>
      <c r="Q40" s="32"/>
      <c r="R40" s="108">
        <f t="shared" si="5"/>
        <v>0</v>
      </c>
      <c r="S40" s="38">
        <f t="shared" si="0"/>
        <v>0.83333333333333337</v>
      </c>
      <c r="T40" s="75" t="str">
        <f t="shared" si="6"/>
        <v>N/TRANSITA</v>
      </c>
    </row>
    <row r="41" spans="1:20" ht="14.25" customHeight="1" x14ac:dyDescent="0.3">
      <c r="B41" s="33">
        <v>33</v>
      </c>
      <c r="C41" s="123" t="s">
        <v>108</v>
      </c>
      <c r="D41" s="60"/>
      <c r="E41" s="91"/>
      <c r="F41" s="92"/>
      <c r="G41" s="92"/>
      <c r="H41" s="101">
        <f t="shared" si="1"/>
        <v>0</v>
      </c>
      <c r="I41" s="70" t="str">
        <f t="shared" si="2"/>
        <v>N/TRANSITA</v>
      </c>
      <c r="J41" s="199"/>
      <c r="K41" s="200"/>
      <c r="L41" s="65"/>
      <c r="M41" s="108">
        <f t="shared" si="3"/>
        <v>0</v>
      </c>
      <c r="N41" s="70" t="str">
        <f t="shared" si="4"/>
        <v>N/TRANSITA</v>
      </c>
      <c r="O41" s="109"/>
      <c r="P41" s="98"/>
      <c r="Q41" s="32"/>
      <c r="R41" s="108">
        <f t="shared" si="5"/>
        <v>0</v>
      </c>
      <c r="S41" s="38">
        <f t="shared" si="0"/>
        <v>0</v>
      </c>
      <c r="T41" s="75" t="str">
        <f t="shared" si="6"/>
        <v>N/TRANSITA</v>
      </c>
    </row>
    <row r="42" spans="1:20" ht="14.25" customHeight="1" x14ac:dyDescent="0.3">
      <c r="B42" s="33">
        <v>34</v>
      </c>
      <c r="C42" s="123" t="s">
        <v>109</v>
      </c>
      <c r="D42" s="60"/>
      <c r="E42" s="91">
        <v>16</v>
      </c>
      <c r="F42" s="92">
        <v>2</v>
      </c>
      <c r="G42" s="92"/>
      <c r="H42" s="101">
        <f t="shared" si="1"/>
        <v>9</v>
      </c>
      <c r="I42" s="70" t="str">
        <f t="shared" si="2"/>
        <v>N/TRANSITA</v>
      </c>
      <c r="J42" s="199">
        <v>9</v>
      </c>
      <c r="K42" s="200">
        <v>1</v>
      </c>
      <c r="L42" s="65"/>
      <c r="M42" s="108">
        <f t="shared" si="3"/>
        <v>5</v>
      </c>
      <c r="N42" s="70" t="str">
        <f t="shared" si="4"/>
        <v>N/TRANSITA</v>
      </c>
      <c r="O42" s="109"/>
      <c r="P42" s="98"/>
      <c r="Q42" s="32"/>
      <c r="R42" s="108">
        <f t="shared" si="5"/>
        <v>0</v>
      </c>
      <c r="S42" s="38">
        <f t="shared" si="0"/>
        <v>4.666666666666667</v>
      </c>
      <c r="T42" s="75" t="str">
        <f t="shared" si="6"/>
        <v>N/TRANSITA</v>
      </c>
    </row>
    <row r="43" spans="1:20" ht="14.25" customHeight="1" x14ac:dyDescent="0.3">
      <c r="B43" s="33">
        <v>35</v>
      </c>
      <c r="C43" s="123" t="s">
        <v>110</v>
      </c>
      <c r="D43" s="60"/>
      <c r="E43" s="91">
        <v>16</v>
      </c>
      <c r="F43" s="92">
        <v>6.5</v>
      </c>
      <c r="G43" s="92"/>
      <c r="H43" s="101">
        <f t="shared" si="1"/>
        <v>11.25</v>
      </c>
      <c r="I43" s="70" t="str">
        <f t="shared" si="2"/>
        <v>TRANSITA</v>
      </c>
      <c r="J43" s="199">
        <v>10</v>
      </c>
      <c r="K43" s="200">
        <v>2.5</v>
      </c>
      <c r="L43" s="65"/>
      <c r="M43" s="108">
        <f t="shared" si="3"/>
        <v>6.25</v>
      </c>
      <c r="N43" s="70" t="str">
        <f t="shared" si="4"/>
        <v>N/TRANSITA</v>
      </c>
      <c r="O43" s="109"/>
      <c r="P43" s="98"/>
      <c r="Q43" s="32"/>
      <c r="R43" s="108">
        <f t="shared" si="5"/>
        <v>0</v>
      </c>
      <c r="S43" s="38">
        <f t="shared" si="0"/>
        <v>5.833333333333333</v>
      </c>
      <c r="T43" s="75" t="str">
        <f t="shared" si="6"/>
        <v>N/TRANSITA</v>
      </c>
    </row>
    <row r="44" spans="1:20" ht="14.25" customHeight="1" x14ac:dyDescent="0.3">
      <c r="B44" s="33">
        <v>36</v>
      </c>
      <c r="C44" s="124" t="s">
        <v>111</v>
      </c>
      <c r="D44" s="60"/>
      <c r="E44" s="91">
        <v>12</v>
      </c>
      <c r="F44" s="92">
        <v>7.5</v>
      </c>
      <c r="G44" s="92"/>
      <c r="H44" s="101">
        <f t="shared" si="1"/>
        <v>9.75</v>
      </c>
      <c r="I44" s="70" t="str">
        <f t="shared" si="2"/>
        <v>N/TRANSITA</v>
      </c>
      <c r="J44" s="199">
        <v>9</v>
      </c>
      <c r="K44" s="200">
        <v>8.5</v>
      </c>
      <c r="L44" s="65"/>
      <c r="M44" s="108">
        <f t="shared" si="3"/>
        <v>8.75</v>
      </c>
      <c r="N44" s="70" t="str">
        <f t="shared" si="4"/>
        <v>N/TRANSITA</v>
      </c>
      <c r="O44" s="109"/>
      <c r="P44" s="98"/>
      <c r="Q44" s="32"/>
      <c r="R44" s="108">
        <f t="shared" si="5"/>
        <v>0</v>
      </c>
      <c r="S44" s="38">
        <f t="shared" ref="S44:S46" si="14">SUM(H44,M44,R44)/3</f>
        <v>6.166666666666667</v>
      </c>
      <c r="T44" s="75" t="str">
        <f t="shared" si="6"/>
        <v>N/TRANSITA</v>
      </c>
    </row>
    <row r="45" spans="1:20" ht="14.25" customHeight="1" x14ac:dyDescent="0.3">
      <c r="B45" s="33">
        <v>37</v>
      </c>
      <c r="C45" s="123" t="s">
        <v>112</v>
      </c>
      <c r="D45" s="60"/>
      <c r="E45" s="91">
        <v>12</v>
      </c>
      <c r="F45" s="92">
        <v>12</v>
      </c>
      <c r="G45" s="92"/>
      <c r="H45" s="101">
        <f t="shared" si="1"/>
        <v>12</v>
      </c>
      <c r="I45" s="70" t="str">
        <f t="shared" si="2"/>
        <v>TRANSITA</v>
      </c>
      <c r="J45" s="199">
        <v>6</v>
      </c>
      <c r="K45" s="200"/>
      <c r="L45" s="65"/>
      <c r="M45" s="108">
        <f t="shared" si="3"/>
        <v>3</v>
      </c>
      <c r="N45" s="70" t="str">
        <f t="shared" si="4"/>
        <v>N/TRANSITA</v>
      </c>
      <c r="O45" s="109"/>
      <c r="P45" s="98"/>
      <c r="Q45" s="32"/>
      <c r="R45" s="108">
        <f t="shared" si="5"/>
        <v>0</v>
      </c>
      <c r="S45" s="38">
        <f t="shared" si="14"/>
        <v>5</v>
      </c>
      <c r="T45" s="75" t="str">
        <f t="shared" si="6"/>
        <v>N/TRANSITA</v>
      </c>
    </row>
    <row r="46" spans="1:20" ht="14.25" customHeight="1" thickBot="1" x14ac:dyDescent="0.35">
      <c r="B46" s="33">
        <v>38</v>
      </c>
      <c r="C46" s="125" t="s">
        <v>113</v>
      </c>
      <c r="D46" s="61"/>
      <c r="E46" s="93"/>
      <c r="F46" s="94"/>
      <c r="G46" s="94"/>
      <c r="H46" s="152">
        <f t="shared" si="1"/>
        <v>0</v>
      </c>
      <c r="I46" s="139" t="str">
        <f t="shared" si="2"/>
        <v>N/TRANSITA</v>
      </c>
      <c r="J46" s="201"/>
      <c r="K46" s="202"/>
      <c r="L46" s="68"/>
      <c r="M46" s="138">
        <f t="shared" si="3"/>
        <v>0</v>
      </c>
      <c r="N46" s="139" t="str">
        <f t="shared" si="4"/>
        <v>N/TRANSITA</v>
      </c>
      <c r="O46" s="110"/>
      <c r="P46" s="99"/>
      <c r="Q46" s="34"/>
      <c r="R46" s="138">
        <f t="shared" si="5"/>
        <v>0</v>
      </c>
      <c r="S46" s="39">
        <f t="shared" si="14"/>
        <v>0</v>
      </c>
      <c r="T46" s="76" t="str">
        <f t="shared" si="6"/>
        <v>N/TRANSITA</v>
      </c>
    </row>
    <row r="47" spans="1:20" ht="93.75" customHeight="1" thickTop="1" x14ac:dyDescent="0.3">
      <c r="B47" s="19"/>
      <c r="C47" s="19"/>
      <c r="D47" s="19"/>
      <c r="E47" s="19"/>
      <c r="F47" s="19"/>
      <c r="G47" s="19"/>
      <c r="H47" s="19"/>
      <c r="I47" s="19"/>
      <c r="J47" s="19"/>
      <c r="O47" s="19"/>
      <c r="P47" s="19"/>
      <c r="Q47" s="19"/>
      <c r="R47" s="19"/>
      <c r="S47" s="19"/>
      <c r="T47" s="19"/>
    </row>
    <row r="48" spans="1:20" ht="20.25" customHeight="1" x14ac:dyDescent="0.45">
      <c r="A48" s="20"/>
      <c r="B48" s="20"/>
      <c r="C48" s="20"/>
      <c r="D48" s="20"/>
      <c r="E48" s="20"/>
      <c r="F48" s="20"/>
      <c r="G48" s="20"/>
      <c r="H48" s="20"/>
      <c r="I48" s="20"/>
      <c r="J48" s="20"/>
      <c r="O48" s="20"/>
      <c r="P48" s="21"/>
      <c r="Q48" s="21"/>
      <c r="R48" s="21"/>
      <c r="S48" s="20"/>
      <c r="T48" s="20"/>
    </row>
    <row r="49" spans="1:20" ht="15.6" x14ac:dyDescent="0.3">
      <c r="A49" s="248" t="s">
        <v>50</v>
      </c>
      <c r="B49" s="248"/>
      <c r="C49" s="248"/>
      <c r="D49" s="248"/>
      <c r="E49" s="248"/>
      <c r="F49" s="22"/>
      <c r="G49" s="22"/>
      <c r="H49" s="22"/>
      <c r="I49" s="22"/>
      <c r="J49" s="22"/>
      <c r="K49" s="23"/>
      <c r="L49" s="23"/>
      <c r="M49" s="23"/>
      <c r="N49" s="23"/>
      <c r="O49" s="248" t="s">
        <v>9</v>
      </c>
      <c r="P49" s="248"/>
      <c r="Q49" s="248"/>
      <c r="R49" s="248"/>
      <c r="S49" s="248"/>
      <c r="T49" s="248"/>
    </row>
    <row r="50" spans="1:20" ht="15.6" x14ac:dyDescent="0.3">
      <c r="A50" s="249" t="s">
        <v>21</v>
      </c>
      <c r="B50" s="249"/>
      <c r="C50" s="249"/>
      <c r="D50" s="249"/>
      <c r="E50" s="249"/>
      <c r="F50" s="24"/>
      <c r="G50" s="24"/>
      <c r="H50" s="24"/>
      <c r="I50" s="24"/>
      <c r="J50" s="24"/>
      <c r="O50" s="250" t="s">
        <v>22</v>
      </c>
      <c r="P50" s="250"/>
      <c r="Q50" s="250"/>
      <c r="R50" s="250"/>
      <c r="S50" s="250"/>
      <c r="T50" s="250"/>
    </row>
    <row r="51" spans="1:20" x14ac:dyDescent="0.3">
      <c r="A51" s="242"/>
      <c r="B51" s="242"/>
      <c r="C51" s="242"/>
      <c r="D51" s="242"/>
      <c r="E51" s="242"/>
      <c r="O51" s="242" t="s">
        <v>23</v>
      </c>
      <c r="P51" s="242"/>
      <c r="Q51" s="242"/>
      <c r="R51" s="242"/>
      <c r="S51" s="242"/>
      <c r="T51" s="242"/>
    </row>
  </sheetData>
  <mergeCells count="22">
    <mergeCell ref="N7:N8"/>
    <mergeCell ref="A1:T1"/>
    <mergeCell ref="B3:R3"/>
    <mergeCell ref="B4:C4"/>
    <mergeCell ref="B5:C5"/>
    <mergeCell ref="N5:T5"/>
    <mergeCell ref="A51:E51"/>
    <mergeCell ref="O51:T51"/>
    <mergeCell ref="P4:T4"/>
    <mergeCell ref="S7:S8"/>
    <mergeCell ref="T7:T8"/>
    <mergeCell ref="A49:E49"/>
    <mergeCell ref="O49:T49"/>
    <mergeCell ref="A50:E50"/>
    <mergeCell ref="O50:T50"/>
    <mergeCell ref="B7:B8"/>
    <mergeCell ref="C7:C8"/>
    <mergeCell ref="E7:H7"/>
    <mergeCell ref="J7:M7"/>
    <mergeCell ref="O7:R7"/>
    <mergeCell ref="B6:T6"/>
    <mergeCell ref="I7:I8"/>
  </mergeCells>
  <conditionalFormatting sqref="S9:S46">
    <cfRule type="cellIs" dxfId="241" priority="209" stopIfTrue="1" operator="greaterThan">
      <formula>9.5</formula>
    </cfRule>
    <cfRule type="cellIs" dxfId="240" priority="210" stopIfTrue="1" operator="lessThanOrEqual">
      <formula>9.5</formula>
    </cfRule>
  </conditionalFormatting>
  <conditionalFormatting sqref="Q9:Q46">
    <cfRule type="cellIs" dxfId="239" priority="195" stopIfTrue="1" operator="lessThan">
      <formula>10</formula>
    </cfRule>
    <cfRule type="cellIs" dxfId="238" priority="196" stopIfTrue="1" operator="greaterThan">
      <formula>9</formula>
    </cfRule>
  </conditionalFormatting>
  <conditionalFormatting sqref="Q9:Q46">
    <cfRule type="cellIs" dxfId="237" priority="193" stopIfTrue="1" operator="lessThan">
      <formula>10</formula>
    </cfRule>
    <cfRule type="cellIs" dxfId="236" priority="194" stopIfTrue="1" operator="greaterThan">
      <formula>9</formula>
    </cfRule>
  </conditionalFormatting>
  <conditionalFormatting sqref="L42:L46">
    <cfRule type="cellIs" dxfId="235" priority="93" stopIfTrue="1" operator="lessThan">
      <formula>10</formula>
    </cfRule>
    <cfRule type="cellIs" dxfId="234" priority="94" stopIfTrue="1" operator="greaterThan">
      <formula>9</formula>
    </cfRule>
    <cfRule type="cellIs" dxfId="233" priority="95" stopIfTrue="1" operator="lessThan">
      <formula>10</formula>
    </cfRule>
    <cfRule type="cellIs" dxfId="232" priority="96" stopIfTrue="1" operator="greaterThan">
      <formula>9</formula>
    </cfRule>
  </conditionalFormatting>
  <conditionalFormatting sqref="L9:L41">
    <cfRule type="cellIs" dxfId="231" priority="97" stopIfTrue="1" operator="lessThan">
      <formula>10</formula>
    </cfRule>
    <cfRule type="cellIs" dxfId="230" priority="98" stopIfTrue="1" operator="greaterThan">
      <formula>9</formula>
    </cfRule>
    <cfRule type="cellIs" dxfId="229" priority="99" stopIfTrue="1" operator="lessThan">
      <formula>10</formula>
    </cfRule>
    <cfRule type="cellIs" dxfId="228" priority="100" stopIfTrue="1" operator="greaterThan">
      <formula>9</formula>
    </cfRule>
  </conditionalFormatting>
  <conditionalFormatting sqref="O9:P46">
    <cfRule type="cellIs" dxfId="227" priority="53" stopIfTrue="1" operator="lessThan">
      <formula>10</formula>
    </cfRule>
    <cfRule type="cellIs" dxfId="226" priority="54" stopIfTrue="1" operator="greaterThan">
      <formula>9</formula>
    </cfRule>
    <cfRule type="cellIs" dxfId="225" priority="55" stopIfTrue="1" operator="lessThan">
      <formula>10</formula>
    </cfRule>
    <cfRule type="cellIs" dxfId="224" priority="56" stopIfTrue="1" operator="greaterThan">
      <formula>9</formula>
    </cfRule>
  </conditionalFormatting>
  <conditionalFormatting sqref="M9:M46 R9:R46">
    <cfRule type="cellIs" dxfId="223" priority="37" stopIfTrue="1" operator="greaterThanOrEqual">
      <formula>10</formula>
    </cfRule>
    <cfRule type="cellIs" dxfId="222" priority="38" stopIfTrue="1" operator="lessThan">
      <formula>10</formula>
    </cfRule>
  </conditionalFormatting>
  <conditionalFormatting sqref="J9:K46">
    <cfRule type="cellIs" dxfId="221" priority="13" stopIfTrue="1" operator="lessThan">
      <formula>10</formula>
    </cfRule>
    <cfRule type="cellIs" dxfId="220" priority="14" stopIfTrue="1" operator="greaterThan">
      <formula>9</formula>
    </cfRule>
    <cfRule type="cellIs" dxfId="219" priority="15" stopIfTrue="1" operator="lessThan">
      <formula>10</formula>
    </cfRule>
    <cfRule type="cellIs" dxfId="218" priority="16" stopIfTrue="1" operator="greaterThan">
      <formula>9</formula>
    </cfRule>
  </conditionalFormatting>
  <conditionalFormatting sqref="G9:G46">
    <cfRule type="cellIs" dxfId="217" priority="9" stopIfTrue="1" operator="lessThan">
      <formula>10</formula>
    </cfRule>
    <cfRule type="cellIs" dxfId="216" priority="10" stopIfTrue="1" operator="greaterThan">
      <formula>9</formula>
    </cfRule>
    <cfRule type="cellIs" dxfId="215" priority="11" stopIfTrue="1" operator="lessThan">
      <formula>10</formula>
    </cfRule>
    <cfRule type="cellIs" dxfId="214" priority="12" stopIfTrue="1" operator="greaterThan">
      <formula>9</formula>
    </cfRule>
  </conditionalFormatting>
  <conditionalFormatting sqref="H9:H46">
    <cfRule type="cellIs" dxfId="213" priority="5" stopIfTrue="1" operator="greaterThanOrEqual">
      <formula>10</formula>
    </cfRule>
    <cfRule type="cellIs" dxfId="212" priority="6" stopIfTrue="1" operator="lessThan">
      <formula>10</formula>
    </cfRule>
  </conditionalFormatting>
  <conditionalFormatting sqref="E9:F46">
    <cfRule type="cellIs" dxfId="211" priority="1" stopIfTrue="1" operator="lessThan">
      <formula>10</formula>
    </cfRule>
    <cfRule type="cellIs" dxfId="210" priority="2" stopIfTrue="1" operator="greaterThan">
      <formula>9</formula>
    </cfRule>
    <cfRule type="cellIs" dxfId="209" priority="3" stopIfTrue="1" operator="lessThan">
      <formula>10</formula>
    </cfRule>
    <cfRule type="cellIs" dxfId="208" priority="4" stopIfTrue="1" operator="greaterThan">
      <formula>9</formula>
    </cfRule>
  </conditionalFormatting>
  <dataValidations count="1">
    <dataValidation type="decimal" allowBlank="1" showInputMessage="1" showErrorMessage="1" errorTitle="ATENÇÃO!" error="O valor introduzido não é válido. Grato!" sqref="O9:Q46 J9:L46 E9:G46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049" r:id="rId4">
          <objectPr defaultSize="0" autoPict="0" r:id="rId5">
            <anchor moveWithCells="1">
              <from>
                <xdr:col>1</xdr:col>
                <xdr:colOff>60960</xdr:colOff>
                <xdr:row>46</xdr:row>
                <xdr:rowOff>160020</xdr:rowOff>
              </from>
              <to>
                <xdr:col>13</xdr:col>
                <xdr:colOff>144780</xdr:colOff>
                <xdr:row>48</xdr:row>
                <xdr:rowOff>22860</xdr:rowOff>
              </to>
            </anchor>
          </objectPr>
        </oleObject>
      </mc:Choice>
      <mc:Fallback>
        <oleObject progId="Word.Document.8" shapeId="2049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3" stopIfTrue="1" operator="containsText" id="{7501F7CF-9FC0-45FE-9D92-57A4193917A2}">
            <xm:f>NOT(ISERROR(SEARCH("N/TRANSITA",N9)))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74" stopIfTrue="1" operator="containsText" id="{CB1C6A53-D7C8-46B3-9578-51E0AC741BC8}">
            <xm:f>NOT(ISERROR(SEARCH("TRANSITA",N9)))</xm:f>
            <xm:f>"TRANSITA"</xm:f>
            <x14:dxf>
              <font>
                <b/>
                <i val="0"/>
                <color rgb="FF0000FF"/>
              </font>
            </x14:dxf>
          </x14:cfRule>
          <xm:sqref>N9:N46 T9:T46</xm:sqref>
        </x14:conditionalFormatting>
        <x14:conditionalFormatting xmlns:xm="http://schemas.microsoft.com/office/excel/2006/main">
          <x14:cfRule type="containsText" priority="7" stopIfTrue="1" operator="containsText" id="{A4474677-DF45-4010-AA93-5F56F2E8A3A4}">
            <xm:f>NOT(ISERROR(SEARCH("TRANSITA",I9)))</xm:f>
            <xm:f>"TRANSITA"</xm:f>
            <x14:dxf>
              <font>
                <b/>
                <color rgb="FFFF0000"/>
              </font>
            </x14:dxf>
          </x14:cfRule>
          <x14:cfRule type="containsText" priority="8" stopIfTrue="1" operator="containsText" id="{970D95D8-E4CD-4669-9F8E-6306E63D0F06}">
            <xm:f>NOT(ISERROR(SEARCH("TRANSITA",I9)))</xm:f>
            <xm:f>"TRANSITA"</xm:f>
            <x14:dxf>
              <font>
                <b/>
                <color rgb="FF0000FF"/>
              </font>
            </x14:dxf>
          </x14:cfRule>
          <xm:sqref>I9:I46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W51"/>
  <sheetViews>
    <sheetView showGridLines="0" topLeftCell="A31" zoomScaleNormal="100" zoomScalePageLayoutView="85" workbookViewId="0">
      <selection activeCell="H20" sqref="H20"/>
    </sheetView>
  </sheetViews>
  <sheetFormatPr defaultRowHeight="14.4" x14ac:dyDescent="0.3"/>
  <cols>
    <col min="1" max="1" width="1.6640625" customWidth="1"/>
    <col min="2" max="2" width="3.6640625" customWidth="1"/>
    <col min="3" max="3" width="35.109375" customWidth="1"/>
    <col min="4" max="4" width="6.44140625" customWidth="1"/>
    <col min="5" max="8" width="5.109375" customWidth="1"/>
    <col min="9" max="9" width="11.109375" customWidth="1"/>
    <col min="10" max="13" width="5.109375" customWidth="1"/>
    <col min="14" max="14" width="11.109375" customWidth="1"/>
    <col min="15" max="18" width="5.109375" customWidth="1"/>
    <col min="19" max="19" width="6" customWidth="1"/>
    <col min="20" max="20" width="11.5546875" customWidth="1"/>
    <col min="21" max="21" width="3.44140625" customWidth="1"/>
    <col min="22" max="22" width="5" customWidth="1"/>
  </cols>
  <sheetData>
    <row r="1" spans="1:23" ht="30" customHeight="1" x14ac:dyDescent="0.3">
      <c r="A1" s="261" t="s">
        <v>44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</row>
    <row r="2" spans="1:23" ht="30" customHeight="1" x14ac:dyDescent="0.3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23" ht="12" customHeight="1" x14ac:dyDescent="0.3"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</row>
    <row r="4" spans="1:23" ht="17.399999999999999" customHeight="1" x14ac:dyDescent="0.3">
      <c r="B4" s="262" t="s">
        <v>57</v>
      </c>
      <c r="C4" s="262"/>
      <c r="D4" s="31"/>
      <c r="F4" s="73"/>
      <c r="G4" s="73"/>
      <c r="I4" s="73" t="s">
        <v>27</v>
      </c>
      <c r="J4" s="73"/>
      <c r="K4" s="73"/>
      <c r="L4" s="73"/>
      <c r="M4" s="73"/>
      <c r="N4" s="31"/>
      <c r="P4" s="243" t="s">
        <v>55</v>
      </c>
      <c r="Q4" s="243"/>
      <c r="R4" s="243"/>
      <c r="S4" s="243"/>
      <c r="T4" s="243"/>
    </row>
    <row r="5" spans="1:23" ht="18" customHeight="1" x14ac:dyDescent="0.3">
      <c r="B5" s="262" t="s">
        <v>64</v>
      </c>
      <c r="C5" s="262"/>
      <c r="D5" s="31"/>
      <c r="E5" s="74" t="s">
        <v>52</v>
      </c>
      <c r="F5" s="74"/>
      <c r="I5" s="74" t="s">
        <v>67</v>
      </c>
      <c r="J5" s="74"/>
      <c r="K5" s="74"/>
      <c r="N5" s="263" t="s">
        <v>66</v>
      </c>
      <c r="O5" s="263"/>
      <c r="P5" s="263"/>
      <c r="Q5" s="263"/>
      <c r="R5" s="263"/>
      <c r="S5" s="263"/>
      <c r="T5" s="263"/>
    </row>
    <row r="6" spans="1:23" ht="34.5" customHeight="1" thickBot="1" x14ac:dyDescent="1.05">
      <c r="B6" s="258" t="s">
        <v>41</v>
      </c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60"/>
    </row>
    <row r="7" spans="1:23" ht="19.5" customHeight="1" thickTop="1" x14ac:dyDescent="0.3">
      <c r="B7" s="251" t="s">
        <v>35</v>
      </c>
      <c r="C7" s="253" t="s">
        <v>13</v>
      </c>
      <c r="D7" s="43" t="s">
        <v>39</v>
      </c>
      <c r="E7" s="255" t="s">
        <v>36</v>
      </c>
      <c r="F7" s="256"/>
      <c r="G7" s="256"/>
      <c r="H7" s="257"/>
      <c r="I7" s="246" t="s">
        <v>15</v>
      </c>
      <c r="J7" s="255" t="s">
        <v>37</v>
      </c>
      <c r="K7" s="256"/>
      <c r="L7" s="256"/>
      <c r="M7" s="257"/>
      <c r="N7" s="246" t="s">
        <v>15</v>
      </c>
      <c r="O7" s="255" t="s">
        <v>38</v>
      </c>
      <c r="P7" s="256"/>
      <c r="Q7" s="256"/>
      <c r="R7" s="257"/>
      <c r="S7" s="244" t="s">
        <v>14</v>
      </c>
      <c r="T7" s="246" t="s">
        <v>15</v>
      </c>
    </row>
    <row r="8" spans="1:23" ht="20.25" customHeight="1" thickBot="1" x14ac:dyDescent="0.35">
      <c r="B8" s="252"/>
      <c r="C8" s="254"/>
      <c r="D8" s="44" t="s">
        <v>40</v>
      </c>
      <c r="E8" s="36" t="s">
        <v>16</v>
      </c>
      <c r="F8" s="35" t="s">
        <v>17</v>
      </c>
      <c r="G8" s="35" t="s">
        <v>34</v>
      </c>
      <c r="H8" s="37" t="s">
        <v>18</v>
      </c>
      <c r="I8" s="247"/>
      <c r="J8" s="36" t="s">
        <v>16</v>
      </c>
      <c r="K8" s="35" t="s">
        <v>17</v>
      </c>
      <c r="L8" s="35" t="s">
        <v>34</v>
      </c>
      <c r="M8" s="37" t="s">
        <v>19</v>
      </c>
      <c r="N8" s="247"/>
      <c r="O8" s="36" t="s">
        <v>16</v>
      </c>
      <c r="P8" s="35" t="s">
        <v>17</v>
      </c>
      <c r="Q8" s="35" t="s">
        <v>34</v>
      </c>
      <c r="R8" s="37" t="s">
        <v>20</v>
      </c>
      <c r="S8" s="245"/>
      <c r="T8" s="247"/>
    </row>
    <row r="9" spans="1:23" ht="14.25" customHeight="1" thickTop="1" thickBot="1" x14ac:dyDescent="0.35">
      <c r="B9" s="129">
        <v>1</v>
      </c>
      <c r="C9" s="122" t="s">
        <v>79</v>
      </c>
      <c r="D9" s="130"/>
      <c r="E9" s="147">
        <v>0</v>
      </c>
      <c r="F9" s="148">
        <v>8</v>
      </c>
      <c r="G9" s="148"/>
      <c r="H9" s="151">
        <f>AVERAGE(E9,MAX(F9:G9))</f>
        <v>4</v>
      </c>
      <c r="I9" s="141" t="str">
        <f>IF(H9&gt;=10,"TRANSITA","N/TRANSITA")</f>
        <v>N/TRANSITA</v>
      </c>
      <c r="J9" s="142">
        <v>20</v>
      </c>
      <c r="K9" s="143">
        <v>15</v>
      </c>
      <c r="L9" s="144"/>
      <c r="M9" s="151">
        <f>AVERAGE(J9,MAX(K9:L9))</f>
        <v>17.5</v>
      </c>
      <c r="N9" s="141" t="str">
        <f>IF(M9&gt;=10,"TRANSITA","N/TRANSITA")</f>
        <v>TRANSITA</v>
      </c>
      <c r="O9" s="142"/>
      <c r="P9" s="143"/>
      <c r="Q9" s="144"/>
      <c r="R9" s="151">
        <f>AVERAGE(O9,MAX(P9:Q9))</f>
        <v>0</v>
      </c>
      <c r="S9" s="145">
        <f t="shared" ref="S9:S43" si="0">SUM(H9,M9,R9)/3</f>
        <v>7.166666666666667</v>
      </c>
      <c r="T9" s="77" t="str">
        <f>IF(S9&gt;=10,"TRANSITA","N/TRANSITA")</f>
        <v>N/TRANSITA</v>
      </c>
    </row>
    <row r="10" spans="1:23" ht="14.25" customHeight="1" thickTop="1" thickBot="1" x14ac:dyDescent="0.35">
      <c r="B10" s="33">
        <v>2</v>
      </c>
      <c r="C10" s="124" t="s">
        <v>80</v>
      </c>
      <c r="D10" s="60"/>
      <c r="E10" s="147">
        <v>0</v>
      </c>
      <c r="F10" s="92">
        <v>9</v>
      </c>
      <c r="G10" s="92"/>
      <c r="H10" s="101">
        <f t="shared" ref="H10:H46" si="1">AVERAGE(E10,MAX(F10:G10))</f>
        <v>4.5</v>
      </c>
      <c r="I10" s="62" t="str">
        <f t="shared" ref="I10:I46" si="2">IF(H10&gt;=10,"TRANSITA","N/TRANSITA")</f>
        <v>N/TRANSITA</v>
      </c>
      <c r="J10" s="102">
        <v>10</v>
      </c>
      <c r="K10" s="103">
        <v>9</v>
      </c>
      <c r="L10" s="63"/>
      <c r="M10" s="101">
        <f t="shared" ref="M10:M46" si="3">AVERAGE(J10,MAX(K10:L10))</f>
        <v>9.5</v>
      </c>
      <c r="N10" s="62" t="str">
        <f t="shared" ref="N10:N46" si="4">IF(M10&gt;=10,"TRANSITA","N/TRANSITA")</f>
        <v>N/TRANSITA</v>
      </c>
      <c r="O10" s="102"/>
      <c r="P10" s="103"/>
      <c r="Q10" s="63"/>
      <c r="R10" s="101">
        <f t="shared" ref="R10:R46" si="5">AVERAGE(O10,MAX(P10:Q10))</f>
        <v>0</v>
      </c>
      <c r="S10" s="41">
        <f t="shared" si="0"/>
        <v>4.666666666666667</v>
      </c>
      <c r="T10" s="78" t="str">
        <f t="shared" ref="T10:T46" si="6">IF(S10&gt;=10,"TRANSITA","N/TRANSITA")</f>
        <v>N/TRANSITA</v>
      </c>
    </row>
    <row r="11" spans="1:23" ht="14.25" customHeight="1" thickTop="1" thickBot="1" x14ac:dyDescent="0.35">
      <c r="B11" s="33">
        <v>3</v>
      </c>
      <c r="C11" s="123" t="s">
        <v>81</v>
      </c>
      <c r="D11" s="60"/>
      <c r="E11" s="147"/>
      <c r="F11" s="92"/>
      <c r="G11" s="92"/>
      <c r="H11" s="101">
        <f t="shared" si="1"/>
        <v>0</v>
      </c>
      <c r="I11" s="62" t="str">
        <f t="shared" si="2"/>
        <v>N/TRANSITA</v>
      </c>
      <c r="J11" s="102">
        <v>0</v>
      </c>
      <c r="K11" s="103"/>
      <c r="L11" s="63"/>
      <c r="M11" s="101">
        <f t="shared" si="3"/>
        <v>0</v>
      </c>
      <c r="N11" s="62" t="str">
        <f t="shared" si="4"/>
        <v>N/TRANSITA</v>
      </c>
      <c r="O11" s="102"/>
      <c r="P11" s="103"/>
      <c r="Q11" s="63"/>
      <c r="R11" s="101">
        <f t="shared" si="5"/>
        <v>0</v>
      </c>
      <c r="S11" s="41">
        <f t="shared" si="0"/>
        <v>0</v>
      </c>
      <c r="T11" s="78" t="str">
        <f t="shared" si="6"/>
        <v>N/TRANSITA</v>
      </c>
    </row>
    <row r="12" spans="1:23" ht="14.25" customHeight="1" thickTop="1" thickBot="1" x14ac:dyDescent="0.35">
      <c r="B12" s="33">
        <v>4</v>
      </c>
      <c r="C12" s="123" t="s">
        <v>82</v>
      </c>
      <c r="D12" s="60"/>
      <c r="E12" s="147">
        <v>10</v>
      </c>
      <c r="F12" s="92">
        <v>12</v>
      </c>
      <c r="G12" s="92"/>
      <c r="H12" s="101">
        <f t="shared" si="1"/>
        <v>11</v>
      </c>
      <c r="I12" s="62" t="str">
        <f t="shared" si="2"/>
        <v>TRANSITA</v>
      </c>
      <c r="J12" s="102">
        <v>10</v>
      </c>
      <c r="K12" s="103">
        <v>10</v>
      </c>
      <c r="L12" s="63"/>
      <c r="M12" s="101">
        <f t="shared" si="3"/>
        <v>10</v>
      </c>
      <c r="N12" s="62" t="str">
        <f t="shared" si="4"/>
        <v>TRANSITA</v>
      </c>
      <c r="O12" s="102"/>
      <c r="P12" s="103"/>
      <c r="Q12" s="63"/>
      <c r="R12" s="101">
        <f t="shared" si="5"/>
        <v>0</v>
      </c>
      <c r="S12" s="41">
        <f t="shared" si="0"/>
        <v>7</v>
      </c>
      <c r="T12" s="78" t="str">
        <f t="shared" si="6"/>
        <v>N/TRANSITA</v>
      </c>
    </row>
    <row r="13" spans="1:23" ht="14.25" customHeight="1" thickTop="1" x14ac:dyDescent="0.3">
      <c r="B13" s="33">
        <v>5</v>
      </c>
      <c r="C13" s="124" t="s">
        <v>83</v>
      </c>
      <c r="D13" s="60"/>
      <c r="E13" s="147">
        <v>0</v>
      </c>
      <c r="F13" s="92">
        <v>4</v>
      </c>
      <c r="G13" s="92"/>
      <c r="H13" s="101">
        <f t="shared" si="1"/>
        <v>2</v>
      </c>
      <c r="I13" s="62" t="str">
        <f t="shared" si="2"/>
        <v>N/TRANSITA</v>
      </c>
      <c r="J13" s="102">
        <v>10</v>
      </c>
      <c r="K13" s="103">
        <v>6</v>
      </c>
      <c r="L13" s="63"/>
      <c r="M13" s="101">
        <f t="shared" si="3"/>
        <v>8</v>
      </c>
      <c r="N13" s="62" t="str">
        <f t="shared" si="4"/>
        <v>N/TRANSITA</v>
      </c>
      <c r="O13" s="102"/>
      <c r="P13" s="103"/>
      <c r="Q13" s="63"/>
      <c r="R13" s="101">
        <f t="shared" si="5"/>
        <v>0</v>
      </c>
      <c r="S13" s="41">
        <f t="shared" si="0"/>
        <v>3.3333333333333335</v>
      </c>
      <c r="T13" s="78" t="str">
        <f t="shared" si="6"/>
        <v>N/TRANSITA</v>
      </c>
      <c r="U13" s="18"/>
      <c r="V13" s="18"/>
      <c r="W13" s="18"/>
    </row>
    <row r="14" spans="1:23" ht="14.25" customHeight="1" x14ac:dyDescent="0.3">
      <c r="B14" s="33">
        <v>6</v>
      </c>
      <c r="C14" s="123" t="s">
        <v>84</v>
      </c>
      <c r="D14" s="60"/>
      <c r="E14" s="91"/>
      <c r="F14" s="92"/>
      <c r="G14" s="92"/>
      <c r="H14" s="101">
        <f t="shared" si="1"/>
        <v>0</v>
      </c>
      <c r="I14" s="62" t="str">
        <f t="shared" si="2"/>
        <v>N/TRANSITA</v>
      </c>
      <c r="J14" s="102">
        <v>8</v>
      </c>
      <c r="K14" s="103">
        <v>8</v>
      </c>
      <c r="L14" s="63"/>
      <c r="M14" s="101">
        <f t="shared" si="3"/>
        <v>8</v>
      </c>
      <c r="N14" s="62" t="str">
        <f t="shared" si="4"/>
        <v>N/TRANSITA</v>
      </c>
      <c r="O14" s="102"/>
      <c r="P14" s="103"/>
      <c r="Q14" s="63"/>
      <c r="R14" s="101">
        <f t="shared" si="5"/>
        <v>0</v>
      </c>
      <c r="S14" s="41">
        <f t="shared" si="0"/>
        <v>2.6666666666666665</v>
      </c>
      <c r="T14" s="78" t="str">
        <f t="shared" si="6"/>
        <v>N/TRANSITA</v>
      </c>
    </row>
    <row r="15" spans="1:23" ht="14.25" customHeight="1" x14ac:dyDescent="0.3">
      <c r="B15" s="33">
        <v>7</v>
      </c>
      <c r="C15" s="123" t="s">
        <v>85</v>
      </c>
      <c r="D15" s="60"/>
      <c r="E15" s="91">
        <v>15</v>
      </c>
      <c r="F15" s="92">
        <v>12</v>
      </c>
      <c r="G15" s="92"/>
      <c r="H15" s="101">
        <f t="shared" si="1"/>
        <v>13.5</v>
      </c>
      <c r="I15" s="62" t="str">
        <f t="shared" si="2"/>
        <v>TRANSITA</v>
      </c>
      <c r="J15" s="102">
        <v>20</v>
      </c>
      <c r="K15" s="103">
        <v>10</v>
      </c>
      <c r="L15" s="63"/>
      <c r="M15" s="101">
        <f t="shared" si="3"/>
        <v>15</v>
      </c>
      <c r="N15" s="62" t="str">
        <f t="shared" si="4"/>
        <v>TRANSITA</v>
      </c>
      <c r="O15" s="102"/>
      <c r="P15" s="103"/>
      <c r="Q15" s="63"/>
      <c r="R15" s="101">
        <f t="shared" si="5"/>
        <v>0</v>
      </c>
      <c r="S15" s="41">
        <f t="shared" si="0"/>
        <v>9.5</v>
      </c>
      <c r="T15" s="78" t="str">
        <f t="shared" si="6"/>
        <v>N/TRANSITA</v>
      </c>
    </row>
    <row r="16" spans="1:23" ht="14.25" customHeight="1" x14ac:dyDescent="0.3">
      <c r="B16" s="33">
        <v>8</v>
      </c>
      <c r="C16" s="124" t="s">
        <v>86</v>
      </c>
      <c r="D16" s="60"/>
      <c r="E16" s="91">
        <v>0</v>
      </c>
      <c r="F16" s="92">
        <v>6</v>
      </c>
      <c r="G16" s="92"/>
      <c r="H16" s="101">
        <f t="shared" si="1"/>
        <v>3</v>
      </c>
      <c r="I16" s="62" t="str">
        <f t="shared" si="2"/>
        <v>N/TRANSITA</v>
      </c>
      <c r="J16" s="102">
        <v>10</v>
      </c>
      <c r="K16" s="103">
        <v>11</v>
      </c>
      <c r="L16" s="63"/>
      <c r="M16" s="101">
        <f t="shared" si="3"/>
        <v>10.5</v>
      </c>
      <c r="N16" s="62" t="str">
        <f t="shared" si="4"/>
        <v>TRANSITA</v>
      </c>
      <c r="O16" s="102"/>
      <c r="P16" s="103"/>
      <c r="Q16" s="63"/>
      <c r="R16" s="101">
        <f t="shared" si="5"/>
        <v>0</v>
      </c>
      <c r="S16" s="41">
        <f t="shared" si="0"/>
        <v>4.5</v>
      </c>
      <c r="T16" s="78" t="str">
        <f t="shared" si="6"/>
        <v>N/TRANSITA</v>
      </c>
    </row>
    <row r="17" spans="2:20" ht="14.25" customHeight="1" x14ac:dyDescent="0.3">
      <c r="B17" s="33">
        <v>9</v>
      </c>
      <c r="C17" s="123" t="s">
        <v>87</v>
      </c>
      <c r="D17" s="60"/>
      <c r="E17" s="91">
        <v>10</v>
      </c>
      <c r="F17" s="92">
        <v>11</v>
      </c>
      <c r="G17" s="92"/>
      <c r="H17" s="101">
        <f t="shared" si="1"/>
        <v>10.5</v>
      </c>
      <c r="I17" s="62" t="str">
        <f t="shared" si="2"/>
        <v>TRANSITA</v>
      </c>
      <c r="J17" s="102">
        <v>18</v>
      </c>
      <c r="K17" s="103">
        <v>11</v>
      </c>
      <c r="L17" s="63"/>
      <c r="M17" s="101">
        <f t="shared" si="3"/>
        <v>14.5</v>
      </c>
      <c r="N17" s="62" t="str">
        <f t="shared" ref="N17:N18" si="7">IF(M17&gt;=10,"TRANSITA","N/TRANSITA")</f>
        <v>TRANSITA</v>
      </c>
      <c r="O17" s="102"/>
      <c r="P17" s="103"/>
      <c r="Q17" s="63"/>
      <c r="R17" s="101">
        <f t="shared" si="5"/>
        <v>0</v>
      </c>
      <c r="S17" s="41">
        <f t="shared" si="0"/>
        <v>8.3333333333333339</v>
      </c>
      <c r="T17" s="78" t="str">
        <f t="shared" ref="T17:T18" si="8">IF(S17&gt;=10,"TRANSITA","N/TRANSITA")</f>
        <v>N/TRANSITA</v>
      </c>
    </row>
    <row r="18" spans="2:20" ht="14.25" customHeight="1" x14ac:dyDescent="0.3">
      <c r="B18" s="33">
        <v>10</v>
      </c>
      <c r="C18" s="124" t="s">
        <v>88</v>
      </c>
      <c r="D18" s="60"/>
      <c r="E18" s="91">
        <v>0</v>
      </c>
      <c r="F18" s="92">
        <v>0</v>
      </c>
      <c r="G18" s="92"/>
      <c r="H18" s="101">
        <f t="shared" si="1"/>
        <v>0</v>
      </c>
      <c r="I18" s="62" t="str">
        <f t="shared" si="2"/>
        <v>N/TRANSITA</v>
      </c>
      <c r="J18" s="102">
        <v>0</v>
      </c>
      <c r="K18" s="103">
        <v>8</v>
      </c>
      <c r="L18" s="63"/>
      <c r="M18" s="101">
        <f t="shared" si="3"/>
        <v>4</v>
      </c>
      <c r="N18" s="62" t="str">
        <f t="shared" si="7"/>
        <v>N/TRANSITA</v>
      </c>
      <c r="O18" s="102"/>
      <c r="P18" s="103"/>
      <c r="Q18" s="63"/>
      <c r="R18" s="101">
        <f t="shared" si="5"/>
        <v>0</v>
      </c>
      <c r="S18" s="41">
        <f t="shared" si="0"/>
        <v>1.3333333333333333</v>
      </c>
      <c r="T18" s="78" t="str">
        <f t="shared" si="8"/>
        <v>N/TRANSITA</v>
      </c>
    </row>
    <row r="19" spans="2:20" ht="14.25" customHeight="1" x14ac:dyDescent="0.3">
      <c r="B19" s="33">
        <v>11</v>
      </c>
      <c r="C19" s="123" t="s">
        <v>89</v>
      </c>
      <c r="D19" s="60"/>
      <c r="E19" s="91"/>
      <c r="F19" s="92"/>
      <c r="G19" s="92"/>
      <c r="H19" s="101">
        <f t="shared" si="1"/>
        <v>0</v>
      </c>
      <c r="I19" s="62" t="str">
        <f t="shared" si="2"/>
        <v>N/TRANSITA</v>
      </c>
      <c r="J19" s="102">
        <v>0</v>
      </c>
      <c r="K19" s="103"/>
      <c r="L19" s="63"/>
      <c r="M19" s="101">
        <f t="shared" si="3"/>
        <v>0</v>
      </c>
      <c r="N19" s="62" t="str">
        <f t="shared" si="4"/>
        <v>N/TRANSITA</v>
      </c>
      <c r="O19" s="102"/>
      <c r="P19" s="103"/>
      <c r="Q19" s="63"/>
      <c r="R19" s="101">
        <f t="shared" si="5"/>
        <v>0</v>
      </c>
      <c r="S19" s="41">
        <f t="shared" si="0"/>
        <v>0</v>
      </c>
      <c r="T19" s="78" t="str">
        <f t="shared" si="6"/>
        <v>N/TRANSITA</v>
      </c>
    </row>
    <row r="20" spans="2:20" ht="14.25" customHeight="1" x14ac:dyDescent="0.3">
      <c r="B20" s="33">
        <v>12</v>
      </c>
      <c r="C20" s="124" t="s">
        <v>90</v>
      </c>
      <c r="D20" s="60"/>
      <c r="E20" s="91">
        <v>17</v>
      </c>
      <c r="F20" s="92">
        <v>11</v>
      </c>
      <c r="G20" s="92"/>
      <c r="H20" s="101">
        <f t="shared" si="1"/>
        <v>14</v>
      </c>
      <c r="I20" s="62" t="str">
        <f t="shared" si="2"/>
        <v>TRANSITA</v>
      </c>
      <c r="J20" s="102">
        <v>6</v>
      </c>
      <c r="K20" s="103"/>
      <c r="L20" s="63"/>
      <c r="M20" s="101">
        <f t="shared" si="3"/>
        <v>3</v>
      </c>
      <c r="N20" s="62" t="str">
        <f t="shared" si="4"/>
        <v>N/TRANSITA</v>
      </c>
      <c r="O20" s="102"/>
      <c r="P20" s="103"/>
      <c r="Q20" s="63"/>
      <c r="R20" s="101">
        <f t="shared" si="5"/>
        <v>0</v>
      </c>
      <c r="S20" s="41">
        <f t="shared" si="0"/>
        <v>5.666666666666667</v>
      </c>
      <c r="T20" s="78" t="str">
        <f t="shared" si="6"/>
        <v>N/TRANSITA</v>
      </c>
    </row>
    <row r="21" spans="2:20" ht="14.25" customHeight="1" x14ac:dyDescent="0.3">
      <c r="B21" s="33">
        <v>13</v>
      </c>
      <c r="C21" s="123" t="s">
        <v>91</v>
      </c>
      <c r="D21" s="60"/>
      <c r="E21" s="91"/>
      <c r="F21" s="92"/>
      <c r="G21" s="92"/>
      <c r="H21" s="101">
        <f t="shared" si="1"/>
        <v>0</v>
      </c>
      <c r="I21" s="62" t="str">
        <f t="shared" si="2"/>
        <v>N/TRANSITA</v>
      </c>
      <c r="J21" s="102">
        <v>0</v>
      </c>
      <c r="K21" s="103"/>
      <c r="L21" s="63"/>
      <c r="M21" s="101">
        <f t="shared" si="3"/>
        <v>0</v>
      </c>
      <c r="N21" s="62" t="str">
        <f t="shared" si="4"/>
        <v>N/TRANSITA</v>
      </c>
      <c r="O21" s="102"/>
      <c r="P21" s="103"/>
      <c r="Q21" s="63"/>
      <c r="R21" s="101">
        <f t="shared" si="5"/>
        <v>0</v>
      </c>
      <c r="S21" s="41">
        <f t="shared" si="0"/>
        <v>0</v>
      </c>
      <c r="T21" s="78" t="str">
        <f t="shared" si="6"/>
        <v>N/TRANSITA</v>
      </c>
    </row>
    <row r="22" spans="2:20" ht="14.25" customHeight="1" x14ac:dyDescent="0.3">
      <c r="B22" s="33">
        <v>14</v>
      </c>
      <c r="C22" s="123" t="s">
        <v>92</v>
      </c>
      <c r="D22" s="60"/>
      <c r="E22" s="91">
        <v>15</v>
      </c>
      <c r="F22" s="92">
        <v>8</v>
      </c>
      <c r="G22" s="92"/>
      <c r="H22" s="101">
        <f t="shared" si="1"/>
        <v>11.5</v>
      </c>
      <c r="I22" s="62" t="str">
        <f t="shared" si="2"/>
        <v>TRANSITA</v>
      </c>
      <c r="J22" s="102">
        <v>17</v>
      </c>
      <c r="K22" s="103">
        <v>12</v>
      </c>
      <c r="L22" s="63"/>
      <c r="M22" s="101">
        <f t="shared" si="3"/>
        <v>14.5</v>
      </c>
      <c r="N22" s="62" t="str">
        <f t="shared" si="4"/>
        <v>TRANSITA</v>
      </c>
      <c r="O22" s="102"/>
      <c r="P22" s="103"/>
      <c r="Q22" s="63"/>
      <c r="R22" s="101">
        <f t="shared" si="5"/>
        <v>0</v>
      </c>
      <c r="S22" s="41">
        <f t="shared" si="0"/>
        <v>8.6666666666666661</v>
      </c>
      <c r="T22" s="78" t="str">
        <f t="shared" si="6"/>
        <v>N/TRANSITA</v>
      </c>
    </row>
    <row r="23" spans="2:20" ht="14.25" customHeight="1" x14ac:dyDescent="0.3">
      <c r="B23" s="33">
        <v>15</v>
      </c>
      <c r="C23" s="124" t="s">
        <v>114</v>
      </c>
      <c r="D23" s="60"/>
      <c r="E23" s="91"/>
      <c r="F23" s="92"/>
      <c r="G23" s="92"/>
      <c r="H23" s="101">
        <f t="shared" si="1"/>
        <v>0</v>
      </c>
      <c r="I23" s="62" t="str">
        <f t="shared" si="2"/>
        <v>N/TRANSITA</v>
      </c>
      <c r="J23" s="102">
        <v>6</v>
      </c>
      <c r="K23" s="103">
        <v>8</v>
      </c>
      <c r="L23" s="63"/>
      <c r="M23" s="101">
        <f t="shared" si="3"/>
        <v>7</v>
      </c>
      <c r="N23" s="62" t="str">
        <f t="shared" si="4"/>
        <v>N/TRANSITA</v>
      </c>
      <c r="O23" s="102"/>
      <c r="P23" s="103"/>
      <c r="Q23" s="63"/>
      <c r="R23" s="101">
        <f t="shared" si="5"/>
        <v>0</v>
      </c>
      <c r="S23" s="41">
        <f t="shared" si="0"/>
        <v>2.3333333333333335</v>
      </c>
      <c r="T23" s="78" t="str">
        <f t="shared" si="6"/>
        <v>N/TRANSITA</v>
      </c>
    </row>
    <row r="24" spans="2:20" ht="14.25" customHeight="1" x14ac:dyDescent="0.3">
      <c r="B24" s="33">
        <v>16</v>
      </c>
      <c r="C24" s="124" t="s">
        <v>93</v>
      </c>
      <c r="D24" s="60"/>
      <c r="E24" s="91">
        <v>10</v>
      </c>
      <c r="F24" s="92">
        <v>14</v>
      </c>
      <c r="G24" s="92"/>
      <c r="H24" s="101">
        <f t="shared" si="1"/>
        <v>12</v>
      </c>
      <c r="I24" s="62" t="str">
        <f t="shared" si="2"/>
        <v>TRANSITA</v>
      </c>
      <c r="J24" s="102">
        <v>10</v>
      </c>
      <c r="K24" s="103">
        <v>9</v>
      </c>
      <c r="L24" s="63"/>
      <c r="M24" s="101">
        <f t="shared" si="3"/>
        <v>9.5</v>
      </c>
      <c r="N24" s="62" t="str">
        <f t="shared" si="4"/>
        <v>N/TRANSITA</v>
      </c>
      <c r="O24" s="102"/>
      <c r="P24" s="103"/>
      <c r="Q24" s="63"/>
      <c r="R24" s="101">
        <f t="shared" si="5"/>
        <v>0</v>
      </c>
      <c r="S24" s="41">
        <f t="shared" si="0"/>
        <v>7.166666666666667</v>
      </c>
      <c r="T24" s="78" t="str">
        <f t="shared" si="6"/>
        <v>N/TRANSITA</v>
      </c>
    </row>
    <row r="25" spans="2:20" ht="14.25" customHeight="1" x14ac:dyDescent="0.3">
      <c r="B25" s="33">
        <v>17</v>
      </c>
      <c r="C25" s="123" t="s">
        <v>94</v>
      </c>
      <c r="D25" s="60"/>
      <c r="E25" s="91"/>
      <c r="F25" s="92"/>
      <c r="G25" s="92"/>
      <c r="H25" s="101">
        <f t="shared" si="1"/>
        <v>0</v>
      </c>
      <c r="I25" s="62" t="str">
        <f t="shared" si="2"/>
        <v>N/TRANSITA</v>
      </c>
      <c r="J25" s="102">
        <v>0</v>
      </c>
      <c r="K25" s="103"/>
      <c r="L25" s="63"/>
      <c r="M25" s="101">
        <f t="shared" si="3"/>
        <v>0</v>
      </c>
      <c r="N25" s="62" t="str">
        <f t="shared" si="4"/>
        <v>N/TRANSITA</v>
      </c>
      <c r="O25" s="102"/>
      <c r="P25" s="103"/>
      <c r="Q25" s="63"/>
      <c r="R25" s="101">
        <f t="shared" si="5"/>
        <v>0</v>
      </c>
      <c r="S25" s="41">
        <f t="shared" si="0"/>
        <v>0</v>
      </c>
      <c r="T25" s="78" t="str">
        <f t="shared" si="6"/>
        <v>N/TRANSITA</v>
      </c>
    </row>
    <row r="26" spans="2:20" ht="14.25" customHeight="1" x14ac:dyDescent="0.3">
      <c r="B26" s="33">
        <v>18</v>
      </c>
      <c r="C26" s="124" t="s">
        <v>95</v>
      </c>
      <c r="D26" s="60"/>
      <c r="E26" s="91">
        <v>10</v>
      </c>
      <c r="F26" s="92">
        <v>13</v>
      </c>
      <c r="G26" s="92"/>
      <c r="H26" s="101">
        <f t="shared" si="1"/>
        <v>11.5</v>
      </c>
      <c r="I26" s="62" t="str">
        <f t="shared" si="2"/>
        <v>TRANSITA</v>
      </c>
      <c r="J26" s="102">
        <v>13</v>
      </c>
      <c r="K26" s="103">
        <v>9</v>
      </c>
      <c r="L26" s="63"/>
      <c r="M26" s="101">
        <f t="shared" si="3"/>
        <v>11</v>
      </c>
      <c r="N26" s="62" t="str">
        <f t="shared" si="4"/>
        <v>TRANSITA</v>
      </c>
      <c r="O26" s="102"/>
      <c r="P26" s="103"/>
      <c r="Q26" s="63"/>
      <c r="R26" s="101">
        <f t="shared" si="5"/>
        <v>0</v>
      </c>
      <c r="S26" s="41">
        <f t="shared" si="0"/>
        <v>7.5</v>
      </c>
      <c r="T26" s="78" t="str">
        <f t="shared" si="6"/>
        <v>N/TRANSITA</v>
      </c>
    </row>
    <row r="27" spans="2:20" ht="14.25" customHeight="1" x14ac:dyDescent="0.3">
      <c r="B27" s="33">
        <v>19</v>
      </c>
      <c r="C27" s="124" t="s">
        <v>96</v>
      </c>
      <c r="D27" s="60"/>
      <c r="E27" s="91"/>
      <c r="F27" s="92"/>
      <c r="G27" s="92"/>
      <c r="H27" s="101">
        <f t="shared" si="1"/>
        <v>0</v>
      </c>
      <c r="I27" s="62" t="str">
        <f t="shared" si="2"/>
        <v>N/TRANSITA</v>
      </c>
      <c r="J27" s="102">
        <v>0</v>
      </c>
      <c r="K27" s="103"/>
      <c r="L27" s="63"/>
      <c r="M27" s="101">
        <f t="shared" si="3"/>
        <v>0</v>
      </c>
      <c r="N27" s="62" t="str">
        <f t="shared" si="4"/>
        <v>N/TRANSITA</v>
      </c>
      <c r="O27" s="102"/>
      <c r="P27" s="103"/>
      <c r="Q27" s="63"/>
      <c r="R27" s="101">
        <f t="shared" si="5"/>
        <v>0</v>
      </c>
      <c r="S27" s="41">
        <f t="shared" si="0"/>
        <v>0</v>
      </c>
      <c r="T27" s="78" t="str">
        <f t="shared" si="6"/>
        <v>N/TRANSITA</v>
      </c>
    </row>
    <row r="28" spans="2:20" ht="14.25" customHeight="1" x14ac:dyDescent="0.3">
      <c r="B28" s="33">
        <v>20</v>
      </c>
      <c r="C28" s="123" t="s">
        <v>97</v>
      </c>
      <c r="D28" s="60"/>
      <c r="E28" s="91">
        <v>0</v>
      </c>
      <c r="F28" s="92">
        <v>6</v>
      </c>
      <c r="G28" s="92"/>
      <c r="H28" s="101">
        <f t="shared" si="1"/>
        <v>3</v>
      </c>
      <c r="I28" s="62" t="str">
        <f t="shared" si="2"/>
        <v>N/TRANSITA</v>
      </c>
      <c r="J28" s="102">
        <v>0</v>
      </c>
      <c r="K28" s="103"/>
      <c r="L28" s="63"/>
      <c r="M28" s="101">
        <f t="shared" si="3"/>
        <v>0</v>
      </c>
      <c r="N28" s="62" t="str">
        <f t="shared" si="4"/>
        <v>N/TRANSITA</v>
      </c>
      <c r="O28" s="102"/>
      <c r="P28" s="103"/>
      <c r="Q28" s="63"/>
      <c r="R28" s="101">
        <f t="shared" si="5"/>
        <v>0</v>
      </c>
      <c r="S28" s="41">
        <f t="shared" si="0"/>
        <v>1</v>
      </c>
      <c r="T28" s="78" t="str">
        <f t="shared" si="6"/>
        <v>N/TRANSITA</v>
      </c>
    </row>
    <row r="29" spans="2:20" ht="14.25" customHeight="1" x14ac:dyDescent="0.3">
      <c r="B29" s="33">
        <v>21</v>
      </c>
      <c r="C29" s="123" t="s">
        <v>98</v>
      </c>
      <c r="D29" s="60"/>
      <c r="E29" s="91">
        <v>10</v>
      </c>
      <c r="F29" s="92">
        <v>19</v>
      </c>
      <c r="G29" s="92"/>
      <c r="H29" s="101">
        <f t="shared" si="1"/>
        <v>14.5</v>
      </c>
      <c r="I29" s="62" t="str">
        <f t="shared" si="2"/>
        <v>TRANSITA</v>
      </c>
      <c r="J29" s="102">
        <v>10</v>
      </c>
      <c r="K29" s="103">
        <v>6</v>
      </c>
      <c r="L29" s="63"/>
      <c r="M29" s="101">
        <f t="shared" si="3"/>
        <v>8</v>
      </c>
      <c r="N29" s="62" t="str">
        <f t="shared" si="4"/>
        <v>N/TRANSITA</v>
      </c>
      <c r="O29" s="102"/>
      <c r="P29" s="103"/>
      <c r="Q29" s="63"/>
      <c r="R29" s="101">
        <f t="shared" si="5"/>
        <v>0</v>
      </c>
      <c r="S29" s="41">
        <f t="shared" si="0"/>
        <v>7.5</v>
      </c>
      <c r="T29" s="78" t="str">
        <f t="shared" si="6"/>
        <v>N/TRANSITA</v>
      </c>
    </row>
    <row r="30" spans="2:20" ht="14.25" customHeight="1" x14ac:dyDescent="0.3">
      <c r="B30" s="33">
        <v>22</v>
      </c>
      <c r="C30" s="124" t="s">
        <v>99</v>
      </c>
      <c r="D30" s="60"/>
      <c r="E30" s="91"/>
      <c r="F30" s="92"/>
      <c r="G30" s="92"/>
      <c r="H30" s="101">
        <f t="shared" si="1"/>
        <v>0</v>
      </c>
      <c r="I30" s="62" t="str">
        <f t="shared" si="2"/>
        <v>N/TRANSITA</v>
      </c>
      <c r="J30" s="102">
        <v>0</v>
      </c>
      <c r="K30" s="103"/>
      <c r="L30" s="63"/>
      <c r="M30" s="101">
        <f t="shared" si="3"/>
        <v>0</v>
      </c>
      <c r="N30" s="62" t="str">
        <f t="shared" si="4"/>
        <v>N/TRANSITA</v>
      </c>
      <c r="O30" s="102"/>
      <c r="P30" s="103"/>
      <c r="Q30" s="63"/>
      <c r="R30" s="101">
        <f t="shared" si="5"/>
        <v>0</v>
      </c>
      <c r="S30" s="41">
        <f t="shared" si="0"/>
        <v>0</v>
      </c>
      <c r="T30" s="78" t="str">
        <f t="shared" si="6"/>
        <v>N/TRANSITA</v>
      </c>
    </row>
    <row r="31" spans="2:20" ht="14.25" customHeight="1" x14ac:dyDescent="0.3">
      <c r="B31" s="33">
        <v>23</v>
      </c>
      <c r="C31" s="123" t="s">
        <v>100</v>
      </c>
      <c r="D31" s="60"/>
      <c r="E31" s="91">
        <v>10</v>
      </c>
      <c r="F31" s="92">
        <v>11</v>
      </c>
      <c r="G31" s="92"/>
      <c r="H31" s="101">
        <f t="shared" si="1"/>
        <v>10.5</v>
      </c>
      <c r="I31" s="62" t="str">
        <f t="shared" si="2"/>
        <v>TRANSITA</v>
      </c>
      <c r="J31" s="102">
        <v>19</v>
      </c>
      <c r="K31" s="103">
        <v>16</v>
      </c>
      <c r="L31" s="63"/>
      <c r="M31" s="101">
        <f t="shared" si="3"/>
        <v>17.5</v>
      </c>
      <c r="N31" s="62" t="str">
        <f t="shared" si="4"/>
        <v>TRANSITA</v>
      </c>
      <c r="O31" s="102"/>
      <c r="P31" s="103"/>
      <c r="Q31" s="63"/>
      <c r="R31" s="101">
        <f t="shared" si="5"/>
        <v>0</v>
      </c>
      <c r="S31" s="41">
        <f t="shared" si="0"/>
        <v>9.3333333333333339</v>
      </c>
      <c r="T31" s="78" t="str">
        <f t="shared" si="6"/>
        <v>N/TRANSITA</v>
      </c>
    </row>
    <row r="32" spans="2:20" ht="14.25" customHeight="1" x14ac:dyDescent="0.3">
      <c r="B32" s="33">
        <v>24</v>
      </c>
      <c r="C32" s="123" t="s">
        <v>101</v>
      </c>
      <c r="D32" s="60"/>
      <c r="E32" s="91"/>
      <c r="F32" s="92"/>
      <c r="G32" s="92"/>
      <c r="H32" s="101">
        <f t="shared" si="1"/>
        <v>0</v>
      </c>
      <c r="I32" s="62" t="str">
        <f t="shared" si="2"/>
        <v>N/TRANSITA</v>
      </c>
      <c r="J32" s="102">
        <v>0</v>
      </c>
      <c r="K32" s="103"/>
      <c r="L32" s="63"/>
      <c r="M32" s="101">
        <f t="shared" si="3"/>
        <v>0</v>
      </c>
      <c r="N32" s="62" t="str">
        <f t="shared" si="4"/>
        <v>N/TRANSITA</v>
      </c>
      <c r="O32" s="102"/>
      <c r="P32" s="103"/>
      <c r="Q32" s="63"/>
      <c r="R32" s="101">
        <f t="shared" si="5"/>
        <v>0</v>
      </c>
      <c r="S32" s="41">
        <f t="shared" si="0"/>
        <v>0</v>
      </c>
      <c r="T32" s="78" t="str">
        <f t="shared" si="6"/>
        <v>N/TRANSITA</v>
      </c>
    </row>
    <row r="33" spans="1:20" ht="14.25" customHeight="1" x14ac:dyDescent="0.3">
      <c r="B33" s="33">
        <v>25</v>
      </c>
      <c r="C33" s="124" t="s">
        <v>102</v>
      </c>
      <c r="D33" s="60"/>
      <c r="E33" s="91"/>
      <c r="F33" s="92"/>
      <c r="G33" s="92"/>
      <c r="H33" s="101">
        <f t="shared" si="1"/>
        <v>0</v>
      </c>
      <c r="I33" s="62" t="str">
        <f t="shared" si="2"/>
        <v>N/TRANSITA</v>
      </c>
      <c r="J33" s="102">
        <v>0</v>
      </c>
      <c r="K33" s="103"/>
      <c r="L33" s="63"/>
      <c r="M33" s="101">
        <f t="shared" si="3"/>
        <v>0</v>
      </c>
      <c r="N33" s="62" t="str">
        <f t="shared" si="4"/>
        <v>N/TRANSITA</v>
      </c>
      <c r="O33" s="102"/>
      <c r="P33" s="103"/>
      <c r="Q33" s="63"/>
      <c r="R33" s="101">
        <f t="shared" si="5"/>
        <v>0</v>
      </c>
      <c r="S33" s="41">
        <f t="shared" si="0"/>
        <v>0</v>
      </c>
      <c r="T33" s="78" t="str">
        <f t="shared" si="6"/>
        <v>N/TRANSITA</v>
      </c>
    </row>
    <row r="34" spans="1:20" ht="14.25" customHeight="1" x14ac:dyDescent="0.3">
      <c r="B34" s="33">
        <v>26</v>
      </c>
      <c r="C34" s="123" t="s">
        <v>103</v>
      </c>
      <c r="D34" s="60"/>
      <c r="E34" s="91">
        <v>15</v>
      </c>
      <c r="F34" s="92">
        <v>12</v>
      </c>
      <c r="G34" s="92"/>
      <c r="H34" s="101">
        <f t="shared" si="1"/>
        <v>13.5</v>
      </c>
      <c r="I34" s="62" t="str">
        <f t="shared" si="2"/>
        <v>TRANSITA</v>
      </c>
      <c r="J34" s="102">
        <v>20</v>
      </c>
      <c r="K34" s="103">
        <v>16</v>
      </c>
      <c r="L34" s="63"/>
      <c r="M34" s="101">
        <f t="shared" si="3"/>
        <v>18</v>
      </c>
      <c r="N34" s="62" t="str">
        <f t="shared" si="4"/>
        <v>TRANSITA</v>
      </c>
      <c r="O34" s="102"/>
      <c r="P34" s="103"/>
      <c r="Q34" s="63"/>
      <c r="R34" s="101">
        <f t="shared" si="5"/>
        <v>0</v>
      </c>
      <c r="S34" s="41">
        <f t="shared" si="0"/>
        <v>10.5</v>
      </c>
      <c r="T34" s="78" t="str">
        <f t="shared" si="6"/>
        <v>TRANSITA</v>
      </c>
    </row>
    <row r="35" spans="1:20" ht="14.25" customHeight="1" x14ac:dyDescent="0.3">
      <c r="B35" s="33">
        <v>27</v>
      </c>
      <c r="C35" s="124" t="s">
        <v>115</v>
      </c>
      <c r="D35" s="60"/>
      <c r="E35" s="91"/>
      <c r="F35" s="92"/>
      <c r="G35" s="92"/>
      <c r="H35" s="101">
        <f t="shared" si="1"/>
        <v>0</v>
      </c>
      <c r="I35" s="62" t="str">
        <f t="shared" si="2"/>
        <v>N/TRANSITA</v>
      </c>
      <c r="J35" s="102">
        <v>6</v>
      </c>
      <c r="K35" s="103">
        <v>10</v>
      </c>
      <c r="L35" s="63"/>
      <c r="M35" s="101">
        <f t="shared" si="3"/>
        <v>8</v>
      </c>
      <c r="N35" s="62" t="str">
        <f t="shared" si="4"/>
        <v>N/TRANSITA</v>
      </c>
      <c r="O35" s="102"/>
      <c r="P35" s="103"/>
      <c r="Q35" s="63"/>
      <c r="R35" s="101">
        <f t="shared" si="5"/>
        <v>0</v>
      </c>
      <c r="S35" s="41">
        <f t="shared" si="0"/>
        <v>2.6666666666666665</v>
      </c>
      <c r="T35" s="78" t="str">
        <f t="shared" si="6"/>
        <v>N/TRANSITA</v>
      </c>
    </row>
    <row r="36" spans="1:20" ht="14.25" customHeight="1" x14ac:dyDescent="0.3">
      <c r="B36" s="33">
        <v>28</v>
      </c>
      <c r="C36" s="124" t="s">
        <v>116</v>
      </c>
      <c r="D36" s="60"/>
      <c r="E36" s="91"/>
      <c r="F36" s="92"/>
      <c r="G36" s="92"/>
      <c r="H36" s="101">
        <f t="shared" si="1"/>
        <v>0</v>
      </c>
      <c r="I36" s="62" t="str">
        <f t="shared" si="2"/>
        <v>N/TRANSITA</v>
      </c>
      <c r="J36" s="102">
        <v>0</v>
      </c>
      <c r="K36" s="103"/>
      <c r="L36" s="63"/>
      <c r="M36" s="101">
        <f t="shared" si="3"/>
        <v>0</v>
      </c>
      <c r="N36" s="62" t="str">
        <f t="shared" si="4"/>
        <v>N/TRANSITA</v>
      </c>
      <c r="O36" s="102"/>
      <c r="P36" s="103"/>
      <c r="Q36" s="63"/>
      <c r="R36" s="101">
        <f t="shared" si="5"/>
        <v>0</v>
      </c>
      <c r="S36" s="41">
        <f t="shared" si="0"/>
        <v>0</v>
      </c>
      <c r="T36" s="78" t="str">
        <f t="shared" si="6"/>
        <v>N/TRANSITA</v>
      </c>
    </row>
    <row r="37" spans="1:20" ht="14.25" customHeight="1" x14ac:dyDescent="0.3">
      <c r="B37" s="33">
        <v>29</v>
      </c>
      <c r="C37" s="123" t="s">
        <v>104</v>
      </c>
      <c r="D37" s="60"/>
      <c r="E37" s="91">
        <v>17</v>
      </c>
      <c r="F37" s="92">
        <v>10</v>
      </c>
      <c r="G37" s="92"/>
      <c r="H37" s="101">
        <f t="shared" si="1"/>
        <v>13.5</v>
      </c>
      <c r="I37" s="62" t="str">
        <f t="shared" si="2"/>
        <v>TRANSITA</v>
      </c>
      <c r="J37" s="102">
        <v>0</v>
      </c>
      <c r="K37" s="103">
        <v>8</v>
      </c>
      <c r="L37" s="63"/>
      <c r="M37" s="101">
        <f t="shared" ref="M37:M39" si="9">AVERAGE(J37,MAX(K37:L37))</f>
        <v>4</v>
      </c>
      <c r="N37" s="62" t="str">
        <f t="shared" ref="N37:N39" si="10">IF(M37&gt;=10,"TRANSITA","N/TRANSITA")</f>
        <v>N/TRANSITA</v>
      </c>
      <c r="O37" s="102"/>
      <c r="P37" s="103"/>
      <c r="Q37" s="63"/>
      <c r="R37" s="101">
        <f t="shared" ref="R37:R39" si="11">AVERAGE(O37,MAX(P37:Q37))</f>
        <v>0</v>
      </c>
      <c r="S37" s="41">
        <f t="shared" ref="S37:S39" si="12">SUM(H37,M37,R37)/3</f>
        <v>5.833333333333333</v>
      </c>
      <c r="T37" s="78" t="str">
        <f t="shared" ref="T37:T39" si="13">IF(S37&gt;=10,"TRANSITA","N/TRANSITA")</f>
        <v>N/TRANSITA</v>
      </c>
    </row>
    <row r="38" spans="1:20" ht="14.25" customHeight="1" x14ac:dyDescent="0.3">
      <c r="B38" s="33">
        <v>30</v>
      </c>
      <c r="C38" s="123" t="s">
        <v>105</v>
      </c>
      <c r="D38" s="60"/>
      <c r="E38" s="91">
        <v>15</v>
      </c>
      <c r="F38" s="92"/>
      <c r="G38" s="92"/>
      <c r="H38" s="101">
        <f t="shared" si="1"/>
        <v>7.5</v>
      </c>
      <c r="I38" s="62" t="str">
        <f t="shared" si="2"/>
        <v>N/TRANSITA</v>
      </c>
      <c r="J38" s="102">
        <v>16</v>
      </c>
      <c r="K38" s="103">
        <v>10</v>
      </c>
      <c r="L38" s="63"/>
      <c r="M38" s="101">
        <f t="shared" si="9"/>
        <v>13</v>
      </c>
      <c r="N38" s="62" t="str">
        <f t="shared" si="10"/>
        <v>TRANSITA</v>
      </c>
      <c r="O38" s="102"/>
      <c r="P38" s="103"/>
      <c r="Q38" s="63"/>
      <c r="R38" s="101">
        <f t="shared" si="11"/>
        <v>0</v>
      </c>
      <c r="S38" s="41">
        <f t="shared" si="12"/>
        <v>6.833333333333333</v>
      </c>
      <c r="T38" s="78" t="str">
        <f t="shared" si="13"/>
        <v>N/TRANSITA</v>
      </c>
    </row>
    <row r="39" spans="1:20" ht="14.25" customHeight="1" x14ac:dyDescent="0.3">
      <c r="B39" s="33">
        <v>31</v>
      </c>
      <c r="C39" s="124" t="s">
        <v>106</v>
      </c>
      <c r="D39" s="60"/>
      <c r="E39" s="91">
        <v>15</v>
      </c>
      <c r="F39" s="92"/>
      <c r="G39" s="92"/>
      <c r="H39" s="101">
        <f t="shared" si="1"/>
        <v>7.5</v>
      </c>
      <c r="I39" s="62" t="str">
        <f t="shared" si="2"/>
        <v>N/TRANSITA</v>
      </c>
      <c r="J39" s="102">
        <v>10</v>
      </c>
      <c r="K39" s="103">
        <v>8</v>
      </c>
      <c r="L39" s="63"/>
      <c r="M39" s="101">
        <f t="shared" si="9"/>
        <v>9</v>
      </c>
      <c r="N39" s="62" t="str">
        <f t="shared" si="10"/>
        <v>N/TRANSITA</v>
      </c>
      <c r="O39" s="102"/>
      <c r="P39" s="103"/>
      <c r="Q39" s="63"/>
      <c r="R39" s="101">
        <f t="shared" si="11"/>
        <v>0</v>
      </c>
      <c r="S39" s="41">
        <f t="shared" si="12"/>
        <v>5.5</v>
      </c>
      <c r="T39" s="78" t="str">
        <f t="shared" si="13"/>
        <v>N/TRANSITA</v>
      </c>
    </row>
    <row r="40" spans="1:20" ht="14.25" customHeight="1" x14ac:dyDescent="0.3">
      <c r="B40" s="33">
        <v>32</v>
      </c>
      <c r="C40" s="124" t="s">
        <v>107</v>
      </c>
      <c r="D40" s="60"/>
      <c r="E40" s="91"/>
      <c r="F40" s="92"/>
      <c r="G40" s="92"/>
      <c r="H40" s="101">
        <f t="shared" si="1"/>
        <v>0</v>
      </c>
      <c r="I40" s="62" t="str">
        <f t="shared" si="2"/>
        <v>N/TRANSITA</v>
      </c>
      <c r="J40" s="102">
        <v>0</v>
      </c>
      <c r="K40" s="103"/>
      <c r="L40" s="63"/>
      <c r="M40" s="101">
        <f t="shared" si="3"/>
        <v>0</v>
      </c>
      <c r="N40" s="62" t="str">
        <f t="shared" si="4"/>
        <v>N/TRANSITA</v>
      </c>
      <c r="O40" s="102"/>
      <c r="P40" s="103"/>
      <c r="Q40" s="63"/>
      <c r="R40" s="101">
        <f t="shared" si="5"/>
        <v>0</v>
      </c>
      <c r="S40" s="41">
        <f t="shared" si="0"/>
        <v>0</v>
      </c>
      <c r="T40" s="78" t="str">
        <f t="shared" si="6"/>
        <v>N/TRANSITA</v>
      </c>
    </row>
    <row r="41" spans="1:20" ht="14.25" customHeight="1" x14ac:dyDescent="0.3">
      <c r="B41" s="33">
        <v>33</v>
      </c>
      <c r="C41" s="123" t="s">
        <v>108</v>
      </c>
      <c r="D41" s="60"/>
      <c r="E41" s="91"/>
      <c r="F41" s="92"/>
      <c r="G41" s="92"/>
      <c r="H41" s="101">
        <f t="shared" si="1"/>
        <v>0</v>
      </c>
      <c r="I41" s="62" t="str">
        <f t="shared" si="2"/>
        <v>N/TRANSITA</v>
      </c>
      <c r="J41" s="102">
        <v>0</v>
      </c>
      <c r="K41" s="103"/>
      <c r="L41" s="63"/>
      <c r="M41" s="101">
        <f t="shared" si="3"/>
        <v>0</v>
      </c>
      <c r="N41" s="62" t="str">
        <f t="shared" si="4"/>
        <v>N/TRANSITA</v>
      </c>
      <c r="O41" s="102"/>
      <c r="P41" s="103"/>
      <c r="Q41" s="63"/>
      <c r="R41" s="101">
        <f t="shared" si="5"/>
        <v>0</v>
      </c>
      <c r="S41" s="41">
        <f t="shared" si="0"/>
        <v>0</v>
      </c>
      <c r="T41" s="78" t="str">
        <f t="shared" si="6"/>
        <v>N/TRANSITA</v>
      </c>
    </row>
    <row r="42" spans="1:20" ht="14.25" customHeight="1" x14ac:dyDescent="0.3">
      <c r="B42" s="33">
        <v>34</v>
      </c>
      <c r="C42" s="123" t="s">
        <v>109</v>
      </c>
      <c r="D42" s="60"/>
      <c r="E42" s="91">
        <v>10</v>
      </c>
      <c r="F42" s="92">
        <v>12</v>
      </c>
      <c r="G42" s="92"/>
      <c r="H42" s="101">
        <f t="shared" si="1"/>
        <v>11</v>
      </c>
      <c r="I42" s="62" t="str">
        <f t="shared" si="2"/>
        <v>TRANSITA</v>
      </c>
      <c r="J42" s="102">
        <v>6</v>
      </c>
      <c r="K42" s="103">
        <v>9</v>
      </c>
      <c r="L42" s="63"/>
      <c r="M42" s="101">
        <f t="shared" si="3"/>
        <v>7.5</v>
      </c>
      <c r="N42" s="62" t="str">
        <f t="shared" si="4"/>
        <v>N/TRANSITA</v>
      </c>
      <c r="O42" s="102"/>
      <c r="P42" s="103"/>
      <c r="Q42" s="63"/>
      <c r="R42" s="101">
        <f t="shared" si="5"/>
        <v>0</v>
      </c>
      <c r="S42" s="41">
        <f t="shared" si="0"/>
        <v>6.166666666666667</v>
      </c>
      <c r="T42" s="78" t="str">
        <f t="shared" si="6"/>
        <v>N/TRANSITA</v>
      </c>
    </row>
    <row r="43" spans="1:20" ht="14.25" customHeight="1" x14ac:dyDescent="0.3">
      <c r="B43" s="33">
        <v>35</v>
      </c>
      <c r="C43" s="123" t="s">
        <v>110</v>
      </c>
      <c r="D43" s="60"/>
      <c r="E43" s="91">
        <v>10</v>
      </c>
      <c r="F43" s="92">
        <v>10</v>
      </c>
      <c r="G43" s="92"/>
      <c r="H43" s="101">
        <f t="shared" si="1"/>
        <v>10</v>
      </c>
      <c r="I43" s="62" t="str">
        <f t="shared" si="2"/>
        <v>TRANSITA</v>
      </c>
      <c r="J43" s="102">
        <v>11</v>
      </c>
      <c r="K43" s="103">
        <v>11</v>
      </c>
      <c r="L43" s="63"/>
      <c r="M43" s="101">
        <f t="shared" si="3"/>
        <v>11</v>
      </c>
      <c r="N43" s="62" t="str">
        <f t="shared" si="4"/>
        <v>TRANSITA</v>
      </c>
      <c r="O43" s="102"/>
      <c r="P43" s="103"/>
      <c r="Q43" s="63"/>
      <c r="R43" s="101">
        <f t="shared" si="5"/>
        <v>0</v>
      </c>
      <c r="S43" s="41">
        <f t="shared" si="0"/>
        <v>7</v>
      </c>
      <c r="T43" s="78" t="str">
        <f t="shared" si="6"/>
        <v>N/TRANSITA</v>
      </c>
    </row>
    <row r="44" spans="1:20" ht="14.25" customHeight="1" x14ac:dyDescent="0.3">
      <c r="B44" s="33">
        <v>36</v>
      </c>
      <c r="C44" s="124" t="s">
        <v>111</v>
      </c>
      <c r="D44" s="60"/>
      <c r="E44" s="91">
        <v>15</v>
      </c>
      <c r="F44" s="92">
        <v>10</v>
      </c>
      <c r="G44" s="92"/>
      <c r="H44" s="101">
        <f t="shared" si="1"/>
        <v>12.5</v>
      </c>
      <c r="I44" s="62" t="str">
        <f t="shared" si="2"/>
        <v>TRANSITA</v>
      </c>
      <c r="J44" s="102">
        <v>18</v>
      </c>
      <c r="K44" s="103">
        <v>9</v>
      </c>
      <c r="L44" s="63"/>
      <c r="M44" s="101">
        <f t="shared" si="3"/>
        <v>13.5</v>
      </c>
      <c r="N44" s="62" t="str">
        <f t="shared" si="4"/>
        <v>TRANSITA</v>
      </c>
      <c r="O44" s="102"/>
      <c r="P44" s="103"/>
      <c r="Q44" s="63"/>
      <c r="R44" s="101">
        <f t="shared" si="5"/>
        <v>0</v>
      </c>
      <c r="S44" s="41">
        <f t="shared" ref="S44:S46" si="14">SUM(H44,M44,R44)/3</f>
        <v>8.6666666666666661</v>
      </c>
      <c r="T44" s="78" t="str">
        <f t="shared" si="6"/>
        <v>N/TRANSITA</v>
      </c>
    </row>
    <row r="45" spans="1:20" ht="14.25" customHeight="1" x14ac:dyDescent="0.3">
      <c r="B45" s="33">
        <v>37</v>
      </c>
      <c r="C45" s="123" t="s">
        <v>112</v>
      </c>
      <c r="D45" s="60"/>
      <c r="E45" s="91">
        <v>17</v>
      </c>
      <c r="F45" s="92">
        <v>20</v>
      </c>
      <c r="G45" s="92"/>
      <c r="H45" s="101">
        <f t="shared" si="1"/>
        <v>18.5</v>
      </c>
      <c r="I45" s="62" t="str">
        <f t="shared" si="2"/>
        <v>TRANSITA</v>
      </c>
      <c r="J45" s="102">
        <v>0</v>
      </c>
      <c r="K45" s="103"/>
      <c r="L45" s="63"/>
      <c r="M45" s="101">
        <f t="shared" si="3"/>
        <v>0</v>
      </c>
      <c r="N45" s="62" t="str">
        <f t="shared" si="4"/>
        <v>N/TRANSITA</v>
      </c>
      <c r="O45" s="102"/>
      <c r="P45" s="103"/>
      <c r="Q45" s="63"/>
      <c r="R45" s="101">
        <f t="shared" si="5"/>
        <v>0</v>
      </c>
      <c r="S45" s="41">
        <f t="shared" si="14"/>
        <v>6.166666666666667</v>
      </c>
      <c r="T45" s="78" t="str">
        <f t="shared" si="6"/>
        <v>N/TRANSITA</v>
      </c>
    </row>
    <row r="46" spans="1:20" ht="14.25" customHeight="1" thickBot="1" x14ac:dyDescent="0.35">
      <c r="B46" s="33">
        <v>38</v>
      </c>
      <c r="C46" s="125" t="s">
        <v>113</v>
      </c>
      <c r="D46" s="61"/>
      <c r="E46" s="93"/>
      <c r="F46" s="94"/>
      <c r="G46" s="94"/>
      <c r="H46" s="152">
        <f t="shared" si="1"/>
        <v>0</v>
      </c>
      <c r="I46" s="72" t="str">
        <f t="shared" si="2"/>
        <v>N/TRANSITA</v>
      </c>
      <c r="J46" s="104">
        <v>0</v>
      </c>
      <c r="K46" s="105"/>
      <c r="L46" s="66"/>
      <c r="M46" s="152">
        <f t="shared" si="3"/>
        <v>0</v>
      </c>
      <c r="N46" s="72" t="str">
        <f t="shared" si="4"/>
        <v>N/TRANSITA</v>
      </c>
      <c r="O46" s="104"/>
      <c r="P46" s="105"/>
      <c r="Q46" s="66"/>
      <c r="R46" s="152">
        <f t="shared" si="5"/>
        <v>0</v>
      </c>
      <c r="S46" s="42">
        <f t="shared" si="14"/>
        <v>0</v>
      </c>
      <c r="T46" s="79" t="str">
        <f t="shared" si="6"/>
        <v>N/TRANSITA</v>
      </c>
    </row>
    <row r="47" spans="1:20" ht="93.75" customHeight="1" thickTop="1" x14ac:dyDescent="0.3">
      <c r="B47" s="19"/>
      <c r="C47" s="19"/>
      <c r="D47" s="19"/>
      <c r="E47" s="19"/>
      <c r="F47" s="19"/>
      <c r="G47" s="19"/>
      <c r="H47" s="19"/>
      <c r="I47" s="19"/>
      <c r="J47" s="19"/>
      <c r="O47" s="19"/>
      <c r="P47" s="19"/>
      <c r="Q47" s="19"/>
      <c r="R47" s="19"/>
      <c r="S47" s="19"/>
      <c r="T47" s="19"/>
    </row>
    <row r="48" spans="1:20" ht="20.25" customHeight="1" x14ac:dyDescent="0.45">
      <c r="A48" s="20"/>
      <c r="B48" s="20"/>
      <c r="C48" s="20"/>
      <c r="D48" s="20"/>
      <c r="E48" s="20"/>
      <c r="F48" s="20"/>
      <c r="G48" s="20"/>
      <c r="H48" s="20"/>
      <c r="I48" s="20"/>
      <c r="J48" s="20"/>
      <c r="O48" s="20"/>
      <c r="P48" s="21"/>
      <c r="Q48" s="21"/>
      <c r="R48" s="21"/>
      <c r="S48" s="20"/>
      <c r="T48" s="20"/>
    </row>
    <row r="49" spans="1:20" ht="15.6" x14ac:dyDescent="0.3">
      <c r="A49" s="248" t="s">
        <v>50</v>
      </c>
      <c r="B49" s="248"/>
      <c r="C49" s="248"/>
      <c r="D49" s="248"/>
      <c r="E49" s="248"/>
      <c r="F49" s="22"/>
      <c r="G49" s="22"/>
      <c r="H49" s="22"/>
      <c r="I49" s="22"/>
      <c r="J49" s="22"/>
      <c r="K49" s="23"/>
      <c r="L49" s="23"/>
      <c r="M49" s="23"/>
      <c r="N49" s="23"/>
      <c r="O49" s="248" t="s">
        <v>9</v>
      </c>
      <c r="P49" s="248"/>
      <c r="Q49" s="248"/>
      <c r="R49" s="248"/>
      <c r="S49" s="248"/>
      <c r="T49" s="248"/>
    </row>
    <row r="50" spans="1:20" ht="15.6" x14ac:dyDescent="0.3">
      <c r="A50" s="249" t="s">
        <v>21</v>
      </c>
      <c r="B50" s="249"/>
      <c r="C50" s="249"/>
      <c r="D50" s="249"/>
      <c r="E50" s="249"/>
      <c r="F50" s="24"/>
      <c r="G50" s="24"/>
      <c r="H50" s="24"/>
      <c r="I50" s="24"/>
      <c r="J50" s="24"/>
      <c r="O50" s="250" t="s">
        <v>22</v>
      </c>
      <c r="P50" s="250"/>
      <c r="Q50" s="250"/>
      <c r="R50" s="250"/>
      <c r="S50" s="250"/>
      <c r="T50" s="250"/>
    </row>
    <row r="51" spans="1:20" x14ac:dyDescent="0.3">
      <c r="A51" s="242"/>
      <c r="B51" s="242"/>
      <c r="C51" s="242"/>
      <c r="D51" s="242"/>
      <c r="E51" s="242"/>
      <c r="O51" s="242" t="s">
        <v>23</v>
      </c>
      <c r="P51" s="242"/>
      <c r="Q51" s="242"/>
      <c r="R51" s="242"/>
      <c r="S51" s="242"/>
      <c r="T51" s="242"/>
    </row>
  </sheetData>
  <mergeCells count="22">
    <mergeCell ref="B6:T6"/>
    <mergeCell ref="B5:C5"/>
    <mergeCell ref="A1:T1"/>
    <mergeCell ref="B3:R3"/>
    <mergeCell ref="B4:C4"/>
    <mergeCell ref="P4:T4"/>
    <mergeCell ref="N5:T5"/>
    <mergeCell ref="A51:E51"/>
    <mergeCell ref="O51:T51"/>
    <mergeCell ref="S7:S8"/>
    <mergeCell ref="T7:T8"/>
    <mergeCell ref="A49:E49"/>
    <mergeCell ref="O49:T49"/>
    <mergeCell ref="A50:E50"/>
    <mergeCell ref="O50:T50"/>
    <mergeCell ref="B7:B8"/>
    <mergeCell ref="C7:C8"/>
    <mergeCell ref="E7:H7"/>
    <mergeCell ref="J7:M7"/>
    <mergeCell ref="O7:R7"/>
    <mergeCell ref="I7:I8"/>
    <mergeCell ref="N7:N8"/>
  </mergeCells>
  <conditionalFormatting sqref="S9:S46">
    <cfRule type="cellIs" dxfId="203" priority="137" stopIfTrue="1" operator="greaterThan">
      <formula>9.5</formula>
    </cfRule>
    <cfRule type="cellIs" dxfId="202" priority="138" stopIfTrue="1" operator="lessThanOrEqual">
      <formula>9.5</formula>
    </cfRule>
  </conditionalFormatting>
  <conditionalFormatting sqref="L9:L46 Q9:Q46">
    <cfRule type="cellIs" dxfId="201" priority="47" stopIfTrue="1" operator="lessThan">
      <formula>10</formula>
    </cfRule>
    <cfRule type="cellIs" dxfId="200" priority="48" stopIfTrue="1" operator="greaterThan">
      <formula>9</formula>
    </cfRule>
    <cfRule type="cellIs" dxfId="199" priority="49" stopIfTrue="1" operator="lessThan">
      <formula>10</formula>
    </cfRule>
    <cfRule type="cellIs" dxfId="198" priority="50" stopIfTrue="1" operator="greaterThan">
      <formula>9</formula>
    </cfRule>
  </conditionalFormatting>
  <conditionalFormatting sqref="O9:P46">
    <cfRule type="cellIs" dxfId="197" priority="25" stopIfTrue="1" operator="greaterThan">
      <formula>9</formula>
    </cfRule>
    <cfRule type="cellIs" dxfId="196" priority="26" stopIfTrue="1" operator="lessThan">
      <formula>10</formula>
    </cfRule>
    <cfRule type="cellIs" dxfId="195" priority="27" stopIfTrue="1" operator="greaterThan">
      <formula>9</formula>
    </cfRule>
  </conditionalFormatting>
  <conditionalFormatting sqref="O9:P46 M9:M46 R9:R46">
    <cfRule type="cellIs" dxfId="194" priority="24" stopIfTrue="1" operator="lessThan">
      <formula>10</formula>
    </cfRule>
  </conditionalFormatting>
  <conditionalFormatting sqref="M9:M46 R9:R46">
    <cfRule type="cellIs" dxfId="193" priority="34" stopIfTrue="1" operator="greaterThanOrEqual">
      <formula>10</formula>
    </cfRule>
  </conditionalFormatting>
  <conditionalFormatting sqref="G9:G46 J9:K46">
    <cfRule type="cellIs" dxfId="192" priority="6" stopIfTrue="1" operator="greaterThan">
      <formula>9</formula>
    </cfRule>
    <cfRule type="cellIs" dxfId="191" priority="7" stopIfTrue="1" operator="lessThan">
      <formula>10</formula>
    </cfRule>
    <cfRule type="cellIs" dxfId="190" priority="8" stopIfTrue="1" operator="greaterThan">
      <formula>9</formula>
    </cfRule>
  </conditionalFormatting>
  <conditionalFormatting sqref="J9:K46 G9:H46">
    <cfRule type="cellIs" dxfId="189" priority="5" stopIfTrue="1" operator="lessThan">
      <formula>10</formula>
    </cfRule>
  </conditionalFormatting>
  <conditionalFormatting sqref="H9:H46">
    <cfRule type="cellIs" dxfId="188" priority="9" stopIfTrue="1" operator="greaterThanOrEqual">
      <formula>10</formula>
    </cfRule>
  </conditionalFormatting>
  <conditionalFormatting sqref="E9:F46">
    <cfRule type="cellIs" dxfId="187" priority="2" stopIfTrue="1" operator="greaterThan">
      <formula>9</formula>
    </cfRule>
    <cfRule type="cellIs" dxfId="186" priority="3" stopIfTrue="1" operator="lessThan">
      <formula>10</formula>
    </cfRule>
    <cfRule type="cellIs" dxfId="185" priority="4" stopIfTrue="1" operator="greaterThan">
      <formula>9</formula>
    </cfRule>
  </conditionalFormatting>
  <conditionalFormatting sqref="E9:F46">
    <cfRule type="cellIs" dxfId="184" priority="1" stopIfTrue="1" operator="lessThan">
      <formula>10</formula>
    </cfRule>
  </conditionalFormatting>
  <dataValidations count="1">
    <dataValidation type="decimal" allowBlank="1" showInputMessage="1" showErrorMessage="1" errorTitle="ATENÇÃO!" error="O valor introduzido não é válido. Grato!" sqref="O9:Q46 J9:L46 E9:G46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11265" r:id="rId4">
          <objectPr defaultSize="0" r:id="rId5">
            <anchor moveWithCells="1">
              <from>
                <xdr:col>1</xdr:col>
                <xdr:colOff>60960</xdr:colOff>
                <xdr:row>46</xdr:row>
                <xdr:rowOff>160020</xdr:rowOff>
              </from>
              <to>
                <xdr:col>13</xdr:col>
                <xdr:colOff>175260</xdr:colOff>
                <xdr:row>48</xdr:row>
                <xdr:rowOff>22860</xdr:rowOff>
              </to>
            </anchor>
          </objectPr>
        </oleObject>
      </mc:Choice>
      <mc:Fallback>
        <oleObject progId="Word.Document.8" shapeId="11265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7" stopIfTrue="1" operator="containsText" id="{A02C03E8-823C-465D-9D2D-C414C61A59E6}">
            <xm:f>NOT(ISERROR(SEARCH("N/TRANSITA",N9)))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58" stopIfTrue="1" operator="containsText" id="{9863FC00-E7B5-43F0-886E-117C349CB645}">
            <xm:f>NOT(ISERROR(SEARCH("TRANSITA",N9)))</xm:f>
            <xm:f>"TRANSITA"</xm:f>
            <x14:dxf>
              <font>
                <b/>
                <i val="0"/>
                <color rgb="FF0000FF"/>
              </font>
            </x14:dxf>
          </x14:cfRule>
          <xm:sqref>N9:N46 T9:T46</xm:sqref>
        </x14:conditionalFormatting>
        <x14:conditionalFormatting xmlns:xm="http://schemas.microsoft.com/office/excel/2006/main">
          <x14:cfRule type="containsText" priority="10" stopIfTrue="1" operator="containsText" id="{2FBA7876-5ADE-4E40-BFD4-339D355466AB}">
            <xm:f>NOT(ISERROR(SEARCH("N/TRANSITA",I9)))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1" stopIfTrue="1" operator="containsText" id="{FC8F8FE1-C77D-4A90-9C77-FD73B78D8502}">
            <xm:f>NOT(ISERROR(SEARCH("TRANSITA",I9)))</xm:f>
            <xm:f>"TRANSITA"</xm:f>
            <x14:dxf>
              <font>
                <b/>
                <i val="0"/>
                <color rgb="FF0000FF"/>
              </font>
            </x14:dxf>
          </x14:cfRule>
          <xm:sqref>I9:I46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W51"/>
  <sheetViews>
    <sheetView showGridLines="0" topLeftCell="C4" zoomScale="115" zoomScaleNormal="115" zoomScalePageLayoutView="85" workbookViewId="0">
      <selection activeCell="J9" sqref="J9:K46"/>
    </sheetView>
  </sheetViews>
  <sheetFormatPr defaultRowHeight="14.4" x14ac:dyDescent="0.3"/>
  <cols>
    <col min="1" max="1" width="1.6640625" customWidth="1"/>
    <col min="2" max="2" width="3.6640625" customWidth="1"/>
    <col min="3" max="3" width="35.109375" customWidth="1"/>
    <col min="4" max="4" width="6.44140625" customWidth="1"/>
    <col min="5" max="8" width="5.109375" customWidth="1"/>
    <col min="9" max="9" width="11.109375" customWidth="1"/>
    <col min="10" max="13" width="5.109375" customWidth="1"/>
    <col min="14" max="14" width="11.109375" customWidth="1"/>
    <col min="15" max="18" width="5.109375" customWidth="1"/>
    <col min="19" max="19" width="6" customWidth="1"/>
    <col min="20" max="20" width="11.5546875" customWidth="1"/>
    <col min="21" max="21" width="3.44140625" customWidth="1"/>
    <col min="22" max="22" width="5" customWidth="1"/>
  </cols>
  <sheetData>
    <row r="1" spans="1:23" ht="30" customHeight="1" x14ac:dyDescent="0.3">
      <c r="A1" s="261" t="s">
        <v>43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</row>
    <row r="2" spans="1:23" ht="30" customHeight="1" x14ac:dyDescent="0.3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23" ht="12" customHeight="1" x14ac:dyDescent="0.3"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</row>
    <row r="4" spans="1:23" ht="17.399999999999999" customHeight="1" x14ac:dyDescent="0.3">
      <c r="B4" s="262" t="s">
        <v>57</v>
      </c>
      <c r="C4" s="262"/>
      <c r="D4" s="31"/>
      <c r="F4" s="73"/>
      <c r="G4" s="73"/>
      <c r="I4" s="73" t="s">
        <v>26</v>
      </c>
      <c r="J4" s="73"/>
      <c r="K4" s="73"/>
      <c r="L4" s="73"/>
      <c r="M4" s="73"/>
      <c r="N4" s="31"/>
      <c r="P4" s="243" t="s">
        <v>55</v>
      </c>
      <c r="Q4" s="243"/>
      <c r="R4" s="243"/>
      <c r="S4" s="243"/>
      <c r="T4" s="243"/>
    </row>
    <row r="5" spans="1:23" ht="18" customHeight="1" x14ac:dyDescent="0.3">
      <c r="B5" s="262" t="s">
        <v>64</v>
      </c>
      <c r="C5" s="262"/>
      <c r="D5" s="31"/>
      <c r="E5" s="74" t="s">
        <v>52</v>
      </c>
      <c r="F5" s="74"/>
      <c r="I5" s="74" t="s">
        <v>67</v>
      </c>
      <c r="J5" s="74"/>
      <c r="K5" s="74"/>
      <c r="N5" s="263" t="s">
        <v>66</v>
      </c>
      <c r="O5" s="263"/>
      <c r="P5" s="263"/>
      <c r="Q5" s="263"/>
      <c r="R5" s="263"/>
      <c r="S5" s="263"/>
      <c r="T5" s="263"/>
    </row>
    <row r="6" spans="1:23" ht="34.5" customHeight="1" thickBot="1" x14ac:dyDescent="1.05">
      <c r="B6" s="258" t="s">
        <v>41</v>
      </c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60"/>
    </row>
    <row r="7" spans="1:23" ht="19.5" customHeight="1" thickTop="1" x14ac:dyDescent="0.3">
      <c r="B7" s="251" t="s">
        <v>35</v>
      </c>
      <c r="C7" s="253" t="s">
        <v>13</v>
      </c>
      <c r="D7" s="43" t="s">
        <v>39</v>
      </c>
      <c r="E7" s="255" t="s">
        <v>36</v>
      </c>
      <c r="F7" s="256"/>
      <c r="G7" s="256"/>
      <c r="H7" s="257"/>
      <c r="I7" s="246" t="s">
        <v>15</v>
      </c>
      <c r="J7" s="255" t="s">
        <v>37</v>
      </c>
      <c r="K7" s="256"/>
      <c r="L7" s="256"/>
      <c r="M7" s="257"/>
      <c r="N7" s="246" t="s">
        <v>15</v>
      </c>
      <c r="O7" s="255" t="s">
        <v>38</v>
      </c>
      <c r="P7" s="256"/>
      <c r="Q7" s="256"/>
      <c r="R7" s="257"/>
      <c r="S7" s="244" t="s">
        <v>14</v>
      </c>
      <c r="T7" s="246" t="s">
        <v>15</v>
      </c>
    </row>
    <row r="8" spans="1:23" ht="20.25" customHeight="1" thickBot="1" x14ac:dyDescent="0.35">
      <c r="B8" s="252"/>
      <c r="C8" s="254"/>
      <c r="D8" s="44" t="s">
        <v>40</v>
      </c>
      <c r="E8" s="36" t="s">
        <v>16</v>
      </c>
      <c r="F8" s="35" t="s">
        <v>17</v>
      </c>
      <c r="G8" s="35" t="s">
        <v>34</v>
      </c>
      <c r="H8" s="37" t="s">
        <v>18</v>
      </c>
      <c r="I8" s="247"/>
      <c r="J8" s="36" t="s">
        <v>16</v>
      </c>
      <c r="K8" s="35" t="s">
        <v>17</v>
      </c>
      <c r="L8" s="35" t="s">
        <v>34</v>
      </c>
      <c r="M8" s="37" t="s">
        <v>19</v>
      </c>
      <c r="N8" s="247"/>
      <c r="O8" s="36" t="s">
        <v>16</v>
      </c>
      <c r="P8" s="35" t="s">
        <v>17</v>
      </c>
      <c r="Q8" s="35" t="s">
        <v>34</v>
      </c>
      <c r="R8" s="37" t="s">
        <v>20</v>
      </c>
      <c r="S8" s="245"/>
      <c r="T8" s="247"/>
    </row>
    <row r="9" spans="1:23" ht="14.25" customHeight="1" thickTop="1" thickBot="1" x14ac:dyDescent="0.35">
      <c r="B9" s="129">
        <v>1</v>
      </c>
      <c r="C9" s="122" t="s">
        <v>79</v>
      </c>
      <c r="D9" s="130"/>
      <c r="E9" s="147">
        <v>13</v>
      </c>
      <c r="F9" s="148">
        <v>7.5</v>
      </c>
      <c r="G9" s="148"/>
      <c r="H9" s="140">
        <f>AVERAGE(E9,MAX(F9:G9))</f>
        <v>10.25</v>
      </c>
      <c r="I9" s="141" t="str">
        <f>IF(H9&gt;=10,"TRANSITA","N/TRANSITA")</f>
        <v>TRANSITA</v>
      </c>
      <c r="J9" s="142">
        <v>12</v>
      </c>
      <c r="K9" s="149">
        <v>12</v>
      </c>
      <c r="L9" s="150"/>
      <c r="M9" s="140">
        <f>AVERAGE(J9,MAX(K9:L9))</f>
        <v>12</v>
      </c>
      <c r="N9" s="141" t="str">
        <f>IF(M9&gt;=10,"TRANSITA","N/TRANSITA")</f>
        <v>TRANSITA</v>
      </c>
      <c r="O9" s="142"/>
      <c r="P9" s="149"/>
      <c r="Q9" s="150"/>
      <c r="R9" s="140">
        <f>AVERAGE(O9,MAX(P9:Q9))</f>
        <v>0</v>
      </c>
      <c r="S9" s="145">
        <f t="shared" ref="S9:S43" si="0">SUM(H9,M9,R9)/3</f>
        <v>7.416666666666667</v>
      </c>
      <c r="T9" s="77" t="str">
        <f>IF(S9&gt;=10,"TRANSITA","N/TRANSITA")</f>
        <v>N/TRANSITA</v>
      </c>
    </row>
    <row r="10" spans="1:23" ht="14.25" customHeight="1" thickTop="1" thickBot="1" x14ac:dyDescent="0.35">
      <c r="B10" s="33">
        <v>2</v>
      </c>
      <c r="C10" s="124" t="s">
        <v>80</v>
      </c>
      <c r="D10" s="60"/>
      <c r="E10" s="91"/>
      <c r="F10" s="92"/>
      <c r="G10" s="92"/>
      <c r="H10" s="40">
        <f t="shared" ref="H10:H46" si="1">AVERAGE(E10,MAX(F10:G10))</f>
        <v>0</v>
      </c>
      <c r="I10" s="62" t="str">
        <f t="shared" ref="I10:I46" si="2">IF(H10&gt;=10,"TRANSITA","N/TRANSITA")</f>
        <v>N/TRANSITA</v>
      </c>
      <c r="J10" s="142">
        <v>12</v>
      </c>
      <c r="K10" s="149">
        <v>12</v>
      </c>
      <c r="L10" s="64"/>
      <c r="M10" s="40">
        <f t="shared" ref="M10:M46" si="3">AVERAGE(J10,MAX(K10:L10))</f>
        <v>12</v>
      </c>
      <c r="N10" s="62" t="str">
        <f t="shared" ref="N10:N46" si="4">IF(M10&gt;=10,"TRANSITA","N/TRANSITA")</f>
        <v>TRANSITA</v>
      </c>
      <c r="O10" s="102"/>
      <c r="P10" s="106"/>
      <c r="Q10" s="64"/>
      <c r="R10" s="40">
        <f t="shared" ref="R10:R46" si="5">AVERAGE(O10,MAX(P10:Q10))</f>
        <v>0</v>
      </c>
      <c r="S10" s="41">
        <f t="shared" si="0"/>
        <v>4</v>
      </c>
      <c r="T10" s="78" t="str">
        <f t="shared" ref="T10:T46" si="6">IF(S10&gt;=10,"TRANSITA","N/TRANSITA")</f>
        <v>N/TRANSITA</v>
      </c>
    </row>
    <row r="11" spans="1:23" ht="14.25" customHeight="1" thickTop="1" thickBot="1" x14ac:dyDescent="0.35">
      <c r="B11" s="33">
        <v>3</v>
      </c>
      <c r="C11" s="123" t="s">
        <v>81</v>
      </c>
      <c r="D11" s="60"/>
      <c r="E11" s="91"/>
      <c r="F11" s="92"/>
      <c r="G11" s="92"/>
      <c r="H11" s="40">
        <f t="shared" si="1"/>
        <v>0</v>
      </c>
      <c r="I11" s="62" t="str">
        <f t="shared" si="2"/>
        <v>N/TRANSITA</v>
      </c>
      <c r="J11" s="142">
        <v>12</v>
      </c>
      <c r="K11" s="149">
        <v>12</v>
      </c>
      <c r="L11" s="64"/>
      <c r="M11" s="40">
        <f t="shared" si="3"/>
        <v>12</v>
      </c>
      <c r="N11" s="62" t="str">
        <f t="shared" si="4"/>
        <v>TRANSITA</v>
      </c>
      <c r="O11" s="102"/>
      <c r="P11" s="106"/>
      <c r="Q11" s="64"/>
      <c r="R11" s="40">
        <f t="shared" si="5"/>
        <v>0</v>
      </c>
      <c r="S11" s="41">
        <f t="shared" si="0"/>
        <v>4</v>
      </c>
      <c r="T11" s="78" t="str">
        <f t="shared" si="6"/>
        <v>N/TRANSITA</v>
      </c>
    </row>
    <row r="12" spans="1:23" ht="14.25" customHeight="1" thickTop="1" thickBot="1" x14ac:dyDescent="0.35">
      <c r="B12" s="33">
        <v>4</v>
      </c>
      <c r="C12" s="123" t="s">
        <v>82</v>
      </c>
      <c r="D12" s="60"/>
      <c r="E12" s="91">
        <v>11</v>
      </c>
      <c r="F12" s="92">
        <v>3</v>
      </c>
      <c r="G12" s="92"/>
      <c r="H12" s="40">
        <f t="shared" si="1"/>
        <v>7</v>
      </c>
      <c r="I12" s="62" t="str">
        <f t="shared" si="2"/>
        <v>N/TRANSITA</v>
      </c>
      <c r="J12" s="142">
        <v>12</v>
      </c>
      <c r="K12" s="149">
        <v>12</v>
      </c>
      <c r="L12" s="64"/>
      <c r="M12" s="40">
        <f t="shared" si="3"/>
        <v>12</v>
      </c>
      <c r="N12" s="62" t="str">
        <f t="shared" si="4"/>
        <v>TRANSITA</v>
      </c>
      <c r="O12" s="102"/>
      <c r="P12" s="106"/>
      <c r="Q12" s="64"/>
      <c r="R12" s="40">
        <f t="shared" si="5"/>
        <v>0</v>
      </c>
      <c r="S12" s="41">
        <f t="shared" si="0"/>
        <v>6.333333333333333</v>
      </c>
      <c r="T12" s="78" t="str">
        <f t="shared" si="6"/>
        <v>N/TRANSITA</v>
      </c>
    </row>
    <row r="13" spans="1:23" ht="14.25" customHeight="1" thickTop="1" thickBot="1" x14ac:dyDescent="0.35">
      <c r="B13" s="33">
        <v>5</v>
      </c>
      <c r="C13" s="124" t="s">
        <v>83</v>
      </c>
      <c r="D13" s="60"/>
      <c r="E13" s="91">
        <v>10</v>
      </c>
      <c r="F13" s="92">
        <v>0</v>
      </c>
      <c r="G13" s="92"/>
      <c r="H13" s="40">
        <f t="shared" si="1"/>
        <v>5</v>
      </c>
      <c r="I13" s="62" t="str">
        <f t="shared" si="2"/>
        <v>N/TRANSITA</v>
      </c>
      <c r="J13" s="142">
        <v>12</v>
      </c>
      <c r="K13" s="149">
        <v>12</v>
      </c>
      <c r="L13" s="64"/>
      <c r="M13" s="40">
        <f t="shared" si="3"/>
        <v>12</v>
      </c>
      <c r="N13" s="62" t="str">
        <f t="shared" si="4"/>
        <v>TRANSITA</v>
      </c>
      <c r="O13" s="102"/>
      <c r="P13" s="106"/>
      <c r="Q13" s="64"/>
      <c r="R13" s="40">
        <f t="shared" si="5"/>
        <v>0</v>
      </c>
      <c r="S13" s="41">
        <f t="shared" si="0"/>
        <v>5.666666666666667</v>
      </c>
      <c r="T13" s="78" t="str">
        <f t="shared" si="6"/>
        <v>N/TRANSITA</v>
      </c>
      <c r="U13" s="18"/>
      <c r="V13" s="18"/>
      <c r="W13" s="18"/>
    </row>
    <row r="14" spans="1:23" ht="14.25" customHeight="1" thickTop="1" thickBot="1" x14ac:dyDescent="0.35">
      <c r="B14" s="33">
        <v>6</v>
      </c>
      <c r="C14" s="123" t="s">
        <v>84</v>
      </c>
      <c r="D14" s="60"/>
      <c r="E14" s="91"/>
      <c r="F14" s="92"/>
      <c r="G14" s="92"/>
      <c r="H14" s="40">
        <f t="shared" si="1"/>
        <v>0</v>
      </c>
      <c r="I14" s="62" t="str">
        <f t="shared" si="2"/>
        <v>N/TRANSITA</v>
      </c>
      <c r="J14" s="142">
        <v>12</v>
      </c>
      <c r="K14" s="149">
        <v>12</v>
      </c>
      <c r="L14" s="64"/>
      <c r="M14" s="40">
        <f t="shared" si="3"/>
        <v>12</v>
      </c>
      <c r="N14" s="62" t="str">
        <f t="shared" si="4"/>
        <v>TRANSITA</v>
      </c>
      <c r="O14" s="102"/>
      <c r="P14" s="106"/>
      <c r="Q14" s="64"/>
      <c r="R14" s="40">
        <f t="shared" si="5"/>
        <v>0</v>
      </c>
      <c r="S14" s="41">
        <f t="shared" si="0"/>
        <v>4</v>
      </c>
      <c r="T14" s="78" t="str">
        <f t="shared" si="6"/>
        <v>N/TRANSITA</v>
      </c>
    </row>
    <row r="15" spans="1:23" ht="14.25" customHeight="1" thickTop="1" thickBot="1" x14ac:dyDescent="0.35">
      <c r="B15" s="33">
        <v>7</v>
      </c>
      <c r="C15" s="123" t="s">
        <v>85</v>
      </c>
      <c r="D15" s="60"/>
      <c r="E15" s="91">
        <v>15</v>
      </c>
      <c r="F15" s="92">
        <v>11</v>
      </c>
      <c r="G15" s="92"/>
      <c r="H15" s="40">
        <f t="shared" si="1"/>
        <v>13</v>
      </c>
      <c r="I15" s="62" t="str">
        <f t="shared" si="2"/>
        <v>TRANSITA</v>
      </c>
      <c r="J15" s="142">
        <v>12</v>
      </c>
      <c r="K15" s="149">
        <v>12</v>
      </c>
      <c r="L15" s="64"/>
      <c r="M15" s="40">
        <f t="shared" si="3"/>
        <v>12</v>
      </c>
      <c r="N15" s="62" t="str">
        <f t="shared" si="4"/>
        <v>TRANSITA</v>
      </c>
      <c r="O15" s="102"/>
      <c r="P15" s="106"/>
      <c r="Q15" s="64"/>
      <c r="R15" s="40">
        <f t="shared" si="5"/>
        <v>0</v>
      </c>
      <c r="S15" s="41">
        <f t="shared" si="0"/>
        <v>8.3333333333333339</v>
      </c>
      <c r="T15" s="78" t="str">
        <f t="shared" si="6"/>
        <v>N/TRANSITA</v>
      </c>
    </row>
    <row r="16" spans="1:23" ht="14.25" customHeight="1" thickTop="1" thickBot="1" x14ac:dyDescent="0.35">
      <c r="B16" s="33">
        <v>8</v>
      </c>
      <c r="C16" s="124" t="s">
        <v>86</v>
      </c>
      <c r="D16" s="60"/>
      <c r="E16" s="91">
        <v>10</v>
      </c>
      <c r="F16" s="92">
        <v>1</v>
      </c>
      <c r="G16" s="92"/>
      <c r="H16" s="40">
        <f t="shared" si="1"/>
        <v>5.5</v>
      </c>
      <c r="I16" s="62" t="str">
        <f t="shared" si="2"/>
        <v>N/TRANSITA</v>
      </c>
      <c r="J16" s="142">
        <v>12</v>
      </c>
      <c r="K16" s="149">
        <v>12</v>
      </c>
      <c r="L16" s="64"/>
      <c r="M16" s="40">
        <f t="shared" si="3"/>
        <v>12</v>
      </c>
      <c r="N16" s="62" t="str">
        <f t="shared" si="4"/>
        <v>TRANSITA</v>
      </c>
      <c r="O16" s="102"/>
      <c r="P16" s="106"/>
      <c r="Q16" s="64"/>
      <c r="R16" s="40">
        <f t="shared" si="5"/>
        <v>0</v>
      </c>
      <c r="S16" s="41">
        <f t="shared" si="0"/>
        <v>5.833333333333333</v>
      </c>
      <c r="T16" s="78" t="str">
        <f t="shared" si="6"/>
        <v>N/TRANSITA</v>
      </c>
    </row>
    <row r="17" spans="2:20" ht="14.25" customHeight="1" thickTop="1" thickBot="1" x14ac:dyDescent="0.35">
      <c r="B17" s="33">
        <v>9</v>
      </c>
      <c r="C17" s="123" t="s">
        <v>87</v>
      </c>
      <c r="D17" s="60"/>
      <c r="E17" s="91">
        <v>14</v>
      </c>
      <c r="F17" s="92">
        <v>11</v>
      </c>
      <c r="G17" s="92"/>
      <c r="H17" s="40">
        <f t="shared" si="1"/>
        <v>12.5</v>
      </c>
      <c r="I17" s="62" t="str">
        <f t="shared" si="2"/>
        <v>TRANSITA</v>
      </c>
      <c r="J17" s="142">
        <v>12</v>
      </c>
      <c r="K17" s="149">
        <v>12</v>
      </c>
      <c r="L17" s="64"/>
      <c r="M17" s="40">
        <f t="shared" si="3"/>
        <v>12</v>
      </c>
      <c r="N17" s="62" t="str">
        <f t="shared" ref="N17:N18" si="7">IF(M17&gt;=10,"TRANSITA","N/TRANSITA")</f>
        <v>TRANSITA</v>
      </c>
      <c r="O17" s="102"/>
      <c r="P17" s="106"/>
      <c r="Q17" s="64"/>
      <c r="R17" s="40">
        <f t="shared" si="5"/>
        <v>0</v>
      </c>
      <c r="S17" s="41">
        <f t="shared" si="0"/>
        <v>8.1666666666666661</v>
      </c>
      <c r="T17" s="78" t="str">
        <f t="shared" ref="T17:T18" si="8">IF(S17&gt;=10,"TRANSITA","N/TRANSITA")</f>
        <v>N/TRANSITA</v>
      </c>
    </row>
    <row r="18" spans="2:20" ht="14.25" customHeight="1" thickTop="1" thickBot="1" x14ac:dyDescent="0.35">
      <c r="B18" s="33">
        <v>10</v>
      </c>
      <c r="C18" s="124" t="s">
        <v>88</v>
      </c>
      <c r="D18" s="60"/>
      <c r="E18" s="91"/>
      <c r="F18" s="92"/>
      <c r="G18" s="92"/>
      <c r="H18" s="40">
        <f t="shared" si="1"/>
        <v>0</v>
      </c>
      <c r="I18" s="62" t="str">
        <f t="shared" si="2"/>
        <v>N/TRANSITA</v>
      </c>
      <c r="J18" s="142">
        <v>12</v>
      </c>
      <c r="K18" s="149">
        <v>12</v>
      </c>
      <c r="L18" s="64"/>
      <c r="M18" s="40">
        <f t="shared" si="3"/>
        <v>12</v>
      </c>
      <c r="N18" s="62" t="str">
        <f t="shared" si="7"/>
        <v>TRANSITA</v>
      </c>
      <c r="O18" s="102"/>
      <c r="P18" s="106"/>
      <c r="Q18" s="64"/>
      <c r="R18" s="40">
        <f t="shared" si="5"/>
        <v>0</v>
      </c>
      <c r="S18" s="41">
        <f t="shared" si="0"/>
        <v>4</v>
      </c>
      <c r="T18" s="78" t="str">
        <f t="shared" si="8"/>
        <v>N/TRANSITA</v>
      </c>
    </row>
    <row r="19" spans="2:20" ht="14.25" customHeight="1" thickTop="1" thickBot="1" x14ac:dyDescent="0.35">
      <c r="B19" s="33">
        <v>11</v>
      </c>
      <c r="C19" s="123" t="s">
        <v>89</v>
      </c>
      <c r="D19" s="60"/>
      <c r="E19" s="91"/>
      <c r="F19" s="92"/>
      <c r="G19" s="92"/>
      <c r="H19" s="40">
        <f t="shared" si="1"/>
        <v>0</v>
      </c>
      <c r="I19" s="62" t="str">
        <f t="shared" si="2"/>
        <v>N/TRANSITA</v>
      </c>
      <c r="J19" s="142">
        <v>12</v>
      </c>
      <c r="K19" s="149">
        <v>12</v>
      </c>
      <c r="L19" s="64"/>
      <c r="M19" s="40">
        <f t="shared" si="3"/>
        <v>12</v>
      </c>
      <c r="N19" s="62" t="str">
        <f t="shared" si="4"/>
        <v>TRANSITA</v>
      </c>
      <c r="O19" s="102"/>
      <c r="P19" s="106"/>
      <c r="Q19" s="64"/>
      <c r="R19" s="40">
        <f t="shared" si="5"/>
        <v>0</v>
      </c>
      <c r="S19" s="41">
        <f t="shared" si="0"/>
        <v>4</v>
      </c>
      <c r="T19" s="78" t="str">
        <f t="shared" si="6"/>
        <v>N/TRANSITA</v>
      </c>
    </row>
    <row r="20" spans="2:20" ht="14.25" customHeight="1" thickTop="1" thickBot="1" x14ac:dyDescent="0.35">
      <c r="B20" s="33">
        <v>12</v>
      </c>
      <c r="C20" s="124" t="s">
        <v>90</v>
      </c>
      <c r="D20" s="60"/>
      <c r="E20" s="91">
        <v>11</v>
      </c>
      <c r="F20" s="92">
        <v>0</v>
      </c>
      <c r="G20" s="92"/>
      <c r="H20" s="40">
        <f t="shared" si="1"/>
        <v>5.5</v>
      </c>
      <c r="I20" s="62" t="str">
        <f t="shared" si="2"/>
        <v>N/TRANSITA</v>
      </c>
      <c r="J20" s="142">
        <v>12</v>
      </c>
      <c r="K20" s="149">
        <v>12</v>
      </c>
      <c r="L20" s="64"/>
      <c r="M20" s="40">
        <f t="shared" si="3"/>
        <v>12</v>
      </c>
      <c r="N20" s="62" t="str">
        <f t="shared" si="4"/>
        <v>TRANSITA</v>
      </c>
      <c r="O20" s="102"/>
      <c r="P20" s="106"/>
      <c r="Q20" s="64"/>
      <c r="R20" s="40">
        <f t="shared" si="5"/>
        <v>0</v>
      </c>
      <c r="S20" s="41">
        <f t="shared" si="0"/>
        <v>5.833333333333333</v>
      </c>
      <c r="T20" s="78" t="str">
        <f t="shared" si="6"/>
        <v>N/TRANSITA</v>
      </c>
    </row>
    <row r="21" spans="2:20" ht="14.25" customHeight="1" thickTop="1" thickBot="1" x14ac:dyDescent="0.35">
      <c r="B21" s="33">
        <v>13</v>
      </c>
      <c r="C21" s="123" t="s">
        <v>91</v>
      </c>
      <c r="D21" s="60"/>
      <c r="E21" s="91"/>
      <c r="F21" s="92"/>
      <c r="G21" s="92"/>
      <c r="H21" s="40">
        <f t="shared" si="1"/>
        <v>0</v>
      </c>
      <c r="I21" s="62" t="str">
        <f t="shared" si="2"/>
        <v>N/TRANSITA</v>
      </c>
      <c r="J21" s="142">
        <v>12</v>
      </c>
      <c r="K21" s="149">
        <v>12</v>
      </c>
      <c r="L21" s="64"/>
      <c r="M21" s="40">
        <f t="shared" si="3"/>
        <v>12</v>
      </c>
      <c r="N21" s="62" t="str">
        <f t="shared" si="4"/>
        <v>TRANSITA</v>
      </c>
      <c r="O21" s="102"/>
      <c r="P21" s="106"/>
      <c r="Q21" s="64"/>
      <c r="R21" s="40">
        <f t="shared" si="5"/>
        <v>0</v>
      </c>
      <c r="S21" s="41">
        <f t="shared" si="0"/>
        <v>4</v>
      </c>
      <c r="T21" s="78" t="str">
        <f t="shared" si="6"/>
        <v>N/TRANSITA</v>
      </c>
    </row>
    <row r="22" spans="2:20" ht="14.25" customHeight="1" thickTop="1" thickBot="1" x14ac:dyDescent="0.35">
      <c r="B22" s="33">
        <v>14</v>
      </c>
      <c r="C22" s="123" t="s">
        <v>92</v>
      </c>
      <c r="D22" s="60"/>
      <c r="E22" s="91">
        <v>12</v>
      </c>
      <c r="F22" s="92">
        <v>8.5</v>
      </c>
      <c r="G22" s="92"/>
      <c r="H22" s="40">
        <f t="shared" si="1"/>
        <v>10.25</v>
      </c>
      <c r="I22" s="62" t="str">
        <f t="shared" si="2"/>
        <v>TRANSITA</v>
      </c>
      <c r="J22" s="142">
        <v>12</v>
      </c>
      <c r="K22" s="149">
        <v>12</v>
      </c>
      <c r="L22" s="64"/>
      <c r="M22" s="40">
        <f t="shared" si="3"/>
        <v>12</v>
      </c>
      <c r="N22" s="62" t="str">
        <f t="shared" si="4"/>
        <v>TRANSITA</v>
      </c>
      <c r="O22" s="102"/>
      <c r="P22" s="106"/>
      <c r="Q22" s="64"/>
      <c r="R22" s="40">
        <f t="shared" si="5"/>
        <v>0</v>
      </c>
      <c r="S22" s="41">
        <f t="shared" si="0"/>
        <v>7.416666666666667</v>
      </c>
      <c r="T22" s="78" t="str">
        <f t="shared" si="6"/>
        <v>N/TRANSITA</v>
      </c>
    </row>
    <row r="23" spans="2:20" ht="14.25" customHeight="1" thickTop="1" thickBot="1" x14ac:dyDescent="0.35">
      <c r="B23" s="33">
        <v>15</v>
      </c>
      <c r="C23" s="124" t="s">
        <v>114</v>
      </c>
      <c r="D23" s="60"/>
      <c r="E23" s="91">
        <v>10</v>
      </c>
      <c r="F23" s="92">
        <v>1</v>
      </c>
      <c r="G23" s="92"/>
      <c r="H23" s="40">
        <f t="shared" si="1"/>
        <v>5.5</v>
      </c>
      <c r="I23" s="62" t="str">
        <f t="shared" si="2"/>
        <v>N/TRANSITA</v>
      </c>
      <c r="J23" s="142">
        <v>12</v>
      </c>
      <c r="K23" s="149">
        <v>12</v>
      </c>
      <c r="L23" s="64"/>
      <c r="M23" s="40">
        <f t="shared" si="3"/>
        <v>12</v>
      </c>
      <c r="N23" s="62" t="str">
        <f t="shared" si="4"/>
        <v>TRANSITA</v>
      </c>
      <c r="O23" s="102"/>
      <c r="P23" s="106"/>
      <c r="Q23" s="64"/>
      <c r="R23" s="40">
        <f t="shared" si="5"/>
        <v>0</v>
      </c>
      <c r="S23" s="41">
        <f t="shared" si="0"/>
        <v>5.833333333333333</v>
      </c>
      <c r="T23" s="78" t="str">
        <f t="shared" si="6"/>
        <v>N/TRANSITA</v>
      </c>
    </row>
    <row r="24" spans="2:20" ht="14.25" customHeight="1" thickTop="1" thickBot="1" x14ac:dyDescent="0.35">
      <c r="B24" s="33">
        <v>16</v>
      </c>
      <c r="C24" s="124" t="s">
        <v>93</v>
      </c>
      <c r="D24" s="60"/>
      <c r="E24" s="91"/>
      <c r="F24" s="92"/>
      <c r="G24" s="92"/>
      <c r="H24" s="40">
        <f t="shared" si="1"/>
        <v>0</v>
      </c>
      <c r="I24" s="62" t="str">
        <f t="shared" si="2"/>
        <v>N/TRANSITA</v>
      </c>
      <c r="J24" s="142">
        <v>12</v>
      </c>
      <c r="K24" s="149">
        <v>12</v>
      </c>
      <c r="L24" s="64"/>
      <c r="M24" s="40">
        <f t="shared" si="3"/>
        <v>12</v>
      </c>
      <c r="N24" s="62" t="str">
        <f t="shared" si="4"/>
        <v>TRANSITA</v>
      </c>
      <c r="O24" s="102"/>
      <c r="P24" s="106"/>
      <c r="Q24" s="64"/>
      <c r="R24" s="40">
        <f t="shared" si="5"/>
        <v>0</v>
      </c>
      <c r="S24" s="41">
        <f t="shared" si="0"/>
        <v>4</v>
      </c>
      <c r="T24" s="78" t="str">
        <f t="shared" si="6"/>
        <v>N/TRANSITA</v>
      </c>
    </row>
    <row r="25" spans="2:20" ht="14.25" customHeight="1" thickTop="1" thickBot="1" x14ac:dyDescent="0.35">
      <c r="B25" s="33">
        <v>17</v>
      </c>
      <c r="C25" s="123" t="s">
        <v>94</v>
      </c>
      <c r="D25" s="60"/>
      <c r="E25" s="91"/>
      <c r="F25" s="92"/>
      <c r="G25" s="92"/>
      <c r="H25" s="40">
        <f t="shared" si="1"/>
        <v>0</v>
      </c>
      <c r="I25" s="62" t="str">
        <f t="shared" si="2"/>
        <v>N/TRANSITA</v>
      </c>
      <c r="J25" s="142">
        <v>12</v>
      </c>
      <c r="K25" s="149">
        <v>12</v>
      </c>
      <c r="L25" s="64"/>
      <c r="M25" s="40">
        <f t="shared" si="3"/>
        <v>12</v>
      </c>
      <c r="N25" s="62" t="str">
        <f t="shared" si="4"/>
        <v>TRANSITA</v>
      </c>
      <c r="O25" s="102"/>
      <c r="P25" s="106"/>
      <c r="Q25" s="64"/>
      <c r="R25" s="40">
        <f t="shared" si="5"/>
        <v>0</v>
      </c>
      <c r="S25" s="41">
        <f t="shared" si="0"/>
        <v>4</v>
      </c>
      <c r="T25" s="78" t="str">
        <f t="shared" si="6"/>
        <v>N/TRANSITA</v>
      </c>
    </row>
    <row r="26" spans="2:20" ht="14.25" customHeight="1" thickTop="1" thickBot="1" x14ac:dyDescent="0.35">
      <c r="B26" s="33">
        <v>18</v>
      </c>
      <c r="C26" s="124" t="s">
        <v>95</v>
      </c>
      <c r="D26" s="60"/>
      <c r="E26" s="91">
        <v>10</v>
      </c>
      <c r="F26" s="92">
        <v>0</v>
      </c>
      <c r="G26" s="92"/>
      <c r="H26" s="40">
        <f t="shared" si="1"/>
        <v>5</v>
      </c>
      <c r="I26" s="62" t="str">
        <f t="shared" si="2"/>
        <v>N/TRANSITA</v>
      </c>
      <c r="J26" s="142">
        <v>12</v>
      </c>
      <c r="K26" s="149">
        <v>12</v>
      </c>
      <c r="L26" s="64"/>
      <c r="M26" s="40">
        <f t="shared" si="3"/>
        <v>12</v>
      </c>
      <c r="N26" s="62" t="str">
        <f t="shared" si="4"/>
        <v>TRANSITA</v>
      </c>
      <c r="O26" s="102"/>
      <c r="P26" s="106"/>
      <c r="Q26" s="64"/>
      <c r="R26" s="40">
        <f t="shared" si="5"/>
        <v>0</v>
      </c>
      <c r="S26" s="41">
        <f t="shared" si="0"/>
        <v>5.666666666666667</v>
      </c>
      <c r="T26" s="78" t="str">
        <f t="shared" si="6"/>
        <v>N/TRANSITA</v>
      </c>
    </row>
    <row r="27" spans="2:20" ht="14.25" customHeight="1" thickTop="1" thickBot="1" x14ac:dyDescent="0.35">
      <c r="B27" s="33">
        <v>19</v>
      </c>
      <c r="C27" s="124" t="s">
        <v>96</v>
      </c>
      <c r="D27" s="60"/>
      <c r="E27" s="91"/>
      <c r="F27" s="92"/>
      <c r="G27" s="92"/>
      <c r="H27" s="40">
        <f t="shared" si="1"/>
        <v>0</v>
      </c>
      <c r="I27" s="62" t="str">
        <f t="shared" si="2"/>
        <v>N/TRANSITA</v>
      </c>
      <c r="J27" s="142">
        <v>12</v>
      </c>
      <c r="K27" s="149">
        <v>12</v>
      </c>
      <c r="L27" s="64"/>
      <c r="M27" s="40">
        <f t="shared" si="3"/>
        <v>12</v>
      </c>
      <c r="N27" s="62" t="str">
        <f t="shared" si="4"/>
        <v>TRANSITA</v>
      </c>
      <c r="O27" s="102"/>
      <c r="P27" s="106"/>
      <c r="Q27" s="64"/>
      <c r="R27" s="40">
        <f t="shared" si="5"/>
        <v>0</v>
      </c>
      <c r="S27" s="41">
        <f t="shared" si="0"/>
        <v>4</v>
      </c>
      <c r="T27" s="78" t="str">
        <f t="shared" si="6"/>
        <v>N/TRANSITA</v>
      </c>
    </row>
    <row r="28" spans="2:20" ht="14.25" customHeight="1" thickTop="1" thickBot="1" x14ac:dyDescent="0.35">
      <c r="B28" s="33">
        <v>20</v>
      </c>
      <c r="C28" s="123" t="s">
        <v>97</v>
      </c>
      <c r="D28" s="60"/>
      <c r="E28" s="91"/>
      <c r="F28" s="92"/>
      <c r="G28" s="92"/>
      <c r="H28" s="40">
        <f t="shared" si="1"/>
        <v>0</v>
      </c>
      <c r="I28" s="62" t="str">
        <f t="shared" si="2"/>
        <v>N/TRANSITA</v>
      </c>
      <c r="J28" s="142">
        <v>12</v>
      </c>
      <c r="K28" s="149">
        <v>12</v>
      </c>
      <c r="L28" s="64"/>
      <c r="M28" s="40">
        <f t="shared" si="3"/>
        <v>12</v>
      </c>
      <c r="N28" s="62" t="str">
        <f t="shared" si="4"/>
        <v>TRANSITA</v>
      </c>
      <c r="O28" s="102"/>
      <c r="P28" s="106"/>
      <c r="Q28" s="64"/>
      <c r="R28" s="40">
        <f t="shared" si="5"/>
        <v>0</v>
      </c>
      <c r="S28" s="41">
        <f t="shared" si="0"/>
        <v>4</v>
      </c>
      <c r="T28" s="78" t="str">
        <f t="shared" si="6"/>
        <v>N/TRANSITA</v>
      </c>
    </row>
    <row r="29" spans="2:20" ht="14.25" customHeight="1" thickTop="1" thickBot="1" x14ac:dyDescent="0.35">
      <c r="B29" s="33">
        <v>21</v>
      </c>
      <c r="C29" s="123" t="s">
        <v>98</v>
      </c>
      <c r="D29" s="60"/>
      <c r="E29" s="91">
        <v>13</v>
      </c>
      <c r="F29" s="92">
        <v>10</v>
      </c>
      <c r="G29" s="92"/>
      <c r="H29" s="40">
        <f t="shared" si="1"/>
        <v>11.5</v>
      </c>
      <c r="I29" s="62" t="str">
        <f t="shared" si="2"/>
        <v>TRANSITA</v>
      </c>
      <c r="J29" s="142">
        <v>12</v>
      </c>
      <c r="K29" s="149">
        <v>12</v>
      </c>
      <c r="L29" s="64"/>
      <c r="M29" s="40">
        <f t="shared" si="3"/>
        <v>12</v>
      </c>
      <c r="N29" s="62" t="str">
        <f t="shared" si="4"/>
        <v>TRANSITA</v>
      </c>
      <c r="O29" s="102"/>
      <c r="P29" s="106"/>
      <c r="Q29" s="64"/>
      <c r="R29" s="40">
        <f t="shared" si="5"/>
        <v>0</v>
      </c>
      <c r="S29" s="41">
        <f t="shared" si="0"/>
        <v>7.833333333333333</v>
      </c>
      <c r="T29" s="78" t="str">
        <f t="shared" si="6"/>
        <v>N/TRANSITA</v>
      </c>
    </row>
    <row r="30" spans="2:20" ht="14.25" customHeight="1" thickTop="1" thickBot="1" x14ac:dyDescent="0.35">
      <c r="B30" s="33">
        <v>22</v>
      </c>
      <c r="C30" s="124" t="s">
        <v>99</v>
      </c>
      <c r="D30" s="60"/>
      <c r="E30" s="91">
        <v>11</v>
      </c>
      <c r="F30" s="92">
        <v>2</v>
      </c>
      <c r="G30" s="92"/>
      <c r="H30" s="40">
        <f t="shared" si="1"/>
        <v>6.5</v>
      </c>
      <c r="I30" s="62" t="str">
        <f t="shared" si="2"/>
        <v>N/TRANSITA</v>
      </c>
      <c r="J30" s="142">
        <v>12</v>
      </c>
      <c r="K30" s="149">
        <v>12</v>
      </c>
      <c r="L30" s="64"/>
      <c r="M30" s="40">
        <f t="shared" si="3"/>
        <v>12</v>
      </c>
      <c r="N30" s="62" t="str">
        <f t="shared" si="4"/>
        <v>TRANSITA</v>
      </c>
      <c r="O30" s="102"/>
      <c r="P30" s="106"/>
      <c r="Q30" s="64"/>
      <c r="R30" s="40">
        <f t="shared" si="5"/>
        <v>0</v>
      </c>
      <c r="S30" s="41">
        <f t="shared" si="0"/>
        <v>6.166666666666667</v>
      </c>
      <c r="T30" s="78" t="str">
        <f t="shared" si="6"/>
        <v>N/TRANSITA</v>
      </c>
    </row>
    <row r="31" spans="2:20" ht="14.25" customHeight="1" thickTop="1" thickBot="1" x14ac:dyDescent="0.35">
      <c r="B31" s="33">
        <v>23</v>
      </c>
      <c r="C31" s="123" t="s">
        <v>100</v>
      </c>
      <c r="D31" s="60"/>
      <c r="E31" s="91">
        <v>10</v>
      </c>
      <c r="F31" s="92">
        <v>3</v>
      </c>
      <c r="G31" s="92"/>
      <c r="H31" s="40">
        <f t="shared" si="1"/>
        <v>6.5</v>
      </c>
      <c r="I31" s="62" t="str">
        <f t="shared" si="2"/>
        <v>N/TRANSITA</v>
      </c>
      <c r="J31" s="142">
        <v>12</v>
      </c>
      <c r="K31" s="149">
        <v>12</v>
      </c>
      <c r="L31" s="64"/>
      <c r="M31" s="40">
        <f t="shared" si="3"/>
        <v>12</v>
      </c>
      <c r="N31" s="62" t="str">
        <f t="shared" si="4"/>
        <v>TRANSITA</v>
      </c>
      <c r="O31" s="102"/>
      <c r="P31" s="106"/>
      <c r="Q31" s="64"/>
      <c r="R31" s="40">
        <f t="shared" si="5"/>
        <v>0</v>
      </c>
      <c r="S31" s="41">
        <f t="shared" si="0"/>
        <v>6.166666666666667</v>
      </c>
      <c r="T31" s="78" t="str">
        <f t="shared" si="6"/>
        <v>N/TRANSITA</v>
      </c>
    </row>
    <row r="32" spans="2:20" ht="14.25" customHeight="1" thickTop="1" thickBot="1" x14ac:dyDescent="0.35">
      <c r="B32" s="33">
        <v>24</v>
      </c>
      <c r="C32" s="123" t="s">
        <v>101</v>
      </c>
      <c r="D32" s="60"/>
      <c r="E32" s="91"/>
      <c r="F32" s="92"/>
      <c r="G32" s="92"/>
      <c r="H32" s="40">
        <f t="shared" si="1"/>
        <v>0</v>
      </c>
      <c r="I32" s="62" t="str">
        <f t="shared" si="2"/>
        <v>N/TRANSITA</v>
      </c>
      <c r="J32" s="142">
        <v>12</v>
      </c>
      <c r="K32" s="149">
        <v>12</v>
      </c>
      <c r="L32" s="64"/>
      <c r="M32" s="40">
        <f t="shared" si="3"/>
        <v>12</v>
      </c>
      <c r="N32" s="62" t="str">
        <f t="shared" si="4"/>
        <v>TRANSITA</v>
      </c>
      <c r="O32" s="102"/>
      <c r="P32" s="106"/>
      <c r="Q32" s="64"/>
      <c r="R32" s="40">
        <f t="shared" si="5"/>
        <v>0</v>
      </c>
      <c r="S32" s="41">
        <f t="shared" si="0"/>
        <v>4</v>
      </c>
      <c r="T32" s="78" t="str">
        <f t="shared" si="6"/>
        <v>N/TRANSITA</v>
      </c>
    </row>
    <row r="33" spans="1:20" ht="14.25" customHeight="1" thickTop="1" thickBot="1" x14ac:dyDescent="0.35">
      <c r="B33" s="33">
        <v>25</v>
      </c>
      <c r="C33" s="124" t="s">
        <v>102</v>
      </c>
      <c r="D33" s="60"/>
      <c r="E33" s="91"/>
      <c r="F33" s="92"/>
      <c r="G33" s="92"/>
      <c r="H33" s="40">
        <f t="shared" si="1"/>
        <v>0</v>
      </c>
      <c r="I33" s="62" t="str">
        <f t="shared" si="2"/>
        <v>N/TRANSITA</v>
      </c>
      <c r="J33" s="142">
        <v>12</v>
      </c>
      <c r="K33" s="149">
        <v>12</v>
      </c>
      <c r="L33" s="64"/>
      <c r="M33" s="40">
        <f t="shared" si="3"/>
        <v>12</v>
      </c>
      <c r="N33" s="62" t="str">
        <f t="shared" si="4"/>
        <v>TRANSITA</v>
      </c>
      <c r="O33" s="102"/>
      <c r="P33" s="106"/>
      <c r="Q33" s="64"/>
      <c r="R33" s="40">
        <f t="shared" si="5"/>
        <v>0</v>
      </c>
      <c r="S33" s="41">
        <f t="shared" si="0"/>
        <v>4</v>
      </c>
      <c r="T33" s="78" t="str">
        <f t="shared" si="6"/>
        <v>N/TRANSITA</v>
      </c>
    </row>
    <row r="34" spans="1:20" ht="14.25" customHeight="1" thickTop="1" thickBot="1" x14ac:dyDescent="0.35">
      <c r="B34" s="33">
        <v>26</v>
      </c>
      <c r="C34" s="123" t="s">
        <v>103</v>
      </c>
      <c r="D34" s="60"/>
      <c r="E34" s="91">
        <v>14</v>
      </c>
      <c r="F34" s="92">
        <v>10</v>
      </c>
      <c r="G34" s="92"/>
      <c r="H34" s="40">
        <f t="shared" si="1"/>
        <v>12</v>
      </c>
      <c r="I34" s="62" t="str">
        <f t="shared" si="2"/>
        <v>TRANSITA</v>
      </c>
      <c r="J34" s="142">
        <v>12</v>
      </c>
      <c r="K34" s="149">
        <v>12</v>
      </c>
      <c r="L34" s="64"/>
      <c r="M34" s="40">
        <f t="shared" si="3"/>
        <v>12</v>
      </c>
      <c r="N34" s="62" t="str">
        <f t="shared" si="4"/>
        <v>TRANSITA</v>
      </c>
      <c r="O34" s="102"/>
      <c r="P34" s="106"/>
      <c r="Q34" s="64"/>
      <c r="R34" s="40">
        <f t="shared" si="5"/>
        <v>0</v>
      </c>
      <c r="S34" s="41">
        <f t="shared" si="0"/>
        <v>8</v>
      </c>
      <c r="T34" s="78" t="str">
        <f t="shared" si="6"/>
        <v>N/TRANSITA</v>
      </c>
    </row>
    <row r="35" spans="1:20" ht="14.25" customHeight="1" thickTop="1" thickBot="1" x14ac:dyDescent="0.35">
      <c r="B35" s="33">
        <v>27</v>
      </c>
      <c r="C35" s="124" t="s">
        <v>115</v>
      </c>
      <c r="D35" s="60"/>
      <c r="E35" s="91">
        <v>10</v>
      </c>
      <c r="F35" s="92">
        <v>0</v>
      </c>
      <c r="G35" s="92"/>
      <c r="H35" s="40">
        <f t="shared" si="1"/>
        <v>5</v>
      </c>
      <c r="I35" s="62" t="str">
        <f t="shared" si="2"/>
        <v>N/TRANSITA</v>
      </c>
      <c r="J35" s="142">
        <v>12</v>
      </c>
      <c r="K35" s="149">
        <v>12</v>
      </c>
      <c r="L35" s="64"/>
      <c r="M35" s="40">
        <f t="shared" si="3"/>
        <v>12</v>
      </c>
      <c r="N35" s="62" t="str">
        <f t="shared" si="4"/>
        <v>TRANSITA</v>
      </c>
      <c r="O35" s="102"/>
      <c r="P35" s="106"/>
      <c r="Q35" s="64"/>
      <c r="R35" s="40">
        <f t="shared" si="5"/>
        <v>0</v>
      </c>
      <c r="S35" s="41">
        <f t="shared" si="0"/>
        <v>5.666666666666667</v>
      </c>
      <c r="T35" s="78" t="str">
        <f t="shared" si="6"/>
        <v>N/TRANSITA</v>
      </c>
    </row>
    <row r="36" spans="1:20" ht="14.25" customHeight="1" thickTop="1" thickBot="1" x14ac:dyDescent="0.35">
      <c r="B36" s="33">
        <v>28</v>
      </c>
      <c r="C36" s="124" t="s">
        <v>116</v>
      </c>
      <c r="D36" s="60"/>
      <c r="E36" s="91"/>
      <c r="F36" s="92"/>
      <c r="G36" s="92"/>
      <c r="H36" s="40">
        <f t="shared" si="1"/>
        <v>0</v>
      </c>
      <c r="I36" s="62" t="str">
        <f t="shared" si="2"/>
        <v>N/TRANSITA</v>
      </c>
      <c r="J36" s="142">
        <v>12</v>
      </c>
      <c r="K36" s="149">
        <v>12</v>
      </c>
      <c r="L36" s="64"/>
      <c r="M36" s="40">
        <f t="shared" si="3"/>
        <v>12</v>
      </c>
      <c r="N36" s="62" t="str">
        <f t="shared" si="4"/>
        <v>TRANSITA</v>
      </c>
      <c r="O36" s="102"/>
      <c r="P36" s="106"/>
      <c r="Q36" s="64"/>
      <c r="R36" s="40">
        <f t="shared" si="5"/>
        <v>0</v>
      </c>
      <c r="S36" s="41">
        <f t="shared" si="0"/>
        <v>4</v>
      </c>
      <c r="T36" s="78" t="str">
        <f t="shared" si="6"/>
        <v>N/TRANSITA</v>
      </c>
    </row>
    <row r="37" spans="1:20" ht="14.25" customHeight="1" thickTop="1" thickBot="1" x14ac:dyDescent="0.35">
      <c r="B37" s="33">
        <v>29</v>
      </c>
      <c r="C37" s="123" t="s">
        <v>104</v>
      </c>
      <c r="D37" s="60"/>
      <c r="E37" s="91">
        <v>10</v>
      </c>
      <c r="F37" s="92">
        <v>7</v>
      </c>
      <c r="G37" s="92"/>
      <c r="H37" s="40">
        <f t="shared" ref="H37:H39" si="9">AVERAGE(E37,MAX(F37:G37))</f>
        <v>8.5</v>
      </c>
      <c r="I37" s="62" t="str">
        <f t="shared" ref="I37:I39" si="10">IF(H37&gt;=10,"TRANSITA","N/TRANSITA")</f>
        <v>N/TRANSITA</v>
      </c>
      <c r="J37" s="142">
        <v>12</v>
      </c>
      <c r="K37" s="149">
        <v>12</v>
      </c>
      <c r="L37" s="64"/>
      <c r="M37" s="40">
        <f t="shared" ref="M37:M39" si="11">AVERAGE(J37,MAX(K37:L37))</f>
        <v>12</v>
      </c>
      <c r="N37" s="62" t="str">
        <f t="shared" ref="N37:N39" si="12">IF(M37&gt;=10,"TRANSITA","N/TRANSITA")</f>
        <v>TRANSITA</v>
      </c>
      <c r="O37" s="102"/>
      <c r="P37" s="106"/>
      <c r="Q37" s="64"/>
      <c r="R37" s="40">
        <f t="shared" ref="R37:R39" si="13">AVERAGE(O37,MAX(P37:Q37))</f>
        <v>0</v>
      </c>
      <c r="S37" s="41">
        <f t="shared" ref="S37:S39" si="14">SUM(H37,M37,R37)/3</f>
        <v>6.833333333333333</v>
      </c>
      <c r="T37" s="78" t="str">
        <f t="shared" ref="T37:T39" si="15">IF(S37&gt;=10,"TRANSITA","N/TRANSITA")</f>
        <v>N/TRANSITA</v>
      </c>
    </row>
    <row r="38" spans="1:20" ht="14.25" customHeight="1" thickTop="1" thickBot="1" x14ac:dyDescent="0.35">
      <c r="B38" s="33">
        <v>30</v>
      </c>
      <c r="C38" s="123" t="s">
        <v>105</v>
      </c>
      <c r="D38" s="60"/>
      <c r="E38" s="91"/>
      <c r="F38" s="92"/>
      <c r="G38" s="92"/>
      <c r="H38" s="40">
        <f t="shared" si="9"/>
        <v>0</v>
      </c>
      <c r="I38" s="62" t="str">
        <f t="shared" si="10"/>
        <v>N/TRANSITA</v>
      </c>
      <c r="J38" s="142">
        <v>12</v>
      </c>
      <c r="K38" s="149">
        <v>12</v>
      </c>
      <c r="L38" s="64"/>
      <c r="M38" s="40">
        <f t="shared" si="11"/>
        <v>12</v>
      </c>
      <c r="N38" s="62" t="str">
        <f t="shared" si="12"/>
        <v>TRANSITA</v>
      </c>
      <c r="O38" s="102"/>
      <c r="P38" s="106"/>
      <c r="Q38" s="64"/>
      <c r="R38" s="40">
        <f t="shared" si="13"/>
        <v>0</v>
      </c>
      <c r="S38" s="41">
        <f t="shared" si="14"/>
        <v>4</v>
      </c>
      <c r="T38" s="78" t="str">
        <f t="shared" si="15"/>
        <v>N/TRANSITA</v>
      </c>
    </row>
    <row r="39" spans="1:20" ht="14.25" customHeight="1" thickTop="1" thickBot="1" x14ac:dyDescent="0.35">
      <c r="B39" s="33">
        <v>31</v>
      </c>
      <c r="C39" s="124" t="s">
        <v>106</v>
      </c>
      <c r="D39" s="60"/>
      <c r="E39" s="91">
        <v>10</v>
      </c>
      <c r="F39" s="92">
        <v>10</v>
      </c>
      <c r="G39" s="92"/>
      <c r="H39" s="40">
        <f t="shared" si="9"/>
        <v>10</v>
      </c>
      <c r="I39" s="62" t="str">
        <f t="shared" si="10"/>
        <v>TRANSITA</v>
      </c>
      <c r="J39" s="142">
        <v>12</v>
      </c>
      <c r="K39" s="149">
        <v>12</v>
      </c>
      <c r="L39" s="64"/>
      <c r="M39" s="40">
        <f t="shared" si="11"/>
        <v>12</v>
      </c>
      <c r="N39" s="62" t="str">
        <f t="shared" si="12"/>
        <v>TRANSITA</v>
      </c>
      <c r="O39" s="102"/>
      <c r="P39" s="106"/>
      <c r="Q39" s="64"/>
      <c r="R39" s="40">
        <f t="shared" si="13"/>
        <v>0</v>
      </c>
      <c r="S39" s="41">
        <f t="shared" si="14"/>
        <v>7.333333333333333</v>
      </c>
      <c r="T39" s="78" t="str">
        <f t="shared" si="15"/>
        <v>N/TRANSITA</v>
      </c>
    </row>
    <row r="40" spans="1:20" ht="14.25" customHeight="1" thickTop="1" thickBot="1" x14ac:dyDescent="0.35">
      <c r="B40" s="33">
        <v>32</v>
      </c>
      <c r="C40" s="124" t="s">
        <v>107</v>
      </c>
      <c r="D40" s="60"/>
      <c r="E40" s="91"/>
      <c r="F40" s="92"/>
      <c r="G40" s="92"/>
      <c r="H40" s="40">
        <f t="shared" si="1"/>
        <v>0</v>
      </c>
      <c r="I40" s="62" t="str">
        <f t="shared" si="2"/>
        <v>N/TRANSITA</v>
      </c>
      <c r="J40" s="142">
        <v>12</v>
      </c>
      <c r="K40" s="149">
        <v>12</v>
      </c>
      <c r="L40" s="64"/>
      <c r="M40" s="40">
        <f t="shared" si="3"/>
        <v>12</v>
      </c>
      <c r="N40" s="62" t="str">
        <f t="shared" si="4"/>
        <v>TRANSITA</v>
      </c>
      <c r="O40" s="102"/>
      <c r="P40" s="106"/>
      <c r="Q40" s="64"/>
      <c r="R40" s="40">
        <f t="shared" si="5"/>
        <v>0</v>
      </c>
      <c r="S40" s="41">
        <f t="shared" si="0"/>
        <v>4</v>
      </c>
      <c r="T40" s="78" t="str">
        <f t="shared" si="6"/>
        <v>N/TRANSITA</v>
      </c>
    </row>
    <row r="41" spans="1:20" ht="14.25" customHeight="1" thickTop="1" thickBot="1" x14ac:dyDescent="0.35">
      <c r="B41" s="33">
        <v>33</v>
      </c>
      <c r="C41" s="123" t="s">
        <v>108</v>
      </c>
      <c r="D41" s="60"/>
      <c r="E41" s="91"/>
      <c r="F41" s="92"/>
      <c r="G41" s="92"/>
      <c r="H41" s="40">
        <f t="shared" si="1"/>
        <v>0</v>
      </c>
      <c r="I41" s="62" t="str">
        <f t="shared" si="2"/>
        <v>N/TRANSITA</v>
      </c>
      <c r="J41" s="142">
        <v>12</v>
      </c>
      <c r="K41" s="149">
        <v>12</v>
      </c>
      <c r="L41" s="64"/>
      <c r="M41" s="40">
        <f t="shared" si="3"/>
        <v>12</v>
      </c>
      <c r="N41" s="62" t="str">
        <f t="shared" si="4"/>
        <v>TRANSITA</v>
      </c>
      <c r="O41" s="102"/>
      <c r="P41" s="106"/>
      <c r="Q41" s="64"/>
      <c r="R41" s="40">
        <f t="shared" si="5"/>
        <v>0</v>
      </c>
      <c r="S41" s="41">
        <f t="shared" si="0"/>
        <v>4</v>
      </c>
      <c r="T41" s="78" t="str">
        <f t="shared" si="6"/>
        <v>N/TRANSITA</v>
      </c>
    </row>
    <row r="42" spans="1:20" ht="14.25" customHeight="1" thickTop="1" thickBot="1" x14ac:dyDescent="0.35">
      <c r="B42" s="33">
        <v>34</v>
      </c>
      <c r="C42" s="123" t="s">
        <v>109</v>
      </c>
      <c r="D42" s="60"/>
      <c r="E42" s="91">
        <v>12</v>
      </c>
      <c r="F42" s="92">
        <v>8</v>
      </c>
      <c r="G42" s="92"/>
      <c r="H42" s="40">
        <f t="shared" si="1"/>
        <v>10</v>
      </c>
      <c r="I42" s="62" t="str">
        <f t="shared" si="2"/>
        <v>TRANSITA</v>
      </c>
      <c r="J42" s="142">
        <v>12</v>
      </c>
      <c r="K42" s="149">
        <v>12</v>
      </c>
      <c r="L42" s="64"/>
      <c r="M42" s="40">
        <f t="shared" si="3"/>
        <v>12</v>
      </c>
      <c r="N42" s="62" t="str">
        <f t="shared" si="4"/>
        <v>TRANSITA</v>
      </c>
      <c r="O42" s="102"/>
      <c r="P42" s="106"/>
      <c r="Q42" s="64"/>
      <c r="R42" s="40">
        <f t="shared" si="5"/>
        <v>0</v>
      </c>
      <c r="S42" s="41">
        <f t="shared" si="0"/>
        <v>7.333333333333333</v>
      </c>
      <c r="T42" s="78" t="str">
        <f t="shared" si="6"/>
        <v>N/TRANSITA</v>
      </c>
    </row>
    <row r="43" spans="1:20" ht="14.25" customHeight="1" thickTop="1" thickBot="1" x14ac:dyDescent="0.35">
      <c r="B43" s="33">
        <v>35</v>
      </c>
      <c r="C43" s="123" t="s">
        <v>110</v>
      </c>
      <c r="D43" s="60"/>
      <c r="E43" s="91"/>
      <c r="F43" s="92"/>
      <c r="G43" s="92"/>
      <c r="H43" s="40">
        <f t="shared" si="1"/>
        <v>0</v>
      </c>
      <c r="I43" s="62" t="str">
        <f t="shared" si="2"/>
        <v>N/TRANSITA</v>
      </c>
      <c r="J43" s="142">
        <v>12</v>
      </c>
      <c r="K43" s="149">
        <v>12</v>
      </c>
      <c r="L43" s="64"/>
      <c r="M43" s="40">
        <f t="shared" si="3"/>
        <v>12</v>
      </c>
      <c r="N43" s="62" t="str">
        <f t="shared" si="4"/>
        <v>TRANSITA</v>
      </c>
      <c r="O43" s="102"/>
      <c r="P43" s="106"/>
      <c r="Q43" s="64"/>
      <c r="R43" s="40">
        <f t="shared" si="5"/>
        <v>0</v>
      </c>
      <c r="S43" s="41">
        <f t="shared" si="0"/>
        <v>4</v>
      </c>
      <c r="T43" s="78" t="str">
        <f t="shared" si="6"/>
        <v>N/TRANSITA</v>
      </c>
    </row>
    <row r="44" spans="1:20" ht="14.25" customHeight="1" thickTop="1" thickBot="1" x14ac:dyDescent="0.35">
      <c r="B44" s="33">
        <v>36</v>
      </c>
      <c r="C44" s="124" t="s">
        <v>111</v>
      </c>
      <c r="D44" s="60"/>
      <c r="E44" s="91"/>
      <c r="F44" s="92"/>
      <c r="G44" s="92"/>
      <c r="H44" s="40">
        <f t="shared" si="1"/>
        <v>0</v>
      </c>
      <c r="I44" s="62" t="str">
        <f t="shared" si="2"/>
        <v>N/TRANSITA</v>
      </c>
      <c r="J44" s="142">
        <v>12</v>
      </c>
      <c r="K44" s="149">
        <v>12</v>
      </c>
      <c r="L44" s="64"/>
      <c r="M44" s="40">
        <f t="shared" si="3"/>
        <v>12</v>
      </c>
      <c r="N44" s="62" t="str">
        <f t="shared" si="4"/>
        <v>TRANSITA</v>
      </c>
      <c r="O44" s="102"/>
      <c r="P44" s="106"/>
      <c r="Q44" s="64"/>
      <c r="R44" s="40">
        <f t="shared" si="5"/>
        <v>0</v>
      </c>
      <c r="S44" s="41">
        <f t="shared" ref="S44:S46" si="16">SUM(H44,M44,R44)/3</f>
        <v>4</v>
      </c>
      <c r="T44" s="78" t="str">
        <f t="shared" si="6"/>
        <v>N/TRANSITA</v>
      </c>
    </row>
    <row r="45" spans="1:20" ht="14.25" customHeight="1" thickTop="1" thickBot="1" x14ac:dyDescent="0.35">
      <c r="B45" s="33">
        <v>37</v>
      </c>
      <c r="C45" s="123" t="s">
        <v>112</v>
      </c>
      <c r="D45" s="60"/>
      <c r="E45" s="91">
        <v>10</v>
      </c>
      <c r="F45" s="92">
        <v>3</v>
      </c>
      <c r="G45" s="92"/>
      <c r="H45" s="40">
        <f t="shared" si="1"/>
        <v>6.5</v>
      </c>
      <c r="I45" s="62" t="str">
        <f t="shared" si="2"/>
        <v>N/TRANSITA</v>
      </c>
      <c r="J45" s="142">
        <v>12</v>
      </c>
      <c r="K45" s="149">
        <v>12</v>
      </c>
      <c r="L45" s="64"/>
      <c r="M45" s="40">
        <f t="shared" si="3"/>
        <v>12</v>
      </c>
      <c r="N45" s="62" t="str">
        <f t="shared" si="4"/>
        <v>TRANSITA</v>
      </c>
      <c r="O45" s="102"/>
      <c r="P45" s="106"/>
      <c r="Q45" s="64"/>
      <c r="R45" s="40">
        <f t="shared" si="5"/>
        <v>0</v>
      </c>
      <c r="S45" s="41">
        <f t="shared" si="16"/>
        <v>6.166666666666667</v>
      </c>
      <c r="T45" s="78" t="str">
        <f t="shared" si="6"/>
        <v>N/TRANSITA</v>
      </c>
    </row>
    <row r="46" spans="1:20" ht="14.25" customHeight="1" thickTop="1" thickBot="1" x14ac:dyDescent="0.35">
      <c r="B46" s="33">
        <v>38</v>
      </c>
      <c r="C46" s="125" t="s">
        <v>113</v>
      </c>
      <c r="D46" s="61"/>
      <c r="E46" s="93"/>
      <c r="F46" s="94"/>
      <c r="G46" s="94"/>
      <c r="H46" s="146">
        <f t="shared" si="1"/>
        <v>0</v>
      </c>
      <c r="I46" s="72" t="str">
        <f t="shared" si="2"/>
        <v>N/TRANSITA</v>
      </c>
      <c r="J46" s="142">
        <v>12</v>
      </c>
      <c r="K46" s="149">
        <v>12</v>
      </c>
      <c r="L46" s="67"/>
      <c r="M46" s="146">
        <f t="shared" si="3"/>
        <v>12</v>
      </c>
      <c r="N46" s="72" t="str">
        <f t="shared" si="4"/>
        <v>TRANSITA</v>
      </c>
      <c r="O46" s="104"/>
      <c r="P46" s="107"/>
      <c r="Q46" s="67"/>
      <c r="R46" s="146">
        <f t="shared" si="5"/>
        <v>0</v>
      </c>
      <c r="S46" s="42">
        <f t="shared" si="16"/>
        <v>4</v>
      </c>
      <c r="T46" s="79" t="str">
        <f t="shared" si="6"/>
        <v>N/TRANSITA</v>
      </c>
    </row>
    <row r="47" spans="1:20" ht="93.75" customHeight="1" thickTop="1" x14ac:dyDescent="0.3">
      <c r="B47" s="19"/>
      <c r="C47" s="19"/>
      <c r="D47" s="19"/>
      <c r="E47" s="19"/>
      <c r="F47" s="19"/>
      <c r="G47" s="19"/>
      <c r="H47" s="19"/>
      <c r="I47" s="19"/>
      <c r="J47" s="19"/>
      <c r="O47" s="19"/>
      <c r="P47" s="19"/>
      <c r="Q47" s="19"/>
      <c r="R47" s="19"/>
      <c r="S47" s="19"/>
      <c r="T47" s="19"/>
    </row>
    <row r="48" spans="1:20" ht="20.25" customHeight="1" x14ac:dyDescent="0.45">
      <c r="A48" s="20"/>
      <c r="B48" s="20"/>
      <c r="C48" s="20"/>
      <c r="D48" s="20"/>
      <c r="E48" s="20"/>
      <c r="F48" s="20"/>
      <c r="G48" s="20"/>
      <c r="H48" s="20"/>
      <c r="I48" s="20"/>
      <c r="J48" s="20"/>
      <c r="O48" s="20"/>
      <c r="P48" s="21"/>
      <c r="Q48" s="21"/>
      <c r="R48" s="21"/>
      <c r="S48" s="20"/>
      <c r="T48" s="20"/>
    </row>
    <row r="49" spans="1:20" ht="15.6" x14ac:dyDescent="0.3">
      <c r="A49" s="248" t="s">
        <v>50</v>
      </c>
      <c r="B49" s="248"/>
      <c r="C49" s="248"/>
      <c r="D49" s="248"/>
      <c r="E49" s="248"/>
      <c r="F49" s="22"/>
      <c r="G49" s="22"/>
      <c r="H49" s="22"/>
      <c r="I49" s="22"/>
      <c r="J49" s="22"/>
      <c r="K49" s="23"/>
      <c r="L49" s="23"/>
      <c r="M49" s="23"/>
      <c r="N49" s="23"/>
      <c r="O49" s="248" t="s">
        <v>9</v>
      </c>
      <c r="P49" s="248"/>
      <c r="Q49" s="248"/>
      <c r="R49" s="248"/>
      <c r="S49" s="248"/>
      <c r="T49" s="248"/>
    </row>
    <row r="50" spans="1:20" ht="15.6" x14ac:dyDescent="0.3">
      <c r="A50" s="249" t="s">
        <v>21</v>
      </c>
      <c r="B50" s="249"/>
      <c r="C50" s="249"/>
      <c r="D50" s="249"/>
      <c r="E50" s="249"/>
      <c r="F50" s="24"/>
      <c r="G50" s="24"/>
      <c r="H50" s="24"/>
      <c r="I50" s="24"/>
      <c r="J50" s="24"/>
      <c r="O50" s="250" t="s">
        <v>22</v>
      </c>
      <c r="P50" s="250"/>
      <c r="Q50" s="250"/>
      <c r="R50" s="250"/>
      <c r="S50" s="250"/>
      <c r="T50" s="250"/>
    </row>
    <row r="51" spans="1:20" x14ac:dyDescent="0.3">
      <c r="A51" s="242"/>
      <c r="B51" s="242"/>
      <c r="C51" s="242"/>
      <c r="D51" s="242"/>
      <c r="E51" s="242"/>
      <c r="O51" s="242" t="s">
        <v>23</v>
      </c>
      <c r="P51" s="242"/>
      <c r="Q51" s="242"/>
      <c r="R51" s="242"/>
      <c r="S51" s="242"/>
      <c r="T51" s="242"/>
    </row>
  </sheetData>
  <mergeCells count="22">
    <mergeCell ref="B6:T6"/>
    <mergeCell ref="B5:C5"/>
    <mergeCell ref="A1:T1"/>
    <mergeCell ref="B3:R3"/>
    <mergeCell ref="B4:C4"/>
    <mergeCell ref="P4:T4"/>
    <mergeCell ref="N5:T5"/>
    <mergeCell ref="A51:E51"/>
    <mergeCell ref="O51:T51"/>
    <mergeCell ref="S7:S8"/>
    <mergeCell ref="T7:T8"/>
    <mergeCell ref="A49:E49"/>
    <mergeCell ref="O49:T49"/>
    <mergeCell ref="A50:E50"/>
    <mergeCell ref="O50:T50"/>
    <mergeCell ref="B7:B8"/>
    <mergeCell ref="C7:C8"/>
    <mergeCell ref="E7:H7"/>
    <mergeCell ref="J7:M7"/>
    <mergeCell ref="O7:R7"/>
    <mergeCell ref="I7:I8"/>
    <mergeCell ref="N7:N8"/>
  </mergeCells>
  <conditionalFormatting sqref="S9:S46">
    <cfRule type="cellIs" dxfId="179" priority="139" stopIfTrue="1" operator="greaterThan">
      <formula>9.5</formula>
    </cfRule>
    <cfRule type="cellIs" dxfId="178" priority="140" stopIfTrue="1" operator="lessThanOrEqual">
      <formula>9.5</formula>
    </cfRule>
  </conditionalFormatting>
  <conditionalFormatting sqref="H9:H46 M9:M46 R9:R46">
    <cfRule type="cellIs" dxfId="177" priority="109" stopIfTrue="1" operator="lessThan">
      <formula>10</formula>
    </cfRule>
    <cfRule type="cellIs" dxfId="176" priority="110" stopIfTrue="1" operator="greaterThanOrEqual">
      <formula>10</formula>
    </cfRule>
  </conditionalFormatting>
  <conditionalFormatting sqref="G17:G46 O9:Q46 J9:L46">
    <cfRule type="cellIs" dxfId="175" priority="45" stopIfTrue="1" operator="lessThan">
      <formula>10</formula>
    </cfRule>
    <cfRule type="cellIs" dxfId="174" priority="46" stopIfTrue="1" operator="greaterThan">
      <formula>9</formula>
    </cfRule>
    <cfRule type="cellIs" dxfId="173" priority="47" stopIfTrue="1" operator="lessThan">
      <formula>10</formula>
    </cfRule>
    <cfRule type="cellIs" dxfId="172" priority="48" stopIfTrue="1" operator="greaterThan">
      <formula>9</formula>
    </cfRule>
  </conditionalFormatting>
  <conditionalFormatting sqref="G9:G16">
    <cfRule type="cellIs" dxfId="171" priority="25" stopIfTrue="1" operator="lessThan">
      <formula>10</formula>
    </cfRule>
    <cfRule type="cellIs" dxfId="170" priority="26" stopIfTrue="1" operator="greaterThan">
      <formula>9</formula>
    </cfRule>
    <cfRule type="cellIs" dxfId="169" priority="27" stopIfTrue="1" operator="lessThan">
      <formula>10</formula>
    </cfRule>
    <cfRule type="cellIs" dxfId="168" priority="28" stopIfTrue="1" operator="greaterThan">
      <formula>9</formula>
    </cfRule>
  </conditionalFormatting>
  <conditionalFormatting sqref="E9:F46">
    <cfRule type="cellIs" dxfId="167" priority="1" stopIfTrue="1" operator="lessThan">
      <formula>10</formula>
    </cfRule>
    <cfRule type="cellIs" dxfId="166" priority="2" stopIfTrue="1" operator="greaterThan">
      <formula>9</formula>
    </cfRule>
    <cfRule type="cellIs" dxfId="165" priority="3" stopIfTrue="1" operator="lessThan">
      <formula>10</formula>
    </cfRule>
    <cfRule type="cellIs" dxfId="164" priority="4" stopIfTrue="1" operator="greaterThan">
      <formula>9</formula>
    </cfRule>
  </conditionalFormatting>
  <dataValidations count="1">
    <dataValidation type="decimal" allowBlank="1" showInputMessage="1" showErrorMessage="1" errorTitle="ATENÇÃO!" error="O valor introduzido não é válido. Grato!" sqref="E9:G46 O9:Q46 J9:L46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3073" r:id="rId4">
          <objectPr defaultSize="0" r:id="rId5">
            <anchor moveWithCells="1">
              <from>
                <xdr:col>1</xdr:col>
                <xdr:colOff>60960</xdr:colOff>
                <xdr:row>46</xdr:row>
                <xdr:rowOff>160020</xdr:rowOff>
              </from>
              <to>
                <xdr:col>13</xdr:col>
                <xdr:colOff>175260</xdr:colOff>
                <xdr:row>48</xdr:row>
                <xdr:rowOff>22860</xdr:rowOff>
              </to>
            </anchor>
          </objectPr>
        </oleObject>
      </mc:Choice>
      <mc:Fallback>
        <oleObject progId="Word.Document.8" shapeId="3073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5" stopIfTrue="1" operator="containsText" id="{111C082C-C183-4C8C-AB4F-C2B7C51C8260}">
            <xm:f>NOT(ISERROR(SEARCH("N/TRANSITA",I9)))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56" stopIfTrue="1" operator="containsText" id="{E8418621-1852-4C05-8FFC-775CDDA51CD4}">
            <xm:f>NOT(ISERROR(SEARCH("TRANSITA",I9)))</xm:f>
            <xm:f>"TRANSITA"</xm:f>
            <x14:dxf>
              <font>
                <b/>
                <i val="0"/>
                <color rgb="FF0000FF"/>
              </font>
            </x14:dxf>
          </x14:cfRule>
          <xm:sqref>N9:N46 T9:T46 I9:I46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W51"/>
  <sheetViews>
    <sheetView showGridLines="0" topLeftCell="C37" zoomScale="115" zoomScaleNormal="115" zoomScalePageLayoutView="85" workbookViewId="0">
      <selection activeCell="E9" sqref="E9:K46"/>
    </sheetView>
  </sheetViews>
  <sheetFormatPr defaultRowHeight="14.4" x14ac:dyDescent="0.3"/>
  <cols>
    <col min="1" max="1" width="1.6640625" customWidth="1"/>
    <col min="2" max="2" width="3.6640625" customWidth="1"/>
    <col min="3" max="3" width="35.109375" customWidth="1"/>
    <col min="4" max="4" width="6.44140625" customWidth="1"/>
    <col min="5" max="8" width="5.109375" customWidth="1"/>
    <col min="9" max="9" width="11.109375" customWidth="1"/>
    <col min="10" max="13" width="5.109375" customWidth="1"/>
    <col min="14" max="14" width="11.109375" customWidth="1"/>
    <col min="15" max="18" width="5.109375" customWidth="1"/>
    <col min="19" max="19" width="6" customWidth="1"/>
    <col min="20" max="20" width="11.5546875" customWidth="1"/>
    <col min="21" max="21" width="3.44140625" customWidth="1"/>
    <col min="22" max="22" width="5" customWidth="1"/>
  </cols>
  <sheetData>
    <row r="1" spans="1:23" ht="30" customHeight="1" x14ac:dyDescent="0.3">
      <c r="A1" s="261" t="s">
        <v>43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</row>
    <row r="2" spans="1:23" ht="30" customHeight="1" x14ac:dyDescent="0.3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23" ht="12" customHeight="1" x14ac:dyDescent="0.3"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</row>
    <row r="4" spans="1:23" ht="17.399999999999999" customHeight="1" x14ac:dyDescent="0.3">
      <c r="B4" s="262" t="s">
        <v>57</v>
      </c>
      <c r="C4" s="262"/>
      <c r="D4" s="127"/>
      <c r="F4" s="73"/>
      <c r="G4" s="73"/>
      <c r="I4" s="73" t="s">
        <v>56</v>
      </c>
      <c r="J4" s="73"/>
      <c r="K4" s="73"/>
      <c r="L4" s="73"/>
      <c r="M4" s="73"/>
      <c r="N4" s="127"/>
      <c r="P4" s="243" t="s">
        <v>55</v>
      </c>
      <c r="Q4" s="243"/>
      <c r="R4" s="243"/>
      <c r="S4" s="243"/>
      <c r="T4" s="243"/>
    </row>
    <row r="5" spans="1:23" ht="18" customHeight="1" x14ac:dyDescent="0.3">
      <c r="B5" s="262" t="s">
        <v>64</v>
      </c>
      <c r="C5" s="262"/>
      <c r="D5" s="127"/>
      <c r="E5" s="74" t="s">
        <v>52</v>
      </c>
      <c r="F5" s="74"/>
      <c r="I5" s="74" t="s">
        <v>67</v>
      </c>
      <c r="J5" s="74"/>
      <c r="K5" s="74"/>
      <c r="N5" s="263" t="s">
        <v>66</v>
      </c>
      <c r="O5" s="263"/>
      <c r="P5" s="263"/>
      <c r="Q5" s="263"/>
      <c r="R5" s="263"/>
      <c r="S5" s="263"/>
      <c r="T5" s="263"/>
    </row>
    <row r="6" spans="1:23" ht="34.5" customHeight="1" thickBot="1" x14ac:dyDescent="1.05">
      <c r="B6" s="258" t="s">
        <v>41</v>
      </c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60"/>
    </row>
    <row r="7" spans="1:23" ht="19.5" customHeight="1" thickTop="1" x14ac:dyDescent="0.3">
      <c r="B7" s="251" t="s">
        <v>35</v>
      </c>
      <c r="C7" s="253" t="s">
        <v>13</v>
      </c>
      <c r="D7" s="43" t="s">
        <v>39</v>
      </c>
      <c r="E7" s="255" t="s">
        <v>36</v>
      </c>
      <c r="F7" s="256"/>
      <c r="G7" s="256"/>
      <c r="H7" s="257"/>
      <c r="I7" s="246" t="s">
        <v>15</v>
      </c>
      <c r="J7" s="255" t="s">
        <v>37</v>
      </c>
      <c r="K7" s="256"/>
      <c r="L7" s="256"/>
      <c r="M7" s="257"/>
      <c r="N7" s="246" t="s">
        <v>15</v>
      </c>
      <c r="O7" s="255" t="s">
        <v>38</v>
      </c>
      <c r="P7" s="256"/>
      <c r="Q7" s="256"/>
      <c r="R7" s="257"/>
      <c r="S7" s="244" t="s">
        <v>14</v>
      </c>
      <c r="T7" s="246" t="s">
        <v>15</v>
      </c>
    </row>
    <row r="8" spans="1:23" ht="20.25" customHeight="1" thickBot="1" x14ac:dyDescent="0.35">
      <c r="B8" s="252"/>
      <c r="C8" s="254"/>
      <c r="D8" s="44" t="s">
        <v>40</v>
      </c>
      <c r="E8" s="36" t="s">
        <v>16</v>
      </c>
      <c r="F8" s="35" t="s">
        <v>17</v>
      </c>
      <c r="G8" s="35" t="s">
        <v>34</v>
      </c>
      <c r="H8" s="37" t="s">
        <v>18</v>
      </c>
      <c r="I8" s="247"/>
      <c r="J8" s="36" t="s">
        <v>16</v>
      </c>
      <c r="K8" s="35" t="s">
        <v>17</v>
      </c>
      <c r="L8" s="35" t="s">
        <v>34</v>
      </c>
      <c r="M8" s="37" t="s">
        <v>19</v>
      </c>
      <c r="N8" s="247"/>
      <c r="O8" s="36" t="s">
        <v>16</v>
      </c>
      <c r="P8" s="35" t="s">
        <v>17</v>
      </c>
      <c r="Q8" s="35" t="s">
        <v>34</v>
      </c>
      <c r="R8" s="37" t="s">
        <v>20</v>
      </c>
      <c r="S8" s="245"/>
      <c r="T8" s="247"/>
    </row>
    <row r="9" spans="1:23" ht="14.25" customHeight="1" thickTop="1" x14ac:dyDescent="0.3">
      <c r="B9" s="129">
        <v>1</v>
      </c>
      <c r="C9" s="122" t="s">
        <v>79</v>
      </c>
      <c r="D9" s="130"/>
      <c r="E9" s="179">
        <v>18</v>
      </c>
      <c r="F9" s="180">
        <v>13</v>
      </c>
      <c r="G9" s="180"/>
      <c r="H9" s="181">
        <f>AVERAGE(E9,MAX(F9:G9))</f>
        <v>15.5</v>
      </c>
      <c r="I9" s="182" t="str">
        <f>IF(H9&gt;=10,"TRANSITA","N/TRANSITA")</f>
        <v>TRANSITA</v>
      </c>
      <c r="J9" s="183">
        <v>13</v>
      </c>
      <c r="K9" s="184">
        <v>14</v>
      </c>
      <c r="L9" s="150"/>
      <c r="M9" s="140">
        <f>AVERAGE(J9,MAX(K9:L9))</f>
        <v>13.5</v>
      </c>
      <c r="N9" s="141" t="str">
        <f>IF(M9&gt;=10,"TRANSITA","N/TRANSITA")</f>
        <v>TRANSITA</v>
      </c>
      <c r="O9" s="142"/>
      <c r="P9" s="149"/>
      <c r="Q9" s="150"/>
      <c r="R9" s="140">
        <f>AVERAGE(O9,MAX(P9:Q9))</f>
        <v>0</v>
      </c>
      <c r="S9" s="145">
        <f t="shared" ref="S9:S46" si="0">SUM(H9,M9,R9)/3</f>
        <v>9.6666666666666661</v>
      </c>
      <c r="T9" s="77" t="str">
        <f>IF(S9&gt;=10,"TRANSITA","N/TRANSITA")</f>
        <v>N/TRANSITA</v>
      </c>
    </row>
    <row r="10" spans="1:23" ht="14.25" customHeight="1" x14ac:dyDescent="0.3">
      <c r="B10" s="33">
        <v>2</v>
      </c>
      <c r="C10" s="124" t="s">
        <v>80</v>
      </c>
      <c r="D10" s="60"/>
      <c r="E10" s="185"/>
      <c r="F10" s="186"/>
      <c r="G10" s="186"/>
      <c r="H10" s="187">
        <f t="shared" ref="H10:H46" si="1">AVERAGE(E10,MAX(F10:G10))</f>
        <v>0</v>
      </c>
      <c r="I10" s="188" t="str">
        <f t="shared" ref="I10:I46" si="2">IF(H10&gt;=10,"TRANSITA","N/TRANSITA")</f>
        <v>N/TRANSITA</v>
      </c>
      <c r="J10" s="189">
        <v>8</v>
      </c>
      <c r="K10" s="190">
        <v>1</v>
      </c>
      <c r="L10" s="64"/>
      <c r="M10" s="40">
        <f t="shared" ref="M10:M46" si="3">AVERAGE(J10,MAX(K10:L10))</f>
        <v>4.5</v>
      </c>
      <c r="N10" s="62" t="str">
        <f t="shared" ref="N10:N46" si="4">IF(M10&gt;=10,"TRANSITA","N/TRANSITA")</f>
        <v>N/TRANSITA</v>
      </c>
      <c r="O10" s="102"/>
      <c r="P10" s="106"/>
      <c r="Q10" s="64"/>
      <c r="R10" s="40">
        <f t="shared" ref="R10:R46" si="5">AVERAGE(O10,MAX(P10:Q10))</f>
        <v>0</v>
      </c>
      <c r="S10" s="41">
        <f t="shared" si="0"/>
        <v>1.5</v>
      </c>
      <c r="T10" s="78" t="str">
        <f t="shared" ref="T10:T46" si="6">IF(S10&gt;=10,"TRANSITA","N/TRANSITA")</f>
        <v>N/TRANSITA</v>
      </c>
    </row>
    <row r="11" spans="1:23" ht="14.25" customHeight="1" x14ac:dyDescent="0.3">
      <c r="B11" s="33">
        <v>3</v>
      </c>
      <c r="C11" s="123" t="s">
        <v>81</v>
      </c>
      <c r="D11" s="60"/>
      <c r="E11" s="185"/>
      <c r="F11" s="186"/>
      <c r="G11" s="186"/>
      <c r="H11" s="187">
        <f t="shared" si="1"/>
        <v>0</v>
      </c>
      <c r="I11" s="188" t="str">
        <f t="shared" si="2"/>
        <v>N/TRANSITA</v>
      </c>
      <c r="J11" s="189"/>
      <c r="K11" s="190"/>
      <c r="L11" s="64"/>
      <c r="M11" s="40">
        <f t="shared" si="3"/>
        <v>0</v>
      </c>
      <c r="N11" s="62" t="str">
        <f t="shared" si="4"/>
        <v>N/TRANSITA</v>
      </c>
      <c r="O11" s="102"/>
      <c r="P11" s="106"/>
      <c r="Q11" s="64"/>
      <c r="R11" s="40">
        <f t="shared" si="5"/>
        <v>0</v>
      </c>
      <c r="S11" s="41">
        <f t="shared" si="0"/>
        <v>0</v>
      </c>
      <c r="T11" s="78" t="str">
        <f t="shared" si="6"/>
        <v>N/TRANSITA</v>
      </c>
    </row>
    <row r="12" spans="1:23" ht="14.25" customHeight="1" x14ac:dyDescent="0.3">
      <c r="B12" s="33">
        <v>4</v>
      </c>
      <c r="C12" s="123" t="s">
        <v>82</v>
      </c>
      <c r="D12" s="60"/>
      <c r="E12" s="185">
        <v>12</v>
      </c>
      <c r="F12" s="186">
        <v>7</v>
      </c>
      <c r="G12" s="186">
        <v>10</v>
      </c>
      <c r="H12" s="187">
        <f t="shared" si="1"/>
        <v>11</v>
      </c>
      <c r="I12" s="188" t="str">
        <f t="shared" si="2"/>
        <v>TRANSITA</v>
      </c>
      <c r="J12" s="189">
        <v>10</v>
      </c>
      <c r="K12" s="190">
        <v>6</v>
      </c>
      <c r="L12" s="64"/>
      <c r="M12" s="40">
        <f t="shared" si="3"/>
        <v>8</v>
      </c>
      <c r="N12" s="62" t="str">
        <f t="shared" si="4"/>
        <v>N/TRANSITA</v>
      </c>
      <c r="O12" s="102"/>
      <c r="P12" s="106"/>
      <c r="Q12" s="64"/>
      <c r="R12" s="40">
        <f t="shared" si="5"/>
        <v>0</v>
      </c>
      <c r="S12" s="41">
        <f t="shared" si="0"/>
        <v>6.333333333333333</v>
      </c>
      <c r="T12" s="78" t="str">
        <f t="shared" si="6"/>
        <v>N/TRANSITA</v>
      </c>
    </row>
    <row r="13" spans="1:23" ht="14.25" customHeight="1" x14ac:dyDescent="0.3">
      <c r="B13" s="33">
        <v>5</v>
      </c>
      <c r="C13" s="124" t="s">
        <v>83</v>
      </c>
      <c r="D13" s="60"/>
      <c r="E13" s="185">
        <v>13</v>
      </c>
      <c r="F13" s="186">
        <v>8.5</v>
      </c>
      <c r="G13" s="186"/>
      <c r="H13" s="187">
        <f t="shared" si="1"/>
        <v>10.75</v>
      </c>
      <c r="I13" s="188" t="str">
        <f t="shared" si="2"/>
        <v>TRANSITA</v>
      </c>
      <c r="J13" s="189">
        <v>8</v>
      </c>
      <c r="K13" s="190">
        <v>10.5</v>
      </c>
      <c r="L13" s="64"/>
      <c r="M13" s="40">
        <f t="shared" si="3"/>
        <v>9.25</v>
      </c>
      <c r="N13" s="62" t="str">
        <f t="shared" si="4"/>
        <v>N/TRANSITA</v>
      </c>
      <c r="O13" s="102"/>
      <c r="P13" s="106"/>
      <c r="Q13" s="64"/>
      <c r="R13" s="40">
        <f t="shared" si="5"/>
        <v>0</v>
      </c>
      <c r="S13" s="41">
        <f t="shared" si="0"/>
        <v>6.666666666666667</v>
      </c>
      <c r="T13" s="78" t="str">
        <f t="shared" si="6"/>
        <v>N/TRANSITA</v>
      </c>
      <c r="U13" s="18"/>
      <c r="V13" s="18"/>
      <c r="W13" s="18"/>
    </row>
    <row r="14" spans="1:23" ht="14.25" customHeight="1" x14ac:dyDescent="0.3">
      <c r="B14" s="33">
        <v>6</v>
      </c>
      <c r="C14" s="123" t="s">
        <v>84</v>
      </c>
      <c r="D14" s="60"/>
      <c r="E14" s="185">
        <v>13</v>
      </c>
      <c r="F14" s="186">
        <v>8</v>
      </c>
      <c r="G14" s="186"/>
      <c r="H14" s="187">
        <f t="shared" si="1"/>
        <v>10.5</v>
      </c>
      <c r="I14" s="188" t="str">
        <f t="shared" si="2"/>
        <v>TRANSITA</v>
      </c>
      <c r="J14" s="189">
        <v>0</v>
      </c>
      <c r="K14" s="190">
        <v>5.5</v>
      </c>
      <c r="L14" s="64"/>
      <c r="M14" s="40">
        <f t="shared" si="3"/>
        <v>2.75</v>
      </c>
      <c r="N14" s="62" t="str">
        <f t="shared" si="4"/>
        <v>N/TRANSITA</v>
      </c>
      <c r="O14" s="102"/>
      <c r="P14" s="106"/>
      <c r="Q14" s="64"/>
      <c r="R14" s="40">
        <f t="shared" si="5"/>
        <v>0</v>
      </c>
      <c r="S14" s="41">
        <f t="shared" si="0"/>
        <v>4.416666666666667</v>
      </c>
      <c r="T14" s="78" t="str">
        <f t="shared" si="6"/>
        <v>N/TRANSITA</v>
      </c>
    </row>
    <row r="15" spans="1:23" ht="14.25" customHeight="1" x14ac:dyDescent="0.3">
      <c r="B15" s="33">
        <v>7</v>
      </c>
      <c r="C15" s="123" t="s">
        <v>85</v>
      </c>
      <c r="D15" s="60"/>
      <c r="E15" s="185">
        <v>18</v>
      </c>
      <c r="F15" s="186">
        <v>10</v>
      </c>
      <c r="G15" s="186"/>
      <c r="H15" s="187">
        <f t="shared" si="1"/>
        <v>14</v>
      </c>
      <c r="I15" s="188" t="str">
        <f t="shared" si="2"/>
        <v>TRANSITA</v>
      </c>
      <c r="J15" s="189">
        <v>13</v>
      </c>
      <c r="K15" s="190">
        <v>14.5</v>
      </c>
      <c r="L15" s="64"/>
      <c r="M15" s="40">
        <f t="shared" si="3"/>
        <v>13.75</v>
      </c>
      <c r="N15" s="62" t="str">
        <f t="shared" si="4"/>
        <v>TRANSITA</v>
      </c>
      <c r="O15" s="102"/>
      <c r="P15" s="106"/>
      <c r="Q15" s="64"/>
      <c r="R15" s="40">
        <f t="shared" si="5"/>
        <v>0</v>
      </c>
      <c r="S15" s="41">
        <f t="shared" si="0"/>
        <v>9.25</v>
      </c>
      <c r="T15" s="78" t="str">
        <f t="shared" si="6"/>
        <v>N/TRANSITA</v>
      </c>
    </row>
    <row r="16" spans="1:23" ht="14.25" customHeight="1" x14ac:dyDescent="0.3">
      <c r="B16" s="33">
        <v>8</v>
      </c>
      <c r="C16" s="124" t="s">
        <v>86</v>
      </c>
      <c r="D16" s="60"/>
      <c r="E16" s="185">
        <v>12</v>
      </c>
      <c r="F16" s="186">
        <v>3.5</v>
      </c>
      <c r="G16" s="186"/>
      <c r="H16" s="187">
        <f t="shared" si="1"/>
        <v>7.75</v>
      </c>
      <c r="I16" s="188" t="str">
        <f t="shared" si="2"/>
        <v>N/TRANSITA</v>
      </c>
      <c r="J16" s="189">
        <v>0</v>
      </c>
      <c r="K16" s="190">
        <v>6.5</v>
      </c>
      <c r="L16" s="64"/>
      <c r="M16" s="40">
        <f t="shared" si="3"/>
        <v>3.25</v>
      </c>
      <c r="N16" s="62" t="str">
        <f t="shared" si="4"/>
        <v>N/TRANSITA</v>
      </c>
      <c r="O16" s="102"/>
      <c r="P16" s="106"/>
      <c r="Q16" s="64"/>
      <c r="R16" s="40">
        <f t="shared" si="5"/>
        <v>0</v>
      </c>
      <c r="S16" s="41">
        <f t="shared" si="0"/>
        <v>3.6666666666666665</v>
      </c>
      <c r="T16" s="78" t="str">
        <f t="shared" si="6"/>
        <v>N/TRANSITA</v>
      </c>
    </row>
    <row r="17" spans="2:20" ht="14.25" customHeight="1" x14ac:dyDescent="0.3">
      <c r="B17" s="33">
        <v>9</v>
      </c>
      <c r="C17" s="123" t="s">
        <v>87</v>
      </c>
      <c r="D17" s="60"/>
      <c r="E17" s="185">
        <v>17</v>
      </c>
      <c r="F17" s="186">
        <v>13</v>
      </c>
      <c r="G17" s="186"/>
      <c r="H17" s="187">
        <f t="shared" si="1"/>
        <v>15</v>
      </c>
      <c r="I17" s="188" t="str">
        <f t="shared" si="2"/>
        <v>TRANSITA</v>
      </c>
      <c r="J17" s="185">
        <v>10</v>
      </c>
      <c r="K17" s="186">
        <v>8.5</v>
      </c>
      <c r="L17" s="64"/>
      <c r="M17" s="40">
        <f t="shared" si="3"/>
        <v>9.25</v>
      </c>
      <c r="N17" s="62" t="str">
        <f t="shared" si="4"/>
        <v>N/TRANSITA</v>
      </c>
      <c r="O17" s="102"/>
      <c r="P17" s="106"/>
      <c r="Q17" s="64"/>
      <c r="R17" s="40">
        <f t="shared" si="5"/>
        <v>0</v>
      </c>
      <c r="S17" s="41">
        <f t="shared" si="0"/>
        <v>8.0833333333333339</v>
      </c>
      <c r="T17" s="78" t="str">
        <f t="shared" si="6"/>
        <v>N/TRANSITA</v>
      </c>
    </row>
    <row r="18" spans="2:20" ht="14.25" customHeight="1" x14ac:dyDescent="0.3">
      <c r="B18" s="33">
        <v>10</v>
      </c>
      <c r="C18" s="124" t="s">
        <v>88</v>
      </c>
      <c r="D18" s="60"/>
      <c r="E18" s="185">
        <v>10</v>
      </c>
      <c r="F18" s="186">
        <v>3.5</v>
      </c>
      <c r="G18" s="186"/>
      <c r="H18" s="187">
        <f t="shared" si="1"/>
        <v>6.75</v>
      </c>
      <c r="I18" s="188" t="str">
        <f t="shared" si="2"/>
        <v>N/TRANSITA</v>
      </c>
      <c r="J18" s="189">
        <v>0</v>
      </c>
      <c r="K18" s="190">
        <v>7</v>
      </c>
      <c r="L18" s="64"/>
      <c r="M18" s="40">
        <f t="shared" si="3"/>
        <v>3.5</v>
      </c>
      <c r="N18" s="62" t="str">
        <f t="shared" si="4"/>
        <v>N/TRANSITA</v>
      </c>
      <c r="O18" s="102"/>
      <c r="P18" s="106"/>
      <c r="Q18" s="64"/>
      <c r="R18" s="40">
        <f t="shared" si="5"/>
        <v>0</v>
      </c>
      <c r="S18" s="41">
        <f t="shared" si="0"/>
        <v>3.4166666666666665</v>
      </c>
      <c r="T18" s="78" t="str">
        <f t="shared" si="6"/>
        <v>N/TRANSITA</v>
      </c>
    </row>
    <row r="19" spans="2:20" ht="14.25" customHeight="1" x14ac:dyDescent="0.3">
      <c r="B19" s="33">
        <v>11</v>
      </c>
      <c r="C19" s="123" t="s">
        <v>89</v>
      </c>
      <c r="D19" s="60"/>
      <c r="E19" s="185"/>
      <c r="F19" s="186"/>
      <c r="G19" s="186"/>
      <c r="H19" s="187">
        <f t="shared" si="1"/>
        <v>0</v>
      </c>
      <c r="I19" s="188" t="str">
        <f t="shared" si="2"/>
        <v>N/TRANSITA</v>
      </c>
      <c r="J19" s="189"/>
      <c r="K19" s="190"/>
      <c r="L19" s="64"/>
      <c r="M19" s="40">
        <f t="shared" si="3"/>
        <v>0</v>
      </c>
      <c r="N19" s="62" t="str">
        <f t="shared" si="4"/>
        <v>N/TRANSITA</v>
      </c>
      <c r="O19" s="102"/>
      <c r="P19" s="106"/>
      <c r="Q19" s="64"/>
      <c r="R19" s="40">
        <f t="shared" si="5"/>
        <v>0</v>
      </c>
      <c r="S19" s="41">
        <f t="shared" si="0"/>
        <v>0</v>
      </c>
      <c r="T19" s="78" t="str">
        <f t="shared" si="6"/>
        <v>N/TRANSITA</v>
      </c>
    </row>
    <row r="20" spans="2:20" ht="14.25" customHeight="1" x14ac:dyDescent="0.3">
      <c r="B20" s="33">
        <v>12</v>
      </c>
      <c r="C20" s="124" t="s">
        <v>90</v>
      </c>
      <c r="D20" s="60"/>
      <c r="E20" s="185">
        <v>10</v>
      </c>
      <c r="F20" s="186">
        <v>7</v>
      </c>
      <c r="G20" s="186"/>
      <c r="H20" s="187">
        <f t="shared" si="1"/>
        <v>8.5</v>
      </c>
      <c r="I20" s="188" t="str">
        <f t="shared" si="2"/>
        <v>N/TRANSITA</v>
      </c>
      <c r="J20" s="189"/>
      <c r="K20" s="190"/>
      <c r="L20" s="64"/>
      <c r="M20" s="40">
        <f t="shared" si="3"/>
        <v>0</v>
      </c>
      <c r="N20" s="62" t="str">
        <f t="shared" si="4"/>
        <v>N/TRANSITA</v>
      </c>
      <c r="O20" s="102"/>
      <c r="P20" s="106"/>
      <c r="Q20" s="64"/>
      <c r="R20" s="40">
        <f t="shared" si="5"/>
        <v>0</v>
      </c>
      <c r="S20" s="41">
        <f t="shared" si="0"/>
        <v>2.8333333333333335</v>
      </c>
      <c r="T20" s="78" t="str">
        <f t="shared" si="6"/>
        <v>N/TRANSITA</v>
      </c>
    </row>
    <row r="21" spans="2:20" ht="14.25" customHeight="1" x14ac:dyDescent="0.3">
      <c r="B21" s="33">
        <v>13</v>
      </c>
      <c r="C21" s="123" t="s">
        <v>91</v>
      </c>
      <c r="D21" s="60"/>
      <c r="E21" s="185"/>
      <c r="F21" s="186"/>
      <c r="G21" s="186"/>
      <c r="H21" s="187">
        <f t="shared" si="1"/>
        <v>0</v>
      </c>
      <c r="I21" s="188" t="str">
        <f t="shared" si="2"/>
        <v>N/TRANSITA</v>
      </c>
      <c r="J21" s="189"/>
      <c r="K21" s="190"/>
      <c r="L21" s="64"/>
      <c r="M21" s="40">
        <f t="shared" si="3"/>
        <v>0</v>
      </c>
      <c r="N21" s="62" t="str">
        <f t="shared" si="4"/>
        <v>N/TRANSITA</v>
      </c>
      <c r="O21" s="102"/>
      <c r="P21" s="106"/>
      <c r="Q21" s="64"/>
      <c r="R21" s="40">
        <f t="shared" si="5"/>
        <v>0</v>
      </c>
      <c r="S21" s="41">
        <f t="shared" si="0"/>
        <v>0</v>
      </c>
      <c r="T21" s="78" t="str">
        <f t="shared" si="6"/>
        <v>N/TRANSITA</v>
      </c>
    </row>
    <row r="22" spans="2:20" ht="14.25" customHeight="1" x14ac:dyDescent="0.3">
      <c r="B22" s="33">
        <v>14</v>
      </c>
      <c r="C22" s="123" t="s">
        <v>92</v>
      </c>
      <c r="D22" s="60"/>
      <c r="E22" s="185">
        <v>15</v>
      </c>
      <c r="F22" s="186">
        <v>9.5</v>
      </c>
      <c r="G22" s="186">
        <v>15</v>
      </c>
      <c r="H22" s="187">
        <f t="shared" si="1"/>
        <v>15</v>
      </c>
      <c r="I22" s="188" t="str">
        <f t="shared" si="2"/>
        <v>TRANSITA</v>
      </c>
      <c r="J22" s="189">
        <v>12</v>
      </c>
      <c r="K22" s="190">
        <v>7</v>
      </c>
      <c r="L22" s="64"/>
      <c r="M22" s="40">
        <f t="shared" si="3"/>
        <v>9.5</v>
      </c>
      <c r="N22" s="62" t="str">
        <f t="shared" si="4"/>
        <v>N/TRANSITA</v>
      </c>
      <c r="O22" s="102"/>
      <c r="P22" s="106"/>
      <c r="Q22" s="64"/>
      <c r="R22" s="40">
        <f t="shared" si="5"/>
        <v>0</v>
      </c>
      <c r="S22" s="41">
        <f t="shared" si="0"/>
        <v>8.1666666666666661</v>
      </c>
      <c r="T22" s="78" t="str">
        <f t="shared" si="6"/>
        <v>N/TRANSITA</v>
      </c>
    </row>
    <row r="23" spans="2:20" ht="14.25" customHeight="1" x14ac:dyDescent="0.3">
      <c r="B23" s="33">
        <v>15</v>
      </c>
      <c r="C23" s="124" t="s">
        <v>114</v>
      </c>
      <c r="D23" s="60"/>
      <c r="E23" s="185"/>
      <c r="F23" s="186"/>
      <c r="G23" s="186"/>
      <c r="H23" s="187">
        <f t="shared" si="1"/>
        <v>0</v>
      </c>
      <c r="I23" s="188" t="str">
        <f t="shared" si="2"/>
        <v>N/TRANSITA</v>
      </c>
      <c r="J23" s="189">
        <v>0</v>
      </c>
      <c r="K23" s="190">
        <v>7.5</v>
      </c>
      <c r="L23" s="64"/>
      <c r="M23" s="40">
        <f t="shared" si="3"/>
        <v>3.75</v>
      </c>
      <c r="N23" s="62" t="str">
        <f t="shared" si="4"/>
        <v>N/TRANSITA</v>
      </c>
      <c r="O23" s="102"/>
      <c r="P23" s="106"/>
      <c r="Q23" s="64"/>
      <c r="R23" s="40">
        <f t="shared" si="5"/>
        <v>0</v>
      </c>
      <c r="S23" s="41">
        <f t="shared" si="0"/>
        <v>1.25</v>
      </c>
      <c r="T23" s="78" t="str">
        <f t="shared" si="6"/>
        <v>N/TRANSITA</v>
      </c>
    </row>
    <row r="24" spans="2:20" ht="14.25" customHeight="1" x14ac:dyDescent="0.3">
      <c r="B24" s="33">
        <v>16</v>
      </c>
      <c r="C24" s="124" t="s">
        <v>93</v>
      </c>
      <c r="D24" s="60"/>
      <c r="E24" s="185">
        <v>12</v>
      </c>
      <c r="F24" s="186">
        <v>7</v>
      </c>
      <c r="G24" s="186"/>
      <c r="H24" s="187">
        <f t="shared" si="1"/>
        <v>9.5</v>
      </c>
      <c r="I24" s="188" t="str">
        <f t="shared" si="2"/>
        <v>N/TRANSITA</v>
      </c>
      <c r="J24" s="189">
        <v>8</v>
      </c>
      <c r="K24" s="190">
        <v>6.5</v>
      </c>
      <c r="L24" s="64"/>
      <c r="M24" s="40">
        <f t="shared" si="3"/>
        <v>7.25</v>
      </c>
      <c r="N24" s="62" t="str">
        <f t="shared" si="4"/>
        <v>N/TRANSITA</v>
      </c>
      <c r="O24" s="102"/>
      <c r="P24" s="106"/>
      <c r="Q24" s="64"/>
      <c r="R24" s="40">
        <f t="shared" si="5"/>
        <v>0</v>
      </c>
      <c r="S24" s="41">
        <f t="shared" si="0"/>
        <v>5.583333333333333</v>
      </c>
      <c r="T24" s="78" t="str">
        <f t="shared" si="6"/>
        <v>N/TRANSITA</v>
      </c>
    </row>
    <row r="25" spans="2:20" ht="14.25" customHeight="1" x14ac:dyDescent="0.3">
      <c r="B25" s="33">
        <v>17</v>
      </c>
      <c r="C25" s="123" t="s">
        <v>94</v>
      </c>
      <c r="D25" s="60"/>
      <c r="E25" s="185"/>
      <c r="F25" s="186"/>
      <c r="G25" s="186"/>
      <c r="H25" s="187">
        <f t="shared" si="1"/>
        <v>0</v>
      </c>
      <c r="I25" s="188" t="str">
        <f t="shared" si="2"/>
        <v>N/TRANSITA</v>
      </c>
      <c r="J25" s="189"/>
      <c r="K25" s="190"/>
      <c r="L25" s="64"/>
      <c r="M25" s="40">
        <f t="shared" si="3"/>
        <v>0</v>
      </c>
      <c r="N25" s="62" t="str">
        <f t="shared" si="4"/>
        <v>N/TRANSITA</v>
      </c>
      <c r="O25" s="102"/>
      <c r="P25" s="106"/>
      <c r="Q25" s="64"/>
      <c r="R25" s="40">
        <f t="shared" si="5"/>
        <v>0</v>
      </c>
      <c r="S25" s="41">
        <f t="shared" si="0"/>
        <v>0</v>
      </c>
      <c r="T25" s="78" t="str">
        <f t="shared" si="6"/>
        <v>N/TRANSITA</v>
      </c>
    </row>
    <row r="26" spans="2:20" ht="14.25" customHeight="1" x14ac:dyDescent="0.3">
      <c r="B26" s="33">
        <v>18</v>
      </c>
      <c r="C26" s="124" t="s">
        <v>95</v>
      </c>
      <c r="D26" s="60"/>
      <c r="E26" s="185">
        <v>11</v>
      </c>
      <c r="F26" s="186">
        <v>7</v>
      </c>
      <c r="G26" s="186"/>
      <c r="H26" s="187">
        <f t="shared" si="1"/>
        <v>9</v>
      </c>
      <c r="I26" s="188" t="str">
        <f t="shared" si="2"/>
        <v>N/TRANSITA</v>
      </c>
      <c r="J26" s="189">
        <v>0</v>
      </c>
      <c r="K26" s="190">
        <v>0.5</v>
      </c>
      <c r="L26" s="64"/>
      <c r="M26" s="40">
        <f t="shared" si="3"/>
        <v>0.25</v>
      </c>
      <c r="N26" s="62" t="str">
        <f t="shared" si="4"/>
        <v>N/TRANSITA</v>
      </c>
      <c r="O26" s="102"/>
      <c r="P26" s="106"/>
      <c r="Q26" s="64"/>
      <c r="R26" s="40">
        <f t="shared" si="5"/>
        <v>0</v>
      </c>
      <c r="S26" s="41">
        <f t="shared" si="0"/>
        <v>3.0833333333333335</v>
      </c>
      <c r="T26" s="78" t="str">
        <f t="shared" si="6"/>
        <v>N/TRANSITA</v>
      </c>
    </row>
    <row r="27" spans="2:20" ht="14.25" customHeight="1" x14ac:dyDescent="0.3">
      <c r="B27" s="33">
        <v>19</v>
      </c>
      <c r="C27" s="124" t="s">
        <v>96</v>
      </c>
      <c r="D27" s="60"/>
      <c r="E27" s="185">
        <v>10</v>
      </c>
      <c r="F27" s="186"/>
      <c r="G27" s="186"/>
      <c r="H27" s="187">
        <f t="shared" si="1"/>
        <v>5</v>
      </c>
      <c r="I27" s="188" t="str">
        <f t="shared" si="2"/>
        <v>N/TRANSITA</v>
      </c>
      <c r="J27" s="189"/>
      <c r="K27" s="190"/>
      <c r="L27" s="64"/>
      <c r="M27" s="40">
        <f t="shared" si="3"/>
        <v>0</v>
      </c>
      <c r="N27" s="62" t="str">
        <f t="shared" si="4"/>
        <v>N/TRANSITA</v>
      </c>
      <c r="O27" s="102"/>
      <c r="P27" s="106"/>
      <c r="Q27" s="64"/>
      <c r="R27" s="40">
        <f t="shared" si="5"/>
        <v>0</v>
      </c>
      <c r="S27" s="41">
        <f t="shared" si="0"/>
        <v>1.6666666666666667</v>
      </c>
      <c r="T27" s="78" t="str">
        <f t="shared" si="6"/>
        <v>N/TRANSITA</v>
      </c>
    </row>
    <row r="28" spans="2:20" ht="14.25" customHeight="1" x14ac:dyDescent="0.3">
      <c r="B28" s="33">
        <v>20</v>
      </c>
      <c r="C28" s="123" t="s">
        <v>97</v>
      </c>
      <c r="D28" s="60"/>
      <c r="E28" s="185">
        <v>12</v>
      </c>
      <c r="F28" s="186">
        <v>13.5</v>
      </c>
      <c r="G28" s="186"/>
      <c r="H28" s="187">
        <f t="shared" si="1"/>
        <v>12.75</v>
      </c>
      <c r="I28" s="188" t="str">
        <f t="shared" si="2"/>
        <v>TRANSITA</v>
      </c>
      <c r="J28" s="189"/>
      <c r="K28" s="190"/>
      <c r="L28" s="64"/>
      <c r="M28" s="40">
        <f t="shared" si="3"/>
        <v>0</v>
      </c>
      <c r="N28" s="62" t="str">
        <f t="shared" si="4"/>
        <v>N/TRANSITA</v>
      </c>
      <c r="O28" s="102"/>
      <c r="P28" s="106"/>
      <c r="Q28" s="64"/>
      <c r="R28" s="40">
        <f t="shared" si="5"/>
        <v>0</v>
      </c>
      <c r="S28" s="41">
        <f t="shared" si="0"/>
        <v>4.25</v>
      </c>
      <c r="T28" s="78" t="str">
        <f t="shared" si="6"/>
        <v>N/TRANSITA</v>
      </c>
    </row>
    <row r="29" spans="2:20" ht="14.25" customHeight="1" x14ac:dyDescent="0.3">
      <c r="B29" s="33">
        <v>21</v>
      </c>
      <c r="C29" s="123" t="s">
        <v>98</v>
      </c>
      <c r="D29" s="60"/>
      <c r="E29" s="185">
        <v>12</v>
      </c>
      <c r="F29" s="186">
        <v>7.5</v>
      </c>
      <c r="G29" s="186"/>
      <c r="H29" s="187">
        <f t="shared" si="1"/>
        <v>9.75</v>
      </c>
      <c r="I29" s="188" t="str">
        <f t="shared" si="2"/>
        <v>N/TRANSITA</v>
      </c>
      <c r="J29" s="189">
        <v>0</v>
      </c>
      <c r="K29" s="190">
        <v>9</v>
      </c>
      <c r="L29" s="64"/>
      <c r="M29" s="40">
        <f t="shared" si="3"/>
        <v>4.5</v>
      </c>
      <c r="N29" s="62" t="str">
        <f t="shared" si="4"/>
        <v>N/TRANSITA</v>
      </c>
      <c r="O29" s="102"/>
      <c r="P29" s="106"/>
      <c r="Q29" s="64"/>
      <c r="R29" s="40">
        <f t="shared" si="5"/>
        <v>0</v>
      </c>
      <c r="S29" s="41">
        <f t="shared" si="0"/>
        <v>4.75</v>
      </c>
      <c r="T29" s="78" t="str">
        <f t="shared" si="6"/>
        <v>N/TRANSITA</v>
      </c>
    </row>
    <row r="30" spans="2:20" ht="14.25" customHeight="1" x14ac:dyDescent="0.3">
      <c r="B30" s="33">
        <v>22</v>
      </c>
      <c r="C30" s="124" t="s">
        <v>99</v>
      </c>
      <c r="D30" s="60"/>
      <c r="E30" s="185">
        <v>10</v>
      </c>
      <c r="F30" s="186"/>
      <c r="G30" s="186"/>
      <c r="H30" s="187">
        <f t="shared" si="1"/>
        <v>5</v>
      </c>
      <c r="I30" s="188" t="str">
        <f t="shared" si="2"/>
        <v>N/TRANSITA</v>
      </c>
      <c r="J30" s="189"/>
      <c r="K30" s="190"/>
      <c r="L30" s="64"/>
      <c r="M30" s="40">
        <f t="shared" si="3"/>
        <v>0</v>
      </c>
      <c r="N30" s="62" t="str">
        <f t="shared" si="4"/>
        <v>N/TRANSITA</v>
      </c>
      <c r="O30" s="102"/>
      <c r="P30" s="106"/>
      <c r="Q30" s="64"/>
      <c r="R30" s="40">
        <f t="shared" si="5"/>
        <v>0</v>
      </c>
      <c r="S30" s="41">
        <f t="shared" si="0"/>
        <v>1.6666666666666667</v>
      </c>
      <c r="T30" s="78" t="str">
        <f t="shared" si="6"/>
        <v>N/TRANSITA</v>
      </c>
    </row>
    <row r="31" spans="2:20" ht="14.25" customHeight="1" x14ac:dyDescent="0.3">
      <c r="B31" s="33">
        <v>23</v>
      </c>
      <c r="C31" s="123" t="s">
        <v>100</v>
      </c>
      <c r="D31" s="60"/>
      <c r="E31" s="185">
        <v>18</v>
      </c>
      <c r="F31" s="186">
        <v>12.5</v>
      </c>
      <c r="G31" s="186"/>
      <c r="H31" s="187">
        <f t="shared" si="1"/>
        <v>15.25</v>
      </c>
      <c r="I31" s="188" t="str">
        <f t="shared" si="2"/>
        <v>TRANSITA</v>
      </c>
      <c r="J31" s="189">
        <v>19</v>
      </c>
      <c r="K31" s="190">
        <v>12.5</v>
      </c>
      <c r="L31" s="64"/>
      <c r="M31" s="40">
        <f t="shared" si="3"/>
        <v>15.75</v>
      </c>
      <c r="N31" s="62" t="str">
        <f t="shared" si="4"/>
        <v>TRANSITA</v>
      </c>
      <c r="O31" s="102"/>
      <c r="P31" s="106"/>
      <c r="Q31" s="64"/>
      <c r="R31" s="40">
        <f t="shared" si="5"/>
        <v>0</v>
      </c>
      <c r="S31" s="41">
        <f t="shared" si="0"/>
        <v>10.333333333333334</v>
      </c>
      <c r="T31" s="78" t="str">
        <f t="shared" si="6"/>
        <v>TRANSITA</v>
      </c>
    </row>
    <row r="32" spans="2:20" ht="14.25" customHeight="1" x14ac:dyDescent="0.3">
      <c r="B32" s="33">
        <v>24</v>
      </c>
      <c r="C32" s="123" t="s">
        <v>101</v>
      </c>
      <c r="D32" s="60"/>
      <c r="E32" s="185"/>
      <c r="F32" s="186"/>
      <c r="G32" s="186"/>
      <c r="H32" s="187">
        <f t="shared" si="1"/>
        <v>0</v>
      </c>
      <c r="I32" s="188" t="str">
        <f t="shared" si="2"/>
        <v>N/TRANSITA</v>
      </c>
      <c r="J32" s="189"/>
      <c r="K32" s="190"/>
      <c r="L32" s="64"/>
      <c r="M32" s="40">
        <f t="shared" si="3"/>
        <v>0</v>
      </c>
      <c r="N32" s="62" t="str">
        <f t="shared" si="4"/>
        <v>N/TRANSITA</v>
      </c>
      <c r="O32" s="102"/>
      <c r="P32" s="106"/>
      <c r="Q32" s="64"/>
      <c r="R32" s="40">
        <f t="shared" si="5"/>
        <v>0</v>
      </c>
      <c r="S32" s="41">
        <f t="shared" si="0"/>
        <v>0</v>
      </c>
      <c r="T32" s="78" t="str">
        <f t="shared" si="6"/>
        <v>N/TRANSITA</v>
      </c>
    </row>
    <row r="33" spans="1:20" ht="14.25" customHeight="1" x14ac:dyDescent="0.3">
      <c r="B33" s="33">
        <v>25</v>
      </c>
      <c r="C33" s="124" t="s">
        <v>102</v>
      </c>
      <c r="D33" s="60"/>
      <c r="E33" s="185"/>
      <c r="F33" s="186"/>
      <c r="G33" s="186"/>
      <c r="H33" s="187">
        <f t="shared" si="1"/>
        <v>0</v>
      </c>
      <c r="I33" s="188" t="str">
        <f t="shared" si="2"/>
        <v>N/TRANSITA</v>
      </c>
      <c r="J33" s="189"/>
      <c r="K33" s="190"/>
      <c r="L33" s="64"/>
      <c r="M33" s="40">
        <f t="shared" si="3"/>
        <v>0</v>
      </c>
      <c r="N33" s="62" t="str">
        <f t="shared" si="4"/>
        <v>N/TRANSITA</v>
      </c>
      <c r="O33" s="102"/>
      <c r="P33" s="106"/>
      <c r="Q33" s="64"/>
      <c r="R33" s="40">
        <f t="shared" si="5"/>
        <v>0</v>
      </c>
      <c r="S33" s="41">
        <f t="shared" si="0"/>
        <v>0</v>
      </c>
      <c r="T33" s="78" t="str">
        <f t="shared" si="6"/>
        <v>N/TRANSITA</v>
      </c>
    </row>
    <row r="34" spans="1:20" ht="14.25" customHeight="1" x14ac:dyDescent="0.3">
      <c r="B34" s="33">
        <v>26</v>
      </c>
      <c r="C34" s="123" t="s">
        <v>103</v>
      </c>
      <c r="D34" s="60"/>
      <c r="E34" s="185">
        <v>20</v>
      </c>
      <c r="F34" s="186">
        <v>13</v>
      </c>
      <c r="G34" s="186"/>
      <c r="H34" s="187">
        <f t="shared" si="1"/>
        <v>16.5</v>
      </c>
      <c r="I34" s="188" t="str">
        <f t="shared" si="2"/>
        <v>TRANSITA</v>
      </c>
      <c r="J34" s="189">
        <v>15</v>
      </c>
      <c r="K34" s="190">
        <v>14.5</v>
      </c>
      <c r="L34" s="64"/>
      <c r="M34" s="40">
        <f t="shared" si="3"/>
        <v>14.75</v>
      </c>
      <c r="N34" s="62" t="str">
        <f t="shared" si="4"/>
        <v>TRANSITA</v>
      </c>
      <c r="O34" s="102"/>
      <c r="P34" s="106"/>
      <c r="Q34" s="64"/>
      <c r="R34" s="40">
        <f t="shared" si="5"/>
        <v>0</v>
      </c>
      <c r="S34" s="41">
        <f t="shared" si="0"/>
        <v>10.416666666666666</v>
      </c>
      <c r="T34" s="78" t="str">
        <f t="shared" si="6"/>
        <v>TRANSITA</v>
      </c>
    </row>
    <row r="35" spans="1:20" ht="14.25" customHeight="1" x14ac:dyDescent="0.3">
      <c r="B35" s="33">
        <v>27</v>
      </c>
      <c r="C35" s="124" t="s">
        <v>115</v>
      </c>
      <c r="D35" s="60"/>
      <c r="E35" s="185"/>
      <c r="F35" s="186"/>
      <c r="G35" s="186"/>
      <c r="H35" s="187">
        <f t="shared" si="1"/>
        <v>0</v>
      </c>
      <c r="I35" s="188" t="str">
        <f t="shared" si="2"/>
        <v>N/TRANSITA</v>
      </c>
      <c r="J35" s="189">
        <v>0</v>
      </c>
      <c r="K35" s="190">
        <v>3.5</v>
      </c>
      <c r="L35" s="64"/>
      <c r="M35" s="40">
        <f t="shared" si="3"/>
        <v>1.75</v>
      </c>
      <c r="N35" s="62" t="str">
        <f t="shared" si="4"/>
        <v>N/TRANSITA</v>
      </c>
      <c r="O35" s="102"/>
      <c r="P35" s="106"/>
      <c r="Q35" s="64"/>
      <c r="R35" s="40">
        <f t="shared" si="5"/>
        <v>0</v>
      </c>
      <c r="S35" s="41">
        <f t="shared" si="0"/>
        <v>0.58333333333333337</v>
      </c>
      <c r="T35" s="78" t="str">
        <f t="shared" si="6"/>
        <v>N/TRANSITA</v>
      </c>
    </row>
    <row r="36" spans="1:20" ht="14.25" customHeight="1" x14ac:dyDescent="0.3">
      <c r="B36" s="33">
        <v>28</v>
      </c>
      <c r="C36" s="124" t="s">
        <v>116</v>
      </c>
      <c r="D36" s="60"/>
      <c r="E36" s="185"/>
      <c r="F36" s="186"/>
      <c r="G36" s="186"/>
      <c r="H36" s="187">
        <f t="shared" si="1"/>
        <v>0</v>
      </c>
      <c r="I36" s="188" t="str">
        <f t="shared" si="2"/>
        <v>N/TRANSITA</v>
      </c>
      <c r="J36" s="189"/>
      <c r="K36" s="190"/>
      <c r="L36" s="64"/>
      <c r="M36" s="40">
        <f t="shared" si="3"/>
        <v>0</v>
      </c>
      <c r="N36" s="62" t="str">
        <f t="shared" si="4"/>
        <v>N/TRANSITA</v>
      </c>
      <c r="O36" s="102"/>
      <c r="P36" s="106"/>
      <c r="Q36" s="64"/>
      <c r="R36" s="40">
        <f t="shared" si="5"/>
        <v>0</v>
      </c>
      <c r="S36" s="41">
        <f t="shared" si="0"/>
        <v>0</v>
      </c>
      <c r="T36" s="78" t="str">
        <f t="shared" si="6"/>
        <v>N/TRANSITA</v>
      </c>
    </row>
    <row r="37" spans="1:20" ht="14.25" customHeight="1" x14ac:dyDescent="0.3">
      <c r="B37" s="33">
        <v>29</v>
      </c>
      <c r="C37" s="123" t="s">
        <v>104</v>
      </c>
      <c r="D37" s="60"/>
      <c r="E37" s="185">
        <v>10</v>
      </c>
      <c r="F37" s="186">
        <v>12</v>
      </c>
      <c r="G37" s="186"/>
      <c r="H37" s="187">
        <f t="shared" si="1"/>
        <v>11</v>
      </c>
      <c r="I37" s="188" t="str">
        <f t="shared" si="2"/>
        <v>TRANSITA</v>
      </c>
      <c r="J37" s="189"/>
      <c r="K37" s="190"/>
      <c r="L37" s="64"/>
      <c r="M37" s="40">
        <f t="shared" ref="M37:M39" si="7">AVERAGE(J37,MAX(K37:L37))</f>
        <v>0</v>
      </c>
      <c r="N37" s="62" t="str">
        <f t="shared" ref="N37:N39" si="8">IF(M37&gt;=10,"TRANSITA","N/TRANSITA")</f>
        <v>N/TRANSITA</v>
      </c>
      <c r="O37" s="102"/>
      <c r="P37" s="106"/>
      <c r="Q37" s="64"/>
      <c r="R37" s="40">
        <f t="shared" ref="R37:R39" si="9">AVERAGE(O37,MAX(P37:Q37))</f>
        <v>0</v>
      </c>
      <c r="S37" s="41">
        <f t="shared" ref="S37:S39" si="10">SUM(H37,M37,R37)/3</f>
        <v>3.6666666666666665</v>
      </c>
      <c r="T37" s="78" t="str">
        <f t="shared" ref="T37:T39" si="11">IF(S37&gt;=10,"TRANSITA","N/TRANSITA")</f>
        <v>N/TRANSITA</v>
      </c>
    </row>
    <row r="38" spans="1:20" ht="14.25" customHeight="1" x14ac:dyDescent="0.3">
      <c r="B38" s="33">
        <v>30</v>
      </c>
      <c r="C38" s="123" t="s">
        <v>105</v>
      </c>
      <c r="D38" s="60"/>
      <c r="E38" s="185">
        <v>18</v>
      </c>
      <c r="F38" s="186">
        <v>15.5</v>
      </c>
      <c r="G38" s="186"/>
      <c r="H38" s="187">
        <f t="shared" si="1"/>
        <v>16.75</v>
      </c>
      <c r="I38" s="188" t="str">
        <f t="shared" si="2"/>
        <v>TRANSITA</v>
      </c>
      <c r="J38" s="189">
        <v>15</v>
      </c>
      <c r="K38" s="190">
        <v>12</v>
      </c>
      <c r="L38" s="64"/>
      <c r="M38" s="40">
        <f t="shared" si="7"/>
        <v>13.5</v>
      </c>
      <c r="N38" s="62" t="str">
        <f t="shared" si="8"/>
        <v>TRANSITA</v>
      </c>
      <c r="O38" s="102"/>
      <c r="P38" s="106"/>
      <c r="Q38" s="64"/>
      <c r="R38" s="40">
        <f t="shared" si="9"/>
        <v>0</v>
      </c>
      <c r="S38" s="41">
        <f t="shared" si="10"/>
        <v>10.083333333333334</v>
      </c>
      <c r="T38" s="78" t="str">
        <f t="shared" si="11"/>
        <v>TRANSITA</v>
      </c>
    </row>
    <row r="39" spans="1:20" ht="14.25" customHeight="1" x14ac:dyDescent="0.3">
      <c r="B39" s="33">
        <v>31</v>
      </c>
      <c r="C39" s="124" t="s">
        <v>106</v>
      </c>
      <c r="D39" s="60"/>
      <c r="E39" s="185">
        <v>12</v>
      </c>
      <c r="F39" s="186">
        <v>7.5</v>
      </c>
      <c r="G39" s="186"/>
      <c r="H39" s="187">
        <f t="shared" si="1"/>
        <v>9.75</v>
      </c>
      <c r="I39" s="188" t="str">
        <f t="shared" si="2"/>
        <v>N/TRANSITA</v>
      </c>
      <c r="J39" s="189">
        <v>0</v>
      </c>
      <c r="K39" s="190">
        <v>3</v>
      </c>
      <c r="L39" s="64"/>
      <c r="M39" s="40">
        <f t="shared" si="7"/>
        <v>1.5</v>
      </c>
      <c r="N39" s="62" t="str">
        <f t="shared" si="8"/>
        <v>N/TRANSITA</v>
      </c>
      <c r="O39" s="102"/>
      <c r="P39" s="106"/>
      <c r="Q39" s="64"/>
      <c r="R39" s="40">
        <f t="shared" si="9"/>
        <v>0</v>
      </c>
      <c r="S39" s="41">
        <f t="shared" si="10"/>
        <v>3.75</v>
      </c>
      <c r="T39" s="78" t="str">
        <f t="shared" si="11"/>
        <v>N/TRANSITA</v>
      </c>
    </row>
    <row r="40" spans="1:20" ht="14.25" customHeight="1" x14ac:dyDescent="0.3">
      <c r="B40" s="33">
        <v>32</v>
      </c>
      <c r="C40" s="124" t="s">
        <v>107</v>
      </c>
      <c r="D40" s="60"/>
      <c r="E40" s="185">
        <v>10</v>
      </c>
      <c r="F40" s="186"/>
      <c r="G40" s="186"/>
      <c r="H40" s="187">
        <f t="shared" si="1"/>
        <v>5</v>
      </c>
      <c r="I40" s="188" t="str">
        <f t="shared" si="2"/>
        <v>N/TRANSITA</v>
      </c>
      <c r="J40" s="189"/>
      <c r="K40" s="190"/>
      <c r="L40" s="64"/>
      <c r="M40" s="40">
        <f t="shared" si="3"/>
        <v>0</v>
      </c>
      <c r="N40" s="62" t="str">
        <f t="shared" si="4"/>
        <v>N/TRANSITA</v>
      </c>
      <c r="O40" s="102"/>
      <c r="P40" s="106"/>
      <c r="Q40" s="64"/>
      <c r="R40" s="40">
        <f t="shared" si="5"/>
        <v>0</v>
      </c>
      <c r="S40" s="41">
        <f t="shared" si="0"/>
        <v>1.6666666666666667</v>
      </c>
      <c r="T40" s="78" t="str">
        <f t="shared" si="6"/>
        <v>N/TRANSITA</v>
      </c>
    </row>
    <row r="41" spans="1:20" ht="14.25" customHeight="1" x14ac:dyDescent="0.3">
      <c r="B41" s="33">
        <v>33</v>
      </c>
      <c r="C41" s="123" t="s">
        <v>108</v>
      </c>
      <c r="D41" s="60"/>
      <c r="E41" s="185">
        <v>10</v>
      </c>
      <c r="F41" s="186"/>
      <c r="G41" s="186"/>
      <c r="H41" s="187">
        <f t="shared" si="1"/>
        <v>5</v>
      </c>
      <c r="I41" s="188" t="str">
        <f t="shared" si="2"/>
        <v>N/TRANSITA</v>
      </c>
      <c r="J41" s="189"/>
      <c r="K41" s="190"/>
      <c r="L41" s="64"/>
      <c r="M41" s="40">
        <f t="shared" si="3"/>
        <v>0</v>
      </c>
      <c r="N41" s="62" t="str">
        <f t="shared" si="4"/>
        <v>N/TRANSITA</v>
      </c>
      <c r="O41" s="102"/>
      <c r="P41" s="106"/>
      <c r="Q41" s="64"/>
      <c r="R41" s="40">
        <f t="shared" si="5"/>
        <v>0</v>
      </c>
      <c r="S41" s="41">
        <f t="shared" si="0"/>
        <v>1.6666666666666667</v>
      </c>
      <c r="T41" s="78" t="str">
        <f t="shared" si="6"/>
        <v>N/TRANSITA</v>
      </c>
    </row>
    <row r="42" spans="1:20" ht="14.25" customHeight="1" x14ac:dyDescent="0.3">
      <c r="B42" s="33">
        <v>34</v>
      </c>
      <c r="C42" s="123" t="s">
        <v>109</v>
      </c>
      <c r="D42" s="60"/>
      <c r="E42" s="185">
        <v>12</v>
      </c>
      <c r="F42" s="186">
        <v>8.5</v>
      </c>
      <c r="G42" s="186"/>
      <c r="H42" s="187">
        <f t="shared" si="1"/>
        <v>10.25</v>
      </c>
      <c r="I42" s="188" t="str">
        <f t="shared" si="2"/>
        <v>TRANSITA</v>
      </c>
      <c r="J42" s="189">
        <v>0</v>
      </c>
      <c r="K42" s="190">
        <v>0</v>
      </c>
      <c r="L42" s="64"/>
      <c r="M42" s="40">
        <f t="shared" si="3"/>
        <v>0</v>
      </c>
      <c r="N42" s="62" t="str">
        <f t="shared" si="4"/>
        <v>N/TRANSITA</v>
      </c>
      <c r="O42" s="102"/>
      <c r="P42" s="106"/>
      <c r="Q42" s="64"/>
      <c r="R42" s="40">
        <f t="shared" si="5"/>
        <v>0</v>
      </c>
      <c r="S42" s="41">
        <f t="shared" si="0"/>
        <v>3.4166666666666665</v>
      </c>
      <c r="T42" s="78" t="str">
        <f t="shared" si="6"/>
        <v>N/TRANSITA</v>
      </c>
    </row>
    <row r="43" spans="1:20" ht="14.25" customHeight="1" x14ac:dyDescent="0.3">
      <c r="B43" s="33">
        <v>35</v>
      </c>
      <c r="C43" s="123" t="s">
        <v>110</v>
      </c>
      <c r="D43" s="60"/>
      <c r="E43" s="185">
        <v>12</v>
      </c>
      <c r="F43" s="186">
        <v>7</v>
      </c>
      <c r="G43" s="186">
        <v>15</v>
      </c>
      <c r="H43" s="187">
        <f t="shared" si="1"/>
        <v>13.5</v>
      </c>
      <c r="I43" s="188" t="str">
        <f t="shared" si="2"/>
        <v>TRANSITA</v>
      </c>
      <c r="J43" s="189">
        <v>12</v>
      </c>
      <c r="K43" s="190">
        <v>10.5</v>
      </c>
      <c r="L43" s="64"/>
      <c r="M43" s="40">
        <f t="shared" si="3"/>
        <v>11.25</v>
      </c>
      <c r="N43" s="62" t="str">
        <f t="shared" si="4"/>
        <v>TRANSITA</v>
      </c>
      <c r="O43" s="102"/>
      <c r="P43" s="106"/>
      <c r="Q43" s="64"/>
      <c r="R43" s="40">
        <f t="shared" si="5"/>
        <v>0</v>
      </c>
      <c r="S43" s="41">
        <f t="shared" si="0"/>
        <v>8.25</v>
      </c>
      <c r="T43" s="78" t="str">
        <f t="shared" si="6"/>
        <v>N/TRANSITA</v>
      </c>
    </row>
    <row r="44" spans="1:20" ht="14.25" customHeight="1" x14ac:dyDescent="0.3">
      <c r="B44" s="33">
        <v>36</v>
      </c>
      <c r="C44" s="124" t="s">
        <v>111</v>
      </c>
      <c r="D44" s="60"/>
      <c r="E44" s="185">
        <v>12</v>
      </c>
      <c r="F44" s="186">
        <v>11</v>
      </c>
      <c r="G44" s="186"/>
      <c r="H44" s="187">
        <f t="shared" si="1"/>
        <v>11.5</v>
      </c>
      <c r="I44" s="188" t="str">
        <f t="shared" si="2"/>
        <v>TRANSITA</v>
      </c>
      <c r="J44" s="189">
        <v>14.2</v>
      </c>
      <c r="K44" s="190">
        <v>12.5</v>
      </c>
      <c r="L44" s="64"/>
      <c r="M44" s="40">
        <f t="shared" si="3"/>
        <v>13.35</v>
      </c>
      <c r="N44" s="62" t="str">
        <f t="shared" si="4"/>
        <v>TRANSITA</v>
      </c>
      <c r="O44" s="102"/>
      <c r="P44" s="106"/>
      <c r="Q44" s="64"/>
      <c r="R44" s="40">
        <f t="shared" si="5"/>
        <v>0</v>
      </c>
      <c r="S44" s="41">
        <f t="shared" si="0"/>
        <v>8.2833333333333332</v>
      </c>
      <c r="T44" s="78" t="str">
        <f t="shared" si="6"/>
        <v>N/TRANSITA</v>
      </c>
    </row>
    <row r="45" spans="1:20" ht="14.25" customHeight="1" x14ac:dyDescent="0.3">
      <c r="B45" s="33">
        <v>37</v>
      </c>
      <c r="C45" s="123" t="s">
        <v>112</v>
      </c>
      <c r="D45" s="60"/>
      <c r="E45" s="185">
        <v>17</v>
      </c>
      <c r="F45" s="186">
        <v>11.5</v>
      </c>
      <c r="G45" s="186"/>
      <c r="H45" s="187">
        <f t="shared" si="1"/>
        <v>14.25</v>
      </c>
      <c r="I45" s="188" t="str">
        <f t="shared" si="2"/>
        <v>TRANSITA</v>
      </c>
      <c r="J45" s="189"/>
      <c r="K45" s="190"/>
      <c r="L45" s="64"/>
      <c r="M45" s="40">
        <f t="shared" si="3"/>
        <v>0</v>
      </c>
      <c r="N45" s="62" t="str">
        <f t="shared" si="4"/>
        <v>N/TRANSITA</v>
      </c>
      <c r="O45" s="102"/>
      <c r="P45" s="106"/>
      <c r="Q45" s="64"/>
      <c r="R45" s="40">
        <f t="shared" si="5"/>
        <v>0</v>
      </c>
      <c r="S45" s="41">
        <f t="shared" si="0"/>
        <v>4.75</v>
      </c>
      <c r="T45" s="78" t="str">
        <f t="shared" si="6"/>
        <v>N/TRANSITA</v>
      </c>
    </row>
    <row r="46" spans="1:20" ht="14.25" customHeight="1" thickBot="1" x14ac:dyDescent="0.35">
      <c r="B46" s="33">
        <v>38</v>
      </c>
      <c r="C46" s="125" t="s">
        <v>113</v>
      </c>
      <c r="D46" s="61"/>
      <c r="E46" s="191"/>
      <c r="F46" s="192"/>
      <c r="G46" s="192"/>
      <c r="H46" s="193">
        <f t="shared" si="1"/>
        <v>0</v>
      </c>
      <c r="I46" s="194" t="str">
        <f t="shared" si="2"/>
        <v>N/TRANSITA</v>
      </c>
      <c r="J46" s="195"/>
      <c r="K46" s="196"/>
      <c r="L46" s="67"/>
      <c r="M46" s="146">
        <f t="shared" si="3"/>
        <v>0</v>
      </c>
      <c r="N46" s="72" t="str">
        <f t="shared" si="4"/>
        <v>N/TRANSITA</v>
      </c>
      <c r="O46" s="104"/>
      <c r="P46" s="107"/>
      <c r="Q46" s="67"/>
      <c r="R46" s="146">
        <f t="shared" si="5"/>
        <v>0</v>
      </c>
      <c r="S46" s="42">
        <f t="shared" si="0"/>
        <v>0</v>
      </c>
      <c r="T46" s="79" t="str">
        <f t="shared" si="6"/>
        <v>N/TRANSITA</v>
      </c>
    </row>
    <row r="47" spans="1:20" ht="93.75" customHeight="1" thickTop="1" x14ac:dyDescent="0.3">
      <c r="B47" s="19"/>
      <c r="C47" s="19"/>
      <c r="D47" s="19"/>
      <c r="E47" s="19"/>
      <c r="F47" s="19"/>
      <c r="G47" s="19"/>
      <c r="H47" s="19"/>
      <c r="I47" s="19"/>
      <c r="J47" s="19"/>
      <c r="O47" s="19"/>
      <c r="P47" s="19"/>
      <c r="Q47" s="19"/>
      <c r="R47" s="19"/>
      <c r="S47" s="19"/>
      <c r="T47" s="19"/>
    </row>
    <row r="48" spans="1:20" ht="20.25" customHeight="1" x14ac:dyDescent="0.45">
      <c r="A48" s="20"/>
      <c r="B48" s="20"/>
      <c r="C48" s="20"/>
      <c r="D48" s="20"/>
      <c r="E48" s="20"/>
      <c r="F48" s="20"/>
      <c r="G48" s="20"/>
      <c r="H48" s="20"/>
      <c r="I48" s="20"/>
      <c r="J48" s="20"/>
      <c r="O48" s="20"/>
      <c r="P48" s="21"/>
      <c r="Q48" s="21"/>
      <c r="R48" s="21"/>
      <c r="S48" s="20"/>
      <c r="T48" s="20"/>
    </row>
    <row r="49" spans="1:20" ht="15.6" x14ac:dyDescent="0.3">
      <c r="A49" s="248" t="s">
        <v>50</v>
      </c>
      <c r="B49" s="248"/>
      <c r="C49" s="248"/>
      <c r="D49" s="248"/>
      <c r="E49" s="248"/>
      <c r="F49" s="22"/>
      <c r="G49" s="22"/>
      <c r="H49" s="22"/>
      <c r="I49" s="22"/>
      <c r="J49" s="22"/>
      <c r="K49" s="23"/>
      <c r="L49" s="23"/>
      <c r="M49" s="23"/>
      <c r="N49" s="23"/>
      <c r="O49" s="248" t="s">
        <v>9</v>
      </c>
      <c r="P49" s="248"/>
      <c r="Q49" s="248"/>
      <c r="R49" s="248"/>
      <c r="S49" s="248"/>
      <c r="T49" s="248"/>
    </row>
    <row r="50" spans="1:20" ht="15.6" x14ac:dyDescent="0.3">
      <c r="A50" s="249" t="s">
        <v>21</v>
      </c>
      <c r="B50" s="249"/>
      <c r="C50" s="249"/>
      <c r="D50" s="249"/>
      <c r="E50" s="249"/>
      <c r="F50" s="24"/>
      <c r="G50" s="24"/>
      <c r="H50" s="24"/>
      <c r="I50" s="24"/>
      <c r="J50" s="24"/>
      <c r="O50" s="250" t="s">
        <v>22</v>
      </c>
      <c r="P50" s="250"/>
      <c r="Q50" s="250"/>
      <c r="R50" s="250"/>
      <c r="S50" s="250"/>
      <c r="T50" s="250"/>
    </row>
    <row r="51" spans="1:20" x14ac:dyDescent="0.3">
      <c r="A51" s="242"/>
      <c r="B51" s="242"/>
      <c r="C51" s="242"/>
      <c r="D51" s="242"/>
      <c r="E51" s="242"/>
      <c r="O51" s="242" t="s">
        <v>23</v>
      </c>
      <c r="P51" s="242"/>
      <c r="Q51" s="242"/>
      <c r="R51" s="242"/>
      <c r="S51" s="242"/>
      <c r="T51" s="242"/>
    </row>
  </sheetData>
  <mergeCells count="22">
    <mergeCell ref="A1:T1"/>
    <mergeCell ref="B3:R3"/>
    <mergeCell ref="B4:C4"/>
    <mergeCell ref="P4:T4"/>
    <mergeCell ref="B5:C5"/>
    <mergeCell ref="N5:T5"/>
    <mergeCell ref="B6:T6"/>
    <mergeCell ref="B7:B8"/>
    <mergeCell ref="C7:C8"/>
    <mergeCell ref="E7:H7"/>
    <mergeCell ref="I7:I8"/>
    <mergeCell ref="J7:M7"/>
    <mergeCell ref="N7:N8"/>
    <mergeCell ref="O7:R7"/>
    <mergeCell ref="S7:S8"/>
    <mergeCell ref="T7:T8"/>
    <mergeCell ref="A49:E49"/>
    <mergeCell ref="O49:T49"/>
    <mergeCell ref="A50:E50"/>
    <mergeCell ref="O50:T50"/>
    <mergeCell ref="A51:E51"/>
    <mergeCell ref="O51:T51"/>
  </mergeCells>
  <conditionalFormatting sqref="S9:S46">
    <cfRule type="cellIs" dxfId="161" priority="33" stopIfTrue="1" operator="greaterThan">
      <formula>9.5</formula>
    </cfRule>
    <cfRule type="cellIs" dxfId="160" priority="34" stopIfTrue="1" operator="lessThanOrEqual">
      <formula>9.5</formula>
    </cfRule>
  </conditionalFormatting>
  <conditionalFormatting sqref="M9:M46 R9:R46">
    <cfRule type="cellIs" dxfId="159" priority="31" stopIfTrue="1" operator="lessThan">
      <formula>10</formula>
    </cfRule>
    <cfRule type="cellIs" dxfId="158" priority="32" stopIfTrue="1" operator="greaterThanOrEqual">
      <formula>10</formula>
    </cfRule>
  </conditionalFormatting>
  <conditionalFormatting sqref="L9:L46 O9:Q46">
    <cfRule type="cellIs" dxfId="157" priority="25" stopIfTrue="1" operator="lessThan">
      <formula>10</formula>
    </cfRule>
    <cfRule type="cellIs" dxfId="156" priority="26" stopIfTrue="1" operator="greaterThan">
      <formula>9</formula>
    </cfRule>
    <cfRule type="cellIs" dxfId="155" priority="27" stopIfTrue="1" operator="lessThan">
      <formula>10</formula>
    </cfRule>
    <cfRule type="cellIs" dxfId="154" priority="28" stopIfTrue="1" operator="greaterThan">
      <formula>9</formula>
    </cfRule>
  </conditionalFormatting>
  <conditionalFormatting sqref="G17:G46 J9:K46">
    <cfRule type="cellIs" dxfId="153" priority="9" stopIfTrue="1" operator="lessThan">
      <formula>10</formula>
    </cfRule>
    <cfRule type="cellIs" dxfId="152" priority="10" stopIfTrue="1" operator="greaterThan">
      <formula>9</formula>
    </cfRule>
    <cfRule type="cellIs" dxfId="151" priority="11" stopIfTrue="1" operator="lessThan">
      <formula>10</formula>
    </cfRule>
    <cfRule type="cellIs" dxfId="150" priority="12" stopIfTrue="1" operator="greaterThan">
      <formula>9</formula>
    </cfRule>
  </conditionalFormatting>
  <conditionalFormatting sqref="E9:F46">
    <cfRule type="cellIs" dxfId="149" priority="1" stopIfTrue="1" operator="lessThan">
      <formula>10</formula>
    </cfRule>
    <cfRule type="cellIs" dxfId="148" priority="2" stopIfTrue="1" operator="greaterThan">
      <formula>9</formula>
    </cfRule>
    <cfRule type="cellIs" dxfId="147" priority="3" stopIfTrue="1" operator="lessThan">
      <formula>10</formula>
    </cfRule>
    <cfRule type="cellIs" dxfId="146" priority="4" stopIfTrue="1" operator="greaterThan">
      <formula>9</formula>
    </cfRule>
  </conditionalFormatting>
  <conditionalFormatting sqref="G9:G16">
    <cfRule type="cellIs" dxfId="145" priority="5" stopIfTrue="1" operator="lessThan">
      <formula>10</formula>
    </cfRule>
    <cfRule type="cellIs" dxfId="144" priority="6" stopIfTrue="1" operator="greaterThan">
      <formula>9</formula>
    </cfRule>
    <cfRule type="cellIs" dxfId="143" priority="7" stopIfTrue="1" operator="lessThan">
      <formula>10</formula>
    </cfRule>
    <cfRule type="cellIs" dxfId="142" priority="8" stopIfTrue="1" operator="greaterThan">
      <formula>9</formula>
    </cfRule>
  </conditionalFormatting>
  <conditionalFormatting sqref="H9:H46">
    <cfRule type="cellIs" dxfId="141" priority="15" stopIfTrue="1" operator="lessThan">
      <formula>10</formula>
    </cfRule>
    <cfRule type="cellIs" dxfId="140" priority="16" stopIfTrue="1" operator="greaterThanOrEqual">
      <formula>10</formula>
    </cfRule>
  </conditionalFormatting>
  <dataValidations count="1">
    <dataValidation type="decimal" allowBlank="1" showInputMessage="1" showErrorMessage="1" errorTitle="ATENÇÃO!" error="O valor introduzido não é válido. Grato!" sqref="O9:Q46 J9:L46 E9:G46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15361" r:id="rId4">
          <objectPr defaultSize="0" r:id="rId5">
            <anchor moveWithCells="1">
              <from>
                <xdr:col>1</xdr:col>
                <xdr:colOff>60960</xdr:colOff>
                <xdr:row>46</xdr:row>
                <xdr:rowOff>160020</xdr:rowOff>
              </from>
              <to>
                <xdr:col>13</xdr:col>
                <xdr:colOff>182880</xdr:colOff>
                <xdr:row>48</xdr:row>
                <xdr:rowOff>22860</xdr:rowOff>
              </to>
            </anchor>
          </objectPr>
        </oleObject>
      </mc:Choice>
      <mc:Fallback>
        <oleObject progId="Word.Document.8" shapeId="15361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9" stopIfTrue="1" operator="containsText" id="{6A4FBE51-9556-49DD-A708-ADF8B15CFBB7}">
            <xm:f>NOT(ISERROR(SEARCH("N/TRANSITA",N9)))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30" stopIfTrue="1" operator="containsText" id="{3C3D6384-E657-4C9E-AB19-B025CC3133C3}">
            <xm:f>NOT(ISERROR(SEARCH("TRANSITA",N9)))</xm:f>
            <xm:f>"TRANSITA"</xm:f>
            <x14:dxf>
              <font>
                <b/>
                <i val="0"/>
                <color rgb="FF0000FF"/>
              </font>
            </x14:dxf>
          </x14:cfRule>
          <xm:sqref>N9:N46 T9:T46</xm:sqref>
        </x14:conditionalFormatting>
        <x14:conditionalFormatting xmlns:xm="http://schemas.microsoft.com/office/excel/2006/main">
          <x14:cfRule type="containsText" priority="13" stopIfTrue="1" operator="containsText" id="{E5FD1CD6-0F49-4419-A4DB-FB522BC12795}">
            <xm:f>NOT(ISERROR(SEARCH("TRANSITA",I9)))</xm:f>
            <xm:f>"TRANSITA"</xm:f>
            <x14:dxf>
              <font>
                <b/>
                <color rgb="FFFF0000"/>
              </font>
            </x14:dxf>
          </x14:cfRule>
          <x14:cfRule type="containsText" priority="14" stopIfTrue="1" operator="containsText" id="{C49D0FA6-A920-457A-A98F-C4963E2ED34C}">
            <xm:f>NOT(ISERROR(SEARCH("TRANSITA",I9)))</xm:f>
            <xm:f>"TRANSITA"</xm:f>
            <x14:dxf>
              <font>
                <b/>
                <color rgb="FF0000FF"/>
              </font>
            </x14:dxf>
          </x14:cfRule>
          <xm:sqref>I9:I46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W51"/>
  <sheetViews>
    <sheetView showGridLines="0" zoomScale="115" zoomScaleNormal="115" zoomScalePageLayoutView="85" workbookViewId="0">
      <selection activeCell="J42" sqref="J42"/>
    </sheetView>
  </sheetViews>
  <sheetFormatPr defaultRowHeight="14.4" x14ac:dyDescent="0.3"/>
  <cols>
    <col min="1" max="1" width="1.6640625" customWidth="1"/>
    <col min="2" max="2" width="3.6640625" customWidth="1"/>
    <col min="3" max="3" width="35.109375" customWidth="1"/>
    <col min="4" max="4" width="6.44140625" customWidth="1"/>
    <col min="5" max="8" width="5.109375" customWidth="1"/>
    <col min="9" max="9" width="11.109375" customWidth="1"/>
    <col min="10" max="13" width="5.109375" customWidth="1"/>
    <col min="14" max="14" width="11.109375" customWidth="1"/>
    <col min="15" max="18" width="5.109375" customWidth="1"/>
    <col min="19" max="19" width="6" customWidth="1"/>
    <col min="20" max="20" width="11.5546875" customWidth="1"/>
    <col min="21" max="21" width="3.44140625" customWidth="1"/>
    <col min="22" max="22" width="5" customWidth="1"/>
  </cols>
  <sheetData>
    <row r="1" spans="1:23" ht="30" customHeight="1" x14ac:dyDescent="0.3">
      <c r="A1" s="261" t="s">
        <v>45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</row>
    <row r="2" spans="1:23" ht="30" customHeight="1" x14ac:dyDescent="0.3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23" ht="12" customHeight="1" x14ac:dyDescent="0.3"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</row>
    <row r="4" spans="1:23" ht="17.399999999999999" customHeight="1" x14ac:dyDescent="0.3">
      <c r="B4" s="262" t="s">
        <v>57</v>
      </c>
      <c r="C4" s="262"/>
      <c r="D4" s="31"/>
      <c r="F4" s="73"/>
      <c r="G4" s="73"/>
      <c r="I4" s="73" t="s">
        <v>29</v>
      </c>
      <c r="J4" s="73"/>
      <c r="K4" s="73"/>
      <c r="L4" s="73"/>
      <c r="M4" s="73"/>
      <c r="N4" s="31"/>
      <c r="P4" s="243" t="s">
        <v>55</v>
      </c>
      <c r="Q4" s="243"/>
      <c r="R4" s="243"/>
      <c r="S4" s="243"/>
      <c r="T4" s="243"/>
    </row>
    <row r="5" spans="1:23" ht="18" customHeight="1" x14ac:dyDescent="0.3">
      <c r="B5" s="262" t="s">
        <v>64</v>
      </c>
      <c r="C5" s="262"/>
      <c r="D5" s="31"/>
      <c r="E5" s="74" t="s">
        <v>52</v>
      </c>
      <c r="F5" s="74"/>
      <c r="I5" s="74" t="s">
        <v>67</v>
      </c>
      <c r="J5" s="74"/>
      <c r="K5" s="74"/>
      <c r="N5" s="263" t="s">
        <v>66</v>
      </c>
      <c r="O5" s="263"/>
      <c r="P5" s="263"/>
      <c r="Q5" s="263"/>
      <c r="R5" s="263"/>
      <c r="S5" s="263"/>
      <c r="T5" s="263"/>
    </row>
    <row r="6" spans="1:23" ht="34.5" customHeight="1" thickBot="1" x14ac:dyDescent="1.05">
      <c r="B6" s="258" t="s">
        <v>41</v>
      </c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60"/>
    </row>
    <row r="7" spans="1:23" ht="19.5" customHeight="1" thickTop="1" x14ac:dyDescent="0.3">
      <c r="B7" s="251" t="s">
        <v>35</v>
      </c>
      <c r="C7" s="253" t="s">
        <v>13</v>
      </c>
      <c r="D7" s="43" t="s">
        <v>39</v>
      </c>
      <c r="E7" s="255" t="s">
        <v>36</v>
      </c>
      <c r="F7" s="256"/>
      <c r="G7" s="256"/>
      <c r="H7" s="257"/>
      <c r="I7" s="246" t="s">
        <v>15</v>
      </c>
      <c r="J7" s="255" t="s">
        <v>37</v>
      </c>
      <c r="K7" s="256"/>
      <c r="L7" s="256"/>
      <c r="M7" s="257"/>
      <c r="N7" s="246" t="s">
        <v>15</v>
      </c>
      <c r="O7" s="255" t="s">
        <v>38</v>
      </c>
      <c r="P7" s="256"/>
      <c r="Q7" s="256"/>
      <c r="R7" s="257"/>
      <c r="S7" s="244" t="s">
        <v>14</v>
      </c>
      <c r="T7" s="246" t="s">
        <v>15</v>
      </c>
    </row>
    <row r="8" spans="1:23" ht="20.25" customHeight="1" thickBot="1" x14ac:dyDescent="0.35">
      <c r="B8" s="252"/>
      <c r="C8" s="254"/>
      <c r="D8" s="44" t="s">
        <v>40</v>
      </c>
      <c r="E8" s="36" t="s">
        <v>16</v>
      </c>
      <c r="F8" s="35" t="s">
        <v>17</v>
      </c>
      <c r="G8" s="35" t="s">
        <v>34</v>
      </c>
      <c r="H8" s="37" t="s">
        <v>18</v>
      </c>
      <c r="I8" s="247"/>
      <c r="J8" s="36" t="s">
        <v>16</v>
      </c>
      <c r="K8" s="35" t="s">
        <v>17</v>
      </c>
      <c r="L8" s="35" t="s">
        <v>34</v>
      </c>
      <c r="M8" s="37" t="s">
        <v>19</v>
      </c>
      <c r="N8" s="247"/>
      <c r="O8" s="36" t="s">
        <v>16</v>
      </c>
      <c r="P8" s="35" t="s">
        <v>17</v>
      </c>
      <c r="Q8" s="35" t="s">
        <v>34</v>
      </c>
      <c r="R8" s="37" t="s">
        <v>20</v>
      </c>
      <c r="S8" s="245"/>
      <c r="T8" s="247"/>
    </row>
    <row r="9" spans="1:23" ht="14.25" customHeight="1" thickTop="1" x14ac:dyDescent="0.3">
      <c r="B9" s="129">
        <v>1</v>
      </c>
      <c r="C9" s="122" t="s">
        <v>79</v>
      </c>
      <c r="D9" s="130"/>
      <c r="E9" s="147">
        <v>18</v>
      </c>
      <c r="F9" s="176">
        <v>10</v>
      </c>
      <c r="G9" s="173"/>
      <c r="H9" s="140">
        <f>AVERAGE(E9,MAX(F9:G9))</f>
        <v>14</v>
      </c>
      <c r="I9" s="141" t="str">
        <f>IF(H9&gt;=10,"TRANSITA","N/TRANSITA")</f>
        <v>TRANSITA</v>
      </c>
      <c r="J9" s="142">
        <v>0</v>
      </c>
      <c r="K9" s="143">
        <v>14</v>
      </c>
      <c r="L9" s="144"/>
      <c r="M9" s="140">
        <f>AVERAGE(J9,MAX(K9:L9))</f>
        <v>7</v>
      </c>
      <c r="N9" s="141" t="str">
        <f>IF(M9&gt;=10,"TRANSITA","N/TRANSITA")</f>
        <v>N/TRANSITA</v>
      </c>
      <c r="O9" s="142"/>
      <c r="P9" s="143"/>
      <c r="Q9" s="144"/>
      <c r="R9" s="140">
        <f>AVERAGE(O9,MAX(P9:Q9))</f>
        <v>0</v>
      </c>
      <c r="S9" s="145">
        <f t="shared" ref="S9:S43" si="0">SUM(H9,M9,R9)/3</f>
        <v>7</v>
      </c>
      <c r="T9" s="77" t="str">
        <f>IF(S9&gt;=10,"TRANSITA","N/TRANSITA")</f>
        <v>N/TRANSITA</v>
      </c>
    </row>
    <row r="10" spans="1:23" ht="14.25" customHeight="1" x14ac:dyDescent="0.3">
      <c r="B10" s="33">
        <v>2</v>
      </c>
      <c r="C10" s="124" t="s">
        <v>80</v>
      </c>
      <c r="D10" s="60"/>
      <c r="E10" s="91"/>
      <c r="F10" s="177"/>
      <c r="G10" s="174"/>
      <c r="H10" s="40">
        <f t="shared" ref="H10:H46" si="1">AVERAGE(E10,MAX(F10:G10))</f>
        <v>0</v>
      </c>
      <c r="I10" s="62" t="str">
        <f t="shared" ref="I10:I46" si="2">IF(H10&gt;=10,"TRANSITA","N/TRANSITA")</f>
        <v>N/TRANSITA</v>
      </c>
      <c r="J10" s="102"/>
      <c r="K10" s="103"/>
      <c r="L10" s="63"/>
      <c r="M10" s="40">
        <f t="shared" ref="M10:M46" si="3">AVERAGE(J10,MAX(K10:L10))</f>
        <v>0</v>
      </c>
      <c r="N10" s="62" t="str">
        <f t="shared" ref="N10:N46" si="4">IF(M10&gt;=10,"TRANSITA","N/TRANSITA")</f>
        <v>N/TRANSITA</v>
      </c>
      <c r="O10" s="102"/>
      <c r="P10" s="103"/>
      <c r="Q10" s="63"/>
      <c r="R10" s="40">
        <f t="shared" ref="R10:R46" si="5">AVERAGE(O10,MAX(P10:Q10))</f>
        <v>0</v>
      </c>
      <c r="S10" s="41">
        <f t="shared" si="0"/>
        <v>0</v>
      </c>
      <c r="T10" s="78" t="str">
        <f t="shared" ref="T10:T46" si="6">IF(S10&gt;=10,"TRANSITA","N/TRANSITA")</f>
        <v>N/TRANSITA</v>
      </c>
    </row>
    <row r="11" spans="1:23" ht="14.25" customHeight="1" x14ac:dyDescent="0.3">
      <c r="B11" s="33">
        <v>3</v>
      </c>
      <c r="C11" s="123" t="s">
        <v>81</v>
      </c>
      <c r="D11" s="60"/>
      <c r="E11" s="91"/>
      <c r="F11" s="177"/>
      <c r="G11" s="174"/>
      <c r="H11" s="40">
        <f t="shared" si="1"/>
        <v>0</v>
      </c>
      <c r="I11" s="62" t="str">
        <f t="shared" si="2"/>
        <v>N/TRANSITA</v>
      </c>
      <c r="J11" s="102"/>
      <c r="K11" s="103"/>
      <c r="L11" s="63"/>
      <c r="M11" s="40">
        <f t="shared" si="3"/>
        <v>0</v>
      </c>
      <c r="N11" s="62" t="str">
        <f t="shared" si="4"/>
        <v>N/TRANSITA</v>
      </c>
      <c r="O11" s="102"/>
      <c r="P11" s="103"/>
      <c r="Q11" s="63"/>
      <c r="R11" s="40">
        <f t="shared" si="5"/>
        <v>0</v>
      </c>
      <c r="S11" s="41">
        <f t="shared" si="0"/>
        <v>0</v>
      </c>
      <c r="T11" s="78" t="str">
        <f t="shared" si="6"/>
        <v>N/TRANSITA</v>
      </c>
    </row>
    <row r="12" spans="1:23" ht="14.25" customHeight="1" x14ac:dyDescent="0.3">
      <c r="B12" s="33">
        <v>4</v>
      </c>
      <c r="C12" s="123" t="s">
        <v>82</v>
      </c>
      <c r="D12" s="60"/>
      <c r="E12" s="91">
        <v>16</v>
      </c>
      <c r="F12" s="177">
        <v>14</v>
      </c>
      <c r="G12" s="174"/>
      <c r="H12" s="40">
        <f t="shared" si="1"/>
        <v>15</v>
      </c>
      <c r="I12" s="62" t="str">
        <f t="shared" si="2"/>
        <v>TRANSITA</v>
      </c>
      <c r="J12" s="102">
        <v>10</v>
      </c>
      <c r="K12" s="103">
        <v>10</v>
      </c>
      <c r="L12" s="63"/>
      <c r="M12" s="40">
        <f t="shared" si="3"/>
        <v>10</v>
      </c>
      <c r="N12" s="62" t="str">
        <f t="shared" si="4"/>
        <v>TRANSITA</v>
      </c>
      <c r="O12" s="102"/>
      <c r="P12" s="103"/>
      <c r="Q12" s="63"/>
      <c r="R12" s="40">
        <f t="shared" si="5"/>
        <v>0</v>
      </c>
      <c r="S12" s="41">
        <f t="shared" si="0"/>
        <v>8.3333333333333339</v>
      </c>
      <c r="T12" s="78" t="str">
        <f t="shared" si="6"/>
        <v>N/TRANSITA</v>
      </c>
    </row>
    <row r="13" spans="1:23" ht="14.25" customHeight="1" x14ac:dyDescent="0.3">
      <c r="B13" s="33">
        <v>5</v>
      </c>
      <c r="C13" s="124" t="s">
        <v>83</v>
      </c>
      <c r="D13" s="60"/>
      <c r="E13" s="91"/>
      <c r="F13" s="177"/>
      <c r="G13" s="174"/>
      <c r="H13" s="40">
        <f t="shared" si="1"/>
        <v>0</v>
      </c>
      <c r="I13" s="62" t="str">
        <f t="shared" si="2"/>
        <v>N/TRANSITA</v>
      </c>
      <c r="J13" s="102"/>
      <c r="K13" s="103"/>
      <c r="L13" s="63"/>
      <c r="M13" s="40">
        <f t="shared" si="3"/>
        <v>0</v>
      </c>
      <c r="N13" s="62" t="str">
        <f t="shared" si="4"/>
        <v>N/TRANSITA</v>
      </c>
      <c r="O13" s="102"/>
      <c r="P13" s="103"/>
      <c r="Q13" s="63"/>
      <c r="R13" s="40">
        <f t="shared" si="5"/>
        <v>0</v>
      </c>
      <c r="S13" s="41">
        <f t="shared" si="0"/>
        <v>0</v>
      </c>
      <c r="T13" s="78" t="str">
        <f t="shared" si="6"/>
        <v>N/TRANSITA</v>
      </c>
      <c r="U13" s="18"/>
      <c r="V13" s="18"/>
      <c r="W13" s="18"/>
    </row>
    <row r="14" spans="1:23" ht="14.25" customHeight="1" x14ac:dyDescent="0.3">
      <c r="B14" s="33">
        <v>6</v>
      </c>
      <c r="C14" s="123" t="s">
        <v>84</v>
      </c>
      <c r="D14" s="60"/>
      <c r="E14" s="91">
        <v>10</v>
      </c>
      <c r="F14" s="177">
        <v>10</v>
      </c>
      <c r="G14" s="174"/>
      <c r="H14" s="40">
        <f t="shared" si="1"/>
        <v>10</v>
      </c>
      <c r="I14" s="62" t="str">
        <f t="shared" si="2"/>
        <v>TRANSITA</v>
      </c>
      <c r="J14" s="102"/>
      <c r="K14" s="103"/>
      <c r="L14" s="63"/>
      <c r="M14" s="40">
        <f t="shared" si="3"/>
        <v>0</v>
      </c>
      <c r="N14" s="62" t="str">
        <f t="shared" si="4"/>
        <v>N/TRANSITA</v>
      </c>
      <c r="O14" s="102"/>
      <c r="P14" s="103"/>
      <c r="Q14" s="63"/>
      <c r="R14" s="40">
        <f t="shared" si="5"/>
        <v>0</v>
      </c>
      <c r="S14" s="41">
        <f t="shared" si="0"/>
        <v>3.3333333333333335</v>
      </c>
      <c r="T14" s="78" t="str">
        <f t="shared" si="6"/>
        <v>N/TRANSITA</v>
      </c>
    </row>
    <row r="15" spans="1:23" ht="14.25" customHeight="1" x14ac:dyDescent="0.3">
      <c r="B15" s="33">
        <v>7</v>
      </c>
      <c r="C15" s="123" t="s">
        <v>85</v>
      </c>
      <c r="D15" s="60"/>
      <c r="E15" s="91">
        <v>18</v>
      </c>
      <c r="F15" s="177">
        <v>16</v>
      </c>
      <c r="G15" s="174"/>
      <c r="H15" s="40">
        <f t="shared" si="1"/>
        <v>17</v>
      </c>
      <c r="I15" s="62" t="str">
        <f t="shared" si="2"/>
        <v>TRANSITA</v>
      </c>
      <c r="J15" s="102">
        <v>20</v>
      </c>
      <c r="K15" s="103">
        <v>16</v>
      </c>
      <c r="L15" s="63"/>
      <c r="M15" s="40">
        <f t="shared" si="3"/>
        <v>18</v>
      </c>
      <c r="N15" s="62" t="str">
        <f t="shared" si="4"/>
        <v>TRANSITA</v>
      </c>
      <c r="O15" s="102"/>
      <c r="P15" s="103"/>
      <c r="Q15" s="63"/>
      <c r="R15" s="40">
        <f t="shared" si="5"/>
        <v>0</v>
      </c>
      <c r="S15" s="41">
        <f t="shared" si="0"/>
        <v>11.666666666666666</v>
      </c>
      <c r="T15" s="78" t="str">
        <f t="shared" si="6"/>
        <v>TRANSITA</v>
      </c>
    </row>
    <row r="16" spans="1:23" ht="14.25" customHeight="1" x14ac:dyDescent="0.3">
      <c r="B16" s="33">
        <v>8</v>
      </c>
      <c r="C16" s="124" t="s">
        <v>86</v>
      </c>
      <c r="D16" s="60"/>
      <c r="E16" s="91">
        <v>15</v>
      </c>
      <c r="F16" s="177">
        <v>15</v>
      </c>
      <c r="G16" s="174"/>
      <c r="H16" s="40">
        <f t="shared" si="1"/>
        <v>15</v>
      </c>
      <c r="I16" s="62" t="str">
        <f t="shared" si="2"/>
        <v>TRANSITA</v>
      </c>
      <c r="J16" s="102"/>
      <c r="K16" s="103"/>
      <c r="L16" s="63"/>
      <c r="M16" s="40">
        <f t="shared" si="3"/>
        <v>0</v>
      </c>
      <c r="N16" s="62" t="str">
        <f t="shared" si="4"/>
        <v>N/TRANSITA</v>
      </c>
      <c r="O16" s="102"/>
      <c r="P16" s="103"/>
      <c r="Q16" s="63"/>
      <c r="R16" s="40">
        <f t="shared" si="5"/>
        <v>0</v>
      </c>
      <c r="S16" s="41">
        <f t="shared" si="0"/>
        <v>5</v>
      </c>
      <c r="T16" s="78" t="str">
        <f t="shared" si="6"/>
        <v>N/TRANSITA</v>
      </c>
    </row>
    <row r="17" spans="2:20" ht="14.25" customHeight="1" x14ac:dyDescent="0.3">
      <c r="B17" s="33">
        <v>9</v>
      </c>
      <c r="C17" s="123" t="s">
        <v>87</v>
      </c>
      <c r="D17" s="60"/>
      <c r="E17" s="91">
        <v>17</v>
      </c>
      <c r="F17" s="177">
        <v>15</v>
      </c>
      <c r="G17" s="174"/>
      <c r="H17" s="40">
        <f t="shared" si="1"/>
        <v>16</v>
      </c>
      <c r="I17" s="62" t="str">
        <f t="shared" si="2"/>
        <v>TRANSITA</v>
      </c>
      <c r="J17" s="102">
        <v>16</v>
      </c>
      <c r="K17" s="128">
        <v>12</v>
      </c>
      <c r="L17" s="63"/>
      <c r="M17" s="40">
        <f t="shared" si="3"/>
        <v>14</v>
      </c>
      <c r="N17" s="62" t="str">
        <f t="shared" ref="N17:N18" si="7">IF(M17&gt;=10,"TRANSITA","N/TRANSITA")</f>
        <v>TRANSITA</v>
      </c>
      <c r="O17" s="102"/>
      <c r="P17" s="103"/>
      <c r="Q17" s="63"/>
      <c r="R17" s="40">
        <f t="shared" si="5"/>
        <v>0</v>
      </c>
      <c r="S17" s="41">
        <f t="shared" si="0"/>
        <v>10</v>
      </c>
      <c r="T17" s="78" t="str">
        <f t="shared" ref="T17:T18" si="8">IF(S17&gt;=10,"TRANSITA","N/TRANSITA")</f>
        <v>TRANSITA</v>
      </c>
    </row>
    <row r="18" spans="2:20" ht="14.25" customHeight="1" x14ac:dyDescent="0.3">
      <c r="B18" s="33">
        <v>10</v>
      </c>
      <c r="C18" s="124" t="s">
        <v>88</v>
      </c>
      <c r="D18" s="60"/>
      <c r="E18" s="91">
        <v>10</v>
      </c>
      <c r="F18" s="177">
        <v>10</v>
      </c>
      <c r="G18" s="174"/>
      <c r="H18" s="40">
        <f t="shared" si="1"/>
        <v>10</v>
      </c>
      <c r="I18" s="62" t="str">
        <f t="shared" si="2"/>
        <v>TRANSITA</v>
      </c>
      <c r="J18" s="102"/>
      <c r="K18" s="103"/>
      <c r="L18" s="63"/>
      <c r="M18" s="40">
        <f t="shared" si="3"/>
        <v>0</v>
      </c>
      <c r="N18" s="62" t="str">
        <f t="shared" si="7"/>
        <v>N/TRANSITA</v>
      </c>
      <c r="O18" s="102"/>
      <c r="P18" s="103"/>
      <c r="Q18" s="63"/>
      <c r="R18" s="40">
        <f t="shared" si="5"/>
        <v>0</v>
      </c>
      <c r="S18" s="41">
        <f t="shared" si="0"/>
        <v>3.3333333333333335</v>
      </c>
      <c r="T18" s="78" t="str">
        <f t="shared" si="8"/>
        <v>N/TRANSITA</v>
      </c>
    </row>
    <row r="19" spans="2:20" ht="14.25" customHeight="1" x14ac:dyDescent="0.3">
      <c r="B19" s="33">
        <v>11</v>
      </c>
      <c r="C19" s="123" t="s">
        <v>89</v>
      </c>
      <c r="D19" s="60"/>
      <c r="E19" s="91"/>
      <c r="F19" s="177"/>
      <c r="G19" s="174"/>
      <c r="H19" s="40">
        <f t="shared" si="1"/>
        <v>0</v>
      </c>
      <c r="I19" s="62" t="str">
        <f t="shared" si="2"/>
        <v>N/TRANSITA</v>
      </c>
      <c r="J19" s="102"/>
      <c r="K19" s="103"/>
      <c r="L19" s="63"/>
      <c r="M19" s="40">
        <f t="shared" si="3"/>
        <v>0</v>
      </c>
      <c r="N19" s="62" t="str">
        <f t="shared" si="4"/>
        <v>N/TRANSITA</v>
      </c>
      <c r="O19" s="102"/>
      <c r="P19" s="103"/>
      <c r="Q19" s="63"/>
      <c r="R19" s="40">
        <f t="shared" si="5"/>
        <v>0</v>
      </c>
      <c r="S19" s="41">
        <f t="shared" si="0"/>
        <v>0</v>
      </c>
      <c r="T19" s="78" t="str">
        <f t="shared" si="6"/>
        <v>N/TRANSITA</v>
      </c>
    </row>
    <row r="20" spans="2:20" ht="14.25" customHeight="1" x14ac:dyDescent="0.3">
      <c r="B20" s="33">
        <v>12</v>
      </c>
      <c r="C20" s="124" t="s">
        <v>90</v>
      </c>
      <c r="D20" s="60"/>
      <c r="E20" s="91">
        <v>14</v>
      </c>
      <c r="F20" s="177">
        <v>16</v>
      </c>
      <c r="G20" s="174"/>
      <c r="H20" s="40">
        <f t="shared" si="1"/>
        <v>15</v>
      </c>
      <c r="I20" s="62" t="str">
        <f t="shared" si="2"/>
        <v>TRANSITA</v>
      </c>
      <c r="J20" s="102"/>
      <c r="K20" s="103"/>
      <c r="L20" s="63"/>
      <c r="M20" s="40">
        <f t="shared" si="3"/>
        <v>0</v>
      </c>
      <c r="N20" s="62" t="str">
        <f t="shared" si="4"/>
        <v>N/TRANSITA</v>
      </c>
      <c r="O20" s="102"/>
      <c r="P20" s="103"/>
      <c r="Q20" s="63"/>
      <c r="R20" s="40">
        <f t="shared" si="5"/>
        <v>0</v>
      </c>
      <c r="S20" s="41">
        <f t="shared" si="0"/>
        <v>5</v>
      </c>
      <c r="T20" s="78" t="str">
        <f t="shared" si="6"/>
        <v>N/TRANSITA</v>
      </c>
    </row>
    <row r="21" spans="2:20" ht="14.25" customHeight="1" x14ac:dyDescent="0.3">
      <c r="B21" s="33">
        <v>13</v>
      </c>
      <c r="C21" s="123" t="s">
        <v>91</v>
      </c>
      <c r="D21" s="60"/>
      <c r="E21" s="91"/>
      <c r="F21" s="177"/>
      <c r="G21" s="174"/>
      <c r="H21" s="40">
        <f t="shared" si="1"/>
        <v>0</v>
      </c>
      <c r="I21" s="62" t="str">
        <f t="shared" si="2"/>
        <v>N/TRANSITA</v>
      </c>
      <c r="J21" s="102"/>
      <c r="K21" s="103"/>
      <c r="L21" s="63"/>
      <c r="M21" s="40">
        <f t="shared" si="3"/>
        <v>0</v>
      </c>
      <c r="N21" s="62" t="str">
        <f t="shared" si="4"/>
        <v>N/TRANSITA</v>
      </c>
      <c r="O21" s="102"/>
      <c r="P21" s="103"/>
      <c r="Q21" s="63"/>
      <c r="R21" s="40">
        <f t="shared" si="5"/>
        <v>0</v>
      </c>
      <c r="S21" s="41">
        <f t="shared" si="0"/>
        <v>0</v>
      </c>
      <c r="T21" s="78" t="str">
        <f t="shared" si="6"/>
        <v>N/TRANSITA</v>
      </c>
    </row>
    <row r="22" spans="2:20" ht="14.25" customHeight="1" x14ac:dyDescent="0.3">
      <c r="B22" s="33">
        <v>14</v>
      </c>
      <c r="C22" s="123" t="s">
        <v>92</v>
      </c>
      <c r="D22" s="60"/>
      <c r="E22" s="91">
        <v>16</v>
      </c>
      <c r="F22" s="177">
        <v>18</v>
      </c>
      <c r="G22" s="174"/>
      <c r="H22" s="40">
        <f t="shared" si="1"/>
        <v>17</v>
      </c>
      <c r="I22" s="62" t="str">
        <f t="shared" si="2"/>
        <v>TRANSITA</v>
      </c>
      <c r="J22" s="102">
        <v>14</v>
      </c>
      <c r="K22" s="103"/>
      <c r="L22" s="63"/>
      <c r="M22" s="40">
        <f t="shared" si="3"/>
        <v>7</v>
      </c>
      <c r="N22" s="62" t="str">
        <f t="shared" si="4"/>
        <v>N/TRANSITA</v>
      </c>
      <c r="O22" s="102"/>
      <c r="P22" s="103"/>
      <c r="Q22" s="63"/>
      <c r="R22" s="40">
        <f t="shared" si="5"/>
        <v>0</v>
      </c>
      <c r="S22" s="41">
        <f t="shared" si="0"/>
        <v>8</v>
      </c>
      <c r="T22" s="78" t="str">
        <f t="shared" si="6"/>
        <v>N/TRANSITA</v>
      </c>
    </row>
    <row r="23" spans="2:20" ht="14.25" customHeight="1" x14ac:dyDescent="0.3">
      <c r="B23" s="33">
        <v>15</v>
      </c>
      <c r="C23" s="124" t="s">
        <v>114</v>
      </c>
      <c r="D23" s="60"/>
      <c r="E23" s="91">
        <v>10</v>
      </c>
      <c r="F23" s="177">
        <v>10</v>
      </c>
      <c r="G23" s="174"/>
      <c r="H23" s="40">
        <f t="shared" si="1"/>
        <v>10</v>
      </c>
      <c r="I23" s="62" t="str">
        <f t="shared" si="2"/>
        <v>TRANSITA</v>
      </c>
      <c r="J23" s="102"/>
      <c r="K23" s="103"/>
      <c r="L23" s="63"/>
      <c r="M23" s="40">
        <f t="shared" si="3"/>
        <v>0</v>
      </c>
      <c r="N23" s="62" t="str">
        <f t="shared" si="4"/>
        <v>N/TRANSITA</v>
      </c>
      <c r="O23" s="102"/>
      <c r="P23" s="103"/>
      <c r="Q23" s="63"/>
      <c r="R23" s="40">
        <f t="shared" si="5"/>
        <v>0</v>
      </c>
      <c r="S23" s="41">
        <f t="shared" si="0"/>
        <v>3.3333333333333335</v>
      </c>
      <c r="T23" s="78" t="str">
        <f t="shared" si="6"/>
        <v>N/TRANSITA</v>
      </c>
    </row>
    <row r="24" spans="2:20" ht="14.25" customHeight="1" x14ac:dyDescent="0.3">
      <c r="B24" s="33">
        <v>16</v>
      </c>
      <c r="C24" s="124" t="s">
        <v>93</v>
      </c>
      <c r="D24" s="60"/>
      <c r="E24" s="91">
        <v>6</v>
      </c>
      <c r="F24" s="177">
        <v>10</v>
      </c>
      <c r="G24" s="174"/>
      <c r="H24" s="40">
        <f t="shared" si="1"/>
        <v>8</v>
      </c>
      <c r="I24" s="62" t="str">
        <f t="shared" si="2"/>
        <v>N/TRANSITA</v>
      </c>
      <c r="J24" s="102"/>
      <c r="K24" s="103"/>
      <c r="L24" s="63"/>
      <c r="M24" s="40">
        <f t="shared" si="3"/>
        <v>0</v>
      </c>
      <c r="N24" s="62" t="str">
        <f t="shared" si="4"/>
        <v>N/TRANSITA</v>
      </c>
      <c r="O24" s="102"/>
      <c r="P24" s="103"/>
      <c r="Q24" s="63"/>
      <c r="R24" s="40">
        <f t="shared" si="5"/>
        <v>0</v>
      </c>
      <c r="S24" s="41">
        <f t="shared" si="0"/>
        <v>2.6666666666666665</v>
      </c>
      <c r="T24" s="78" t="str">
        <f t="shared" si="6"/>
        <v>N/TRANSITA</v>
      </c>
    </row>
    <row r="25" spans="2:20" ht="14.25" customHeight="1" x14ac:dyDescent="0.3">
      <c r="B25" s="33">
        <v>17</v>
      </c>
      <c r="C25" s="123" t="s">
        <v>94</v>
      </c>
      <c r="D25" s="60"/>
      <c r="E25" s="91"/>
      <c r="F25" s="177"/>
      <c r="G25" s="174"/>
      <c r="H25" s="40">
        <f t="shared" si="1"/>
        <v>0</v>
      </c>
      <c r="I25" s="62" t="str">
        <f t="shared" si="2"/>
        <v>N/TRANSITA</v>
      </c>
      <c r="J25" s="102"/>
      <c r="K25" s="103"/>
      <c r="L25" s="63"/>
      <c r="M25" s="40">
        <f t="shared" si="3"/>
        <v>0</v>
      </c>
      <c r="N25" s="62" t="str">
        <f t="shared" si="4"/>
        <v>N/TRANSITA</v>
      </c>
      <c r="O25" s="102"/>
      <c r="P25" s="103"/>
      <c r="Q25" s="63"/>
      <c r="R25" s="40">
        <f t="shared" si="5"/>
        <v>0</v>
      </c>
      <c r="S25" s="41">
        <f t="shared" si="0"/>
        <v>0</v>
      </c>
      <c r="T25" s="78" t="str">
        <f t="shared" si="6"/>
        <v>N/TRANSITA</v>
      </c>
    </row>
    <row r="26" spans="2:20" ht="14.25" customHeight="1" x14ac:dyDescent="0.3">
      <c r="B26" s="33">
        <v>18</v>
      </c>
      <c r="C26" s="124" t="s">
        <v>95</v>
      </c>
      <c r="D26" s="60"/>
      <c r="E26" s="91">
        <v>10</v>
      </c>
      <c r="F26" s="177">
        <v>14</v>
      </c>
      <c r="G26" s="174"/>
      <c r="H26" s="40">
        <f t="shared" si="1"/>
        <v>12</v>
      </c>
      <c r="I26" s="62" t="str">
        <f t="shared" si="2"/>
        <v>TRANSITA</v>
      </c>
      <c r="J26" s="102"/>
      <c r="K26" s="103"/>
      <c r="L26" s="63"/>
      <c r="M26" s="40">
        <f t="shared" si="3"/>
        <v>0</v>
      </c>
      <c r="N26" s="62" t="str">
        <f t="shared" si="4"/>
        <v>N/TRANSITA</v>
      </c>
      <c r="O26" s="102"/>
      <c r="P26" s="103"/>
      <c r="Q26" s="63"/>
      <c r="R26" s="40">
        <f t="shared" si="5"/>
        <v>0</v>
      </c>
      <c r="S26" s="41">
        <f t="shared" si="0"/>
        <v>4</v>
      </c>
      <c r="T26" s="78" t="str">
        <f t="shared" si="6"/>
        <v>N/TRANSITA</v>
      </c>
    </row>
    <row r="27" spans="2:20" ht="14.25" customHeight="1" x14ac:dyDescent="0.3">
      <c r="B27" s="33">
        <v>19</v>
      </c>
      <c r="C27" s="124" t="s">
        <v>96</v>
      </c>
      <c r="D27" s="60"/>
      <c r="E27" s="91">
        <v>6</v>
      </c>
      <c r="F27" s="177">
        <v>10</v>
      </c>
      <c r="G27" s="174"/>
      <c r="H27" s="40">
        <f t="shared" si="1"/>
        <v>8</v>
      </c>
      <c r="I27" s="62" t="str">
        <f t="shared" si="2"/>
        <v>N/TRANSITA</v>
      </c>
      <c r="J27" s="102"/>
      <c r="K27" s="103"/>
      <c r="L27" s="63"/>
      <c r="M27" s="40">
        <f t="shared" si="3"/>
        <v>0</v>
      </c>
      <c r="N27" s="62" t="str">
        <f t="shared" si="4"/>
        <v>N/TRANSITA</v>
      </c>
      <c r="O27" s="102"/>
      <c r="P27" s="103"/>
      <c r="Q27" s="63"/>
      <c r="R27" s="40">
        <f t="shared" si="5"/>
        <v>0</v>
      </c>
      <c r="S27" s="41">
        <f t="shared" si="0"/>
        <v>2.6666666666666665</v>
      </c>
      <c r="T27" s="78" t="str">
        <f t="shared" si="6"/>
        <v>N/TRANSITA</v>
      </c>
    </row>
    <row r="28" spans="2:20" ht="14.25" customHeight="1" x14ac:dyDescent="0.3">
      <c r="B28" s="33">
        <v>20</v>
      </c>
      <c r="C28" s="123" t="s">
        <v>97</v>
      </c>
      <c r="D28" s="60"/>
      <c r="E28" s="91">
        <v>14</v>
      </c>
      <c r="F28" s="177">
        <v>12</v>
      </c>
      <c r="G28" s="174"/>
      <c r="H28" s="40">
        <f t="shared" si="1"/>
        <v>13</v>
      </c>
      <c r="I28" s="62" t="str">
        <f t="shared" si="2"/>
        <v>TRANSITA</v>
      </c>
      <c r="J28" s="102"/>
      <c r="K28" s="103"/>
      <c r="L28" s="63"/>
      <c r="M28" s="40">
        <f t="shared" si="3"/>
        <v>0</v>
      </c>
      <c r="N28" s="62" t="str">
        <f t="shared" si="4"/>
        <v>N/TRANSITA</v>
      </c>
      <c r="O28" s="102"/>
      <c r="P28" s="103"/>
      <c r="Q28" s="63"/>
      <c r="R28" s="40">
        <f t="shared" si="5"/>
        <v>0</v>
      </c>
      <c r="S28" s="41">
        <f t="shared" si="0"/>
        <v>4.333333333333333</v>
      </c>
      <c r="T28" s="78" t="str">
        <f t="shared" si="6"/>
        <v>N/TRANSITA</v>
      </c>
    </row>
    <row r="29" spans="2:20" ht="14.25" customHeight="1" x14ac:dyDescent="0.3">
      <c r="B29" s="33">
        <v>21</v>
      </c>
      <c r="C29" s="123" t="s">
        <v>98</v>
      </c>
      <c r="D29" s="60"/>
      <c r="E29" s="91"/>
      <c r="F29" s="177"/>
      <c r="G29" s="174"/>
      <c r="H29" s="40">
        <f t="shared" si="1"/>
        <v>0</v>
      </c>
      <c r="I29" s="62" t="str">
        <f t="shared" si="2"/>
        <v>N/TRANSITA</v>
      </c>
      <c r="J29" s="102"/>
      <c r="K29" s="103"/>
      <c r="L29" s="63"/>
      <c r="M29" s="40">
        <f t="shared" si="3"/>
        <v>0</v>
      </c>
      <c r="N29" s="62" t="str">
        <f t="shared" si="4"/>
        <v>N/TRANSITA</v>
      </c>
      <c r="O29" s="102"/>
      <c r="P29" s="103"/>
      <c r="Q29" s="63"/>
      <c r="R29" s="40">
        <f t="shared" si="5"/>
        <v>0</v>
      </c>
      <c r="S29" s="41">
        <f t="shared" si="0"/>
        <v>0</v>
      </c>
      <c r="T29" s="78" t="str">
        <f t="shared" si="6"/>
        <v>N/TRANSITA</v>
      </c>
    </row>
    <row r="30" spans="2:20" ht="14.25" customHeight="1" x14ac:dyDescent="0.3">
      <c r="B30" s="33">
        <v>22</v>
      </c>
      <c r="C30" s="124" t="s">
        <v>99</v>
      </c>
      <c r="D30" s="60"/>
      <c r="E30" s="91">
        <v>6</v>
      </c>
      <c r="F30" s="177">
        <v>10</v>
      </c>
      <c r="G30" s="174"/>
      <c r="H30" s="40">
        <f t="shared" si="1"/>
        <v>8</v>
      </c>
      <c r="I30" s="62" t="str">
        <f t="shared" si="2"/>
        <v>N/TRANSITA</v>
      </c>
      <c r="J30" s="102"/>
      <c r="K30" s="103"/>
      <c r="L30" s="63"/>
      <c r="M30" s="40">
        <f t="shared" si="3"/>
        <v>0</v>
      </c>
      <c r="N30" s="62" t="str">
        <f t="shared" si="4"/>
        <v>N/TRANSITA</v>
      </c>
      <c r="O30" s="102"/>
      <c r="P30" s="103"/>
      <c r="Q30" s="63"/>
      <c r="R30" s="40">
        <f t="shared" si="5"/>
        <v>0</v>
      </c>
      <c r="S30" s="41">
        <f t="shared" si="0"/>
        <v>2.6666666666666665</v>
      </c>
      <c r="T30" s="78" t="str">
        <f t="shared" si="6"/>
        <v>N/TRANSITA</v>
      </c>
    </row>
    <row r="31" spans="2:20" ht="14.25" customHeight="1" x14ac:dyDescent="0.3">
      <c r="B31" s="33">
        <v>23</v>
      </c>
      <c r="C31" s="123" t="s">
        <v>100</v>
      </c>
      <c r="D31" s="60"/>
      <c r="E31" s="91">
        <v>15</v>
      </c>
      <c r="F31" s="177">
        <v>15</v>
      </c>
      <c r="G31" s="174"/>
      <c r="H31" s="40">
        <f t="shared" si="1"/>
        <v>15</v>
      </c>
      <c r="I31" s="62" t="str">
        <f t="shared" si="2"/>
        <v>TRANSITA</v>
      </c>
      <c r="J31" s="102">
        <v>0</v>
      </c>
      <c r="K31" s="103">
        <v>14</v>
      </c>
      <c r="L31" s="63"/>
      <c r="M31" s="40">
        <f t="shared" si="3"/>
        <v>7</v>
      </c>
      <c r="N31" s="62" t="str">
        <f t="shared" si="4"/>
        <v>N/TRANSITA</v>
      </c>
      <c r="O31" s="102"/>
      <c r="P31" s="103"/>
      <c r="Q31" s="63"/>
      <c r="R31" s="40">
        <f t="shared" si="5"/>
        <v>0</v>
      </c>
      <c r="S31" s="41">
        <f t="shared" si="0"/>
        <v>7.333333333333333</v>
      </c>
      <c r="T31" s="78" t="str">
        <f t="shared" si="6"/>
        <v>N/TRANSITA</v>
      </c>
    </row>
    <row r="32" spans="2:20" ht="14.25" customHeight="1" x14ac:dyDescent="0.3">
      <c r="B32" s="33">
        <v>24</v>
      </c>
      <c r="C32" s="123" t="s">
        <v>101</v>
      </c>
      <c r="D32" s="60"/>
      <c r="E32" s="91"/>
      <c r="F32" s="177"/>
      <c r="G32" s="174"/>
      <c r="H32" s="40">
        <f t="shared" si="1"/>
        <v>0</v>
      </c>
      <c r="I32" s="62" t="str">
        <f t="shared" si="2"/>
        <v>N/TRANSITA</v>
      </c>
      <c r="J32" s="102"/>
      <c r="K32" s="103"/>
      <c r="L32" s="63"/>
      <c r="M32" s="40">
        <f t="shared" si="3"/>
        <v>0</v>
      </c>
      <c r="N32" s="62" t="str">
        <f t="shared" si="4"/>
        <v>N/TRANSITA</v>
      </c>
      <c r="O32" s="102"/>
      <c r="P32" s="103"/>
      <c r="Q32" s="63"/>
      <c r="R32" s="40">
        <f t="shared" si="5"/>
        <v>0</v>
      </c>
      <c r="S32" s="41">
        <f t="shared" si="0"/>
        <v>0</v>
      </c>
      <c r="T32" s="78" t="str">
        <f t="shared" si="6"/>
        <v>N/TRANSITA</v>
      </c>
    </row>
    <row r="33" spans="1:20" ht="14.25" customHeight="1" x14ac:dyDescent="0.3">
      <c r="B33" s="33">
        <v>25</v>
      </c>
      <c r="C33" s="124" t="s">
        <v>102</v>
      </c>
      <c r="D33" s="60"/>
      <c r="E33" s="91"/>
      <c r="F33" s="177"/>
      <c r="G33" s="174"/>
      <c r="H33" s="40">
        <f t="shared" si="1"/>
        <v>0</v>
      </c>
      <c r="I33" s="62" t="str">
        <f t="shared" si="2"/>
        <v>N/TRANSITA</v>
      </c>
      <c r="J33" s="102"/>
      <c r="K33" s="103"/>
      <c r="L33" s="63"/>
      <c r="M33" s="40">
        <f t="shared" si="3"/>
        <v>0</v>
      </c>
      <c r="N33" s="62" t="str">
        <f t="shared" si="4"/>
        <v>N/TRANSITA</v>
      </c>
      <c r="O33" s="102"/>
      <c r="P33" s="103"/>
      <c r="Q33" s="63"/>
      <c r="R33" s="40">
        <f t="shared" si="5"/>
        <v>0</v>
      </c>
      <c r="S33" s="41">
        <f t="shared" si="0"/>
        <v>0</v>
      </c>
      <c r="T33" s="78" t="str">
        <f t="shared" si="6"/>
        <v>N/TRANSITA</v>
      </c>
    </row>
    <row r="34" spans="1:20" ht="14.25" customHeight="1" x14ac:dyDescent="0.3">
      <c r="B34" s="33">
        <v>26</v>
      </c>
      <c r="C34" s="123" t="s">
        <v>103</v>
      </c>
      <c r="D34" s="60"/>
      <c r="E34" s="91">
        <v>18</v>
      </c>
      <c r="F34" s="177">
        <v>18</v>
      </c>
      <c r="G34" s="174"/>
      <c r="H34" s="40">
        <f t="shared" si="1"/>
        <v>18</v>
      </c>
      <c r="I34" s="62" t="str">
        <f t="shared" si="2"/>
        <v>TRANSITA</v>
      </c>
      <c r="J34" s="102">
        <v>14</v>
      </c>
      <c r="K34" s="103">
        <v>10</v>
      </c>
      <c r="L34" s="63"/>
      <c r="M34" s="40">
        <f t="shared" si="3"/>
        <v>12</v>
      </c>
      <c r="N34" s="62" t="str">
        <f t="shared" si="4"/>
        <v>TRANSITA</v>
      </c>
      <c r="O34" s="102"/>
      <c r="P34" s="103"/>
      <c r="Q34" s="63"/>
      <c r="R34" s="40">
        <f t="shared" si="5"/>
        <v>0</v>
      </c>
      <c r="S34" s="41">
        <f t="shared" si="0"/>
        <v>10</v>
      </c>
      <c r="T34" s="78" t="str">
        <f t="shared" si="6"/>
        <v>TRANSITA</v>
      </c>
    </row>
    <row r="35" spans="1:20" ht="14.25" customHeight="1" x14ac:dyDescent="0.3">
      <c r="B35" s="33">
        <v>27</v>
      </c>
      <c r="C35" s="124" t="s">
        <v>115</v>
      </c>
      <c r="D35" s="60"/>
      <c r="E35" s="91">
        <v>10</v>
      </c>
      <c r="F35" s="177">
        <v>10</v>
      </c>
      <c r="G35" s="174"/>
      <c r="H35" s="40">
        <f t="shared" si="1"/>
        <v>10</v>
      </c>
      <c r="I35" s="62" t="str">
        <f t="shared" si="2"/>
        <v>TRANSITA</v>
      </c>
      <c r="J35" s="102"/>
      <c r="K35" s="103"/>
      <c r="L35" s="63"/>
      <c r="M35" s="40">
        <f t="shared" si="3"/>
        <v>0</v>
      </c>
      <c r="N35" s="62" t="str">
        <f t="shared" si="4"/>
        <v>N/TRANSITA</v>
      </c>
      <c r="O35" s="102"/>
      <c r="P35" s="103"/>
      <c r="Q35" s="63"/>
      <c r="R35" s="40">
        <f t="shared" si="5"/>
        <v>0</v>
      </c>
      <c r="S35" s="41">
        <f t="shared" si="0"/>
        <v>3.3333333333333335</v>
      </c>
      <c r="T35" s="78" t="str">
        <f t="shared" si="6"/>
        <v>N/TRANSITA</v>
      </c>
    </row>
    <row r="36" spans="1:20" ht="14.25" customHeight="1" x14ac:dyDescent="0.3">
      <c r="B36" s="33">
        <v>28</v>
      </c>
      <c r="C36" s="124" t="s">
        <v>116</v>
      </c>
      <c r="D36" s="60"/>
      <c r="E36" s="91">
        <v>12</v>
      </c>
      <c r="F36" s="177">
        <v>16</v>
      </c>
      <c r="G36" s="174"/>
      <c r="H36" s="40">
        <f t="shared" si="1"/>
        <v>14</v>
      </c>
      <c r="I36" s="62" t="str">
        <f t="shared" si="2"/>
        <v>TRANSITA</v>
      </c>
      <c r="J36" s="102"/>
      <c r="K36" s="103"/>
      <c r="L36" s="63"/>
      <c r="M36" s="40">
        <f t="shared" si="3"/>
        <v>0</v>
      </c>
      <c r="N36" s="62" t="str">
        <f t="shared" si="4"/>
        <v>N/TRANSITA</v>
      </c>
      <c r="O36" s="102"/>
      <c r="P36" s="103"/>
      <c r="Q36" s="63"/>
      <c r="R36" s="40">
        <f t="shared" si="5"/>
        <v>0</v>
      </c>
      <c r="S36" s="41">
        <f t="shared" si="0"/>
        <v>4.666666666666667</v>
      </c>
      <c r="T36" s="78" t="str">
        <f t="shared" si="6"/>
        <v>N/TRANSITA</v>
      </c>
    </row>
    <row r="37" spans="1:20" ht="14.25" customHeight="1" x14ac:dyDescent="0.3">
      <c r="B37" s="33">
        <v>29</v>
      </c>
      <c r="C37" s="123" t="s">
        <v>104</v>
      </c>
      <c r="D37" s="60"/>
      <c r="E37" s="91">
        <v>13</v>
      </c>
      <c r="F37" s="177">
        <v>15</v>
      </c>
      <c r="G37" s="174"/>
      <c r="H37" s="40">
        <f t="shared" si="1"/>
        <v>14</v>
      </c>
      <c r="I37" s="62" t="str">
        <f t="shared" si="2"/>
        <v>TRANSITA</v>
      </c>
      <c r="J37" s="102"/>
      <c r="K37" s="103"/>
      <c r="L37" s="63"/>
      <c r="M37" s="40">
        <f t="shared" ref="M37:M39" si="9">AVERAGE(J37,MAX(K37:L37))</f>
        <v>0</v>
      </c>
      <c r="N37" s="62" t="str">
        <f t="shared" ref="N37:N39" si="10">IF(M37&gt;=10,"TRANSITA","N/TRANSITA")</f>
        <v>N/TRANSITA</v>
      </c>
      <c r="O37" s="102"/>
      <c r="P37" s="103"/>
      <c r="Q37" s="63"/>
      <c r="R37" s="40">
        <f t="shared" ref="R37:R39" si="11">AVERAGE(O37,MAX(P37:Q37))</f>
        <v>0</v>
      </c>
      <c r="S37" s="41">
        <f t="shared" ref="S37:S39" si="12">SUM(H37,M37,R37)/3</f>
        <v>4.666666666666667</v>
      </c>
      <c r="T37" s="78" t="str">
        <f t="shared" ref="T37:T39" si="13">IF(S37&gt;=10,"TRANSITA","N/TRANSITA")</f>
        <v>N/TRANSITA</v>
      </c>
    </row>
    <row r="38" spans="1:20" ht="14.25" customHeight="1" x14ac:dyDescent="0.3">
      <c r="B38" s="33">
        <v>30</v>
      </c>
      <c r="C38" s="123" t="s">
        <v>105</v>
      </c>
      <c r="D38" s="60"/>
      <c r="E38" s="91">
        <v>10</v>
      </c>
      <c r="F38" s="177">
        <v>14</v>
      </c>
      <c r="G38" s="174"/>
      <c r="H38" s="40">
        <f t="shared" si="1"/>
        <v>12</v>
      </c>
      <c r="I38" s="62" t="str">
        <f t="shared" si="2"/>
        <v>TRANSITA</v>
      </c>
      <c r="J38" s="102">
        <v>10</v>
      </c>
      <c r="K38" s="103">
        <v>10</v>
      </c>
      <c r="L38" s="63"/>
      <c r="M38" s="40">
        <f t="shared" si="9"/>
        <v>10</v>
      </c>
      <c r="N38" s="62" t="str">
        <f t="shared" si="10"/>
        <v>TRANSITA</v>
      </c>
      <c r="O38" s="102"/>
      <c r="P38" s="103"/>
      <c r="Q38" s="63"/>
      <c r="R38" s="40">
        <f t="shared" si="11"/>
        <v>0</v>
      </c>
      <c r="S38" s="41">
        <f t="shared" si="12"/>
        <v>7.333333333333333</v>
      </c>
      <c r="T38" s="78" t="str">
        <f t="shared" si="13"/>
        <v>N/TRANSITA</v>
      </c>
    </row>
    <row r="39" spans="1:20" ht="14.25" customHeight="1" x14ac:dyDescent="0.3">
      <c r="B39" s="33">
        <v>31</v>
      </c>
      <c r="C39" s="124" t="s">
        <v>106</v>
      </c>
      <c r="D39" s="60"/>
      <c r="E39" s="91">
        <v>6</v>
      </c>
      <c r="F39" s="177">
        <v>10</v>
      </c>
      <c r="G39" s="174"/>
      <c r="H39" s="40">
        <f t="shared" si="1"/>
        <v>8</v>
      </c>
      <c r="I39" s="62" t="str">
        <f t="shared" si="2"/>
        <v>N/TRANSITA</v>
      </c>
      <c r="J39" s="102"/>
      <c r="K39" s="103"/>
      <c r="L39" s="63"/>
      <c r="M39" s="40">
        <f t="shared" si="9"/>
        <v>0</v>
      </c>
      <c r="N39" s="62" t="str">
        <f t="shared" si="10"/>
        <v>N/TRANSITA</v>
      </c>
      <c r="O39" s="102"/>
      <c r="P39" s="103"/>
      <c r="Q39" s="63"/>
      <c r="R39" s="40">
        <f t="shared" si="11"/>
        <v>0</v>
      </c>
      <c r="S39" s="41">
        <f t="shared" si="12"/>
        <v>2.6666666666666665</v>
      </c>
      <c r="T39" s="78" t="str">
        <f t="shared" si="13"/>
        <v>N/TRANSITA</v>
      </c>
    </row>
    <row r="40" spans="1:20" ht="14.25" customHeight="1" x14ac:dyDescent="0.3">
      <c r="B40" s="33">
        <v>32</v>
      </c>
      <c r="C40" s="124" t="s">
        <v>107</v>
      </c>
      <c r="D40" s="60"/>
      <c r="E40" s="91"/>
      <c r="F40" s="177"/>
      <c r="G40" s="174"/>
      <c r="H40" s="40">
        <f t="shared" si="1"/>
        <v>0</v>
      </c>
      <c r="I40" s="62" t="str">
        <f t="shared" si="2"/>
        <v>N/TRANSITA</v>
      </c>
      <c r="J40" s="102"/>
      <c r="K40" s="103"/>
      <c r="L40" s="63"/>
      <c r="M40" s="40">
        <f t="shared" si="3"/>
        <v>0</v>
      </c>
      <c r="N40" s="62" t="str">
        <f t="shared" si="4"/>
        <v>N/TRANSITA</v>
      </c>
      <c r="O40" s="102"/>
      <c r="P40" s="103"/>
      <c r="Q40" s="63"/>
      <c r="R40" s="40">
        <f t="shared" si="5"/>
        <v>0</v>
      </c>
      <c r="S40" s="41">
        <f t="shared" si="0"/>
        <v>0</v>
      </c>
      <c r="T40" s="78" t="str">
        <f t="shared" si="6"/>
        <v>N/TRANSITA</v>
      </c>
    </row>
    <row r="41" spans="1:20" ht="14.25" customHeight="1" x14ac:dyDescent="0.3">
      <c r="B41" s="33">
        <v>33</v>
      </c>
      <c r="C41" s="123" t="s">
        <v>108</v>
      </c>
      <c r="D41" s="60"/>
      <c r="E41" s="91"/>
      <c r="F41" s="177"/>
      <c r="G41" s="174"/>
      <c r="H41" s="40">
        <f t="shared" si="1"/>
        <v>0</v>
      </c>
      <c r="I41" s="62" t="str">
        <f t="shared" si="2"/>
        <v>N/TRANSITA</v>
      </c>
      <c r="J41" s="102"/>
      <c r="K41" s="103"/>
      <c r="L41" s="63"/>
      <c r="M41" s="40">
        <f t="shared" si="3"/>
        <v>0</v>
      </c>
      <c r="N41" s="62" t="str">
        <f t="shared" si="4"/>
        <v>N/TRANSITA</v>
      </c>
      <c r="O41" s="102"/>
      <c r="P41" s="103"/>
      <c r="Q41" s="63"/>
      <c r="R41" s="40">
        <f t="shared" si="5"/>
        <v>0</v>
      </c>
      <c r="S41" s="41">
        <f t="shared" si="0"/>
        <v>0</v>
      </c>
      <c r="T41" s="78" t="str">
        <f t="shared" si="6"/>
        <v>N/TRANSITA</v>
      </c>
    </row>
    <row r="42" spans="1:20" ht="14.25" customHeight="1" x14ac:dyDescent="0.3">
      <c r="B42" s="33">
        <v>34</v>
      </c>
      <c r="C42" s="123" t="s">
        <v>109</v>
      </c>
      <c r="D42" s="60"/>
      <c r="E42" s="91">
        <v>12</v>
      </c>
      <c r="F42" s="177">
        <v>14</v>
      </c>
      <c r="G42" s="174"/>
      <c r="H42" s="40">
        <f t="shared" si="1"/>
        <v>13</v>
      </c>
      <c r="I42" s="62" t="str">
        <f t="shared" si="2"/>
        <v>TRANSITA</v>
      </c>
      <c r="J42" s="102">
        <v>16</v>
      </c>
      <c r="K42" s="103"/>
      <c r="L42" s="63"/>
      <c r="M42" s="40">
        <f t="shared" si="3"/>
        <v>8</v>
      </c>
      <c r="N42" s="62" t="str">
        <f t="shared" si="4"/>
        <v>N/TRANSITA</v>
      </c>
      <c r="O42" s="102"/>
      <c r="P42" s="103"/>
      <c r="Q42" s="63"/>
      <c r="R42" s="40">
        <f t="shared" si="5"/>
        <v>0</v>
      </c>
      <c r="S42" s="41">
        <f t="shared" si="0"/>
        <v>7</v>
      </c>
      <c r="T42" s="78" t="str">
        <f t="shared" si="6"/>
        <v>N/TRANSITA</v>
      </c>
    </row>
    <row r="43" spans="1:20" ht="14.25" customHeight="1" x14ac:dyDescent="0.3">
      <c r="B43" s="33">
        <v>35</v>
      </c>
      <c r="C43" s="123" t="s">
        <v>110</v>
      </c>
      <c r="D43" s="60"/>
      <c r="E43" s="91">
        <v>18</v>
      </c>
      <c r="F43" s="177">
        <v>14</v>
      </c>
      <c r="G43" s="174"/>
      <c r="H43" s="40">
        <f t="shared" si="1"/>
        <v>16</v>
      </c>
      <c r="I43" s="62" t="str">
        <f t="shared" si="2"/>
        <v>TRANSITA</v>
      </c>
      <c r="J43" s="102">
        <v>14</v>
      </c>
      <c r="K43" s="103">
        <v>10</v>
      </c>
      <c r="L43" s="63"/>
      <c r="M43" s="40">
        <f t="shared" si="3"/>
        <v>12</v>
      </c>
      <c r="N43" s="62" t="str">
        <f t="shared" si="4"/>
        <v>TRANSITA</v>
      </c>
      <c r="O43" s="102"/>
      <c r="P43" s="103"/>
      <c r="Q43" s="63"/>
      <c r="R43" s="40">
        <f t="shared" si="5"/>
        <v>0</v>
      </c>
      <c r="S43" s="41">
        <f t="shared" si="0"/>
        <v>9.3333333333333339</v>
      </c>
      <c r="T43" s="78" t="str">
        <f t="shared" si="6"/>
        <v>N/TRANSITA</v>
      </c>
    </row>
    <row r="44" spans="1:20" ht="14.25" customHeight="1" x14ac:dyDescent="0.3">
      <c r="B44" s="33">
        <v>36</v>
      </c>
      <c r="C44" s="124" t="s">
        <v>111</v>
      </c>
      <c r="D44" s="60"/>
      <c r="E44" s="91">
        <v>6</v>
      </c>
      <c r="F44" s="177">
        <v>10</v>
      </c>
      <c r="G44" s="174"/>
      <c r="H44" s="40">
        <f t="shared" si="1"/>
        <v>8</v>
      </c>
      <c r="I44" s="62" t="str">
        <f t="shared" si="2"/>
        <v>N/TRANSITA</v>
      </c>
      <c r="J44" s="102"/>
      <c r="K44" s="103"/>
      <c r="L44" s="63"/>
      <c r="M44" s="40">
        <f t="shared" si="3"/>
        <v>0</v>
      </c>
      <c r="N44" s="62" t="str">
        <f t="shared" si="4"/>
        <v>N/TRANSITA</v>
      </c>
      <c r="O44" s="102"/>
      <c r="P44" s="103"/>
      <c r="Q44" s="63"/>
      <c r="R44" s="40">
        <f t="shared" si="5"/>
        <v>0</v>
      </c>
      <c r="S44" s="41">
        <f t="shared" ref="S44:S46" si="14">SUM(H44,M44,R44)/3</f>
        <v>2.6666666666666665</v>
      </c>
      <c r="T44" s="78" t="str">
        <f t="shared" si="6"/>
        <v>N/TRANSITA</v>
      </c>
    </row>
    <row r="45" spans="1:20" ht="14.25" customHeight="1" x14ac:dyDescent="0.3">
      <c r="B45" s="33">
        <v>37</v>
      </c>
      <c r="C45" s="123" t="s">
        <v>112</v>
      </c>
      <c r="D45" s="60"/>
      <c r="E45" s="91">
        <v>6</v>
      </c>
      <c r="F45" s="177">
        <v>10</v>
      </c>
      <c r="G45" s="174"/>
      <c r="H45" s="40">
        <f t="shared" si="1"/>
        <v>8</v>
      </c>
      <c r="I45" s="62" t="str">
        <f t="shared" si="2"/>
        <v>N/TRANSITA</v>
      </c>
      <c r="J45" s="102"/>
      <c r="K45" s="103"/>
      <c r="L45" s="63"/>
      <c r="M45" s="40">
        <f t="shared" si="3"/>
        <v>0</v>
      </c>
      <c r="N45" s="62" t="str">
        <f t="shared" si="4"/>
        <v>N/TRANSITA</v>
      </c>
      <c r="O45" s="102"/>
      <c r="P45" s="103"/>
      <c r="Q45" s="63"/>
      <c r="R45" s="40">
        <f t="shared" si="5"/>
        <v>0</v>
      </c>
      <c r="S45" s="41">
        <f t="shared" si="14"/>
        <v>2.6666666666666665</v>
      </c>
      <c r="T45" s="78" t="str">
        <f t="shared" si="6"/>
        <v>N/TRANSITA</v>
      </c>
    </row>
    <row r="46" spans="1:20" ht="14.25" customHeight="1" thickBot="1" x14ac:dyDescent="0.35">
      <c r="B46" s="33">
        <v>38</v>
      </c>
      <c r="C46" s="125" t="s">
        <v>113</v>
      </c>
      <c r="D46" s="61"/>
      <c r="E46" s="93"/>
      <c r="F46" s="178"/>
      <c r="G46" s="175"/>
      <c r="H46" s="146">
        <f t="shared" si="1"/>
        <v>0</v>
      </c>
      <c r="I46" s="72" t="str">
        <f t="shared" si="2"/>
        <v>N/TRANSITA</v>
      </c>
      <c r="J46" s="104"/>
      <c r="K46" s="105"/>
      <c r="L46" s="66"/>
      <c r="M46" s="146">
        <f t="shared" si="3"/>
        <v>0</v>
      </c>
      <c r="N46" s="72" t="str">
        <f t="shared" si="4"/>
        <v>N/TRANSITA</v>
      </c>
      <c r="O46" s="104"/>
      <c r="P46" s="105"/>
      <c r="Q46" s="66"/>
      <c r="R46" s="146">
        <f t="shared" si="5"/>
        <v>0</v>
      </c>
      <c r="S46" s="42">
        <f t="shared" si="14"/>
        <v>0</v>
      </c>
      <c r="T46" s="79" t="str">
        <f t="shared" si="6"/>
        <v>N/TRANSITA</v>
      </c>
    </row>
    <row r="47" spans="1:20" ht="93.75" customHeight="1" thickTop="1" x14ac:dyDescent="0.3">
      <c r="B47" s="19"/>
      <c r="C47" s="19"/>
      <c r="D47" s="19"/>
      <c r="E47" s="19"/>
      <c r="F47" s="19"/>
      <c r="G47" s="19"/>
      <c r="H47" s="19"/>
      <c r="I47" s="19"/>
      <c r="J47" s="19"/>
      <c r="O47" s="19"/>
      <c r="P47" s="19"/>
      <c r="Q47" s="19"/>
      <c r="R47" s="19"/>
      <c r="S47" s="19"/>
      <c r="T47" s="19"/>
    </row>
    <row r="48" spans="1:20" ht="20.25" customHeight="1" x14ac:dyDescent="0.45">
      <c r="A48" s="20"/>
      <c r="B48" s="20"/>
      <c r="C48" s="20"/>
      <c r="D48" s="20"/>
      <c r="E48" s="20"/>
      <c r="F48" s="20"/>
      <c r="G48" s="20"/>
      <c r="H48" s="20"/>
      <c r="I48" s="20"/>
      <c r="J48" s="20"/>
      <c r="O48" s="20"/>
      <c r="P48" s="21"/>
      <c r="Q48" s="21"/>
      <c r="R48" s="21"/>
      <c r="S48" s="20"/>
      <c r="T48" s="20"/>
    </row>
    <row r="49" spans="1:20" ht="15.6" x14ac:dyDescent="0.3">
      <c r="A49" s="248" t="s">
        <v>50</v>
      </c>
      <c r="B49" s="248"/>
      <c r="C49" s="248"/>
      <c r="D49" s="248"/>
      <c r="E49" s="248"/>
      <c r="F49" s="22"/>
      <c r="G49" s="22"/>
      <c r="H49" s="22"/>
      <c r="I49" s="22"/>
      <c r="J49" s="22"/>
      <c r="K49" s="23"/>
      <c r="L49" s="23"/>
      <c r="M49" s="23"/>
      <c r="N49" s="23"/>
      <c r="O49" s="248" t="s">
        <v>9</v>
      </c>
      <c r="P49" s="248"/>
      <c r="Q49" s="248"/>
      <c r="R49" s="248"/>
      <c r="S49" s="248"/>
      <c r="T49" s="248"/>
    </row>
    <row r="50" spans="1:20" ht="15.6" x14ac:dyDescent="0.3">
      <c r="A50" s="249" t="s">
        <v>21</v>
      </c>
      <c r="B50" s="249"/>
      <c r="C50" s="249"/>
      <c r="D50" s="249"/>
      <c r="E50" s="249"/>
      <c r="F50" s="24"/>
      <c r="G50" s="24"/>
      <c r="H50" s="24"/>
      <c r="I50" s="24"/>
      <c r="J50" s="24"/>
      <c r="O50" s="250" t="s">
        <v>22</v>
      </c>
      <c r="P50" s="250"/>
      <c r="Q50" s="250"/>
      <c r="R50" s="250"/>
      <c r="S50" s="250"/>
      <c r="T50" s="250"/>
    </row>
    <row r="51" spans="1:20" x14ac:dyDescent="0.3">
      <c r="A51" s="242"/>
      <c r="B51" s="242"/>
      <c r="C51" s="242"/>
      <c r="D51" s="242"/>
      <c r="E51" s="242"/>
      <c r="O51" s="242" t="s">
        <v>23</v>
      </c>
      <c r="P51" s="242"/>
      <c r="Q51" s="242"/>
      <c r="R51" s="242"/>
      <c r="S51" s="242"/>
      <c r="T51" s="242"/>
    </row>
  </sheetData>
  <mergeCells count="22">
    <mergeCell ref="B6:T6"/>
    <mergeCell ref="B5:C5"/>
    <mergeCell ref="A1:T1"/>
    <mergeCell ref="B3:R3"/>
    <mergeCell ref="B4:C4"/>
    <mergeCell ref="P4:T4"/>
    <mergeCell ref="N5:T5"/>
    <mergeCell ref="A51:E51"/>
    <mergeCell ref="O51:T51"/>
    <mergeCell ref="S7:S8"/>
    <mergeCell ref="T7:T8"/>
    <mergeCell ref="A49:E49"/>
    <mergeCell ref="O49:T49"/>
    <mergeCell ref="A50:E50"/>
    <mergeCell ref="O50:T50"/>
    <mergeCell ref="B7:B8"/>
    <mergeCell ref="C7:C8"/>
    <mergeCell ref="E7:H7"/>
    <mergeCell ref="J7:M7"/>
    <mergeCell ref="O7:R7"/>
    <mergeCell ref="I7:I8"/>
    <mergeCell ref="N7:N8"/>
  </mergeCells>
  <conditionalFormatting sqref="S9:S46">
    <cfRule type="cellIs" dxfId="135" priority="153" stopIfTrue="1" operator="greaterThan">
      <formula>9.5</formula>
    </cfRule>
    <cfRule type="cellIs" dxfId="134" priority="154" stopIfTrue="1" operator="lessThanOrEqual">
      <formula>9.5</formula>
    </cfRule>
  </conditionalFormatting>
  <conditionalFormatting sqref="M9:M46 R9:R46">
    <cfRule type="cellIs" dxfId="133" priority="119" stopIfTrue="1" operator="lessThan">
      <formula>10</formula>
    </cfRule>
    <cfRule type="cellIs" dxfId="132" priority="120" stopIfTrue="1" operator="greaterThanOrEqual">
      <formula>10</formula>
    </cfRule>
  </conditionalFormatting>
  <conditionalFormatting sqref="L9:L46 O9:Q46">
    <cfRule type="cellIs" dxfId="131" priority="49" stopIfTrue="1" operator="lessThan">
      <formula>10</formula>
    </cfRule>
    <cfRule type="cellIs" dxfId="130" priority="50" stopIfTrue="1" operator="greaterThan">
      <formula>9</formula>
    </cfRule>
    <cfRule type="cellIs" dxfId="129" priority="51" stopIfTrue="1" operator="lessThan">
      <formula>10</formula>
    </cfRule>
    <cfRule type="cellIs" dxfId="128" priority="52" stopIfTrue="1" operator="greaterThan">
      <formula>9</formula>
    </cfRule>
  </conditionalFormatting>
  <conditionalFormatting sqref="H9:H46">
    <cfRule type="cellIs" dxfId="127" priority="11" stopIfTrue="1" operator="lessThan">
      <formula>10</formula>
    </cfRule>
    <cfRule type="cellIs" dxfId="126" priority="12" stopIfTrue="1" operator="greaterThanOrEqual">
      <formula>10</formula>
    </cfRule>
  </conditionalFormatting>
  <conditionalFormatting sqref="G17:G46 J9:K46 E9:F46">
    <cfRule type="cellIs" dxfId="125" priority="5" stopIfTrue="1" operator="lessThan">
      <formula>10</formula>
    </cfRule>
    <cfRule type="cellIs" dxfId="124" priority="6" stopIfTrue="1" operator="greaterThan">
      <formula>9</formula>
    </cfRule>
    <cfRule type="cellIs" dxfId="123" priority="7" stopIfTrue="1" operator="lessThan">
      <formula>10</formula>
    </cfRule>
    <cfRule type="cellIs" dxfId="122" priority="8" stopIfTrue="1" operator="greaterThan">
      <formula>9</formula>
    </cfRule>
  </conditionalFormatting>
  <conditionalFormatting sqref="G9:G16">
    <cfRule type="cellIs" dxfId="121" priority="1" stopIfTrue="1" operator="lessThan">
      <formula>10</formula>
    </cfRule>
    <cfRule type="cellIs" dxfId="120" priority="2" stopIfTrue="1" operator="greaterThan">
      <formula>9</formula>
    </cfRule>
    <cfRule type="cellIs" dxfId="119" priority="3" stopIfTrue="1" operator="lessThan">
      <formula>10</formula>
    </cfRule>
    <cfRule type="cellIs" dxfId="118" priority="4" stopIfTrue="1" operator="greaterThan">
      <formula>9</formula>
    </cfRule>
  </conditionalFormatting>
  <dataValidations count="1">
    <dataValidation type="decimal" allowBlank="1" showInputMessage="1" showErrorMessage="1" errorTitle="ATENÇÃO!" error="O valor introduzido não é válido. Grato!" sqref="O9:Q46 J9:L46 E9:G46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14337" r:id="rId4">
          <objectPr defaultSize="0" r:id="rId5">
            <anchor moveWithCells="1">
              <from>
                <xdr:col>1</xdr:col>
                <xdr:colOff>60960</xdr:colOff>
                <xdr:row>46</xdr:row>
                <xdr:rowOff>160020</xdr:rowOff>
              </from>
              <to>
                <xdr:col>8</xdr:col>
                <xdr:colOff>327660</xdr:colOff>
                <xdr:row>48</xdr:row>
                <xdr:rowOff>76200</xdr:rowOff>
              </to>
            </anchor>
          </objectPr>
        </oleObject>
      </mc:Choice>
      <mc:Fallback>
        <oleObject progId="Word.Document.8" shapeId="14337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9" stopIfTrue="1" operator="containsText" id="{D06EEA46-DBF9-4186-8A51-583BED8D4DD0}">
            <xm:f>NOT(ISERROR(SEARCH("N/TRANSITA",N9)))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60" stopIfTrue="1" operator="containsText" id="{FAED0E8C-0DB9-4B07-98D6-89F1881F9353}">
            <xm:f>NOT(ISERROR(SEARCH("TRANSITA",N9)))</xm:f>
            <xm:f>"TRANSITA"</xm:f>
            <x14:dxf>
              <font>
                <b/>
                <i val="0"/>
                <color rgb="FF0000FF"/>
              </font>
            </x14:dxf>
          </x14:cfRule>
          <xm:sqref>N9:N46 T9:T46</xm:sqref>
        </x14:conditionalFormatting>
        <x14:conditionalFormatting xmlns:xm="http://schemas.microsoft.com/office/excel/2006/main">
          <x14:cfRule type="containsText" priority="9" stopIfTrue="1" operator="containsText" id="{3E953CD1-3120-4700-9F30-39FBFD0B05BE}">
            <xm:f>NOT(ISERROR(SEARCH("N/TRANSITA",I9)))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0" stopIfTrue="1" operator="containsText" id="{1A12E7D9-BA8C-45D4-8175-316ED47D8794}">
            <xm:f>NOT(ISERROR(SEARCH("TRANSITA",I9)))</xm:f>
            <xm:f>"TRANSITA"</xm:f>
            <x14:dxf>
              <font>
                <b/>
                <i val="0"/>
                <color rgb="FF0000FF"/>
              </font>
            </x14:dxf>
          </x14:cfRule>
          <xm:sqref>I9:I46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W51"/>
  <sheetViews>
    <sheetView showGridLines="0" topLeftCell="A29" zoomScale="115" zoomScaleNormal="115" zoomScalePageLayoutView="85" workbookViewId="0">
      <selection activeCell="J46" sqref="J46"/>
    </sheetView>
  </sheetViews>
  <sheetFormatPr defaultRowHeight="14.4" x14ac:dyDescent="0.3"/>
  <cols>
    <col min="1" max="1" width="1.6640625" customWidth="1"/>
    <col min="2" max="2" width="3.6640625" customWidth="1"/>
    <col min="3" max="3" width="35.109375" customWidth="1"/>
    <col min="4" max="4" width="6.44140625" customWidth="1"/>
    <col min="5" max="8" width="5.109375" customWidth="1"/>
    <col min="9" max="9" width="11.109375" customWidth="1"/>
    <col min="10" max="13" width="5.109375" customWidth="1"/>
    <col min="14" max="14" width="11.109375" customWidth="1"/>
    <col min="15" max="18" width="5.109375" customWidth="1"/>
    <col min="19" max="19" width="6" customWidth="1"/>
    <col min="20" max="20" width="11.5546875" customWidth="1"/>
    <col min="21" max="21" width="3.44140625" customWidth="1"/>
    <col min="22" max="22" width="5" customWidth="1"/>
  </cols>
  <sheetData>
    <row r="1" spans="1:23" ht="30" customHeight="1" x14ac:dyDescent="0.3">
      <c r="A1" s="261" t="s">
        <v>43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</row>
    <row r="2" spans="1:23" ht="30" customHeight="1" x14ac:dyDescent="0.3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23" ht="12" customHeight="1" x14ac:dyDescent="0.3"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</row>
    <row r="4" spans="1:23" ht="17.399999999999999" customHeight="1" x14ac:dyDescent="0.3">
      <c r="B4" s="262" t="s">
        <v>57</v>
      </c>
      <c r="C4" s="262"/>
      <c r="D4" s="157"/>
      <c r="F4" s="73"/>
      <c r="G4" s="73"/>
      <c r="I4" s="73" t="s">
        <v>68</v>
      </c>
      <c r="J4" s="73"/>
      <c r="K4" s="73"/>
      <c r="L4" s="73"/>
      <c r="M4" s="73"/>
      <c r="N4" s="157"/>
      <c r="P4" s="243" t="s">
        <v>55</v>
      </c>
      <c r="Q4" s="243"/>
      <c r="R4" s="243"/>
      <c r="S4" s="243"/>
      <c r="T4" s="243"/>
    </row>
    <row r="5" spans="1:23" ht="18" customHeight="1" x14ac:dyDescent="0.3">
      <c r="B5" s="262" t="s">
        <v>64</v>
      </c>
      <c r="C5" s="262"/>
      <c r="D5" s="157"/>
      <c r="E5" s="74" t="s">
        <v>52</v>
      </c>
      <c r="F5" s="74"/>
      <c r="I5" s="74" t="s">
        <v>67</v>
      </c>
      <c r="J5" s="74"/>
      <c r="K5" s="74"/>
      <c r="N5" s="263" t="s">
        <v>66</v>
      </c>
      <c r="O5" s="263"/>
      <c r="P5" s="263"/>
      <c r="Q5" s="263"/>
      <c r="R5" s="263"/>
      <c r="S5" s="263"/>
      <c r="T5" s="263"/>
    </row>
    <row r="6" spans="1:23" ht="34.5" customHeight="1" thickBot="1" x14ac:dyDescent="1.05">
      <c r="B6" s="258" t="s">
        <v>41</v>
      </c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60"/>
    </row>
    <row r="7" spans="1:23" ht="19.5" customHeight="1" thickTop="1" x14ac:dyDescent="0.3">
      <c r="B7" s="251" t="s">
        <v>35</v>
      </c>
      <c r="C7" s="253" t="s">
        <v>13</v>
      </c>
      <c r="D7" s="43" t="s">
        <v>39</v>
      </c>
      <c r="E7" s="255" t="s">
        <v>36</v>
      </c>
      <c r="F7" s="256"/>
      <c r="G7" s="256"/>
      <c r="H7" s="257"/>
      <c r="I7" s="246" t="s">
        <v>15</v>
      </c>
      <c r="J7" s="255" t="s">
        <v>37</v>
      </c>
      <c r="K7" s="256"/>
      <c r="L7" s="256"/>
      <c r="M7" s="257"/>
      <c r="N7" s="246" t="s">
        <v>15</v>
      </c>
      <c r="O7" s="255" t="s">
        <v>38</v>
      </c>
      <c r="P7" s="256"/>
      <c r="Q7" s="256"/>
      <c r="R7" s="257"/>
      <c r="S7" s="244" t="s">
        <v>14</v>
      </c>
      <c r="T7" s="246" t="s">
        <v>15</v>
      </c>
    </row>
    <row r="8" spans="1:23" ht="20.25" customHeight="1" thickBot="1" x14ac:dyDescent="0.35">
      <c r="B8" s="252"/>
      <c r="C8" s="254"/>
      <c r="D8" s="44" t="s">
        <v>40</v>
      </c>
      <c r="E8" s="36" t="s">
        <v>16</v>
      </c>
      <c r="F8" s="35" t="s">
        <v>17</v>
      </c>
      <c r="G8" s="35" t="s">
        <v>34</v>
      </c>
      <c r="H8" s="37" t="s">
        <v>18</v>
      </c>
      <c r="I8" s="247"/>
      <c r="J8" s="36" t="s">
        <v>16</v>
      </c>
      <c r="K8" s="35" t="s">
        <v>17</v>
      </c>
      <c r="L8" s="35" t="s">
        <v>34</v>
      </c>
      <c r="M8" s="37" t="s">
        <v>19</v>
      </c>
      <c r="N8" s="247"/>
      <c r="O8" s="36" t="s">
        <v>16</v>
      </c>
      <c r="P8" s="35" t="s">
        <v>17</v>
      </c>
      <c r="Q8" s="35" t="s">
        <v>34</v>
      </c>
      <c r="R8" s="37" t="s">
        <v>20</v>
      </c>
      <c r="S8" s="245"/>
      <c r="T8" s="247"/>
    </row>
    <row r="9" spans="1:23" ht="14.25" customHeight="1" thickTop="1" x14ac:dyDescent="0.3">
      <c r="B9" s="129">
        <v>1</v>
      </c>
      <c r="C9" s="122" t="s">
        <v>79</v>
      </c>
      <c r="D9" s="130"/>
      <c r="E9" s="147">
        <v>15</v>
      </c>
      <c r="F9" s="148">
        <v>4</v>
      </c>
      <c r="G9" s="148"/>
      <c r="H9" s="140">
        <f>AVERAGE(E9,MAX(F9:G9))</f>
        <v>9.5</v>
      </c>
      <c r="I9" s="141" t="str">
        <f>IF(H9&gt;=10,"TRANSITA","N/TRANSITA")</f>
        <v>N/TRANSITA</v>
      </c>
      <c r="J9" s="142">
        <v>14</v>
      </c>
      <c r="K9" s="149">
        <v>8</v>
      </c>
      <c r="L9" s="150"/>
      <c r="M9" s="140">
        <f>AVERAGE(J9,MAX(K9:L9))</f>
        <v>11</v>
      </c>
      <c r="N9" s="141" t="str">
        <f>IF(M9&gt;=10,"TRANSITA","N/TRANSITA")</f>
        <v>TRANSITA</v>
      </c>
      <c r="O9" s="142"/>
      <c r="P9" s="149"/>
      <c r="Q9" s="150"/>
      <c r="R9" s="140">
        <f>AVERAGE(O9,MAX(P9:Q9))</f>
        <v>0</v>
      </c>
      <c r="S9" s="145">
        <f t="shared" ref="S9:S46" si="0">SUM(H9,M9,R9)/3</f>
        <v>6.833333333333333</v>
      </c>
      <c r="T9" s="77" t="str">
        <f>IF(S9&gt;=10,"TRANSITA","N/TRANSITA")</f>
        <v>N/TRANSITA</v>
      </c>
    </row>
    <row r="10" spans="1:23" ht="14.25" customHeight="1" x14ac:dyDescent="0.3">
      <c r="B10" s="33">
        <v>2</v>
      </c>
      <c r="C10" s="124" t="s">
        <v>80</v>
      </c>
      <c r="D10" s="60"/>
      <c r="E10" s="91">
        <v>8</v>
      </c>
      <c r="F10" s="92">
        <v>5</v>
      </c>
      <c r="G10" s="92"/>
      <c r="H10" s="40">
        <f t="shared" ref="H10:H46" si="1">AVERAGE(E10,MAX(F10:G10))</f>
        <v>6.5</v>
      </c>
      <c r="I10" s="62" t="str">
        <f t="shared" ref="I10:I46" si="2">IF(H10&gt;=10,"TRANSITA","N/TRANSITA")</f>
        <v>N/TRANSITA</v>
      </c>
      <c r="J10" s="102"/>
      <c r="K10" s="106">
        <v>0</v>
      </c>
      <c r="L10" s="64"/>
      <c r="M10" s="40">
        <f t="shared" ref="M10:M46" si="3">AVERAGE(J10,MAX(K10:L10))</f>
        <v>0</v>
      </c>
      <c r="N10" s="62" t="str">
        <f t="shared" ref="N10:N46" si="4">IF(M10&gt;=10,"TRANSITA","N/TRANSITA")</f>
        <v>N/TRANSITA</v>
      </c>
      <c r="O10" s="102"/>
      <c r="P10" s="106"/>
      <c r="Q10" s="64"/>
      <c r="R10" s="40">
        <f t="shared" ref="R10:R46" si="5">AVERAGE(O10,MAX(P10:Q10))</f>
        <v>0</v>
      </c>
      <c r="S10" s="41">
        <f t="shared" si="0"/>
        <v>2.1666666666666665</v>
      </c>
      <c r="T10" s="78" t="str">
        <f t="shared" ref="T10:T46" si="6">IF(S10&gt;=10,"TRANSITA","N/TRANSITA")</f>
        <v>N/TRANSITA</v>
      </c>
    </row>
    <row r="11" spans="1:23" ht="14.25" customHeight="1" x14ac:dyDescent="0.3">
      <c r="B11" s="33">
        <v>3</v>
      </c>
      <c r="C11" s="123" t="s">
        <v>81</v>
      </c>
      <c r="D11" s="60"/>
      <c r="E11" s="91"/>
      <c r="F11" s="92"/>
      <c r="G11" s="92"/>
      <c r="H11" s="40">
        <f t="shared" si="1"/>
        <v>0</v>
      </c>
      <c r="I11" s="62" t="str">
        <f t="shared" si="2"/>
        <v>N/TRANSITA</v>
      </c>
      <c r="J11" s="102"/>
      <c r="K11" s="106"/>
      <c r="L11" s="64"/>
      <c r="M11" s="40">
        <f t="shared" si="3"/>
        <v>0</v>
      </c>
      <c r="N11" s="62" t="str">
        <f t="shared" si="4"/>
        <v>N/TRANSITA</v>
      </c>
      <c r="O11" s="102"/>
      <c r="P11" s="106"/>
      <c r="Q11" s="64"/>
      <c r="R11" s="40">
        <f t="shared" si="5"/>
        <v>0</v>
      </c>
      <c r="S11" s="41">
        <f t="shared" si="0"/>
        <v>0</v>
      </c>
      <c r="T11" s="78" t="str">
        <f t="shared" si="6"/>
        <v>N/TRANSITA</v>
      </c>
    </row>
    <row r="12" spans="1:23" ht="14.25" customHeight="1" x14ac:dyDescent="0.3">
      <c r="B12" s="33">
        <v>4</v>
      </c>
      <c r="C12" s="123" t="s">
        <v>82</v>
      </c>
      <c r="D12" s="60"/>
      <c r="E12" s="91"/>
      <c r="F12" s="92"/>
      <c r="G12" s="92"/>
      <c r="H12" s="40">
        <f t="shared" si="1"/>
        <v>0</v>
      </c>
      <c r="I12" s="62" t="str">
        <f t="shared" si="2"/>
        <v>N/TRANSITA</v>
      </c>
      <c r="J12" s="102">
        <v>14</v>
      </c>
      <c r="K12" s="106">
        <v>6</v>
      </c>
      <c r="L12" s="64"/>
      <c r="M12" s="40">
        <f t="shared" si="3"/>
        <v>10</v>
      </c>
      <c r="N12" s="62" t="str">
        <f t="shared" si="4"/>
        <v>TRANSITA</v>
      </c>
      <c r="O12" s="102"/>
      <c r="P12" s="106"/>
      <c r="Q12" s="64"/>
      <c r="R12" s="40">
        <f t="shared" si="5"/>
        <v>0</v>
      </c>
      <c r="S12" s="41">
        <f t="shared" si="0"/>
        <v>3.3333333333333335</v>
      </c>
      <c r="T12" s="78" t="str">
        <f t="shared" si="6"/>
        <v>N/TRANSITA</v>
      </c>
    </row>
    <row r="13" spans="1:23" ht="14.25" customHeight="1" x14ac:dyDescent="0.3">
      <c r="B13" s="33">
        <v>5</v>
      </c>
      <c r="C13" s="124" t="s">
        <v>83</v>
      </c>
      <c r="D13" s="60"/>
      <c r="E13" s="91"/>
      <c r="F13" s="92"/>
      <c r="G13" s="92"/>
      <c r="H13" s="40">
        <f t="shared" si="1"/>
        <v>0</v>
      </c>
      <c r="I13" s="62" t="str">
        <f t="shared" si="2"/>
        <v>N/TRANSITA</v>
      </c>
      <c r="J13" s="102">
        <v>14</v>
      </c>
      <c r="K13" s="106"/>
      <c r="L13" s="64"/>
      <c r="M13" s="40">
        <f t="shared" si="3"/>
        <v>7</v>
      </c>
      <c r="N13" s="62" t="str">
        <f t="shared" si="4"/>
        <v>N/TRANSITA</v>
      </c>
      <c r="O13" s="102"/>
      <c r="P13" s="106"/>
      <c r="Q13" s="64"/>
      <c r="R13" s="40">
        <f t="shared" si="5"/>
        <v>0</v>
      </c>
      <c r="S13" s="41">
        <f t="shared" si="0"/>
        <v>2.3333333333333335</v>
      </c>
      <c r="T13" s="78" t="str">
        <f t="shared" si="6"/>
        <v>N/TRANSITA</v>
      </c>
      <c r="U13" s="18"/>
      <c r="V13" s="18"/>
      <c r="W13" s="18"/>
    </row>
    <row r="14" spans="1:23" ht="14.25" customHeight="1" x14ac:dyDescent="0.3">
      <c r="B14" s="33">
        <v>6</v>
      </c>
      <c r="C14" s="123" t="s">
        <v>84</v>
      </c>
      <c r="D14" s="60"/>
      <c r="E14" s="91"/>
      <c r="F14" s="92"/>
      <c r="G14" s="92"/>
      <c r="H14" s="40">
        <f t="shared" si="1"/>
        <v>0</v>
      </c>
      <c r="I14" s="62" t="str">
        <f t="shared" si="2"/>
        <v>N/TRANSITA</v>
      </c>
      <c r="J14" s="102">
        <v>14</v>
      </c>
      <c r="K14" s="106">
        <v>6</v>
      </c>
      <c r="L14" s="64"/>
      <c r="M14" s="40">
        <f t="shared" si="3"/>
        <v>10</v>
      </c>
      <c r="N14" s="62" t="str">
        <f t="shared" si="4"/>
        <v>TRANSITA</v>
      </c>
      <c r="O14" s="102"/>
      <c r="P14" s="106"/>
      <c r="Q14" s="64"/>
      <c r="R14" s="40">
        <f t="shared" si="5"/>
        <v>0</v>
      </c>
      <c r="S14" s="41">
        <f t="shared" si="0"/>
        <v>3.3333333333333335</v>
      </c>
      <c r="T14" s="78" t="str">
        <f t="shared" si="6"/>
        <v>N/TRANSITA</v>
      </c>
    </row>
    <row r="15" spans="1:23" ht="14.25" customHeight="1" x14ac:dyDescent="0.3">
      <c r="B15" s="33">
        <v>7</v>
      </c>
      <c r="C15" s="123" t="s">
        <v>85</v>
      </c>
      <c r="D15" s="60"/>
      <c r="E15" s="91">
        <v>14</v>
      </c>
      <c r="F15" s="92">
        <v>5</v>
      </c>
      <c r="G15" s="92"/>
      <c r="H15" s="40">
        <f t="shared" si="1"/>
        <v>9.5</v>
      </c>
      <c r="I15" s="62" t="str">
        <f t="shared" si="2"/>
        <v>N/TRANSITA</v>
      </c>
      <c r="J15" s="102">
        <v>14</v>
      </c>
      <c r="K15" s="106">
        <v>7</v>
      </c>
      <c r="L15" s="64"/>
      <c r="M15" s="40">
        <f t="shared" si="3"/>
        <v>10.5</v>
      </c>
      <c r="N15" s="62" t="str">
        <f t="shared" si="4"/>
        <v>TRANSITA</v>
      </c>
      <c r="O15" s="102"/>
      <c r="P15" s="106"/>
      <c r="Q15" s="64"/>
      <c r="R15" s="40">
        <f t="shared" si="5"/>
        <v>0</v>
      </c>
      <c r="S15" s="41">
        <f t="shared" si="0"/>
        <v>6.666666666666667</v>
      </c>
      <c r="T15" s="78" t="str">
        <f t="shared" si="6"/>
        <v>N/TRANSITA</v>
      </c>
    </row>
    <row r="16" spans="1:23" ht="14.25" customHeight="1" x14ac:dyDescent="0.3">
      <c r="B16" s="33">
        <v>8</v>
      </c>
      <c r="C16" s="124" t="s">
        <v>86</v>
      </c>
      <c r="D16" s="60"/>
      <c r="E16" s="91">
        <v>17</v>
      </c>
      <c r="F16" s="92">
        <v>5</v>
      </c>
      <c r="G16" s="92"/>
      <c r="H16" s="40">
        <f t="shared" si="1"/>
        <v>11</v>
      </c>
      <c r="I16" s="62" t="str">
        <f t="shared" si="2"/>
        <v>TRANSITA</v>
      </c>
      <c r="J16" s="102">
        <v>14</v>
      </c>
      <c r="K16" s="106">
        <v>5</v>
      </c>
      <c r="L16" s="64"/>
      <c r="M16" s="40">
        <f t="shared" si="3"/>
        <v>9.5</v>
      </c>
      <c r="N16" s="62" t="str">
        <f t="shared" si="4"/>
        <v>N/TRANSITA</v>
      </c>
      <c r="O16" s="102"/>
      <c r="P16" s="106"/>
      <c r="Q16" s="64"/>
      <c r="R16" s="40">
        <f t="shared" si="5"/>
        <v>0</v>
      </c>
      <c r="S16" s="41">
        <f t="shared" si="0"/>
        <v>6.833333333333333</v>
      </c>
      <c r="T16" s="78" t="str">
        <f t="shared" si="6"/>
        <v>N/TRANSITA</v>
      </c>
    </row>
    <row r="17" spans="2:20" ht="14.25" customHeight="1" x14ac:dyDescent="0.3">
      <c r="B17" s="33">
        <v>9</v>
      </c>
      <c r="C17" s="123" t="s">
        <v>87</v>
      </c>
      <c r="D17" s="60"/>
      <c r="E17" s="91"/>
      <c r="F17" s="92"/>
      <c r="G17" s="92"/>
      <c r="H17" s="40">
        <f t="shared" si="1"/>
        <v>0</v>
      </c>
      <c r="I17" s="62" t="str">
        <f t="shared" si="2"/>
        <v>N/TRANSITA</v>
      </c>
      <c r="J17" s="91">
        <v>15</v>
      </c>
      <c r="K17" s="92">
        <v>10</v>
      </c>
      <c r="L17" s="64"/>
      <c r="M17" s="40">
        <f t="shared" si="3"/>
        <v>12.5</v>
      </c>
      <c r="N17" s="62" t="str">
        <f t="shared" si="4"/>
        <v>TRANSITA</v>
      </c>
      <c r="O17" s="102"/>
      <c r="P17" s="106"/>
      <c r="Q17" s="64"/>
      <c r="R17" s="40">
        <f t="shared" si="5"/>
        <v>0</v>
      </c>
      <c r="S17" s="41">
        <f t="shared" si="0"/>
        <v>4.166666666666667</v>
      </c>
      <c r="T17" s="78" t="str">
        <f t="shared" si="6"/>
        <v>N/TRANSITA</v>
      </c>
    </row>
    <row r="18" spans="2:20" ht="14.25" customHeight="1" x14ac:dyDescent="0.3">
      <c r="B18" s="33">
        <v>10</v>
      </c>
      <c r="C18" s="124" t="s">
        <v>88</v>
      </c>
      <c r="D18" s="60"/>
      <c r="E18" s="91">
        <v>13</v>
      </c>
      <c r="F18" s="92">
        <v>5</v>
      </c>
      <c r="G18" s="92"/>
      <c r="H18" s="40">
        <f t="shared" si="1"/>
        <v>9</v>
      </c>
      <c r="I18" s="62" t="str">
        <f t="shared" si="2"/>
        <v>N/TRANSITA</v>
      </c>
      <c r="J18" s="102">
        <v>14</v>
      </c>
      <c r="K18" s="106">
        <v>5</v>
      </c>
      <c r="L18" s="64"/>
      <c r="M18" s="40">
        <f t="shared" si="3"/>
        <v>9.5</v>
      </c>
      <c r="N18" s="62" t="str">
        <f t="shared" si="4"/>
        <v>N/TRANSITA</v>
      </c>
      <c r="O18" s="102"/>
      <c r="P18" s="106"/>
      <c r="Q18" s="64"/>
      <c r="R18" s="40">
        <f t="shared" si="5"/>
        <v>0</v>
      </c>
      <c r="S18" s="41">
        <f t="shared" si="0"/>
        <v>6.166666666666667</v>
      </c>
      <c r="T18" s="78" t="str">
        <f t="shared" si="6"/>
        <v>N/TRANSITA</v>
      </c>
    </row>
    <row r="19" spans="2:20" ht="14.25" customHeight="1" x14ac:dyDescent="0.3">
      <c r="B19" s="33">
        <v>11</v>
      </c>
      <c r="C19" s="123" t="s">
        <v>89</v>
      </c>
      <c r="D19" s="60"/>
      <c r="E19" s="91"/>
      <c r="F19" s="92"/>
      <c r="G19" s="92"/>
      <c r="H19" s="40">
        <f t="shared" si="1"/>
        <v>0</v>
      </c>
      <c r="I19" s="62" t="str">
        <f t="shared" si="2"/>
        <v>N/TRANSITA</v>
      </c>
      <c r="J19" s="102"/>
      <c r="K19" s="106"/>
      <c r="L19" s="64"/>
      <c r="M19" s="40">
        <f t="shared" si="3"/>
        <v>0</v>
      </c>
      <c r="N19" s="62" t="str">
        <f t="shared" si="4"/>
        <v>N/TRANSITA</v>
      </c>
      <c r="O19" s="102"/>
      <c r="P19" s="106"/>
      <c r="Q19" s="64"/>
      <c r="R19" s="40">
        <f t="shared" si="5"/>
        <v>0</v>
      </c>
      <c r="S19" s="41">
        <f t="shared" si="0"/>
        <v>0</v>
      </c>
      <c r="T19" s="78" t="str">
        <f t="shared" si="6"/>
        <v>N/TRANSITA</v>
      </c>
    </row>
    <row r="20" spans="2:20" ht="14.25" customHeight="1" x14ac:dyDescent="0.3">
      <c r="B20" s="33">
        <v>12</v>
      </c>
      <c r="C20" s="124" t="s">
        <v>90</v>
      </c>
      <c r="D20" s="60"/>
      <c r="E20" s="91">
        <v>15</v>
      </c>
      <c r="F20" s="92">
        <v>5</v>
      </c>
      <c r="G20" s="92"/>
      <c r="H20" s="40">
        <f t="shared" si="1"/>
        <v>10</v>
      </c>
      <c r="I20" s="62" t="str">
        <f t="shared" si="2"/>
        <v>TRANSITA</v>
      </c>
      <c r="J20" s="102"/>
      <c r="K20" s="106"/>
      <c r="L20" s="64"/>
      <c r="M20" s="40">
        <f t="shared" si="3"/>
        <v>0</v>
      </c>
      <c r="N20" s="62" t="str">
        <f t="shared" si="4"/>
        <v>N/TRANSITA</v>
      </c>
      <c r="O20" s="102"/>
      <c r="P20" s="106"/>
      <c r="Q20" s="64"/>
      <c r="R20" s="40">
        <f t="shared" si="5"/>
        <v>0</v>
      </c>
      <c r="S20" s="41">
        <f t="shared" si="0"/>
        <v>3.3333333333333335</v>
      </c>
      <c r="T20" s="78" t="str">
        <f t="shared" si="6"/>
        <v>N/TRANSITA</v>
      </c>
    </row>
    <row r="21" spans="2:20" ht="14.25" customHeight="1" x14ac:dyDescent="0.3">
      <c r="B21" s="33">
        <v>13</v>
      </c>
      <c r="C21" s="123" t="s">
        <v>91</v>
      </c>
      <c r="D21" s="60"/>
      <c r="E21" s="91"/>
      <c r="F21" s="92"/>
      <c r="G21" s="92"/>
      <c r="H21" s="40">
        <f t="shared" si="1"/>
        <v>0</v>
      </c>
      <c r="I21" s="62" t="str">
        <f t="shared" si="2"/>
        <v>N/TRANSITA</v>
      </c>
      <c r="J21" s="102"/>
      <c r="K21" s="106"/>
      <c r="L21" s="64"/>
      <c r="M21" s="40">
        <f t="shared" si="3"/>
        <v>0</v>
      </c>
      <c r="N21" s="62" t="str">
        <f t="shared" si="4"/>
        <v>N/TRANSITA</v>
      </c>
      <c r="O21" s="102"/>
      <c r="P21" s="106"/>
      <c r="Q21" s="64"/>
      <c r="R21" s="40">
        <f t="shared" si="5"/>
        <v>0</v>
      </c>
      <c r="S21" s="41">
        <f t="shared" si="0"/>
        <v>0</v>
      </c>
      <c r="T21" s="78" t="str">
        <f t="shared" si="6"/>
        <v>N/TRANSITA</v>
      </c>
    </row>
    <row r="22" spans="2:20" ht="14.25" customHeight="1" x14ac:dyDescent="0.3">
      <c r="B22" s="33">
        <v>14</v>
      </c>
      <c r="C22" s="123" t="s">
        <v>92</v>
      </c>
      <c r="D22" s="60"/>
      <c r="E22" s="91">
        <v>16</v>
      </c>
      <c r="F22" s="92">
        <v>5</v>
      </c>
      <c r="G22" s="92"/>
      <c r="H22" s="40">
        <f t="shared" si="1"/>
        <v>10.5</v>
      </c>
      <c r="I22" s="62" t="str">
        <f t="shared" si="2"/>
        <v>TRANSITA</v>
      </c>
      <c r="J22" s="102">
        <v>14</v>
      </c>
      <c r="K22" s="106">
        <v>6</v>
      </c>
      <c r="L22" s="64"/>
      <c r="M22" s="40">
        <f t="shared" si="3"/>
        <v>10</v>
      </c>
      <c r="N22" s="62" t="str">
        <f t="shared" si="4"/>
        <v>TRANSITA</v>
      </c>
      <c r="O22" s="102"/>
      <c r="P22" s="106"/>
      <c r="Q22" s="64"/>
      <c r="R22" s="40">
        <f t="shared" si="5"/>
        <v>0</v>
      </c>
      <c r="S22" s="41">
        <f t="shared" si="0"/>
        <v>6.833333333333333</v>
      </c>
      <c r="T22" s="78" t="str">
        <f t="shared" si="6"/>
        <v>N/TRANSITA</v>
      </c>
    </row>
    <row r="23" spans="2:20" ht="14.25" customHeight="1" x14ac:dyDescent="0.3">
      <c r="B23" s="33">
        <v>15</v>
      </c>
      <c r="C23" s="124" t="s">
        <v>114</v>
      </c>
      <c r="D23" s="60"/>
      <c r="E23" s="91">
        <v>14</v>
      </c>
      <c r="F23" s="92">
        <v>5</v>
      </c>
      <c r="G23" s="92"/>
      <c r="H23" s="40">
        <f t="shared" si="1"/>
        <v>9.5</v>
      </c>
      <c r="I23" s="62" t="str">
        <f t="shared" si="2"/>
        <v>N/TRANSITA</v>
      </c>
      <c r="J23" s="102">
        <v>12</v>
      </c>
      <c r="K23" s="106">
        <v>5</v>
      </c>
      <c r="L23" s="64"/>
      <c r="M23" s="40">
        <f t="shared" si="3"/>
        <v>8.5</v>
      </c>
      <c r="N23" s="62" t="str">
        <f t="shared" si="4"/>
        <v>N/TRANSITA</v>
      </c>
      <c r="O23" s="102"/>
      <c r="P23" s="106"/>
      <c r="Q23" s="64"/>
      <c r="R23" s="40">
        <f t="shared" si="5"/>
        <v>0</v>
      </c>
      <c r="S23" s="41">
        <f t="shared" si="0"/>
        <v>6</v>
      </c>
      <c r="T23" s="78" t="str">
        <f t="shared" si="6"/>
        <v>N/TRANSITA</v>
      </c>
    </row>
    <row r="24" spans="2:20" ht="14.25" customHeight="1" x14ac:dyDescent="0.3">
      <c r="B24" s="33">
        <v>16</v>
      </c>
      <c r="C24" s="124" t="s">
        <v>93</v>
      </c>
      <c r="D24" s="60"/>
      <c r="E24" s="91"/>
      <c r="F24" s="92"/>
      <c r="G24" s="92"/>
      <c r="H24" s="40">
        <f t="shared" si="1"/>
        <v>0</v>
      </c>
      <c r="I24" s="62" t="str">
        <f t="shared" si="2"/>
        <v>N/TRANSITA</v>
      </c>
      <c r="J24" s="102"/>
      <c r="K24" s="106">
        <v>0</v>
      </c>
      <c r="L24" s="64"/>
      <c r="M24" s="40">
        <f t="shared" si="3"/>
        <v>0</v>
      </c>
      <c r="N24" s="62" t="str">
        <f t="shared" si="4"/>
        <v>N/TRANSITA</v>
      </c>
      <c r="O24" s="102"/>
      <c r="P24" s="106"/>
      <c r="Q24" s="64"/>
      <c r="R24" s="40">
        <f t="shared" si="5"/>
        <v>0</v>
      </c>
      <c r="S24" s="41">
        <f t="shared" si="0"/>
        <v>0</v>
      </c>
      <c r="T24" s="78" t="str">
        <f t="shared" si="6"/>
        <v>N/TRANSITA</v>
      </c>
    </row>
    <row r="25" spans="2:20" ht="14.25" customHeight="1" x14ac:dyDescent="0.3">
      <c r="B25" s="33">
        <v>17</v>
      </c>
      <c r="C25" s="123" t="s">
        <v>94</v>
      </c>
      <c r="D25" s="60"/>
      <c r="E25" s="91"/>
      <c r="F25" s="92"/>
      <c r="G25" s="92"/>
      <c r="H25" s="40">
        <f t="shared" si="1"/>
        <v>0</v>
      </c>
      <c r="I25" s="62" t="str">
        <f t="shared" si="2"/>
        <v>N/TRANSITA</v>
      </c>
      <c r="J25" s="102"/>
      <c r="K25" s="106"/>
      <c r="L25" s="64"/>
      <c r="M25" s="40">
        <f t="shared" si="3"/>
        <v>0</v>
      </c>
      <c r="N25" s="62" t="str">
        <f t="shared" si="4"/>
        <v>N/TRANSITA</v>
      </c>
      <c r="O25" s="102"/>
      <c r="P25" s="106"/>
      <c r="Q25" s="64"/>
      <c r="R25" s="40">
        <f t="shared" si="5"/>
        <v>0</v>
      </c>
      <c r="S25" s="41">
        <f t="shared" si="0"/>
        <v>0</v>
      </c>
      <c r="T25" s="78" t="str">
        <f t="shared" si="6"/>
        <v>N/TRANSITA</v>
      </c>
    </row>
    <row r="26" spans="2:20" ht="14.25" customHeight="1" x14ac:dyDescent="0.3">
      <c r="B26" s="33">
        <v>18</v>
      </c>
      <c r="C26" s="124" t="s">
        <v>95</v>
      </c>
      <c r="D26" s="60"/>
      <c r="E26" s="91">
        <v>15</v>
      </c>
      <c r="F26" s="92">
        <v>5</v>
      </c>
      <c r="G26" s="92"/>
      <c r="H26" s="40">
        <f t="shared" si="1"/>
        <v>10</v>
      </c>
      <c r="I26" s="62" t="str">
        <f t="shared" si="2"/>
        <v>TRANSITA</v>
      </c>
      <c r="J26" s="102"/>
      <c r="K26" s="106">
        <v>0</v>
      </c>
      <c r="L26" s="64"/>
      <c r="M26" s="40">
        <f t="shared" si="3"/>
        <v>0</v>
      </c>
      <c r="N26" s="62" t="str">
        <f t="shared" si="4"/>
        <v>N/TRANSITA</v>
      </c>
      <c r="O26" s="102"/>
      <c r="P26" s="106"/>
      <c r="Q26" s="64"/>
      <c r="R26" s="40">
        <f t="shared" si="5"/>
        <v>0</v>
      </c>
      <c r="S26" s="41">
        <f t="shared" si="0"/>
        <v>3.3333333333333335</v>
      </c>
      <c r="T26" s="78" t="str">
        <f t="shared" si="6"/>
        <v>N/TRANSITA</v>
      </c>
    </row>
    <row r="27" spans="2:20" ht="14.25" customHeight="1" x14ac:dyDescent="0.3">
      <c r="B27" s="33">
        <v>19</v>
      </c>
      <c r="C27" s="124" t="s">
        <v>96</v>
      </c>
      <c r="D27" s="60"/>
      <c r="E27" s="91"/>
      <c r="F27" s="92"/>
      <c r="G27" s="92"/>
      <c r="H27" s="40">
        <f t="shared" si="1"/>
        <v>0</v>
      </c>
      <c r="I27" s="62" t="str">
        <f t="shared" si="2"/>
        <v>N/TRANSITA</v>
      </c>
      <c r="J27" s="102"/>
      <c r="K27" s="106"/>
      <c r="L27" s="64"/>
      <c r="M27" s="40">
        <f t="shared" si="3"/>
        <v>0</v>
      </c>
      <c r="N27" s="62" t="str">
        <f t="shared" si="4"/>
        <v>N/TRANSITA</v>
      </c>
      <c r="O27" s="102"/>
      <c r="P27" s="106"/>
      <c r="Q27" s="64"/>
      <c r="R27" s="40">
        <f t="shared" si="5"/>
        <v>0</v>
      </c>
      <c r="S27" s="41">
        <f t="shared" si="0"/>
        <v>0</v>
      </c>
      <c r="T27" s="78" t="str">
        <f t="shared" si="6"/>
        <v>N/TRANSITA</v>
      </c>
    </row>
    <row r="28" spans="2:20" ht="14.25" customHeight="1" x14ac:dyDescent="0.3">
      <c r="B28" s="33">
        <v>20</v>
      </c>
      <c r="C28" s="123" t="s">
        <v>97</v>
      </c>
      <c r="D28" s="60"/>
      <c r="E28" s="91">
        <v>13</v>
      </c>
      <c r="F28" s="92">
        <v>5</v>
      </c>
      <c r="G28" s="92"/>
      <c r="H28" s="40">
        <f t="shared" si="1"/>
        <v>9</v>
      </c>
      <c r="I28" s="62" t="str">
        <f t="shared" si="2"/>
        <v>N/TRANSITA</v>
      </c>
      <c r="J28" s="102"/>
      <c r="K28" s="106"/>
      <c r="L28" s="64"/>
      <c r="M28" s="40">
        <f t="shared" si="3"/>
        <v>0</v>
      </c>
      <c r="N28" s="62" t="str">
        <f t="shared" si="4"/>
        <v>N/TRANSITA</v>
      </c>
      <c r="O28" s="102"/>
      <c r="P28" s="106"/>
      <c r="Q28" s="64"/>
      <c r="R28" s="40">
        <f t="shared" si="5"/>
        <v>0</v>
      </c>
      <c r="S28" s="41">
        <f t="shared" si="0"/>
        <v>3</v>
      </c>
      <c r="T28" s="78" t="str">
        <f t="shared" si="6"/>
        <v>N/TRANSITA</v>
      </c>
    </row>
    <row r="29" spans="2:20" ht="14.25" customHeight="1" x14ac:dyDescent="0.3">
      <c r="B29" s="33">
        <v>21</v>
      </c>
      <c r="C29" s="123" t="s">
        <v>98</v>
      </c>
      <c r="D29" s="60"/>
      <c r="E29" s="91">
        <v>13</v>
      </c>
      <c r="F29" s="92">
        <v>5</v>
      </c>
      <c r="G29" s="92"/>
      <c r="H29" s="40">
        <f t="shared" si="1"/>
        <v>9</v>
      </c>
      <c r="I29" s="62" t="str">
        <f t="shared" si="2"/>
        <v>N/TRANSITA</v>
      </c>
      <c r="J29" s="102">
        <v>15</v>
      </c>
      <c r="K29" s="106">
        <v>5</v>
      </c>
      <c r="L29" s="64"/>
      <c r="M29" s="40">
        <f t="shared" si="3"/>
        <v>10</v>
      </c>
      <c r="N29" s="62" t="str">
        <f t="shared" si="4"/>
        <v>TRANSITA</v>
      </c>
      <c r="O29" s="102"/>
      <c r="P29" s="106"/>
      <c r="Q29" s="64"/>
      <c r="R29" s="40">
        <f t="shared" si="5"/>
        <v>0</v>
      </c>
      <c r="S29" s="41">
        <f t="shared" si="0"/>
        <v>6.333333333333333</v>
      </c>
      <c r="T29" s="78" t="str">
        <f t="shared" si="6"/>
        <v>N/TRANSITA</v>
      </c>
    </row>
    <row r="30" spans="2:20" ht="14.25" customHeight="1" x14ac:dyDescent="0.3">
      <c r="B30" s="33">
        <v>22</v>
      </c>
      <c r="C30" s="124" t="s">
        <v>99</v>
      </c>
      <c r="D30" s="60"/>
      <c r="E30" s="91"/>
      <c r="F30" s="92"/>
      <c r="G30" s="92"/>
      <c r="H30" s="40">
        <f t="shared" si="1"/>
        <v>0</v>
      </c>
      <c r="I30" s="62" t="str">
        <f t="shared" si="2"/>
        <v>N/TRANSITA</v>
      </c>
      <c r="J30" s="102"/>
      <c r="K30" s="106"/>
      <c r="L30" s="64"/>
      <c r="M30" s="40">
        <f t="shared" si="3"/>
        <v>0</v>
      </c>
      <c r="N30" s="62" t="str">
        <f t="shared" si="4"/>
        <v>N/TRANSITA</v>
      </c>
      <c r="O30" s="102"/>
      <c r="P30" s="106"/>
      <c r="Q30" s="64"/>
      <c r="R30" s="40">
        <f t="shared" si="5"/>
        <v>0</v>
      </c>
      <c r="S30" s="41">
        <f t="shared" si="0"/>
        <v>0</v>
      </c>
      <c r="T30" s="78" t="str">
        <f t="shared" si="6"/>
        <v>N/TRANSITA</v>
      </c>
    </row>
    <row r="31" spans="2:20" ht="14.25" customHeight="1" x14ac:dyDescent="0.3">
      <c r="B31" s="33">
        <v>23</v>
      </c>
      <c r="C31" s="123" t="s">
        <v>100</v>
      </c>
      <c r="D31" s="60"/>
      <c r="E31" s="91">
        <v>14</v>
      </c>
      <c r="F31" s="92">
        <v>5</v>
      </c>
      <c r="G31" s="92"/>
      <c r="H31" s="40">
        <f t="shared" si="1"/>
        <v>9.5</v>
      </c>
      <c r="I31" s="62" t="str">
        <f t="shared" si="2"/>
        <v>N/TRANSITA</v>
      </c>
      <c r="J31" s="102">
        <v>14</v>
      </c>
      <c r="K31" s="106">
        <v>5</v>
      </c>
      <c r="L31" s="64"/>
      <c r="M31" s="40">
        <f t="shared" si="3"/>
        <v>9.5</v>
      </c>
      <c r="N31" s="62" t="str">
        <f t="shared" si="4"/>
        <v>N/TRANSITA</v>
      </c>
      <c r="O31" s="102"/>
      <c r="P31" s="106"/>
      <c r="Q31" s="64"/>
      <c r="R31" s="40">
        <f t="shared" si="5"/>
        <v>0</v>
      </c>
      <c r="S31" s="41">
        <f t="shared" si="0"/>
        <v>6.333333333333333</v>
      </c>
      <c r="T31" s="78" t="str">
        <f t="shared" si="6"/>
        <v>N/TRANSITA</v>
      </c>
    </row>
    <row r="32" spans="2:20" ht="14.25" customHeight="1" x14ac:dyDescent="0.3">
      <c r="B32" s="33">
        <v>24</v>
      </c>
      <c r="C32" s="123" t="s">
        <v>101</v>
      </c>
      <c r="D32" s="60"/>
      <c r="E32" s="91"/>
      <c r="F32" s="92"/>
      <c r="G32" s="92"/>
      <c r="H32" s="40">
        <f t="shared" si="1"/>
        <v>0</v>
      </c>
      <c r="I32" s="62" t="str">
        <f t="shared" si="2"/>
        <v>N/TRANSITA</v>
      </c>
      <c r="J32" s="102"/>
      <c r="K32" s="106"/>
      <c r="L32" s="64"/>
      <c r="M32" s="40">
        <f t="shared" si="3"/>
        <v>0</v>
      </c>
      <c r="N32" s="62" t="str">
        <f t="shared" si="4"/>
        <v>N/TRANSITA</v>
      </c>
      <c r="O32" s="102"/>
      <c r="P32" s="106"/>
      <c r="Q32" s="64"/>
      <c r="R32" s="40">
        <f t="shared" si="5"/>
        <v>0</v>
      </c>
      <c r="S32" s="41">
        <f t="shared" si="0"/>
        <v>0</v>
      </c>
      <c r="T32" s="78" t="str">
        <f t="shared" si="6"/>
        <v>N/TRANSITA</v>
      </c>
    </row>
    <row r="33" spans="1:20" ht="14.25" customHeight="1" x14ac:dyDescent="0.3">
      <c r="B33" s="33">
        <v>25</v>
      </c>
      <c r="C33" s="124" t="s">
        <v>102</v>
      </c>
      <c r="D33" s="60"/>
      <c r="E33" s="91"/>
      <c r="F33" s="92"/>
      <c r="G33" s="92"/>
      <c r="H33" s="40">
        <f t="shared" si="1"/>
        <v>0</v>
      </c>
      <c r="I33" s="62" t="str">
        <f t="shared" si="2"/>
        <v>N/TRANSITA</v>
      </c>
      <c r="J33" s="102"/>
      <c r="K33" s="106"/>
      <c r="L33" s="64"/>
      <c r="M33" s="40">
        <f t="shared" si="3"/>
        <v>0</v>
      </c>
      <c r="N33" s="62" t="str">
        <f t="shared" si="4"/>
        <v>N/TRANSITA</v>
      </c>
      <c r="O33" s="102"/>
      <c r="P33" s="106"/>
      <c r="Q33" s="64"/>
      <c r="R33" s="40">
        <f t="shared" si="5"/>
        <v>0</v>
      </c>
      <c r="S33" s="41">
        <f t="shared" si="0"/>
        <v>0</v>
      </c>
      <c r="T33" s="78" t="str">
        <f t="shared" si="6"/>
        <v>N/TRANSITA</v>
      </c>
    </row>
    <row r="34" spans="1:20" ht="14.25" customHeight="1" x14ac:dyDescent="0.3">
      <c r="B34" s="33">
        <v>26</v>
      </c>
      <c r="C34" s="123" t="s">
        <v>103</v>
      </c>
      <c r="D34" s="60"/>
      <c r="E34" s="91">
        <v>19</v>
      </c>
      <c r="F34" s="92">
        <v>10</v>
      </c>
      <c r="G34" s="92"/>
      <c r="H34" s="40">
        <f t="shared" si="1"/>
        <v>14.5</v>
      </c>
      <c r="I34" s="62" t="str">
        <f t="shared" si="2"/>
        <v>TRANSITA</v>
      </c>
      <c r="J34" s="102">
        <v>18</v>
      </c>
      <c r="K34" s="106">
        <v>12</v>
      </c>
      <c r="L34" s="64"/>
      <c r="M34" s="40">
        <f t="shared" si="3"/>
        <v>15</v>
      </c>
      <c r="N34" s="62" t="str">
        <f t="shared" si="4"/>
        <v>TRANSITA</v>
      </c>
      <c r="O34" s="102"/>
      <c r="P34" s="106"/>
      <c r="Q34" s="64"/>
      <c r="R34" s="40">
        <f t="shared" si="5"/>
        <v>0</v>
      </c>
      <c r="S34" s="41">
        <f t="shared" si="0"/>
        <v>9.8333333333333339</v>
      </c>
      <c r="T34" s="78" t="str">
        <f t="shared" si="6"/>
        <v>N/TRANSITA</v>
      </c>
    </row>
    <row r="35" spans="1:20" ht="14.25" customHeight="1" x14ac:dyDescent="0.3">
      <c r="B35" s="33">
        <v>27</v>
      </c>
      <c r="C35" s="124" t="s">
        <v>115</v>
      </c>
      <c r="D35" s="60"/>
      <c r="E35" s="91">
        <v>14</v>
      </c>
      <c r="F35" s="92">
        <v>5</v>
      </c>
      <c r="G35" s="92"/>
      <c r="H35" s="40">
        <f t="shared" si="1"/>
        <v>9.5</v>
      </c>
      <c r="I35" s="62" t="str">
        <f t="shared" si="2"/>
        <v>N/TRANSITA</v>
      </c>
      <c r="J35" s="102">
        <v>14</v>
      </c>
      <c r="K35" s="106">
        <v>8</v>
      </c>
      <c r="L35" s="64"/>
      <c r="M35" s="40">
        <f t="shared" si="3"/>
        <v>11</v>
      </c>
      <c r="N35" s="62" t="str">
        <f t="shared" si="4"/>
        <v>TRANSITA</v>
      </c>
      <c r="O35" s="102"/>
      <c r="P35" s="106"/>
      <c r="Q35" s="64"/>
      <c r="R35" s="40">
        <f t="shared" si="5"/>
        <v>0</v>
      </c>
      <c r="S35" s="41">
        <f t="shared" si="0"/>
        <v>6.833333333333333</v>
      </c>
      <c r="T35" s="78" t="str">
        <f t="shared" si="6"/>
        <v>N/TRANSITA</v>
      </c>
    </row>
    <row r="36" spans="1:20" ht="14.25" customHeight="1" x14ac:dyDescent="0.3">
      <c r="B36" s="33">
        <v>28</v>
      </c>
      <c r="C36" s="124" t="s">
        <v>116</v>
      </c>
      <c r="D36" s="60"/>
      <c r="E36" s="91">
        <v>15</v>
      </c>
      <c r="F36" s="92">
        <v>5</v>
      </c>
      <c r="G36" s="92"/>
      <c r="H36" s="40">
        <f t="shared" si="1"/>
        <v>10</v>
      </c>
      <c r="I36" s="62" t="str">
        <f t="shared" si="2"/>
        <v>TRANSITA</v>
      </c>
      <c r="J36" s="102"/>
      <c r="K36" s="106"/>
      <c r="L36" s="64"/>
      <c r="M36" s="40">
        <f t="shared" si="3"/>
        <v>0</v>
      </c>
      <c r="N36" s="62" t="str">
        <f t="shared" si="4"/>
        <v>N/TRANSITA</v>
      </c>
      <c r="O36" s="102"/>
      <c r="P36" s="106"/>
      <c r="Q36" s="64"/>
      <c r="R36" s="40">
        <f t="shared" si="5"/>
        <v>0</v>
      </c>
      <c r="S36" s="41">
        <f t="shared" si="0"/>
        <v>3.3333333333333335</v>
      </c>
      <c r="T36" s="78" t="str">
        <f t="shared" si="6"/>
        <v>N/TRANSITA</v>
      </c>
    </row>
    <row r="37" spans="1:20" ht="14.25" customHeight="1" x14ac:dyDescent="0.3">
      <c r="B37" s="33">
        <v>29</v>
      </c>
      <c r="C37" s="123" t="s">
        <v>104</v>
      </c>
      <c r="D37" s="60"/>
      <c r="E37" s="91">
        <v>13</v>
      </c>
      <c r="F37" s="92">
        <v>5</v>
      </c>
      <c r="G37" s="92"/>
      <c r="H37" s="40">
        <f t="shared" ref="H37:H39" si="7">AVERAGE(E37,MAX(F37:G37))</f>
        <v>9</v>
      </c>
      <c r="I37" s="62" t="str">
        <f t="shared" ref="I37:I39" si="8">IF(H37&gt;=10,"TRANSITA","N/TRANSITA")</f>
        <v>N/TRANSITA</v>
      </c>
      <c r="J37" s="102"/>
      <c r="K37" s="106">
        <v>0</v>
      </c>
      <c r="L37" s="64"/>
      <c r="M37" s="40">
        <f t="shared" ref="M37:M39" si="9">AVERAGE(J37,MAX(K37:L37))</f>
        <v>0</v>
      </c>
      <c r="N37" s="62" t="str">
        <f t="shared" ref="N37:N39" si="10">IF(M37&gt;=10,"TRANSITA","N/TRANSITA")</f>
        <v>N/TRANSITA</v>
      </c>
      <c r="O37" s="102"/>
      <c r="P37" s="106"/>
      <c r="Q37" s="64"/>
      <c r="R37" s="40">
        <f t="shared" ref="R37:R39" si="11">AVERAGE(O37,MAX(P37:Q37))</f>
        <v>0</v>
      </c>
      <c r="S37" s="41">
        <f t="shared" ref="S37:S39" si="12">SUM(H37,M37,R37)/3</f>
        <v>3</v>
      </c>
      <c r="T37" s="78" t="str">
        <f t="shared" ref="T37:T39" si="13">IF(S37&gt;=10,"TRANSITA","N/TRANSITA")</f>
        <v>N/TRANSITA</v>
      </c>
    </row>
    <row r="38" spans="1:20" ht="14.25" customHeight="1" x14ac:dyDescent="0.3">
      <c r="B38" s="33">
        <v>30</v>
      </c>
      <c r="C38" s="123" t="s">
        <v>105</v>
      </c>
      <c r="D38" s="60"/>
      <c r="E38" s="91">
        <v>14</v>
      </c>
      <c r="F38" s="92">
        <v>5</v>
      </c>
      <c r="G38" s="92"/>
      <c r="H38" s="40">
        <f t="shared" si="7"/>
        <v>9.5</v>
      </c>
      <c r="I38" s="62" t="str">
        <f t="shared" si="8"/>
        <v>N/TRANSITA</v>
      </c>
      <c r="J38" s="102">
        <v>15</v>
      </c>
      <c r="K38" s="106">
        <v>8</v>
      </c>
      <c r="L38" s="64"/>
      <c r="M38" s="40">
        <f t="shared" si="9"/>
        <v>11.5</v>
      </c>
      <c r="N38" s="62" t="str">
        <f t="shared" si="10"/>
        <v>TRANSITA</v>
      </c>
      <c r="O38" s="102"/>
      <c r="P38" s="106"/>
      <c r="Q38" s="64"/>
      <c r="R38" s="40">
        <f t="shared" si="11"/>
        <v>0</v>
      </c>
      <c r="S38" s="41">
        <f t="shared" si="12"/>
        <v>7</v>
      </c>
      <c r="T38" s="78" t="str">
        <f t="shared" si="13"/>
        <v>N/TRANSITA</v>
      </c>
    </row>
    <row r="39" spans="1:20" ht="14.25" customHeight="1" x14ac:dyDescent="0.3">
      <c r="B39" s="33">
        <v>31</v>
      </c>
      <c r="C39" s="124" t="s">
        <v>106</v>
      </c>
      <c r="D39" s="60"/>
      <c r="E39" s="91"/>
      <c r="F39" s="92"/>
      <c r="G39" s="92"/>
      <c r="H39" s="40">
        <f t="shared" si="7"/>
        <v>0</v>
      </c>
      <c r="I39" s="62" t="str">
        <f t="shared" si="8"/>
        <v>N/TRANSITA</v>
      </c>
      <c r="J39" s="102">
        <v>12</v>
      </c>
      <c r="K39" s="106">
        <v>5</v>
      </c>
      <c r="L39" s="64"/>
      <c r="M39" s="40">
        <f t="shared" si="9"/>
        <v>8.5</v>
      </c>
      <c r="N39" s="62" t="str">
        <f t="shared" si="10"/>
        <v>N/TRANSITA</v>
      </c>
      <c r="O39" s="102"/>
      <c r="P39" s="106"/>
      <c r="Q39" s="64"/>
      <c r="R39" s="40">
        <f t="shared" si="11"/>
        <v>0</v>
      </c>
      <c r="S39" s="41">
        <f t="shared" si="12"/>
        <v>2.8333333333333335</v>
      </c>
      <c r="T39" s="78" t="str">
        <f t="shared" si="13"/>
        <v>N/TRANSITA</v>
      </c>
    </row>
    <row r="40" spans="1:20" ht="14.25" customHeight="1" x14ac:dyDescent="0.3">
      <c r="B40" s="33">
        <v>32</v>
      </c>
      <c r="C40" s="124" t="s">
        <v>107</v>
      </c>
      <c r="D40" s="60"/>
      <c r="E40" s="91"/>
      <c r="F40" s="92"/>
      <c r="G40" s="92"/>
      <c r="H40" s="40">
        <f t="shared" si="1"/>
        <v>0</v>
      </c>
      <c r="I40" s="62" t="str">
        <f t="shared" si="2"/>
        <v>N/TRANSITA</v>
      </c>
      <c r="J40" s="102"/>
      <c r="K40" s="106"/>
      <c r="L40" s="64"/>
      <c r="M40" s="40">
        <f t="shared" si="3"/>
        <v>0</v>
      </c>
      <c r="N40" s="62" t="str">
        <f t="shared" si="4"/>
        <v>N/TRANSITA</v>
      </c>
      <c r="O40" s="102"/>
      <c r="P40" s="106"/>
      <c r="Q40" s="64"/>
      <c r="R40" s="40">
        <f t="shared" si="5"/>
        <v>0</v>
      </c>
      <c r="S40" s="41">
        <f t="shared" si="0"/>
        <v>0</v>
      </c>
      <c r="T40" s="78" t="str">
        <f t="shared" si="6"/>
        <v>N/TRANSITA</v>
      </c>
    </row>
    <row r="41" spans="1:20" ht="14.25" customHeight="1" x14ac:dyDescent="0.3">
      <c r="B41" s="33">
        <v>33</v>
      </c>
      <c r="C41" s="123" t="s">
        <v>108</v>
      </c>
      <c r="D41" s="60"/>
      <c r="E41" s="91"/>
      <c r="F41" s="92"/>
      <c r="G41" s="92"/>
      <c r="H41" s="40">
        <f t="shared" si="1"/>
        <v>0</v>
      </c>
      <c r="I41" s="62" t="str">
        <f t="shared" si="2"/>
        <v>N/TRANSITA</v>
      </c>
      <c r="J41" s="102"/>
      <c r="K41" s="106"/>
      <c r="L41" s="64"/>
      <c r="M41" s="40">
        <f t="shared" si="3"/>
        <v>0</v>
      </c>
      <c r="N41" s="62" t="str">
        <f t="shared" si="4"/>
        <v>N/TRANSITA</v>
      </c>
      <c r="O41" s="102"/>
      <c r="P41" s="106"/>
      <c r="Q41" s="64"/>
      <c r="R41" s="40">
        <f t="shared" si="5"/>
        <v>0</v>
      </c>
      <c r="S41" s="41">
        <f t="shared" si="0"/>
        <v>0</v>
      </c>
      <c r="T41" s="78" t="str">
        <f t="shared" si="6"/>
        <v>N/TRANSITA</v>
      </c>
    </row>
    <row r="42" spans="1:20" ht="14.25" customHeight="1" x14ac:dyDescent="0.3">
      <c r="B42" s="33">
        <v>34</v>
      </c>
      <c r="C42" s="123" t="s">
        <v>109</v>
      </c>
      <c r="D42" s="60"/>
      <c r="E42" s="91">
        <v>13</v>
      </c>
      <c r="F42" s="92">
        <v>5</v>
      </c>
      <c r="G42" s="92"/>
      <c r="H42" s="40">
        <f t="shared" si="1"/>
        <v>9</v>
      </c>
      <c r="I42" s="62" t="str">
        <f t="shared" si="2"/>
        <v>N/TRANSITA</v>
      </c>
      <c r="J42" s="102">
        <v>8</v>
      </c>
      <c r="K42" s="106">
        <v>4</v>
      </c>
      <c r="L42" s="64"/>
      <c r="M42" s="40">
        <f t="shared" si="3"/>
        <v>6</v>
      </c>
      <c r="N42" s="62" t="str">
        <f t="shared" si="4"/>
        <v>N/TRANSITA</v>
      </c>
      <c r="O42" s="102"/>
      <c r="P42" s="106"/>
      <c r="Q42" s="64"/>
      <c r="R42" s="40">
        <f t="shared" si="5"/>
        <v>0</v>
      </c>
      <c r="S42" s="41">
        <f t="shared" si="0"/>
        <v>5</v>
      </c>
      <c r="T42" s="78" t="str">
        <f t="shared" si="6"/>
        <v>N/TRANSITA</v>
      </c>
    </row>
    <row r="43" spans="1:20" ht="14.25" customHeight="1" x14ac:dyDescent="0.3">
      <c r="B43" s="33">
        <v>35</v>
      </c>
      <c r="C43" s="123" t="s">
        <v>110</v>
      </c>
      <c r="D43" s="60"/>
      <c r="E43" s="91">
        <v>15</v>
      </c>
      <c r="F43" s="92">
        <v>5</v>
      </c>
      <c r="G43" s="92"/>
      <c r="H43" s="40">
        <f t="shared" si="1"/>
        <v>10</v>
      </c>
      <c r="I43" s="62" t="str">
        <f t="shared" si="2"/>
        <v>TRANSITA</v>
      </c>
      <c r="J43" s="102">
        <v>10</v>
      </c>
      <c r="K43" s="106"/>
      <c r="L43" s="64"/>
      <c r="M43" s="40">
        <f t="shared" si="3"/>
        <v>5</v>
      </c>
      <c r="N43" s="62" t="str">
        <f t="shared" si="4"/>
        <v>N/TRANSITA</v>
      </c>
      <c r="O43" s="102"/>
      <c r="P43" s="106"/>
      <c r="Q43" s="64"/>
      <c r="R43" s="40">
        <f t="shared" si="5"/>
        <v>0</v>
      </c>
      <c r="S43" s="41">
        <f t="shared" si="0"/>
        <v>5</v>
      </c>
      <c r="T43" s="78" t="str">
        <f t="shared" si="6"/>
        <v>N/TRANSITA</v>
      </c>
    </row>
    <row r="44" spans="1:20" ht="14.25" customHeight="1" x14ac:dyDescent="0.3">
      <c r="B44" s="33">
        <v>36</v>
      </c>
      <c r="C44" s="124" t="s">
        <v>111</v>
      </c>
      <c r="D44" s="60"/>
      <c r="E44" s="91">
        <v>12</v>
      </c>
      <c r="F44" s="92">
        <v>5</v>
      </c>
      <c r="G44" s="92"/>
      <c r="H44" s="40">
        <f t="shared" si="1"/>
        <v>8.5</v>
      </c>
      <c r="I44" s="62" t="str">
        <f t="shared" si="2"/>
        <v>N/TRANSITA</v>
      </c>
      <c r="J44" s="102">
        <v>14</v>
      </c>
      <c r="K44" s="106">
        <v>5</v>
      </c>
      <c r="L44" s="64"/>
      <c r="M44" s="40">
        <f t="shared" si="3"/>
        <v>9.5</v>
      </c>
      <c r="N44" s="62" t="str">
        <f t="shared" si="4"/>
        <v>N/TRANSITA</v>
      </c>
      <c r="O44" s="102"/>
      <c r="P44" s="106"/>
      <c r="Q44" s="64"/>
      <c r="R44" s="40">
        <f t="shared" si="5"/>
        <v>0</v>
      </c>
      <c r="S44" s="41">
        <f t="shared" si="0"/>
        <v>6</v>
      </c>
      <c r="T44" s="78" t="str">
        <f t="shared" si="6"/>
        <v>N/TRANSITA</v>
      </c>
    </row>
    <row r="45" spans="1:20" ht="14.25" customHeight="1" x14ac:dyDescent="0.3">
      <c r="B45" s="33">
        <v>37</v>
      </c>
      <c r="C45" s="123" t="s">
        <v>112</v>
      </c>
      <c r="D45" s="60"/>
      <c r="E45" s="91">
        <v>12</v>
      </c>
      <c r="F45" s="92">
        <v>5</v>
      </c>
      <c r="G45" s="92"/>
      <c r="H45" s="40">
        <f t="shared" si="1"/>
        <v>8.5</v>
      </c>
      <c r="I45" s="62" t="str">
        <f t="shared" si="2"/>
        <v>N/TRANSITA</v>
      </c>
      <c r="J45" s="102"/>
      <c r="K45" s="106"/>
      <c r="L45" s="64"/>
      <c r="M45" s="40">
        <f t="shared" si="3"/>
        <v>0</v>
      </c>
      <c r="N45" s="62" t="str">
        <f t="shared" si="4"/>
        <v>N/TRANSITA</v>
      </c>
      <c r="O45" s="102"/>
      <c r="P45" s="106"/>
      <c r="Q45" s="64"/>
      <c r="R45" s="40">
        <f t="shared" si="5"/>
        <v>0</v>
      </c>
      <c r="S45" s="41">
        <f t="shared" si="0"/>
        <v>2.8333333333333335</v>
      </c>
      <c r="T45" s="78" t="str">
        <f t="shared" si="6"/>
        <v>N/TRANSITA</v>
      </c>
    </row>
    <row r="46" spans="1:20" ht="14.25" customHeight="1" thickBot="1" x14ac:dyDescent="0.35">
      <c r="B46" s="33">
        <v>38</v>
      </c>
      <c r="C46" s="125" t="s">
        <v>113</v>
      </c>
      <c r="D46" s="61"/>
      <c r="E46" s="93"/>
      <c r="F46" s="94"/>
      <c r="G46" s="94"/>
      <c r="H46" s="146">
        <f t="shared" si="1"/>
        <v>0</v>
      </c>
      <c r="I46" s="72" t="str">
        <f t="shared" si="2"/>
        <v>N/TRANSITA</v>
      </c>
      <c r="J46" s="104"/>
      <c r="K46" s="107"/>
      <c r="L46" s="67"/>
      <c r="M46" s="146">
        <f t="shared" si="3"/>
        <v>0</v>
      </c>
      <c r="N46" s="72" t="str">
        <f t="shared" si="4"/>
        <v>N/TRANSITA</v>
      </c>
      <c r="O46" s="104"/>
      <c r="P46" s="107"/>
      <c r="Q46" s="67"/>
      <c r="R46" s="146">
        <f t="shared" si="5"/>
        <v>0</v>
      </c>
      <c r="S46" s="42">
        <f t="shared" si="0"/>
        <v>0</v>
      </c>
      <c r="T46" s="79" t="str">
        <f t="shared" si="6"/>
        <v>N/TRANSITA</v>
      </c>
    </row>
    <row r="47" spans="1:20" ht="93.75" customHeight="1" thickTop="1" x14ac:dyDescent="0.3">
      <c r="B47" s="19"/>
      <c r="C47" s="19"/>
      <c r="D47" s="19"/>
      <c r="E47" s="19"/>
      <c r="F47" s="19"/>
      <c r="G47" s="19"/>
      <c r="H47" s="19"/>
      <c r="I47" s="19"/>
      <c r="J47" s="19"/>
      <c r="O47" s="19"/>
      <c r="P47" s="19"/>
      <c r="Q47" s="19"/>
      <c r="R47" s="19"/>
      <c r="S47" s="19"/>
      <c r="T47" s="19"/>
    </row>
    <row r="48" spans="1:20" ht="20.25" customHeight="1" x14ac:dyDescent="0.45">
      <c r="A48" s="20"/>
      <c r="B48" s="20"/>
      <c r="C48" s="20"/>
      <c r="D48" s="20"/>
      <c r="E48" s="20"/>
      <c r="F48" s="20"/>
      <c r="G48" s="20"/>
      <c r="H48" s="20"/>
      <c r="I48" s="20"/>
      <c r="J48" s="20"/>
      <c r="O48" s="20"/>
      <c r="P48" s="21"/>
      <c r="Q48" s="21"/>
      <c r="R48" s="21"/>
      <c r="S48" s="20"/>
      <c r="T48" s="20"/>
    </row>
    <row r="49" spans="1:20" ht="15.6" x14ac:dyDescent="0.3">
      <c r="A49" s="248" t="s">
        <v>50</v>
      </c>
      <c r="B49" s="248"/>
      <c r="C49" s="248"/>
      <c r="D49" s="248"/>
      <c r="E49" s="248"/>
      <c r="F49" s="22"/>
      <c r="G49" s="22"/>
      <c r="H49" s="22"/>
      <c r="I49" s="22"/>
      <c r="J49" s="22"/>
      <c r="K49" s="23"/>
      <c r="L49" s="23"/>
      <c r="M49" s="23"/>
      <c r="N49" s="23"/>
      <c r="O49" s="248" t="s">
        <v>9</v>
      </c>
      <c r="P49" s="248"/>
      <c r="Q49" s="248"/>
      <c r="R49" s="248"/>
      <c r="S49" s="248"/>
      <c r="T49" s="248"/>
    </row>
    <row r="50" spans="1:20" ht="15.6" x14ac:dyDescent="0.3">
      <c r="A50" s="249" t="s">
        <v>21</v>
      </c>
      <c r="B50" s="249"/>
      <c r="C50" s="249"/>
      <c r="D50" s="249"/>
      <c r="E50" s="249"/>
      <c r="F50" s="24"/>
      <c r="G50" s="24"/>
      <c r="H50" s="24"/>
      <c r="I50" s="24"/>
      <c r="J50" s="24"/>
      <c r="O50" s="250" t="s">
        <v>22</v>
      </c>
      <c r="P50" s="250"/>
      <c r="Q50" s="250"/>
      <c r="R50" s="250"/>
      <c r="S50" s="250"/>
      <c r="T50" s="250"/>
    </row>
    <row r="51" spans="1:20" x14ac:dyDescent="0.3">
      <c r="A51" s="242"/>
      <c r="B51" s="242"/>
      <c r="C51" s="242"/>
      <c r="D51" s="242"/>
      <c r="E51" s="242"/>
      <c r="O51" s="242" t="s">
        <v>23</v>
      </c>
      <c r="P51" s="242"/>
      <c r="Q51" s="242"/>
      <c r="R51" s="242"/>
      <c r="S51" s="242"/>
      <c r="T51" s="242"/>
    </row>
  </sheetData>
  <mergeCells count="22">
    <mergeCell ref="A1:T1"/>
    <mergeCell ref="B3:R3"/>
    <mergeCell ref="B4:C4"/>
    <mergeCell ref="P4:T4"/>
    <mergeCell ref="B5:C5"/>
    <mergeCell ref="N5:T5"/>
    <mergeCell ref="B6:T6"/>
    <mergeCell ref="B7:B8"/>
    <mergeCell ref="C7:C8"/>
    <mergeCell ref="E7:H7"/>
    <mergeCell ref="I7:I8"/>
    <mergeCell ref="J7:M7"/>
    <mergeCell ref="N7:N8"/>
    <mergeCell ref="O7:R7"/>
    <mergeCell ref="S7:S8"/>
    <mergeCell ref="T7:T8"/>
    <mergeCell ref="A49:E49"/>
    <mergeCell ref="O49:T49"/>
    <mergeCell ref="A50:E50"/>
    <mergeCell ref="O50:T50"/>
    <mergeCell ref="A51:E51"/>
    <mergeCell ref="O51:T51"/>
  </mergeCells>
  <conditionalFormatting sqref="S9:S46">
    <cfRule type="cellIs" dxfId="113" priority="13" stopIfTrue="1" operator="greaterThan">
      <formula>9.5</formula>
    </cfRule>
    <cfRule type="cellIs" dxfId="112" priority="14" stopIfTrue="1" operator="lessThanOrEqual">
      <formula>9.5</formula>
    </cfRule>
  </conditionalFormatting>
  <conditionalFormatting sqref="H9:H46 M9:M46 R9:R46">
    <cfRule type="cellIs" dxfId="111" priority="11" stopIfTrue="1" operator="lessThan">
      <formula>10</formula>
    </cfRule>
    <cfRule type="cellIs" dxfId="110" priority="12" stopIfTrue="1" operator="greaterThanOrEqual">
      <formula>10</formula>
    </cfRule>
  </conditionalFormatting>
  <conditionalFormatting sqref="E9:F16 E17:G46 J9:L46 O9:Q46">
    <cfRule type="cellIs" dxfId="109" priority="5" stopIfTrue="1" operator="lessThan">
      <formula>10</formula>
    </cfRule>
    <cfRule type="cellIs" dxfId="108" priority="6" stopIfTrue="1" operator="greaterThan">
      <formula>9</formula>
    </cfRule>
    <cfRule type="cellIs" dxfId="107" priority="7" stopIfTrue="1" operator="lessThan">
      <formula>10</formula>
    </cfRule>
    <cfRule type="cellIs" dxfId="106" priority="8" stopIfTrue="1" operator="greaterThan">
      <formula>9</formula>
    </cfRule>
  </conditionalFormatting>
  <conditionalFormatting sqref="G9:G16">
    <cfRule type="cellIs" dxfId="105" priority="1" stopIfTrue="1" operator="lessThan">
      <formula>10</formula>
    </cfRule>
    <cfRule type="cellIs" dxfId="104" priority="2" stopIfTrue="1" operator="greaterThan">
      <formula>9</formula>
    </cfRule>
    <cfRule type="cellIs" dxfId="103" priority="3" stopIfTrue="1" operator="lessThan">
      <formula>10</formula>
    </cfRule>
    <cfRule type="cellIs" dxfId="102" priority="4" stopIfTrue="1" operator="greaterThan">
      <formula>9</formula>
    </cfRule>
  </conditionalFormatting>
  <dataValidations count="1">
    <dataValidation type="decimal" allowBlank="1" showInputMessage="1" showErrorMessage="1" errorTitle="ATENÇÃO!" error="O valor introduzido não é válido. Grato!" sqref="E9:G46 O9:Q46 J9:L46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1505" r:id="rId4">
          <objectPr defaultSize="0" r:id="rId5">
            <anchor moveWithCells="1">
              <from>
                <xdr:col>1</xdr:col>
                <xdr:colOff>60960</xdr:colOff>
                <xdr:row>46</xdr:row>
                <xdr:rowOff>160020</xdr:rowOff>
              </from>
              <to>
                <xdr:col>13</xdr:col>
                <xdr:colOff>182880</xdr:colOff>
                <xdr:row>48</xdr:row>
                <xdr:rowOff>22860</xdr:rowOff>
              </to>
            </anchor>
          </objectPr>
        </oleObject>
      </mc:Choice>
      <mc:Fallback>
        <oleObject progId="Word.Document.8" shapeId="21505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" stopIfTrue="1" operator="containsText" id="{6BB2B032-113A-42D8-B523-0DCB9EB229ED}">
            <xm:f>NOT(ISERROR(SEARCH("N/TRANSITA",I9)))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0" stopIfTrue="1" operator="containsText" id="{49E1A278-2065-4B50-87B9-C6E627FE5A5D}">
            <xm:f>NOT(ISERROR(SEARCH("TRANSITA",I9)))</xm:f>
            <xm:f>"TRANSITA"</xm:f>
            <x14:dxf>
              <font>
                <b/>
                <i val="0"/>
                <color rgb="FF0000FF"/>
              </font>
            </x14:dxf>
          </x14:cfRule>
          <xm:sqref>N9:N46 T9:T46 I9:I46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W51"/>
  <sheetViews>
    <sheetView showGridLines="0" topLeftCell="A37" zoomScale="115" zoomScaleNormal="115" zoomScalePageLayoutView="85" workbookViewId="0">
      <selection activeCell="E9" sqref="E9:K46"/>
    </sheetView>
  </sheetViews>
  <sheetFormatPr defaultRowHeight="14.4" x14ac:dyDescent="0.3"/>
  <cols>
    <col min="1" max="1" width="1.6640625" customWidth="1"/>
    <col min="2" max="2" width="3.6640625" customWidth="1"/>
    <col min="3" max="3" width="35.109375" customWidth="1"/>
    <col min="4" max="4" width="6.44140625" customWidth="1"/>
    <col min="5" max="8" width="5.109375" customWidth="1"/>
    <col min="9" max="9" width="11.109375" customWidth="1"/>
    <col min="10" max="13" width="5.109375" customWidth="1"/>
    <col min="14" max="14" width="11.109375" customWidth="1"/>
    <col min="15" max="18" width="5.109375" customWidth="1"/>
    <col min="19" max="19" width="6" customWidth="1"/>
    <col min="20" max="20" width="11.5546875" customWidth="1"/>
    <col min="21" max="21" width="3.44140625" customWidth="1"/>
    <col min="22" max="22" width="5" customWidth="1"/>
  </cols>
  <sheetData>
    <row r="1" spans="1:23" ht="30" customHeight="1" x14ac:dyDescent="0.3">
      <c r="A1" s="261" t="s">
        <v>43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</row>
    <row r="2" spans="1:23" ht="30" customHeight="1" x14ac:dyDescent="0.3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23" ht="12" customHeight="1" x14ac:dyDescent="0.3"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</row>
    <row r="4" spans="1:23" ht="17.399999999999999" customHeight="1" x14ac:dyDescent="0.3">
      <c r="B4" s="262" t="s">
        <v>57</v>
      </c>
      <c r="C4" s="262"/>
      <c r="D4" s="157"/>
      <c r="F4" s="73"/>
      <c r="G4" s="73"/>
      <c r="I4" s="73" t="s">
        <v>69</v>
      </c>
      <c r="J4" s="73"/>
      <c r="K4" s="73"/>
      <c r="L4" s="73"/>
      <c r="M4" s="73"/>
      <c r="N4" s="157"/>
      <c r="P4" s="243" t="s">
        <v>55</v>
      </c>
      <c r="Q4" s="243"/>
      <c r="R4" s="243"/>
      <c r="S4" s="243"/>
      <c r="T4" s="243"/>
    </row>
    <row r="5" spans="1:23" ht="18" customHeight="1" x14ac:dyDescent="0.3">
      <c r="B5" s="262" t="s">
        <v>64</v>
      </c>
      <c r="C5" s="262"/>
      <c r="D5" s="157"/>
      <c r="E5" s="74" t="s">
        <v>52</v>
      </c>
      <c r="F5" s="74"/>
      <c r="I5" s="74" t="s">
        <v>67</v>
      </c>
      <c r="J5" s="74"/>
      <c r="K5" s="74"/>
      <c r="N5" s="263" t="s">
        <v>66</v>
      </c>
      <c r="O5" s="263"/>
      <c r="P5" s="263"/>
      <c r="Q5" s="263"/>
      <c r="R5" s="263"/>
      <c r="S5" s="263"/>
      <c r="T5" s="263"/>
    </row>
    <row r="6" spans="1:23" ht="34.5" customHeight="1" thickBot="1" x14ac:dyDescent="1.05">
      <c r="B6" s="258" t="s">
        <v>41</v>
      </c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60"/>
    </row>
    <row r="7" spans="1:23" ht="19.5" customHeight="1" thickTop="1" x14ac:dyDescent="0.3">
      <c r="B7" s="251" t="s">
        <v>35</v>
      </c>
      <c r="C7" s="253" t="s">
        <v>13</v>
      </c>
      <c r="D7" s="43" t="s">
        <v>39</v>
      </c>
      <c r="E7" s="255" t="s">
        <v>36</v>
      </c>
      <c r="F7" s="256"/>
      <c r="G7" s="256"/>
      <c r="H7" s="257"/>
      <c r="I7" s="246" t="s">
        <v>15</v>
      </c>
      <c r="J7" s="255" t="s">
        <v>37</v>
      </c>
      <c r="K7" s="256"/>
      <c r="L7" s="256"/>
      <c r="M7" s="257"/>
      <c r="N7" s="246" t="s">
        <v>15</v>
      </c>
      <c r="O7" s="255" t="s">
        <v>38</v>
      </c>
      <c r="P7" s="256"/>
      <c r="Q7" s="256"/>
      <c r="R7" s="257"/>
      <c r="S7" s="244" t="s">
        <v>14</v>
      </c>
      <c r="T7" s="246" t="s">
        <v>15</v>
      </c>
    </row>
    <row r="8" spans="1:23" ht="20.25" customHeight="1" thickBot="1" x14ac:dyDescent="0.35">
      <c r="B8" s="252"/>
      <c r="C8" s="254"/>
      <c r="D8" s="44" t="s">
        <v>40</v>
      </c>
      <c r="E8" s="36" t="s">
        <v>16</v>
      </c>
      <c r="F8" s="35" t="s">
        <v>17</v>
      </c>
      <c r="G8" s="35" t="s">
        <v>34</v>
      </c>
      <c r="H8" s="37" t="s">
        <v>18</v>
      </c>
      <c r="I8" s="247"/>
      <c r="J8" s="36" t="s">
        <v>16</v>
      </c>
      <c r="K8" s="35" t="s">
        <v>17</v>
      </c>
      <c r="L8" s="35" t="s">
        <v>34</v>
      </c>
      <c r="M8" s="37" t="s">
        <v>19</v>
      </c>
      <c r="N8" s="247"/>
      <c r="O8" s="36" t="s">
        <v>16</v>
      </c>
      <c r="P8" s="35" t="s">
        <v>17</v>
      </c>
      <c r="Q8" s="35" t="s">
        <v>34</v>
      </c>
      <c r="R8" s="37" t="s">
        <v>20</v>
      </c>
      <c r="S8" s="245"/>
      <c r="T8" s="247"/>
    </row>
    <row r="9" spans="1:23" ht="14.25" customHeight="1" thickTop="1" x14ac:dyDescent="0.3">
      <c r="B9" s="129">
        <v>1</v>
      </c>
      <c r="C9" s="122" t="s">
        <v>79</v>
      </c>
      <c r="D9" s="130"/>
      <c r="E9" s="147">
        <v>20</v>
      </c>
      <c r="F9" s="148">
        <v>14</v>
      </c>
      <c r="G9" s="148"/>
      <c r="H9" s="140">
        <f>AVERAGE(E9,MAX(F9:G9))</f>
        <v>17</v>
      </c>
      <c r="I9" s="141" t="str">
        <f>IF(H9&gt;=10,"TRANSITA","N/TRANSITA")</f>
        <v>TRANSITA</v>
      </c>
      <c r="J9" s="142">
        <v>18</v>
      </c>
      <c r="K9" s="149">
        <v>8</v>
      </c>
      <c r="L9" s="150"/>
      <c r="M9" s="140">
        <f>AVERAGE(J9,MAX(K9:L9))</f>
        <v>13</v>
      </c>
      <c r="N9" s="141" t="str">
        <f>IF(M9&gt;=10,"TRANSITA","N/TRANSITA")</f>
        <v>TRANSITA</v>
      </c>
      <c r="O9" s="142"/>
      <c r="P9" s="149"/>
      <c r="Q9" s="150"/>
      <c r="R9" s="140">
        <f>AVERAGE(O9,MAX(P9:Q9))</f>
        <v>0</v>
      </c>
      <c r="S9" s="145">
        <f t="shared" ref="S9:S46" si="0">SUM(H9,M9,R9)/3</f>
        <v>10</v>
      </c>
      <c r="T9" s="77" t="str">
        <f>IF(S9&gt;=10,"TRANSITA","N/TRANSITA")</f>
        <v>TRANSITA</v>
      </c>
    </row>
    <row r="10" spans="1:23" ht="14.25" customHeight="1" x14ac:dyDescent="0.3">
      <c r="B10" s="33">
        <v>2</v>
      </c>
      <c r="C10" s="124" t="s">
        <v>80</v>
      </c>
      <c r="D10" s="60"/>
      <c r="E10" s="91">
        <v>12</v>
      </c>
      <c r="F10" s="92">
        <v>6</v>
      </c>
      <c r="G10" s="92"/>
      <c r="H10" s="40">
        <f t="shared" ref="H10:H46" si="1">AVERAGE(E10,MAX(F10:G10))</f>
        <v>9</v>
      </c>
      <c r="I10" s="62" t="str">
        <f t="shared" ref="I10:I46" si="2">IF(H10&gt;=10,"TRANSITA","N/TRANSITA")</f>
        <v>N/TRANSITA</v>
      </c>
      <c r="J10" s="102">
        <v>12</v>
      </c>
      <c r="K10" s="106">
        <v>8</v>
      </c>
      <c r="L10" s="64"/>
      <c r="M10" s="40">
        <f t="shared" ref="M10:M46" si="3">AVERAGE(J10,MAX(K10:L10))</f>
        <v>10</v>
      </c>
      <c r="N10" s="62" t="str">
        <f t="shared" ref="N10:N46" si="4">IF(M10&gt;=10,"TRANSITA","N/TRANSITA")</f>
        <v>TRANSITA</v>
      </c>
      <c r="O10" s="102"/>
      <c r="P10" s="106"/>
      <c r="Q10" s="64"/>
      <c r="R10" s="40">
        <f t="shared" ref="R10:R46" si="5">AVERAGE(O10,MAX(P10:Q10))</f>
        <v>0</v>
      </c>
      <c r="S10" s="41">
        <f t="shared" si="0"/>
        <v>6.333333333333333</v>
      </c>
      <c r="T10" s="78" t="str">
        <f t="shared" ref="T10:T46" si="6">IF(S10&gt;=10,"TRANSITA","N/TRANSITA")</f>
        <v>N/TRANSITA</v>
      </c>
    </row>
    <row r="11" spans="1:23" ht="14.25" customHeight="1" x14ac:dyDescent="0.3">
      <c r="B11" s="33">
        <v>3</v>
      </c>
      <c r="C11" s="123" t="s">
        <v>81</v>
      </c>
      <c r="D11" s="60"/>
      <c r="E11" s="91"/>
      <c r="F11" s="92"/>
      <c r="G11" s="92"/>
      <c r="H11" s="40">
        <f t="shared" si="1"/>
        <v>0</v>
      </c>
      <c r="I11" s="62" t="str">
        <f t="shared" si="2"/>
        <v>N/TRANSITA</v>
      </c>
      <c r="J11" s="102"/>
      <c r="K11" s="106"/>
      <c r="L11" s="64"/>
      <c r="M11" s="40">
        <f t="shared" si="3"/>
        <v>0</v>
      </c>
      <c r="N11" s="62" t="str">
        <f t="shared" si="4"/>
        <v>N/TRANSITA</v>
      </c>
      <c r="O11" s="102"/>
      <c r="P11" s="106"/>
      <c r="Q11" s="64"/>
      <c r="R11" s="40">
        <f t="shared" si="5"/>
        <v>0</v>
      </c>
      <c r="S11" s="41">
        <f t="shared" si="0"/>
        <v>0</v>
      </c>
      <c r="T11" s="78" t="str">
        <f t="shared" si="6"/>
        <v>N/TRANSITA</v>
      </c>
    </row>
    <row r="12" spans="1:23" ht="14.25" customHeight="1" x14ac:dyDescent="0.3">
      <c r="B12" s="33">
        <v>4</v>
      </c>
      <c r="C12" s="123" t="s">
        <v>82</v>
      </c>
      <c r="D12" s="60"/>
      <c r="E12" s="91">
        <v>20</v>
      </c>
      <c r="F12" s="92">
        <v>11</v>
      </c>
      <c r="G12" s="92"/>
      <c r="H12" s="40">
        <f t="shared" si="1"/>
        <v>15.5</v>
      </c>
      <c r="I12" s="62" t="str">
        <f t="shared" si="2"/>
        <v>TRANSITA</v>
      </c>
      <c r="J12" s="102">
        <v>18</v>
      </c>
      <c r="K12" s="106">
        <v>12</v>
      </c>
      <c r="L12" s="64"/>
      <c r="M12" s="40">
        <f t="shared" si="3"/>
        <v>15</v>
      </c>
      <c r="N12" s="62" t="str">
        <f t="shared" si="4"/>
        <v>TRANSITA</v>
      </c>
      <c r="O12" s="102"/>
      <c r="P12" s="106"/>
      <c r="Q12" s="64"/>
      <c r="R12" s="40">
        <f t="shared" si="5"/>
        <v>0</v>
      </c>
      <c r="S12" s="41">
        <f t="shared" si="0"/>
        <v>10.166666666666666</v>
      </c>
      <c r="T12" s="78" t="str">
        <f t="shared" si="6"/>
        <v>TRANSITA</v>
      </c>
    </row>
    <row r="13" spans="1:23" ht="14.25" customHeight="1" x14ac:dyDescent="0.3">
      <c r="B13" s="33">
        <v>5</v>
      </c>
      <c r="C13" s="124" t="s">
        <v>83</v>
      </c>
      <c r="D13" s="60"/>
      <c r="E13" s="91">
        <v>15</v>
      </c>
      <c r="F13" s="92">
        <v>14</v>
      </c>
      <c r="G13" s="92"/>
      <c r="H13" s="40">
        <f t="shared" si="1"/>
        <v>14.5</v>
      </c>
      <c r="I13" s="62" t="str">
        <f t="shared" si="2"/>
        <v>TRANSITA</v>
      </c>
      <c r="J13" s="102">
        <v>15</v>
      </c>
      <c r="K13" s="106">
        <v>6</v>
      </c>
      <c r="L13" s="64"/>
      <c r="M13" s="40">
        <f t="shared" si="3"/>
        <v>10.5</v>
      </c>
      <c r="N13" s="62" t="str">
        <f t="shared" si="4"/>
        <v>TRANSITA</v>
      </c>
      <c r="O13" s="102"/>
      <c r="P13" s="106"/>
      <c r="Q13" s="64"/>
      <c r="R13" s="40">
        <f t="shared" si="5"/>
        <v>0</v>
      </c>
      <c r="S13" s="41">
        <f t="shared" si="0"/>
        <v>8.3333333333333339</v>
      </c>
      <c r="T13" s="78" t="str">
        <f t="shared" si="6"/>
        <v>N/TRANSITA</v>
      </c>
      <c r="U13" s="18"/>
      <c r="V13" s="18"/>
      <c r="W13" s="18"/>
    </row>
    <row r="14" spans="1:23" ht="14.25" customHeight="1" x14ac:dyDescent="0.3">
      <c r="B14" s="33">
        <v>6</v>
      </c>
      <c r="C14" s="123" t="s">
        <v>84</v>
      </c>
      <c r="D14" s="60"/>
      <c r="E14" s="91">
        <v>12</v>
      </c>
      <c r="F14" s="92">
        <v>4</v>
      </c>
      <c r="G14" s="92"/>
      <c r="H14" s="40">
        <f t="shared" si="1"/>
        <v>8</v>
      </c>
      <c r="I14" s="62" t="str">
        <f t="shared" si="2"/>
        <v>N/TRANSITA</v>
      </c>
      <c r="J14" s="102">
        <v>10</v>
      </c>
      <c r="K14" s="106">
        <v>6</v>
      </c>
      <c r="L14" s="64"/>
      <c r="M14" s="40">
        <f t="shared" si="3"/>
        <v>8</v>
      </c>
      <c r="N14" s="62" t="str">
        <f t="shared" si="4"/>
        <v>N/TRANSITA</v>
      </c>
      <c r="O14" s="102"/>
      <c r="P14" s="106"/>
      <c r="Q14" s="64"/>
      <c r="R14" s="40">
        <f t="shared" si="5"/>
        <v>0</v>
      </c>
      <c r="S14" s="41">
        <f t="shared" si="0"/>
        <v>5.333333333333333</v>
      </c>
      <c r="T14" s="78" t="str">
        <f t="shared" si="6"/>
        <v>N/TRANSITA</v>
      </c>
    </row>
    <row r="15" spans="1:23" ht="14.25" customHeight="1" x14ac:dyDescent="0.3">
      <c r="B15" s="33">
        <v>7</v>
      </c>
      <c r="C15" s="123" t="s">
        <v>85</v>
      </c>
      <c r="D15" s="60"/>
      <c r="E15" s="91">
        <v>15</v>
      </c>
      <c r="F15" s="92">
        <v>16</v>
      </c>
      <c r="G15" s="92"/>
      <c r="H15" s="40">
        <f t="shared" si="1"/>
        <v>15.5</v>
      </c>
      <c r="I15" s="62" t="str">
        <f t="shared" si="2"/>
        <v>TRANSITA</v>
      </c>
      <c r="J15" s="102">
        <v>18</v>
      </c>
      <c r="K15" s="106">
        <v>16.5</v>
      </c>
      <c r="L15" s="64"/>
      <c r="M15" s="40">
        <f t="shared" si="3"/>
        <v>17.25</v>
      </c>
      <c r="N15" s="62" t="str">
        <f t="shared" si="4"/>
        <v>TRANSITA</v>
      </c>
      <c r="O15" s="102"/>
      <c r="P15" s="106"/>
      <c r="Q15" s="64"/>
      <c r="R15" s="40">
        <f t="shared" si="5"/>
        <v>0</v>
      </c>
      <c r="S15" s="41">
        <f t="shared" si="0"/>
        <v>10.916666666666666</v>
      </c>
      <c r="T15" s="78" t="str">
        <f t="shared" si="6"/>
        <v>TRANSITA</v>
      </c>
    </row>
    <row r="16" spans="1:23" ht="14.25" customHeight="1" x14ac:dyDescent="0.3">
      <c r="B16" s="33">
        <v>8</v>
      </c>
      <c r="C16" s="124" t="s">
        <v>86</v>
      </c>
      <c r="D16" s="60"/>
      <c r="E16" s="91">
        <v>20</v>
      </c>
      <c r="F16" s="92">
        <v>16</v>
      </c>
      <c r="G16" s="92"/>
      <c r="H16" s="40">
        <f t="shared" si="1"/>
        <v>18</v>
      </c>
      <c r="I16" s="62" t="str">
        <f t="shared" si="2"/>
        <v>TRANSITA</v>
      </c>
      <c r="J16" s="102">
        <v>17</v>
      </c>
      <c r="K16" s="106">
        <v>8</v>
      </c>
      <c r="L16" s="64"/>
      <c r="M16" s="40">
        <f t="shared" si="3"/>
        <v>12.5</v>
      </c>
      <c r="N16" s="62" t="str">
        <f t="shared" si="4"/>
        <v>TRANSITA</v>
      </c>
      <c r="O16" s="102"/>
      <c r="P16" s="106"/>
      <c r="Q16" s="64"/>
      <c r="R16" s="40">
        <f t="shared" si="5"/>
        <v>0</v>
      </c>
      <c r="S16" s="41">
        <f t="shared" si="0"/>
        <v>10.166666666666666</v>
      </c>
      <c r="T16" s="78" t="str">
        <f t="shared" si="6"/>
        <v>TRANSITA</v>
      </c>
    </row>
    <row r="17" spans="2:20" ht="14.25" customHeight="1" x14ac:dyDescent="0.3">
      <c r="B17" s="33">
        <v>9</v>
      </c>
      <c r="C17" s="123" t="s">
        <v>87</v>
      </c>
      <c r="D17" s="60"/>
      <c r="E17" s="91">
        <v>16</v>
      </c>
      <c r="F17" s="92">
        <v>7</v>
      </c>
      <c r="G17" s="92"/>
      <c r="H17" s="40">
        <f t="shared" si="1"/>
        <v>11.5</v>
      </c>
      <c r="I17" s="62" t="str">
        <f t="shared" si="2"/>
        <v>TRANSITA</v>
      </c>
      <c r="J17" s="91">
        <v>17</v>
      </c>
      <c r="K17" s="92">
        <v>5</v>
      </c>
      <c r="L17" s="64"/>
      <c r="M17" s="40">
        <f t="shared" si="3"/>
        <v>11</v>
      </c>
      <c r="N17" s="62" t="str">
        <f t="shared" si="4"/>
        <v>TRANSITA</v>
      </c>
      <c r="O17" s="102"/>
      <c r="P17" s="106"/>
      <c r="Q17" s="64"/>
      <c r="R17" s="40">
        <f t="shared" si="5"/>
        <v>0</v>
      </c>
      <c r="S17" s="41">
        <f t="shared" si="0"/>
        <v>7.5</v>
      </c>
      <c r="T17" s="78" t="str">
        <f t="shared" si="6"/>
        <v>N/TRANSITA</v>
      </c>
    </row>
    <row r="18" spans="2:20" ht="14.25" customHeight="1" x14ac:dyDescent="0.3">
      <c r="B18" s="33">
        <v>10</v>
      </c>
      <c r="C18" s="124" t="s">
        <v>88</v>
      </c>
      <c r="D18" s="60"/>
      <c r="E18" s="91">
        <v>15</v>
      </c>
      <c r="F18" s="92">
        <v>7</v>
      </c>
      <c r="G18" s="92"/>
      <c r="H18" s="40">
        <f t="shared" si="1"/>
        <v>11</v>
      </c>
      <c r="I18" s="62" t="str">
        <f t="shared" si="2"/>
        <v>TRANSITA</v>
      </c>
      <c r="J18" s="102">
        <v>10</v>
      </c>
      <c r="K18" s="106">
        <v>10</v>
      </c>
      <c r="L18" s="64"/>
      <c r="M18" s="40">
        <f t="shared" si="3"/>
        <v>10</v>
      </c>
      <c r="N18" s="62" t="str">
        <f t="shared" si="4"/>
        <v>TRANSITA</v>
      </c>
      <c r="O18" s="102"/>
      <c r="P18" s="106"/>
      <c r="Q18" s="64"/>
      <c r="R18" s="40">
        <f t="shared" si="5"/>
        <v>0</v>
      </c>
      <c r="S18" s="41">
        <f t="shared" si="0"/>
        <v>7</v>
      </c>
      <c r="T18" s="78" t="str">
        <f t="shared" si="6"/>
        <v>N/TRANSITA</v>
      </c>
    </row>
    <row r="19" spans="2:20" ht="14.25" customHeight="1" x14ac:dyDescent="0.3">
      <c r="B19" s="33">
        <v>11</v>
      </c>
      <c r="C19" s="123" t="s">
        <v>89</v>
      </c>
      <c r="D19" s="60"/>
      <c r="E19" s="91"/>
      <c r="F19" s="92"/>
      <c r="G19" s="92"/>
      <c r="H19" s="40">
        <f t="shared" si="1"/>
        <v>0</v>
      </c>
      <c r="I19" s="62" t="str">
        <f t="shared" si="2"/>
        <v>N/TRANSITA</v>
      </c>
      <c r="J19" s="102"/>
      <c r="K19" s="106"/>
      <c r="L19" s="64"/>
      <c r="M19" s="40">
        <f t="shared" si="3"/>
        <v>0</v>
      </c>
      <c r="N19" s="62" t="str">
        <f t="shared" si="4"/>
        <v>N/TRANSITA</v>
      </c>
      <c r="O19" s="102"/>
      <c r="P19" s="106"/>
      <c r="Q19" s="64"/>
      <c r="R19" s="40">
        <f t="shared" si="5"/>
        <v>0</v>
      </c>
      <c r="S19" s="41">
        <f t="shared" si="0"/>
        <v>0</v>
      </c>
      <c r="T19" s="78" t="str">
        <f t="shared" si="6"/>
        <v>N/TRANSITA</v>
      </c>
    </row>
    <row r="20" spans="2:20" ht="14.25" customHeight="1" x14ac:dyDescent="0.3">
      <c r="B20" s="33">
        <v>12</v>
      </c>
      <c r="C20" s="124" t="s">
        <v>90</v>
      </c>
      <c r="D20" s="60"/>
      <c r="E20" s="91">
        <v>15</v>
      </c>
      <c r="F20" s="92">
        <v>14</v>
      </c>
      <c r="G20" s="92"/>
      <c r="H20" s="40">
        <f t="shared" si="1"/>
        <v>14.5</v>
      </c>
      <c r="I20" s="62" t="str">
        <f t="shared" si="2"/>
        <v>TRANSITA</v>
      </c>
      <c r="J20" s="102"/>
      <c r="K20" s="106"/>
      <c r="L20" s="64"/>
      <c r="M20" s="40">
        <f t="shared" si="3"/>
        <v>0</v>
      </c>
      <c r="N20" s="62" t="str">
        <f t="shared" si="4"/>
        <v>N/TRANSITA</v>
      </c>
      <c r="O20" s="102"/>
      <c r="P20" s="106"/>
      <c r="Q20" s="64"/>
      <c r="R20" s="40">
        <f t="shared" si="5"/>
        <v>0</v>
      </c>
      <c r="S20" s="41">
        <f t="shared" si="0"/>
        <v>4.833333333333333</v>
      </c>
      <c r="T20" s="78" t="str">
        <f t="shared" si="6"/>
        <v>N/TRANSITA</v>
      </c>
    </row>
    <row r="21" spans="2:20" ht="14.25" customHeight="1" x14ac:dyDescent="0.3">
      <c r="B21" s="33">
        <v>13</v>
      </c>
      <c r="C21" s="123" t="s">
        <v>91</v>
      </c>
      <c r="D21" s="60"/>
      <c r="E21" s="91"/>
      <c r="F21" s="92"/>
      <c r="G21" s="92"/>
      <c r="H21" s="40">
        <f t="shared" si="1"/>
        <v>0</v>
      </c>
      <c r="I21" s="62" t="str">
        <f t="shared" si="2"/>
        <v>N/TRANSITA</v>
      </c>
      <c r="J21" s="102"/>
      <c r="K21" s="106"/>
      <c r="L21" s="64"/>
      <c r="M21" s="40">
        <f t="shared" si="3"/>
        <v>0</v>
      </c>
      <c r="N21" s="62" t="str">
        <f t="shared" si="4"/>
        <v>N/TRANSITA</v>
      </c>
      <c r="O21" s="102"/>
      <c r="P21" s="106"/>
      <c r="Q21" s="64"/>
      <c r="R21" s="40">
        <f t="shared" si="5"/>
        <v>0</v>
      </c>
      <c r="S21" s="41">
        <f t="shared" si="0"/>
        <v>0</v>
      </c>
      <c r="T21" s="78" t="str">
        <f t="shared" si="6"/>
        <v>N/TRANSITA</v>
      </c>
    </row>
    <row r="22" spans="2:20" ht="14.25" customHeight="1" x14ac:dyDescent="0.3">
      <c r="B22" s="33">
        <v>14</v>
      </c>
      <c r="C22" s="123" t="s">
        <v>92</v>
      </c>
      <c r="D22" s="60"/>
      <c r="E22" s="91">
        <v>20</v>
      </c>
      <c r="F22" s="92">
        <v>11</v>
      </c>
      <c r="G22" s="92"/>
      <c r="H22" s="40">
        <f t="shared" si="1"/>
        <v>15.5</v>
      </c>
      <c r="I22" s="62" t="str">
        <f t="shared" si="2"/>
        <v>TRANSITA</v>
      </c>
      <c r="J22" s="102">
        <v>17</v>
      </c>
      <c r="K22" s="106">
        <v>13</v>
      </c>
      <c r="L22" s="64"/>
      <c r="M22" s="40">
        <f t="shared" si="3"/>
        <v>15</v>
      </c>
      <c r="N22" s="62" t="str">
        <f t="shared" si="4"/>
        <v>TRANSITA</v>
      </c>
      <c r="O22" s="102"/>
      <c r="P22" s="106"/>
      <c r="Q22" s="64"/>
      <c r="R22" s="40">
        <f t="shared" si="5"/>
        <v>0</v>
      </c>
      <c r="S22" s="41">
        <f t="shared" si="0"/>
        <v>10.166666666666666</v>
      </c>
      <c r="T22" s="78" t="str">
        <f t="shared" si="6"/>
        <v>TRANSITA</v>
      </c>
    </row>
    <row r="23" spans="2:20" ht="14.25" customHeight="1" x14ac:dyDescent="0.3">
      <c r="B23" s="33">
        <v>15</v>
      </c>
      <c r="C23" s="124" t="s">
        <v>114</v>
      </c>
      <c r="D23" s="60"/>
      <c r="E23" s="91"/>
      <c r="F23" s="92"/>
      <c r="G23" s="92"/>
      <c r="H23" s="40">
        <f t="shared" si="1"/>
        <v>0</v>
      </c>
      <c r="I23" s="62" t="str">
        <f t="shared" si="2"/>
        <v>N/TRANSITA</v>
      </c>
      <c r="J23" s="102">
        <v>10</v>
      </c>
      <c r="K23" s="106">
        <v>5</v>
      </c>
      <c r="L23" s="64"/>
      <c r="M23" s="40">
        <f t="shared" si="3"/>
        <v>7.5</v>
      </c>
      <c r="N23" s="62" t="str">
        <f t="shared" si="4"/>
        <v>N/TRANSITA</v>
      </c>
      <c r="O23" s="102"/>
      <c r="P23" s="106"/>
      <c r="Q23" s="64"/>
      <c r="R23" s="40">
        <f t="shared" si="5"/>
        <v>0</v>
      </c>
      <c r="S23" s="41">
        <f t="shared" si="0"/>
        <v>2.5</v>
      </c>
      <c r="T23" s="78" t="str">
        <f t="shared" si="6"/>
        <v>N/TRANSITA</v>
      </c>
    </row>
    <row r="24" spans="2:20" ht="14.25" customHeight="1" x14ac:dyDescent="0.3">
      <c r="B24" s="33">
        <v>16</v>
      </c>
      <c r="C24" s="124" t="s">
        <v>93</v>
      </c>
      <c r="D24" s="60"/>
      <c r="E24" s="91">
        <v>12</v>
      </c>
      <c r="F24" s="92">
        <v>12</v>
      </c>
      <c r="G24" s="92"/>
      <c r="H24" s="40">
        <f t="shared" si="1"/>
        <v>12</v>
      </c>
      <c r="I24" s="62" t="str">
        <f t="shared" si="2"/>
        <v>TRANSITA</v>
      </c>
      <c r="J24" s="102">
        <v>15</v>
      </c>
      <c r="K24" s="106">
        <v>5</v>
      </c>
      <c r="L24" s="64"/>
      <c r="M24" s="40">
        <f t="shared" si="3"/>
        <v>10</v>
      </c>
      <c r="N24" s="62" t="str">
        <f t="shared" si="4"/>
        <v>TRANSITA</v>
      </c>
      <c r="O24" s="102"/>
      <c r="P24" s="106"/>
      <c r="Q24" s="64"/>
      <c r="R24" s="40">
        <f t="shared" si="5"/>
        <v>0</v>
      </c>
      <c r="S24" s="41">
        <f t="shared" si="0"/>
        <v>7.333333333333333</v>
      </c>
      <c r="T24" s="78" t="str">
        <f t="shared" si="6"/>
        <v>N/TRANSITA</v>
      </c>
    </row>
    <row r="25" spans="2:20" ht="14.25" customHeight="1" x14ac:dyDescent="0.3">
      <c r="B25" s="33">
        <v>17</v>
      </c>
      <c r="C25" s="123" t="s">
        <v>94</v>
      </c>
      <c r="D25" s="60"/>
      <c r="E25" s="91"/>
      <c r="F25" s="92"/>
      <c r="G25" s="92"/>
      <c r="H25" s="40">
        <f t="shared" si="1"/>
        <v>0</v>
      </c>
      <c r="I25" s="62" t="str">
        <f t="shared" si="2"/>
        <v>N/TRANSITA</v>
      </c>
      <c r="J25" s="102"/>
      <c r="K25" s="106"/>
      <c r="L25" s="64"/>
      <c r="M25" s="40">
        <f t="shared" si="3"/>
        <v>0</v>
      </c>
      <c r="N25" s="62" t="str">
        <f t="shared" si="4"/>
        <v>N/TRANSITA</v>
      </c>
      <c r="O25" s="102"/>
      <c r="P25" s="106"/>
      <c r="Q25" s="64"/>
      <c r="R25" s="40">
        <f t="shared" si="5"/>
        <v>0</v>
      </c>
      <c r="S25" s="41">
        <f t="shared" si="0"/>
        <v>0</v>
      </c>
      <c r="T25" s="78" t="str">
        <f t="shared" si="6"/>
        <v>N/TRANSITA</v>
      </c>
    </row>
    <row r="26" spans="2:20" ht="14.25" customHeight="1" x14ac:dyDescent="0.3">
      <c r="B26" s="33">
        <v>18</v>
      </c>
      <c r="C26" s="124" t="s">
        <v>95</v>
      </c>
      <c r="D26" s="60"/>
      <c r="E26" s="91">
        <v>12</v>
      </c>
      <c r="F26" s="92">
        <v>7</v>
      </c>
      <c r="G26" s="92"/>
      <c r="H26" s="40">
        <f t="shared" si="1"/>
        <v>9.5</v>
      </c>
      <c r="I26" s="62" t="str">
        <f t="shared" si="2"/>
        <v>N/TRANSITA</v>
      </c>
      <c r="J26" s="102">
        <v>15</v>
      </c>
      <c r="K26" s="106">
        <v>5</v>
      </c>
      <c r="L26" s="64"/>
      <c r="M26" s="40">
        <f t="shared" si="3"/>
        <v>10</v>
      </c>
      <c r="N26" s="62" t="str">
        <f t="shared" si="4"/>
        <v>TRANSITA</v>
      </c>
      <c r="O26" s="102"/>
      <c r="P26" s="106"/>
      <c r="Q26" s="64"/>
      <c r="R26" s="40">
        <f t="shared" si="5"/>
        <v>0</v>
      </c>
      <c r="S26" s="41">
        <f t="shared" si="0"/>
        <v>6.5</v>
      </c>
      <c r="T26" s="78" t="str">
        <f t="shared" si="6"/>
        <v>N/TRANSITA</v>
      </c>
    </row>
    <row r="27" spans="2:20" ht="14.25" customHeight="1" x14ac:dyDescent="0.3">
      <c r="B27" s="33">
        <v>19</v>
      </c>
      <c r="C27" s="124" t="s">
        <v>96</v>
      </c>
      <c r="D27" s="60"/>
      <c r="E27" s="91"/>
      <c r="F27" s="92"/>
      <c r="G27" s="92"/>
      <c r="H27" s="40">
        <f t="shared" si="1"/>
        <v>0</v>
      </c>
      <c r="I27" s="62" t="str">
        <f t="shared" si="2"/>
        <v>N/TRANSITA</v>
      </c>
      <c r="J27" s="102"/>
      <c r="K27" s="106"/>
      <c r="L27" s="64"/>
      <c r="M27" s="40">
        <f t="shared" si="3"/>
        <v>0</v>
      </c>
      <c r="N27" s="62" t="str">
        <f t="shared" si="4"/>
        <v>N/TRANSITA</v>
      </c>
      <c r="O27" s="102"/>
      <c r="P27" s="106"/>
      <c r="Q27" s="64"/>
      <c r="R27" s="40">
        <f t="shared" si="5"/>
        <v>0</v>
      </c>
      <c r="S27" s="41">
        <f t="shared" si="0"/>
        <v>0</v>
      </c>
      <c r="T27" s="78" t="str">
        <f t="shared" si="6"/>
        <v>N/TRANSITA</v>
      </c>
    </row>
    <row r="28" spans="2:20" ht="14.25" customHeight="1" x14ac:dyDescent="0.3">
      <c r="B28" s="33">
        <v>20</v>
      </c>
      <c r="C28" s="123" t="s">
        <v>97</v>
      </c>
      <c r="D28" s="60"/>
      <c r="E28" s="91">
        <v>12</v>
      </c>
      <c r="F28" s="92">
        <v>12</v>
      </c>
      <c r="G28" s="92"/>
      <c r="H28" s="40">
        <f t="shared" si="1"/>
        <v>12</v>
      </c>
      <c r="I28" s="62" t="str">
        <f t="shared" si="2"/>
        <v>TRANSITA</v>
      </c>
      <c r="J28" s="102">
        <v>10</v>
      </c>
      <c r="K28" s="106"/>
      <c r="L28" s="64"/>
      <c r="M28" s="40">
        <f t="shared" si="3"/>
        <v>5</v>
      </c>
      <c r="N28" s="62" t="str">
        <f t="shared" si="4"/>
        <v>N/TRANSITA</v>
      </c>
      <c r="O28" s="102"/>
      <c r="P28" s="106"/>
      <c r="Q28" s="64"/>
      <c r="R28" s="40">
        <f t="shared" si="5"/>
        <v>0</v>
      </c>
      <c r="S28" s="41">
        <f t="shared" si="0"/>
        <v>5.666666666666667</v>
      </c>
      <c r="T28" s="78" t="str">
        <f t="shared" si="6"/>
        <v>N/TRANSITA</v>
      </c>
    </row>
    <row r="29" spans="2:20" ht="14.25" customHeight="1" x14ac:dyDescent="0.3">
      <c r="B29" s="33">
        <v>21</v>
      </c>
      <c r="C29" s="123" t="s">
        <v>98</v>
      </c>
      <c r="D29" s="60"/>
      <c r="E29" s="91">
        <v>12</v>
      </c>
      <c r="F29" s="92">
        <v>20</v>
      </c>
      <c r="G29" s="92"/>
      <c r="H29" s="40">
        <f t="shared" si="1"/>
        <v>16</v>
      </c>
      <c r="I29" s="62" t="str">
        <f t="shared" si="2"/>
        <v>TRANSITA</v>
      </c>
      <c r="J29" s="102">
        <v>5</v>
      </c>
      <c r="K29" s="106">
        <v>5</v>
      </c>
      <c r="L29" s="64"/>
      <c r="M29" s="40">
        <f t="shared" si="3"/>
        <v>5</v>
      </c>
      <c r="N29" s="62" t="str">
        <f t="shared" si="4"/>
        <v>N/TRANSITA</v>
      </c>
      <c r="O29" s="102"/>
      <c r="P29" s="106"/>
      <c r="Q29" s="64"/>
      <c r="R29" s="40">
        <f t="shared" si="5"/>
        <v>0</v>
      </c>
      <c r="S29" s="41">
        <f t="shared" si="0"/>
        <v>7</v>
      </c>
      <c r="T29" s="78" t="str">
        <f t="shared" si="6"/>
        <v>N/TRANSITA</v>
      </c>
    </row>
    <row r="30" spans="2:20" ht="14.25" customHeight="1" x14ac:dyDescent="0.3">
      <c r="B30" s="33">
        <v>22</v>
      </c>
      <c r="C30" s="124" t="s">
        <v>99</v>
      </c>
      <c r="D30" s="60"/>
      <c r="E30" s="91">
        <v>15</v>
      </c>
      <c r="F30" s="92">
        <v>16</v>
      </c>
      <c r="G30" s="92"/>
      <c r="H30" s="40">
        <f t="shared" si="1"/>
        <v>15.5</v>
      </c>
      <c r="I30" s="62" t="str">
        <f t="shared" si="2"/>
        <v>TRANSITA</v>
      </c>
      <c r="J30" s="102"/>
      <c r="K30" s="106"/>
      <c r="L30" s="64"/>
      <c r="M30" s="40">
        <f t="shared" si="3"/>
        <v>0</v>
      </c>
      <c r="N30" s="62" t="str">
        <f t="shared" si="4"/>
        <v>N/TRANSITA</v>
      </c>
      <c r="O30" s="102"/>
      <c r="P30" s="106"/>
      <c r="Q30" s="64"/>
      <c r="R30" s="40">
        <f t="shared" si="5"/>
        <v>0</v>
      </c>
      <c r="S30" s="41">
        <f t="shared" si="0"/>
        <v>5.166666666666667</v>
      </c>
      <c r="T30" s="78" t="str">
        <f t="shared" si="6"/>
        <v>N/TRANSITA</v>
      </c>
    </row>
    <row r="31" spans="2:20" ht="14.25" customHeight="1" x14ac:dyDescent="0.3">
      <c r="B31" s="33">
        <v>23</v>
      </c>
      <c r="C31" s="123" t="s">
        <v>100</v>
      </c>
      <c r="D31" s="60"/>
      <c r="E31" s="91">
        <v>20</v>
      </c>
      <c r="F31" s="92">
        <v>15</v>
      </c>
      <c r="G31" s="92"/>
      <c r="H31" s="40">
        <f t="shared" si="1"/>
        <v>17.5</v>
      </c>
      <c r="I31" s="62" t="str">
        <f t="shared" si="2"/>
        <v>TRANSITA</v>
      </c>
      <c r="J31" s="102">
        <v>17</v>
      </c>
      <c r="K31" s="106">
        <v>8</v>
      </c>
      <c r="L31" s="64"/>
      <c r="M31" s="40">
        <f t="shared" si="3"/>
        <v>12.5</v>
      </c>
      <c r="N31" s="62" t="str">
        <f t="shared" si="4"/>
        <v>TRANSITA</v>
      </c>
      <c r="O31" s="102"/>
      <c r="P31" s="106"/>
      <c r="Q31" s="64"/>
      <c r="R31" s="40">
        <f t="shared" si="5"/>
        <v>0</v>
      </c>
      <c r="S31" s="41">
        <f t="shared" si="0"/>
        <v>10</v>
      </c>
      <c r="T31" s="78" t="str">
        <f t="shared" si="6"/>
        <v>TRANSITA</v>
      </c>
    </row>
    <row r="32" spans="2:20" ht="14.25" customHeight="1" x14ac:dyDescent="0.3">
      <c r="B32" s="33">
        <v>24</v>
      </c>
      <c r="C32" s="123" t="s">
        <v>101</v>
      </c>
      <c r="D32" s="60"/>
      <c r="E32" s="91"/>
      <c r="F32" s="92"/>
      <c r="G32" s="92"/>
      <c r="H32" s="40">
        <f t="shared" si="1"/>
        <v>0</v>
      </c>
      <c r="I32" s="62" t="str">
        <f t="shared" si="2"/>
        <v>N/TRANSITA</v>
      </c>
      <c r="J32" s="102"/>
      <c r="K32" s="106"/>
      <c r="L32" s="64"/>
      <c r="M32" s="40">
        <f t="shared" si="3"/>
        <v>0</v>
      </c>
      <c r="N32" s="62" t="str">
        <f t="shared" si="4"/>
        <v>N/TRANSITA</v>
      </c>
      <c r="O32" s="102"/>
      <c r="P32" s="106"/>
      <c r="Q32" s="64"/>
      <c r="R32" s="40">
        <f t="shared" si="5"/>
        <v>0</v>
      </c>
      <c r="S32" s="41">
        <f t="shared" si="0"/>
        <v>0</v>
      </c>
      <c r="T32" s="78" t="str">
        <f t="shared" si="6"/>
        <v>N/TRANSITA</v>
      </c>
    </row>
    <row r="33" spans="1:20" ht="14.25" customHeight="1" x14ac:dyDescent="0.3">
      <c r="B33" s="33">
        <v>25</v>
      </c>
      <c r="C33" s="124" t="s">
        <v>102</v>
      </c>
      <c r="D33" s="60"/>
      <c r="E33" s="91"/>
      <c r="F33" s="92"/>
      <c r="G33" s="92"/>
      <c r="H33" s="40">
        <f t="shared" si="1"/>
        <v>0</v>
      </c>
      <c r="I33" s="62" t="str">
        <f t="shared" si="2"/>
        <v>N/TRANSITA</v>
      </c>
      <c r="J33" s="102"/>
      <c r="K33" s="106"/>
      <c r="L33" s="64"/>
      <c r="M33" s="40">
        <f t="shared" si="3"/>
        <v>0</v>
      </c>
      <c r="N33" s="62" t="str">
        <f t="shared" si="4"/>
        <v>N/TRANSITA</v>
      </c>
      <c r="O33" s="102"/>
      <c r="P33" s="106"/>
      <c r="Q33" s="64"/>
      <c r="R33" s="40">
        <f t="shared" si="5"/>
        <v>0</v>
      </c>
      <c r="S33" s="41">
        <f t="shared" si="0"/>
        <v>0</v>
      </c>
      <c r="T33" s="78" t="str">
        <f t="shared" si="6"/>
        <v>N/TRANSITA</v>
      </c>
    </row>
    <row r="34" spans="1:20" ht="14.25" customHeight="1" x14ac:dyDescent="0.3">
      <c r="B34" s="33">
        <v>26</v>
      </c>
      <c r="C34" s="123" t="s">
        <v>103</v>
      </c>
      <c r="D34" s="60"/>
      <c r="E34" s="91">
        <v>20</v>
      </c>
      <c r="F34" s="92">
        <v>17</v>
      </c>
      <c r="G34" s="92"/>
      <c r="H34" s="40">
        <f t="shared" si="1"/>
        <v>18.5</v>
      </c>
      <c r="I34" s="62" t="str">
        <f t="shared" si="2"/>
        <v>TRANSITA</v>
      </c>
      <c r="J34" s="102">
        <v>18</v>
      </c>
      <c r="K34" s="106">
        <v>15</v>
      </c>
      <c r="L34" s="64"/>
      <c r="M34" s="40">
        <f t="shared" si="3"/>
        <v>16.5</v>
      </c>
      <c r="N34" s="62" t="str">
        <f t="shared" si="4"/>
        <v>TRANSITA</v>
      </c>
      <c r="O34" s="102"/>
      <c r="P34" s="106"/>
      <c r="Q34" s="64"/>
      <c r="R34" s="40">
        <f t="shared" si="5"/>
        <v>0</v>
      </c>
      <c r="S34" s="41">
        <f t="shared" si="0"/>
        <v>11.666666666666666</v>
      </c>
      <c r="T34" s="78" t="str">
        <f t="shared" si="6"/>
        <v>TRANSITA</v>
      </c>
    </row>
    <row r="35" spans="1:20" ht="14.25" customHeight="1" x14ac:dyDescent="0.3">
      <c r="B35" s="33">
        <v>27</v>
      </c>
      <c r="C35" s="124" t="s">
        <v>115</v>
      </c>
      <c r="D35" s="60"/>
      <c r="E35" s="91"/>
      <c r="F35" s="92"/>
      <c r="G35" s="92"/>
      <c r="H35" s="40">
        <f t="shared" si="1"/>
        <v>0</v>
      </c>
      <c r="I35" s="62" t="str">
        <f t="shared" si="2"/>
        <v>N/TRANSITA</v>
      </c>
      <c r="J35" s="102">
        <v>10</v>
      </c>
      <c r="K35" s="106">
        <v>8</v>
      </c>
      <c r="L35" s="64"/>
      <c r="M35" s="40">
        <f t="shared" si="3"/>
        <v>9</v>
      </c>
      <c r="N35" s="62" t="str">
        <f t="shared" si="4"/>
        <v>N/TRANSITA</v>
      </c>
      <c r="O35" s="102"/>
      <c r="P35" s="106"/>
      <c r="Q35" s="64"/>
      <c r="R35" s="40">
        <f t="shared" si="5"/>
        <v>0</v>
      </c>
      <c r="S35" s="41">
        <f t="shared" si="0"/>
        <v>3</v>
      </c>
      <c r="T35" s="78" t="str">
        <f t="shared" si="6"/>
        <v>N/TRANSITA</v>
      </c>
    </row>
    <row r="36" spans="1:20" ht="14.25" customHeight="1" x14ac:dyDescent="0.3">
      <c r="B36" s="33">
        <v>28</v>
      </c>
      <c r="C36" s="124" t="s">
        <v>116</v>
      </c>
      <c r="D36" s="60"/>
      <c r="E36" s="91"/>
      <c r="F36" s="92"/>
      <c r="G36" s="92"/>
      <c r="H36" s="40">
        <f t="shared" si="1"/>
        <v>0</v>
      </c>
      <c r="I36" s="62" t="str">
        <f t="shared" si="2"/>
        <v>N/TRANSITA</v>
      </c>
      <c r="J36" s="102"/>
      <c r="K36" s="106"/>
      <c r="L36" s="64"/>
      <c r="M36" s="40">
        <f t="shared" si="3"/>
        <v>0</v>
      </c>
      <c r="N36" s="62" t="str">
        <f t="shared" si="4"/>
        <v>N/TRANSITA</v>
      </c>
      <c r="O36" s="102"/>
      <c r="P36" s="106"/>
      <c r="Q36" s="64"/>
      <c r="R36" s="40">
        <f t="shared" si="5"/>
        <v>0</v>
      </c>
      <c r="S36" s="41">
        <f t="shared" si="0"/>
        <v>0</v>
      </c>
      <c r="T36" s="78" t="str">
        <f t="shared" si="6"/>
        <v>N/TRANSITA</v>
      </c>
    </row>
    <row r="37" spans="1:20" ht="14.25" customHeight="1" x14ac:dyDescent="0.3">
      <c r="B37" s="33">
        <v>29</v>
      </c>
      <c r="C37" s="123" t="s">
        <v>104</v>
      </c>
      <c r="D37" s="60"/>
      <c r="E37" s="91">
        <v>12</v>
      </c>
      <c r="F37" s="92">
        <v>12</v>
      </c>
      <c r="G37" s="92"/>
      <c r="H37" s="40">
        <f t="shared" si="1"/>
        <v>12</v>
      </c>
      <c r="I37" s="62" t="str">
        <f t="shared" si="2"/>
        <v>TRANSITA</v>
      </c>
      <c r="J37" s="102"/>
      <c r="K37" s="106"/>
      <c r="L37" s="64"/>
      <c r="M37" s="40">
        <f t="shared" ref="M37:M39" si="7">AVERAGE(J37,MAX(K37:L37))</f>
        <v>0</v>
      </c>
      <c r="N37" s="62" t="str">
        <f t="shared" ref="N37:N39" si="8">IF(M37&gt;=10,"TRANSITA","N/TRANSITA")</f>
        <v>N/TRANSITA</v>
      </c>
      <c r="O37" s="102"/>
      <c r="P37" s="106"/>
      <c r="Q37" s="64"/>
      <c r="R37" s="40">
        <f t="shared" ref="R37:R39" si="9">AVERAGE(O37,MAX(P37:Q37))</f>
        <v>0</v>
      </c>
      <c r="S37" s="41">
        <f t="shared" ref="S37:S39" si="10">SUM(H37,M37,R37)/3</f>
        <v>4</v>
      </c>
      <c r="T37" s="78" t="str">
        <f t="shared" ref="T37:T39" si="11">IF(S37&gt;=10,"TRANSITA","N/TRANSITA")</f>
        <v>N/TRANSITA</v>
      </c>
    </row>
    <row r="38" spans="1:20" ht="14.25" customHeight="1" x14ac:dyDescent="0.3">
      <c r="B38" s="33">
        <v>30</v>
      </c>
      <c r="C38" s="123" t="s">
        <v>105</v>
      </c>
      <c r="D38" s="60"/>
      <c r="E38" s="91">
        <v>20</v>
      </c>
      <c r="F38" s="92">
        <v>12</v>
      </c>
      <c r="G38" s="92"/>
      <c r="H38" s="40">
        <f t="shared" si="1"/>
        <v>16</v>
      </c>
      <c r="I38" s="62" t="str">
        <f t="shared" si="2"/>
        <v>TRANSITA</v>
      </c>
      <c r="J38" s="102">
        <v>17</v>
      </c>
      <c r="K38" s="106">
        <v>16</v>
      </c>
      <c r="L38" s="64"/>
      <c r="M38" s="40">
        <f t="shared" si="7"/>
        <v>16.5</v>
      </c>
      <c r="N38" s="62" t="str">
        <f t="shared" si="8"/>
        <v>TRANSITA</v>
      </c>
      <c r="O38" s="102"/>
      <c r="P38" s="106"/>
      <c r="Q38" s="64"/>
      <c r="R38" s="40">
        <f t="shared" si="9"/>
        <v>0</v>
      </c>
      <c r="S38" s="41">
        <f t="shared" si="10"/>
        <v>10.833333333333334</v>
      </c>
      <c r="T38" s="78" t="str">
        <f t="shared" si="11"/>
        <v>TRANSITA</v>
      </c>
    </row>
    <row r="39" spans="1:20" ht="14.25" customHeight="1" x14ac:dyDescent="0.3">
      <c r="B39" s="33">
        <v>31</v>
      </c>
      <c r="C39" s="124" t="s">
        <v>106</v>
      </c>
      <c r="D39" s="60"/>
      <c r="E39" s="91">
        <v>15</v>
      </c>
      <c r="F39" s="92">
        <v>18</v>
      </c>
      <c r="G39" s="92"/>
      <c r="H39" s="40">
        <f t="shared" si="1"/>
        <v>16.5</v>
      </c>
      <c r="I39" s="62" t="str">
        <f t="shared" si="2"/>
        <v>TRANSITA</v>
      </c>
      <c r="J39" s="102">
        <v>10</v>
      </c>
      <c r="K39" s="106">
        <v>5</v>
      </c>
      <c r="L39" s="64"/>
      <c r="M39" s="40">
        <f t="shared" si="7"/>
        <v>7.5</v>
      </c>
      <c r="N39" s="62" t="str">
        <f t="shared" si="8"/>
        <v>N/TRANSITA</v>
      </c>
      <c r="O39" s="102"/>
      <c r="P39" s="106"/>
      <c r="Q39" s="64"/>
      <c r="R39" s="40">
        <f t="shared" si="9"/>
        <v>0</v>
      </c>
      <c r="S39" s="41">
        <f t="shared" si="10"/>
        <v>8</v>
      </c>
      <c r="T39" s="78" t="str">
        <f t="shared" si="11"/>
        <v>N/TRANSITA</v>
      </c>
    </row>
    <row r="40" spans="1:20" ht="14.25" customHeight="1" x14ac:dyDescent="0.3">
      <c r="B40" s="33">
        <v>32</v>
      </c>
      <c r="C40" s="124" t="s">
        <v>107</v>
      </c>
      <c r="D40" s="60"/>
      <c r="E40" s="91"/>
      <c r="F40" s="92"/>
      <c r="G40" s="92"/>
      <c r="H40" s="40">
        <f t="shared" si="1"/>
        <v>0</v>
      </c>
      <c r="I40" s="62" t="str">
        <f t="shared" si="2"/>
        <v>N/TRANSITA</v>
      </c>
      <c r="J40" s="102"/>
      <c r="K40" s="106"/>
      <c r="L40" s="64"/>
      <c r="M40" s="40">
        <f t="shared" si="3"/>
        <v>0</v>
      </c>
      <c r="N40" s="62" t="str">
        <f t="shared" si="4"/>
        <v>N/TRANSITA</v>
      </c>
      <c r="O40" s="102"/>
      <c r="P40" s="106"/>
      <c r="Q40" s="64"/>
      <c r="R40" s="40">
        <f t="shared" si="5"/>
        <v>0</v>
      </c>
      <c r="S40" s="41">
        <f t="shared" si="0"/>
        <v>0</v>
      </c>
      <c r="T40" s="78" t="str">
        <f t="shared" si="6"/>
        <v>N/TRANSITA</v>
      </c>
    </row>
    <row r="41" spans="1:20" ht="14.25" customHeight="1" x14ac:dyDescent="0.3">
      <c r="B41" s="33">
        <v>33</v>
      </c>
      <c r="C41" s="123" t="s">
        <v>108</v>
      </c>
      <c r="D41" s="60"/>
      <c r="E41" s="91"/>
      <c r="F41" s="92"/>
      <c r="G41" s="92"/>
      <c r="H41" s="40">
        <f t="shared" si="1"/>
        <v>0</v>
      </c>
      <c r="I41" s="62" t="str">
        <f t="shared" si="2"/>
        <v>N/TRANSITA</v>
      </c>
      <c r="J41" s="102"/>
      <c r="K41" s="106"/>
      <c r="L41" s="64"/>
      <c r="M41" s="40">
        <f t="shared" si="3"/>
        <v>0</v>
      </c>
      <c r="N41" s="62" t="str">
        <f t="shared" si="4"/>
        <v>N/TRANSITA</v>
      </c>
      <c r="O41" s="102"/>
      <c r="P41" s="106"/>
      <c r="Q41" s="64"/>
      <c r="R41" s="40">
        <f t="shared" si="5"/>
        <v>0</v>
      </c>
      <c r="S41" s="41">
        <f t="shared" si="0"/>
        <v>0</v>
      </c>
      <c r="T41" s="78" t="str">
        <f t="shared" si="6"/>
        <v>N/TRANSITA</v>
      </c>
    </row>
    <row r="42" spans="1:20" ht="14.25" customHeight="1" x14ac:dyDescent="0.3">
      <c r="B42" s="33">
        <v>34</v>
      </c>
      <c r="C42" s="123" t="s">
        <v>109</v>
      </c>
      <c r="D42" s="60"/>
      <c r="E42" s="91">
        <v>17</v>
      </c>
      <c r="F42" s="92">
        <v>16</v>
      </c>
      <c r="G42" s="92"/>
      <c r="H42" s="40">
        <f t="shared" si="1"/>
        <v>16.5</v>
      </c>
      <c r="I42" s="62" t="str">
        <f t="shared" si="2"/>
        <v>TRANSITA</v>
      </c>
      <c r="J42" s="102">
        <v>15</v>
      </c>
      <c r="K42" s="106">
        <v>16</v>
      </c>
      <c r="L42" s="64"/>
      <c r="M42" s="40">
        <f t="shared" si="3"/>
        <v>15.5</v>
      </c>
      <c r="N42" s="62" t="str">
        <f t="shared" si="4"/>
        <v>TRANSITA</v>
      </c>
      <c r="O42" s="102"/>
      <c r="P42" s="106"/>
      <c r="Q42" s="64"/>
      <c r="R42" s="40">
        <f t="shared" si="5"/>
        <v>0</v>
      </c>
      <c r="S42" s="41">
        <f t="shared" si="0"/>
        <v>10.666666666666666</v>
      </c>
      <c r="T42" s="78" t="str">
        <f t="shared" si="6"/>
        <v>TRANSITA</v>
      </c>
    </row>
    <row r="43" spans="1:20" ht="14.25" customHeight="1" x14ac:dyDescent="0.3">
      <c r="B43" s="33">
        <v>35</v>
      </c>
      <c r="C43" s="123" t="s">
        <v>110</v>
      </c>
      <c r="D43" s="60"/>
      <c r="E43" s="91">
        <v>20</v>
      </c>
      <c r="F43" s="92">
        <v>15</v>
      </c>
      <c r="G43" s="92"/>
      <c r="H43" s="40">
        <f t="shared" si="1"/>
        <v>17.5</v>
      </c>
      <c r="I43" s="62" t="str">
        <f t="shared" si="2"/>
        <v>TRANSITA</v>
      </c>
      <c r="J43" s="102">
        <v>17</v>
      </c>
      <c r="K43" s="106">
        <v>7</v>
      </c>
      <c r="L43" s="64"/>
      <c r="M43" s="40">
        <f t="shared" si="3"/>
        <v>12</v>
      </c>
      <c r="N43" s="62" t="str">
        <f t="shared" si="4"/>
        <v>TRANSITA</v>
      </c>
      <c r="O43" s="102"/>
      <c r="P43" s="106"/>
      <c r="Q43" s="64"/>
      <c r="R43" s="40">
        <f t="shared" si="5"/>
        <v>0</v>
      </c>
      <c r="S43" s="41">
        <f t="shared" si="0"/>
        <v>9.8333333333333339</v>
      </c>
      <c r="T43" s="78" t="str">
        <f t="shared" si="6"/>
        <v>N/TRANSITA</v>
      </c>
    </row>
    <row r="44" spans="1:20" ht="14.25" customHeight="1" x14ac:dyDescent="0.3">
      <c r="B44" s="33">
        <v>36</v>
      </c>
      <c r="C44" s="124" t="s">
        <v>111</v>
      </c>
      <c r="D44" s="60"/>
      <c r="E44" s="91">
        <v>17</v>
      </c>
      <c r="F44" s="92">
        <v>18</v>
      </c>
      <c r="G44" s="92"/>
      <c r="H44" s="40">
        <f t="shared" si="1"/>
        <v>17.5</v>
      </c>
      <c r="I44" s="62" t="str">
        <f t="shared" si="2"/>
        <v>TRANSITA</v>
      </c>
      <c r="J44" s="102">
        <v>17</v>
      </c>
      <c r="K44" s="106">
        <v>16</v>
      </c>
      <c r="L44" s="64"/>
      <c r="M44" s="40">
        <f t="shared" si="3"/>
        <v>16.5</v>
      </c>
      <c r="N44" s="62" t="str">
        <f t="shared" si="4"/>
        <v>TRANSITA</v>
      </c>
      <c r="O44" s="102"/>
      <c r="P44" s="106"/>
      <c r="Q44" s="64"/>
      <c r="R44" s="40">
        <f t="shared" si="5"/>
        <v>0</v>
      </c>
      <c r="S44" s="41">
        <f t="shared" si="0"/>
        <v>11.333333333333334</v>
      </c>
      <c r="T44" s="78" t="str">
        <f t="shared" si="6"/>
        <v>TRANSITA</v>
      </c>
    </row>
    <row r="45" spans="1:20" ht="14.25" customHeight="1" x14ac:dyDescent="0.3">
      <c r="B45" s="33">
        <v>37</v>
      </c>
      <c r="C45" s="123" t="s">
        <v>112</v>
      </c>
      <c r="D45" s="60"/>
      <c r="E45" s="91">
        <v>15</v>
      </c>
      <c r="F45" s="92">
        <v>11</v>
      </c>
      <c r="G45" s="92"/>
      <c r="H45" s="40">
        <f t="shared" si="1"/>
        <v>13</v>
      </c>
      <c r="I45" s="62" t="str">
        <f t="shared" si="2"/>
        <v>TRANSITA</v>
      </c>
      <c r="J45" s="102"/>
      <c r="K45" s="106"/>
      <c r="L45" s="64"/>
      <c r="M45" s="40">
        <f t="shared" si="3"/>
        <v>0</v>
      </c>
      <c r="N45" s="62" t="str">
        <f t="shared" si="4"/>
        <v>N/TRANSITA</v>
      </c>
      <c r="O45" s="102"/>
      <c r="P45" s="106"/>
      <c r="Q45" s="64"/>
      <c r="R45" s="40">
        <f t="shared" si="5"/>
        <v>0</v>
      </c>
      <c r="S45" s="41">
        <f t="shared" si="0"/>
        <v>4.333333333333333</v>
      </c>
      <c r="T45" s="78" t="str">
        <f t="shared" si="6"/>
        <v>N/TRANSITA</v>
      </c>
    </row>
    <row r="46" spans="1:20" ht="14.25" customHeight="1" thickBot="1" x14ac:dyDescent="0.35">
      <c r="B46" s="33">
        <v>38</v>
      </c>
      <c r="C46" s="125" t="s">
        <v>113</v>
      </c>
      <c r="D46" s="61"/>
      <c r="E46" s="93"/>
      <c r="F46" s="94"/>
      <c r="G46" s="94"/>
      <c r="H46" s="146">
        <f t="shared" si="1"/>
        <v>0</v>
      </c>
      <c r="I46" s="72" t="str">
        <f t="shared" si="2"/>
        <v>N/TRANSITA</v>
      </c>
      <c r="J46" s="104"/>
      <c r="K46" s="107"/>
      <c r="L46" s="67"/>
      <c r="M46" s="146">
        <f t="shared" si="3"/>
        <v>0</v>
      </c>
      <c r="N46" s="72" t="str">
        <f t="shared" si="4"/>
        <v>N/TRANSITA</v>
      </c>
      <c r="O46" s="104"/>
      <c r="P46" s="107"/>
      <c r="Q46" s="67"/>
      <c r="R46" s="146">
        <f t="shared" si="5"/>
        <v>0</v>
      </c>
      <c r="S46" s="42">
        <f t="shared" si="0"/>
        <v>0</v>
      </c>
      <c r="T46" s="79" t="str">
        <f t="shared" si="6"/>
        <v>N/TRANSITA</v>
      </c>
    </row>
    <row r="47" spans="1:20" ht="93.75" customHeight="1" thickTop="1" x14ac:dyDescent="0.3">
      <c r="B47" s="19"/>
      <c r="C47" s="19"/>
      <c r="D47" s="19"/>
      <c r="E47" s="19"/>
      <c r="F47" s="19"/>
      <c r="G47" s="19"/>
      <c r="H47" s="19"/>
      <c r="I47" s="19"/>
      <c r="J47" s="19"/>
      <c r="O47" s="19"/>
      <c r="P47" s="19"/>
      <c r="Q47" s="19"/>
      <c r="R47" s="19"/>
      <c r="S47" s="19"/>
      <c r="T47" s="19"/>
    </row>
    <row r="48" spans="1:20" ht="20.25" customHeight="1" x14ac:dyDescent="0.45">
      <c r="A48" s="20"/>
      <c r="B48" s="20"/>
      <c r="C48" s="20"/>
      <c r="D48" s="20"/>
      <c r="E48" s="20"/>
      <c r="F48" s="20"/>
      <c r="G48" s="20"/>
      <c r="H48" s="20"/>
      <c r="I48" s="20"/>
      <c r="J48" s="20"/>
      <c r="O48" s="20"/>
      <c r="P48" s="21"/>
      <c r="Q48" s="21"/>
      <c r="R48" s="21"/>
      <c r="S48" s="20"/>
      <c r="T48" s="20"/>
    </row>
    <row r="49" spans="1:20" ht="15.6" x14ac:dyDescent="0.3">
      <c r="A49" s="248" t="s">
        <v>50</v>
      </c>
      <c r="B49" s="248"/>
      <c r="C49" s="248"/>
      <c r="D49" s="248"/>
      <c r="E49" s="248"/>
      <c r="F49" s="22"/>
      <c r="G49" s="22"/>
      <c r="H49" s="22"/>
      <c r="I49" s="22"/>
      <c r="J49" s="22"/>
      <c r="K49" s="23"/>
      <c r="L49" s="23"/>
      <c r="M49" s="23"/>
      <c r="N49" s="23"/>
      <c r="O49" s="248" t="s">
        <v>9</v>
      </c>
      <c r="P49" s="248"/>
      <c r="Q49" s="248"/>
      <c r="R49" s="248"/>
      <c r="S49" s="248"/>
      <c r="T49" s="248"/>
    </row>
    <row r="50" spans="1:20" ht="15.6" x14ac:dyDescent="0.3">
      <c r="A50" s="249" t="s">
        <v>21</v>
      </c>
      <c r="B50" s="249"/>
      <c r="C50" s="249"/>
      <c r="D50" s="249"/>
      <c r="E50" s="249"/>
      <c r="F50" s="24"/>
      <c r="G50" s="24"/>
      <c r="H50" s="24"/>
      <c r="I50" s="24"/>
      <c r="J50" s="24"/>
      <c r="O50" s="250" t="s">
        <v>22</v>
      </c>
      <c r="P50" s="250"/>
      <c r="Q50" s="250"/>
      <c r="R50" s="250"/>
      <c r="S50" s="250"/>
      <c r="T50" s="250"/>
    </row>
    <row r="51" spans="1:20" x14ac:dyDescent="0.3">
      <c r="A51" s="242"/>
      <c r="B51" s="242"/>
      <c r="C51" s="242"/>
      <c r="D51" s="242"/>
      <c r="E51" s="242"/>
      <c r="O51" s="242" t="s">
        <v>23</v>
      </c>
      <c r="P51" s="242"/>
      <c r="Q51" s="242"/>
      <c r="R51" s="242"/>
      <c r="S51" s="242"/>
      <c r="T51" s="242"/>
    </row>
  </sheetData>
  <mergeCells count="22">
    <mergeCell ref="A1:T1"/>
    <mergeCell ref="B3:R3"/>
    <mergeCell ref="B4:C4"/>
    <mergeCell ref="P4:T4"/>
    <mergeCell ref="B5:C5"/>
    <mergeCell ref="N5:T5"/>
    <mergeCell ref="B6:T6"/>
    <mergeCell ref="B7:B8"/>
    <mergeCell ref="C7:C8"/>
    <mergeCell ref="E7:H7"/>
    <mergeCell ref="I7:I8"/>
    <mergeCell ref="J7:M7"/>
    <mergeCell ref="N7:N8"/>
    <mergeCell ref="O7:R7"/>
    <mergeCell ref="S7:S8"/>
    <mergeCell ref="T7:T8"/>
    <mergeCell ref="A49:E49"/>
    <mergeCell ref="O49:T49"/>
    <mergeCell ref="A50:E50"/>
    <mergeCell ref="O50:T50"/>
    <mergeCell ref="A51:E51"/>
    <mergeCell ref="O51:T51"/>
  </mergeCells>
  <conditionalFormatting sqref="S9:S46">
    <cfRule type="cellIs" dxfId="99" priority="33" stopIfTrue="1" operator="greaterThan">
      <formula>9.5</formula>
    </cfRule>
    <cfRule type="cellIs" dxfId="98" priority="34" stopIfTrue="1" operator="lessThanOrEqual">
      <formula>9.5</formula>
    </cfRule>
  </conditionalFormatting>
  <conditionalFormatting sqref="M9:M46 R9:R46">
    <cfRule type="cellIs" dxfId="97" priority="31" stopIfTrue="1" operator="lessThan">
      <formula>10</formula>
    </cfRule>
    <cfRule type="cellIs" dxfId="96" priority="32" stopIfTrue="1" operator="greaterThanOrEqual">
      <formula>10</formula>
    </cfRule>
  </conditionalFormatting>
  <conditionalFormatting sqref="L9:L46 O9:Q46">
    <cfRule type="cellIs" dxfId="95" priority="25" stopIfTrue="1" operator="lessThan">
      <formula>10</formula>
    </cfRule>
    <cfRule type="cellIs" dxfId="94" priority="26" stopIfTrue="1" operator="greaterThan">
      <formula>9</formula>
    </cfRule>
    <cfRule type="cellIs" dxfId="93" priority="27" stopIfTrue="1" operator="lessThan">
      <formula>10</formula>
    </cfRule>
    <cfRule type="cellIs" dxfId="92" priority="28" stopIfTrue="1" operator="greaterThan">
      <formula>9</formula>
    </cfRule>
  </conditionalFormatting>
  <conditionalFormatting sqref="H9:H46">
    <cfRule type="cellIs" dxfId="91" priority="15" stopIfTrue="1" operator="lessThan">
      <formula>10</formula>
    </cfRule>
    <cfRule type="cellIs" dxfId="90" priority="16" stopIfTrue="1" operator="greaterThanOrEqual">
      <formula>10</formula>
    </cfRule>
  </conditionalFormatting>
  <conditionalFormatting sqref="G17:G46 J9:K46">
    <cfRule type="cellIs" dxfId="89" priority="9" stopIfTrue="1" operator="lessThan">
      <formula>10</formula>
    </cfRule>
    <cfRule type="cellIs" dxfId="88" priority="10" stopIfTrue="1" operator="greaterThan">
      <formula>9</formula>
    </cfRule>
    <cfRule type="cellIs" dxfId="87" priority="11" stopIfTrue="1" operator="lessThan">
      <formula>10</formula>
    </cfRule>
    <cfRule type="cellIs" dxfId="86" priority="12" stopIfTrue="1" operator="greaterThan">
      <formula>9</formula>
    </cfRule>
  </conditionalFormatting>
  <conditionalFormatting sqref="G9:G16">
    <cfRule type="cellIs" dxfId="85" priority="5" stopIfTrue="1" operator="lessThan">
      <formula>10</formula>
    </cfRule>
    <cfRule type="cellIs" dxfId="84" priority="6" stopIfTrue="1" operator="greaterThan">
      <formula>9</formula>
    </cfRule>
    <cfRule type="cellIs" dxfId="83" priority="7" stopIfTrue="1" operator="lessThan">
      <formula>10</formula>
    </cfRule>
    <cfRule type="cellIs" dxfId="82" priority="8" stopIfTrue="1" operator="greaterThan">
      <formula>9</formula>
    </cfRule>
  </conditionalFormatting>
  <conditionalFormatting sqref="E9:F46">
    <cfRule type="cellIs" dxfId="81" priority="1" stopIfTrue="1" operator="lessThan">
      <formula>10</formula>
    </cfRule>
    <cfRule type="cellIs" dxfId="80" priority="2" stopIfTrue="1" operator="greaterThan">
      <formula>9</formula>
    </cfRule>
    <cfRule type="cellIs" dxfId="79" priority="3" stopIfTrue="1" operator="lessThan">
      <formula>10</formula>
    </cfRule>
    <cfRule type="cellIs" dxfId="78" priority="4" stopIfTrue="1" operator="greaterThan">
      <formula>9</formula>
    </cfRule>
  </conditionalFormatting>
  <dataValidations count="1">
    <dataValidation type="decimal" allowBlank="1" showInputMessage="1" showErrorMessage="1" errorTitle="ATENÇÃO!" error="O valor introduzido não é válido. Grato!" sqref="O9:Q46 J9:L46 E9:G46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2529" r:id="rId4">
          <objectPr defaultSize="0" r:id="rId5">
            <anchor moveWithCells="1">
              <from>
                <xdr:col>1</xdr:col>
                <xdr:colOff>60960</xdr:colOff>
                <xdr:row>46</xdr:row>
                <xdr:rowOff>160020</xdr:rowOff>
              </from>
              <to>
                <xdr:col>13</xdr:col>
                <xdr:colOff>182880</xdr:colOff>
                <xdr:row>48</xdr:row>
                <xdr:rowOff>22860</xdr:rowOff>
              </to>
            </anchor>
          </objectPr>
        </oleObject>
      </mc:Choice>
      <mc:Fallback>
        <oleObject progId="Word.Document.8" shapeId="22529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9" stopIfTrue="1" operator="containsText" id="{36C43EC6-B8CE-46D3-9AB9-3231B188BB2E}">
            <xm:f>NOT(ISERROR(SEARCH("N/TRANSITA",N9)))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30" stopIfTrue="1" operator="containsText" id="{5EB8921E-B74F-46E2-9447-DB73497C2590}">
            <xm:f>NOT(ISERROR(SEARCH("TRANSITA",N9)))</xm:f>
            <xm:f>"TRANSITA"</xm:f>
            <x14:dxf>
              <font>
                <b/>
                <i val="0"/>
                <color rgb="FF0000FF"/>
              </font>
            </x14:dxf>
          </x14:cfRule>
          <xm:sqref>N9:N46 T9:T46</xm:sqref>
        </x14:conditionalFormatting>
        <x14:conditionalFormatting xmlns:xm="http://schemas.microsoft.com/office/excel/2006/main">
          <x14:cfRule type="containsText" priority="13" stopIfTrue="1" operator="containsText" id="{B70BF293-111B-46E2-90AF-B9BF7B98BE5D}">
            <xm:f>NOT(ISERROR(SEARCH("N/TRANSITA",I9)))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4" stopIfTrue="1" operator="containsText" id="{0B49D39E-EFD9-4DE1-A6EB-FB549F49307E}">
            <xm:f>NOT(ISERROR(SEARCH("TRANSITA",I9)))</xm:f>
            <xm:f>"TRANSITA"</xm:f>
            <x14:dxf>
              <font>
                <b/>
                <i val="0"/>
                <color rgb="FF0000FF"/>
              </font>
            </x14:dxf>
          </x14:cfRule>
          <xm:sqref>I9:I46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W51"/>
  <sheetViews>
    <sheetView showGridLines="0" topLeftCell="A37" zoomScale="115" zoomScaleNormal="115" zoomScalePageLayoutView="85" workbookViewId="0">
      <selection activeCell="K50" sqref="K50"/>
    </sheetView>
  </sheetViews>
  <sheetFormatPr defaultRowHeight="14.4" x14ac:dyDescent="0.3"/>
  <cols>
    <col min="1" max="1" width="1.6640625" customWidth="1"/>
    <col min="2" max="2" width="3.6640625" customWidth="1"/>
    <col min="3" max="3" width="35.109375" customWidth="1"/>
    <col min="4" max="4" width="6.44140625" customWidth="1"/>
    <col min="5" max="8" width="5.109375" customWidth="1"/>
    <col min="9" max="9" width="11.109375" customWidth="1"/>
    <col min="10" max="13" width="5.109375" customWidth="1"/>
    <col min="14" max="14" width="11.109375" customWidth="1"/>
    <col min="15" max="18" width="5.109375" customWidth="1"/>
    <col min="19" max="19" width="6" customWidth="1"/>
    <col min="20" max="20" width="11.5546875" customWidth="1"/>
    <col min="21" max="21" width="3.44140625" customWidth="1"/>
    <col min="22" max="22" width="5" customWidth="1"/>
  </cols>
  <sheetData>
    <row r="1" spans="1:23" ht="30" customHeight="1" x14ac:dyDescent="0.3">
      <c r="A1" s="261" t="s">
        <v>44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</row>
    <row r="2" spans="1:23" ht="30" customHeight="1" x14ac:dyDescent="0.3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23" ht="12" customHeight="1" x14ac:dyDescent="0.3"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</row>
    <row r="4" spans="1:23" ht="17.399999999999999" customHeight="1" x14ac:dyDescent="0.3">
      <c r="B4" s="262" t="s">
        <v>57</v>
      </c>
      <c r="C4" s="262"/>
      <c r="D4" s="157"/>
      <c r="F4" s="73"/>
      <c r="G4" s="73"/>
      <c r="I4" s="73" t="s">
        <v>70</v>
      </c>
      <c r="J4" s="73"/>
      <c r="K4" s="73"/>
      <c r="L4" s="73"/>
      <c r="M4" s="73"/>
      <c r="N4" s="157"/>
      <c r="P4" s="243" t="s">
        <v>55</v>
      </c>
      <c r="Q4" s="243"/>
      <c r="R4" s="243"/>
      <c r="S4" s="243"/>
      <c r="T4" s="243"/>
    </row>
    <row r="5" spans="1:23" ht="18" customHeight="1" x14ac:dyDescent="0.3">
      <c r="B5" s="262" t="s">
        <v>64</v>
      </c>
      <c r="C5" s="262"/>
      <c r="D5" s="157"/>
      <c r="E5" s="74" t="s">
        <v>52</v>
      </c>
      <c r="F5" s="74"/>
      <c r="I5" s="74" t="s">
        <v>67</v>
      </c>
      <c r="J5" s="74"/>
      <c r="K5" s="74"/>
      <c r="N5" s="263" t="s">
        <v>66</v>
      </c>
      <c r="O5" s="263"/>
      <c r="P5" s="263"/>
      <c r="Q5" s="263"/>
      <c r="R5" s="263"/>
      <c r="S5" s="263"/>
      <c r="T5" s="263"/>
    </row>
    <row r="6" spans="1:23" ht="34.5" customHeight="1" thickBot="1" x14ac:dyDescent="1.05">
      <c r="B6" s="258" t="s">
        <v>41</v>
      </c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60"/>
    </row>
    <row r="7" spans="1:23" ht="19.5" customHeight="1" thickTop="1" x14ac:dyDescent="0.3">
      <c r="B7" s="251" t="s">
        <v>35</v>
      </c>
      <c r="C7" s="253" t="s">
        <v>13</v>
      </c>
      <c r="D7" s="43" t="s">
        <v>39</v>
      </c>
      <c r="E7" s="255" t="s">
        <v>36</v>
      </c>
      <c r="F7" s="256"/>
      <c r="G7" s="256"/>
      <c r="H7" s="257"/>
      <c r="I7" s="246" t="s">
        <v>15</v>
      </c>
      <c r="J7" s="255" t="s">
        <v>37</v>
      </c>
      <c r="K7" s="256"/>
      <c r="L7" s="256"/>
      <c r="M7" s="257"/>
      <c r="N7" s="246" t="s">
        <v>15</v>
      </c>
      <c r="O7" s="255" t="s">
        <v>38</v>
      </c>
      <c r="P7" s="256"/>
      <c r="Q7" s="256"/>
      <c r="R7" s="257"/>
      <c r="S7" s="244" t="s">
        <v>14</v>
      </c>
      <c r="T7" s="246" t="s">
        <v>15</v>
      </c>
    </row>
    <row r="8" spans="1:23" ht="20.25" customHeight="1" thickBot="1" x14ac:dyDescent="0.35">
      <c r="B8" s="252"/>
      <c r="C8" s="254"/>
      <c r="D8" s="44" t="s">
        <v>40</v>
      </c>
      <c r="E8" s="36" t="s">
        <v>16</v>
      </c>
      <c r="F8" s="35" t="s">
        <v>17</v>
      </c>
      <c r="G8" s="35" t="s">
        <v>34</v>
      </c>
      <c r="H8" s="37" t="s">
        <v>18</v>
      </c>
      <c r="I8" s="247"/>
      <c r="J8" s="36" t="s">
        <v>16</v>
      </c>
      <c r="K8" s="35" t="s">
        <v>17</v>
      </c>
      <c r="L8" s="35" t="s">
        <v>34</v>
      </c>
      <c r="M8" s="37" t="s">
        <v>19</v>
      </c>
      <c r="N8" s="247"/>
      <c r="O8" s="36" t="s">
        <v>16</v>
      </c>
      <c r="P8" s="35" t="s">
        <v>17</v>
      </c>
      <c r="Q8" s="35" t="s">
        <v>34</v>
      </c>
      <c r="R8" s="37" t="s">
        <v>20</v>
      </c>
      <c r="S8" s="245"/>
      <c r="T8" s="247"/>
    </row>
    <row r="9" spans="1:23" ht="14.25" customHeight="1" thickTop="1" x14ac:dyDescent="0.3">
      <c r="B9" s="129">
        <v>1</v>
      </c>
      <c r="C9" s="122" t="s">
        <v>79</v>
      </c>
      <c r="D9" s="130"/>
      <c r="E9" s="147">
        <v>17</v>
      </c>
      <c r="F9" s="148">
        <v>12</v>
      </c>
      <c r="G9" s="148"/>
      <c r="H9" s="140">
        <f>AVERAGE(E9,MAX(F9:G9))</f>
        <v>14.5</v>
      </c>
      <c r="I9" s="141" t="str">
        <f>IF(H9&gt;=10,"TRANSITA","N/TRANSITA")</f>
        <v>TRANSITA</v>
      </c>
      <c r="J9" s="142">
        <v>16</v>
      </c>
      <c r="K9" s="143">
        <v>14</v>
      </c>
      <c r="L9" s="144"/>
      <c r="M9" s="140">
        <f>AVERAGE(J9,MAX(K9:L9))</f>
        <v>15</v>
      </c>
      <c r="N9" s="141" t="str">
        <f>IF(M9&gt;=10,"TRANSITA","N/TRANSITA")</f>
        <v>TRANSITA</v>
      </c>
      <c r="O9" s="142"/>
      <c r="P9" s="143"/>
      <c r="Q9" s="144"/>
      <c r="R9" s="140">
        <f>AVERAGE(O9,MAX(P9:Q9))</f>
        <v>0</v>
      </c>
      <c r="S9" s="145">
        <f t="shared" ref="S9:S46" si="0">SUM(H9,M9,R9)/3</f>
        <v>9.8333333333333339</v>
      </c>
      <c r="T9" s="77" t="str">
        <f>IF(S9&gt;=10,"TRANSITA","N/TRANSITA")</f>
        <v>N/TRANSITA</v>
      </c>
    </row>
    <row r="10" spans="1:23" ht="14.25" customHeight="1" x14ac:dyDescent="0.3">
      <c r="B10" s="33">
        <v>2</v>
      </c>
      <c r="C10" s="124" t="s">
        <v>80</v>
      </c>
      <c r="D10" s="60"/>
      <c r="E10" s="169">
        <v>6</v>
      </c>
      <c r="F10" s="170">
        <v>3</v>
      </c>
      <c r="G10" s="92"/>
      <c r="H10" s="40">
        <f t="shared" ref="H10:H46" si="1">AVERAGE(E10,MAX(F10:G10))</f>
        <v>4.5</v>
      </c>
      <c r="I10" s="62" t="str">
        <f t="shared" ref="I10:I46" si="2">IF(H10&gt;=10,"TRANSITA","N/TRANSITA")</f>
        <v>N/TRANSITA</v>
      </c>
      <c r="J10" s="102">
        <v>10</v>
      </c>
      <c r="K10" s="103"/>
      <c r="L10" s="63"/>
      <c r="M10" s="40">
        <f t="shared" ref="M10:M46" si="3">AVERAGE(J10,MAX(K10:L10))</f>
        <v>5</v>
      </c>
      <c r="N10" s="62" t="str">
        <f t="shared" ref="N10:N46" si="4">IF(M10&gt;=10,"TRANSITA","N/TRANSITA")</f>
        <v>N/TRANSITA</v>
      </c>
      <c r="O10" s="102"/>
      <c r="P10" s="103"/>
      <c r="Q10" s="63"/>
      <c r="R10" s="40">
        <f t="shared" ref="R10:R46" si="5">AVERAGE(O10,MAX(P10:Q10))</f>
        <v>0</v>
      </c>
      <c r="S10" s="41">
        <f t="shared" si="0"/>
        <v>3.1666666666666665</v>
      </c>
      <c r="T10" s="78" t="str">
        <f t="shared" ref="T10:T46" si="6">IF(S10&gt;=10,"TRANSITA","N/TRANSITA")</f>
        <v>N/TRANSITA</v>
      </c>
    </row>
    <row r="11" spans="1:23" ht="14.25" customHeight="1" x14ac:dyDescent="0.3">
      <c r="B11" s="33">
        <v>3</v>
      </c>
      <c r="C11" s="123" t="s">
        <v>81</v>
      </c>
      <c r="D11" s="60"/>
      <c r="E11" s="169"/>
      <c r="F11" s="170"/>
      <c r="G11" s="92"/>
      <c r="H11" s="40">
        <f t="shared" si="1"/>
        <v>0</v>
      </c>
      <c r="I11" s="62" t="str">
        <f t="shared" si="2"/>
        <v>N/TRANSITA</v>
      </c>
      <c r="J11" s="102"/>
      <c r="K11" s="103"/>
      <c r="L11" s="63"/>
      <c r="M11" s="40">
        <f t="shared" si="3"/>
        <v>0</v>
      </c>
      <c r="N11" s="62" t="str">
        <f t="shared" si="4"/>
        <v>N/TRANSITA</v>
      </c>
      <c r="O11" s="102"/>
      <c r="P11" s="103"/>
      <c r="Q11" s="63"/>
      <c r="R11" s="40">
        <f t="shared" si="5"/>
        <v>0</v>
      </c>
      <c r="S11" s="41">
        <f t="shared" si="0"/>
        <v>0</v>
      </c>
      <c r="T11" s="78" t="str">
        <f t="shared" si="6"/>
        <v>N/TRANSITA</v>
      </c>
    </row>
    <row r="12" spans="1:23" ht="14.25" customHeight="1" x14ac:dyDescent="0.3">
      <c r="B12" s="33">
        <v>4</v>
      </c>
      <c r="C12" s="123" t="s">
        <v>82</v>
      </c>
      <c r="D12" s="60"/>
      <c r="E12" s="169">
        <v>14</v>
      </c>
      <c r="F12" s="170">
        <v>12</v>
      </c>
      <c r="G12" s="92"/>
      <c r="H12" s="40">
        <f t="shared" si="1"/>
        <v>13</v>
      </c>
      <c r="I12" s="62" t="str">
        <f t="shared" si="2"/>
        <v>TRANSITA</v>
      </c>
      <c r="J12" s="102">
        <v>13</v>
      </c>
      <c r="K12" s="103">
        <v>11</v>
      </c>
      <c r="L12" s="63"/>
      <c r="M12" s="40">
        <f t="shared" si="3"/>
        <v>12</v>
      </c>
      <c r="N12" s="62" t="str">
        <f t="shared" si="4"/>
        <v>TRANSITA</v>
      </c>
      <c r="O12" s="102"/>
      <c r="P12" s="103"/>
      <c r="Q12" s="63"/>
      <c r="R12" s="40">
        <f t="shared" si="5"/>
        <v>0</v>
      </c>
      <c r="S12" s="41">
        <f t="shared" si="0"/>
        <v>8.3333333333333339</v>
      </c>
      <c r="T12" s="78" t="str">
        <f t="shared" si="6"/>
        <v>N/TRANSITA</v>
      </c>
    </row>
    <row r="13" spans="1:23" ht="14.25" customHeight="1" x14ac:dyDescent="0.3">
      <c r="B13" s="33">
        <v>5</v>
      </c>
      <c r="C13" s="124" t="s">
        <v>83</v>
      </c>
      <c r="D13" s="60"/>
      <c r="E13" s="169">
        <v>13</v>
      </c>
      <c r="F13" s="170">
        <v>5</v>
      </c>
      <c r="G13" s="92"/>
      <c r="H13" s="40">
        <f t="shared" si="1"/>
        <v>9</v>
      </c>
      <c r="I13" s="62" t="str">
        <f t="shared" si="2"/>
        <v>N/TRANSITA</v>
      </c>
      <c r="J13" s="102"/>
      <c r="K13" s="103">
        <v>8</v>
      </c>
      <c r="L13" s="63"/>
      <c r="M13" s="40">
        <f t="shared" si="3"/>
        <v>8</v>
      </c>
      <c r="N13" s="62" t="str">
        <f t="shared" si="4"/>
        <v>N/TRANSITA</v>
      </c>
      <c r="O13" s="102"/>
      <c r="P13" s="103"/>
      <c r="Q13" s="63"/>
      <c r="R13" s="40">
        <f t="shared" si="5"/>
        <v>0</v>
      </c>
      <c r="S13" s="41">
        <f t="shared" si="0"/>
        <v>5.666666666666667</v>
      </c>
      <c r="T13" s="78" t="str">
        <f t="shared" si="6"/>
        <v>N/TRANSITA</v>
      </c>
      <c r="U13" s="18"/>
      <c r="V13" s="18"/>
      <c r="W13" s="18"/>
    </row>
    <row r="14" spans="1:23" ht="14.25" customHeight="1" x14ac:dyDescent="0.3">
      <c r="B14" s="33">
        <v>6</v>
      </c>
      <c r="C14" s="123" t="s">
        <v>84</v>
      </c>
      <c r="D14" s="60"/>
      <c r="E14" s="169">
        <v>16</v>
      </c>
      <c r="F14" s="170">
        <v>6</v>
      </c>
      <c r="G14" s="92"/>
      <c r="H14" s="40">
        <f t="shared" si="1"/>
        <v>11</v>
      </c>
      <c r="I14" s="62" t="str">
        <f t="shared" si="2"/>
        <v>TRANSITA</v>
      </c>
      <c r="J14" s="102">
        <v>7</v>
      </c>
      <c r="K14" s="103">
        <v>9</v>
      </c>
      <c r="L14" s="63"/>
      <c r="M14" s="40">
        <f t="shared" si="3"/>
        <v>8</v>
      </c>
      <c r="N14" s="62" t="str">
        <f t="shared" si="4"/>
        <v>N/TRANSITA</v>
      </c>
      <c r="O14" s="102"/>
      <c r="P14" s="103"/>
      <c r="Q14" s="63"/>
      <c r="R14" s="40">
        <f t="shared" si="5"/>
        <v>0</v>
      </c>
      <c r="S14" s="41">
        <f t="shared" si="0"/>
        <v>6.333333333333333</v>
      </c>
      <c r="T14" s="78" t="str">
        <f t="shared" si="6"/>
        <v>N/TRANSITA</v>
      </c>
    </row>
    <row r="15" spans="1:23" ht="14.25" customHeight="1" x14ac:dyDescent="0.3">
      <c r="B15" s="33">
        <v>7</v>
      </c>
      <c r="C15" s="123" t="s">
        <v>85</v>
      </c>
      <c r="D15" s="60"/>
      <c r="E15" s="169">
        <v>18</v>
      </c>
      <c r="F15" s="170">
        <v>13</v>
      </c>
      <c r="G15" s="92"/>
      <c r="H15" s="40">
        <f t="shared" si="1"/>
        <v>15.5</v>
      </c>
      <c r="I15" s="62" t="str">
        <f t="shared" si="2"/>
        <v>TRANSITA</v>
      </c>
      <c r="J15" s="102">
        <v>18</v>
      </c>
      <c r="K15" s="103">
        <v>12</v>
      </c>
      <c r="L15" s="63"/>
      <c r="M15" s="40">
        <f t="shared" si="3"/>
        <v>15</v>
      </c>
      <c r="N15" s="62" t="str">
        <f t="shared" si="4"/>
        <v>TRANSITA</v>
      </c>
      <c r="O15" s="102"/>
      <c r="P15" s="103"/>
      <c r="Q15" s="63"/>
      <c r="R15" s="40">
        <f t="shared" si="5"/>
        <v>0</v>
      </c>
      <c r="S15" s="41">
        <f t="shared" si="0"/>
        <v>10.166666666666666</v>
      </c>
      <c r="T15" s="78" t="str">
        <f t="shared" si="6"/>
        <v>TRANSITA</v>
      </c>
    </row>
    <row r="16" spans="1:23" ht="14.25" customHeight="1" x14ac:dyDescent="0.3">
      <c r="B16" s="33">
        <v>8</v>
      </c>
      <c r="C16" s="124" t="s">
        <v>86</v>
      </c>
      <c r="D16" s="60"/>
      <c r="E16" s="169">
        <v>8</v>
      </c>
      <c r="F16" s="170">
        <v>17</v>
      </c>
      <c r="G16" s="92"/>
      <c r="H16" s="40">
        <f t="shared" si="1"/>
        <v>12.5</v>
      </c>
      <c r="I16" s="62" t="str">
        <f t="shared" si="2"/>
        <v>TRANSITA</v>
      </c>
      <c r="J16" s="102">
        <v>12</v>
      </c>
      <c r="K16" s="103">
        <v>10</v>
      </c>
      <c r="L16" s="63"/>
      <c r="M16" s="40">
        <f t="shared" si="3"/>
        <v>11</v>
      </c>
      <c r="N16" s="62" t="str">
        <f t="shared" si="4"/>
        <v>TRANSITA</v>
      </c>
      <c r="O16" s="102"/>
      <c r="P16" s="103"/>
      <c r="Q16" s="63"/>
      <c r="R16" s="40">
        <f t="shared" si="5"/>
        <v>0</v>
      </c>
      <c r="S16" s="41">
        <f t="shared" si="0"/>
        <v>7.833333333333333</v>
      </c>
      <c r="T16" s="78" t="str">
        <f t="shared" si="6"/>
        <v>N/TRANSITA</v>
      </c>
    </row>
    <row r="17" spans="2:20" ht="14.25" customHeight="1" x14ac:dyDescent="0.3">
      <c r="B17" s="33">
        <v>9</v>
      </c>
      <c r="C17" s="123" t="s">
        <v>87</v>
      </c>
      <c r="D17" s="60"/>
      <c r="E17" s="169">
        <v>18</v>
      </c>
      <c r="F17" s="170">
        <v>16</v>
      </c>
      <c r="G17" s="92"/>
      <c r="H17" s="40">
        <f t="shared" si="1"/>
        <v>17</v>
      </c>
      <c r="I17" s="62" t="str">
        <f t="shared" si="2"/>
        <v>TRANSITA</v>
      </c>
      <c r="J17" s="102">
        <v>17</v>
      </c>
      <c r="K17" s="103">
        <v>8</v>
      </c>
      <c r="L17" s="63"/>
      <c r="M17" s="40">
        <f t="shared" si="3"/>
        <v>12.5</v>
      </c>
      <c r="N17" s="62" t="str">
        <f t="shared" si="4"/>
        <v>TRANSITA</v>
      </c>
      <c r="O17" s="102"/>
      <c r="P17" s="103"/>
      <c r="Q17" s="63"/>
      <c r="R17" s="40">
        <f t="shared" si="5"/>
        <v>0</v>
      </c>
      <c r="S17" s="41">
        <f t="shared" si="0"/>
        <v>9.8333333333333339</v>
      </c>
      <c r="T17" s="78" t="str">
        <f t="shared" si="6"/>
        <v>N/TRANSITA</v>
      </c>
    </row>
    <row r="18" spans="2:20" ht="14.25" customHeight="1" x14ac:dyDescent="0.3">
      <c r="B18" s="33">
        <v>10</v>
      </c>
      <c r="C18" s="124" t="s">
        <v>88</v>
      </c>
      <c r="D18" s="60"/>
      <c r="E18" s="169">
        <v>8</v>
      </c>
      <c r="F18" s="170">
        <v>6</v>
      </c>
      <c r="G18" s="92"/>
      <c r="H18" s="40">
        <f t="shared" si="1"/>
        <v>7</v>
      </c>
      <c r="I18" s="62" t="str">
        <f t="shared" si="2"/>
        <v>N/TRANSITA</v>
      </c>
      <c r="J18" s="102">
        <v>11</v>
      </c>
      <c r="K18" s="103">
        <v>10.5</v>
      </c>
      <c r="L18" s="63"/>
      <c r="M18" s="40">
        <f t="shared" si="3"/>
        <v>10.75</v>
      </c>
      <c r="N18" s="62" t="str">
        <f t="shared" si="4"/>
        <v>TRANSITA</v>
      </c>
      <c r="O18" s="102"/>
      <c r="P18" s="103"/>
      <c r="Q18" s="63"/>
      <c r="R18" s="40">
        <f t="shared" si="5"/>
        <v>0</v>
      </c>
      <c r="S18" s="41">
        <f t="shared" si="0"/>
        <v>5.916666666666667</v>
      </c>
      <c r="T18" s="78" t="str">
        <f t="shared" si="6"/>
        <v>N/TRANSITA</v>
      </c>
    </row>
    <row r="19" spans="2:20" ht="14.25" customHeight="1" x14ac:dyDescent="0.3">
      <c r="B19" s="33">
        <v>11</v>
      </c>
      <c r="C19" s="123" t="s">
        <v>89</v>
      </c>
      <c r="D19" s="60"/>
      <c r="E19" s="169"/>
      <c r="F19" s="170"/>
      <c r="G19" s="92"/>
      <c r="H19" s="40">
        <f t="shared" si="1"/>
        <v>0</v>
      </c>
      <c r="I19" s="62" t="str">
        <f t="shared" si="2"/>
        <v>N/TRANSITA</v>
      </c>
      <c r="J19" s="102"/>
      <c r="K19" s="103"/>
      <c r="L19" s="63"/>
      <c r="M19" s="40">
        <f t="shared" si="3"/>
        <v>0</v>
      </c>
      <c r="N19" s="62" t="str">
        <f t="shared" si="4"/>
        <v>N/TRANSITA</v>
      </c>
      <c r="O19" s="102"/>
      <c r="P19" s="103"/>
      <c r="Q19" s="63"/>
      <c r="R19" s="40">
        <f t="shared" si="5"/>
        <v>0</v>
      </c>
      <c r="S19" s="41">
        <f t="shared" si="0"/>
        <v>0</v>
      </c>
      <c r="T19" s="78" t="str">
        <f t="shared" si="6"/>
        <v>N/TRANSITA</v>
      </c>
    </row>
    <row r="20" spans="2:20" ht="14.25" customHeight="1" x14ac:dyDescent="0.3">
      <c r="B20" s="33">
        <v>12</v>
      </c>
      <c r="C20" s="124" t="s">
        <v>90</v>
      </c>
      <c r="D20" s="60"/>
      <c r="E20" s="169">
        <v>14</v>
      </c>
      <c r="F20" s="170"/>
      <c r="G20" s="92"/>
      <c r="H20" s="40">
        <f t="shared" si="1"/>
        <v>7</v>
      </c>
      <c r="I20" s="62" t="str">
        <f t="shared" si="2"/>
        <v>N/TRANSITA</v>
      </c>
      <c r="J20" s="102"/>
      <c r="K20" s="103"/>
      <c r="L20" s="63"/>
      <c r="M20" s="40">
        <f t="shared" si="3"/>
        <v>0</v>
      </c>
      <c r="N20" s="62" t="str">
        <f t="shared" si="4"/>
        <v>N/TRANSITA</v>
      </c>
      <c r="O20" s="102"/>
      <c r="P20" s="103"/>
      <c r="Q20" s="63"/>
      <c r="R20" s="40">
        <f t="shared" si="5"/>
        <v>0</v>
      </c>
      <c r="S20" s="41">
        <f t="shared" si="0"/>
        <v>2.3333333333333335</v>
      </c>
      <c r="T20" s="78" t="str">
        <f t="shared" si="6"/>
        <v>N/TRANSITA</v>
      </c>
    </row>
    <row r="21" spans="2:20" ht="14.25" customHeight="1" x14ac:dyDescent="0.3">
      <c r="B21" s="33">
        <v>13</v>
      </c>
      <c r="C21" s="123" t="s">
        <v>91</v>
      </c>
      <c r="D21" s="60"/>
      <c r="E21" s="169"/>
      <c r="F21" s="170"/>
      <c r="G21" s="92"/>
      <c r="H21" s="40">
        <f t="shared" si="1"/>
        <v>0</v>
      </c>
      <c r="I21" s="62" t="str">
        <f t="shared" si="2"/>
        <v>N/TRANSITA</v>
      </c>
      <c r="J21" s="102"/>
      <c r="K21" s="103"/>
      <c r="L21" s="63"/>
      <c r="M21" s="40">
        <f t="shared" si="3"/>
        <v>0</v>
      </c>
      <c r="N21" s="62" t="str">
        <f t="shared" si="4"/>
        <v>N/TRANSITA</v>
      </c>
      <c r="O21" s="102"/>
      <c r="P21" s="103"/>
      <c r="Q21" s="63"/>
      <c r="R21" s="40">
        <f t="shared" si="5"/>
        <v>0</v>
      </c>
      <c r="S21" s="41">
        <f t="shared" si="0"/>
        <v>0</v>
      </c>
      <c r="T21" s="78" t="str">
        <f t="shared" si="6"/>
        <v>N/TRANSITA</v>
      </c>
    </row>
    <row r="22" spans="2:20" ht="14.25" customHeight="1" x14ac:dyDescent="0.3">
      <c r="B22" s="33">
        <v>14</v>
      </c>
      <c r="C22" s="123" t="s">
        <v>92</v>
      </c>
      <c r="D22" s="60"/>
      <c r="E22" s="169">
        <v>16</v>
      </c>
      <c r="F22" s="170">
        <v>15</v>
      </c>
      <c r="G22" s="92"/>
      <c r="H22" s="40">
        <f t="shared" si="1"/>
        <v>15.5</v>
      </c>
      <c r="I22" s="62" t="str">
        <f t="shared" si="2"/>
        <v>TRANSITA</v>
      </c>
      <c r="J22" s="102">
        <v>11</v>
      </c>
      <c r="K22" s="103">
        <v>6</v>
      </c>
      <c r="L22" s="63"/>
      <c r="M22" s="40">
        <f t="shared" si="3"/>
        <v>8.5</v>
      </c>
      <c r="N22" s="62" t="str">
        <f t="shared" si="4"/>
        <v>N/TRANSITA</v>
      </c>
      <c r="O22" s="102"/>
      <c r="P22" s="103"/>
      <c r="Q22" s="63"/>
      <c r="R22" s="40">
        <f t="shared" si="5"/>
        <v>0</v>
      </c>
      <c r="S22" s="41">
        <f t="shared" si="0"/>
        <v>8</v>
      </c>
      <c r="T22" s="78" t="str">
        <f t="shared" si="6"/>
        <v>N/TRANSITA</v>
      </c>
    </row>
    <row r="23" spans="2:20" ht="14.25" customHeight="1" x14ac:dyDescent="0.3">
      <c r="B23" s="33">
        <v>15</v>
      </c>
      <c r="C23" s="124" t="s">
        <v>114</v>
      </c>
      <c r="D23" s="60"/>
      <c r="E23" s="169">
        <v>12</v>
      </c>
      <c r="F23" s="170">
        <v>13</v>
      </c>
      <c r="G23" s="92"/>
      <c r="H23" s="40">
        <f t="shared" si="1"/>
        <v>12.5</v>
      </c>
      <c r="I23" s="62" t="str">
        <f t="shared" si="2"/>
        <v>TRANSITA</v>
      </c>
      <c r="J23" s="102"/>
      <c r="K23" s="103">
        <v>10</v>
      </c>
      <c r="L23" s="63"/>
      <c r="M23" s="40">
        <f t="shared" si="3"/>
        <v>10</v>
      </c>
      <c r="N23" s="62" t="str">
        <f t="shared" si="4"/>
        <v>TRANSITA</v>
      </c>
      <c r="O23" s="102"/>
      <c r="P23" s="103"/>
      <c r="Q23" s="63"/>
      <c r="R23" s="40">
        <f t="shared" si="5"/>
        <v>0</v>
      </c>
      <c r="S23" s="41">
        <f t="shared" si="0"/>
        <v>7.5</v>
      </c>
      <c r="T23" s="78" t="str">
        <f t="shared" si="6"/>
        <v>N/TRANSITA</v>
      </c>
    </row>
    <row r="24" spans="2:20" ht="14.25" customHeight="1" x14ac:dyDescent="0.3">
      <c r="B24" s="33">
        <v>16</v>
      </c>
      <c r="C24" s="124" t="s">
        <v>93</v>
      </c>
      <c r="D24" s="60"/>
      <c r="E24" s="169">
        <v>8</v>
      </c>
      <c r="F24" s="170">
        <v>9</v>
      </c>
      <c r="G24" s="92"/>
      <c r="H24" s="40">
        <f t="shared" si="1"/>
        <v>8.5</v>
      </c>
      <c r="I24" s="62" t="str">
        <f t="shared" si="2"/>
        <v>N/TRANSITA</v>
      </c>
      <c r="J24" s="102">
        <v>14</v>
      </c>
      <c r="K24" s="103">
        <v>7</v>
      </c>
      <c r="L24" s="63"/>
      <c r="M24" s="40">
        <f t="shared" si="3"/>
        <v>10.5</v>
      </c>
      <c r="N24" s="62" t="str">
        <f t="shared" si="4"/>
        <v>TRANSITA</v>
      </c>
      <c r="O24" s="102"/>
      <c r="P24" s="103"/>
      <c r="Q24" s="63"/>
      <c r="R24" s="40">
        <f t="shared" si="5"/>
        <v>0</v>
      </c>
      <c r="S24" s="41">
        <f t="shared" si="0"/>
        <v>6.333333333333333</v>
      </c>
      <c r="T24" s="78" t="str">
        <f t="shared" si="6"/>
        <v>N/TRANSITA</v>
      </c>
    </row>
    <row r="25" spans="2:20" ht="14.25" customHeight="1" x14ac:dyDescent="0.3">
      <c r="B25" s="33">
        <v>17</v>
      </c>
      <c r="C25" s="123" t="s">
        <v>94</v>
      </c>
      <c r="D25" s="60"/>
      <c r="E25" s="169"/>
      <c r="F25" s="170"/>
      <c r="G25" s="92"/>
      <c r="H25" s="40">
        <f t="shared" si="1"/>
        <v>0</v>
      </c>
      <c r="I25" s="62" t="str">
        <f t="shared" si="2"/>
        <v>N/TRANSITA</v>
      </c>
      <c r="J25" s="102"/>
      <c r="K25" s="103"/>
      <c r="L25" s="63"/>
      <c r="M25" s="40">
        <f t="shared" si="3"/>
        <v>0</v>
      </c>
      <c r="N25" s="62" t="str">
        <f t="shared" si="4"/>
        <v>N/TRANSITA</v>
      </c>
      <c r="O25" s="102"/>
      <c r="P25" s="103"/>
      <c r="Q25" s="63"/>
      <c r="R25" s="40">
        <f t="shared" si="5"/>
        <v>0</v>
      </c>
      <c r="S25" s="41">
        <f t="shared" si="0"/>
        <v>0</v>
      </c>
      <c r="T25" s="78" t="str">
        <f t="shared" si="6"/>
        <v>N/TRANSITA</v>
      </c>
    </row>
    <row r="26" spans="2:20" ht="14.25" customHeight="1" x14ac:dyDescent="0.3">
      <c r="B26" s="33">
        <v>18</v>
      </c>
      <c r="C26" s="124" t="s">
        <v>95</v>
      </c>
      <c r="D26" s="60"/>
      <c r="E26" s="169">
        <v>8</v>
      </c>
      <c r="F26" s="170">
        <v>6</v>
      </c>
      <c r="G26" s="92"/>
      <c r="H26" s="40">
        <f t="shared" si="1"/>
        <v>7</v>
      </c>
      <c r="I26" s="62" t="str">
        <f t="shared" si="2"/>
        <v>N/TRANSITA</v>
      </c>
      <c r="J26" s="102">
        <v>10</v>
      </c>
      <c r="K26" s="103">
        <v>5</v>
      </c>
      <c r="L26" s="63"/>
      <c r="M26" s="40">
        <f t="shared" si="3"/>
        <v>7.5</v>
      </c>
      <c r="N26" s="62" t="str">
        <f t="shared" si="4"/>
        <v>N/TRANSITA</v>
      </c>
      <c r="O26" s="102"/>
      <c r="P26" s="103"/>
      <c r="Q26" s="63"/>
      <c r="R26" s="40">
        <f t="shared" si="5"/>
        <v>0</v>
      </c>
      <c r="S26" s="41">
        <f t="shared" si="0"/>
        <v>4.833333333333333</v>
      </c>
      <c r="T26" s="78" t="str">
        <f t="shared" si="6"/>
        <v>N/TRANSITA</v>
      </c>
    </row>
    <row r="27" spans="2:20" ht="14.25" customHeight="1" x14ac:dyDescent="0.3">
      <c r="B27" s="33">
        <v>19</v>
      </c>
      <c r="C27" s="124" t="s">
        <v>96</v>
      </c>
      <c r="D27" s="60"/>
      <c r="E27" s="169"/>
      <c r="F27" s="170"/>
      <c r="G27" s="92"/>
      <c r="H27" s="40">
        <f t="shared" si="1"/>
        <v>0</v>
      </c>
      <c r="I27" s="62" t="str">
        <f t="shared" si="2"/>
        <v>N/TRANSITA</v>
      </c>
      <c r="J27" s="102"/>
      <c r="K27" s="103"/>
      <c r="L27" s="63"/>
      <c r="M27" s="40">
        <f t="shared" si="3"/>
        <v>0</v>
      </c>
      <c r="N27" s="62" t="str">
        <f t="shared" si="4"/>
        <v>N/TRANSITA</v>
      </c>
      <c r="O27" s="102"/>
      <c r="P27" s="103"/>
      <c r="Q27" s="63"/>
      <c r="R27" s="40">
        <f t="shared" si="5"/>
        <v>0</v>
      </c>
      <c r="S27" s="41">
        <f t="shared" si="0"/>
        <v>0</v>
      </c>
      <c r="T27" s="78" t="str">
        <f t="shared" si="6"/>
        <v>N/TRANSITA</v>
      </c>
    </row>
    <row r="28" spans="2:20" ht="14.25" customHeight="1" x14ac:dyDescent="0.3">
      <c r="B28" s="33">
        <v>20</v>
      </c>
      <c r="C28" s="123" t="s">
        <v>97</v>
      </c>
      <c r="D28" s="60"/>
      <c r="E28" s="169">
        <v>5</v>
      </c>
      <c r="F28" s="170">
        <v>7</v>
      </c>
      <c r="G28" s="92"/>
      <c r="H28" s="40">
        <f t="shared" si="1"/>
        <v>6</v>
      </c>
      <c r="I28" s="62" t="str">
        <f t="shared" si="2"/>
        <v>N/TRANSITA</v>
      </c>
      <c r="J28" s="102"/>
      <c r="K28" s="103"/>
      <c r="L28" s="63"/>
      <c r="M28" s="40">
        <f t="shared" si="3"/>
        <v>0</v>
      </c>
      <c r="N28" s="62" t="str">
        <f t="shared" si="4"/>
        <v>N/TRANSITA</v>
      </c>
      <c r="O28" s="102"/>
      <c r="P28" s="103"/>
      <c r="Q28" s="63"/>
      <c r="R28" s="40">
        <f t="shared" si="5"/>
        <v>0</v>
      </c>
      <c r="S28" s="41">
        <f t="shared" si="0"/>
        <v>2</v>
      </c>
      <c r="T28" s="78" t="str">
        <f t="shared" si="6"/>
        <v>N/TRANSITA</v>
      </c>
    </row>
    <row r="29" spans="2:20" ht="14.25" customHeight="1" x14ac:dyDescent="0.3">
      <c r="B29" s="33">
        <v>21</v>
      </c>
      <c r="C29" s="123" t="s">
        <v>98</v>
      </c>
      <c r="D29" s="60"/>
      <c r="E29" s="169">
        <v>8</v>
      </c>
      <c r="F29" s="170">
        <v>15</v>
      </c>
      <c r="G29" s="92"/>
      <c r="H29" s="40">
        <f t="shared" si="1"/>
        <v>11.5</v>
      </c>
      <c r="I29" s="62" t="str">
        <f t="shared" si="2"/>
        <v>TRANSITA</v>
      </c>
      <c r="J29" s="102"/>
      <c r="K29" s="103">
        <v>10</v>
      </c>
      <c r="L29" s="63"/>
      <c r="M29" s="40">
        <f t="shared" si="3"/>
        <v>10</v>
      </c>
      <c r="N29" s="62" t="str">
        <f t="shared" si="4"/>
        <v>TRANSITA</v>
      </c>
      <c r="O29" s="102"/>
      <c r="P29" s="103"/>
      <c r="Q29" s="63"/>
      <c r="R29" s="40">
        <f t="shared" si="5"/>
        <v>0</v>
      </c>
      <c r="S29" s="41">
        <f t="shared" si="0"/>
        <v>7.166666666666667</v>
      </c>
      <c r="T29" s="78" t="str">
        <f t="shared" si="6"/>
        <v>N/TRANSITA</v>
      </c>
    </row>
    <row r="30" spans="2:20" ht="14.25" customHeight="1" x14ac:dyDescent="0.3">
      <c r="B30" s="33">
        <v>22</v>
      </c>
      <c r="C30" s="124" t="s">
        <v>99</v>
      </c>
      <c r="D30" s="60"/>
      <c r="E30" s="169">
        <v>8</v>
      </c>
      <c r="F30" s="170">
        <v>17</v>
      </c>
      <c r="G30" s="92"/>
      <c r="H30" s="40">
        <f t="shared" si="1"/>
        <v>12.5</v>
      </c>
      <c r="I30" s="62" t="str">
        <f t="shared" si="2"/>
        <v>TRANSITA</v>
      </c>
      <c r="J30" s="102"/>
      <c r="K30" s="103"/>
      <c r="L30" s="63"/>
      <c r="M30" s="40">
        <f t="shared" si="3"/>
        <v>0</v>
      </c>
      <c r="N30" s="62" t="str">
        <f t="shared" si="4"/>
        <v>N/TRANSITA</v>
      </c>
      <c r="O30" s="102"/>
      <c r="P30" s="103"/>
      <c r="Q30" s="63"/>
      <c r="R30" s="40">
        <f t="shared" si="5"/>
        <v>0</v>
      </c>
      <c r="S30" s="41">
        <f t="shared" si="0"/>
        <v>4.166666666666667</v>
      </c>
      <c r="T30" s="78" t="str">
        <f t="shared" si="6"/>
        <v>N/TRANSITA</v>
      </c>
    </row>
    <row r="31" spans="2:20" ht="14.25" customHeight="1" x14ac:dyDescent="0.3">
      <c r="B31" s="33">
        <v>23</v>
      </c>
      <c r="C31" s="123" t="s">
        <v>100</v>
      </c>
      <c r="D31" s="60"/>
      <c r="E31" s="169">
        <v>16</v>
      </c>
      <c r="F31" s="170">
        <v>14</v>
      </c>
      <c r="G31" s="92"/>
      <c r="H31" s="40">
        <f t="shared" si="1"/>
        <v>15</v>
      </c>
      <c r="I31" s="62" t="str">
        <f t="shared" si="2"/>
        <v>TRANSITA</v>
      </c>
      <c r="J31" s="102">
        <v>19</v>
      </c>
      <c r="K31" s="103">
        <v>8</v>
      </c>
      <c r="L31" s="63"/>
      <c r="M31" s="40">
        <f t="shared" si="3"/>
        <v>13.5</v>
      </c>
      <c r="N31" s="62" t="str">
        <f t="shared" si="4"/>
        <v>TRANSITA</v>
      </c>
      <c r="O31" s="102"/>
      <c r="P31" s="103"/>
      <c r="Q31" s="63"/>
      <c r="R31" s="40">
        <f t="shared" si="5"/>
        <v>0</v>
      </c>
      <c r="S31" s="41">
        <f t="shared" si="0"/>
        <v>9.5</v>
      </c>
      <c r="T31" s="78" t="str">
        <f t="shared" si="6"/>
        <v>N/TRANSITA</v>
      </c>
    </row>
    <row r="32" spans="2:20" ht="14.25" customHeight="1" x14ac:dyDescent="0.3">
      <c r="B32" s="33">
        <v>24</v>
      </c>
      <c r="C32" s="123" t="s">
        <v>101</v>
      </c>
      <c r="D32" s="60"/>
      <c r="E32" s="169"/>
      <c r="F32" s="170"/>
      <c r="G32" s="92"/>
      <c r="H32" s="40">
        <f t="shared" si="1"/>
        <v>0</v>
      </c>
      <c r="I32" s="62" t="str">
        <f t="shared" si="2"/>
        <v>N/TRANSITA</v>
      </c>
      <c r="J32" s="102"/>
      <c r="K32" s="103"/>
      <c r="L32" s="63"/>
      <c r="M32" s="40">
        <f t="shared" si="3"/>
        <v>0</v>
      </c>
      <c r="N32" s="62" t="str">
        <f t="shared" si="4"/>
        <v>N/TRANSITA</v>
      </c>
      <c r="O32" s="102"/>
      <c r="P32" s="103"/>
      <c r="Q32" s="63"/>
      <c r="R32" s="40">
        <f t="shared" si="5"/>
        <v>0</v>
      </c>
      <c r="S32" s="41">
        <f t="shared" si="0"/>
        <v>0</v>
      </c>
      <c r="T32" s="78" t="str">
        <f t="shared" si="6"/>
        <v>N/TRANSITA</v>
      </c>
    </row>
    <row r="33" spans="1:20" ht="14.25" customHeight="1" x14ac:dyDescent="0.3">
      <c r="B33" s="33">
        <v>25</v>
      </c>
      <c r="C33" s="124" t="s">
        <v>102</v>
      </c>
      <c r="D33" s="60"/>
      <c r="E33" s="169"/>
      <c r="F33" s="170"/>
      <c r="G33" s="92"/>
      <c r="H33" s="40">
        <f t="shared" si="1"/>
        <v>0</v>
      </c>
      <c r="I33" s="62" t="str">
        <f t="shared" si="2"/>
        <v>N/TRANSITA</v>
      </c>
      <c r="J33" s="102"/>
      <c r="K33" s="103"/>
      <c r="L33" s="63"/>
      <c r="M33" s="40">
        <f t="shared" si="3"/>
        <v>0</v>
      </c>
      <c r="N33" s="62" t="str">
        <f t="shared" si="4"/>
        <v>N/TRANSITA</v>
      </c>
      <c r="O33" s="102"/>
      <c r="P33" s="103"/>
      <c r="Q33" s="63"/>
      <c r="R33" s="40">
        <f t="shared" si="5"/>
        <v>0</v>
      </c>
      <c r="S33" s="41">
        <f t="shared" si="0"/>
        <v>0</v>
      </c>
      <c r="T33" s="78" t="str">
        <f t="shared" si="6"/>
        <v>N/TRANSITA</v>
      </c>
    </row>
    <row r="34" spans="1:20" ht="14.25" customHeight="1" x14ac:dyDescent="0.3">
      <c r="B34" s="33">
        <v>26</v>
      </c>
      <c r="C34" s="123" t="s">
        <v>103</v>
      </c>
      <c r="D34" s="60"/>
      <c r="E34" s="169">
        <v>19</v>
      </c>
      <c r="F34" s="170">
        <v>16</v>
      </c>
      <c r="G34" s="92"/>
      <c r="H34" s="40">
        <f t="shared" si="1"/>
        <v>17.5</v>
      </c>
      <c r="I34" s="62" t="str">
        <f t="shared" si="2"/>
        <v>TRANSITA</v>
      </c>
      <c r="J34" s="102">
        <v>19</v>
      </c>
      <c r="K34" s="103">
        <v>19</v>
      </c>
      <c r="L34" s="63"/>
      <c r="M34" s="40">
        <f t="shared" si="3"/>
        <v>19</v>
      </c>
      <c r="N34" s="62" t="str">
        <f t="shared" si="4"/>
        <v>TRANSITA</v>
      </c>
      <c r="O34" s="102"/>
      <c r="P34" s="103"/>
      <c r="Q34" s="63"/>
      <c r="R34" s="40">
        <f t="shared" si="5"/>
        <v>0</v>
      </c>
      <c r="S34" s="41">
        <f t="shared" si="0"/>
        <v>12.166666666666666</v>
      </c>
      <c r="T34" s="78" t="str">
        <f t="shared" si="6"/>
        <v>TRANSITA</v>
      </c>
    </row>
    <row r="35" spans="1:20" ht="14.25" customHeight="1" x14ac:dyDescent="0.3">
      <c r="B35" s="33">
        <v>27</v>
      </c>
      <c r="C35" s="124" t="s">
        <v>115</v>
      </c>
      <c r="D35" s="60"/>
      <c r="E35" s="169">
        <v>10</v>
      </c>
      <c r="F35" s="170">
        <v>11</v>
      </c>
      <c r="G35" s="92"/>
      <c r="H35" s="40">
        <f t="shared" si="1"/>
        <v>10.5</v>
      </c>
      <c r="I35" s="62" t="str">
        <f t="shared" si="2"/>
        <v>TRANSITA</v>
      </c>
      <c r="J35" s="102">
        <v>8</v>
      </c>
      <c r="K35" s="103">
        <v>13</v>
      </c>
      <c r="L35" s="63"/>
      <c r="M35" s="40">
        <f t="shared" si="3"/>
        <v>10.5</v>
      </c>
      <c r="N35" s="62" t="str">
        <f t="shared" si="4"/>
        <v>TRANSITA</v>
      </c>
      <c r="O35" s="102"/>
      <c r="P35" s="103"/>
      <c r="Q35" s="63"/>
      <c r="R35" s="40">
        <f t="shared" si="5"/>
        <v>0</v>
      </c>
      <c r="S35" s="41">
        <f t="shared" si="0"/>
        <v>7</v>
      </c>
      <c r="T35" s="78" t="str">
        <f t="shared" si="6"/>
        <v>N/TRANSITA</v>
      </c>
    </row>
    <row r="36" spans="1:20" ht="14.25" customHeight="1" x14ac:dyDescent="0.3">
      <c r="B36" s="33">
        <v>28</v>
      </c>
      <c r="C36" s="124" t="s">
        <v>116</v>
      </c>
      <c r="D36" s="60"/>
      <c r="E36" s="169">
        <v>11</v>
      </c>
      <c r="F36" s="170">
        <v>12</v>
      </c>
      <c r="G36" s="92"/>
      <c r="H36" s="40">
        <f t="shared" si="1"/>
        <v>11.5</v>
      </c>
      <c r="I36" s="62" t="str">
        <f t="shared" si="2"/>
        <v>TRANSITA</v>
      </c>
      <c r="J36" s="102"/>
      <c r="K36" s="103"/>
      <c r="L36" s="63"/>
      <c r="M36" s="40">
        <f t="shared" si="3"/>
        <v>0</v>
      </c>
      <c r="N36" s="62" t="str">
        <f t="shared" si="4"/>
        <v>N/TRANSITA</v>
      </c>
      <c r="O36" s="102"/>
      <c r="P36" s="103"/>
      <c r="Q36" s="63"/>
      <c r="R36" s="40">
        <f t="shared" si="5"/>
        <v>0</v>
      </c>
      <c r="S36" s="41">
        <f t="shared" si="0"/>
        <v>3.8333333333333335</v>
      </c>
      <c r="T36" s="78" t="str">
        <f t="shared" si="6"/>
        <v>N/TRANSITA</v>
      </c>
    </row>
    <row r="37" spans="1:20" ht="14.25" customHeight="1" x14ac:dyDescent="0.3">
      <c r="B37" s="33">
        <v>29</v>
      </c>
      <c r="C37" s="123" t="s">
        <v>104</v>
      </c>
      <c r="D37" s="60"/>
      <c r="E37" s="169"/>
      <c r="F37" s="170"/>
      <c r="G37" s="92"/>
      <c r="H37" s="40">
        <f t="shared" si="1"/>
        <v>0</v>
      </c>
      <c r="I37" s="62" t="str">
        <f t="shared" si="2"/>
        <v>N/TRANSITA</v>
      </c>
      <c r="J37" s="102"/>
      <c r="K37" s="103"/>
      <c r="L37" s="63"/>
      <c r="M37" s="40">
        <f t="shared" ref="M37:M39" si="7">AVERAGE(J37,MAX(K37:L37))</f>
        <v>0</v>
      </c>
      <c r="N37" s="62" t="str">
        <f t="shared" ref="N37:N39" si="8">IF(M37&gt;=10,"TRANSITA","N/TRANSITA")</f>
        <v>N/TRANSITA</v>
      </c>
      <c r="O37" s="102"/>
      <c r="P37" s="103"/>
      <c r="Q37" s="63"/>
      <c r="R37" s="40">
        <f t="shared" ref="R37:R39" si="9">AVERAGE(O37,MAX(P37:Q37))</f>
        <v>0</v>
      </c>
      <c r="S37" s="41">
        <f t="shared" ref="S37:S39" si="10">SUM(H37,M37,R37)/3</f>
        <v>0</v>
      </c>
      <c r="T37" s="78" t="str">
        <f t="shared" ref="T37:T39" si="11">IF(S37&gt;=10,"TRANSITA","N/TRANSITA")</f>
        <v>N/TRANSITA</v>
      </c>
    </row>
    <row r="38" spans="1:20" ht="14.25" customHeight="1" x14ac:dyDescent="0.3">
      <c r="B38" s="33">
        <v>30</v>
      </c>
      <c r="C38" s="123" t="s">
        <v>105</v>
      </c>
      <c r="D38" s="60"/>
      <c r="E38" s="169">
        <v>17</v>
      </c>
      <c r="F38" s="170">
        <v>16</v>
      </c>
      <c r="G38" s="92"/>
      <c r="H38" s="40">
        <f t="shared" si="1"/>
        <v>16.5</v>
      </c>
      <c r="I38" s="62" t="str">
        <f t="shared" si="2"/>
        <v>TRANSITA</v>
      </c>
      <c r="J38" s="102">
        <v>16</v>
      </c>
      <c r="K38" s="103">
        <v>11</v>
      </c>
      <c r="L38" s="63"/>
      <c r="M38" s="40">
        <f t="shared" si="7"/>
        <v>13.5</v>
      </c>
      <c r="N38" s="62" t="str">
        <f t="shared" si="8"/>
        <v>TRANSITA</v>
      </c>
      <c r="O38" s="102"/>
      <c r="P38" s="103"/>
      <c r="Q38" s="63"/>
      <c r="R38" s="40">
        <f t="shared" si="9"/>
        <v>0</v>
      </c>
      <c r="S38" s="41">
        <f t="shared" si="10"/>
        <v>10</v>
      </c>
      <c r="T38" s="78" t="str">
        <f t="shared" si="11"/>
        <v>TRANSITA</v>
      </c>
    </row>
    <row r="39" spans="1:20" ht="14.25" customHeight="1" x14ac:dyDescent="0.3">
      <c r="B39" s="33">
        <v>31</v>
      </c>
      <c r="C39" s="124" t="s">
        <v>106</v>
      </c>
      <c r="D39" s="60"/>
      <c r="E39" s="169">
        <v>12</v>
      </c>
      <c r="F39" s="170">
        <v>15</v>
      </c>
      <c r="G39" s="92"/>
      <c r="H39" s="40">
        <f t="shared" si="1"/>
        <v>13.5</v>
      </c>
      <c r="I39" s="62" t="str">
        <f t="shared" si="2"/>
        <v>TRANSITA</v>
      </c>
      <c r="J39" s="102"/>
      <c r="K39" s="103">
        <v>8</v>
      </c>
      <c r="L39" s="63"/>
      <c r="M39" s="40">
        <f t="shared" si="7"/>
        <v>8</v>
      </c>
      <c r="N39" s="62" t="str">
        <f t="shared" si="8"/>
        <v>N/TRANSITA</v>
      </c>
      <c r="O39" s="102"/>
      <c r="P39" s="103"/>
      <c r="Q39" s="63"/>
      <c r="R39" s="40">
        <f t="shared" si="9"/>
        <v>0</v>
      </c>
      <c r="S39" s="41">
        <f t="shared" si="10"/>
        <v>7.166666666666667</v>
      </c>
      <c r="T39" s="78" t="str">
        <f t="shared" si="11"/>
        <v>N/TRANSITA</v>
      </c>
    </row>
    <row r="40" spans="1:20" ht="14.25" customHeight="1" x14ac:dyDescent="0.3">
      <c r="B40" s="33">
        <v>32</v>
      </c>
      <c r="C40" s="124" t="s">
        <v>107</v>
      </c>
      <c r="D40" s="60"/>
      <c r="E40" s="169"/>
      <c r="F40" s="170"/>
      <c r="G40" s="92"/>
      <c r="H40" s="40">
        <f t="shared" si="1"/>
        <v>0</v>
      </c>
      <c r="I40" s="62" t="str">
        <f t="shared" si="2"/>
        <v>N/TRANSITA</v>
      </c>
      <c r="J40" s="102">
        <v>5</v>
      </c>
      <c r="K40" s="103"/>
      <c r="L40" s="63"/>
      <c r="M40" s="40">
        <f t="shared" si="3"/>
        <v>2.5</v>
      </c>
      <c r="N40" s="62" t="str">
        <f t="shared" si="4"/>
        <v>N/TRANSITA</v>
      </c>
      <c r="O40" s="102"/>
      <c r="P40" s="103"/>
      <c r="Q40" s="63"/>
      <c r="R40" s="40">
        <f t="shared" si="5"/>
        <v>0</v>
      </c>
      <c r="S40" s="41">
        <f t="shared" si="0"/>
        <v>0.83333333333333337</v>
      </c>
      <c r="T40" s="78" t="str">
        <f t="shared" si="6"/>
        <v>N/TRANSITA</v>
      </c>
    </row>
    <row r="41" spans="1:20" ht="14.25" customHeight="1" x14ac:dyDescent="0.3">
      <c r="B41" s="33">
        <v>33</v>
      </c>
      <c r="C41" s="123" t="s">
        <v>108</v>
      </c>
      <c r="D41" s="60"/>
      <c r="E41" s="169"/>
      <c r="F41" s="170"/>
      <c r="G41" s="92"/>
      <c r="H41" s="40">
        <f t="shared" si="1"/>
        <v>0</v>
      </c>
      <c r="I41" s="62" t="str">
        <f t="shared" si="2"/>
        <v>N/TRANSITA</v>
      </c>
      <c r="J41" s="102"/>
      <c r="K41" s="103"/>
      <c r="L41" s="63"/>
      <c r="M41" s="40">
        <f t="shared" si="3"/>
        <v>0</v>
      </c>
      <c r="N41" s="62" t="str">
        <f t="shared" si="4"/>
        <v>N/TRANSITA</v>
      </c>
      <c r="O41" s="102"/>
      <c r="P41" s="103"/>
      <c r="Q41" s="63"/>
      <c r="R41" s="40">
        <f t="shared" si="5"/>
        <v>0</v>
      </c>
      <c r="S41" s="41">
        <f t="shared" si="0"/>
        <v>0</v>
      </c>
      <c r="T41" s="78" t="str">
        <f t="shared" si="6"/>
        <v>N/TRANSITA</v>
      </c>
    </row>
    <row r="42" spans="1:20" ht="14.25" customHeight="1" x14ac:dyDescent="0.3">
      <c r="B42" s="33">
        <v>34</v>
      </c>
      <c r="C42" s="123" t="s">
        <v>109</v>
      </c>
      <c r="D42" s="60"/>
      <c r="E42" s="169">
        <v>16</v>
      </c>
      <c r="F42" s="170">
        <v>12</v>
      </c>
      <c r="G42" s="92"/>
      <c r="H42" s="40">
        <f t="shared" si="1"/>
        <v>14</v>
      </c>
      <c r="I42" s="62" t="str">
        <f t="shared" si="2"/>
        <v>TRANSITA</v>
      </c>
      <c r="J42" s="102">
        <v>13</v>
      </c>
      <c r="K42" s="103">
        <v>8</v>
      </c>
      <c r="L42" s="63"/>
      <c r="M42" s="40">
        <f t="shared" si="3"/>
        <v>10.5</v>
      </c>
      <c r="N42" s="62" t="str">
        <f t="shared" si="4"/>
        <v>TRANSITA</v>
      </c>
      <c r="O42" s="102"/>
      <c r="P42" s="103"/>
      <c r="Q42" s="63"/>
      <c r="R42" s="40">
        <f t="shared" si="5"/>
        <v>0</v>
      </c>
      <c r="S42" s="41">
        <f t="shared" si="0"/>
        <v>8.1666666666666661</v>
      </c>
      <c r="T42" s="78" t="str">
        <f t="shared" si="6"/>
        <v>N/TRANSITA</v>
      </c>
    </row>
    <row r="43" spans="1:20" ht="14.25" customHeight="1" x14ac:dyDescent="0.3">
      <c r="B43" s="33">
        <v>35</v>
      </c>
      <c r="C43" s="123" t="s">
        <v>110</v>
      </c>
      <c r="D43" s="60"/>
      <c r="E43" s="169">
        <v>15</v>
      </c>
      <c r="F43" s="170">
        <v>13</v>
      </c>
      <c r="G43" s="92"/>
      <c r="H43" s="40">
        <f t="shared" si="1"/>
        <v>14</v>
      </c>
      <c r="I43" s="62" t="str">
        <f t="shared" si="2"/>
        <v>TRANSITA</v>
      </c>
      <c r="J43" s="102"/>
      <c r="K43" s="103">
        <v>15</v>
      </c>
      <c r="L43" s="63"/>
      <c r="M43" s="40">
        <f t="shared" si="3"/>
        <v>15</v>
      </c>
      <c r="N43" s="62" t="str">
        <f t="shared" si="4"/>
        <v>TRANSITA</v>
      </c>
      <c r="O43" s="102"/>
      <c r="P43" s="103"/>
      <c r="Q43" s="63"/>
      <c r="R43" s="40">
        <f t="shared" si="5"/>
        <v>0</v>
      </c>
      <c r="S43" s="41">
        <f t="shared" si="0"/>
        <v>9.6666666666666661</v>
      </c>
      <c r="T43" s="78" t="str">
        <f t="shared" si="6"/>
        <v>N/TRANSITA</v>
      </c>
    </row>
    <row r="44" spans="1:20" ht="14.25" customHeight="1" x14ac:dyDescent="0.3">
      <c r="B44" s="33">
        <v>36</v>
      </c>
      <c r="C44" s="124" t="s">
        <v>111</v>
      </c>
      <c r="D44" s="60"/>
      <c r="E44" s="169">
        <v>8</v>
      </c>
      <c r="F44" s="170">
        <v>14</v>
      </c>
      <c r="G44" s="92"/>
      <c r="H44" s="40">
        <f t="shared" si="1"/>
        <v>11</v>
      </c>
      <c r="I44" s="62" t="str">
        <f t="shared" si="2"/>
        <v>TRANSITA</v>
      </c>
      <c r="J44" s="102">
        <v>17</v>
      </c>
      <c r="K44" s="103">
        <v>10</v>
      </c>
      <c r="L44" s="63"/>
      <c r="M44" s="40">
        <f t="shared" si="3"/>
        <v>13.5</v>
      </c>
      <c r="N44" s="62" t="str">
        <f t="shared" si="4"/>
        <v>TRANSITA</v>
      </c>
      <c r="O44" s="102"/>
      <c r="P44" s="103"/>
      <c r="Q44" s="63"/>
      <c r="R44" s="40">
        <f t="shared" si="5"/>
        <v>0</v>
      </c>
      <c r="S44" s="41">
        <f t="shared" si="0"/>
        <v>8.1666666666666661</v>
      </c>
      <c r="T44" s="78" t="str">
        <f t="shared" si="6"/>
        <v>N/TRANSITA</v>
      </c>
    </row>
    <row r="45" spans="1:20" ht="14.25" customHeight="1" x14ac:dyDescent="0.3">
      <c r="B45" s="33">
        <v>37</v>
      </c>
      <c r="C45" s="123" t="s">
        <v>112</v>
      </c>
      <c r="D45" s="60"/>
      <c r="E45" s="169">
        <v>18</v>
      </c>
      <c r="F45" s="170">
        <v>15</v>
      </c>
      <c r="G45" s="92"/>
      <c r="H45" s="40">
        <f t="shared" si="1"/>
        <v>16.5</v>
      </c>
      <c r="I45" s="62" t="str">
        <f t="shared" si="2"/>
        <v>TRANSITA</v>
      </c>
      <c r="J45" s="102">
        <v>14</v>
      </c>
      <c r="K45" s="103"/>
      <c r="L45" s="63"/>
      <c r="M45" s="40">
        <f t="shared" si="3"/>
        <v>7</v>
      </c>
      <c r="N45" s="62" t="str">
        <f t="shared" si="4"/>
        <v>N/TRANSITA</v>
      </c>
      <c r="O45" s="102"/>
      <c r="P45" s="103"/>
      <c r="Q45" s="63"/>
      <c r="R45" s="40">
        <f t="shared" si="5"/>
        <v>0</v>
      </c>
      <c r="S45" s="41">
        <f t="shared" si="0"/>
        <v>7.833333333333333</v>
      </c>
      <c r="T45" s="78" t="str">
        <f t="shared" si="6"/>
        <v>N/TRANSITA</v>
      </c>
    </row>
    <row r="46" spans="1:20" ht="14.25" customHeight="1" thickBot="1" x14ac:dyDescent="0.35">
      <c r="B46" s="33">
        <v>38</v>
      </c>
      <c r="C46" s="125" t="s">
        <v>113</v>
      </c>
      <c r="D46" s="61"/>
      <c r="E46" s="171"/>
      <c r="F46" s="172"/>
      <c r="G46" s="94"/>
      <c r="H46" s="146">
        <f t="shared" si="1"/>
        <v>0</v>
      </c>
      <c r="I46" s="72" t="str">
        <f t="shared" si="2"/>
        <v>N/TRANSITA</v>
      </c>
      <c r="J46" s="104"/>
      <c r="K46" s="105"/>
      <c r="L46" s="66"/>
      <c r="M46" s="146">
        <f t="shared" si="3"/>
        <v>0</v>
      </c>
      <c r="N46" s="72" t="str">
        <f t="shared" si="4"/>
        <v>N/TRANSITA</v>
      </c>
      <c r="O46" s="104"/>
      <c r="P46" s="105"/>
      <c r="Q46" s="66"/>
      <c r="R46" s="146">
        <f t="shared" si="5"/>
        <v>0</v>
      </c>
      <c r="S46" s="42">
        <f t="shared" si="0"/>
        <v>0</v>
      </c>
      <c r="T46" s="79" t="str">
        <f t="shared" si="6"/>
        <v>N/TRANSITA</v>
      </c>
    </row>
    <row r="47" spans="1:20" ht="93.75" customHeight="1" thickTop="1" x14ac:dyDescent="0.3">
      <c r="B47" s="19"/>
      <c r="C47" s="19"/>
      <c r="D47" s="19"/>
      <c r="E47" s="19"/>
      <c r="F47" s="19"/>
      <c r="G47" s="19"/>
      <c r="H47" s="19"/>
      <c r="I47" s="19"/>
      <c r="J47" s="19"/>
      <c r="O47" s="19"/>
      <c r="P47" s="19"/>
      <c r="Q47" s="19"/>
      <c r="R47" s="19"/>
      <c r="S47" s="19"/>
      <c r="T47" s="19"/>
    </row>
    <row r="48" spans="1:20" ht="20.25" customHeight="1" x14ac:dyDescent="0.45">
      <c r="A48" s="20"/>
      <c r="B48" s="20"/>
      <c r="C48" s="20"/>
      <c r="D48" s="20"/>
      <c r="E48" s="20"/>
      <c r="F48" s="20"/>
      <c r="G48" s="20"/>
      <c r="H48" s="20"/>
      <c r="I48" s="20"/>
      <c r="J48" s="20"/>
      <c r="O48" s="20"/>
      <c r="P48" s="21"/>
      <c r="Q48" s="21"/>
      <c r="R48" s="21"/>
      <c r="S48" s="20"/>
      <c r="T48" s="20"/>
    </row>
    <row r="49" spans="1:20" ht="15.6" x14ac:dyDescent="0.3">
      <c r="A49" s="248" t="s">
        <v>50</v>
      </c>
      <c r="B49" s="248"/>
      <c r="C49" s="248"/>
      <c r="D49" s="248"/>
      <c r="E49" s="248"/>
      <c r="F49" s="22"/>
      <c r="G49" s="22"/>
      <c r="H49" s="22"/>
      <c r="I49" s="22"/>
      <c r="J49" s="22"/>
      <c r="K49" s="23"/>
      <c r="L49" s="23"/>
      <c r="M49" s="23"/>
      <c r="N49" s="23"/>
      <c r="O49" s="248" t="s">
        <v>9</v>
      </c>
      <c r="P49" s="248"/>
      <c r="Q49" s="248"/>
      <c r="R49" s="248"/>
      <c r="S49" s="248"/>
      <c r="T49" s="248"/>
    </row>
    <row r="50" spans="1:20" ht="15.6" x14ac:dyDescent="0.3">
      <c r="A50" s="249" t="s">
        <v>21</v>
      </c>
      <c r="B50" s="249"/>
      <c r="C50" s="249"/>
      <c r="D50" s="249"/>
      <c r="E50" s="249"/>
      <c r="F50" s="24"/>
      <c r="G50" s="24"/>
      <c r="H50" s="24"/>
      <c r="I50" s="24"/>
      <c r="J50" s="24"/>
      <c r="O50" s="250" t="s">
        <v>22</v>
      </c>
      <c r="P50" s="250"/>
      <c r="Q50" s="250"/>
      <c r="R50" s="250"/>
      <c r="S50" s="250"/>
      <c r="T50" s="250"/>
    </row>
    <row r="51" spans="1:20" x14ac:dyDescent="0.3">
      <c r="A51" s="242"/>
      <c r="B51" s="242"/>
      <c r="C51" s="242"/>
      <c r="D51" s="242"/>
      <c r="E51" s="242"/>
      <c r="O51" s="242" t="s">
        <v>23</v>
      </c>
      <c r="P51" s="242"/>
      <c r="Q51" s="242"/>
      <c r="R51" s="242"/>
      <c r="S51" s="242"/>
      <c r="T51" s="242"/>
    </row>
  </sheetData>
  <mergeCells count="22">
    <mergeCell ref="A1:T1"/>
    <mergeCell ref="B3:R3"/>
    <mergeCell ref="B4:C4"/>
    <mergeCell ref="P4:T4"/>
    <mergeCell ref="B5:C5"/>
    <mergeCell ref="N5:T5"/>
    <mergeCell ref="B6:T6"/>
    <mergeCell ref="B7:B8"/>
    <mergeCell ref="C7:C8"/>
    <mergeCell ref="E7:H7"/>
    <mergeCell ref="I7:I8"/>
    <mergeCell ref="J7:M7"/>
    <mergeCell ref="N7:N8"/>
    <mergeCell ref="O7:R7"/>
    <mergeCell ref="S7:S8"/>
    <mergeCell ref="T7:T8"/>
    <mergeCell ref="A49:E49"/>
    <mergeCell ref="O49:T49"/>
    <mergeCell ref="A50:E50"/>
    <mergeCell ref="O50:T50"/>
    <mergeCell ref="A51:E51"/>
    <mergeCell ref="O51:T51"/>
  </mergeCells>
  <conditionalFormatting sqref="S9:S46">
    <cfRule type="cellIs" dxfId="73" priority="37" stopIfTrue="1" operator="greaterThan">
      <formula>9.5</formula>
    </cfRule>
    <cfRule type="cellIs" dxfId="72" priority="38" stopIfTrue="1" operator="lessThanOrEqual">
      <formula>9.5</formula>
    </cfRule>
  </conditionalFormatting>
  <conditionalFormatting sqref="M9:M46 R9:R46">
    <cfRule type="cellIs" dxfId="71" priority="35" stopIfTrue="1" operator="lessThan">
      <formula>10</formula>
    </cfRule>
    <cfRule type="cellIs" dxfId="70" priority="36" stopIfTrue="1" operator="greaterThanOrEqual">
      <formula>10</formula>
    </cfRule>
  </conditionalFormatting>
  <conditionalFormatting sqref="L9:L46 O9:Q46">
    <cfRule type="cellIs" dxfId="69" priority="29" stopIfTrue="1" operator="lessThan">
      <formula>10</formula>
    </cfRule>
    <cfRule type="cellIs" dxfId="68" priority="30" stopIfTrue="1" operator="greaterThan">
      <formula>9</formula>
    </cfRule>
    <cfRule type="cellIs" dxfId="67" priority="31" stopIfTrue="1" operator="lessThan">
      <formula>10</formula>
    </cfRule>
    <cfRule type="cellIs" dxfId="66" priority="32" stopIfTrue="1" operator="greaterThan">
      <formula>9</formula>
    </cfRule>
  </conditionalFormatting>
  <conditionalFormatting sqref="H9:H46">
    <cfRule type="cellIs" dxfId="65" priority="19" stopIfTrue="1" operator="lessThan">
      <formula>10</formula>
    </cfRule>
    <cfRule type="cellIs" dxfId="64" priority="20" stopIfTrue="1" operator="greaterThanOrEqual">
      <formula>10</formula>
    </cfRule>
  </conditionalFormatting>
  <conditionalFormatting sqref="G9:G46 J45:K46 J9:J44">
    <cfRule type="cellIs" dxfId="63" priority="13" stopIfTrue="1" operator="lessThan">
      <formula>10</formula>
    </cfRule>
    <cfRule type="cellIs" dxfId="62" priority="14" stopIfTrue="1" operator="greaterThan">
      <formula>9</formula>
    </cfRule>
    <cfRule type="cellIs" dxfId="61" priority="15" stopIfTrue="1" operator="lessThan">
      <formula>10</formula>
    </cfRule>
    <cfRule type="cellIs" dxfId="60" priority="16" stopIfTrue="1" operator="greaterThan">
      <formula>9</formula>
    </cfRule>
  </conditionalFormatting>
  <conditionalFormatting sqref="E46:F46 E9:E45">
    <cfRule type="cellIs" dxfId="59" priority="9" stopIfTrue="1" operator="lessThan">
      <formula>10</formula>
    </cfRule>
    <cfRule type="cellIs" dxfId="58" priority="10" stopIfTrue="1" operator="greaterThan">
      <formula>9</formula>
    </cfRule>
    <cfRule type="cellIs" dxfId="57" priority="11" stopIfTrue="1" operator="lessThan">
      <formula>10</formula>
    </cfRule>
    <cfRule type="cellIs" dxfId="56" priority="12" stopIfTrue="1" operator="greaterThan">
      <formula>9</formula>
    </cfRule>
  </conditionalFormatting>
  <conditionalFormatting sqref="F9:F45">
    <cfRule type="cellIs" dxfId="55" priority="5" stopIfTrue="1" operator="lessThan">
      <formula>10</formula>
    </cfRule>
    <cfRule type="cellIs" dxfId="54" priority="6" stopIfTrue="1" operator="greaterThan">
      <formula>9</formula>
    </cfRule>
    <cfRule type="cellIs" dxfId="53" priority="7" stopIfTrue="1" operator="lessThan">
      <formula>10</formula>
    </cfRule>
    <cfRule type="cellIs" dxfId="52" priority="8" stopIfTrue="1" operator="greaterThan">
      <formula>9</formula>
    </cfRule>
  </conditionalFormatting>
  <conditionalFormatting sqref="K9:K44">
    <cfRule type="cellIs" dxfId="51" priority="1" stopIfTrue="1" operator="lessThan">
      <formula>10</formula>
    </cfRule>
    <cfRule type="cellIs" dxfId="50" priority="2" stopIfTrue="1" operator="greaterThan">
      <formula>9</formula>
    </cfRule>
    <cfRule type="cellIs" dxfId="49" priority="3" stopIfTrue="1" operator="lessThan">
      <formula>10</formula>
    </cfRule>
    <cfRule type="cellIs" dxfId="48" priority="4" stopIfTrue="1" operator="greaterThan">
      <formula>9</formula>
    </cfRule>
  </conditionalFormatting>
  <dataValidations count="1">
    <dataValidation type="decimal" allowBlank="1" showInputMessage="1" showErrorMessage="1" errorTitle="ATENÇÃO!" error="O valor introduzido não é válido. Grato!" sqref="O9:Q46 J9:L46 E9:G46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3553" r:id="rId4">
          <objectPr defaultSize="0" r:id="rId5">
            <anchor moveWithCells="1">
              <from>
                <xdr:col>1</xdr:col>
                <xdr:colOff>60960</xdr:colOff>
                <xdr:row>46</xdr:row>
                <xdr:rowOff>160020</xdr:rowOff>
              </from>
              <to>
                <xdr:col>13</xdr:col>
                <xdr:colOff>182880</xdr:colOff>
                <xdr:row>48</xdr:row>
                <xdr:rowOff>22860</xdr:rowOff>
              </to>
            </anchor>
          </objectPr>
        </oleObject>
      </mc:Choice>
      <mc:Fallback>
        <oleObject progId="Word.Document.8" shapeId="23553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3" stopIfTrue="1" operator="containsText" id="{B87FE71A-9C2D-4D0D-A96D-A71D1F9D29F2}">
            <xm:f>NOT(ISERROR(SEARCH("N/TRANSITA",N9)))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34" stopIfTrue="1" operator="containsText" id="{A50A4658-616B-440F-9A55-B22650FEFDDE}">
            <xm:f>NOT(ISERROR(SEARCH("TRANSITA",N9)))</xm:f>
            <xm:f>"TRANSITA"</xm:f>
            <x14:dxf>
              <font>
                <b/>
                <i val="0"/>
                <color rgb="FF0000FF"/>
              </font>
            </x14:dxf>
          </x14:cfRule>
          <xm:sqref>N9:N46 T9:T46</xm:sqref>
        </x14:conditionalFormatting>
        <x14:conditionalFormatting xmlns:xm="http://schemas.microsoft.com/office/excel/2006/main">
          <x14:cfRule type="containsText" priority="17" stopIfTrue="1" operator="containsText" id="{5A4A38E6-6482-4DF1-9187-F104093ECD81}">
            <xm:f>NOT(ISERROR(SEARCH("N/TRANSITA",I9)))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8" stopIfTrue="1" operator="containsText" id="{BC224DB7-5768-4475-8943-0069BEFFF526}">
            <xm:f>NOT(ISERROR(SEARCH("TRANSITA",I9)))</xm:f>
            <xm:f>"TRANSITA"</xm:f>
            <x14:dxf>
              <font>
                <b/>
                <i val="0"/>
                <color rgb="FF0000FF"/>
              </font>
            </x14:dxf>
          </x14:cfRule>
          <xm:sqref>I9:I46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W51"/>
  <sheetViews>
    <sheetView showGridLines="0" zoomScale="115" zoomScaleNormal="115" zoomScalePageLayoutView="85" workbookViewId="0">
      <selection activeCell="F20" sqref="F20"/>
    </sheetView>
  </sheetViews>
  <sheetFormatPr defaultRowHeight="14.4" x14ac:dyDescent="0.3"/>
  <cols>
    <col min="1" max="1" width="1.6640625" customWidth="1"/>
    <col min="2" max="2" width="3.6640625" customWidth="1"/>
    <col min="3" max="3" width="35.109375" customWidth="1"/>
    <col min="4" max="4" width="6.44140625" customWidth="1"/>
    <col min="5" max="8" width="5.109375" customWidth="1"/>
    <col min="9" max="9" width="11.109375" customWidth="1"/>
    <col min="10" max="13" width="5.109375" customWidth="1"/>
    <col min="14" max="14" width="11.109375" customWidth="1"/>
    <col min="15" max="18" width="5.109375" customWidth="1"/>
    <col min="19" max="19" width="6" customWidth="1"/>
    <col min="20" max="20" width="11.5546875" customWidth="1"/>
    <col min="21" max="21" width="3.44140625" customWidth="1"/>
    <col min="22" max="22" width="5" customWidth="1"/>
  </cols>
  <sheetData>
    <row r="1" spans="1:23" ht="30" customHeight="1" x14ac:dyDescent="0.3">
      <c r="A1" s="261" t="s">
        <v>44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</row>
    <row r="2" spans="1:23" ht="30" customHeight="1" x14ac:dyDescent="0.3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23" ht="12" customHeight="1" x14ac:dyDescent="0.3"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</row>
    <row r="4" spans="1:23" ht="17.399999999999999" customHeight="1" x14ac:dyDescent="0.3">
      <c r="B4" s="262" t="s">
        <v>57</v>
      </c>
      <c r="C4" s="262"/>
      <c r="D4" s="157"/>
      <c r="F4" s="73"/>
      <c r="G4" s="73"/>
      <c r="I4" s="73" t="s">
        <v>71</v>
      </c>
      <c r="J4" s="73"/>
      <c r="K4" s="73"/>
      <c r="L4" s="73"/>
      <c r="M4" s="73"/>
      <c r="N4" s="157"/>
      <c r="P4" s="243" t="s">
        <v>55</v>
      </c>
      <c r="Q4" s="243"/>
      <c r="R4" s="243"/>
      <c r="S4" s="243"/>
      <c r="T4" s="243"/>
    </row>
    <row r="5" spans="1:23" ht="18" customHeight="1" x14ac:dyDescent="0.3">
      <c r="B5" s="262" t="s">
        <v>64</v>
      </c>
      <c r="C5" s="262"/>
      <c r="D5" s="157"/>
      <c r="E5" s="74" t="s">
        <v>52</v>
      </c>
      <c r="F5" s="74"/>
      <c r="I5" s="74" t="s">
        <v>67</v>
      </c>
      <c r="J5" s="74"/>
      <c r="K5" s="74"/>
      <c r="N5" s="263" t="s">
        <v>66</v>
      </c>
      <c r="O5" s="263"/>
      <c r="P5" s="263"/>
      <c r="Q5" s="263"/>
      <c r="R5" s="263"/>
      <c r="S5" s="263"/>
      <c r="T5" s="263"/>
    </row>
    <row r="6" spans="1:23" ht="34.5" customHeight="1" thickBot="1" x14ac:dyDescent="1.05">
      <c r="B6" s="258" t="s">
        <v>41</v>
      </c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60"/>
    </row>
    <row r="7" spans="1:23" ht="19.5" customHeight="1" thickTop="1" x14ac:dyDescent="0.3">
      <c r="B7" s="251" t="s">
        <v>35</v>
      </c>
      <c r="C7" s="253" t="s">
        <v>13</v>
      </c>
      <c r="D7" s="43" t="s">
        <v>39</v>
      </c>
      <c r="E7" s="255" t="s">
        <v>36</v>
      </c>
      <c r="F7" s="256"/>
      <c r="G7" s="256"/>
      <c r="H7" s="257"/>
      <c r="I7" s="246" t="s">
        <v>15</v>
      </c>
      <c r="J7" s="255" t="s">
        <v>37</v>
      </c>
      <c r="K7" s="256"/>
      <c r="L7" s="256"/>
      <c r="M7" s="257"/>
      <c r="N7" s="246" t="s">
        <v>15</v>
      </c>
      <c r="O7" s="255" t="s">
        <v>38</v>
      </c>
      <c r="P7" s="256"/>
      <c r="Q7" s="256"/>
      <c r="R7" s="257"/>
      <c r="S7" s="244" t="s">
        <v>14</v>
      </c>
      <c r="T7" s="246" t="s">
        <v>15</v>
      </c>
    </row>
    <row r="8" spans="1:23" ht="20.25" customHeight="1" thickBot="1" x14ac:dyDescent="0.35">
      <c r="B8" s="252"/>
      <c r="C8" s="254"/>
      <c r="D8" s="44" t="s">
        <v>40</v>
      </c>
      <c r="E8" s="36" t="s">
        <v>16</v>
      </c>
      <c r="F8" s="35" t="s">
        <v>17</v>
      </c>
      <c r="G8" s="35" t="s">
        <v>34</v>
      </c>
      <c r="H8" s="37" t="s">
        <v>18</v>
      </c>
      <c r="I8" s="247"/>
      <c r="J8" s="36" t="s">
        <v>16</v>
      </c>
      <c r="K8" s="35" t="s">
        <v>17</v>
      </c>
      <c r="L8" s="35" t="s">
        <v>34</v>
      </c>
      <c r="M8" s="37" t="s">
        <v>19</v>
      </c>
      <c r="N8" s="247"/>
      <c r="O8" s="36" t="s">
        <v>16</v>
      </c>
      <c r="P8" s="35" t="s">
        <v>17</v>
      </c>
      <c r="Q8" s="35" t="s">
        <v>34</v>
      </c>
      <c r="R8" s="37" t="s">
        <v>20</v>
      </c>
      <c r="S8" s="245"/>
      <c r="T8" s="247"/>
    </row>
    <row r="9" spans="1:23" ht="14.25" customHeight="1" thickTop="1" x14ac:dyDescent="0.3">
      <c r="B9" s="129">
        <v>1</v>
      </c>
      <c r="C9" s="122" t="s">
        <v>79</v>
      </c>
      <c r="D9" s="130"/>
      <c r="E9" s="147">
        <v>18</v>
      </c>
      <c r="F9" s="148">
        <v>15</v>
      </c>
      <c r="G9" s="148"/>
      <c r="H9" s="140">
        <f>AVERAGE(E9,MAX(F9:G9))</f>
        <v>16.5</v>
      </c>
      <c r="I9" s="141" t="str">
        <f>IF(H9&gt;=10,"TRANSITA","N/TRANSITA")</f>
        <v>TRANSITA</v>
      </c>
      <c r="J9" s="142">
        <v>19</v>
      </c>
      <c r="K9" s="143">
        <v>14</v>
      </c>
      <c r="L9" s="144"/>
      <c r="M9" s="140">
        <f>AVERAGE(J9,MAX(K9:L9))</f>
        <v>16.5</v>
      </c>
      <c r="N9" s="141" t="str">
        <f>IF(M9&gt;=10,"TRANSITA","N/TRANSITA")</f>
        <v>TRANSITA</v>
      </c>
      <c r="O9" s="142"/>
      <c r="P9" s="143"/>
      <c r="Q9" s="144"/>
      <c r="R9" s="140">
        <f>AVERAGE(O9,MAX(P9:Q9))</f>
        <v>0</v>
      </c>
      <c r="S9" s="145">
        <f t="shared" ref="S9:S46" si="0">SUM(H9,M9,R9)/3</f>
        <v>11</v>
      </c>
      <c r="T9" s="77" t="str">
        <f>IF(S9&gt;=10,"TRANSITA","N/TRANSITA")</f>
        <v>TRANSITA</v>
      </c>
    </row>
    <row r="10" spans="1:23" ht="14.25" customHeight="1" x14ac:dyDescent="0.3">
      <c r="B10" s="33">
        <v>2</v>
      </c>
      <c r="C10" s="124" t="s">
        <v>80</v>
      </c>
      <c r="D10" s="60"/>
      <c r="E10" s="169">
        <v>5</v>
      </c>
      <c r="F10" s="170">
        <v>8</v>
      </c>
      <c r="G10" s="92"/>
      <c r="H10" s="40">
        <f t="shared" ref="H10:H46" si="1">AVERAGE(E10,MAX(F10:G10))</f>
        <v>6.5</v>
      </c>
      <c r="I10" s="62" t="str">
        <f t="shared" ref="I10:I46" si="2">IF(H10&gt;=10,"TRANSITA","N/TRANSITA")</f>
        <v>N/TRANSITA</v>
      </c>
      <c r="J10" s="102">
        <v>12.5</v>
      </c>
      <c r="K10" s="103"/>
      <c r="L10" s="63"/>
      <c r="M10" s="40">
        <f t="shared" ref="M10:M46" si="3">AVERAGE(J10,MAX(K10:L10))</f>
        <v>6.25</v>
      </c>
      <c r="N10" s="62" t="str">
        <f t="shared" ref="N10:N46" si="4">IF(M10&gt;=10,"TRANSITA","N/TRANSITA")</f>
        <v>N/TRANSITA</v>
      </c>
      <c r="O10" s="102"/>
      <c r="P10" s="103"/>
      <c r="Q10" s="63"/>
      <c r="R10" s="40">
        <f t="shared" ref="R10:R46" si="5">AVERAGE(O10,MAX(P10:Q10))</f>
        <v>0</v>
      </c>
      <c r="S10" s="41">
        <f t="shared" si="0"/>
        <v>4.25</v>
      </c>
      <c r="T10" s="78" t="str">
        <f t="shared" ref="T10:T46" si="6">IF(S10&gt;=10,"TRANSITA","N/TRANSITA")</f>
        <v>N/TRANSITA</v>
      </c>
    </row>
    <row r="11" spans="1:23" ht="14.25" customHeight="1" x14ac:dyDescent="0.3">
      <c r="B11" s="33">
        <v>3</v>
      </c>
      <c r="C11" s="123" t="s">
        <v>81</v>
      </c>
      <c r="D11" s="60"/>
      <c r="E11" s="169"/>
      <c r="F11" s="170"/>
      <c r="G11" s="92"/>
      <c r="H11" s="40">
        <f t="shared" si="1"/>
        <v>0</v>
      </c>
      <c r="I11" s="62" t="str">
        <f t="shared" si="2"/>
        <v>N/TRANSITA</v>
      </c>
      <c r="J11" s="102"/>
      <c r="K11" s="103"/>
      <c r="L11" s="63"/>
      <c r="M11" s="40">
        <f t="shared" si="3"/>
        <v>0</v>
      </c>
      <c r="N11" s="62" t="str">
        <f t="shared" si="4"/>
        <v>N/TRANSITA</v>
      </c>
      <c r="O11" s="102"/>
      <c r="P11" s="103"/>
      <c r="Q11" s="63"/>
      <c r="R11" s="40">
        <f t="shared" si="5"/>
        <v>0</v>
      </c>
      <c r="S11" s="41">
        <f t="shared" si="0"/>
        <v>0</v>
      </c>
      <c r="T11" s="78" t="str">
        <f t="shared" si="6"/>
        <v>N/TRANSITA</v>
      </c>
    </row>
    <row r="12" spans="1:23" ht="14.25" customHeight="1" x14ac:dyDescent="0.3">
      <c r="B12" s="33">
        <v>4</v>
      </c>
      <c r="C12" s="123" t="s">
        <v>82</v>
      </c>
      <c r="D12" s="60"/>
      <c r="E12" s="169">
        <v>8</v>
      </c>
      <c r="F12" s="170">
        <v>17</v>
      </c>
      <c r="G12" s="92"/>
      <c r="H12" s="40">
        <f t="shared" si="1"/>
        <v>12.5</v>
      </c>
      <c r="I12" s="62" t="str">
        <f t="shared" si="2"/>
        <v>TRANSITA</v>
      </c>
      <c r="J12" s="102"/>
      <c r="K12" s="103">
        <v>3</v>
      </c>
      <c r="L12" s="63"/>
      <c r="M12" s="40">
        <f t="shared" si="3"/>
        <v>3</v>
      </c>
      <c r="N12" s="62" t="str">
        <f t="shared" si="4"/>
        <v>N/TRANSITA</v>
      </c>
      <c r="O12" s="102"/>
      <c r="P12" s="103"/>
      <c r="Q12" s="63"/>
      <c r="R12" s="40">
        <f t="shared" si="5"/>
        <v>0</v>
      </c>
      <c r="S12" s="41">
        <f t="shared" si="0"/>
        <v>5.166666666666667</v>
      </c>
      <c r="T12" s="78" t="str">
        <f t="shared" si="6"/>
        <v>N/TRANSITA</v>
      </c>
    </row>
    <row r="13" spans="1:23" ht="14.25" customHeight="1" x14ac:dyDescent="0.3">
      <c r="B13" s="33">
        <v>5</v>
      </c>
      <c r="C13" s="124" t="s">
        <v>83</v>
      </c>
      <c r="D13" s="60"/>
      <c r="E13" s="169">
        <v>15</v>
      </c>
      <c r="F13" s="170">
        <v>5</v>
      </c>
      <c r="G13" s="92"/>
      <c r="H13" s="40">
        <f t="shared" si="1"/>
        <v>10</v>
      </c>
      <c r="I13" s="62" t="str">
        <f t="shared" si="2"/>
        <v>TRANSITA</v>
      </c>
      <c r="J13" s="102">
        <v>12</v>
      </c>
      <c r="K13" s="103">
        <v>6</v>
      </c>
      <c r="L13" s="63"/>
      <c r="M13" s="40">
        <f t="shared" si="3"/>
        <v>9</v>
      </c>
      <c r="N13" s="62" t="str">
        <f t="shared" si="4"/>
        <v>N/TRANSITA</v>
      </c>
      <c r="O13" s="102"/>
      <c r="P13" s="103"/>
      <c r="Q13" s="63"/>
      <c r="R13" s="40">
        <f t="shared" si="5"/>
        <v>0</v>
      </c>
      <c r="S13" s="41">
        <f t="shared" si="0"/>
        <v>6.333333333333333</v>
      </c>
      <c r="T13" s="78" t="str">
        <f t="shared" si="6"/>
        <v>N/TRANSITA</v>
      </c>
      <c r="U13" s="18"/>
      <c r="V13" s="18"/>
      <c r="W13" s="18"/>
    </row>
    <row r="14" spans="1:23" ht="14.25" customHeight="1" x14ac:dyDescent="0.3">
      <c r="B14" s="33">
        <v>6</v>
      </c>
      <c r="C14" s="123" t="s">
        <v>84</v>
      </c>
      <c r="D14" s="60"/>
      <c r="E14" s="169">
        <v>10</v>
      </c>
      <c r="F14" s="170">
        <v>10</v>
      </c>
      <c r="G14" s="92"/>
      <c r="H14" s="40">
        <f t="shared" si="1"/>
        <v>10</v>
      </c>
      <c r="I14" s="62" t="str">
        <f t="shared" si="2"/>
        <v>TRANSITA</v>
      </c>
      <c r="J14" s="102">
        <v>14</v>
      </c>
      <c r="K14" s="103">
        <v>6</v>
      </c>
      <c r="L14" s="63"/>
      <c r="M14" s="40">
        <f t="shared" si="3"/>
        <v>10</v>
      </c>
      <c r="N14" s="62" t="str">
        <f t="shared" si="4"/>
        <v>TRANSITA</v>
      </c>
      <c r="O14" s="102"/>
      <c r="P14" s="103"/>
      <c r="Q14" s="63"/>
      <c r="R14" s="40">
        <f t="shared" si="5"/>
        <v>0</v>
      </c>
      <c r="S14" s="41">
        <f t="shared" si="0"/>
        <v>6.666666666666667</v>
      </c>
      <c r="T14" s="78" t="str">
        <f t="shared" si="6"/>
        <v>N/TRANSITA</v>
      </c>
    </row>
    <row r="15" spans="1:23" ht="14.25" customHeight="1" x14ac:dyDescent="0.3">
      <c r="B15" s="33">
        <v>7</v>
      </c>
      <c r="C15" s="123" t="s">
        <v>85</v>
      </c>
      <c r="D15" s="60"/>
      <c r="E15" s="169">
        <v>17</v>
      </c>
      <c r="F15" s="170">
        <v>15</v>
      </c>
      <c r="G15" s="92"/>
      <c r="H15" s="40">
        <f t="shared" si="1"/>
        <v>16</v>
      </c>
      <c r="I15" s="62" t="str">
        <f t="shared" si="2"/>
        <v>TRANSITA</v>
      </c>
      <c r="J15" s="102">
        <v>19</v>
      </c>
      <c r="K15" s="103">
        <v>16</v>
      </c>
      <c r="L15" s="63"/>
      <c r="M15" s="40">
        <f t="shared" si="3"/>
        <v>17.5</v>
      </c>
      <c r="N15" s="62" t="str">
        <f t="shared" si="4"/>
        <v>TRANSITA</v>
      </c>
      <c r="O15" s="102"/>
      <c r="P15" s="103"/>
      <c r="Q15" s="63"/>
      <c r="R15" s="40">
        <f t="shared" si="5"/>
        <v>0</v>
      </c>
      <c r="S15" s="41">
        <f t="shared" si="0"/>
        <v>11.166666666666666</v>
      </c>
      <c r="T15" s="78" t="str">
        <f t="shared" si="6"/>
        <v>TRANSITA</v>
      </c>
    </row>
    <row r="16" spans="1:23" ht="14.25" customHeight="1" x14ac:dyDescent="0.3">
      <c r="B16" s="33">
        <v>8</v>
      </c>
      <c r="C16" s="124" t="s">
        <v>86</v>
      </c>
      <c r="D16" s="60"/>
      <c r="E16" s="169">
        <v>8</v>
      </c>
      <c r="F16" s="170">
        <v>10</v>
      </c>
      <c r="G16" s="92"/>
      <c r="H16" s="40">
        <f t="shared" si="1"/>
        <v>9</v>
      </c>
      <c r="I16" s="62" t="str">
        <f t="shared" si="2"/>
        <v>N/TRANSITA</v>
      </c>
      <c r="J16" s="102">
        <v>11</v>
      </c>
      <c r="K16" s="103">
        <v>5</v>
      </c>
      <c r="L16" s="63"/>
      <c r="M16" s="40">
        <f t="shared" si="3"/>
        <v>8</v>
      </c>
      <c r="N16" s="62" t="str">
        <f t="shared" si="4"/>
        <v>N/TRANSITA</v>
      </c>
      <c r="O16" s="102"/>
      <c r="P16" s="103"/>
      <c r="Q16" s="63"/>
      <c r="R16" s="40">
        <f t="shared" si="5"/>
        <v>0</v>
      </c>
      <c r="S16" s="41">
        <f t="shared" si="0"/>
        <v>5.666666666666667</v>
      </c>
      <c r="T16" s="78" t="str">
        <f t="shared" si="6"/>
        <v>N/TRANSITA</v>
      </c>
    </row>
    <row r="17" spans="2:20" ht="14.25" customHeight="1" x14ac:dyDescent="0.3">
      <c r="B17" s="33">
        <v>9</v>
      </c>
      <c r="C17" s="123" t="s">
        <v>87</v>
      </c>
      <c r="D17" s="60"/>
      <c r="E17" s="169">
        <v>12</v>
      </c>
      <c r="F17" s="170">
        <v>17</v>
      </c>
      <c r="G17" s="92"/>
      <c r="H17" s="40">
        <f t="shared" si="1"/>
        <v>14.5</v>
      </c>
      <c r="I17" s="62" t="str">
        <f t="shared" si="2"/>
        <v>TRANSITA</v>
      </c>
      <c r="J17" s="102">
        <v>16</v>
      </c>
      <c r="K17" s="103">
        <v>5</v>
      </c>
      <c r="L17" s="63"/>
      <c r="M17" s="40">
        <f t="shared" si="3"/>
        <v>10.5</v>
      </c>
      <c r="N17" s="62" t="str">
        <f t="shared" si="4"/>
        <v>TRANSITA</v>
      </c>
      <c r="O17" s="102"/>
      <c r="P17" s="103"/>
      <c r="Q17" s="63"/>
      <c r="R17" s="40">
        <f t="shared" si="5"/>
        <v>0</v>
      </c>
      <c r="S17" s="41">
        <f t="shared" si="0"/>
        <v>8.3333333333333339</v>
      </c>
      <c r="T17" s="78" t="str">
        <f t="shared" si="6"/>
        <v>N/TRANSITA</v>
      </c>
    </row>
    <row r="18" spans="2:20" ht="14.25" customHeight="1" x14ac:dyDescent="0.3">
      <c r="B18" s="33">
        <v>10</v>
      </c>
      <c r="C18" s="124" t="s">
        <v>88</v>
      </c>
      <c r="D18" s="60"/>
      <c r="E18" s="169">
        <v>7</v>
      </c>
      <c r="F18" s="170">
        <v>10</v>
      </c>
      <c r="G18" s="92"/>
      <c r="H18" s="40">
        <f t="shared" si="1"/>
        <v>8.5</v>
      </c>
      <c r="I18" s="62" t="str">
        <f t="shared" si="2"/>
        <v>N/TRANSITA</v>
      </c>
      <c r="J18" s="102"/>
      <c r="K18" s="103">
        <v>1</v>
      </c>
      <c r="L18" s="63"/>
      <c r="M18" s="40">
        <f t="shared" si="3"/>
        <v>1</v>
      </c>
      <c r="N18" s="62" t="str">
        <f t="shared" si="4"/>
        <v>N/TRANSITA</v>
      </c>
      <c r="O18" s="102"/>
      <c r="P18" s="103"/>
      <c r="Q18" s="63"/>
      <c r="R18" s="40">
        <f t="shared" si="5"/>
        <v>0</v>
      </c>
      <c r="S18" s="41">
        <f t="shared" si="0"/>
        <v>3.1666666666666665</v>
      </c>
      <c r="T18" s="78" t="str">
        <f t="shared" si="6"/>
        <v>N/TRANSITA</v>
      </c>
    </row>
    <row r="19" spans="2:20" ht="14.25" customHeight="1" x14ac:dyDescent="0.3">
      <c r="B19" s="33">
        <v>11</v>
      </c>
      <c r="C19" s="123" t="s">
        <v>89</v>
      </c>
      <c r="D19" s="60"/>
      <c r="E19" s="169"/>
      <c r="F19" s="170"/>
      <c r="G19" s="92"/>
      <c r="H19" s="40">
        <f t="shared" si="1"/>
        <v>0</v>
      </c>
      <c r="I19" s="62" t="str">
        <f t="shared" si="2"/>
        <v>N/TRANSITA</v>
      </c>
      <c r="J19" s="102"/>
      <c r="K19" s="103"/>
      <c r="L19" s="63"/>
      <c r="M19" s="40">
        <f t="shared" si="3"/>
        <v>0</v>
      </c>
      <c r="N19" s="62" t="str">
        <f t="shared" si="4"/>
        <v>N/TRANSITA</v>
      </c>
      <c r="O19" s="102"/>
      <c r="P19" s="103"/>
      <c r="Q19" s="63"/>
      <c r="R19" s="40">
        <f t="shared" si="5"/>
        <v>0</v>
      </c>
      <c r="S19" s="41">
        <f t="shared" si="0"/>
        <v>0</v>
      </c>
      <c r="T19" s="78" t="str">
        <f t="shared" si="6"/>
        <v>N/TRANSITA</v>
      </c>
    </row>
    <row r="20" spans="2:20" ht="14.25" customHeight="1" x14ac:dyDescent="0.3">
      <c r="B20" s="33">
        <v>12</v>
      </c>
      <c r="C20" s="124" t="s">
        <v>90</v>
      </c>
      <c r="D20" s="60"/>
      <c r="E20" s="169">
        <v>14</v>
      </c>
      <c r="F20" s="170">
        <v>3</v>
      </c>
      <c r="G20" s="92"/>
      <c r="H20" s="40">
        <f t="shared" si="1"/>
        <v>8.5</v>
      </c>
      <c r="I20" s="62" t="str">
        <f t="shared" si="2"/>
        <v>N/TRANSITA</v>
      </c>
      <c r="J20" s="102"/>
      <c r="K20" s="103"/>
      <c r="L20" s="63"/>
      <c r="M20" s="40">
        <f t="shared" si="3"/>
        <v>0</v>
      </c>
      <c r="N20" s="62" t="str">
        <f t="shared" si="4"/>
        <v>N/TRANSITA</v>
      </c>
      <c r="O20" s="102"/>
      <c r="P20" s="103"/>
      <c r="Q20" s="63"/>
      <c r="R20" s="40">
        <f t="shared" si="5"/>
        <v>0</v>
      </c>
      <c r="S20" s="41">
        <f t="shared" si="0"/>
        <v>2.8333333333333335</v>
      </c>
      <c r="T20" s="78" t="str">
        <f t="shared" si="6"/>
        <v>N/TRANSITA</v>
      </c>
    </row>
    <row r="21" spans="2:20" ht="14.25" customHeight="1" x14ac:dyDescent="0.3">
      <c r="B21" s="33">
        <v>13</v>
      </c>
      <c r="C21" s="123" t="s">
        <v>91</v>
      </c>
      <c r="D21" s="60"/>
      <c r="E21" s="169"/>
      <c r="F21" s="170"/>
      <c r="G21" s="92"/>
      <c r="H21" s="40">
        <f t="shared" si="1"/>
        <v>0</v>
      </c>
      <c r="I21" s="62" t="str">
        <f t="shared" si="2"/>
        <v>N/TRANSITA</v>
      </c>
      <c r="J21" s="102"/>
      <c r="K21" s="103"/>
      <c r="L21" s="63"/>
      <c r="M21" s="40">
        <f t="shared" si="3"/>
        <v>0</v>
      </c>
      <c r="N21" s="62" t="str">
        <f t="shared" si="4"/>
        <v>N/TRANSITA</v>
      </c>
      <c r="O21" s="102"/>
      <c r="P21" s="103"/>
      <c r="Q21" s="63"/>
      <c r="R21" s="40">
        <f t="shared" si="5"/>
        <v>0</v>
      </c>
      <c r="S21" s="41">
        <f t="shared" si="0"/>
        <v>0</v>
      </c>
      <c r="T21" s="78" t="str">
        <f t="shared" si="6"/>
        <v>N/TRANSITA</v>
      </c>
    </row>
    <row r="22" spans="2:20" ht="14.25" customHeight="1" x14ac:dyDescent="0.3">
      <c r="B22" s="33">
        <v>14</v>
      </c>
      <c r="C22" s="123" t="s">
        <v>92</v>
      </c>
      <c r="D22" s="60"/>
      <c r="E22" s="169">
        <v>16</v>
      </c>
      <c r="F22" s="170">
        <v>10</v>
      </c>
      <c r="G22" s="92"/>
      <c r="H22" s="40">
        <f t="shared" si="1"/>
        <v>13</v>
      </c>
      <c r="I22" s="62" t="str">
        <f t="shared" si="2"/>
        <v>TRANSITA</v>
      </c>
      <c r="J22" s="102">
        <v>15</v>
      </c>
      <c r="K22" s="103">
        <v>3</v>
      </c>
      <c r="L22" s="63"/>
      <c r="M22" s="40">
        <f t="shared" si="3"/>
        <v>9</v>
      </c>
      <c r="N22" s="62" t="str">
        <f t="shared" si="4"/>
        <v>N/TRANSITA</v>
      </c>
      <c r="O22" s="102"/>
      <c r="P22" s="103"/>
      <c r="Q22" s="63"/>
      <c r="R22" s="40">
        <f t="shared" si="5"/>
        <v>0</v>
      </c>
      <c r="S22" s="41">
        <f t="shared" si="0"/>
        <v>7.333333333333333</v>
      </c>
      <c r="T22" s="78" t="str">
        <f t="shared" si="6"/>
        <v>N/TRANSITA</v>
      </c>
    </row>
    <row r="23" spans="2:20" ht="14.25" customHeight="1" x14ac:dyDescent="0.3">
      <c r="B23" s="33">
        <v>15</v>
      </c>
      <c r="C23" s="124" t="s">
        <v>114</v>
      </c>
      <c r="D23" s="60"/>
      <c r="E23" s="169">
        <v>11</v>
      </c>
      <c r="F23" s="170">
        <v>9</v>
      </c>
      <c r="G23" s="92"/>
      <c r="H23" s="40">
        <f t="shared" si="1"/>
        <v>10</v>
      </c>
      <c r="I23" s="62" t="str">
        <f t="shared" si="2"/>
        <v>TRANSITA</v>
      </c>
      <c r="J23" s="102">
        <v>7.5</v>
      </c>
      <c r="K23" s="103">
        <v>5</v>
      </c>
      <c r="L23" s="63"/>
      <c r="M23" s="40">
        <f t="shared" si="3"/>
        <v>6.25</v>
      </c>
      <c r="N23" s="62" t="str">
        <f t="shared" si="4"/>
        <v>N/TRANSITA</v>
      </c>
      <c r="O23" s="102"/>
      <c r="P23" s="103"/>
      <c r="Q23" s="63"/>
      <c r="R23" s="40">
        <f t="shared" si="5"/>
        <v>0</v>
      </c>
      <c r="S23" s="41">
        <f t="shared" si="0"/>
        <v>5.416666666666667</v>
      </c>
      <c r="T23" s="78" t="str">
        <f t="shared" si="6"/>
        <v>N/TRANSITA</v>
      </c>
    </row>
    <row r="24" spans="2:20" ht="14.25" customHeight="1" x14ac:dyDescent="0.3">
      <c r="B24" s="33">
        <v>16</v>
      </c>
      <c r="C24" s="124" t="s">
        <v>93</v>
      </c>
      <c r="D24" s="60"/>
      <c r="E24" s="169">
        <v>11</v>
      </c>
      <c r="F24" s="170">
        <v>11</v>
      </c>
      <c r="G24" s="92"/>
      <c r="H24" s="40">
        <f t="shared" si="1"/>
        <v>11</v>
      </c>
      <c r="I24" s="62" t="str">
        <f t="shared" si="2"/>
        <v>TRANSITA</v>
      </c>
      <c r="J24" s="102">
        <v>11</v>
      </c>
      <c r="K24" s="103">
        <v>1</v>
      </c>
      <c r="L24" s="63"/>
      <c r="M24" s="40">
        <f t="shared" si="3"/>
        <v>6</v>
      </c>
      <c r="N24" s="62" t="str">
        <f t="shared" si="4"/>
        <v>N/TRANSITA</v>
      </c>
      <c r="O24" s="102"/>
      <c r="P24" s="103"/>
      <c r="Q24" s="63"/>
      <c r="R24" s="40">
        <f t="shared" si="5"/>
        <v>0</v>
      </c>
      <c r="S24" s="41">
        <f t="shared" si="0"/>
        <v>5.666666666666667</v>
      </c>
      <c r="T24" s="78" t="str">
        <f t="shared" si="6"/>
        <v>N/TRANSITA</v>
      </c>
    </row>
    <row r="25" spans="2:20" ht="14.25" customHeight="1" x14ac:dyDescent="0.3">
      <c r="B25" s="33">
        <v>17</v>
      </c>
      <c r="C25" s="123" t="s">
        <v>94</v>
      </c>
      <c r="D25" s="60"/>
      <c r="E25" s="169"/>
      <c r="F25" s="170"/>
      <c r="G25" s="92"/>
      <c r="H25" s="40">
        <f t="shared" si="1"/>
        <v>0</v>
      </c>
      <c r="I25" s="62" t="str">
        <f t="shared" si="2"/>
        <v>N/TRANSITA</v>
      </c>
      <c r="J25" s="102"/>
      <c r="K25" s="103"/>
      <c r="L25" s="63"/>
      <c r="M25" s="40">
        <f t="shared" si="3"/>
        <v>0</v>
      </c>
      <c r="N25" s="62" t="str">
        <f t="shared" si="4"/>
        <v>N/TRANSITA</v>
      </c>
      <c r="O25" s="102"/>
      <c r="P25" s="103"/>
      <c r="Q25" s="63"/>
      <c r="R25" s="40">
        <f t="shared" si="5"/>
        <v>0</v>
      </c>
      <c r="S25" s="41">
        <f t="shared" si="0"/>
        <v>0</v>
      </c>
      <c r="T25" s="78" t="str">
        <f t="shared" si="6"/>
        <v>N/TRANSITA</v>
      </c>
    </row>
    <row r="26" spans="2:20" ht="14.25" customHeight="1" x14ac:dyDescent="0.3">
      <c r="B26" s="33">
        <v>18</v>
      </c>
      <c r="C26" s="124" t="s">
        <v>95</v>
      </c>
      <c r="D26" s="60"/>
      <c r="E26" s="169">
        <v>14</v>
      </c>
      <c r="F26" s="170">
        <v>15</v>
      </c>
      <c r="G26" s="92"/>
      <c r="H26" s="40">
        <f t="shared" si="1"/>
        <v>14.5</v>
      </c>
      <c r="I26" s="62" t="str">
        <f t="shared" si="2"/>
        <v>TRANSITA</v>
      </c>
      <c r="J26" s="102">
        <v>10</v>
      </c>
      <c r="K26" s="103">
        <v>6</v>
      </c>
      <c r="L26" s="63"/>
      <c r="M26" s="40">
        <f t="shared" si="3"/>
        <v>8</v>
      </c>
      <c r="N26" s="62" t="str">
        <f t="shared" si="4"/>
        <v>N/TRANSITA</v>
      </c>
      <c r="O26" s="102"/>
      <c r="P26" s="103"/>
      <c r="Q26" s="63"/>
      <c r="R26" s="40">
        <f t="shared" si="5"/>
        <v>0</v>
      </c>
      <c r="S26" s="41">
        <f t="shared" si="0"/>
        <v>7.5</v>
      </c>
      <c r="T26" s="78" t="str">
        <f t="shared" si="6"/>
        <v>N/TRANSITA</v>
      </c>
    </row>
    <row r="27" spans="2:20" ht="14.25" customHeight="1" x14ac:dyDescent="0.3">
      <c r="B27" s="33">
        <v>19</v>
      </c>
      <c r="C27" s="124" t="s">
        <v>96</v>
      </c>
      <c r="D27" s="60"/>
      <c r="E27" s="169"/>
      <c r="F27" s="170"/>
      <c r="G27" s="92"/>
      <c r="H27" s="40">
        <f t="shared" si="1"/>
        <v>0</v>
      </c>
      <c r="I27" s="62" t="str">
        <f t="shared" si="2"/>
        <v>N/TRANSITA</v>
      </c>
      <c r="J27" s="102"/>
      <c r="K27" s="103"/>
      <c r="L27" s="63"/>
      <c r="M27" s="40">
        <f t="shared" si="3"/>
        <v>0</v>
      </c>
      <c r="N27" s="62" t="str">
        <f t="shared" si="4"/>
        <v>N/TRANSITA</v>
      </c>
      <c r="O27" s="102"/>
      <c r="P27" s="103"/>
      <c r="Q27" s="63"/>
      <c r="R27" s="40">
        <f t="shared" si="5"/>
        <v>0</v>
      </c>
      <c r="S27" s="41">
        <f t="shared" si="0"/>
        <v>0</v>
      </c>
      <c r="T27" s="78" t="str">
        <f t="shared" si="6"/>
        <v>N/TRANSITA</v>
      </c>
    </row>
    <row r="28" spans="2:20" ht="14.25" customHeight="1" x14ac:dyDescent="0.3">
      <c r="B28" s="33">
        <v>20</v>
      </c>
      <c r="C28" s="123" t="s">
        <v>97</v>
      </c>
      <c r="D28" s="60"/>
      <c r="E28" s="169">
        <v>8</v>
      </c>
      <c r="F28" s="170">
        <v>12</v>
      </c>
      <c r="G28" s="92"/>
      <c r="H28" s="40">
        <f t="shared" si="1"/>
        <v>10</v>
      </c>
      <c r="I28" s="62" t="str">
        <f t="shared" si="2"/>
        <v>TRANSITA</v>
      </c>
      <c r="J28" s="102"/>
      <c r="K28" s="103"/>
      <c r="L28" s="63"/>
      <c r="M28" s="40">
        <f t="shared" si="3"/>
        <v>0</v>
      </c>
      <c r="N28" s="62" t="str">
        <f t="shared" si="4"/>
        <v>N/TRANSITA</v>
      </c>
      <c r="O28" s="102"/>
      <c r="P28" s="103"/>
      <c r="Q28" s="63"/>
      <c r="R28" s="40">
        <f t="shared" si="5"/>
        <v>0</v>
      </c>
      <c r="S28" s="41">
        <f t="shared" si="0"/>
        <v>3.3333333333333335</v>
      </c>
      <c r="T28" s="78" t="str">
        <f t="shared" si="6"/>
        <v>N/TRANSITA</v>
      </c>
    </row>
    <row r="29" spans="2:20" ht="14.25" customHeight="1" x14ac:dyDescent="0.3">
      <c r="B29" s="33">
        <v>21</v>
      </c>
      <c r="C29" s="123" t="s">
        <v>98</v>
      </c>
      <c r="D29" s="60"/>
      <c r="E29" s="169">
        <v>12</v>
      </c>
      <c r="F29" s="170">
        <v>16</v>
      </c>
      <c r="G29" s="92"/>
      <c r="H29" s="40">
        <f t="shared" si="1"/>
        <v>14</v>
      </c>
      <c r="I29" s="62" t="str">
        <f t="shared" si="2"/>
        <v>TRANSITA</v>
      </c>
      <c r="J29" s="102"/>
      <c r="K29" s="103">
        <v>2</v>
      </c>
      <c r="L29" s="63"/>
      <c r="M29" s="40">
        <f t="shared" si="3"/>
        <v>2</v>
      </c>
      <c r="N29" s="62" t="str">
        <f t="shared" si="4"/>
        <v>N/TRANSITA</v>
      </c>
      <c r="O29" s="102"/>
      <c r="P29" s="103"/>
      <c r="Q29" s="63"/>
      <c r="R29" s="40">
        <f t="shared" si="5"/>
        <v>0</v>
      </c>
      <c r="S29" s="41">
        <f t="shared" si="0"/>
        <v>5.333333333333333</v>
      </c>
      <c r="T29" s="78" t="str">
        <f t="shared" si="6"/>
        <v>N/TRANSITA</v>
      </c>
    </row>
    <row r="30" spans="2:20" ht="14.25" customHeight="1" x14ac:dyDescent="0.3">
      <c r="B30" s="33">
        <v>22</v>
      </c>
      <c r="C30" s="124" t="s">
        <v>99</v>
      </c>
      <c r="D30" s="60"/>
      <c r="E30" s="169">
        <v>6</v>
      </c>
      <c r="F30" s="170">
        <v>7</v>
      </c>
      <c r="G30" s="92"/>
      <c r="H30" s="40">
        <f t="shared" si="1"/>
        <v>6.5</v>
      </c>
      <c r="I30" s="62" t="str">
        <f t="shared" si="2"/>
        <v>N/TRANSITA</v>
      </c>
      <c r="J30" s="102"/>
      <c r="K30" s="103"/>
      <c r="L30" s="63"/>
      <c r="M30" s="40">
        <f t="shared" si="3"/>
        <v>0</v>
      </c>
      <c r="N30" s="62" t="str">
        <f t="shared" si="4"/>
        <v>N/TRANSITA</v>
      </c>
      <c r="O30" s="102"/>
      <c r="P30" s="103"/>
      <c r="Q30" s="63"/>
      <c r="R30" s="40">
        <f t="shared" si="5"/>
        <v>0</v>
      </c>
      <c r="S30" s="41">
        <f t="shared" si="0"/>
        <v>2.1666666666666665</v>
      </c>
      <c r="T30" s="78" t="str">
        <f t="shared" si="6"/>
        <v>N/TRANSITA</v>
      </c>
    </row>
    <row r="31" spans="2:20" ht="14.25" customHeight="1" x14ac:dyDescent="0.3">
      <c r="B31" s="33">
        <v>23</v>
      </c>
      <c r="C31" s="123" t="s">
        <v>100</v>
      </c>
      <c r="D31" s="60"/>
      <c r="E31" s="169">
        <v>17</v>
      </c>
      <c r="F31" s="170">
        <v>17</v>
      </c>
      <c r="G31" s="92"/>
      <c r="H31" s="40">
        <f t="shared" si="1"/>
        <v>17</v>
      </c>
      <c r="I31" s="62" t="str">
        <f t="shared" si="2"/>
        <v>TRANSITA</v>
      </c>
      <c r="J31" s="102">
        <v>19</v>
      </c>
      <c r="K31" s="103">
        <v>8</v>
      </c>
      <c r="L31" s="63"/>
      <c r="M31" s="40">
        <f t="shared" si="3"/>
        <v>13.5</v>
      </c>
      <c r="N31" s="62" t="str">
        <f t="shared" si="4"/>
        <v>TRANSITA</v>
      </c>
      <c r="O31" s="102"/>
      <c r="P31" s="103"/>
      <c r="Q31" s="63"/>
      <c r="R31" s="40">
        <f t="shared" si="5"/>
        <v>0</v>
      </c>
      <c r="S31" s="41">
        <f t="shared" si="0"/>
        <v>10.166666666666666</v>
      </c>
      <c r="T31" s="78" t="str">
        <f t="shared" si="6"/>
        <v>TRANSITA</v>
      </c>
    </row>
    <row r="32" spans="2:20" ht="14.25" customHeight="1" x14ac:dyDescent="0.3">
      <c r="B32" s="33">
        <v>24</v>
      </c>
      <c r="C32" s="123" t="s">
        <v>101</v>
      </c>
      <c r="D32" s="60"/>
      <c r="E32" s="169"/>
      <c r="F32" s="170"/>
      <c r="G32" s="92"/>
      <c r="H32" s="40">
        <f t="shared" si="1"/>
        <v>0</v>
      </c>
      <c r="I32" s="62" t="str">
        <f t="shared" si="2"/>
        <v>N/TRANSITA</v>
      </c>
      <c r="J32" s="102"/>
      <c r="K32" s="103"/>
      <c r="L32" s="63"/>
      <c r="M32" s="40">
        <f t="shared" si="3"/>
        <v>0</v>
      </c>
      <c r="N32" s="62" t="str">
        <f t="shared" si="4"/>
        <v>N/TRANSITA</v>
      </c>
      <c r="O32" s="102"/>
      <c r="P32" s="103"/>
      <c r="Q32" s="63"/>
      <c r="R32" s="40">
        <f t="shared" si="5"/>
        <v>0</v>
      </c>
      <c r="S32" s="41">
        <f t="shared" si="0"/>
        <v>0</v>
      </c>
      <c r="T32" s="78" t="str">
        <f t="shared" si="6"/>
        <v>N/TRANSITA</v>
      </c>
    </row>
    <row r="33" spans="1:20" ht="14.25" customHeight="1" x14ac:dyDescent="0.3">
      <c r="B33" s="33">
        <v>25</v>
      </c>
      <c r="C33" s="124" t="s">
        <v>102</v>
      </c>
      <c r="D33" s="60"/>
      <c r="E33" s="169"/>
      <c r="F33" s="170"/>
      <c r="G33" s="92"/>
      <c r="H33" s="40">
        <f t="shared" si="1"/>
        <v>0</v>
      </c>
      <c r="I33" s="62" t="str">
        <f t="shared" si="2"/>
        <v>N/TRANSITA</v>
      </c>
      <c r="J33" s="102"/>
      <c r="K33" s="103"/>
      <c r="L33" s="63"/>
      <c r="M33" s="40">
        <f t="shared" si="3"/>
        <v>0</v>
      </c>
      <c r="N33" s="62" t="str">
        <f t="shared" si="4"/>
        <v>N/TRANSITA</v>
      </c>
      <c r="O33" s="102"/>
      <c r="P33" s="103"/>
      <c r="Q33" s="63"/>
      <c r="R33" s="40">
        <f t="shared" si="5"/>
        <v>0</v>
      </c>
      <c r="S33" s="41">
        <f t="shared" si="0"/>
        <v>0</v>
      </c>
      <c r="T33" s="78" t="str">
        <f t="shared" si="6"/>
        <v>N/TRANSITA</v>
      </c>
    </row>
    <row r="34" spans="1:20" ht="14.25" customHeight="1" x14ac:dyDescent="0.3">
      <c r="B34" s="33">
        <v>26</v>
      </c>
      <c r="C34" s="123" t="s">
        <v>103</v>
      </c>
      <c r="D34" s="60"/>
      <c r="E34" s="169">
        <v>19</v>
      </c>
      <c r="F34" s="170">
        <v>18</v>
      </c>
      <c r="G34" s="92"/>
      <c r="H34" s="40">
        <f t="shared" si="1"/>
        <v>18.5</v>
      </c>
      <c r="I34" s="62" t="str">
        <f t="shared" si="2"/>
        <v>TRANSITA</v>
      </c>
      <c r="J34" s="102">
        <v>20</v>
      </c>
      <c r="K34" s="103">
        <v>13</v>
      </c>
      <c r="L34" s="63"/>
      <c r="M34" s="40">
        <f t="shared" si="3"/>
        <v>16.5</v>
      </c>
      <c r="N34" s="62" t="str">
        <f t="shared" si="4"/>
        <v>TRANSITA</v>
      </c>
      <c r="O34" s="102"/>
      <c r="P34" s="103"/>
      <c r="Q34" s="63"/>
      <c r="R34" s="40">
        <f t="shared" si="5"/>
        <v>0</v>
      </c>
      <c r="S34" s="41">
        <f t="shared" si="0"/>
        <v>11.666666666666666</v>
      </c>
      <c r="T34" s="78" t="str">
        <f t="shared" si="6"/>
        <v>TRANSITA</v>
      </c>
    </row>
    <row r="35" spans="1:20" ht="14.25" customHeight="1" x14ac:dyDescent="0.3">
      <c r="B35" s="33">
        <v>27</v>
      </c>
      <c r="C35" s="124" t="s">
        <v>115</v>
      </c>
      <c r="D35" s="60"/>
      <c r="E35" s="169">
        <v>12</v>
      </c>
      <c r="F35" s="170">
        <v>11</v>
      </c>
      <c r="G35" s="92"/>
      <c r="H35" s="40">
        <f t="shared" si="1"/>
        <v>11.5</v>
      </c>
      <c r="I35" s="62" t="str">
        <f t="shared" si="2"/>
        <v>TRANSITA</v>
      </c>
      <c r="J35" s="102"/>
      <c r="K35" s="103">
        <v>5.5</v>
      </c>
      <c r="L35" s="63"/>
      <c r="M35" s="40">
        <f t="shared" si="3"/>
        <v>5.5</v>
      </c>
      <c r="N35" s="62" t="str">
        <f t="shared" si="4"/>
        <v>N/TRANSITA</v>
      </c>
      <c r="O35" s="102"/>
      <c r="P35" s="103"/>
      <c r="Q35" s="63"/>
      <c r="R35" s="40">
        <f t="shared" si="5"/>
        <v>0</v>
      </c>
      <c r="S35" s="41">
        <f t="shared" si="0"/>
        <v>5.666666666666667</v>
      </c>
      <c r="T35" s="78" t="str">
        <f t="shared" si="6"/>
        <v>N/TRANSITA</v>
      </c>
    </row>
    <row r="36" spans="1:20" ht="14.25" customHeight="1" x14ac:dyDescent="0.3">
      <c r="B36" s="33">
        <v>28</v>
      </c>
      <c r="C36" s="124" t="s">
        <v>116</v>
      </c>
      <c r="D36" s="60"/>
      <c r="E36" s="169"/>
      <c r="F36" s="170"/>
      <c r="G36" s="92"/>
      <c r="H36" s="40">
        <f t="shared" si="1"/>
        <v>0</v>
      </c>
      <c r="I36" s="62" t="str">
        <f t="shared" si="2"/>
        <v>N/TRANSITA</v>
      </c>
      <c r="J36" s="102"/>
      <c r="K36" s="103"/>
      <c r="L36" s="63"/>
      <c r="M36" s="40">
        <f t="shared" si="3"/>
        <v>0</v>
      </c>
      <c r="N36" s="62" t="str">
        <f t="shared" si="4"/>
        <v>N/TRANSITA</v>
      </c>
      <c r="O36" s="102"/>
      <c r="P36" s="103"/>
      <c r="Q36" s="63"/>
      <c r="R36" s="40">
        <f t="shared" si="5"/>
        <v>0</v>
      </c>
      <c r="S36" s="41">
        <f t="shared" si="0"/>
        <v>0</v>
      </c>
      <c r="T36" s="78" t="str">
        <f t="shared" si="6"/>
        <v>N/TRANSITA</v>
      </c>
    </row>
    <row r="37" spans="1:20" ht="14.25" customHeight="1" x14ac:dyDescent="0.3">
      <c r="B37" s="33">
        <v>29</v>
      </c>
      <c r="C37" s="123" t="s">
        <v>104</v>
      </c>
      <c r="D37" s="60"/>
      <c r="E37" s="169">
        <v>14</v>
      </c>
      <c r="F37" s="170">
        <v>10</v>
      </c>
      <c r="G37" s="92"/>
      <c r="H37" s="40">
        <f t="shared" si="1"/>
        <v>12</v>
      </c>
      <c r="I37" s="62" t="str">
        <f t="shared" si="2"/>
        <v>TRANSITA</v>
      </c>
      <c r="J37" s="102"/>
      <c r="K37" s="103"/>
      <c r="L37" s="63"/>
      <c r="M37" s="40">
        <f t="shared" ref="M37:M39" si="7">AVERAGE(J37,MAX(K37:L37))</f>
        <v>0</v>
      </c>
      <c r="N37" s="62" t="str">
        <f t="shared" ref="N37:N39" si="8">IF(M37&gt;=10,"TRANSITA","N/TRANSITA")</f>
        <v>N/TRANSITA</v>
      </c>
      <c r="O37" s="102"/>
      <c r="P37" s="103"/>
      <c r="Q37" s="63"/>
      <c r="R37" s="40">
        <f t="shared" ref="R37:R39" si="9">AVERAGE(O37,MAX(P37:Q37))</f>
        <v>0</v>
      </c>
      <c r="S37" s="41">
        <f t="shared" ref="S37:S39" si="10">SUM(H37,M37,R37)/3</f>
        <v>4</v>
      </c>
      <c r="T37" s="78" t="str">
        <f t="shared" ref="T37:T39" si="11">IF(S37&gt;=10,"TRANSITA","N/TRANSITA")</f>
        <v>N/TRANSITA</v>
      </c>
    </row>
    <row r="38" spans="1:20" ht="14.25" customHeight="1" x14ac:dyDescent="0.3">
      <c r="B38" s="33">
        <v>30</v>
      </c>
      <c r="C38" s="123" t="s">
        <v>105</v>
      </c>
      <c r="D38" s="60"/>
      <c r="E38" s="169">
        <v>18</v>
      </c>
      <c r="F38" s="170">
        <v>17</v>
      </c>
      <c r="G38" s="92"/>
      <c r="H38" s="40">
        <f t="shared" si="1"/>
        <v>17.5</v>
      </c>
      <c r="I38" s="62" t="str">
        <f t="shared" si="2"/>
        <v>TRANSITA</v>
      </c>
      <c r="J38" s="102">
        <v>17</v>
      </c>
      <c r="K38" s="103">
        <v>12</v>
      </c>
      <c r="L38" s="63"/>
      <c r="M38" s="40">
        <f t="shared" si="7"/>
        <v>14.5</v>
      </c>
      <c r="N38" s="62" t="str">
        <f t="shared" si="8"/>
        <v>TRANSITA</v>
      </c>
      <c r="O38" s="102"/>
      <c r="P38" s="103"/>
      <c r="Q38" s="63"/>
      <c r="R38" s="40">
        <f t="shared" si="9"/>
        <v>0</v>
      </c>
      <c r="S38" s="41">
        <f t="shared" si="10"/>
        <v>10.666666666666666</v>
      </c>
      <c r="T38" s="78" t="str">
        <f t="shared" si="11"/>
        <v>TRANSITA</v>
      </c>
    </row>
    <row r="39" spans="1:20" ht="14.25" customHeight="1" x14ac:dyDescent="0.3">
      <c r="B39" s="33">
        <v>31</v>
      </c>
      <c r="C39" s="124" t="s">
        <v>106</v>
      </c>
      <c r="D39" s="60"/>
      <c r="E39" s="169">
        <v>16</v>
      </c>
      <c r="F39" s="170">
        <v>11</v>
      </c>
      <c r="G39" s="92"/>
      <c r="H39" s="40">
        <f t="shared" si="1"/>
        <v>13.5</v>
      </c>
      <c r="I39" s="62" t="str">
        <f t="shared" si="2"/>
        <v>TRANSITA</v>
      </c>
      <c r="J39" s="102"/>
      <c r="K39" s="103">
        <v>4</v>
      </c>
      <c r="L39" s="63"/>
      <c r="M39" s="40">
        <f t="shared" si="7"/>
        <v>4</v>
      </c>
      <c r="N39" s="62" t="str">
        <f t="shared" si="8"/>
        <v>N/TRANSITA</v>
      </c>
      <c r="O39" s="102"/>
      <c r="P39" s="103"/>
      <c r="Q39" s="63"/>
      <c r="R39" s="40">
        <f t="shared" si="9"/>
        <v>0</v>
      </c>
      <c r="S39" s="41">
        <f t="shared" si="10"/>
        <v>5.833333333333333</v>
      </c>
      <c r="T39" s="78" t="str">
        <f t="shared" si="11"/>
        <v>N/TRANSITA</v>
      </c>
    </row>
    <row r="40" spans="1:20" ht="14.25" customHeight="1" x14ac:dyDescent="0.3">
      <c r="B40" s="33">
        <v>32</v>
      </c>
      <c r="C40" s="124" t="s">
        <v>107</v>
      </c>
      <c r="D40" s="60"/>
      <c r="E40" s="169"/>
      <c r="F40" s="170"/>
      <c r="G40" s="92"/>
      <c r="H40" s="40">
        <f t="shared" si="1"/>
        <v>0</v>
      </c>
      <c r="I40" s="62" t="str">
        <f t="shared" si="2"/>
        <v>N/TRANSITA</v>
      </c>
      <c r="J40" s="102"/>
      <c r="K40" s="103"/>
      <c r="L40" s="63"/>
      <c r="M40" s="40">
        <f t="shared" si="3"/>
        <v>0</v>
      </c>
      <c r="N40" s="62" t="str">
        <f t="shared" si="4"/>
        <v>N/TRANSITA</v>
      </c>
      <c r="O40" s="102"/>
      <c r="P40" s="103"/>
      <c r="Q40" s="63"/>
      <c r="R40" s="40">
        <f t="shared" si="5"/>
        <v>0</v>
      </c>
      <c r="S40" s="41">
        <f t="shared" si="0"/>
        <v>0</v>
      </c>
      <c r="T40" s="78" t="str">
        <f t="shared" si="6"/>
        <v>N/TRANSITA</v>
      </c>
    </row>
    <row r="41" spans="1:20" ht="14.25" customHeight="1" x14ac:dyDescent="0.3">
      <c r="B41" s="33">
        <v>33</v>
      </c>
      <c r="C41" s="123" t="s">
        <v>108</v>
      </c>
      <c r="D41" s="60"/>
      <c r="E41" s="169"/>
      <c r="F41" s="170"/>
      <c r="G41" s="92"/>
      <c r="H41" s="40">
        <f t="shared" si="1"/>
        <v>0</v>
      </c>
      <c r="I41" s="62" t="str">
        <f t="shared" si="2"/>
        <v>N/TRANSITA</v>
      </c>
      <c r="J41" s="102"/>
      <c r="K41" s="103"/>
      <c r="L41" s="63"/>
      <c r="M41" s="40">
        <f t="shared" si="3"/>
        <v>0</v>
      </c>
      <c r="N41" s="62" t="str">
        <f t="shared" si="4"/>
        <v>N/TRANSITA</v>
      </c>
      <c r="O41" s="102"/>
      <c r="P41" s="103"/>
      <c r="Q41" s="63"/>
      <c r="R41" s="40">
        <f t="shared" si="5"/>
        <v>0</v>
      </c>
      <c r="S41" s="41">
        <f t="shared" si="0"/>
        <v>0</v>
      </c>
      <c r="T41" s="78" t="str">
        <f t="shared" si="6"/>
        <v>N/TRANSITA</v>
      </c>
    </row>
    <row r="42" spans="1:20" ht="14.25" customHeight="1" x14ac:dyDescent="0.3">
      <c r="B42" s="33">
        <v>34</v>
      </c>
      <c r="C42" s="123" t="s">
        <v>109</v>
      </c>
      <c r="D42" s="60"/>
      <c r="E42" s="169">
        <v>13</v>
      </c>
      <c r="F42" s="170">
        <v>10</v>
      </c>
      <c r="G42" s="92"/>
      <c r="H42" s="40">
        <f t="shared" si="1"/>
        <v>11.5</v>
      </c>
      <c r="I42" s="62" t="str">
        <f t="shared" si="2"/>
        <v>TRANSITA</v>
      </c>
      <c r="J42" s="102">
        <v>11</v>
      </c>
      <c r="K42" s="103">
        <v>6</v>
      </c>
      <c r="L42" s="63"/>
      <c r="M42" s="40">
        <f t="shared" si="3"/>
        <v>8.5</v>
      </c>
      <c r="N42" s="62" t="str">
        <f t="shared" si="4"/>
        <v>N/TRANSITA</v>
      </c>
      <c r="O42" s="102"/>
      <c r="P42" s="103"/>
      <c r="Q42" s="63"/>
      <c r="R42" s="40">
        <f t="shared" si="5"/>
        <v>0</v>
      </c>
      <c r="S42" s="41">
        <f t="shared" si="0"/>
        <v>6.666666666666667</v>
      </c>
      <c r="T42" s="78" t="str">
        <f t="shared" si="6"/>
        <v>N/TRANSITA</v>
      </c>
    </row>
    <row r="43" spans="1:20" ht="14.25" customHeight="1" x14ac:dyDescent="0.3">
      <c r="B43" s="33">
        <v>35</v>
      </c>
      <c r="C43" s="123" t="s">
        <v>110</v>
      </c>
      <c r="D43" s="60"/>
      <c r="E43" s="169">
        <v>16</v>
      </c>
      <c r="F43" s="170">
        <v>15</v>
      </c>
      <c r="G43" s="92"/>
      <c r="H43" s="40">
        <f t="shared" si="1"/>
        <v>15.5</v>
      </c>
      <c r="I43" s="62" t="str">
        <f t="shared" si="2"/>
        <v>TRANSITA</v>
      </c>
      <c r="J43" s="102">
        <v>18</v>
      </c>
      <c r="K43" s="103">
        <v>6</v>
      </c>
      <c r="L43" s="63"/>
      <c r="M43" s="40">
        <f t="shared" si="3"/>
        <v>12</v>
      </c>
      <c r="N43" s="62" t="str">
        <f t="shared" si="4"/>
        <v>TRANSITA</v>
      </c>
      <c r="O43" s="102"/>
      <c r="P43" s="103"/>
      <c r="Q43" s="63"/>
      <c r="R43" s="40">
        <f t="shared" si="5"/>
        <v>0</v>
      </c>
      <c r="S43" s="41">
        <f t="shared" si="0"/>
        <v>9.1666666666666661</v>
      </c>
      <c r="T43" s="78" t="str">
        <f t="shared" si="6"/>
        <v>N/TRANSITA</v>
      </c>
    </row>
    <row r="44" spans="1:20" ht="14.25" customHeight="1" x14ac:dyDescent="0.3">
      <c r="B44" s="33">
        <v>36</v>
      </c>
      <c r="C44" s="124" t="s">
        <v>111</v>
      </c>
      <c r="D44" s="60"/>
      <c r="E44" s="169">
        <v>11</v>
      </c>
      <c r="F44" s="170">
        <v>10</v>
      </c>
      <c r="G44" s="92"/>
      <c r="H44" s="40">
        <f t="shared" si="1"/>
        <v>10.5</v>
      </c>
      <c r="I44" s="62" t="str">
        <f t="shared" si="2"/>
        <v>TRANSITA</v>
      </c>
      <c r="J44" s="102">
        <v>18</v>
      </c>
      <c r="K44" s="103">
        <v>13</v>
      </c>
      <c r="L44" s="63"/>
      <c r="M44" s="40">
        <f t="shared" si="3"/>
        <v>15.5</v>
      </c>
      <c r="N44" s="62" t="str">
        <f t="shared" si="4"/>
        <v>TRANSITA</v>
      </c>
      <c r="O44" s="102"/>
      <c r="P44" s="103"/>
      <c r="Q44" s="63"/>
      <c r="R44" s="40">
        <f t="shared" si="5"/>
        <v>0</v>
      </c>
      <c r="S44" s="41">
        <f t="shared" si="0"/>
        <v>8.6666666666666661</v>
      </c>
      <c r="T44" s="78" t="str">
        <f t="shared" si="6"/>
        <v>N/TRANSITA</v>
      </c>
    </row>
    <row r="45" spans="1:20" ht="14.25" customHeight="1" x14ac:dyDescent="0.3">
      <c r="B45" s="33">
        <v>37</v>
      </c>
      <c r="C45" s="123" t="s">
        <v>112</v>
      </c>
      <c r="D45" s="60"/>
      <c r="E45" s="169">
        <v>18</v>
      </c>
      <c r="F45" s="170">
        <v>18</v>
      </c>
      <c r="G45" s="92"/>
      <c r="H45" s="40">
        <f t="shared" si="1"/>
        <v>18</v>
      </c>
      <c r="I45" s="62" t="str">
        <f t="shared" si="2"/>
        <v>TRANSITA</v>
      </c>
      <c r="J45" s="102"/>
      <c r="K45" s="103"/>
      <c r="L45" s="63"/>
      <c r="M45" s="40">
        <f t="shared" si="3"/>
        <v>0</v>
      </c>
      <c r="N45" s="62" t="str">
        <f t="shared" si="4"/>
        <v>N/TRANSITA</v>
      </c>
      <c r="O45" s="102"/>
      <c r="P45" s="103"/>
      <c r="Q45" s="63"/>
      <c r="R45" s="40">
        <f t="shared" si="5"/>
        <v>0</v>
      </c>
      <c r="S45" s="41">
        <f t="shared" si="0"/>
        <v>6</v>
      </c>
      <c r="T45" s="78" t="str">
        <f t="shared" si="6"/>
        <v>N/TRANSITA</v>
      </c>
    </row>
    <row r="46" spans="1:20" ht="14.25" customHeight="1" thickBot="1" x14ac:dyDescent="0.35">
      <c r="B46" s="33">
        <v>38</v>
      </c>
      <c r="C46" s="125" t="s">
        <v>113</v>
      </c>
      <c r="D46" s="61"/>
      <c r="E46" s="171"/>
      <c r="F46" s="172"/>
      <c r="G46" s="94"/>
      <c r="H46" s="146">
        <f t="shared" si="1"/>
        <v>0</v>
      </c>
      <c r="I46" s="72" t="str">
        <f t="shared" si="2"/>
        <v>N/TRANSITA</v>
      </c>
      <c r="J46" s="104"/>
      <c r="K46" s="105"/>
      <c r="L46" s="66"/>
      <c r="M46" s="146">
        <f t="shared" si="3"/>
        <v>0</v>
      </c>
      <c r="N46" s="72" t="str">
        <f t="shared" si="4"/>
        <v>N/TRANSITA</v>
      </c>
      <c r="O46" s="104"/>
      <c r="P46" s="105"/>
      <c r="Q46" s="66"/>
      <c r="R46" s="146">
        <f t="shared" si="5"/>
        <v>0</v>
      </c>
      <c r="S46" s="42">
        <f t="shared" si="0"/>
        <v>0</v>
      </c>
      <c r="T46" s="79" t="str">
        <f t="shared" si="6"/>
        <v>N/TRANSITA</v>
      </c>
    </row>
    <row r="47" spans="1:20" ht="93.75" customHeight="1" thickTop="1" x14ac:dyDescent="0.3">
      <c r="B47" s="19"/>
      <c r="C47" s="19"/>
      <c r="D47" s="19"/>
      <c r="E47" s="19"/>
      <c r="F47" s="19"/>
      <c r="G47" s="19"/>
      <c r="H47" s="19"/>
      <c r="I47" s="19"/>
      <c r="J47" s="19"/>
      <c r="O47" s="19"/>
      <c r="P47" s="19"/>
      <c r="Q47" s="19"/>
      <c r="R47" s="19"/>
      <c r="S47" s="19"/>
      <c r="T47" s="19"/>
    </row>
    <row r="48" spans="1:20" ht="20.25" customHeight="1" x14ac:dyDescent="0.45">
      <c r="A48" s="20"/>
      <c r="B48" s="20"/>
      <c r="C48" s="20"/>
      <c r="D48" s="20"/>
      <c r="E48" s="20"/>
      <c r="F48" s="20"/>
      <c r="G48" s="20"/>
      <c r="H48" s="20"/>
      <c r="I48" s="20"/>
      <c r="J48" s="20"/>
      <c r="O48" s="20"/>
      <c r="P48" s="21"/>
      <c r="Q48" s="21"/>
      <c r="R48" s="21"/>
      <c r="S48" s="20"/>
      <c r="T48" s="20"/>
    </row>
    <row r="49" spans="1:20" ht="15.6" x14ac:dyDescent="0.3">
      <c r="A49" s="248" t="s">
        <v>50</v>
      </c>
      <c r="B49" s="248"/>
      <c r="C49" s="248"/>
      <c r="D49" s="248"/>
      <c r="E49" s="248"/>
      <c r="F49" s="22"/>
      <c r="G49" s="22"/>
      <c r="H49" s="22"/>
      <c r="I49" s="22"/>
      <c r="J49" s="22"/>
      <c r="K49" s="23"/>
      <c r="L49" s="23"/>
      <c r="M49" s="23"/>
      <c r="N49" s="23"/>
      <c r="O49" s="248" t="s">
        <v>9</v>
      </c>
      <c r="P49" s="248"/>
      <c r="Q49" s="248"/>
      <c r="R49" s="248"/>
      <c r="S49" s="248"/>
      <c r="T49" s="248"/>
    </row>
    <row r="50" spans="1:20" ht="15.6" x14ac:dyDescent="0.3">
      <c r="A50" s="249" t="s">
        <v>21</v>
      </c>
      <c r="B50" s="249"/>
      <c r="C50" s="249"/>
      <c r="D50" s="249"/>
      <c r="E50" s="249"/>
      <c r="F50" s="24"/>
      <c r="G50" s="24"/>
      <c r="H50" s="24"/>
      <c r="I50" s="24"/>
      <c r="J50" s="24"/>
      <c r="O50" s="250" t="s">
        <v>22</v>
      </c>
      <c r="P50" s="250"/>
      <c r="Q50" s="250"/>
      <c r="R50" s="250"/>
      <c r="S50" s="250"/>
      <c r="T50" s="250"/>
    </row>
    <row r="51" spans="1:20" x14ac:dyDescent="0.3">
      <c r="A51" s="242"/>
      <c r="B51" s="242"/>
      <c r="C51" s="242"/>
      <c r="D51" s="242"/>
      <c r="E51" s="242"/>
      <c r="O51" s="242" t="s">
        <v>23</v>
      </c>
      <c r="P51" s="242"/>
      <c r="Q51" s="242"/>
      <c r="R51" s="242"/>
      <c r="S51" s="242"/>
      <c r="T51" s="242"/>
    </row>
  </sheetData>
  <mergeCells count="22">
    <mergeCell ref="A1:T1"/>
    <mergeCell ref="B3:R3"/>
    <mergeCell ref="B4:C4"/>
    <mergeCell ref="P4:T4"/>
    <mergeCell ref="B5:C5"/>
    <mergeCell ref="N5:T5"/>
    <mergeCell ref="B6:T6"/>
    <mergeCell ref="B7:B8"/>
    <mergeCell ref="C7:C8"/>
    <mergeCell ref="E7:H7"/>
    <mergeCell ref="I7:I8"/>
    <mergeCell ref="J7:M7"/>
    <mergeCell ref="N7:N8"/>
    <mergeCell ref="O7:R7"/>
    <mergeCell ref="S7:S8"/>
    <mergeCell ref="T7:T8"/>
    <mergeCell ref="A49:E49"/>
    <mergeCell ref="O49:T49"/>
    <mergeCell ref="A50:E50"/>
    <mergeCell ref="O50:T50"/>
    <mergeCell ref="A51:E51"/>
    <mergeCell ref="O51:T51"/>
  </mergeCells>
  <conditionalFormatting sqref="S9:S46">
    <cfRule type="cellIs" dxfId="43" priority="25" stopIfTrue="1" operator="greaterThan">
      <formula>9.5</formula>
    </cfRule>
    <cfRule type="cellIs" dxfId="42" priority="26" stopIfTrue="1" operator="lessThanOrEqual">
      <formula>9.5</formula>
    </cfRule>
  </conditionalFormatting>
  <conditionalFormatting sqref="M9:M46 R9:R46">
    <cfRule type="cellIs" dxfId="41" priority="23" stopIfTrue="1" operator="lessThan">
      <formula>10</formula>
    </cfRule>
    <cfRule type="cellIs" dxfId="40" priority="24" stopIfTrue="1" operator="greaterThanOrEqual">
      <formula>10</formula>
    </cfRule>
  </conditionalFormatting>
  <conditionalFormatting sqref="L9:L46 O9:Q46">
    <cfRule type="cellIs" dxfId="39" priority="17" stopIfTrue="1" operator="lessThan">
      <formula>10</formula>
    </cfRule>
    <cfRule type="cellIs" dxfId="38" priority="18" stopIfTrue="1" operator="greaterThan">
      <formula>9</formula>
    </cfRule>
    <cfRule type="cellIs" dxfId="37" priority="19" stopIfTrue="1" operator="lessThan">
      <formula>10</formula>
    </cfRule>
    <cfRule type="cellIs" dxfId="36" priority="20" stopIfTrue="1" operator="greaterThan">
      <formula>9</formula>
    </cfRule>
  </conditionalFormatting>
  <conditionalFormatting sqref="H9:H46">
    <cfRule type="cellIs" dxfId="35" priority="11" stopIfTrue="1" operator="lessThan">
      <formula>10</formula>
    </cfRule>
    <cfRule type="cellIs" dxfId="34" priority="12" stopIfTrue="1" operator="greaterThanOrEqual">
      <formula>10</formula>
    </cfRule>
  </conditionalFormatting>
  <conditionalFormatting sqref="G9:G46 J9:K46">
    <cfRule type="cellIs" dxfId="33" priority="5" stopIfTrue="1" operator="lessThan">
      <formula>10</formula>
    </cfRule>
    <cfRule type="cellIs" dxfId="32" priority="6" stopIfTrue="1" operator="greaterThan">
      <formula>9</formula>
    </cfRule>
    <cfRule type="cellIs" dxfId="31" priority="7" stopIfTrue="1" operator="lessThan">
      <formula>10</formula>
    </cfRule>
    <cfRule type="cellIs" dxfId="30" priority="8" stopIfTrue="1" operator="greaterThan">
      <formula>9</formula>
    </cfRule>
  </conditionalFormatting>
  <conditionalFormatting sqref="E9:F46">
    <cfRule type="cellIs" dxfId="29" priority="1" stopIfTrue="1" operator="lessThan">
      <formula>10</formula>
    </cfRule>
    <cfRule type="cellIs" dxfId="28" priority="2" stopIfTrue="1" operator="greaterThan">
      <formula>9</formula>
    </cfRule>
    <cfRule type="cellIs" dxfId="27" priority="3" stopIfTrue="1" operator="lessThan">
      <formula>10</formula>
    </cfRule>
    <cfRule type="cellIs" dxfId="26" priority="4" stopIfTrue="1" operator="greaterThan">
      <formula>9</formula>
    </cfRule>
  </conditionalFormatting>
  <dataValidations count="1">
    <dataValidation type="decimal" allowBlank="1" showInputMessage="1" showErrorMessage="1" errorTitle="ATENÇÃO!" error="O valor introduzido não é válido. Grato!" sqref="O9:Q46 J9:L46 E9:G46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4577" r:id="rId4">
          <objectPr defaultSize="0" r:id="rId5">
            <anchor moveWithCells="1">
              <from>
                <xdr:col>1</xdr:col>
                <xdr:colOff>60960</xdr:colOff>
                <xdr:row>46</xdr:row>
                <xdr:rowOff>160020</xdr:rowOff>
              </from>
              <to>
                <xdr:col>13</xdr:col>
                <xdr:colOff>182880</xdr:colOff>
                <xdr:row>48</xdr:row>
                <xdr:rowOff>22860</xdr:rowOff>
              </to>
            </anchor>
          </objectPr>
        </oleObject>
      </mc:Choice>
      <mc:Fallback>
        <oleObject progId="Word.Document.8" shapeId="24577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1" stopIfTrue="1" operator="containsText" id="{4B06EE18-23E8-4A0A-94CD-C040C24CFFDB}">
            <xm:f>NOT(ISERROR(SEARCH("N/TRANSITA",N9)))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2" stopIfTrue="1" operator="containsText" id="{B2B7E5C1-E2C0-441D-A791-E5F3E78351E8}">
            <xm:f>NOT(ISERROR(SEARCH("TRANSITA",N9)))</xm:f>
            <xm:f>"TRANSITA"</xm:f>
            <x14:dxf>
              <font>
                <b/>
                <i val="0"/>
                <color rgb="FF0000FF"/>
              </font>
            </x14:dxf>
          </x14:cfRule>
          <xm:sqref>N9:N46 T9:T46</xm:sqref>
        </x14:conditionalFormatting>
        <x14:conditionalFormatting xmlns:xm="http://schemas.microsoft.com/office/excel/2006/main">
          <x14:cfRule type="containsText" priority="9" stopIfTrue="1" operator="containsText" id="{C97A8704-3890-4301-9A34-787DD9DBBA35}">
            <xm:f>NOT(ISERROR(SEARCH("N/TRANSITA",I9)))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0" stopIfTrue="1" operator="containsText" id="{3A1EBD42-FAAB-447C-95F5-6C1F8C341434}">
            <xm:f>NOT(ISERROR(SEARCH("TRANSITA",I9)))</xm:f>
            <xm:f>"TRANSITA"</xm:f>
            <x14:dxf>
              <font>
                <b/>
                <i val="0"/>
                <color rgb="FF0000FF"/>
              </font>
            </x14:dxf>
          </x14:cfRule>
          <xm:sqref>I9:I46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W51"/>
  <sheetViews>
    <sheetView showGridLines="0" topLeftCell="A25" zoomScale="115" zoomScaleNormal="115" zoomScalePageLayoutView="85" workbookViewId="0">
      <selection activeCell="E15" sqref="E15"/>
    </sheetView>
  </sheetViews>
  <sheetFormatPr defaultRowHeight="14.4" x14ac:dyDescent="0.3"/>
  <cols>
    <col min="1" max="1" width="1.6640625" customWidth="1"/>
    <col min="2" max="2" width="3.6640625" customWidth="1"/>
    <col min="3" max="3" width="35.109375" customWidth="1"/>
    <col min="4" max="4" width="6.44140625" customWidth="1"/>
    <col min="5" max="8" width="5.109375" customWidth="1"/>
    <col min="9" max="9" width="11.109375" customWidth="1"/>
    <col min="10" max="13" width="5.109375" customWidth="1"/>
    <col min="14" max="14" width="11.109375" customWidth="1"/>
    <col min="15" max="18" width="5.109375" customWidth="1"/>
    <col min="19" max="19" width="6" customWidth="1"/>
    <col min="20" max="20" width="11.5546875" customWidth="1"/>
    <col min="21" max="21" width="3.44140625" customWidth="1"/>
    <col min="22" max="22" width="5" customWidth="1"/>
  </cols>
  <sheetData>
    <row r="1" spans="1:23" ht="30" customHeight="1" x14ac:dyDescent="0.3">
      <c r="A1" s="261" t="s">
        <v>44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</row>
    <row r="2" spans="1:23" ht="30" customHeight="1" x14ac:dyDescent="0.3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23" ht="12" customHeight="1" x14ac:dyDescent="0.3"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</row>
    <row r="4" spans="1:23" ht="17.399999999999999" customHeight="1" x14ac:dyDescent="0.3">
      <c r="B4" s="262" t="s">
        <v>57</v>
      </c>
      <c r="C4" s="262"/>
      <c r="D4" s="31"/>
      <c r="F4" s="73"/>
      <c r="G4" s="73"/>
      <c r="I4" s="73" t="s">
        <v>28</v>
      </c>
      <c r="J4" s="73"/>
      <c r="K4" s="73"/>
      <c r="L4" s="73"/>
      <c r="M4" s="73"/>
      <c r="N4" s="31"/>
      <c r="P4" s="243" t="s">
        <v>55</v>
      </c>
      <c r="Q4" s="243"/>
      <c r="R4" s="243"/>
      <c r="S4" s="243"/>
      <c r="T4" s="243"/>
    </row>
    <row r="5" spans="1:23" ht="18" customHeight="1" x14ac:dyDescent="0.3">
      <c r="B5" s="262" t="s">
        <v>64</v>
      </c>
      <c r="C5" s="262"/>
      <c r="D5" s="31"/>
      <c r="E5" s="74" t="s">
        <v>52</v>
      </c>
      <c r="F5" s="74"/>
      <c r="I5" s="74" t="s">
        <v>67</v>
      </c>
      <c r="J5" s="74"/>
      <c r="K5" s="74"/>
      <c r="N5" s="263" t="s">
        <v>66</v>
      </c>
      <c r="O5" s="263"/>
      <c r="P5" s="263"/>
      <c r="Q5" s="263"/>
      <c r="R5" s="263"/>
      <c r="S5" s="263"/>
      <c r="T5" s="263"/>
    </row>
    <row r="6" spans="1:23" ht="34.5" customHeight="1" thickBot="1" x14ac:dyDescent="1.05">
      <c r="B6" s="258" t="s">
        <v>41</v>
      </c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60"/>
    </row>
    <row r="7" spans="1:23" ht="19.5" customHeight="1" thickTop="1" x14ac:dyDescent="0.3">
      <c r="B7" s="251" t="s">
        <v>35</v>
      </c>
      <c r="C7" s="253" t="s">
        <v>13</v>
      </c>
      <c r="D7" s="43" t="s">
        <v>39</v>
      </c>
      <c r="E7" s="255" t="s">
        <v>36</v>
      </c>
      <c r="F7" s="256"/>
      <c r="G7" s="256"/>
      <c r="H7" s="257"/>
      <c r="I7" s="246" t="s">
        <v>15</v>
      </c>
      <c r="J7" s="255" t="s">
        <v>37</v>
      </c>
      <c r="K7" s="256"/>
      <c r="L7" s="256"/>
      <c r="M7" s="257"/>
      <c r="N7" s="246" t="s">
        <v>15</v>
      </c>
      <c r="O7" s="255" t="s">
        <v>38</v>
      </c>
      <c r="P7" s="256"/>
      <c r="Q7" s="256"/>
      <c r="R7" s="257"/>
      <c r="S7" s="244" t="s">
        <v>14</v>
      </c>
      <c r="T7" s="246" t="s">
        <v>15</v>
      </c>
    </row>
    <row r="8" spans="1:23" ht="20.25" customHeight="1" thickBot="1" x14ac:dyDescent="0.35">
      <c r="B8" s="252"/>
      <c r="C8" s="254"/>
      <c r="D8" s="44" t="s">
        <v>40</v>
      </c>
      <c r="E8" s="36" t="s">
        <v>16</v>
      </c>
      <c r="F8" s="35" t="s">
        <v>17</v>
      </c>
      <c r="G8" s="35" t="s">
        <v>34</v>
      </c>
      <c r="H8" s="37" t="s">
        <v>18</v>
      </c>
      <c r="I8" s="247"/>
      <c r="J8" s="36" t="s">
        <v>16</v>
      </c>
      <c r="K8" s="35" t="s">
        <v>17</v>
      </c>
      <c r="L8" s="35" t="s">
        <v>34</v>
      </c>
      <c r="M8" s="37" t="s">
        <v>19</v>
      </c>
      <c r="N8" s="247"/>
      <c r="O8" s="36" t="s">
        <v>16</v>
      </c>
      <c r="P8" s="35" t="s">
        <v>17</v>
      </c>
      <c r="Q8" s="35" t="s">
        <v>34</v>
      </c>
      <c r="R8" s="37" t="s">
        <v>20</v>
      </c>
      <c r="S8" s="245"/>
      <c r="T8" s="247"/>
    </row>
    <row r="9" spans="1:23" ht="14.25" customHeight="1" thickTop="1" x14ac:dyDescent="0.3">
      <c r="B9" s="129">
        <v>1</v>
      </c>
      <c r="C9" s="122" t="s">
        <v>79</v>
      </c>
      <c r="D9" s="130"/>
      <c r="E9" s="147">
        <v>18</v>
      </c>
      <c r="F9" s="148">
        <v>16</v>
      </c>
      <c r="G9" s="148"/>
      <c r="H9" s="140">
        <f>AVERAGE(E9,MAX(F9:G9))</f>
        <v>17</v>
      </c>
      <c r="I9" s="141" t="str">
        <f>IF(H9&gt;=10,"TRANSITA","N/TRANSITA")</f>
        <v>TRANSITA</v>
      </c>
      <c r="J9" s="142">
        <v>16</v>
      </c>
      <c r="K9" s="143">
        <v>12</v>
      </c>
      <c r="L9" s="144"/>
      <c r="M9" s="140">
        <f>AVERAGE(J9,MAX(K9:L9))</f>
        <v>14</v>
      </c>
      <c r="N9" s="141" t="str">
        <f>IF(M9&gt;=10,"TRANSITA","N/TRANSITA")</f>
        <v>TRANSITA</v>
      </c>
      <c r="O9" s="142"/>
      <c r="P9" s="143"/>
      <c r="Q9" s="144"/>
      <c r="R9" s="140">
        <f>AVERAGE(O9,MAX(P9:Q9))</f>
        <v>0</v>
      </c>
      <c r="S9" s="145">
        <f t="shared" ref="S9:S43" si="0">SUM(H9,M9,R9)/3</f>
        <v>10.333333333333334</v>
      </c>
      <c r="T9" s="77" t="str">
        <f>IF(S9&gt;=10,"TRANSITA","N/TRANSITA")</f>
        <v>TRANSITA</v>
      </c>
    </row>
    <row r="10" spans="1:23" ht="14.25" customHeight="1" x14ac:dyDescent="0.3">
      <c r="B10" s="33">
        <v>2</v>
      </c>
      <c r="C10" s="124" t="s">
        <v>80</v>
      </c>
      <c r="D10" s="60"/>
      <c r="E10" s="169"/>
      <c r="F10" s="170"/>
      <c r="G10" s="92"/>
      <c r="H10" s="40">
        <f t="shared" ref="H10:H46" si="1">AVERAGE(E10,MAX(F10:G10))</f>
        <v>0</v>
      </c>
      <c r="I10" s="62" t="str">
        <f t="shared" ref="I10:I46" si="2">IF(H10&gt;=10,"TRANSITA","N/TRANSITA")</f>
        <v>N/TRANSITA</v>
      </c>
      <c r="J10" s="102">
        <v>0</v>
      </c>
      <c r="K10" s="103">
        <v>5</v>
      </c>
      <c r="L10" s="63"/>
      <c r="M10" s="40">
        <f t="shared" ref="M10:M46" si="3">AVERAGE(J10,MAX(K10:L10))</f>
        <v>2.5</v>
      </c>
      <c r="N10" s="62" t="str">
        <f t="shared" ref="N10:N46" si="4">IF(M10&gt;=10,"TRANSITA","N/TRANSITA")</f>
        <v>N/TRANSITA</v>
      </c>
      <c r="O10" s="102"/>
      <c r="P10" s="103"/>
      <c r="Q10" s="63"/>
      <c r="R10" s="40">
        <f t="shared" ref="R10:R46" si="5">AVERAGE(O10,MAX(P10:Q10))</f>
        <v>0</v>
      </c>
      <c r="S10" s="41">
        <f t="shared" si="0"/>
        <v>0.83333333333333337</v>
      </c>
      <c r="T10" s="78" t="str">
        <f t="shared" ref="T10:T46" si="6">IF(S10&gt;=10,"TRANSITA","N/TRANSITA")</f>
        <v>N/TRANSITA</v>
      </c>
    </row>
    <row r="11" spans="1:23" ht="14.25" customHeight="1" x14ac:dyDescent="0.3">
      <c r="B11" s="33">
        <v>3</v>
      </c>
      <c r="C11" s="123" t="s">
        <v>81</v>
      </c>
      <c r="D11" s="60"/>
      <c r="E11" s="169"/>
      <c r="F11" s="170"/>
      <c r="G11" s="92"/>
      <c r="H11" s="40">
        <f t="shared" si="1"/>
        <v>0</v>
      </c>
      <c r="I11" s="62" t="str">
        <f t="shared" si="2"/>
        <v>N/TRANSITA</v>
      </c>
      <c r="J11" s="102"/>
      <c r="K11" s="103"/>
      <c r="L11" s="63"/>
      <c r="M11" s="40">
        <f t="shared" si="3"/>
        <v>0</v>
      </c>
      <c r="N11" s="62" t="str">
        <f t="shared" si="4"/>
        <v>N/TRANSITA</v>
      </c>
      <c r="O11" s="102"/>
      <c r="P11" s="103"/>
      <c r="Q11" s="63"/>
      <c r="R11" s="40">
        <f t="shared" si="5"/>
        <v>0</v>
      </c>
      <c r="S11" s="41">
        <f t="shared" si="0"/>
        <v>0</v>
      </c>
      <c r="T11" s="78" t="str">
        <f t="shared" si="6"/>
        <v>N/TRANSITA</v>
      </c>
    </row>
    <row r="12" spans="1:23" ht="14.25" customHeight="1" x14ac:dyDescent="0.3">
      <c r="B12" s="33">
        <v>4</v>
      </c>
      <c r="C12" s="123" t="s">
        <v>82</v>
      </c>
      <c r="D12" s="60"/>
      <c r="E12" s="169">
        <v>7</v>
      </c>
      <c r="F12" s="170">
        <v>10</v>
      </c>
      <c r="G12" s="92"/>
      <c r="H12" s="40">
        <f t="shared" si="1"/>
        <v>8.5</v>
      </c>
      <c r="I12" s="62" t="str">
        <f t="shared" si="2"/>
        <v>N/TRANSITA</v>
      </c>
      <c r="J12" s="102">
        <v>12</v>
      </c>
      <c r="K12" s="103">
        <v>8</v>
      </c>
      <c r="L12" s="63"/>
      <c r="M12" s="40">
        <f t="shared" si="3"/>
        <v>10</v>
      </c>
      <c r="N12" s="62" t="str">
        <f t="shared" si="4"/>
        <v>TRANSITA</v>
      </c>
      <c r="O12" s="102"/>
      <c r="P12" s="103"/>
      <c r="Q12" s="63"/>
      <c r="R12" s="40">
        <f t="shared" si="5"/>
        <v>0</v>
      </c>
      <c r="S12" s="41">
        <f t="shared" si="0"/>
        <v>6.166666666666667</v>
      </c>
      <c r="T12" s="78" t="str">
        <f t="shared" si="6"/>
        <v>N/TRANSITA</v>
      </c>
    </row>
    <row r="13" spans="1:23" ht="14.25" customHeight="1" x14ac:dyDescent="0.3">
      <c r="B13" s="33">
        <v>5</v>
      </c>
      <c r="C13" s="124" t="s">
        <v>83</v>
      </c>
      <c r="D13" s="60"/>
      <c r="E13" s="169"/>
      <c r="F13" s="170">
        <v>13</v>
      </c>
      <c r="G13" s="92"/>
      <c r="H13" s="40">
        <f t="shared" si="1"/>
        <v>13</v>
      </c>
      <c r="I13" s="62" t="str">
        <f t="shared" si="2"/>
        <v>TRANSITA</v>
      </c>
      <c r="J13" s="102">
        <v>12</v>
      </c>
      <c r="K13" s="103">
        <v>8</v>
      </c>
      <c r="L13" s="63"/>
      <c r="M13" s="40">
        <f t="shared" si="3"/>
        <v>10</v>
      </c>
      <c r="N13" s="62" t="str">
        <f t="shared" si="4"/>
        <v>TRANSITA</v>
      </c>
      <c r="O13" s="102"/>
      <c r="P13" s="103"/>
      <c r="Q13" s="63"/>
      <c r="R13" s="40">
        <f t="shared" si="5"/>
        <v>0</v>
      </c>
      <c r="S13" s="41">
        <f t="shared" si="0"/>
        <v>7.666666666666667</v>
      </c>
      <c r="T13" s="78" t="str">
        <f t="shared" si="6"/>
        <v>N/TRANSITA</v>
      </c>
      <c r="U13" s="18"/>
      <c r="V13" s="18"/>
      <c r="W13" s="18"/>
    </row>
    <row r="14" spans="1:23" ht="14.25" customHeight="1" x14ac:dyDescent="0.3">
      <c r="B14" s="33">
        <v>6</v>
      </c>
      <c r="C14" s="123" t="s">
        <v>84</v>
      </c>
      <c r="D14" s="60"/>
      <c r="E14" s="169">
        <v>10</v>
      </c>
      <c r="F14" s="170">
        <v>11</v>
      </c>
      <c r="G14" s="92"/>
      <c r="H14" s="40">
        <f t="shared" si="1"/>
        <v>10.5</v>
      </c>
      <c r="I14" s="62" t="str">
        <f t="shared" si="2"/>
        <v>TRANSITA</v>
      </c>
      <c r="J14" s="102">
        <v>12</v>
      </c>
      <c r="K14" s="103">
        <v>8</v>
      </c>
      <c r="L14" s="63"/>
      <c r="M14" s="40">
        <f t="shared" si="3"/>
        <v>10</v>
      </c>
      <c r="N14" s="62" t="str">
        <f t="shared" si="4"/>
        <v>TRANSITA</v>
      </c>
      <c r="O14" s="102"/>
      <c r="P14" s="103"/>
      <c r="Q14" s="63"/>
      <c r="R14" s="40">
        <f t="shared" si="5"/>
        <v>0</v>
      </c>
      <c r="S14" s="41">
        <f t="shared" si="0"/>
        <v>6.833333333333333</v>
      </c>
      <c r="T14" s="78" t="str">
        <f t="shared" si="6"/>
        <v>N/TRANSITA</v>
      </c>
    </row>
    <row r="15" spans="1:23" ht="14.25" customHeight="1" x14ac:dyDescent="0.3">
      <c r="B15" s="33">
        <v>7</v>
      </c>
      <c r="C15" s="123" t="s">
        <v>85</v>
      </c>
      <c r="D15" s="60"/>
      <c r="E15" s="169">
        <v>18</v>
      </c>
      <c r="F15" s="170">
        <v>16</v>
      </c>
      <c r="G15" s="92"/>
      <c r="H15" s="40">
        <f t="shared" si="1"/>
        <v>17</v>
      </c>
      <c r="I15" s="62" t="str">
        <f t="shared" si="2"/>
        <v>TRANSITA</v>
      </c>
      <c r="J15" s="102">
        <v>15</v>
      </c>
      <c r="K15" s="103">
        <v>13.5</v>
      </c>
      <c r="L15" s="63"/>
      <c r="M15" s="40">
        <f t="shared" si="3"/>
        <v>14.25</v>
      </c>
      <c r="N15" s="62" t="str">
        <f t="shared" si="4"/>
        <v>TRANSITA</v>
      </c>
      <c r="O15" s="102"/>
      <c r="P15" s="103"/>
      <c r="Q15" s="63"/>
      <c r="R15" s="40">
        <f t="shared" si="5"/>
        <v>0</v>
      </c>
      <c r="S15" s="41">
        <f t="shared" si="0"/>
        <v>10.416666666666666</v>
      </c>
      <c r="T15" s="78" t="str">
        <f t="shared" si="6"/>
        <v>TRANSITA</v>
      </c>
    </row>
    <row r="16" spans="1:23" ht="14.25" customHeight="1" x14ac:dyDescent="0.3">
      <c r="B16" s="33">
        <v>8</v>
      </c>
      <c r="C16" s="124" t="s">
        <v>86</v>
      </c>
      <c r="D16" s="60"/>
      <c r="E16" s="169">
        <v>10</v>
      </c>
      <c r="F16" s="170">
        <v>13</v>
      </c>
      <c r="G16" s="92"/>
      <c r="H16" s="40">
        <f t="shared" si="1"/>
        <v>11.5</v>
      </c>
      <c r="I16" s="62" t="str">
        <f t="shared" si="2"/>
        <v>TRANSITA</v>
      </c>
      <c r="J16" s="102">
        <v>12</v>
      </c>
      <c r="K16" s="103">
        <v>8</v>
      </c>
      <c r="L16" s="63"/>
      <c r="M16" s="40">
        <f t="shared" si="3"/>
        <v>10</v>
      </c>
      <c r="N16" s="62" t="str">
        <f t="shared" si="4"/>
        <v>TRANSITA</v>
      </c>
      <c r="O16" s="102"/>
      <c r="P16" s="103"/>
      <c r="Q16" s="63"/>
      <c r="R16" s="40">
        <f t="shared" si="5"/>
        <v>0</v>
      </c>
      <c r="S16" s="41">
        <f t="shared" si="0"/>
        <v>7.166666666666667</v>
      </c>
      <c r="T16" s="78" t="str">
        <f t="shared" si="6"/>
        <v>N/TRANSITA</v>
      </c>
    </row>
    <row r="17" spans="2:20" ht="14.25" customHeight="1" x14ac:dyDescent="0.3">
      <c r="B17" s="33">
        <v>9</v>
      </c>
      <c r="C17" s="123" t="s">
        <v>87</v>
      </c>
      <c r="D17" s="60"/>
      <c r="E17" s="169">
        <v>18</v>
      </c>
      <c r="F17" s="170">
        <v>15</v>
      </c>
      <c r="G17" s="92"/>
      <c r="H17" s="40">
        <f t="shared" si="1"/>
        <v>16.5</v>
      </c>
      <c r="I17" s="62" t="str">
        <f t="shared" si="2"/>
        <v>TRANSITA</v>
      </c>
      <c r="J17" s="102">
        <v>14</v>
      </c>
      <c r="K17" s="103">
        <v>8</v>
      </c>
      <c r="L17" s="63"/>
      <c r="M17" s="40">
        <f t="shared" si="3"/>
        <v>11</v>
      </c>
      <c r="N17" s="62" t="str">
        <f t="shared" ref="N17:N18" si="7">IF(M17&gt;=10,"TRANSITA","N/TRANSITA")</f>
        <v>TRANSITA</v>
      </c>
      <c r="O17" s="102"/>
      <c r="P17" s="103"/>
      <c r="Q17" s="63"/>
      <c r="R17" s="40">
        <f t="shared" si="5"/>
        <v>0</v>
      </c>
      <c r="S17" s="41">
        <f t="shared" si="0"/>
        <v>9.1666666666666661</v>
      </c>
      <c r="T17" s="78" t="str">
        <f t="shared" ref="T17:T18" si="8">IF(S17&gt;=10,"TRANSITA","N/TRANSITA")</f>
        <v>N/TRANSITA</v>
      </c>
    </row>
    <row r="18" spans="2:20" ht="14.25" customHeight="1" x14ac:dyDescent="0.3">
      <c r="B18" s="33">
        <v>10</v>
      </c>
      <c r="C18" s="124" t="s">
        <v>88</v>
      </c>
      <c r="D18" s="60"/>
      <c r="E18" s="169">
        <v>0</v>
      </c>
      <c r="F18" s="170">
        <v>10</v>
      </c>
      <c r="G18" s="92"/>
      <c r="H18" s="40">
        <f t="shared" si="1"/>
        <v>5</v>
      </c>
      <c r="I18" s="62" t="str">
        <f t="shared" si="2"/>
        <v>N/TRANSITA</v>
      </c>
      <c r="J18" s="102">
        <v>0</v>
      </c>
      <c r="K18" s="103">
        <v>5</v>
      </c>
      <c r="L18" s="63"/>
      <c r="M18" s="40">
        <f t="shared" si="3"/>
        <v>2.5</v>
      </c>
      <c r="N18" s="62" t="str">
        <f t="shared" si="7"/>
        <v>N/TRANSITA</v>
      </c>
      <c r="O18" s="102"/>
      <c r="P18" s="103"/>
      <c r="Q18" s="63"/>
      <c r="R18" s="40">
        <f t="shared" si="5"/>
        <v>0</v>
      </c>
      <c r="S18" s="41">
        <f t="shared" si="0"/>
        <v>2.5</v>
      </c>
      <c r="T18" s="78" t="str">
        <f t="shared" si="8"/>
        <v>N/TRANSITA</v>
      </c>
    </row>
    <row r="19" spans="2:20" ht="14.25" customHeight="1" x14ac:dyDescent="0.3">
      <c r="B19" s="33">
        <v>11</v>
      </c>
      <c r="C19" s="123" t="s">
        <v>89</v>
      </c>
      <c r="D19" s="60"/>
      <c r="E19" s="169"/>
      <c r="F19" s="170"/>
      <c r="G19" s="92"/>
      <c r="H19" s="40">
        <f t="shared" si="1"/>
        <v>0</v>
      </c>
      <c r="I19" s="62" t="str">
        <f t="shared" si="2"/>
        <v>N/TRANSITA</v>
      </c>
      <c r="J19" s="102"/>
      <c r="K19" s="103"/>
      <c r="L19" s="63"/>
      <c r="M19" s="40">
        <f t="shared" si="3"/>
        <v>0</v>
      </c>
      <c r="N19" s="62" t="str">
        <f t="shared" si="4"/>
        <v>N/TRANSITA</v>
      </c>
      <c r="O19" s="102"/>
      <c r="P19" s="103"/>
      <c r="Q19" s="63"/>
      <c r="R19" s="40">
        <f t="shared" si="5"/>
        <v>0</v>
      </c>
      <c r="S19" s="41">
        <f t="shared" si="0"/>
        <v>0</v>
      </c>
      <c r="T19" s="78" t="str">
        <f t="shared" si="6"/>
        <v>N/TRANSITA</v>
      </c>
    </row>
    <row r="20" spans="2:20" ht="14.25" customHeight="1" x14ac:dyDescent="0.3">
      <c r="B20" s="33">
        <v>12</v>
      </c>
      <c r="C20" s="124" t="s">
        <v>90</v>
      </c>
      <c r="D20" s="60"/>
      <c r="E20" s="169">
        <v>10</v>
      </c>
      <c r="F20" s="170">
        <v>6</v>
      </c>
      <c r="G20" s="92"/>
      <c r="H20" s="40">
        <f t="shared" si="1"/>
        <v>8</v>
      </c>
      <c r="I20" s="62" t="str">
        <f t="shared" si="2"/>
        <v>N/TRANSITA</v>
      </c>
      <c r="J20" s="102"/>
      <c r="K20" s="103"/>
      <c r="L20" s="63"/>
      <c r="M20" s="40">
        <f t="shared" si="3"/>
        <v>0</v>
      </c>
      <c r="N20" s="62" t="str">
        <f t="shared" si="4"/>
        <v>N/TRANSITA</v>
      </c>
      <c r="O20" s="102"/>
      <c r="P20" s="103"/>
      <c r="Q20" s="63"/>
      <c r="R20" s="40">
        <f t="shared" si="5"/>
        <v>0</v>
      </c>
      <c r="S20" s="41">
        <f t="shared" si="0"/>
        <v>2.6666666666666665</v>
      </c>
      <c r="T20" s="78" t="str">
        <f t="shared" si="6"/>
        <v>N/TRANSITA</v>
      </c>
    </row>
    <row r="21" spans="2:20" ht="14.25" customHeight="1" x14ac:dyDescent="0.3">
      <c r="B21" s="33">
        <v>13</v>
      </c>
      <c r="C21" s="123" t="s">
        <v>91</v>
      </c>
      <c r="D21" s="60"/>
      <c r="E21" s="169"/>
      <c r="F21" s="170"/>
      <c r="G21" s="92"/>
      <c r="H21" s="40">
        <f t="shared" si="1"/>
        <v>0</v>
      </c>
      <c r="I21" s="62" t="str">
        <f t="shared" si="2"/>
        <v>N/TRANSITA</v>
      </c>
      <c r="J21" s="102"/>
      <c r="K21" s="103"/>
      <c r="L21" s="63"/>
      <c r="M21" s="40">
        <f t="shared" si="3"/>
        <v>0</v>
      </c>
      <c r="N21" s="62" t="str">
        <f t="shared" si="4"/>
        <v>N/TRANSITA</v>
      </c>
      <c r="O21" s="102"/>
      <c r="P21" s="103"/>
      <c r="Q21" s="63"/>
      <c r="R21" s="40">
        <f t="shared" si="5"/>
        <v>0</v>
      </c>
      <c r="S21" s="41">
        <f t="shared" si="0"/>
        <v>0</v>
      </c>
      <c r="T21" s="78" t="str">
        <f t="shared" si="6"/>
        <v>N/TRANSITA</v>
      </c>
    </row>
    <row r="22" spans="2:20" ht="14.25" customHeight="1" x14ac:dyDescent="0.3">
      <c r="B22" s="33">
        <v>14</v>
      </c>
      <c r="C22" s="123" t="s">
        <v>92</v>
      </c>
      <c r="D22" s="60"/>
      <c r="E22" s="169">
        <v>18</v>
      </c>
      <c r="F22" s="170">
        <v>15</v>
      </c>
      <c r="G22" s="92"/>
      <c r="H22" s="40">
        <f t="shared" si="1"/>
        <v>16.5</v>
      </c>
      <c r="I22" s="62" t="str">
        <f t="shared" si="2"/>
        <v>TRANSITA</v>
      </c>
      <c r="J22" s="102">
        <v>14</v>
      </c>
      <c r="K22" s="103">
        <v>9</v>
      </c>
      <c r="L22" s="63"/>
      <c r="M22" s="40">
        <f t="shared" si="3"/>
        <v>11.5</v>
      </c>
      <c r="N22" s="62" t="str">
        <f t="shared" si="4"/>
        <v>TRANSITA</v>
      </c>
      <c r="O22" s="102"/>
      <c r="P22" s="103"/>
      <c r="Q22" s="63"/>
      <c r="R22" s="40">
        <f t="shared" si="5"/>
        <v>0</v>
      </c>
      <c r="S22" s="41">
        <f t="shared" si="0"/>
        <v>9.3333333333333339</v>
      </c>
      <c r="T22" s="78" t="str">
        <f t="shared" si="6"/>
        <v>N/TRANSITA</v>
      </c>
    </row>
    <row r="23" spans="2:20" ht="14.25" customHeight="1" x14ac:dyDescent="0.3">
      <c r="B23" s="33">
        <v>15</v>
      </c>
      <c r="C23" s="124" t="s">
        <v>114</v>
      </c>
      <c r="D23" s="60"/>
      <c r="E23" s="169">
        <v>10</v>
      </c>
      <c r="F23" s="170">
        <v>7</v>
      </c>
      <c r="G23" s="92"/>
      <c r="H23" s="40">
        <f t="shared" si="1"/>
        <v>8.5</v>
      </c>
      <c r="I23" s="62" t="str">
        <f t="shared" si="2"/>
        <v>N/TRANSITA</v>
      </c>
      <c r="J23" s="102">
        <v>0</v>
      </c>
      <c r="K23" s="103">
        <v>5</v>
      </c>
      <c r="L23" s="63"/>
      <c r="M23" s="40">
        <f t="shared" si="3"/>
        <v>2.5</v>
      </c>
      <c r="N23" s="62" t="str">
        <f t="shared" si="4"/>
        <v>N/TRANSITA</v>
      </c>
      <c r="O23" s="102"/>
      <c r="P23" s="103"/>
      <c r="Q23" s="63"/>
      <c r="R23" s="40">
        <f t="shared" si="5"/>
        <v>0</v>
      </c>
      <c r="S23" s="41">
        <f t="shared" si="0"/>
        <v>3.6666666666666665</v>
      </c>
      <c r="T23" s="78" t="str">
        <f t="shared" si="6"/>
        <v>N/TRANSITA</v>
      </c>
    </row>
    <row r="24" spans="2:20" ht="14.25" customHeight="1" x14ac:dyDescent="0.3">
      <c r="B24" s="33">
        <v>16</v>
      </c>
      <c r="C24" s="124" t="s">
        <v>93</v>
      </c>
      <c r="D24" s="60"/>
      <c r="E24" s="169">
        <v>10</v>
      </c>
      <c r="F24" s="170">
        <v>9</v>
      </c>
      <c r="G24" s="92"/>
      <c r="H24" s="40">
        <f t="shared" si="1"/>
        <v>9.5</v>
      </c>
      <c r="I24" s="62" t="str">
        <f t="shared" si="2"/>
        <v>N/TRANSITA</v>
      </c>
      <c r="J24" s="102">
        <v>0</v>
      </c>
      <c r="K24" s="103">
        <v>5</v>
      </c>
      <c r="L24" s="63"/>
      <c r="M24" s="40">
        <f t="shared" si="3"/>
        <v>2.5</v>
      </c>
      <c r="N24" s="62" t="str">
        <f t="shared" si="4"/>
        <v>N/TRANSITA</v>
      </c>
      <c r="O24" s="102"/>
      <c r="P24" s="103"/>
      <c r="Q24" s="63"/>
      <c r="R24" s="40">
        <f t="shared" si="5"/>
        <v>0</v>
      </c>
      <c r="S24" s="41">
        <f t="shared" si="0"/>
        <v>4</v>
      </c>
      <c r="T24" s="78" t="str">
        <f t="shared" si="6"/>
        <v>N/TRANSITA</v>
      </c>
    </row>
    <row r="25" spans="2:20" ht="14.25" customHeight="1" x14ac:dyDescent="0.3">
      <c r="B25" s="33">
        <v>17</v>
      </c>
      <c r="C25" s="123" t="s">
        <v>94</v>
      </c>
      <c r="D25" s="60"/>
      <c r="E25" s="169"/>
      <c r="F25" s="170"/>
      <c r="G25" s="92"/>
      <c r="H25" s="40">
        <f t="shared" si="1"/>
        <v>0</v>
      </c>
      <c r="I25" s="62" t="str">
        <f t="shared" si="2"/>
        <v>N/TRANSITA</v>
      </c>
      <c r="J25" s="102"/>
      <c r="K25" s="103"/>
      <c r="L25" s="63"/>
      <c r="M25" s="40">
        <f t="shared" si="3"/>
        <v>0</v>
      </c>
      <c r="N25" s="62" t="str">
        <f t="shared" si="4"/>
        <v>N/TRANSITA</v>
      </c>
      <c r="O25" s="102"/>
      <c r="P25" s="103"/>
      <c r="Q25" s="63"/>
      <c r="R25" s="40">
        <f t="shared" si="5"/>
        <v>0</v>
      </c>
      <c r="S25" s="41">
        <f t="shared" si="0"/>
        <v>0</v>
      </c>
      <c r="T25" s="78" t="str">
        <f t="shared" si="6"/>
        <v>N/TRANSITA</v>
      </c>
    </row>
    <row r="26" spans="2:20" ht="14.25" customHeight="1" x14ac:dyDescent="0.3">
      <c r="B26" s="33">
        <v>18</v>
      </c>
      <c r="C26" s="124" t="s">
        <v>95</v>
      </c>
      <c r="D26" s="60"/>
      <c r="E26" s="169">
        <v>10</v>
      </c>
      <c r="F26" s="170">
        <v>12</v>
      </c>
      <c r="G26" s="92"/>
      <c r="H26" s="40">
        <f t="shared" si="1"/>
        <v>11</v>
      </c>
      <c r="I26" s="62" t="str">
        <f t="shared" si="2"/>
        <v>TRANSITA</v>
      </c>
      <c r="J26" s="102">
        <v>0</v>
      </c>
      <c r="K26" s="103">
        <v>5</v>
      </c>
      <c r="L26" s="63"/>
      <c r="M26" s="40">
        <f t="shared" si="3"/>
        <v>2.5</v>
      </c>
      <c r="N26" s="62" t="str">
        <f t="shared" si="4"/>
        <v>N/TRANSITA</v>
      </c>
      <c r="O26" s="102"/>
      <c r="P26" s="103"/>
      <c r="Q26" s="63"/>
      <c r="R26" s="40">
        <f t="shared" si="5"/>
        <v>0</v>
      </c>
      <c r="S26" s="41">
        <f t="shared" si="0"/>
        <v>4.5</v>
      </c>
      <c r="T26" s="78" t="str">
        <f t="shared" si="6"/>
        <v>N/TRANSITA</v>
      </c>
    </row>
    <row r="27" spans="2:20" ht="14.25" customHeight="1" x14ac:dyDescent="0.3">
      <c r="B27" s="33">
        <v>19</v>
      </c>
      <c r="C27" s="124" t="s">
        <v>96</v>
      </c>
      <c r="D27" s="60"/>
      <c r="E27" s="169">
        <v>10</v>
      </c>
      <c r="F27" s="170"/>
      <c r="G27" s="92"/>
      <c r="H27" s="40">
        <f t="shared" si="1"/>
        <v>5</v>
      </c>
      <c r="I27" s="62" t="str">
        <f t="shared" si="2"/>
        <v>N/TRANSITA</v>
      </c>
      <c r="J27" s="102"/>
      <c r="K27" s="103"/>
      <c r="L27" s="63"/>
      <c r="M27" s="40">
        <f t="shared" si="3"/>
        <v>0</v>
      </c>
      <c r="N27" s="62" t="str">
        <f t="shared" si="4"/>
        <v>N/TRANSITA</v>
      </c>
      <c r="O27" s="102"/>
      <c r="P27" s="103"/>
      <c r="Q27" s="63"/>
      <c r="R27" s="40">
        <f t="shared" si="5"/>
        <v>0</v>
      </c>
      <c r="S27" s="41">
        <f t="shared" si="0"/>
        <v>1.6666666666666667</v>
      </c>
      <c r="T27" s="78" t="str">
        <f t="shared" si="6"/>
        <v>N/TRANSITA</v>
      </c>
    </row>
    <row r="28" spans="2:20" ht="14.25" customHeight="1" x14ac:dyDescent="0.3">
      <c r="B28" s="33">
        <v>20</v>
      </c>
      <c r="C28" s="123" t="s">
        <v>97</v>
      </c>
      <c r="D28" s="60"/>
      <c r="E28" s="169">
        <v>7</v>
      </c>
      <c r="F28" s="170">
        <v>6</v>
      </c>
      <c r="G28" s="92"/>
      <c r="H28" s="40">
        <f t="shared" si="1"/>
        <v>6.5</v>
      </c>
      <c r="I28" s="62" t="str">
        <f t="shared" si="2"/>
        <v>N/TRANSITA</v>
      </c>
      <c r="J28" s="102"/>
      <c r="K28" s="103"/>
      <c r="L28" s="63"/>
      <c r="M28" s="40">
        <f t="shared" si="3"/>
        <v>0</v>
      </c>
      <c r="N28" s="62" t="str">
        <f t="shared" si="4"/>
        <v>N/TRANSITA</v>
      </c>
      <c r="O28" s="102"/>
      <c r="P28" s="103"/>
      <c r="Q28" s="63"/>
      <c r="R28" s="40">
        <f t="shared" si="5"/>
        <v>0</v>
      </c>
      <c r="S28" s="41">
        <f t="shared" si="0"/>
        <v>2.1666666666666665</v>
      </c>
      <c r="T28" s="78" t="str">
        <f t="shared" si="6"/>
        <v>N/TRANSITA</v>
      </c>
    </row>
    <row r="29" spans="2:20" ht="14.25" customHeight="1" x14ac:dyDescent="0.3">
      <c r="B29" s="33">
        <v>21</v>
      </c>
      <c r="C29" s="123" t="s">
        <v>98</v>
      </c>
      <c r="D29" s="60"/>
      <c r="E29" s="169">
        <v>11</v>
      </c>
      <c r="F29" s="170">
        <v>14</v>
      </c>
      <c r="G29" s="92"/>
      <c r="H29" s="40">
        <f t="shared" si="1"/>
        <v>12.5</v>
      </c>
      <c r="I29" s="62" t="str">
        <f t="shared" si="2"/>
        <v>TRANSITA</v>
      </c>
      <c r="J29" s="102">
        <v>12</v>
      </c>
      <c r="K29" s="103">
        <v>8</v>
      </c>
      <c r="L29" s="63"/>
      <c r="M29" s="40">
        <f t="shared" si="3"/>
        <v>10</v>
      </c>
      <c r="N29" s="62" t="str">
        <f t="shared" si="4"/>
        <v>TRANSITA</v>
      </c>
      <c r="O29" s="102"/>
      <c r="P29" s="103"/>
      <c r="Q29" s="63"/>
      <c r="R29" s="40">
        <f t="shared" si="5"/>
        <v>0</v>
      </c>
      <c r="S29" s="41">
        <f t="shared" si="0"/>
        <v>7.5</v>
      </c>
      <c r="T29" s="78" t="str">
        <f t="shared" si="6"/>
        <v>N/TRANSITA</v>
      </c>
    </row>
    <row r="30" spans="2:20" ht="14.25" customHeight="1" x14ac:dyDescent="0.3">
      <c r="B30" s="33">
        <v>22</v>
      </c>
      <c r="C30" s="124" t="s">
        <v>99</v>
      </c>
      <c r="D30" s="60"/>
      <c r="E30" s="169">
        <v>7</v>
      </c>
      <c r="F30" s="170">
        <v>5</v>
      </c>
      <c r="G30" s="92"/>
      <c r="H30" s="40">
        <f t="shared" si="1"/>
        <v>6</v>
      </c>
      <c r="I30" s="62" t="str">
        <f t="shared" si="2"/>
        <v>N/TRANSITA</v>
      </c>
      <c r="J30" s="102"/>
      <c r="K30" s="103"/>
      <c r="L30" s="63"/>
      <c r="M30" s="40">
        <f t="shared" si="3"/>
        <v>0</v>
      </c>
      <c r="N30" s="62" t="str">
        <f t="shared" si="4"/>
        <v>N/TRANSITA</v>
      </c>
      <c r="O30" s="102"/>
      <c r="P30" s="103"/>
      <c r="Q30" s="63"/>
      <c r="R30" s="40">
        <f t="shared" si="5"/>
        <v>0</v>
      </c>
      <c r="S30" s="41">
        <f t="shared" si="0"/>
        <v>2</v>
      </c>
      <c r="T30" s="78" t="str">
        <f t="shared" si="6"/>
        <v>N/TRANSITA</v>
      </c>
    </row>
    <row r="31" spans="2:20" ht="14.25" customHeight="1" x14ac:dyDescent="0.3">
      <c r="B31" s="33">
        <v>23</v>
      </c>
      <c r="C31" s="123" t="s">
        <v>100</v>
      </c>
      <c r="D31" s="60"/>
      <c r="E31" s="169">
        <v>18</v>
      </c>
      <c r="F31" s="170">
        <v>15</v>
      </c>
      <c r="G31" s="92"/>
      <c r="H31" s="40">
        <f t="shared" si="1"/>
        <v>16.5</v>
      </c>
      <c r="I31" s="62" t="str">
        <f t="shared" si="2"/>
        <v>TRANSITA</v>
      </c>
      <c r="J31" s="102">
        <v>14</v>
      </c>
      <c r="K31" s="103">
        <v>7</v>
      </c>
      <c r="L31" s="63"/>
      <c r="M31" s="40">
        <f t="shared" si="3"/>
        <v>10.5</v>
      </c>
      <c r="N31" s="62" t="str">
        <f t="shared" si="4"/>
        <v>TRANSITA</v>
      </c>
      <c r="O31" s="102"/>
      <c r="P31" s="103"/>
      <c r="Q31" s="63"/>
      <c r="R31" s="40">
        <f t="shared" si="5"/>
        <v>0</v>
      </c>
      <c r="S31" s="41">
        <f t="shared" si="0"/>
        <v>9</v>
      </c>
      <c r="T31" s="78" t="str">
        <f t="shared" si="6"/>
        <v>N/TRANSITA</v>
      </c>
    </row>
    <row r="32" spans="2:20" ht="14.25" customHeight="1" x14ac:dyDescent="0.3">
      <c r="B32" s="33">
        <v>24</v>
      </c>
      <c r="C32" s="123" t="s">
        <v>101</v>
      </c>
      <c r="D32" s="60"/>
      <c r="E32" s="169"/>
      <c r="F32" s="170"/>
      <c r="G32" s="92"/>
      <c r="H32" s="40">
        <f t="shared" si="1"/>
        <v>0</v>
      </c>
      <c r="I32" s="62" t="str">
        <f t="shared" si="2"/>
        <v>N/TRANSITA</v>
      </c>
      <c r="J32" s="102"/>
      <c r="K32" s="103"/>
      <c r="L32" s="63"/>
      <c r="M32" s="40">
        <f t="shared" si="3"/>
        <v>0</v>
      </c>
      <c r="N32" s="62" t="str">
        <f t="shared" si="4"/>
        <v>N/TRANSITA</v>
      </c>
      <c r="O32" s="102"/>
      <c r="P32" s="103"/>
      <c r="Q32" s="63"/>
      <c r="R32" s="40">
        <f t="shared" si="5"/>
        <v>0</v>
      </c>
      <c r="S32" s="41">
        <f t="shared" si="0"/>
        <v>0</v>
      </c>
      <c r="T32" s="78" t="str">
        <f t="shared" si="6"/>
        <v>N/TRANSITA</v>
      </c>
    </row>
    <row r="33" spans="1:20" ht="14.25" customHeight="1" x14ac:dyDescent="0.3">
      <c r="B33" s="33">
        <v>25</v>
      </c>
      <c r="C33" s="124" t="s">
        <v>102</v>
      </c>
      <c r="D33" s="60"/>
      <c r="E33" s="169">
        <v>10</v>
      </c>
      <c r="F33" s="170"/>
      <c r="G33" s="92"/>
      <c r="H33" s="40">
        <f t="shared" si="1"/>
        <v>5</v>
      </c>
      <c r="I33" s="62" t="str">
        <f t="shared" si="2"/>
        <v>N/TRANSITA</v>
      </c>
      <c r="J33" s="102"/>
      <c r="K33" s="103"/>
      <c r="L33" s="63"/>
      <c r="M33" s="40">
        <f t="shared" si="3"/>
        <v>0</v>
      </c>
      <c r="N33" s="62" t="str">
        <f t="shared" si="4"/>
        <v>N/TRANSITA</v>
      </c>
      <c r="O33" s="102"/>
      <c r="P33" s="103"/>
      <c r="Q33" s="63"/>
      <c r="R33" s="40">
        <f t="shared" si="5"/>
        <v>0</v>
      </c>
      <c r="S33" s="41">
        <f t="shared" si="0"/>
        <v>1.6666666666666667</v>
      </c>
      <c r="T33" s="78" t="str">
        <f t="shared" si="6"/>
        <v>N/TRANSITA</v>
      </c>
    </row>
    <row r="34" spans="1:20" ht="14.25" customHeight="1" x14ac:dyDescent="0.3">
      <c r="B34" s="33">
        <v>26</v>
      </c>
      <c r="C34" s="123" t="s">
        <v>103</v>
      </c>
      <c r="D34" s="60"/>
      <c r="E34" s="169">
        <v>18</v>
      </c>
      <c r="F34" s="170">
        <v>14</v>
      </c>
      <c r="G34" s="92"/>
      <c r="H34" s="40">
        <f t="shared" si="1"/>
        <v>16</v>
      </c>
      <c r="I34" s="62" t="str">
        <f t="shared" si="2"/>
        <v>TRANSITA</v>
      </c>
      <c r="J34" s="102">
        <v>16</v>
      </c>
      <c r="K34" s="103">
        <v>15.5</v>
      </c>
      <c r="L34" s="63"/>
      <c r="M34" s="40">
        <f t="shared" si="3"/>
        <v>15.75</v>
      </c>
      <c r="N34" s="62" t="str">
        <f t="shared" si="4"/>
        <v>TRANSITA</v>
      </c>
      <c r="O34" s="102"/>
      <c r="P34" s="103"/>
      <c r="Q34" s="63"/>
      <c r="R34" s="40">
        <f t="shared" si="5"/>
        <v>0</v>
      </c>
      <c r="S34" s="41">
        <f t="shared" si="0"/>
        <v>10.583333333333334</v>
      </c>
      <c r="T34" s="78" t="str">
        <f t="shared" si="6"/>
        <v>TRANSITA</v>
      </c>
    </row>
    <row r="35" spans="1:20" ht="14.25" customHeight="1" x14ac:dyDescent="0.3">
      <c r="B35" s="33">
        <v>27</v>
      </c>
      <c r="C35" s="124" t="s">
        <v>115</v>
      </c>
      <c r="D35" s="60"/>
      <c r="E35" s="169">
        <v>10</v>
      </c>
      <c r="F35" s="170">
        <v>7</v>
      </c>
      <c r="G35" s="92"/>
      <c r="H35" s="40">
        <f t="shared" si="1"/>
        <v>8.5</v>
      </c>
      <c r="I35" s="62" t="str">
        <f t="shared" si="2"/>
        <v>N/TRANSITA</v>
      </c>
      <c r="J35" s="102">
        <v>0</v>
      </c>
      <c r="K35" s="103">
        <v>6</v>
      </c>
      <c r="L35" s="63"/>
      <c r="M35" s="40">
        <f t="shared" si="3"/>
        <v>3</v>
      </c>
      <c r="N35" s="62" t="str">
        <f t="shared" si="4"/>
        <v>N/TRANSITA</v>
      </c>
      <c r="O35" s="102"/>
      <c r="P35" s="103"/>
      <c r="Q35" s="63"/>
      <c r="R35" s="40">
        <f t="shared" si="5"/>
        <v>0</v>
      </c>
      <c r="S35" s="41">
        <f t="shared" si="0"/>
        <v>3.8333333333333335</v>
      </c>
      <c r="T35" s="78" t="str">
        <f t="shared" si="6"/>
        <v>N/TRANSITA</v>
      </c>
    </row>
    <row r="36" spans="1:20" ht="14.25" customHeight="1" x14ac:dyDescent="0.3">
      <c r="B36" s="33">
        <v>28</v>
      </c>
      <c r="C36" s="124" t="s">
        <v>116</v>
      </c>
      <c r="D36" s="60"/>
      <c r="E36" s="169">
        <v>7</v>
      </c>
      <c r="F36" s="170">
        <v>5</v>
      </c>
      <c r="G36" s="92"/>
      <c r="H36" s="40">
        <f t="shared" si="1"/>
        <v>6</v>
      </c>
      <c r="I36" s="62" t="str">
        <f t="shared" si="2"/>
        <v>N/TRANSITA</v>
      </c>
      <c r="J36" s="102"/>
      <c r="K36" s="103"/>
      <c r="L36" s="63"/>
      <c r="M36" s="40">
        <f t="shared" si="3"/>
        <v>0</v>
      </c>
      <c r="N36" s="62" t="str">
        <f t="shared" si="4"/>
        <v>N/TRANSITA</v>
      </c>
      <c r="O36" s="102"/>
      <c r="P36" s="103"/>
      <c r="Q36" s="63"/>
      <c r="R36" s="40">
        <f t="shared" si="5"/>
        <v>0</v>
      </c>
      <c r="S36" s="41">
        <f t="shared" si="0"/>
        <v>2</v>
      </c>
      <c r="T36" s="78" t="str">
        <f t="shared" si="6"/>
        <v>N/TRANSITA</v>
      </c>
    </row>
    <row r="37" spans="1:20" ht="14.25" customHeight="1" x14ac:dyDescent="0.3">
      <c r="B37" s="33">
        <v>29</v>
      </c>
      <c r="C37" s="123" t="s">
        <v>104</v>
      </c>
      <c r="D37" s="60"/>
      <c r="E37" s="169"/>
      <c r="F37" s="170"/>
      <c r="G37" s="92"/>
      <c r="H37" s="40">
        <f t="shared" si="1"/>
        <v>0</v>
      </c>
      <c r="I37" s="62" t="str">
        <f t="shared" si="2"/>
        <v>N/TRANSITA</v>
      </c>
      <c r="J37" s="102">
        <v>0</v>
      </c>
      <c r="K37" s="103">
        <v>5</v>
      </c>
      <c r="L37" s="63"/>
      <c r="M37" s="40">
        <f t="shared" ref="M37:M39" si="9">AVERAGE(J37,MAX(K37:L37))</f>
        <v>2.5</v>
      </c>
      <c r="N37" s="62" t="str">
        <f t="shared" ref="N37:N39" si="10">IF(M37&gt;=10,"TRANSITA","N/TRANSITA")</f>
        <v>N/TRANSITA</v>
      </c>
      <c r="O37" s="102"/>
      <c r="P37" s="103"/>
      <c r="Q37" s="63"/>
      <c r="R37" s="40">
        <f t="shared" ref="R37:R39" si="11">AVERAGE(O37,MAX(P37:Q37))</f>
        <v>0</v>
      </c>
      <c r="S37" s="41">
        <f t="shared" ref="S37:S39" si="12">SUM(H37,M37,R37)/3</f>
        <v>0.83333333333333337</v>
      </c>
      <c r="T37" s="78" t="str">
        <f t="shared" ref="T37:T39" si="13">IF(S37&gt;=10,"TRANSITA","N/TRANSITA")</f>
        <v>N/TRANSITA</v>
      </c>
    </row>
    <row r="38" spans="1:20" ht="14.25" customHeight="1" x14ac:dyDescent="0.3">
      <c r="B38" s="33">
        <v>30</v>
      </c>
      <c r="C38" s="123" t="s">
        <v>105</v>
      </c>
      <c r="D38" s="60"/>
      <c r="E38" s="169">
        <v>18</v>
      </c>
      <c r="F38" s="170">
        <v>15</v>
      </c>
      <c r="G38" s="92"/>
      <c r="H38" s="40">
        <f t="shared" si="1"/>
        <v>16.5</v>
      </c>
      <c r="I38" s="62" t="str">
        <f t="shared" si="2"/>
        <v>TRANSITA</v>
      </c>
      <c r="J38" s="102">
        <v>15</v>
      </c>
      <c r="K38" s="103">
        <v>7.5</v>
      </c>
      <c r="L38" s="63"/>
      <c r="M38" s="40">
        <f t="shared" si="9"/>
        <v>11.25</v>
      </c>
      <c r="N38" s="62" t="str">
        <f t="shared" si="10"/>
        <v>TRANSITA</v>
      </c>
      <c r="O38" s="102"/>
      <c r="P38" s="103"/>
      <c r="Q38" s="63"/>
      <c r="R38" s="40">
        <f t="shared" si="11"/>
        <v>0</v>
      </c>
      <c r="S38" s="41">
        <f t="shared" si="12"/>
        <v>9.25</v>
      </c>
      <c r="T38" s="78" t="str">
        <f t="shared" si="13"/>
        <v>N/TRANSITA</v>
      </c>
    </row>
    <row r="39" spans="1:20" ht="14.25" customHeight="1" x14ac:dyDescent="0.3">
      <c r="B39" s="33">
        <v>31</v>
      </c>
      <c r="C39" s="124" t="s">
        <v>106</v>
      </c>
      <c r="D39" s="60"/>
      <c r="E39" s="169">
        <v>7</v>
      </c>
      <c r="F39" s="170">
        <v>11</v>
      </c>
      <c r="G39" s="92"/>
      <c r="H39" s="40">
        <f t="shared" si="1"/>
        <v>9</v>
      </c>
      <c r="I39" s="62" t="str">
        <f t="shared" si="2"/>
        <v>N/TRANSITA</v>
      </c>
      <c r="J39" s="102">
        <v>0</v>
      </c>
      <c r="K39" s="103">
        <v>5</v>
      </c>
      <c r="L39" s="63"/>
      <c r="M39" s="40">
        <f t="shared" si="9"/>
        <v>2.5</v>
      </c>
      <c r="N39" s="62" t="str">
        <f t="shared" si="10"/>
        <v>N/TRANSITA</v>
      </c>
      <c r="O39" s="102"/>
      <c r="P39" s="103"/>
      <c r="Q39" s="63"/>
      <c r="R39" s="40">
        <f t="shared" si="11"/>
        <v>0</v>
      </c>
      <c r="S39" s="41">
        <f t="shared" si="12"/>
        <v>3.8333333333333335</v>
      </c>
      <c r="T39" s="78" t="str">
        <f t="shared" si="13"/>
        <v>N/TRANSITA</v>
      </c>
    </row>
    <row r="40" spans="1:20" ht="14.25" customHeight="1" x14ac:dyDescent="0.3">
      <c r="B40" s="33">
        <v>32</v>
      </c>
      <c r="C40" s="124" t="s">
        <v>107</v>
      </c>
      <c r="D40" s="60"/>
      <c r="E40" s="169">
        <v>10</v>
      </c>
      <c r="F40" s="170"/>
      <c r="G40" s="92"/>
      <c r="H40" s="40">
        <f t="shared" si="1"/>
        <v>5</v>
      </c>
      <c r="I40" s="62" t="str">
        <f t="shared" si="2"/>
        <v>N/TRANSITA</v>
      </c>
      <c r="J40" s="102">
        <v>0</v>
      </c>
      <c r="K40" s="103">
        <v>5</v>
      </c>
      <c r="L40" s="63"/>
      <c r="M40" s="40">
        <f t="shared" si="3"/>
        <v>2.5</v>
      </c>
      <c r="N40" s="62" t="str">
        <f t="shared" si="4"/>
        <v>N/TRANSITA</v>
      </c>
      <c r="O40" s="102"/>
      <c r="P40" s="103"/>
      <c r="Q40" s="63"/>
      <c r="R40" s="40">
        <f t="shared" si="5"/>
        <v>0</v>
      </c>
      <c r="S40" s="41">
        <f t="shared" si="0"/>
        <v>2.5</v>
      </c>
      <c r="T40" s="78" t="str">
        <f t="shared" si="6"/>
        <v>N/TRANSITA</v>
      </c>
    </row>
    <row r="41" spans="1:20" ht="14.25" customHeight="1" x14ac:dyDescent="0.3">
      <c r="B41" s="33">
        <v>33</v>
      </c>
      <c r="C41" s="123" t="s">
        <v>108</v>
      </c>
      <c r="D41" s="60"/>
      <c r="E41" s="169"/>
      <c r="F41" s="170"/>
      <c r="G41" s="92"/>
      <c r="H41" s="40">
        <f t="shared" si="1"/>
        <v>0</v>
      </c>
      <c r="I41" s="62" t="str">
        <f t="shared" si="2"/>
        <v>N/TRANSITA</v>
      </c>
      <c r="J41" s="102"/>
      <c r="K41" s="103"/>
      <c r="L41" s="63"/>
      <c r="M41" s="40">
        <f t="shared" si="3"/>
        <v>0</v>
      </c>
      <c r="N41" s="62" t="str">
        <f t="shared" si="4"/>
        <v>N/TRANSITA</v>
      </c>
      <c r="O41" s="102"/>
      <c r="P41" s="103"/>
      <c r="Q41" s="63"/>
      <c r="R41" s="40">
        <f t="shared" si="5"/>
        <v>0</v>
      </c>
      <c r="S41" s="41">
        <f t="shared" si="0"/>
        <v>0</v>
      </c>
      <c r="T41" s="78" t="str">
        <f t="shared" si="6"/>
        <v>N/TRANSITA</v>
      </c>
    </row>
    <row r="42" spans="1:20" ht="14.25" customHeight="1" x14ac:dyDescent="0.3">
      <c r="B42" s="33">
        <v>34</v>
      </c>
      <c r="C42" s="123" t="s">
        <v>109</v>
      </c>
      <c r="D42" s="60"/>
      <c r="E42" s="169">
        <v>12</v>
      </c>
      <c r="F42" s="170">
        <v>9</v>
      </c>
      <c r="G42" s="92"/>
      <c r="H42" s="40">
        <f t="shared" si="1"/>
        <v>10.5</v>
      </c>
      <c r="I42" s="62" t="str">
        <f t="shared" si="2"/>
        <v>TRANSITA</v>
      </c>
      <c r="J42" s="102">
        <v>12</v>
      </c>
      <c r="K42" s="103">
        <v>8</v>
      </c>
      <c r="L42" s="63"/>
      <c r="M42" s="40">
        <f t="shared" si="3"/>
        <v>10</v>
      </c>
      <c r="N42" s="62" t="str">
        <f t="shared" si="4"/>
        <v>TRANSITA</v>
      </c>
      <c r="O42" s="102"/>
      <c r="P42" s="103"/>
      <c r="Q42" s="63"/>
      <c r="R42" s="40">
        <f t="shared" si="5"/>
        <v>0</v>
      </c>
      <c r="S42" s="41">
        <f t="shared" si="0"/>
        <v>6.833333333333333</v>
      </c>
      <c r="T42" s="78" t="str">
        <f t="shared" si="6"/>
        <v>N/TRANSITA</v>
      </c>
    </row>
    <row r="43" spans="1:20" ht="14.25" customHeight="1" x14ac:dyDescent="0.3">
      <c r="B43" s="33">
        <v>35</v>
      </c>
      <c r="C43" s="123" t="s">
        <v>110</v>
      </c>
      <c r="D43" s="60"/>
      <c r="E43" s="169">
        <v>18</v>
      </c>
      <c r="F43" s="170">
        <v>14</v>
      </c>
      <c r="G43" s="92"/>
      <c r="H43" s="40">
        <f t="shared" si="1"/>
        <v>16</v>
      </c>
      <c r="I43" s="62" t="str">
        <f t="shared" si="2"/>
        <v>TRANSITA</v>
      </c>
      <c r="J43" s="102">
        <v>14</v>
      </c>
      <c r="K43" s="103">
        <v>7</v>
      </c>
      <c r="L43" s="63"/>
      <c r="M43" s="40">
        <f t="shared" si="3"/>
        <v>10.5</v>
      </c>
      <c r="N43" s="62" t="str">
        <f t="shared" si="4"/>
        <v>TRANSITA</v>
      </c>
      <c r="O43" s="102"/>
      <c r="P43" s="103"/>
      <c r="Q43" s="63"/>
      <c r="R43" s="40">
        <f t="shared" si="5"/>
        <v>0</v>
      </c>
      <c r="S43" s="41">
        <f t="shared" si="0"/>
        <v>8.8333333333333339</v>
      </c>
      <c r="T43" s="78" t="str">
        <f t="shared" si="6"/>
        <v>N/TRANSITA</v>
      </c>
    </row>
    <row r="44" spans="1:20" ht="14.25" customHeight="1" x14ac:dyDescent="0.3">
      <c r="B44" s="33">
        <v>36</v>
      </c>
      <c r="C44" s="124" t="s">
        <v>111</v>
      </c>
      <c r="D44" s="60"/>
      <c r="E44" s="169">
        <v>10</v>
      </c>
      <c r="F44" s="170">
        <v>16</v>
      </c>
      <c r="G44" s="92"/>
      <c r="H44" s="40">
        <f t="shared" si="1"/>
        <v>13</v>
      </c>
      <c r="I44" s="62" t="str">
        <f t="shared" si="2"/>
        <v>TRANSITA</v>
      </c>
      <c r="J44" s="102">
        <v>14</v>
      </c>
      <c r="K44" s="103">
        <v>7</v>
      </c>
      <c r="L44" s="63"/>
      <c r="M44" s="40">
        <f t="shared" si="3"/>
        <v>10.5</v>
      </c>
      <c r="N44" s="62" t="str">
        <f t="shared" si="4"/>
        <v>TRANSITA</v>
      </c>
      <c r="O44" s="102"/>
      <c r="P44" s="103"/>
      <c r="Q44" s="63"/>
      <c r="R44" s="40">
        <f t="shared" si="5"/>
        <v>0</v>
      </c>
      <c r="S44" s="41">
        <f t="shared" ref="S44:S46" si="14">SUM(H44,M44,R44)/3</f>
        <v>7.833333333333333</v>
      </c>
      <c r="T44" s="78" t="str">
        <f t="shared" si="6"/>
        <v>N/TRANSITA</v>
      </c>
    </row>
    <row r="45" spans="1:20" ht="14.25" customHeight="1" x14ac:dyDescent="0.3">
      <c r="B45" s="33">
        <v>37</v>
      </c>
      <c r="C45" s="123" t="s">
        <v>112</v>
      </c>
      <c r="D45" s="60"/>
      <c r="E45" s="169">
        <v>10</v>
      </c>
      <c r="F45" s="170">
        <v>11</v>
      </c>
      <c r="G45" s="92"/>
      <c r="H45" s="40">
        <f t="shared" si="1"/>
        <v>10.5</v>
      </c>
      <c r="I45" s="62" t="str">
        <f t="shared" si="2"/>
        <v>TRANSITA</v>
      </c>
      <c r="J45" s="102"/>
      <c r="K45" s="103"/>
      <c r="L45" s="63"/>
      <c r="M45" s="40">
        <f t="shared" si="3"/>
        <v>0</v>
      </c>
      <c r="N45" s="62" t="str">
        <f t="shared" si="4"/>
        <v>N/TRANSITA</v>
      </c>
      <c r="O45" s="102"/>
      <c r="P45" s="103"/>
      <c r="Q45" s="63"/>
      <c r="R45" s="40">
        <f t="shared" si="5"/>
        <v>0</v>
      </c>
      <c r="S45" s="41">
        <f t="shared" si="14"/>
        <v>3.5</v>
      </c>
      <c r="T45" s="78" t="str">
        <f t="shared" si="6"/>
        <v>N/TRANSITA</v>
      </c>
    </row>
    <row r="46" spans="1:20" ht="14.25" customHeight="1" thickBot="1" x14ac:dyDescent="0.35">
      <c r="B46" s="33">
        <v>38</v>
      </c>
      <c r="C46" s="125" t="s">
        <v>113</v>
      </c>
      <c r="D46" s="61"/>
      <c r="E46" s="171"/>
      <c r="F46" s="172"/>
      <c r="G46" s="94"/>
      <c r="H46" s="146">
        <f t="shared" si="1"/>
        <v>0</v>
      </c>
      <c r="I46" s="72" t="str">
        <f t="shared" si="2"/>
        <v>N/TRANSITA</v>
      </c>
      <c r="J46" s="104"/>
      <c r="K46" s="105"/>
      <c r="L46" s="66"/>
      <c r="M46" s="146">
        <f t="shared" si="3"/>
        <v>0</v>
      </c>
      <c r="N46" s="72" t="str">
        <f t="shared" si="4"/>
        <v>N/TRANSITA</v>
      </c>
      <c r="O46" s="104"/>
      <c r="P46" s="105"/>
      <c r="Q46" s="66"/>
      <c r="R46" s="146">
        <f t="shared" si="5"/>
        <v>0</v>
      </c>
      <c r="S46" s="42">
        <f t="shared" si="14"/>
        <v>0</v>
      </c>
      <c r="T46" s="79" t="str">
        <f t="shared" si="6"/>
        <v>N/TRANSITA</v>
      </c>
    </row>
    <row r="47" spans="1:20" ht="93.75" customHeight="1" thickTop="1" x14ac:dyDescent="0.3">
      <c r="B47" s="19"/>
      <c r="C47" s="19"/>
      <c r="D47" s="19"/>
      <c r="E47" s="19"/>
      <c r="F47" s="19"/>
      <c r="G47" s="19"/>
      <c r="H47" s="19"/>
      <c r="I47" s="19"/>
      <c r="J47" s="19"/>
      <c r="O47" s="19"/>
      <c r="P47" s="19"/>
      <c r="Q47" s="19"/>
      <c r="R47" s="19"/>
      <c r="S47" s="19"/>
      <c r="T47" s="19"/>
    </row>
    <row r="48" spans="1:20" ht="20.25" customHeight="1" x14ac:dyDescent="0.45">
      <c r="A48" s="20"/>
      <c r="B48" s="20"/>
      <c r="C48" s="20"/>
      <c r="D48" s="20"/>
      <c r="E48" s="20"/>
      <c r="F48" s="20"/>
      <c r="G48" s="20"/>
      <c r="H48" s="20"/>
      <c r="I48" s="20"/>
      <c r="J48" s="20"/>
      <c r="O48" s="20"/>
      <c r="P48" s="21"/>
      <c r="Q48" s="21"/>
      <c r="R48" s="21"/>
      <c r="S48" s="20"/>
      <c r="T48" s="20"/>
    </row>
    <row r="49" spans="1:20" ht="15.6" x14ac:dyDescent="0.3">
      <c r="A49" s="248" t="s">
        <v>50</v>
      </c>
      <c r="B49" s="248"/>
      <c r="C49" s="248"/>
      <c r="D49" s="248"/>
      <c r="E49" s="248"/>
      <c r="F49" s="22"/>
      <c r="G49" s="22"/>
      <c r="H49" s="22"/>
      <c r="I49" s="22"/>
      <c r="J49" s="22"/>
      <c r="K49" s="23"/>
      <c r="L49" s="23"/>
      <c r="M49" s="23"/>
      <c r="N49" s="23"/>
      <c r="O49" s="248" t="s">
        <v>9</v>
      </c>
      <c r="P49" s="248"/>
      <c r="Q49" s="248"/>
      <c r="R49" s="248"/>
      <c r="S49" s="248"/>
      <c r="T49" s="248"/>
    </row>
    <row r="50" spans="1:20" ht="15.6" x14ac:dyDescent="0.3">
      <c r="A50" s="249" t="s">
        <v>21</v>
      </c>
      <c r="B50" s="249"/>
      <c r="C50" s="249"/>
      <c r="D50" s="249"/>
      <c r="E50" s="249"/>
      <c r="F50" s="24"/>
      <c r="G50" s="24"/>
      <c r="H50" s="24"/>
      <c r="I50" s="24"/>
      <c r="J50" s="24"/>
      <c r="O50" s="250" t="s">
        <v>22</v>
      </c>
      <c r="P50" s="250"/>
      <c r="Q50" s="250"/>
      <c r="R50" s="250"/>
      <c r="S50" s="250"/>
      <c r="T50" s="250"/>
    </row>
    <row r="51" spans="1:20" x14ac:dyDescent="0.3">
      <c r="A51" s="242"/>
      <c r="B51" s="242"/>
      <c r="C51" s="242"/>
      <c r="D51" s="242"/>
      <c r="E51" s="242"/>
      <c r="O51" s="242" t="s">
        <v>23</v>
      </c>
      <c r="P51" s="242"/>
      <c r="Q51" s="242"/>
      <c r="R51" s="242"/>
      <c r="S51" s="242"/>
      <c r="T51" s="242"/>
    </row>
  </sheetData>
  <mergeCells count="22">
    <mergeCell ref="B6:T6"/>
    <mergeCell ref="B5:C5"/>
    <mergeCell ref="A1:T1"/>
    <mergeCell ref="B3:R3"/>
    <mergeCell ref="B4:C4"/>
    <mergeCell ref="P4:T4"/>
    <mergeCell ref="N5:T5"/>
    <mergeCell ref="A51:E51"/>
    <mergeCell ref="O51:T51"/>
    <mergeCell ref="S7:S8"/>
    <mergeCell ref="T7:T8"/>
    <mergeCell ref="A49:E49"/>
    <mergeCell ref="O49:T49"/>
    <mergeCell ref="A50:E50"/>
    <mergeCell ref="O50:T50"/>
    <mergeCell ref="B7:B8"/>
    <mergeCell ref="C7:C8"/>
    <mergeCell ref="E7:H7"/>
    <mergeCell ref="J7:M7"/>
    <mergeCell ref="O7:R7"/>
    <mergeCell ref="I7:I8"/>
    <mergeCell ref="N7:N8"/>
  </mergeCells>
  <conditionalFormatting sqref="S9:S46">
    <cfRule type="cellIs" dxfId="21" priority="155" stopIfTrue="1" operator="greaterThan">
      <formula>9.5</formula>
    </cfRule>
    <cfRule type="cellIs" dxfId="20" priority="156" stopIfTrue="1" operator="lessThanOrEqual">
      <formula>9.5</formula>
    </cfRule>
  </conditionalFormatting>
  <conditionalFormatting sqref="M9:M46 R9:R46">
    <cfRule type="cellIs" dxfId="19" priority="133" stopIfTrue="1" operator="lessThan">
      <formula>10</formula>
    </cfRule>
    <cfRule type="cellIs" dxfId="18" priority="134" stopIfTrue="1" operator="greaterThanOrEqual">
      <formula>10</formula>
    </cfRule>
  </conditionalFormatting>
  <conditionalFormatting sqref="L9:L46 O9:Q46">
    <cfRule type="cellIs" dxfId="17" priority="33" stopIfTrue="1" operator="lessThan">
      <formula>10</formula>
    </cfRule>
    <cfRule type="cellIs" dxfId="16" priority="34" stopIfTrue="1" operator="greaterThan">
      <formula>9</formula>
    </cfRule>
    <cfRule type="cellIs" dxfId="15" priority="35" stopIfTrue="1" operator="lessThan">
      <formula>10</formula>
    </cfRule>
    <cfRule type="cellIs" dxfId="14" priority="36" stopIfTrue="1" operator="greaterThan">
      <formula>9</formula>
    </cfRule>
  </conditionalFormatting>
  <conditionalFormatting sqref="H9:H46">
    <cfRule type="cellIs" dxfId="13" priority="11" stopIfTrue="1" operator="lessThan">
      <formula>10</formula>
    </cfRule>
    <cfRule type="cellIs" dxfId="12" priority="12" stopIfTrue="1" operator="greaterThanOrEqual">
      <formula>10</formula>
    </cfRule>
  </conditionalFormatting>
  <conditionalFormatting sqref="G9:G46 J9:K46">
    <cfRule type="cellIs" dxfId="11" priority="5" stopIfTrue="1" operator="lessThan">
      <formula>10</formula>
    </cfRule>
    <cfRule type="cellIs" dxfId="10" priority="6" stopIfTrue="1" operator="greaterThan">
      <formula>9</formula>
    </cfRule>
    <cfRule type="cellIs" dxfId="9" priority="7" stopIfTrue="1" operator="lessThan">
      <formula>10</formula>
    </cfRule>
    <cfRule type="cellIs" dxfId="8" priority="8" stopIfTrue="1" operator="greaterThan">
      <formula>9</formula>
    </cfRule>
  </conditionalFormatting>
  <conditionalFormatting sqref="E9:F46">
    <cfRule type="cellIs" dxfId="7" priority="1" stopIfTrue="1" operator="lessThan">
      <formula>10</formula>
    </cfRule>
    <cfRule type="cellIs" dxfId="6" priority="2" stopIfTrue="1" operator="greaterThan">
      <formula>9</formula>
    </cfRule>
    <cfRule type="cellIs" dxfId="5" priority="3" stopIfTrue="1" operator="lessThan">
      <formula>10</formula>
    </cfRule>
    <cfRule type="cellIs" dxfId="4" priority="4" stopIfTrue="1" operator="greaterThan">
      <formula>9</formula>
    </cfRule>
  </conditionalFormatting>
  <dataValidations count="1">
    <dataValidation type="decimal" allowBlank="1" showInputMessage="1" showErrorMessage="1" errorTitle="ATENÇÃO!" error="O valor introduzido não é válido. Grato!" sqref="O9:Q46 J9:L46 E9:G46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13313" r:id="rId4">
          <objectPr defaultSize="0" r:id="rId5">
            <anchor moveWithCells="1">
              <from>
                <xdr:col>1</xdr:col>
                <xdr:colOff>60960</xdr:colOff>
                <xdr:row>46</xdr:row>
                <xdr:rowOff>160020</xdr:rowOff>
              </from>
              <to>
                <xdr:col>13</xdr:col>
                <xdr:colOff>175260</xdr:colOff>
                <xdr:row>48</xdr:row>
                <xdr:rowOff>22860</xdr:rowOff>
              </to>
            </anchor>
          </objectPr>
        </oleObject>
      </mc:Choice>
      <mc:Fallback>
        <oleObject progId="Word.Document.8" shapeId="13313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1" stopIfTrue="1" operator="containsText" id="{D52883B5-7EC4-40FF-8824-1AF567AAC214}">
            <xm:f>NOT(ISERROR(SEARCH("N/TRANSITA",N9)))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42" stopIfTrue="1" operator="containsText" id="{BE16F3DD-E60B-4D80-A2C5-A94FC125F307}">
            <xm:f>NOT(ISERROR(SEARCH("TRANSITA",N9)))</xm:f>
            <xm:f>"TRANSITA"</xm:f>
            <x14:dxf>
              <font>
                <b/>
                <i val="0"/>
                <color rgb="FF0000FF"/>
              </font>
            </x14:dxf>
          </x14:cfRule>
          <xm:sqref>N9:N46 T9:T46</xm:sqref>
        </x14:conditionalFormatting>
        <x14:conditionalFormatting xmlns:xm="http://schemas.microsoft.com/office/excel/2006/main">
          <x14:cfRule type="containsText" priority="9" stopIfTrue="1" operator="containsText" id="{3454B9D5-D73A-493A-8E38-E019419666C4}">
            <xm:f>NOT(ISERROR(SEARCH("N/TRANSITA",I9)))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0" stopIfTrue="1" operator="containsText" id="{D3956FF1-FF62-4D1A-9A0B-7BFDA66DFB6F}">
            <xm:f>NOT(ISERROR(SEARCH("TRANSITA",I9)))</xm:f>
            <xm:f>"TRANSITA"</xm:f>
            <x14:dxf>
              <font>
                <b/>
                <i val="0"/>
                <color rgb="FF0000FF"/>
              </font>
            </x14:dxf>
          </x14:cfRule>
          <xm:sqref>I9:I46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EDITAL - 10ª CEJ-UNICA (I TRIM)</vt:lpstr>
      <vt:lpstr>EDITAL - 10ª CEJ-UNICA II TRIM</vt:lpstr>
      <vt:lpstr>10ªCEJ-U-L PORT</vt:lpstr>
      <vt:lpstr>10ªCEJ-U-INGLES</vt:lpstr>
      <vt:lpstr>10ªCEJ-U-MAT</vt:lpstr>
      <vt:lpstr>10ªCEJ-U-INFOR</vt:lpstr>
      <vt:lpstr>10ªCEJ-U-ED. FIS</vt:lpstr>
      <vt:lpstr>10ªCEJ-U-INT. DTO</vt:lpstr>
      <vt:lpstr>10ªCEJ-U-INT. ECO</vt:lpstr>
      <vt:lpstr>10ªCEJ-U-HIST.</vt:lpstr>
      <vt:lpstr>10ªCEJ-U-GEO</vt:lpstr>
      <vt:lpstr>10ªCEJ-U-EMPREEND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fuene</dc:creator>
  <cp:lastModifiedBy>SP JM</cp:lastModifiedBy>
  <cp:lastPrinted>2023-05-18T19:15:36Z</cp:lastPrinted>
  <dcterms:created xsi:type="dcterms:W3CDTF">2021-10-18T14:18:43Z</dcterms:created>
  <dcterms:modified xsi:type="dcterms:W3CDTF">2026-04-07T11:21:59Z</dcterms:modified>
</cp:coreProperties>
</file>