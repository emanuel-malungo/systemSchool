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eLivro"/>
  <mc:AlternateContent xmlns:mc="http://schemas.openxmlformats.org/markup-compatibility/2006">
    <mc:Choice Requires="x15">
      <x15ac:absPath xmlns:x15ac="http://schemas.microsoft.com/office/spreadsheetml/2010/11/ac" url="F:\DOCUMENTOS-SDP-CEITPSJM-2025-2026\SUPERVISÃO DE TURNOS\VESPERTINO\SAUDE\EG\12CL - EG-A - EDSON DE OLIVEIRA\"/>
    </mc:Choice>
  </mc:AlternateContent>
  <bookViews>
    <workbookView xWindow="0" yWindow="0" windowWidth="20496" windowHeight="7752" tabRatio="921" activeTab="1"/>
  </bookViews>
  <sheets>
    <sheet name="1ºT-12ª-EG-A-PAUTA" sheetId="13" r:id="rId1"/>
    <sheet name="2ºT-12ª-EG-A-PAUTA" sheetId="17" r:id="rId2"/>
    <sheet name="12EG -A- S.COLECT." sheetId="16" r:id="rId3"/>
    <sheet name="12EG -A- S. MENTAL" sheetId="11" r:id="rId4"/>
    <sheet name="12EG -A- EPIDEMIOL." sheetId="10" r:id="rId5"/>
    <sheet name="12EG-A- F.A.E" sheetId="9" r:id="rId6"/>
    <sheet name="12EG -A- URGÊNCIA" sheetId="3" r:id="rId7"/>
    <sheet name="12EG -A- N.D" sheetId="8" r:id="rId8"/>
    <sheet name="12EG -A- A.E.P.M.C" sheetId="7" r:id="rId9"/>
    <sheet name="12EG -A- TEC. ENFER" sheetId="6" r:id="rId10"/>
    <sheet name="12EG -A- A.E.S.M" sheetId="5" r:id="rId11"/>
    <sheet name="12EG -A- PROJ. TEC" sheetId="2" r:id="rId12"/>
    <sheet name="12EG -A- A.E.S.Ç" sheetId="4" r:id="rId13"/>
    <sheet name="12EG -A- GESTÃO ENF." sheetId="1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" i="17" l="1"/>
  <c r="N18" i="17"/>
  <c r="Q18" i="17"/>
  <c r="T18" i="17"/>
  <c r="W18" i="17"/>
  <c r="Z18" i="17"/>
  <c r="AC18" i="17"/>
  <c r="AF18" i="17"/>
  <c r="AI18" i="17"/>
  <c r="AL18" i="17"/>
  <c r="AO18" i="17"/>
  <c r="K19" i="17"/>
  <c r="N19" i="17"/>
  <c r="Q19" i="17"/>
  <c r="T19" i="17"/>
  <c r="W19" i="17"/>
  <c r="Z19" i="17"/>
  <c r="AC19" i="17"/>
  <c r="AF19" i="17"/>
  <c r="AI19" i="17"/>
  <c r="AL19" i="17"/>
  <c r="AO19" i="17"/>
  <c r="K20" i="17"/>
  <c r="N20" i="17"/>
  <c r="Q20" i="17"/>
  <c r="T20" i="17"/>
  <c r="W20" i="17"/>
  <c r="Z20" i="17"/>
  <c r="AC20" i="17"/>
  <c r="AF20" i="17"/>
  <c r="AI20" i="17"/>
  <c r="AL20" i="17"/>
  <c r="AO20" i="17"/>
  <c r="K21" i="17"/>
  <c r="N21" i="17"/>
  <c r="Q21" i="17"/>
  <c r="T21" i="17"/>
  <c r="W21" i="17"/>
  <c r="Z21" i="17"/>
  <c r="AC21" i="17"/>
  <c r="AF21" i="17"/>
  <c r="AI21" i="17"/>
  <c r="AL21" i="17"/>
  <c r="AO21" i="17"/>
  <c r="K22" i="17"/>
  <c r="N22" i="17"/>
  <c r="Q22" i="17"/>
  <c r="T22" i="17"/>
  <c r="W22" i="17"/>
  <c r="Z22" i="17"/>
  <c r="AC22" i="17"/>
  <c r="AF22" i="17"/>
  <c r="AI22" i="17"/>
  <c r="AL22" i="17"/>
  <c r="AO22" i="17"/>
  <c r="K23" i="17"/>
  <c r="N23" i="17"/>
  <c r="Q23" i="17"/>
  <c r="T23" i="17"/>
  <c r="W23" i="17"/>
  <c r="Z23" i="17"/>
  <c r="AC23" i="17"/>
  <c r="AF23" i="17"/>
  <c r="AI23" i="17"/>
  <c r="AL23" i="17"/>
  <c r="AO23" i="17"/>
  <c r="K24" i="17"/>
  <c r="N24" i="17"/>
  <c r="Q24" i="17"/>
  <c r="T24" i="17"/>
  <c r="W24" i="17"/>
  <c r="Z24" i="17"/>
  <c r="AC24" i="17"/>
  <c r="AF24" i="17"/>
  <c r="AI24" i="17"/>
  <c r="AL24" i="17"/>
  <c r="AO24" i="17"/>
  <c r="K25" i="17"/>
  <c r="N25" i="17"/>
  <c r="Q25" i="17"/>
  <c r="T25" i="17"/>
  <c r="W25" i="17"/>
  <c r="Z25" i="17"/>
  <c r="AC25" i="17"/>
  <c r="AF25" i="17"/>
  <c r="AI25" i="17"/>
  <c r="AL25" i="17"/>
  <c r="AO25" i="17"/>
  <c r="K26" i="17"/>
  <c r="N26" i="17"/>
  <c r="Q26" i="17"/>
  <c r="T26" i="17"/>
  <c r="W26" i="17"/>
  <c r="Z26" i="17"/>
  <c r="AC26" i="17"/>
  <c r="AF26" i="17"/>
  <c r="AI26" i="17"/>
  <c r="AL26" i="17"/>
  <c r="AO26" i="17"/>
  <c r="K27" i="17"/>
  <c r="N27" i="17"/>
  <c r="Q27" i="17"/>
  <c r="T27" i="17"/>
  <c r="W27" i="17"/>
  <c r="Z27" i="17"/>
  <c r="AC27" i="17"/>
  <c r="AF27" i="17"/>
  <c r="AI27" i="17"/>
  <c r="AL27" i="17"/>
  <c r="AO27" i="17"/>
  <c r="K28" i="17"/>
  <c r="N28" i="17"/>
  <c r="Q28" i="17"/>
  <c r="T28" i="17"/>
  <c r="W28" i="17"/>
  <c r="Z28" i="17"/>
  <c r="AC28" i="17"/>
  <c r="AF28" i="17"/>
  <c r="AI28" i="17"/>
  <c r="AL28" i="17"/>
  <c r="AO28" i="17"/>
  <c r="K29" i="17"/>
  <c r="N29" i="17"/>
  <c r="Q29" i="17"/>
  <c r="T29" i="17"/>
  <c r="W29" i="17"/>
  <c r="Z29" i="17"/>
  <c r="AC29" i="17"/>
  <c r="AF29" i="17"/>
  <c r="AI29" i="17"/>
  <c r="AL29" i="17"/>
  <c r="AO29" i="17"/>
  <c r="K30" i="17"/>
  <c r="N30" i="17"/>
  <c r="Q30" i="17"/>
  <c r="T30" i="17"/>
  <c r="W30" i="17"/>
  <c r="Z30" i="17"/>
  <c r="AC30" i="17"/>
  <c r="AF30" i="17"/>
  <c r="AI30" i="17"/>
  <c r="AL30" i="17"/>
  <c r="AO30" i="17"/>
  <c r="K31" i="17"/>
  <c r="N31" i="17"/>
  <c r="Q31" i="17"/>
  <c r="T31" i="17"/>
  <c r="W31" i="17"/>
  <c r="Z31" i="17"/>
  <c r="AC31" i="17"/>
  <c r="AF31" i="17"/>
  <c r="AI31" i="17"/>
  <c r="AL31" i="17"/>
  <c r="AO31" i="17"/>
  <c r="K32" i="17"/>
  <c r="N32" i="17"/>
  <c r="Q32" i="17"/>
  <c r="T32" i="17"/>
  <c r="W32" i="17"/>
  <c r="Z32" i="17"/>
  <c r="AC32" i="17"/>
  <c r="AF32" i="17"/>
  <c r="AI32" i="17"/>
  <c r="AL32" i="17"/>
  <c r="AO32" i="17"/>
  <c r="K33" i="17"/>
  <c r="N33" i="17"/>
  <c r="Q33" i="17"/>
  <c r="T33" i="17"/>
  <c r="W33" i="17"/>
  <c r="Z33" i="17"/>
  <c r="AC33" i="17"/>
  <c r="AF33" i="17"/>
  <c r="AI33" i="17"/>
  <c r="AL33" i="17"/>
  <c r="AO33" i="17"/>
  <c r="K34" i="17"/>
  <c r="N34" i="17"/>
  <c r="Q34" i="17"/>
  <c r="T34" i="17"/>
  <c r="W34" i="17"/>
  <c r="Z34" i="17"/>
  <c r="AC34" i="17"/>
  <c r="AF34" i="17"/>
  <c r="AI34" i="17"/>
  <c r="AL34" i="17"/>
  <c r="AO34" i="17"/>
  <c r="K35" i="17"/>
  <c r="N35" i="17"/>
  <c r="Q35" i="17"/>
  <c r="T35" i="17"/>
  <c r="W35" i="17"/>
  <c r="Z35" i="17"/>
  <c r="AC35" i="17"/>
  <c r="AF35" i="17"/>
  <c r="AI35" i="17"/>
  <c r="AL35" i="17"/>
  <c r="AO35" i="17"/>
  <c r="K36" i="17"/>
  <c r="N36" i="17"/>
  <c r="Q36" i="17"/>
  <c r="T36" i="17"/>
  <c r="W36" i="17"/>
  <c r="Z36" i="17"/>
  <c r="AC36" i="17"/>
  <c r="AF36" i="17"/>
  <c r="AI36" i="17"/>
  <c r="AL36" i="17"/>
  <c r="AO36" i="17"/>
  <c r="K37" i="17"/>
  <c r="N37" i="17"/>
  <c r="Q37" i="17"/>
  <c r="T37" i="17"/>
  <c r="W37" i="17"/>
  <c r="Z37" i="17"/>
  <c r="AC37" i="17"/>
  <c r="AF37" i="17"/>
  <c r="AI37" i="17"/>
  <c r="AL37" i="17"/>
  <c r="AO37" i="17"/>
  <c r="K38" i="17"/>
  <c r="N38" i="17"/>
  <c r="Q38" i="17"/>
  <c r="T38" i="17"/>
  <c r="W38" i="17"/>
  <c r="Z38" i="17"/>
  <c r="AC38" i="17"/>
  <c r="AF38" i="17"/>
  <c r="AI38" i="17"/>
  <c r="AL38" i="17"/>
  <c r="AO38" i="17"/>
  <c r="K39" i="17"/>
  <c r="N39" i="17"/>
  <c r="Q39" i="17"/>
  <c r="T39" i="17"/>
  <c r="W39" i="17"/>
  <c r="Z39" i="17"/>
  <c r="AC39" i="17"/>
  <c r="AF39" i="17"/>
  <c r="AI39" i="17"/>
  <c r="AL39" i="17"/>
  <c r="AO39" i="17"/>
  <c r="K40" i="17"/>
  <c r="N40" i="17"/>
  <c r="Q40" i="17"/>
  <c r="T40" i="17"/>
  <c r="W40" i="17"/>
  <c r="Z40" i="17"/>
  <c r="AC40" i="17"/>
  <c r="AF40" i="17"/>
  <c r="AI40" i="17"/>
  <c r="AL40" i="17"/>
  <c r="AO40" i="17"/>
  <c r="K41" i="17"/>
  <c r="N41" i="17"/>
  <c r="Q41" i="17"/>
  <c r="T41" i="17"/>
  <c r="W41" i="17"/>
  <c r="Z41" i="17"/>
  <c r="AC41" i="17"/>
  <c r="AF41" i="17"/>
  <c r="AI41" i="17"/>
  <c r="AL41" i="17"/>
  <c r="AO41" i="17"/>
  <c r="K42" i="17"/>
  <c r="N42" i="17"/>
  <c r="Q42" i="17"/>
  <c r="T42" i="17"/>
  <c r="W42" i="17"/>
  <c r="Z42" i="17"/>
  <c r="AC42" i="17"/>
  <c r="AF42" i="17"/>
  <c r="AI42" i="17"/>
  <c r="AL42" i="17"/>
  <c r="AO42" i="17"/>
  <c r="K43" i="17"/>
  <c r="N43" i="17"/>
  <c r="Q43" i="17"/>
  <c r="T43" i="17"/>
  <c r="W43" i="17"/>
  <c r="Z43" i="17"/>
  <c r="AC43" i="17"/>
  <c r="AF43" i="17"/>
  <c r="AI43" i="17"/>
  <c r="AL43" i="17"/>
  <c r="AO43" i="17"/>
  <c r="K44" i="17"/>
  <c r="N44" i="17"/>
  <c r="Q44" i="17"/>
  <c r="T44" i="17"/>
  <c r="W44" i="17"/>
  <c r="Z44" i="17"/>
  <c r="AC44" i="17"/>
  <c r="AF44" i="17"/>
  <c r="AI44" i="17"/>
  <c r="AL44" i="17"/>
  <c r="AO44" i="17"/>
  <c r="K45" i="17"/>
  <c r="N45" i="17"/>
  <c r="Q45" i="17"/>
  <c r="T45" i="17"/>
  <c r="W45" i="17"/>
  <c r="Z45" i="17"/>
  <c r="AC45" i="17"/>
  <c r="AF45" i="17"/>
  <c r="AI45" i="17"/>
  <c r="AL45" i="17"/>
  <c r="AO45" i="17"/>
  <c r="K46" i="17"/>
  <c r="N46" i="17"/>
  <c r="Q46" i="17"/>
  <c r="T46" i="17"/>
  <c r="W46" i="17"/>
  <c r="Z46" i="17"/>
  <c r="AC46" i="17"/>
  <c r="AF46" i="17"/>
  <c r="AI46" i="17"/>
  <c r="AL46" i="17"/>
  <c r="AO46" i="17"/>
  <c r="K47" i="17"/>
  <c r="N47" i="17"/>
  <c r="Q47" i="17"/>
  <c r="T47" i="17"/>
  <c r="W47" i="17"/>
  <c r="Z47" i="17"/>
  <c r="AC47" i="17"/>
  <c r="AF47" i="17"/>
  <c r="AI47" i="17"/>
  <c r="AL47" i="17"/>
  <c r="AO47" i="17"/>
  <c r="K48" i="17"/>
  <c r="N48" i="17"/>
  <c r="Q48" i="17"/>
  <c r="T48" i="17"/>
  <c r="W48" i="17"/>
  <c r="Z48" i="17"/>
  <c r="AC48" i="17"/>
  <c r="AF48" i="17"/>
  <c r="AI48" i="17"/>
  <c r="AL48" i="17"/>
  <c r="AO48" i="17"/>
  <c r="K49" i="17"/>
  <c r="N49" i="17"/>
  <c r="Q49" i="17"/>
  <c r="T49" i="17"/>
  <c r="W49" i="17"/>
  <c r="Z49" i="17"/>
  <c r="AC49" i="17"/>
  <c r="AF49" i="17"/>
  <c r="AI49" i="17"/>
  <c r="AL49" i="17"/>
  <c r="AO49" i="17"/>
  <c r="K50" i="17"/>
  <c r="N50" i="17"/>
  <c r="Q50" i="17"/>
  <c r="T50" i="17"/>
  <c r="W50" i="17"/>
  <c r="Z50" i="17"/>
  <c r="AC50" i="17"/>
  <c r="AF50" i="17"/>
  <c r="AI50" i="17"/>
  <c r="AL50" i="17"/>
  <c r="AO50" i="17"/>
  <c r="K51" i="17"/>
  <c r="N51" i="17"/>
  <c r="Q51" i="17"/>
  <c r="T51" i="17"/>
  <c r="W51" i="17"/>
  <c r="Z51" i="17"/>
  <c r="AC51" i="17"/>
  <c r="AF51" i="17"/>
  <c r="AI51" i="17"/>
  <c r="AL51" i="17"/>
  <c r="AO51" i="17"/>
  <c r="K52" i="17"/>
  <c r="N52" i="17"/>
  <c r="Q52" i="17"/>
  <c r="T52" i="17"/>
  <c r="W52" i="17"/>
  <c r="Z52" i="17"/>
  <c r="AC52" i="17"/>
  <c r="AF52" i="17"/>
  <c r="AI52" i="17"/>
  <c r="AL52" i="17"/>
  <c r="AO52" i="17"/>
  <c r="K53" i="17"/>
  <c r="N53" i="17"/>
  <c r="Q53" i="17"/>
  <c r="T53" i="17"/>
  <c r="W53" i="17"/>
  <c r="Z53" i="17"/>
  <c r="AC53" i="17"/>
  <c r="AF53" i="17"/>
  <c r="AI53" i="17"/>
  <c r="AL53" i="17"/>
  <c r="AO53" i="17"/>
  <c r="K54" i="17"/>
  <c r="N54" i="17"/>
  <c r="Q54" i="17"/>
  <c r="T54" i="17"/>
  <c r="W54" i="17"/>
  <c r="Z54" i="17"/>
  <c r="AC54" i="17"/>
  <c r="AF54" i="17"/>
  <c r="AI54" i="17"/>
  <c r="AL54" i="17"/>
  <c r="AO54" i="17"/>
  <c r="K55" i="17"/>
  <c r="N55" i="17"/>
  <c r="Q55" i="17"/>
  <c r="T55" i="17"/>
  <c r="W55" i="17"/>
  <c r="Z55" i="17"/>
  <c r="AC55" i="17"/>
  <c r="AF55" i="17"/>
  <c r="AI55" i="17"/>
  <c r="AL55" i="17"/>
  <c r="AO55" i="17"/>
  <c r="K56" i="17"/>
  <c r="N56" i="17"/>
  <c r="Q56" i="17"/>
  <c r="T56" i="17"/>
  <c r="W56" i="17"/>
  <c r="Z56" i="17"/>
  <c r="AC56" i="17"/>
  <c r="AF56" i="17"/>
  <c r="AI56" i="17"/>
  <c r="AL56" i="17"/>
  <c r="AO56" i="17"/>
  <c r="K57" i="17"/>
  <c r="N57" i="17"/>
  <c r="Q57" i="17"/>
  <c r="T57" i="17"/>
  <c r="W57" i="17"/>
  <c r="Z57" i="17"/>
  <c r="AC57" i="17"/>
  <c r="AF57" i="17"/>
  <c r="AI57" i="17"/>
  <c r="AL57" i="17"/>
  <c r="AO57" i="17"/>
  <c r="K58" i="17"/>
  <c r="N58" i="17"/>
  <c r="Q58" i="17"/>
  <c r="T58" i="17"/>
  <c r="W58" i="17"/>
  <c r="Z58" i="17"/>
  <c r="AC58" i="17"/>
  <c r="AF58" i="17"/>
  <c r="AI58" i="17"/>
  <c r="AL58" i="17"/>
  <c r="AO58" i="17"/>
  <c r="AL17" i="17"/>
  <c r="AO17" i="17"/>
  <c r="AI17" i="17"/>
  <c r="AF17" i="17"/>
  <c r="AC17" i="17"/>
  <c r="Z17" i="17"/>
  <c r="W17" i="17"/>
  <c r="T17" i="17"/>
  <c r="Q17" i="17"/>
  <c r="N17" i="17"/>
  <c r="K17" i="17"/>
  <c r="BA17" i="17"/>
  <c r="AZ17" i="17"/>
  <c r="AY17" i="17"/>
  <c r="AX17" i="17"/>
  <c r="AW17" i="17"/>
  <c r="AV17" i="17"/>
  <c r="AU17" i="17"/>
  <c r="AT17" i="17"/>
  <c r="AT18" i="17" s="1"/>
  <c r="AM12" i="17"/>
  <c r="AM10" i="17" s="1"/>
  <c r="AM11" i="17"/>
  <c r="AZ18" i="17" l="1"/>
  <c r="AV18" i="17"/>
  <c r="AX18" i="17"/>
  <c r="K51" i="3"/>
  <c r="L51" i="3" s="1"/>
  <c r="K50" i="3"/>
  <c r="L50" i="3" s="1"/>
  <c r="K49" i="3"/>
  <c r="L49" i="3" s="1"/>
  <c r="K48" i="3"/>
  <c r="L48" i="3" s="1"/>
  <c r="K47" i="3"/>
  <c r="L47" i="3" s="1"/>
  <c r="K46" i="3"/>
  <c r="L46" i="3" s="1"/>
  <c r="K45" i="3"/>
  <c r="L45" i="3" s="1"/>
  <c r="K44" i="3"/>
  <c r="L44" i="3" s="1"/>
  <c r="K43" i="3"/>
  <c r="L43" i="3" s="1"/>
  <c r="K42" i="3"/>
  <c r="L42" i="3" s="1"/>
  <c r="K41" i="3"/>
  <c r="L41" i="3" s="1"/>
  <c r="K40" i="3"/>
  <c r="L40" i="3" s="1"/>
  <c r="K39" i="3"/>
  <c r="L39" i="3" s="1"/>
  <c r="K38" i="3"/>
  <c r="L38" i="3" s="1"/>
  <c r="K37" i="3"/>
  <c r="L37" i="3" s="1"/>
  <c r="K36" i="3"/>
  <c r="L36" i="3" s="1"/>
  <c r="K35" i="3"/>
  <c r="L35" i="3" s="1"/>
  <c r="K34" i="3"/>
  <c r="L34" i="3" s="1"/>
  <c r="K33" i="3"/>
  <c r="L33" i="3" s="1"/>
  <c r="K32" i="3"/>
  <c r="L32" i="3" s="1"/>
  <c r="K31" i="3"/>
  <c r="L31" i="3" s="1"/>
  <c r="K30" i="3"/>
  <c r="L30" i="3" s="1"/>
  <c r="K29" i="3"/>
  <c r="L29" i="3" s="1"/>
  <c r="K28" i="3"/>
  <c r="L28" i="3" s="1"/>
  <c r="K27" i="3"/>
  <c r="L27" i="3" s="1"/>
  <c r="K26" i="3"/>
  <c r="L26" i="3" s="1"/>
  <c r="K25" i="3"/>
  <c r="L25" i="3" s="1"/>
  <c r="K24" i="3"/>
  <c r="L24" i="3" s="1"/>
  <c r="K23" i="3"/>
  <c r="L23" i="3" s="1"/>
  <c r="K22" i="3"/>
  <c r="L22" i="3" s="1"/>
  <c r="K21" i="3"/>
  <c r="L21" i="3" s="1"/>
  <c r="K20" i="3"/>
  <c r="L20" i="3" s="1"/>
  <c r="K19" i="3"/>
  <c r="L19" i="3" s="1"/>
  <c r="K18" i="3"/>
  <c r="L18" i="3" s="1"/>
  <c r="K17" i="3"/>
  <c r="L17" i="3" s="1"/>
  <c r="K16" i="3"/>
  <c r="L16" i="3" s="1"/>
  <c r="K15" i="3"/>
  <c r="L15" i="3" s="1"/>
  <c r="K14" i="3"/>
  <c r="L14" i="3" s="1"/>
  <c r="K13" i="3"/>
  <c r="L13" i="3" s="1"/>
  <c r="K12" i="3"/>
  <c r="L12" i="3" s="1"/>
  <c r="K11" i="3"/>
  <c r="L11" i="3" s="1"/>
  <c r="K10" i="3"/>
  <c r="L10" i="3" s="1"/>
  <c r="K51" i="5" l="1"/>
  <c r="L51" i="5" s="1"/>
  <c r="K50" i="5"/>
  <c r="L50" i="5" s="1"/>
  <c r="K49" i="5"/>
  <c r="L49" i="5" s="1"/>
  <c r="K48" i="5"/>
  <c r="L48" i="5" s="1"/>
  <c r="K47" i="5"/>
  <c r="L47" i="5" s="1"/>
  <c r="K46" i="5"/>
  <c r="L46" i="5" s="1"/>
  <c r="K45" i="5"/>
  <c r="L45" i="5" s="1"/>
  <c r="K44" i="5"/>
  <c r="L44" i="5" s="1"/>
  <c r="K43" i="5"/>
  <c r="L43" i="5" s="1"/>
  <c r="K42" i="5"/>
  <c r="L42" i="5" s="1"/>
  <c r="K41" i="5"/>
  <c r="L41" i="5" s="1"/>
  <c r="K40" i="5"/>
  <c r="L40" i="5" s="1"/>
  <c r="K39" i="5"/>
  <c r="L39" i="5" s="1"/>
  <c r="K38" i="5"/>
  <c r="L38" i="5" s="1"/>
  <c r="K37" i="5"/>
  <c r="L37" i="5" s="1"/>
  <c r="K36" i="5"/>
  <c r="L36" i="5" s="1"/>
  <c r="K35" i="5"/>
  <c r="L35" i="5" s="1"/>
  <c r="K34" i="5"/>
  <c r="L34" i="5" s="1"/>
  <c r="K33" i="5"/>
  <c r="L33" i="5" s="1"/>
  <c r="K32" i="5"/>
  <c r="L32" i="5" s="1"/>
  <c r="K31" i="5"/>
  <c r="L31" i="5" s="1"/>
  <c r="K30" i="5"/>
  <c r="L30" i="5" s="1"/>
  <c r="K29" i="5"/>
  <c r="L29" i="5" s="1"/>
  <c r="K28" i="5"/>
  <c r="L28" i="5" s="1"/>
  <c r="K27" i="5"/>
  <c r="L27" i="5" s="1"/>
  <c r="K26" i="5"/>
  <c r="L26" i="5" s="1"/>
  <c r="K25" i="5"/>
  <c r="L25" i="5" s="1"/>
  <c r="K24" i="5"/>
  <c r="L24" i="5" s="1"/>
  <c r="K23" i="5"/>
  <c r="L23" i="5" s="1"/>
  <c r="K22" i="5"/>
  <c r="L22" i="5" s="1"/>
  <c r="K21" i="5"/>
  <c r="L21" i="5" s="1"/>
  <c r="K20" i="5"/>
  <c r="L20" i="5" s="1"/>
  <c r="K19" i="5"/>
  <c r="L19" i="5" s="1"/>
  <c r="K18" i="5"/>
  <c r="L18" i="5" s="1"/>
  <c r="K17" i="5"/>
  <c r="L17" i="5" s="1"/>
  <c r="K16" i="5"/>
  <c r="L16" i="5" s="1"/>
  <c r="K15" i="5"/>
  <c r="L15" i="5" s="1"/>
  <c r="K14" i="5"/>
  <c r="L14" i="5" s="1"/>
  <c r="K13" i="5"/>
  <c r="L13" i="5" s="1"/>
  <c r="K12" i="5"/>
  <c r="L12" i="5" s="1"/>
  <c r="K11" i="5"/>
  <c r="L11" i="5" s="1"/>
  <c r="K10" i="5"/>
  <c r="L10" i="5" s="1"/>
  <c r="K51" i="4"/>
  <c r="L51" i="4" s="1"/>
  <c r="K50" i="4"/>
  <c r="L50" i="4" s="1"/>
  <c r="K49" i="4"/>
  <c r="L49" i="4" s="1"/>
  <c r="K48" i="4"/>
  <c r="L48" i="4" s="1"/>
  <c r="K47" i="4"/>
  <c r="L47" i="4" s="1"/>
  <c r="K46" i="4"/>
  <c r="L46" i="4" s="1"/>
  <c r="K45" i="4"/>
  <c r="L45" i="4" s="1"/>
  <c r="K44" i="4"/>
  <c r="L44" i="4" s="1"/>
  <c r="K43" i="4"/>
  <c r="L43" i="4" s="1"/>
  <c r="K42" i="4"/>
  <c r="L42" i="4" s="1"/>
  <c r="K41" i="4"/>
  <c r="L41" i="4" s="1"/>
  <c r="K40" i="4"/>
  <c r="L40" i="4" s="1"/>
  <c r="K39" i="4"/>
  <c r="L39" i="4" s="1"/>
  <c r="K38" i="4"/>
  <c r="L38" i="4" s="1"/>
  <c r="K37" i="4"/>
  <c r="L37" i="4" s="1"/>
  <c r="K36" i="4"/>
  <c r="L36" i="4" s="1"/>
  <c r="K35" i="4"/>
  <c r="L35" i="4" s="1"/>
  <c r="K34" i="4"/>
  <c r="L34" i="4" s="1"/>
  <c r="K33" i="4"/>
  <c r="L33" i="4" s="1"/>
  <c r="K32" i="4"/>
  <c r="L32" i="4" s="1"/>
  <c r="K31" i="4"/>
  <c r="L31" i="4" s="1"/>
  <c r="K30" i="4"/>
  <c r="L30" i="4" s="1"/>
  <c r="K29" i="4"/>
  <c r="L29" i="4" s="1"/>
  <c r="K28" i="4"/>
  <c r="L28" i="4" s="1"/>
  <c r="K27" i="4"/>
  <c r="L27" i="4" s="1"/>
  <c r="K26" i="4"/>
  <c r="L26" i="4" s="1"/>
  <c r="K25" i="4"/>
  <c r="L25" i="4" s="1"/>
  <c r="K24" i="4"/>
  <c r="L24" i="4" s="1"/>
  <c r="K23" i="4"/>
  <c r="L23" i="4" s="1"/>
  <c r="K22" i="4"/>
  <c r="L22" i="4" s="1"/>
  <c r="K21" i="4"/>
  <c r="L21" i="4" s="1"/>
  <c r="K20" i="4"/>
  <c r="L20" i="4" s="1"/>
  <c r="K19" i="4"/>
  <c r="L19" i="4" s="1"/>
  <c r="K18" i="4"/>
  <c r="L18" i="4" s="1"/>
  <c r="K17" i="4"/>
  <c r="L17" i="4" s="1"/>
  <c r="K16" i="4"/>
  <c r="L16" i="4" s="1"/>
  <c r="K15" i="4"/>
  <c r="L15" i="4" s="1"/>
  <c r="K14" i="4"/>
  <c r="L14" i="4" s="1"/>
  <c r="K13" i="4"/>
  <c r="L13" i="4" s="1"/>
  <c r="K12" i="4"/>
  <c r="L12" i="4" s="1"/>
  <c r="K11" i="4"/>
  <c r="L11" i="4" s="1"/>
  <c r="K10" i="4"/>
  <c r="L10" i="4" s="1"/>
  <c r="L50" i="16" l="1"/>
  <c r="K50" i="16"/>
  <c r="K49" i="16"/>
  <c r="L49" i="16" s="1"/>
  <c r="L48" i="16"/>
  <c r="K48" i="16"/>
  <c r="K47" i="16"/>
  <c r="L47" i="16" s="1"/>
  <c r="L46" i="16"/>
  <c r="K46" i="16"/>
  <c r="K45" i="16"/>
  <c r="L45" i="16" s="1"/>
  <c r="L44" i="16"/>
  <c r="K44" i="16"/>
  <c r="K43" i="16"/>
  <c r="L43" i="16" s="1"/>
  <c r="L42" i="16"/>
  <c r="K42" i="16"/>
  <c r="K41" i="16"/>
  <c r="L41" i="16" s="1"/>
  <c r="L40" i="16"/>
  <c r="K40" i="16"/>
  <c r="K39" i="16"/>
  <c r="L39" i="16" s="1"/>
  <c r="L38" i="16"/>
  <c r="K38" i="16"/>
  <c r="K37" i="16"/>
  <c r="L37" i="16" s="1"/>
  <c r="L36" i="16"/>
  <c r="K36" i="16"/>
  <c r="K35" i="16"/>
  <c r="L35" i="16" s="1"/>
  <c r="L34" i="16"/>
  <c r="K34" i="16"/>
  <c r="K33" i="16"/>
  <c r="L33" i="16" s="1"/>
  <c r="L32" i="16"/>
  <c r="K32" i="16"/>
  <c r="K31" i="16"/>
  <c r="L31" i="16" s="1"/>
  <c r="L30" i="16"/>
  <c r="K30" i="16"/>
  <c r="K29" i="16"/>
  <c r="L29" i="16" s="1"/>
  <c r="L28" i="16"/>
  <c r="K28" i="16"/>
  <c r="K27" i="16"/>
  <c r="L27" i="16" s="1"/>
  <c r="L26" i="16"/>
  <c r="K26" i="16"/>
  <c r="K25" i="16"/>
  <c r="L25" i="16" s="1"/>
  <c r="L24" i="16"/>
  <c r="K24" i="16"/>
  <c r="K23" i="16"/>
  <c r="L23" i="16" s="1"/>
  <c r="L22" i="16"/>
  <c r="K22" i="16"/>
  <c r="K21" i="16"/>
  <c r="L21" i="16" s="1"/>
  <c r="L20" i="16"/>
  <c r="K20" i="16"/>
  <c r="K19" i="16"/>
  <c r="L19" i="16" s="1"/>
  <c r="L18" i="16"/>
  <c r="K18" i="16"/>
  <c r="K17" i="16"/>
  <c r="L17" i="16" s="1"/>
  <c r="L16" i="16"/>
  <c r="K16" i="16"/>
  <c r="K15" i="16"/>
  <c r="L15" i="16" s="1"/>
  <c r="L14" i="16"/>
  <c r="K14" i="16"/>
  <c r="K13" i="16"/>
  <c r="L13" i="16" s="1"/>
  <c r="L12" i="16"/>
  <c r="K12" i="16"/>
  <c r="K11" i="16"/>
  <c r="L11" i="16" s="1"/>
  <c r="L10" i="16"/>
  <c r="K10" i="16"/>
  <c r="K51" i="2" l="1"/>
  <c r="L51" i="2" s="1"/>
  <c r="K50" i="2"/>
  <c r="L50" i="2" s="1"/>
  <c r="K49" i="2"/>
  <c r="L49" i="2" s="1"/>
  <c r="K48" i="2"/>
  <c r="L48" i="2" s="1"/>
  <c r="K47" i="2"/>
  <c r="L47" i="2" s="1"/>
  <c r="K46" i="2"/>
  <c r="L46" i="2" s="1"/>
  <c r="K45" i="2"/>
  <c r="L45" i="2" s="1"/>
  <c r="K44" i="2"/>
  <c r="L44" i="2" s="1"/>
  <c r="K43" i="2"/>
  <c r="L43" i="2" s="1"/>
  <c r="K42" i="2"/>
  <c r="L42" i="2" s="1"/>
  <c r="K41" i="2"/>
  <c r="L41" i="2" s="1"/>
  <c r="K40" i="2"/>
  <c r="L40" i="2" s="1"/>
  <c r="K39" i="2"/>
  <c r="L39" i="2" s="1"/>
  <c r="K38" i="2"/>
  <c r="L38" i="2" s="1"/>
  <c r="K37" i="2"/>
  <c r="L37" i="2" s="1"/>
  <c r="K36" i="2"/>
  <c r="L36" i="2" s="1"/>
  <c r="K35" i="2"/>
  <c r="L35" i="2" s="1"/>
  <c r="K34" i="2"/>
  <c r="L34" i="2" s="1"/>
  <c r="K33" i="2"/>
  <c r="L33" i="2" s="1"/>
  <c r="K32" i="2"/>
  <c r="L32" i="2" s="1"/>
  <c r="K31" i="2"/>
  <c r="L31" i="2" s="1"/>
  <c r="K30" i="2"/>
  <c r="L30" i="2" s="1"/>
  <c r="K29" i="2"/>
  <c r="L29" i="2" s="1"/>
  <c r="K28" i="2"/>
  <c r="L28" i="2" s="1"/>
  <c r="K27" i="2"/>
  <c r="L27" i="2" s="1"/>
  <c r="K26" i="2"/>
  <c r="L26" i="2" s="1"/>
  <c r="K25" i="2"/>
  <c r="L25" i="2" s="1"/>
  <c r="K24" i="2"/>
  <c r="L24" i="2" s="1"/>
  <c r="K23" i="2"/>
  <c r="L23" i="2" s="1"/>
  <c r="K22" i="2"/>
  <c r="L22" i="2" s="1"/>
  <c r="K21" i="2"/>
  <c r="L21" i="2" s="1"/>
  <c r="K20" i="2"/>
  <c r="L20" i="2" s="1"/>
  <c r="K19" i="2"/>
  <c r="L19" i="2" s="1"/>
  <c r="K18" i="2"/>
  <c r="L18" i="2" s="1"/>
  <c r="K17" i="2"/>
  <c r="L17" i="2" s="1"/>
  <c r="K16" i="2"/>
  <c r="L16" i="2" s="1"/>
  <c r="K15" i="2"/>
  <c r="L15" i="2" s="1"/>
  <c r="K14" i="2"/>
  <c r="L14" i="2" s="1"/>
  <c r="K13" i="2"/>
  <c r="L13" i="2" s="1"/>
  <c r="K12" i="2"/>
  <c r="L12" i="2" s="1"/>
  <c r="K11" i="2"/>
  <c r="L11" i="2" s="1"/>
  <c r="K10" i="2"/>
  <c r="L10" i="2" s="1"/>
  <c r="K51" i="1" l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51" i="7" l="1"/>
  <c r="L51" i="7" s="1"/>
  <c r="K50" i="7"/>
  <c r="L50" i="7" s="1"/>
  <c r="K49" i="7"/>
  <c r="L49" i="7" s="1"/>
  <c r="K48" i="7"/>
  <c r="L48" i="7" s="1"/>
  <c r="K47" i="7"/>
  <c r="L47" i="7" s="1"/>
  <c r="K46" i="7"/>
  <c r="L46" i="7" s="1"/>
  <c r="K45" i="7"/>
  <c r="L45" i="7" s="1"/>
  <c r="K44" i="7"/>
  <c r="L44" i="7" s="1"/>
  <c r="K43" i="7"/>
  <c r="L43" i="7" s="1"/>
  <c r="K42" i="7"/>
  <c r="L42" i="7" s="1"/>
  <c r="K41" i="7"/>
  <c r="L41" i="7" s="1"/>
  <c r="K40" i="7"/>
  <c r="L40" i="7" s="1"/>
  <c r="K39" i="7"/>
  <c r="L39" i="7" s="1"/>
  <c r="K38" i="7"/>
  <c r="L38" i="7" s="1"/>
  <c r="K37" i="7"/>
  <c r="L37" i="7" s="1"/>
  <c r="K36" i="7"/>
  <c r="L36" i="7" s="1"/>
  <c r="K35" i="7"/>
  <c r="L35" i="7" s="1"/>
  <c r="K34" i="7"/>
  <c r="L34" i="7" s="1"/>
  <c r="K33" i="7"/>
  <c r="L33" i="7" s="1"/>
  <c r="K32" i="7"/>
  <c r="L32" i="7" s="1"/>
  <c r="K31" i="7"/>
  <c r="L31" i="7" s="1"/>
  <c r="K30" i="7"/>
  <c r="L30" i="7" s="1"/>
  <c r="K29" i="7"/>
  <c r="L29" i="7" s="1"/>
  <c r="K28" i="7"/>
  <c r="L28" i="7" s="1"/>
  <c r="K27" i="7"/>
  <c r="L27" i="7" s="1"/>
  <c r="K26" i="7"/>
  <c r="L26" i="7" s="1"/>
  <c r="K25" i="7"/>
  <c r="L25" i="7" s="1"/>
  <c r="K24" i="7"/>
  <c r="L24" i="7" s="1"/>
  <c r="K23" i="7"/>
  <c r="L23" i="7" s="1"/>
  <c r="K22" i="7"/>
  <c r="L22" i="7" s="1"/>
  <c r="K21" i="7"/>
  <c r="L21" i="7" s="1"/>
  <c r="K20" i="7"/>
  <c r="L20" i="7" s="1"/>
  <c r="K19" i="7"/>
  <c r="L19" i="7" s="1"/>
  <c r="K18" i="7"/>
  <c r="L18" i="7" s="1"/>
  <c r="K17" i="7"/>
  <c r="L17" i="7" s="1"/>
  <c r="K16" i="7"/>
  <c r="L16" i="7" s="1"/>
  <c r="K15" i="7"/>
  <c r="L15" i="7" s="1"/>
  <c r="K14" i="7"/>
  <c r="L14" i="7" s="1"/>
  <c r="K13" i="7"/>
  <c r="L13" i="7" s="1"/>
  <c r="K12" i="7"/>
  <c r="L12" i="7" s="1"/>
  <c r="K11" i="7"/>
  <c r="L11" i="7" s="1"/>
  <c r="K10" i="7"/>
  <c r="L10" i="7" s="1"/>
  <c r="L51" i="8"/>
  <c r="K51" i="8"/>
  <c r="K50" i="8"/>
  <c r="L50" i="8" s="1"/>
  <c r="L49" i="8"/>
  <c r="K49" i="8"/>
  <c r="K48" i="8"/>
  <c r="L48" i="8" s="1"/>
  <c r="L47" i="8"/>
  <c r="K47" i="8"/>
  <c r="K46" i="8"/>
  <c r="L46" i="8" s="1"/>
  <c r="L45" i="8"/>
  <c r="K45" i="8"/>
  <c r="K44" i="8"/>
  <c r="L44" i="8" s="1"/>
  <c r="L43" i="8"/>
  <c r="K43" i="8"/>
  <c r="K42" i="8"/>
  <c r="L42" i="8" s="1"/>
  <c r="L41" i="8"/>
  <c r="K41" i="8"/>
  <c r="K40" i="8"/>
  <c r="L40" i="8" s="1"/>
  <c r="L39" i="8"/>
  <c r="K39" i="8"/>
  <c r="K38" i="8"/>
  <c r="L38" i="8" s="1"/>
  <c r="L37" i="8"/>
  <c r="K37" i="8"/>
  <c r="K36" i="8"/>
  <c r="L36" i="8" s="1"/>
  <c r="L35" i="8"/>
  <c r="K35" i="8"/>
  <c r="K34" i="8"/>
  <c r="L34" i="8" s="1"/>
  <c r="L33" i="8"/>
  <c r="K33" i="8"/>
  <c r="K32" i="8"/>
  <c r="L32" i="8" s="1"/>
  <c r="L31" i="8"/>
  <c r="K31" i="8"/>
  <c r="K30" i="8"/>
  <c r="L30" i="8" s="1"/>
  <c r="L29" i="8"/>
  <c r="K29" i="8"/>
  <c r="K28" i="8"/>
  <c r="L28" i="8" s="1"/>
  <c r="L27" i="8"/>
  <c r="K27" i="8"/>
  <c r="K26" i="8"/>
  <c r="L26" i="8" s="1"/>
  <c r="L25" i="8"/>
  <c r="K25" i="8"/>
  <c r="K24" i="8"/>
  <c r="L24" i="8" s="1"/>
  <c r="L23" i="8"/>
  <c r="K23" i="8"/>
  <c r="K22" i="8"/>
  <c r="L22" i="8" s="1"/>
  <c r="L21" i="8"/>
  <c r="K21" i="8"/>
  <c r="K20" i="8"/>
  <c r="L20" i="8" s="1"/>
  <c r="L19" i="8"/>
  <c r="K19" i="8"/>
  <c r="K18" i="8"/>
  <c r="L18" i="8" s="1"/>
  <c r="L17" i="8"/>
  <c r="K17" i="8"/>
  <c r="K16" i="8"/>
  <c r="L16" i="8" s="1"/>
  <c r="L15" i="8"/>
  <c r="K15" i="8"/>
  <c r="K14" i="8"/>
  <c r="L14" i="8" s="1"/>
  <c r="L13" i="8"/>
  <c r="K13" i="8"/>
  <c r="K12" i="8"/>
  <c r="L12" i="8" s="1"/>
  <c r="L11" i="8"/>
  <c r="K11" i="8"/>
  <c r="K10" i="8"/>
  <c r="L10" i="8" s="1"/>
  <c r="K51" i="10" l="1"/>
  <c r="L51" i="10" s="1"/>
  <c r="K50" i="10"/>
  <c r="L50" i="10" s="1"/>
  <c r="K49" i="10"/>
  <c r="L49" i="10" s="1"/>
  <c r="K48" i="10"/>
  <c r="L48" i="10" s="1"/>
  <c r="K47" i="10"/>
  <c r="L47" i="10" s="1"/>
  <c r="K46" i="10"/>
  <c r="L46" i="10" s="1"/>
  <c r="K45" i="10"/>
  <c r="L45" i="10" s="1"/>
  <c r="K44" i="10"/>
  <c r="L44" i="10" s="1"/>
  <c r="K43" i="10"/>
  <c r="L43" i="10" s="1"/>
  <c r="K42" i="10"/>
  <c r="L42" i="10" s="1"/>
  <c r="K41" i="10"/>
  <c r="L41" i="10" s="1"/>
  <c r="K40" i="10"/>
  <c r="L40" i="10" s="1"/>
  <c r="K39" i="10"/>
  <c r="L39" i="10" s="1"/>
  <c r="K38" i="10"/>
  <c r="L38" i="10" s="1"/>
  <c r="K37" i="10"/>
  <c r="L37" i="10" s="1"/>
  <c r="K36" i="10"/>
  <c r="L36" i="10" s="1"/>
  <c r="K35" i="10"/>
  <c r="L35" i="10" s="1"/>
  <c r="K34" i="10"/>
  <c r="L34" i="10" s="1"/>
  <c r="K33" i="10"/>
  <c r="L33" i="10" s="1"/>
  <c r="K32" i="10"/>
  <c r="L32" i="10" s="1"/>
  <c r="K31" i="10"/>
  <c r="L31" i="10" s="1"/>
  <c r="K30" i="10"/>
  <c r="L30" i="10" s="1"/>
  <c r="K29" i="10"/>
  <c r="L29" i="10" s="1"/>
  <c r="K28" i="10"/>
  <c r="L28" i="10" s="1"/>
  <c r="K27" i="10"/>
  <c r="L27" i="10" s="1"/>
  <c r="K26" i="10"/>
  <c r="L26" i="10" s="1"/>
  <c r="K25" i="10"/>
  <c r="L25" i="10" s="1"/>
  <c r="K24" i="10"/>
  <c r="L24" i="10" s="1"/>
  <c r="K23" i="10"/>
  <c r="L23" i="10" s="1"/>
  <c r="K22" i="10"/>
  <c r="L22" i="10" s="1"/>
  <c r="K21" i="10"/>
  <c r="L21" i="10" s="1"/>
  <c r="K20" i="10"/>
  <c r="L20" i="10" s="1"/>
  <c r="K19" i="10"/>
  <c r="L19" i="10" s="1"/>
  <c r="K18" i="10"/>
  <c r="L18" i="10" s="1"/>
  <c r="K17" i="10"/>
  <c r="L17" i="10" s="1"/>
  <c r="K16" i="10"/>
  <c r="L16" i="10" s="1"/>
  <c r="K15" i="10"/>
  <c r="L15" i="10" s="1"/>
  <c r="K14" i="10"/>
  <c r="L14" i="10" s="1"/>
  <c r="K13" i="10"/>
  <c r="L13" i="10" s="1"/>
  <c r="K12" i="10"/>
  <c r="L12" i="10" s="1"/>
  <c r="K11" i="10"/>
  <c r="L11" i="10" s="1"/>
  <c r="K10" i="10"/>
  <c r="L10" i="10" s="1"/>
  <c r="K51" i="11" l="1"/>
  <c r="L51" i="11" s="1"/>
  <c r="K50" i="11"/>
  <c r="L50" i="11" s="1"/>
  <c r="K49" i="11"/>
  <c r="L49" i="11" s="1"/>
  <c r="K48" i="11"/>
  <c r="L48" i="11" s="1"/>
  <c r="K47" i="11"/>
  <c r="L47" i="11" s="1"/>
  <c r="K46" i="11"/>
  <c r="L46" i="11" s="1"/>
  <c r="K45" i="11"/>
  <c r="L45" i="11" s="1"/>
  <c r="K44" i="11"/>
  <c r="L44" i="11" s="1"/>
  <c r="K43" i="11"/>
  <c r="L43" i="11" s="1"/>
  <c r="K42" i="11"/>
  <c r="L42" i="11" s="1"/>
  <c r="K41" i="11"/>
  <c r="L41" i="11" s="1"/>
  <c r="K40" i="11"/>
  <c r="L40" i="11" s="1"/>
  <c r="K39" i="11"/>
  <c r="L39" i="11" s="1"/>
  <c r="K38" i="11"/>
  <c r="L38" i="11" s="1"/>
  <c r="K37" i="11"/>
  <c r="L37" i="11" s="1"/>
  <c r="K36" i="11"/>
  <c r="L36" i="11" s="1"/>
  <c r="K35" i="11"/>
  <c r="L35" i="11" s="1"/>
  <c r="K34" i="11"/>
  <c r="L34" i="11" s="1"/>
  <c r="K33" i="11"/>
  <c r="L33" i="11" s="1"/>
  <c r="K32" i="11"/>
  <c r="L32" i="11" s="1"/>
  <c r="K31" i="11"/>
  <c r="L31" i="11" s="1"/>
  <c r="K30" i="11"/>
  <c r="L30" i="11" s="1"/>
  <c r="K29" i="11"/>
  <c r="L29" i="11" s="1"/>
  <c r="K28" i="11"/>
  <c r="L28" i="11" s="1"/>
  <c r="K27" i="11"/>
  <c r="L27" i="11" s="1"/>
  <c r="K26" i="11"/>
  <c r="L26" i="11" s="1"/>
  <c r="K25" i="11"/>
  <c r="L25" i="11" s="1"/>
  <c r="K24" i="11"/>
  <c r="L24" i="11" s="1"/>
  <c r="K23" i="11"/>
  <c r="L23" i="11" s="1"/>
  <c r="K22" i="11"/>
  <c r="L22" i="11" s="1"/>
  <c r="K21" i="11"/>
  <c r="L21" i="11" s="1"/>
  <c r="K20" i="11"/>
  <c r="L20" i="11" s="1"/>
  <c r="K19" i="11"/>
  <c r="L19" i="11" s="1"/>
  <c r="K18" i="11"/>
  <c r="L18" i="11" s="1"/>
  <c r="K17" i="11"/>
  <c r="L17" i="11" s="1"/>
  <c r="K16" i="11"/>
  <c r="L16" i="11" s="1"/>
  <c r="K15" i="11"/>
  <c r="L15" i="11" s="1"/>
  <c r="K14" i="11"/>
  <c r="L14" i="11" s="1"/>
  <c r="K13" i="11"/>
  <c r="L13" i="11" s="1"/>
  <c r="K12" i="11"/>
  <c r="L12" i="11" s="1"/>
  <c r="K11" i="11"/>
  <c r="L11" i="11" s="1"/>
  <c r="K10" i="11"/>
  <c r="L10" i="11" s="1"/>
  <c r="K51" i="9" l="1"/>
  <c r="L51" i="9" s="1"/>
  <c r="K50" i="9"/>
  <c r="L50" i="9" s="1"/>
  <c r="K49" i="9"/>
  <c r="L49" i="9" s="1"/>
  <c r="K48" i="9"/>
  <c r="L48" i="9" s="1"/>
  <c r="K47" i="9"/>
  <c r="L47" i="9" s="1"/>
  <c r="K46" i="9"/>
  <c r="L46" i="9" s="1"/>
  <c r="K45" i="9"/>
  <c r="L45" i="9" s="1"/>
  <c r="K44" i="9"/>
  <c r="L44" i="9" s="1"/>
  <c r="K43" i="9"/>
  <c r="L43" i="9" s="1"/>
  <c r="K42" i="9"/>
  <c r="L42" i="9" s="1"/>
  <c r="K41" i="9"/>
  <c r="L41" i="9" s="1"/>
  <c r="K40" i="9"/>
  <c r="L40" i="9" s="1"/>
  <c r="K39" i="9"/>
  <c r="L39" i="9" s="1"/>
  <c r="K38" i="9"/>
  <c r="L38" i="9" s="1"/>
  <c r="K37" i="9"/>
  <c r="L37" i="9" s="1"/>
  <c r="K36" i="9"/>
  <c r="L36" i="9" s="1"/>
  <c r="K35" i="9"/>
  <c r="L35" i="9" s="1"/>
  <c r="K34" i="9"/>
  <c r="L34" i="9" s="1"/>
  <c r="K33" i="9"/>
  <c r="L33" i="9" s="1"/>
  <c r="K32" i="9"/>
  <c r="L32" i="9" s="1"/>
  <c r="K31" i="9"/>
  <c r="L31" i="9" s="1"/>
  <c r="K30" i="9"/>
  <c r="L30" i="9" s="1"/>
  <c r="K29" i="9"/>
  <c r="L29" i="9" s="1"/>
  <c r="K28" i="9"/>
  <c r="L28" i="9" s="1"/>
  <c r="K27" i="9"/>
  <c r="L27" i="9" s="1"/>
  <c r="K26" i="9"/>
  <c r="L26" i="9" s="1"/>
  <c r="K25" i="9"/>
  <c r="L25" i="9" s="1"/>
  <c r="K24" i="9"/>
  <c r="L24" i="9" s="1"/>
  <c r="K23" i="9"/>
  <c r="L23" i="9" s="1"/>
  <c r="K22" i="9"/>
  <c r="L22" i="9" s="1"/>
  <c r="K21" i="9"/>
  <c r="L21" i="9" s="1"/>
  <c r="K20" i="9"/>
  <c r="L20" i="9" s="1"/>
  <c r="K19" i="9"/>
  <c r="L19" i="9" s="1"/>
  <c r="K18" i="9"/>
  <c r="L18" i="9" s="1"/>
  <c r="K17" i="9"/>
  <c r="L17" i="9" s="1"/>
  <c r="K16" i="9"/>
  <c r="L16" i="9" s="1"/>
  <c r="K15" i="9"/>
  <c r="L15" i="9" s="1"/>
  <c r="K14" i="9"/>
  <c r="L14" i="9" s="1"/>
  <c r="K13" i="9"/>
  <c r="L13" i="9" s="1"/>
  <c r="K12" i="9"/>
  <c r="L12" i="9" s="1"/>
  <c r="K11" i="9"/>
  <c r="L11" i="9" s="1"/>
  <c r="K10" i="9"/>
  <c r="L10" i="9" s="1"/>
  <c r="K51" i="6" l="1"/>
  <c r="L51" i="6" s="1"/>
  <c r="K50" i="6"/>
  <c r="L50" i="6" s="1"/>
  <c r="K49" i="6"/>
  <c r="L49" i="6" s="1"/>
  <c r="K48" i="6"/>
  <c r="L48" i="6" s="1"/>
  <c r="K47" i="6"/>
  <c r="L47" i="6" s="1"/>
  <c r="K46" i="6"/>
  <c r="L46" i="6" s="1"/>
  <c r="K45" i="6"/>
  <c r="L45" i="6" s="1"/>
  <c r="K44" i="6"/>
  <c r="L44" i="6" s="1"/>
  <c r="K43" i="6"/>
  <c r="L43" i="6" s="1"/>
  <c r="K42" i="6"/>
  <c r="L42" i="6" s="1"/>
  <c r="K41" i="6"/>
  <c r="L41" i="6" s="1"/>
  <c r="K40" i="6"/>
  <c r="L40" i="6" s="1"/>
  <c r="K39" i="6"/>
  <c r="L39" i="6" s="1"/>
  <c r="K38" i="6"/>
  <c r="L38" i="6" s="1"/>
  <c r="K37" i="6"/>
  <c r="L37" i="6" s="1"/>
  <c r="K36" i="6"/>
  <c r="L36" i="6" s="1"/>
  <c r="K35" i="6"/>
  <c r="L35" i="6" s="1"/>
  <c r="K34" i="6"/>
  <c r="L34" i="6" s="1"/>
  <c r="K33" i="6"/>
  <c r="L33" i="6" s="1"/>
  <c r="K32" i="6"/>
  <c r="L32" i="6" s="1"/>
  <c r="K31" i="6"/>
  <c r="L31" i="6" s="1"/>
  <c r="K30" i="6"/>
  <c r="L30" i="6" s="1"/>
  <c r="K29" i="6"/>
  <c r="L29" i="6" s="1"/>
  <c r="K28" i="6"/>
  <c r="L28" i="6" s="1"/>
  <c r="K27" i="6"/>
  <c r="L27" i="6" s="1"/>
  <c r="K26" i="6"/>
  <c r="L26" i="6" s="1"/>
  <c r="K25" i="6"/>
  <c r="L25" i="6" s="1"/>
  <c r="K24" i="6"/>
  <c r="L24" i="6" s="1"/>
  <c r="K23" i="6"/>
  <c r="L23" i="6" s="1"/>
  <c r="K22" i="6"/>
  <c r="L22" i="6" s="1"/>
  <c r="K21" i="6"/>
  <c r="L21" i="6" s="1"/>
  <c r="K20" i="6"/>
  <c r="L20" i="6" s="1"/>
  <c r="K19" i="6"/>
  <c r="L19" i="6" s="1"/>
  <c r="K18" i="6"/>
  <c r="L18" i="6" s="1"/>
  <c r="K17" i="6"/>
  <c r="L17" i="6" s="1"/>
  <c r="K16" i="6"/>
  <c r="L16" i="6" s="1"/>
  <c r="K15" i="6"/>
  <c r="L15" i="6" s="1"/>
  <c r="K14" i="6"/>
  <c r="L14" i="6" s="1"/>
  <c r="K13" i="6"/>
  <c r="L13" i="6" s="1"/>
  <c r="K12" i="6"/>
  <c r="L12" i="6" s="1"/>
  <c r="K11" i="6"/>
  <c r="L11" i="6" s="1"/>
  <c r="K10" i="6"/>
  <c r="L10" i="6" s="1"/>
  <c r="H25" i="13" l="1"/>
  <c r="K25" i="13"/>
  <c r="N25" i="13"/>
  <c r="Q25" i="13"/>
  <c r="T25" i="13"/>
  <c r="W25" i="13"/>
  <c r="Z25" i="13"/>
  <c r="AC25" i="13"/>
  <c r="AF25" i="13"/>
  <c r="AI25" i="13"/>
  <c r="AL25" i="13"/>
  <c r="AO25" i="13"/>
  <c r="R18" i="11"/>
  <c r="S18" i="11"/>
  <c r="W18" i="11"/>
  <c r="Y18" i="11" s="1"/>
  <c r="AC18" i="11"/>
  <c r="R18" i="10"/>
  <c r="S18" i="10" s="1"/>
  <c r="W18" i="10"/>
  <c r="Y18" i="10" s="1"/>
  <c r="AC18" i="10"/>
  <c r="R18" i="9"/>
  <c r="S18" i="9" s="1"/>
  <c r="W18" i="9"/>
  <c r="Y18" i="9"/>
  <c r="Z18" i="9" s="1"/>
  <c r="AA18" i="9" s="1"/>
  <c r="AD18" i="9" s="1"/>
  <c r="AE18" i="9" s="1"/>
  <c r="AC18" i="9"/>
  <c r="R18" i="3"/>
  <c r="S18" i="3" s="1"/>
  <c r="W18" i="3"/>
  <c r="Y18" i="3"/>
  <c r="AC18" i="3"/>
  <c r="R18" i="8"/>
  <c r="S18" i="8"/>
  <c r="W18" i="8"/>
  <c r="Y18" i="8" s="1"/>
  <c r="Z18" i="8" s="1"/>
  <c r="AA18" i="8" s="1"/>
  <c r="AD18" i="8" s="1"/>
  <c r="AE18" i="8" s="1"/>
  <c r="AC18" i="8"/>
  <c r="R18" i="7"/>
  <c r="S18" i="7"/>
  <c r="W18" i="7"/>
  <c r="Y18" i="7" s="1"/>
  <c r="AC18" i="7"/>
  <c r="R18" i="6"/>
  <c r="S18" i="6" s="1"/>
  <c r="W18" i="6"/>
  <c r="Y18" i="6"/>
  <c r="AC18" i="6"/>
  <c r="R18" i="5"/>
  <c r="S18" i="5" s="1"/>
  <c r="W18" i="5"/>
  <c r="Y18" i="5"/>
  <c r="AC18" i="5"/>
  <c r="R18" i="2"/>
  <c r="S18" i="2" s="1"/>
  <c r="W18" i="2"/>
  <c r="Y18" i="2" s="1"/>
  <c r="AC18" i="2"/>
  <c r="R18" i="4"/>
  <c r="S18" i="4" s="1"/>
  <c r="W18" i="4"/>
  <c r="Y18" i="4" s="1"/>
  <c r="AC18" i="4"/>
  <c r="Z18" i="1"/>
  <c r="AA18" i="1" s="1"/>
  <c r="AD18" i="1" s="1"/>
  <c r="AE18" i="1" s="1"/>
  <c r="R18" i="1"/>
  <c r="S18" i="1" s="1"/>
  <c r="W18" i="1"/>
  <c r="Y18" i="1"/>
  <c r="AC18" i="1"/>
  <c r="R18" i="16"/>
  <c r="W18" i="16"/>
  <c r="Y18" i="16"/>
  <c r="AC18" i="16"/>
  <c r="R41" i="11"/>
  <c r="S41" i="11" s="1"/>
  <c r="W41" i="11"/>
  <c r="Y41" i="11" s="1"/>
  <c r="AC41" i="11"/>
  <c r="R41" i="10"/>
  <c r="S41" i="10" s="1"/>
  <c r="W41" i="10"/>
  <c r="Y41" i="10"/>
  <c r="AC41" i="10"/>
  <c r="R41" i="9"/>
  <c r="S41" i="9" s="1"/>
  <c r="W41" i="9"/>
  <c r="Y41" i="9" s="1"/>
  <c r="AC41" i="9"/>
  <c r="R41" i="3"/>
  <c r="S41" i="3" s="1"/>
  <c r="W41" i="3"/>
  <c r="Y41" i="3"/>
  <c r="Z41" i="3" s="1"/>
  <c r="AA41" i="3" s="1"/>
  <c r="AD41" i="3" s="1"/>
  <c r="AC41" i="3"/>
  <c r="R41" i="8"/>
  <c r="S41" i="8" s="1"/>
  <c r="W41" i="8"/>
  <c r="Y41" i="8" s="1"/>
  <c r="AC41" i="8"/>
  <c r="R41" i="7"/>
  <c r="S41" i="7" s="1"/>
  <c r="W41" i="7"/>
  <c r="Y41" i="7"/>
  <c r="AC41" i="7"/>
  <c r="R41" i="6"/>
  <c r="S41" i="6"/>
  <c r="W41" i="6"/>
  <c r="Y41" i="6" s="1"/>
  <c r="AC41" i="6"/>
  <c r="R41" i="5"/>
  <c r="S41" i="5" s="1"/>
  <c r="W41" i="5"/>
  <c r="Y41" i="5"/>
  <c r="Z41" i="5" s="1"/>
  <c r="AA41" i="5" s="1"/>
  <c r="AD41" i="5" s="1"/>
  <c r="AC41" i="5"/>
  <c r="R41" i="2"/>
  <c r="S41" i="2" s="1"/>
  <c r="W41" i="2"/>
  <c r="Y41" i="2" s="1"/>
  <c r="AC41" i="2"/>
  <c r="R41" i="4"/>
  <c r="S41" i="4" s="1"/>
  <c r="W41" i="4"/>
  <c r="Y41" i="4"/>
  <c r="Z41" i="4" s="1"/>
  <c r="AA41" i="4" s="1"/>
  <c r="AD41" i="4" s="1"/>
  <c r="AC41" i="4"/>
  <c r="R41" i="1"/>
  <c r="S41" i="1" s="1"/>
  <c r="W41" i="1"/>
  <c r="Y41" i="1" s="1"/>
  <c r="AC41" i="1"/>
  <c r="R41" i="16"/>
  <c r="W41" i="16"/>
  <c r="Y41" i="16"/>
  <c r="AC41" i="16"/>
  <c r="S18" i="16" l="1"/>
  <c r="H25" i="17"/>
  <c r="AQ25" i="17" s="1"/>
  <c r="S41" i="16"/>
  <c r="H48" i="17"/>
  <c r="AQ48" i="17" s="1"/>
  <c r="Z18" i="3"/>
  <c r="AA18" i="3" s="1"/>
  <c r="AD18" i="3" s="1"/>
  <c r="AE18" i="3" s="1"/>
  <c r="Z18" i="5"/>
  <c r="AA18" i="5" s="1"/>
  <c r="AD18" i="5" s="1"/>
  <c r="AE18" i="5" s="1"/>
  <c r="Z41" i="16"/>
  <c r="AA41" i="16" s="1"/>
  <c r="AD41" i="16" s="1"/>
  <c r="Z18" i="16"/>
  <c r="AA18" i="16" s="1"/>
  <c r="AD18" i="16" s="1"/>
  <c r="AE18" i="16" s="1"/>
  <c r="Z18" i="2"/>
  <c r="AA18" i="2" s="1"/>
  <c r="AD18" i="2" s="1"/>
  <c r="AE18" i="2" s="1"/>
  <c r="Z41" i="7"/>
  <c r="AA41" i="7" s="1"/>
  <c r="AD41" i="7" s="1"/>
  <c r="Z41" i="11"/>
  <c r="AA41" i="11" s="1"/>
  <c r="AD41" i="11" s="1"/>
  <c r="AQ25" i="13"/>
  <c r="Z41" i="10"/>
  <c r="AA41" i="10" s="1"/>
  <c r="AD41" i="10" s="1"/>
  <c r="Z18" i="6"/>
  <c r="AA18" i="6" s="1"/>
  <c r="AD18" i="6" s="1"/>
  <c r="AE18" i="6" s="1"/>
  <c r="Z18" i="11"/>
  <c r="AA18" i="11" s="1"/>
  <c r="AD18" i="11" s="1"/>
  <c r="AE18" i="11" s="1"/>
  <c r="Z18" i="4"/>
  <c r="AA18" i="4" s="1"/>
  <c r="AD18" i="4" s="1"/>
  <c r="AE18" i="4" s="1"/>
  <c r="Z18" i="7"/>
  <c r="AA18" i="7" s="1"/>
  <c r="AD18" i="7" s="1"/>
  <c r="AE18" i="7" s="1"/>
  <c r="Z18" i="10"/>
  <c r="AA18" i="10" s="1"/>
  <c r="AD18" i="10" s="1"/>
  <c r="AE18" i="10" s="1"/>
  <c r="Z41" i="2"/>
  <c r="AA41" i="2" s="1"/>
  <c r="AD41" i="2" s="1"/>
  <c r="Z41" i="6"/>
  <c r="AA41" i="6" s="1"/>
  <c r="AD41" i="6" s="1"/>
  <c r="Z41" i="8"/>
  <c r="AA41" i="8" s="1"/>
  <c r="AD41" i="8" s="1"/>
  <c r="Z41" i="9"/>
  <c r="AA41" i="9" s="1"/>
  <c r="AD41" i="9" s="1"/>
  <c r="Z41" i="1"/>
  <c r="AA41" i="1" s="1"/>
  <c r="AD41" i="1" s="1"/>
  <c r="H18" i="13"/>
  <c r="K18" i="13"/>
  <c r="N18" i="13"/>
  <c r="Q18" i="13"/>
  <c r="T18" i="13"/>
  <c r="W18" i="13"/>
  <c r="Z18" i="13"/>
  <c r="AC18" i="13"/>
  <c r="AF18" i="13"/>
  <c r="AI18" i="13"/>
  <c r="AL18" i="13"/>
  <c r="AO18" i="13"/>
  <c r="H19" i="13"/>
  <c r="K19" i="13"/>
  <c r="N19" i="13"/>
  <c r="Q19" i="13"/>
  <c r="T19" i="13"/>
  <c r="W19" i="13"/>
  <c r="Z19" i="13"/>
  <c r="AC19" i="13"/>
  <c r="AF19" i="13"/>
  <c r="AI19" i="13"/>
  <c r="AO19" i="13"/>
  <c r="H20" i="13"/>
  <c r="K20" i="13"/>
  <c r="N20" i="13"/>
  <c r="Q20" i="13"/>
  <c r="T20" i="13"/>
  <c r="W20" i="13"/>
  <c r="Z20" i="13"/>
  <c r="AC20" i="13"/>
  <c r="AF20" i="13"/>
  <c r="AI20" i="13"/>
  <c r="AL20" i="13"/>
  <c r="AO20" i="13"/>
  <c r="K21" i="13"/>
  <c r="N21" i="13"/>
  <c r="Q21" i="13"/>
  <c r="T21" i="13"/>
  <c r="W21" i="13"/>
  <c r="Z21" i="13"/>
  <c r="AC21" i="13"/>
  <c r="AF21" i="13"/>
  <c r="AI21" i="13"/>
  <c r="AL21" i="13"/>
  <c r="AO21" i="13"/>
  <c r="H22" i="13"/>
  <c r="K22" i="13"/>
  <c r="N22" i="13"/>
  <c r="Q22" i="13"/>
  <c r="T22" i="13"/>
  <c r="W22" i="13"/>
  <c r="Z22" i="13"/>
  <c r="AC22" i="13"/>
  <c r="AF22" i="13"/>
  <c r="AI22" i="13"/>
  <c r="AL22" i="13"/>
  <c r="AO22" i="13"/>
  <c r="H23" i="13"/>
  <c r="K23" i="13"/>
  <c r="N23" i="13"/>
  <c r="Q23" i="13"/>
  <c r="T23" i="13"/>
  <c r="W23" i="13"/>
  <c r="Z23" i="13"/>
  <c r="AC23" i="13"/>
  <c r="AF23" i="13"/>
  <c r="AI23" i="13"/>
  <c r="AL23" i="13"/>
  <c r="AO23" i="13"/>
  <c r="H24" i="13"/>
  <c r="K24" i="13"/>
  <c r="N24" i="13"/>
  <c r="Q24" i="13"/>
  <c r="T24" i="13"/>
  <c r="W24" i="13"/>
  <c r="Z24" i="13"/>
  <c r="AC24" i="13"/>
  <c r="AF24" i="13"/>
  <c r="AI24" i="13"/>
  <c r="AL24" i="13"/>
  <c r="AO24" i="13"/>
  <c r="K26" i="13"/>
  <c r="N26" i="13"/>
  <c r="Q26" i="13"/>
  <c r="T26" i="13"/>
  <c r="W26" i="13"/>
  <c r="Z26" i="13"/>
  <c r="AC26" i="13"/>
  <c r="AI26" i="13"/>
  <c r="AL26" i="13"/>
  <c r="AO26" i="13"/>
  <c r="H27" i="13"/>
  <c r="K27" i="13"/>
  <c r="N27" i="13"/>
  <c r="Q27" i="13"/>
  <c r="T27" i="13"/>
  <c r="W27" i="13"/>
  <c r="Z27" i="13"/>
  <c r="AC27" i="13"/>
  <c r="AF27" i="13"/>
  <c r="AI27" i="13"/>
  <c r="AL27" i="13"/>
  <c r="AO27" i="13"/>
  <c r="H28" i="13"/>
  <c r="K28" i="13"/>
  <c r="N28" i="13"/>
  <c r="Q28" i="13"/>
  <c r="T28" i="13"/>
  <c r="W28" i="13"/>
  <c r="Z28" i="13"/>
  <c r="AC28" i="13"/>
  <c r="AF28" i="13"/>
  <c r="AI28" i="13"/>
  <c r="AL28" i="13"/>
  <c r="AO28" i="13"/>
  <c r="H29" i="13"/>
  <c r="K29" i="13"/>
  <c r="N29" i="13"/>
  <c r="Q29" i="13"/>
  <c r="T29" i="13"/>
  <c r="W29" i="13"/>
  <c r="Z29" i="13"/>
  <c r="AC29" i="13"/>
  <c r="AF29" i="13"/>
  <c r="AI29" i="13"/>
  <c r="AL29" i="13"/>
  <c r="AO29" i="13"/>
  <c r="H30" i="13"/>
  <c r="K30" i="13"/>
  <c r="N30" i="13"/>
  <c r="Q30" i="13"/>
  <c r="T30" i="13"/>
  <c r="W30" i="13"/>
  <c r="Z30" i="13"/>
  <c r="AC30" i="13"/>
  <c r="AF30" i="13"/>
  <c r="AI30" i="13"/>
  <c r="AL30" i="13"/>
  <c r="AO30" i="13"/>
  <c r="H31" i="13"/>
  <c r="K31" i="13"/>
  <c r="N31" i="13"/>
  <c r="Q31" i="13"/>
  <c r="T31" i="13"/>
  <c r="W31" i="13"/>
  <c r="Z31" i="13"/>
  <c r="AC31" i="13"/>
  <c r="AF31" i="13"/>
  <c r="AI31" i="13"/>
  <c r="AL31" i="13"/>
  <c r="AO31" i="13"/>
  <c r="H32" i="13"/>
  <c r="K32" i="13"/>
  <c r="N32" i="13"/>
  <c r="Q32" i="13"/>
  <c r="T32" i="13"/>
  <c r="W32" i="13"/>
  <c r="Z32" i="13"/>
  <c r="AC32" i="13"/>
  <c r="AF32" i="13"/>
  <c r="AI32" i="13"/>
  <c r="AL32" i="13"/>
  <c r="AO32" i="13"/>
  <c r="H33" i="13"/>
  <c r="K33" i="13"/>
  <c r="N33" i="13"/>
  <c r="Q33" i="13"/>
  <c r="T33" i="13"/>
  <c r="W33" i="13"/>
  <c r="Z33" i="13"/>
  <c r="AC33" i="13"/>
  <c r="AF33" i="13"/>
  <c r="AI33" i="13"/>
  <c r="AL33" i="13"/>
  <c r="AO33" i="13"/>
  <c r="H34" i="13"/>
  <c r="K34" i="13"/>
  <c r="N34" i="13"/>
  <c r="Q34" i="13"/>
  <c r="T34" i="13"/>
  <c r="W34" i="13"/>
  <c r="Z34" i="13"/>
  <c r="AC34" i="13"/>
  <c r="AF34" i="13"/>
  <c r="AI34" i="13"/>
  <c r="AL34" i="13"/>
  <c r="AO34" i="13"/>
  <c r="H35" i="13"/>
  <c r="K35" i="13"/>
  <c r="N35" i="13"/>
  <c r="Q35" i="13"/>
  <c r="T35" i="13"/>
  <c r="W35" i="13"/>
  <c r="Z35" i="13"/>
  <c r="AC35" i="13"/>
  <c r="AF35" i="13"/>
  <c r="AI35" i="13"/>
  <c r="AL35" i="13"/>
  <c r="AO35" i="13"/>
  <c r="H36" i="13"/>
  <c r="K36" i="13"/>
  <c r="N36" i="13"/>
  <c r="Q36" i="13"/>
  <c r="T36" i="13"/>
  <c r="W36" i="13"/>
  <c r="Z36" i="13"/>
  <c r="AC36" i="13"/>
  <c r="AF36" i="13"/>
  <c r="AI36" i="13"/>
  <c r="AL36" i="13"/>
  <c r="AO36" i="13"/>
  <c r="H37" i="13"/>
  <c r="K37" i="13"/>
  <c r="N37" i="13"/>
  <c r="Q37" i="13"/>
  <c r="T37" i="13"/>
  <c r="W37" i="13"/>
  <c r="Z37" i="13"/>
  <c r="AC37" i="13"/>
  <c r="AF37" i="13"/>
  <c r="AI37" i="13"/>
  <c r="AL37" i="13"/>
  <c r="AO37" i="13"/>
  <c r="H38" i="13"/>
  <c r="K38" i="13"/>
  <c r="N38" i="13"/>
  <c r="Q38" i="13"/>
  <c r="T38" i="13"/>
  <c r="W38" i="13"/>
  <c r="Z38" i="13"/>
  <c r="AC38" i="13"/>
  <c r="AF38" i="13"/>
  <c r="AI38" i="13"/>
  <c r="AL38" i="13"/>
  <c r="AO38" i="13"/>
  <c r="H39" i="13"/>
  <c r="K39" i="13"/>
  <c r="N39" i="13"/>
  <c r="Q39" i="13"/>
  <c r="T39" i="13"/>
  <c r="W39" i="13"/>
  <c r="Z39" i="13"/>
  <c r="AC39" i="13"/>
  <c r="AF39" i="13"/>
  <c r="AI39" i="13"/>
  <c r="AL39" i="13"/>
  <c r="AO39" i="13"/>
  <c r="H40" i="13"/>
  <c r="K40" i="13"/>
  <c r="N40" i="13"/>
  <c r="Q40" i="13"/>
  <c r="T40" i="13"/>
  <c r="W40" i="13"/>
  <c r="Z40" i="13"/>
  <c r="AC40" i="13"/>
  <c r="AF40" i="13"/>
  <c r="AI40" i="13"/>
  <c r="AL40" i="13"/>
  <c r="AO40" i="13"/>
  <c r="H41" i="13"/>
  <c r="K41" i="13"/>
  <c r="N41" i="13"/>
  <c r="Q41" i="13"/>
  <c r="T41" i="13"/>
  <c r="W41" i="13"/>
  <c r="Z41" i="13"/>
  <c r="AC41" i="13"/>
  <c r="AF41" i="13"/>
  <c r="AI41" i="13"/>
  <c r="AL41" i="13"/>
  <c r="AO41" i="13"/>
  <c r="H42" i="13"/>
  <c r="K42" i="13"/>
  <c r="N42" i="13"/>
  <c r="Q42" i="13"/>
  <c r="T42" i="13"/>
  <c r="W42" i="13"/>
  <c r="Z42" i="13"/>
  <c r="AC42" i="13"/>
  <c r="AF42" i="13"/>
  <c r="AI42" i="13"/>
  <c r="AL42" i="13"/>
  <c r="AO42" i="13"/>
  <c r="H43" i="13"/>
  <c r="K43" i="13"/>
  <c r="N43" i="13"/>
  <c r="Q43" i="13"/>
  <c r="T43" i="13"/>
  <c r="W43" i="13"/>
  <c r="Z43" i="13"/>
  <c r="AC43" i="13"/>
  <c r="AF43" i="13"/>
  <c r="AI43" i="13"/>
  <c r="AL43" i="13"/>
  <c r="AO43" i="13"/>
  <c r="H44" i="13"/>
  <c r="K44" i="13"/>
  <c r="N44" i="13"/>
  <c r="Q44" i="13"/>
  <c r="T44" i="13"/>
  <c r="W44" i="13"/>
  <c r="Z44" i="13"/>
  <c r="AC44" i="13"/>
  <c r="AF44" i="13"/>
  <c r="AI44" i="13"/>
  <c r="AL44" i="13"/>
  <c r="AO44" i="13"/>
  <c r="H45" i="13"/>
  <c r="K45" i="13"/>
  <c r="N45" i="13"/>
  <c r="Q45" i="13"/>
  <c r="T45" i="13"/>
  <c r="W45" i="13"/>
  <c r="Z45" i="13"/>
  <c r="AC45" i="13"/>
  <c r="AF45" i="13"/>
  <c r="AI45" i="13"/>
  <c r="AL45" i="13"/>
  <c r="AO45" i="13"/>
  <c r="K46" i="13"/>
  <c r="N46" i="13"/>
  <c r="Q46" i="13"/>
  <c r="T46" i="13"/>
  <c r="AC46" i="13"/>
  <c r="AI46" i="13"/>
  <c r="AL46" i="13"/>
  <c r="AO46" i="13"/>
  <c r="H47" i="13"/>
  <c r="K47" i="13"/>
  <c r="N47" i="13"/>
  <c r="Q47" i="13"/>
  <c r="T47" i="13"/>
  <c r="W47" i="13"/>
  <c r="Z47" i="13"/>
  <c r="AC47" i="13"/>
  <c r="AF47" i="13"/>
  <c r="AI47" i="13"/>
  <c r="AL47" i="13"/>
  <c r="AO47" i="13"/>
  <c r="H48" i="13"/>
  <c r="K48" i="13"/>
  <c r="N48" i="13"/>
  <c r="Q48" i="13"/>
  <c r="T48" i="13"/>
  <c r="W48" i="13"/>
  <c r="Z48" i="13"/>
  <c r="AC48" i="13"/>
  <c r="AF48" i="13"/>
  <c r="AI48" i="13"/>
  <c r="AL48" i="13"/>
  <c r="AO48" i="13"/>
  <c r="H49" i="13"/>
  <c r="K49" i="13"/>
  <c r="N49" i="13"/>
  <c r="Q49" i="13"/>
  <c r="T49" i="13"/>
  <c r="W49" i="13"/>
  <c r="Z49" i="13"/>
  <c r="AC49" i="13"/>
  <c r="AF49" i="13"/>
  <c r="AI49" i="13"/>
  <c r="AL49" i="13"/>
  <c r="AO49" i="13"/>
  <c r="H50" i="13"/>
  <c r="K50" i="13"/>
  <c r="N50" i="13"/>
  <c r="Q50" i="13"/>
  <c r="T50" i="13"/>
  <c r="W50" i="13"/>
  <c r="Z50" i="13"/>
  <c r="AC50" i="13"/>
  <c r="AI50" i="13"/>
  <c r="AL50" i="13"/>
  <c r="AO50" i="13"/>
  <c r="H51" i="13"/>
  <c r="K51" i="13"/>
  <c r="N51" i="13"/>
  <c r="Q51" i="13"/>
  <c r="T51" i="13"/>
  <c r="W51" i="13"/>
  <c r="Z51" i="13"/>
  <c r="AC51" i="13"/>
  <c r="AF51" i="13"/>
  <c r="AI51" i="13"/>
  <c r="AL51" i="13"/>
  <c r="AO51" i="13"/>
  <c r="H52" i="13"/>
  <c r="K52" i="13"/>
  <c r="N52" i="13"/>
  <c r="Q52" i="13"/>
  <c r="T52" i="13"/>
  <c r="W52" i="13"/>
  <c r="Z52" i="13"/>
  <c r="AC52" i="13"/>
  <c r="AF52" i="13"/>
  <c r="AI52" i="13"/>
  <c r="AL52" i="13"/>
  <c r="AO52" i="13"/>
  <c r="H53" i="13"/>
  <c r="K53" i="13"/>
  <c r="N53" i="13"/>
  <c r="Q53" i="13"/>
  <c r="T53" i="13"/>
  <c r="W53" i="13"/>
  <c r="Z53" i="13"/>
  <c r="AC53" i="13"/>
  <c r="AF53" i="13"/>
  <c r="AI53" i="13"/>
  <c r="AL53" i="13"/>
  <c r="AO53" i="13"/>
  <c r="H54" i="13"/>
  <c r="K54" i="13"/>
  <c r="N54" i="13"/>
  <c r="Q54" i="13"/>
  <c r="T54" i="13"/>
  <c r="W54" i="13"/>
  <c r="Z54" i="13"/>
  <c r="AC54" i="13"/>
  <c r="AF54" i="13"/>
  <c r="AI54" i="13"/>
  <c r="AL54" i="13"/>
  <c r="AO54" i="13"/>
  <c r="H55" i="13"/>
  <c r="K55" i="13"/>
  <c r="N55" i="13"/>
  <c r="Q55" i="13"/>
  <c r="T55" i="13"/>
  <c r="W55" i="13"/>
  <c r="Z55" i="13"/>
  <c r="AC55" i="13"/>
  <c r="AF55" i="13"/>
  <c r="AI55" i="13"/>
  <c r="AL55" i="13"/>
  <c r="AO55" i="13"/>
  <c r="H56" i="13"/>
  <c r="K56" i="13"/>
  <c r="N56" i="13"/>
  <c r="Q56" i="13"/>
  <c r="T56" i="13"/>
  <c r="W56" i="13"/>
  <c r="Z56" i="13"/>
  <c r="AC56" i="13"/>
  <c r="AF56" i="13"/>
  <c r="AI56" i="13"/>
  <c r="AL56" i="13"/>
  <c r="AO56" i="13"/>
  <c r="H57" i="13"/>
  <c r="K57" i="13"/>
  <c r="N57" i="13"/>
  <c r="Q57" i="13"/>
  <c r="T57" i="13"/>
  <c r="W57" i="13"/>
  <c r="Z57" i="13"/>
  <c r="AC57" i="13"/>
  <c r="AF57" i="13"/>
  <c r="AI57" i="13"/>
  <c r="AL57" i="13"/>
  <c r="AO57" i="13"/>
  <c r="H58" i="13"/>
  <c r="K58" i="13"/>
  <c r="N58" i="13"/>
  <c r="Q58" i="13"/>
  <c r="T58" i="13"/>
  <c r="W58" i="13"/>
  <c r="Z58" i="13"/>
  <c r="AC58" i="13"/>
  <c r="AF58" i="13"/>
  <c r="AI58" i="13"/>
  <c r="AL58" i="13"/>
  <c r="AO58" i="13"/>
  <c r="AQ49" i="13" l="1"/>
  <c r="AQ48" i="13"/>
  <c r="AC51" i="16"/>
  <c r="W51" i="16"/>
  <c r="Y51" i="16" s="1"/>
  <c r="R51" i="16"/>
  <c r="K51" i="16"/>
  <c r="L51" i="16" s="1"/>
  <c r="AC50" i="16"/>
  <c r="W50" i="16"/>
  <c r="Y50" i="16" s="1"/>
  <c r="R50" i="16"/>
  <c r="AC49" i="16"/>
  <c r="W49" i="16"/>
  <c r="Y49" i="16" s="1"/>
  <c r="R49" i="16"/>
  <c r="AC48" i="16"/>
  <c r="W48" i="16"/>
  <c r="Y48" i="16" s="1"/>
  <c r="R48" i="16"/>
  <c r="AC47" i="16"/>
  <c r="W47" i="16"/>
  <c r="Y47" i="16" s="1"/>
  <c r="R47" i="16"/>
  <c r="AC46" i="16"/>
  <c r="W46" i="16"/>
  <c r="Y46" i="16" s="1"/>
  <c r="R46" i="16"/>
  <c r="H53" i="17" s="1"/>
  <c r="AQ53" i="17" s="1"/>
  <c r="AC45" i="16"/>
  <c r="W45" i="16"/>
  <c r="Y45" i="16" s="1"/>
  <c r="R45" i="16"/>
  <c r="AC44" i="16"/>
  <c r="W44" i="16"/>
  <c r="Y44" i="16" s="1"/>
  <c r="R44" i="16"/>
  <c r="AC43" i="16"/>
  <c r="W43" i="16"/>
  <c r="Y43" i="16" s="1"/>
  <c r="R43" i="16"/>
  <c r="AC42" i="16"/>
  <c r="W42" i="16"/>
  <c r="Y42" i="16" s="1"/>
  <c r="R42" i="16"/>
  <c r="AC40" i="16"/>
  <c r="W40" i="16"/>
  <c r="Y40" i="16" s="1"/>
  <c r="R40" i="16"/>
  <c r="AC39" i="16"/>
  <c r="W39" i="16"/>
  <c r="Y39" i="16" s="1"/>
  <c r="R39" i="16"/>
  <c r="AC38" i="16"/>
  <c r="W38" i="16"/>
  <c r="Y38" i="16" s="1"/>
  <c r="R38" i="16"/>
  <c r="AC37" i="16"/>
  <c r="W37" i="16"/>
  <c r="Y37" i="16" s="1"/>
  <c r="R37" i="16"/>
  <c r="H44" i="17" s="1"/>
  <c r="AQ44" i="17" s="1"/>
  <c r="AC36" i="16"/>
  <c r="W36" i="16"/>
  <c r="Y36" i="16" s="1"/>
  <c r="R36" i="16"/>
  <c r="AC35" i="16"/>
  <c r="W35" i="16"/>
  <c r="Y35" i="16" s="1"/>
  <c r="R35" i="16"/>
  <c r="AC34" i="16"/>
  <c r="W34" i="16"/>
  <c r="Y34" i="16" s="1"/>
  <c r="R34" i="16"/>
  <c r="AC33" i="16"/>
  <c r="W33" i="16"/>
  <c r="Y33" i="16" s="1"/>
  <c r="R33" i="16"/>
  <c r="AC32" i="16"/>
  <c r="W32" i="16"/>
  <c r="Y32" i="16" s="1"/>
  <c r="R32" i="16"/>
  <c r="AC31" i="16"/>
  <c r="W31" i="16"/>
  <c r="Y31" i="16" s="1"/>
  <c r="R31" i="16"/>
  <c r="AC30" i="16"/>
  <c r="W30" i="16"/>
  <c r="Y30" i="16" s="1"/>
  <c r="R30" i="16"/>
  <c r="AC29" i="16"/>
  <c r="W29" i="16"/>
  <c r="Y29" i="16" s="1"/>
  <c r="R29" i="16"/>
  <c r="H36" i="17" s="1"/>
  <c r="AQ36" i="17" s="1"/>
  <c r="AC28" i="16"/>
  <c r="W28" i="16"/>
  <c r="Y28" i="16" s="1"/>
  <c r="R28" i="16"/>
  <c r="AC27" i="16"/>
  <c r="W27" i="16"/>
  <c r="Y27" i="16" s="1"/>
  <c r="R27" i="16"/>
  <c r="AC26" i="16"/>
  <c r="W26" i="16"/>
  <c r="Y26" i="16" s="1"/>
  <c r="R26" i="16"/>
  <c r="AC25" i="16"/>
  <c r="W25" i="16"/>
  <c r="Y25" i="16" s="1"/>
  <c r="R25" i="16"/>
  <c r="AC24" i="16"/>
  <c r="W24" i="16"/>
  <c r="Y24" i="16" s="1"/>
  <c r="R24" i="16"/>
  <c r="H31" i="17" s="1"/>
  <c r="AQ31" i="17" s="1"/>
  <c r="AC23" i="16"/>
  <c r="W23" i="16"/>
  <c r="Y23" i="16" s="1"/>
  <c r="R23" i="16"/>
  <c r="AC22" i="16"/>
  <c r="W22" i="16"/>
  <c r="Y22" i="16" s="1"/>
  <c r="R22" i="16"/>
  <c r="AC21" i="16"/>
  <c r="W21" i="16"/>
  <c r="Y21" i="16" s="1"/>
  <c r="R21" i="16"/>
  <c r="H28" i="17" s="1"/>
  <c r="AQ28" i="17" s="1"/>
  <c r="AC20" i="16"/>
  <c r="W20" i="16"/>
  <c r="Y20" i="16" s="1"/>
  <c r="R20" i="16"/>
  <c r="AC19" i="16"/>
  <c r="W19" i="16"/>
  <c r="Y19" i="16" s="1"/>
  <c r="R19" i="16"/>
  <c r="AC17" i="16"/>
  <c r="W17" i="16"/>
  <c r="Y17" i="16" s="1"/>
  <c r="R17" i="16"/>
  <c r="AC16" i="16"/>
  <c r="W16" i="16"/>
  <c r="Y16" i="16" s="1"/>
  <c r="R16" i="16"/>
  <c r="AC15" i="16"/>
  <c r="W15" i="16"/>
  <c r="Y15" i="16" s="1"/>
  <c r="R15" i="16"/>
  <c r="AC14" i="16"/>
  <c r="W14" i="16"/>
  <c r="Y14" i="16" s="1"/>
  <c r="R14" i="16"/>
  <c r="AC13" i="16"/>
  <c r="W13" i="16"/>
  <c r="Y13" i="16" s="1"/>
  <c r="R13" i="16"/>
  <c r="AC12" i="16"/>
  <c r="W12" i="16"/>
  <c r="Y12" i="16" s="1"/>
  <c r="R12" i="16"/>
  <c r="H19" i="17" s="1"/>
  <c r="AQ19" i="17" s="1"/>
  <c r="AC11" i="16"/>
  <c r="W11" i="16"/>
  <c r="Y11" i="16" s="1"/>
  <c r="R11" i="16"/>
  <c r="AC10" i="16"/>
  <c r="W10" i="16"/>
  <c r="Y10" i="16" s="1"/>
  <c r="R10" i="16"/>
  <c r="S15" i="16" l="1"/>
  <c r="H22" i="17"/>
  <c r="AQ22" i="17" s="1"/>
  <c r="S14" i="16"/>
  <c r="H21" i="17"/>
  <c r="AQ21" i="17" s="1"/>
  <c r="S23" i="16"/>
  <c r="H30" i="17"/>
  <c r="AQ30" i="17" s="1"/>
  <c r="S24" i="16"/>
  <c r="S32" i="16"/>
  <c r="H39" i="17"/>
  <c r="AQ39" i="17" s="1"/>
  <c r="S36" i="16"/>
  <c r="H43" i="17"/>
  <c r="AQ43" i="17" s="1"/>
  <c r="S40" i="16"/>
  <c r="H47" i="17"/>
  <c r="AQ47" i="17" s="1"/>
  <c r="S45" i="16"/>
  <c r="H52" i="17"/>
  <c r="AQ52" i="17" s="1"/>
  <c r="S49" i="16"/>
  <c r="H56" i="17"/>
  <c r="AQ56" i="17" s="1"/>
  <c r="S13" i="16"/>
  <c r="H20" i="17"/>
  <c r="AQ20" i="17" s="1"/>
  <c r="S17" i="16"/>
  <c r="H24" i="17"/>
  <c r="AQ24" i="17" s="1"/>
  <c r="S22" i="16"/>
  <c r="H29" i="17"/>
  <c r="AQ29" i="17" s="1"/>
  <c r="S27" i="16"/>
  <c r="H34" i="17"/>
  <c r="AQ34" i="17" s="1"/>
  <c r="S31" i="16"/>
  <c r="H38" i="17"/>
  <c r="AQ38" i="17" s="1"/>
  <c r="S35" i="16"/>
  <c r="H42" i="17"/>
  <c r="AQ42" i="17" s="1"/>
  <c r="S39" i="16"/>
  <c r="H46" i="17"/>
  <c r="AQ46" i="17" s="1"/>
  <c r="S44" i="16"/>
  <c r="H51" i="17"/>
  <c r="AQ51" i="17" s="1"/>
  <c r="S48" i="16"/>
  <c r="H55" i="17"/>
  <c r="AQ55" i="17" s="1"/>
  <c r="S20" i="16"/>
  <c r="H27" i="17"/>
  <c r="AQ27" i="17" s="1"/>
  <c r="S19" i="16"/>
  <c r="H26" i="17"/>
  <c r="AQ26" i="17" s="1"/>
  <c r="S28" i="16"/>
  <c r="H35" i="17"/>
  <c r="AQ35" i="17" s="1"/>
  <c r="S16" i="16"/>
  <c r="H23" i="17"/>
  <c r="AQ23" i="17" s="1"/>
  <c r="S26" i="16"/>
  <c r="H33" i="17"/>
  <c r="AQ33" i="17" s="1"/>
  <c r="S30" i="16"/>
  <c r="H37" i="17"/>
  <c r="AQ37" i="17" s="1"/>
  <c r="S34" i="16"/>
  <c r="H41" i="17"/>
  <c r="AQ41" i="17" s="1"/>
  <c r="S38" i="16"/>
  <c r="H45" i="17"/>
  <c r="AQ45" i="17" s="1"/>
  <c r="S43" i="16"/>
  <c r="H50" i="17"/>
  <c r="AQ50" i="17" s="1"/>
  <c r="S47" i="16"/>
  <c r="H54" i="17"/>
  <c r="AQ54" i="17" s="1"/>
  <c r="S11" i="16"/>
  <c r="H18" i="17"/>
  <c r="AQ18" i="17" s="1"/>
  <c r="S25" i="16"/>
  <c r="H32" i="17"/>
  <c r="AQ32" i="17" s="1"/>
  <c r="S33" i="16"/>
  <c r="H40" i="17"/>
  <c r="AQ40" i="17" s="1"/>
  <c r="S42" i="16"/>
  <c r="H49" i="17"/>
  <c r="AQ49" i="17" s="1"/>
  <c r="S50" i="16"/>
  <c r="H57" i="17"/>
  <c r="AQ57" i="17" s="1"/>
  <c r="S51" i="16"/>
  <c r="H58" i="17"/>
  <c r="AQ58" i="17" s="1"/>
  <c r="S10" i="16"/>
  <c r="H17" i="17"/>
  <c r="AQ17" i="17" s="1"/>
  <c r="H26" i="13"/>
  <c r="H46" i="13"/>
  <c r="H21" i="13"/>
  <c r="Z49" i="16"/>
  <c r="AA49" i="16" s="1"/>
  <c r="AD49" i="16" s="1"/>
  <c r="AE49" i="16" s="1"/>
  <c r="H17" i="13"/>
  <c r="Z32" i="16"/>
  <c r="AA32" i="16" s="1"/>
  <c r="AD32" i="16" s="1"/>
  <c r="AE32" i="16" s="1"/>
  <c r="Z15" i="16"/>
  <c r="AA15" i="16" s="1"/>
  <c r="AD15" i="16" s="1"/>
  <c r="AE15" i="16" s="1"/>
  <c r="Z29" i="16"/>
  <c r="AA29" i="16" s="1"/>
  <c r="AD29" i="16" s="1"/>
  <c r="AE29" i="16" s="1"/>
  <c r="Z34" i="16"/>
  <c r="AA34" i="16" s="1"/>
  <c r="AD34" i="16" s="1"/>
  <c r="AE34" i="16" s="1"/>
  <c r="Z12" i="16"/>
  <c r="AA12" i="16" s="1"/>
  <c r="AD12" i="16" s="1"/>
  <c r="AE12" i="16" s="1"/>
  <c r="Z17" i="16"/>
  <c r="AA17" i="16" s="1"/>
  <c r="AD17" i="16" s="1"/>
  <c r="AE17" i="16" s="1"/>
  <c r="Z21" i="16"/>
  <c r="AA21" i="16" s="1"/>
  <c r="AD21" i="16" s="1"/>
  <c r="AE21" i="16" s="1"/>
  <c r="Z26" i="16"/>
  <c r="AA26" i="16" s="1"/>
  <c r="AD26" i="16" s="1"/>
  <c r="AE26" i="16" s="1"/>
  <c r="Z46" i="16"/>
  <c r="AA46" i="16" s="1"/>
  <c r="AD46" i="16" s="1"/>
  <c r="AE46" i="16" s="1"/>
  <c r="Z14" i="16"/>
  <c r="AA14" i="16" s="1"/>
  <c r="AD14" i="16" s="1"/>
  <c r="AE14" i="16" s="1"/>
  <c r="Z48" i="16"/>
  <c r="AA48" i="16" s="1"/>
  <c r="AD48" i="16" s="1"/>
  <c r="AE48" i="16" s="1"/>
  <c r="Z43" i="16"/>
  <c r="AA43" i="16" s="1"/>
  <c r="AD43" i="16" s="1"/>
  <c r="AE43" i="16" s="1"/>
  <c r="Z31" i="16"/>
  <c r="AA31" i="16" s="1"/>
  <c r="AD31" i="16" s="1"/>
  <c r="AE31" i="16" s="1"/>
  <c r="Z24" i="16"/>
  <c r="AA24" i="16" s="1"/>
  <c r="AD24" i="16" s="1"/>
  <c r="AE24" i="16" s="1"/>
  <c r="Z40" i="16"/>
  <c r="AA40" i="16" s="1"/>
  <c r="AD40" i="16" s="1"/>
  <c r="AE40" i="16" s="1"/>
  <c r="Z23" i="16"/>
  <c r="AA23" i="16" s="1"/>
  <c r="AD23" i="16" s="1"/>
  <c r="AE23" i="16" s="1"/>
  <c r="Z39" i="16"/>
  <c r="AA39" i="16" s="1"/>
  <c r="AD39" i="16" s="1"/>
  <c r="AE39" i="16" s="1"/>
  <c r="Z37" i="16"/>
  <c r="AA37" i="16" s="1"/>
  <c r="AD37" i="16" s="1"/>
  <c r="AE37" i="16" s="1"/>
  <c r="Z10" i="16"/>
  <c r="AA10" i="16" s="1"/>
  <c r="AD10" i="16" s="1"/>
  <c r="AE10" i="16" s="1"/>
  <c r="Z19" i="16"/>
  <c r="AA19" i="16" s="1"/>
  <c r="AD19" i="16" s="1"/>
  <c r="AE19" i="16" s="1"/>
  <c r="Z27" i="16"/>
  <c r="AA27" i="16" s="1"/>
  <c r="AD27" i="16" s="1"/>
  <c r="AE27" i="16" s="1"/>
  <c r="Z35" i="16"/>
  <c r="AA35" i="16" s="1"/>
  <c r="AD35" i="16" s="1"/>
  <c r="AE35" i="16" s="1"/>
  <c r="Z44" i="16"/>
  <c r="AA44" i="16" s="1"/>
  <c r="AD44" i="16" s="1"/>
  <c r="AE44" i="16" s="1"/>
  <c r="Z51" i="16"/>
  <c r="AA51" i="16" s="1"/>
  <c r="AD51" i="16" s="1"/>
  <c r="AE51" i="16" s="1"/>
  <c r="Z13" i="16"/>
  <c r="AA13" i="16" s="1"/>
  <c r="AD13" i="16" s="1"/>
  <c r="AE13" i="16" s="1"/>
  <c r="Z22" i="16"/>
  <c r="AA22" i="16" s="1"/>
  <c r="AD22" i="16" s="1"/>
  <c r="AE22" i="16" s="1"/>
  <c r="Z30" i="16"/>
  <c r="AA30" i="16" s="1"/>
  <c r="AD30" i="16" s="1"/>
  <c r="AE30" i="16" s="1"/>
  <c r="Z38" i="16"/>
  <c r="AA38" i="16" s="1"/>
  <c r="AD38" i="16" s="1"/>
  <c r="AE38" i="16" s="1"/>
  <c r="Z47" i="16"/>
  <c r="AA47" i="16" s="1"/>
  <c r="AD47" i="16" s="1"/>
  <c r="AE47" i="16" s="1"/>
  <c r="Z25" i="16"/>
  <c r="AA25" i="16" s="1"/>
  <c r="AD25" i="16" s="1"/>
  <c r="AE25" i="16" s="1"/>
  <c r="Z33" i="16"/>
  <c r="AA33" i="16" s="1"/>
  <c r="AD33" i="16" s="1"/>
  <c r="AE33" i="16" s="1"/>
  <c r="Z42" i="16"/>
  <c r="AA42" i="16" s="1"/>
  <c r="AD42" i="16" s="1"/>
  <c r="AE42" i="16" s="1"/>
  <c r="Z50" i="16"/>
  <c r="AA50" i="16" s="1"/>
  <c r="AD50" i="16" s="1"/>
  <c r="AE50" i="16" s="1"/>
  <c r="Z16" i="16"/>
  <c r="AA16" i="16" s="1"/>
  <c r="AD16" i="16" s="1"/>
  <c r="AE16" i="16" s="1"/>
  <c r="Z11" i="16"/>
  <c r="AA11" i="16" s="1"/>
  <c r="AD11" i="16" s="1"/>
  <c r="AE11" i="16" s="1"/>
  <c r="S12" i="16"/>
  <c r="Z20" i="16"/>
  <c r="AA20" i="16" s="1"/>
  <c r="AD20" i="16" s="1"/>
  <c r="AE20" i="16" s="1"/>
  <c r="S21" i="16"/>
  <c r="Z28" i="16"/>
  <c r="AA28" i="16" s="1"/>
  <c r="AD28" i="16" s="1"/>
  <c r="AE28" i="16" s="1"/>
  <c r="S29" i="16"/>
  <c r="Z36" i="16"/>
  <c r="AA36" i="16" s="1"/>
  <c r="AD36" i="16" s="1"/>
  <c r="AE36" i="16" s="1"/>
  <c r="S37" i="16"/>
  <c r="Z45" i="16"/>
  <c r="AA45" i="16" s="1"/>
  <c r="AD45" i="16" s="1"/>
  <c r="AE45" i="16" s="1"/>
  <c r="S46" i="16"/>
  <c r="W51" i="7"/>
  <c r="Y51" i="7" s="1"/>
  <c r="R51" i="7"/>
  <c r="S51" i="7" s="1"/>
  <c r="W50" i="7"/>
  <c r="Y50" i="7" s="1"/>
  <c r="R50" i="7"/>
  <c r="S50" i="7" s="1"/>
  <c r="W49" i="7"/>
  <c r="Y49" i="7" s="1"/>
  <c r="R49" i="7"/>
  <c r="S49" i="7" s="1"/>
  <c r="W48" i="7"/>
  <c r="Y48" i="7" s="1"/>
  <c r="R48" i="7"/>
  <c r="S48" i="7" s="1"/>
  <c r="W47" i="7"/>
  <c r="Y47" i="7" s="1"/>
  <c r="R47" i="7"/>
  <c r="S47" i="7" s="1"/>
  <c r="W46" i="7"/>
  <c r="Y46" i="7" s="1"/>
  <c r="R46" i="7"/>
  <c r="S46" i="7" s="1"/>
  <c r="W45" i="7"/>
  <c r="Y45" i="7" s="1"/>
  <c r="R45" i="7"/>
  <c r="S45" i="7" s="1"/>
  <c r="W44" i="7"/>
  <c r="Y44" i="7" s="1"/>
  <c r="R44" i="7"/>
  <c r="S44" i="7" s="1"/>
  <c r="W43" i="7"/>
  <c r="Y43" i="7" s="1"/>
  <c r="S43" i="7"/>
  <c r="R43" i="7"/>
  <c r="W42" i="7"/>
  <c r="Y42" i="7" s="1"/>
  <c r="R42" i="7"/>
  <c r="S42" i="7" s="1"/>
  <c r="W40" i="7"/>
  <c r="Y40" i="7" s="1"/>
  <c r="R40" i="7"/>
  <c r="S40" i="7" s="1"/>
  <c r="W39" i="7"/>
  <c r="Y39" i="7" s="1"/>
  <c r="R39" i="7"/>
  <c r="S39" i="7" s="1"/>
  <c r="Z46" i="13"/>
  <c r="W38" i="7"/>
  <c r="Y38" i="7" s="1"/>
  <c r="R38" i="7"/>
  <c r="S38" i="7" s="1"/>
  <c r="W37" i="7"/>
  <c r="Y37" i="7" s="1"/>
  <c r="R37" i="7"/>
  <c r="S37" i="7" s="1"/>
  <c r="W36" i="7"/>
  <c r="Y36" i="7" s="1"/>
  <c r="R36" i="7"/>
  <c r="S36" i="7" s="1"/>
  <c r="W35" i="7"/>
  <c r="Y35" i="7" s="1"/>
  <c r="R35" i="7"/>
  <c r="S35" i="7" s="1"/>
  <c r="W34" i="7"/>
  <c r="Y34" i="7" s="1"/>
  <c r="R34" i="7"/>
  <c r="S34" i="7" s="1"/>
  <c r="W33" i="7"/>
  <c r="Y33" i="7" s="1"/>
  <c r="R33" i="7"/>
  <c r="S33" i="7" s="1"/>
  <c r="W32" i="7"/>
  <c r="Y32" i="7" s="1"/>
  <c r="R32" i="7"/>
  <c r="S32" i="7" s="1"/>
  <c r="W31" i="7"/>
  <c r="Y31" i="7" s="1"/>
  <c r="R31" i="7"/>
  <c r="S31" i="7" s="1"/>
  <c r="W30" i="7"/>
  <c r="Y30" i="7" s="1"/>
  <c r="R30" i="7"/>
  <c r="S30" i="7" s="1"/>
  <c r="W29" i="7"/>
  <c r="Y29" i="7" s="1"/>
  <c r="R29" i="7"/>
  <c r="S29" i="7" s="1"/>
  <c r="W28" i="7"/>
  <c r="Y28" i="7" s="1"/>
  <c r="R28" i="7"/>
  <c r="S28" i="7" s="1"/>
  <c r="W27" i="7"/>
  <c r="Y27" i="7" s="1"/>
  <c r="R27" i="7"/>
  <c r="S27" i="7" s="1"/>
  <c r="W26" i="7"/>
  <c r="Y26" i="7" s="1"/>
  <c r="R26" i="7"/>
  <c r="S26" i="7" s="1"/>
  <c r="W25" i="7"/>
  <c r="Y25" i="7" s="1"/>
  <c r="R25" i="7"/>
  <c r="S25" i="7" s="1"/>
  <c r="W24" i="7"/>
  <c r="Y24" i="7" s="1"/>
  <c r="R24" i="7"/>
  <c r="S24" i="7" s="1"/>
  <c r="W23" i="7"/>
  <c r="Y23" i="7" s="1"/>
  <c r="R23" i="7"/>
  <c r="S23" i="7" s="1"/>
  <c r="W22" i="7"/>
  <c r="Y22" i="7" s="1"/>
  <c r="R22" i="7"/>
  <c r="S22" i="7" s="1"/>
  <c r="W21" i="7"/>
  <c r="Y21" i="7" s="1"/>
  <c r="R21" i="7"/>
  <c r="S21" i="7" s="1"/>
  <c r="W20" i="7"/>
  <c r="Y20" i="7" s="1"/>
  <c r="R20" i="7"/>
  <c r="S20" i="7" s="1"/>
  <c r="W19" i="7"/>
  <c r="Y19" i="7" s="1"/>
  <c r="R19" i="7"/>
  <c r="S19" i="7" s="1"/>
  <c r="W17" i="7"/>
  <c r="Y17" i="7" s="1"/>
  <c r="R17" i="7"/>
  <c r="S17" i="7" s="1"/>
  <c r="W16" i="7"/>
  <c r="Y16" i="7" s="1"/>
  <c r="R16" i="7"/>
  <c r="S16" i="7" s="1"/>
  <c r="W15" i="7"/>
  <c r="Y15" i="7" s="1"/>
  <c r="R15" i="7"/>
  <c r="S15" i="7" s="1"/>
  <c r="W14" i="7"/>
  <c r="Y14" i="7" s="1"/>
  <c r="R14" i="7"/>
  <c r="S14" i="7" s="1"/>
  <c r="W13" i="7"/>
  <c r="Y13" i="7" s="1"/>
  <c r="R13" i="7"/>
  <c r="S13" i="7" s="1"/>
  <c r="W12" i="7"/>
  <c r="Y12" i="7" s="1"/>
  <c r="R12" i="7"/>
  <c r="S12" i="7" s="1"/>
  <c r="Y11" i="7"/>
  <c r="W11" i="7"/>
  <c r="R11" i="7"/>
  <c r="S11" i="7" s="1"/>
  <c r="W10" i="7"/>
  <c r="Y10" i="7" s="1"/>
  <c r="R10" i="7"/>
  <c r="S10" i="7" s="1"/>
  <c r="W51" i="8"/>
  <c r="Y51" i="8" s="1"/>
  <c r="R51" i="8"/>
  <c r="S51" i="8" s="1"/>
  <c r="W50" i="8"/>
  <c r="Y50" i="8" s="1"/>
  <c r="R50" i="8"/>
  <c r="S50" i="8" s="1"/>
  <c r="W49" i="8"/>
  <c r="Y49" i="8" s="1"/>
  <c r="R49" i="8"/>
  <c r="S49" i="8" s="1"/>
  <c r="W48" i="8"/>
  <c r="Y48" i="8" s="1"/>
  <c r="R48" i="8"/>
  <c r="S48" i="8" s="1"/>
  <c r="W47" i="8"/>
  <c r="Y47" i="8" s="1"/>
  <c r="R47" i="8"/>
  <c r="S47" i="8" s="1"/>
  <c r="W46" i="8"/>
  <c r="Y46" i="8" s="1"/>
  <c r="R46" i="8"/>
  <c r="S46" i="8" s="1"/>
  <c r="W45" i="8"/>
  <c r="Y45" i="8" s="1"/>
  <c r="R45" i="8"/>
  <c r="S45" i="8" s="1"/>
  <c r="W44" i="8"/>
  <c r="Y44" i="8" s="1"/>
  <c r="R44" i="8"/>
  <c r="S44" i="8" s="1"/>
  <c r="W43" i="8"/>
  <c r="Y43" i="8" s="1"/>
  <c r="R43" i="8"/>
  <c r="S43" i="8" s="1"/>
  <c r="W42" i="8"/>
  <c r="Y42" i="8" s="1"/>
  <c r="R42" i="8"/>
  <c r="S42" i="8" s="1"/>
  <c r="W40" i="8"/>
  <c r="Y40" i="8" s="1"/>
  <c r="R40" i="8"/>
  <c r="S40" i="8" s="1"/>
  <c r="W39" i="8"/>
  <c r="Y39" i="8" s="1"/>
  <c r="R39" i="8"/>
  <c r="S39" i="8" s="1"/>
  <c r="W46" i="13"/>
  <c r="W38" i="8"/>
  <c r="Y38" i="8" s="1"/>
  <c r="R38" i="8"/>
  <c r="S38" i="8" s="1"/>
  <c r="W37" i="8"/>
  <c r="Y37" i="8" s="1"/>
  <c r="R37" i="8"/>
  <c r="S37" i="8" s="1"/>
  <c r="W36" i="8"/>
  <c r="Y36" i="8" s="1"/>
  <c r="R36" i="8"/>
  <c r="S36" i="8" s="1"/>
  <c r="W35" i="8"/>
  <c r="Y35" i="8" s="1"/>
  <c r="R35" i="8"/>
  <c r="S35" i="8" s="1"/>
  <c r="W34" i="8"/>
  <c r="Y34" i="8" s="1"/>
  <c r="R34" i="8"/>
  <c r="S34" i="8" s="1"/>
  <c r="W33" i="8"/>
  <c r="Y33" i="8" s="1"/>
  <c r="R33" i="8"/>
  <c r="S33" i="8" s="1"/>
  <c r="W32" i="8"/>
  <c r="Y32" i="8" s="1"/>
  <c r="R32" i="8"/>
  <c r="S32" i="8" s="1"/>
  <c r="W31" i="8"/>
  <c r="Y31" i="8" s="1"/>
  <c r="R31" i="8"/>
  <c r="S31" i="8" s="1"/>
  <c r="W30" i="8"/>
  <c r="Y30" i="8" s="1"/>
  <c r="R30" i="8"/>
  <c r="S30" i="8" s="1"/>
  <c r="W29" i="8"/>
  <c r="Y29" i="8" s="1"/>
  <c r="R29" i="8"/>
  <c r="S29" i="8" s="1"/>
  <c r="W28" i="8"/>
  <c r="Y28" i="8" s="1"/>
  <c r="R28" i="8"/>
  <c r="S28" i="8" s="1"/>
  <c r="W27" i="8"/>
  <c r="Y27" i="8" s="1"/>
  <c r="R27" i="8"/>
  <c r="S27" i="8" s="1"/>
  <c r="W26" i="8"/>
  <c r="Y26" i="8" s="1"/>
  <c r="R26" i="8"/>
  <c r="S26" i="8" s="1"/>
  <c r="W25" i="8"/>
  <c r="Y25" i="8" s="1"/>
  <c r="R25" i="8"/>
  <c r="S25" i="8" s="1"/>
  <c r="W24" i="8"/>
  <c r="Y24" i="8" s="1"/>
  <c r="R24" i="8"/>
  <c r="S24" i="8" s="1"/>
  <c r="W23" i="8"/>
  <c r="Y23" i="8" s="1"/>
  <c r="R23" i="8"/>
  <c r="S23" i="8" s="1"/>
  <c r="W22" i="8"/>
  <c r="Y22" i="8" s="1"/>
  <c r="R22" i="8"/>
  <c r="S22" i="8" s="1"/>
  <c r="W21" i="8"/>
  <c r="Y21" i="8" s="1"/>
  <c r="R21" i="8"/>
  <c r="S21" i="8" s="1"/>
  <c r="W20" i="8"/>
  <c r="Y20" i="8" s="1"/>
  <c r="R20" i="8"/>
  <c r="S20" i="8" s="1"/>
  <c r="W19" i="8"/>
  <c r="Y19" i="8" s="1"/>
  <c r="R19" i="8"/>
  <c r="S19" i="8" s="1"/>
  <c r="W17" i="8"/>
  <c r="Y17" i="8" s="1"/>
  <c r="R17" i="8"/>
  <c r="S17" i="8" s="1"/>
  <c r="W16" i="8"/>
  <c r="Y16" i="8" s="1"/>
  <c r="R16" i="8"/>
  <c r="S16" i="8" s="1"/>
  <c r="W15" i="8"/>
  <c r="Y15" i="8" s="1"/>
  <c r="R15" i="8"/>
  <c r="S15" i="8" s="1"/>
  <c r="W14" i="8"/>
  <c r="Y14" i="8" s="1"/>
  <c r="R14" i="8"/>
  <c r="S14" i="8" s="1"/>
  <c r="W13" i="8"/>
  <c r="Y13" i="8" s="1"/>
  <c r="R13" i="8"/>
  <c r="S13" i="8" s="1"/>
  <c r="W12" i="8"/>
  <c r="Y12" i="8" s="1"/>
  <c r="R12" i="8"/>
  <c r="S12" i="8" s="1"/>
  <c r="W11" i="8"/>
  <c r="Y11" i="8" s="1"/>
  <c r="R11" i="8"/>
  <c r="S11" i="8" s="1"/>
  <c r="W10" i="8"/>
  <c r="Y10" i="8" s="1"/>
  <c r="R10" i="8"/>
  <c r="S10" i="8" s="1"/>
  <c r="AV29" i="17" l="1"/>
  <c r="Z47" i="7"/>
  <c r="AA47" i="7" s="1"/>
  <c r="Z11" i="8"/>
  <c r="AA11" i="8" s="1"/>
  <c r="Z24" i="8"/>
  <c r="AA24" i="8" s="1"/>
  <c r="Z34" i="8"/>
  <c r="AA34" i="8" s="1"/>
  <c r="Z47" i="8"/>
  <c r="AA47" i="8" s="1"/>
  <c r="Z49" i="7"/>
  <c r="AA49" i="7" s="1"/>
  <c r="Z17" i="8"/>
  <c r="AA17" i="8" s="1"/>
  <c r="Z45" i="8"/>
  <c r="AA45" i="8" s="1"/>
  <c r="Z30" i="8"/>
  <c r="AA30" i="8" s="1"/>
  <c r="Z11" i="7"/>
  <c r="AA11" i="7" s="1"/>
  <c r="Z13" i="7"/>
  <c r="AA13" i="7" s="1"/>
  <c r="Z15" i="7"/>
  <c r="AA15" i="7" s="1"/>
  <c r="Z17" i="7"/>
  <c r="AA17" i="7" s="1"/>
  <c r="Z20" i="7"/>
  <c r="AA20" i="7" s="1"/>
  <c r="Z22" i="7"/>
  <c r="AA22" i="7" s="1"/>
  <c r="Z24" i="7"/>
  <c r="AA24" i="7" s="1"/>
  <c r="Z26" i="7"/>
  <c r="AA26" i="7" s="1"/>
  <c r="Z28" i="7"/>
  <c r="AA28" i="7" s="1"/>
  <c r="Z30" i="7"/>
  <c r="AA30" i="7" s="1"/>
  <c r="Z32" i="7"/>
  <c r="AA32" i="7" s="1"/>
  <c r="Z13" i="8"/>
  <c r="AA13" i="8" s="1"/>
  <c r="Z26" i="8"/>
  <c r="AA26" i="8" s="1"/>
  <c r="Z36" i="8"/>
  <c r="AA36" i="8" s="1"/>
  <c r="Z49" i="8"/>
  <c r="AA49" i="8" s="1"/>
  <c r="Z10" i="8"/>
  <c r="AA10" i="8" s="1"/>
  <c r="Z14" i="8"/>
  <c r="AA14" i="8" s="1"/>
  <c r="Z19" i="8"/>
  <c r="AA19" i="8" s="1"/>
  <c r="Z23" i="8"/>
  <c r="AA23" i="8" s="1"/>
  <c r="Z27" i="8"/>
  <c r="AA27" i="8" s="1"/>
  <c r="Z29" i="8"/>
  <c r="AA29" i="8" s="1"/>
  <c r="Z33" i="8"/>
  <c r="AA33" i="8" s="1"/>
  <c r="Z35" i="8"/>
  <c r="AA35" i="8" s="1"/>
  <c r="Z37" i="8"/>
  <c r="AA37" i="8" s="1"/>
  <c r="Z39" i="8"/>
  <c r="AA39" i="8" s="1"/>
  <c r="Z42" i="8"/>
  <c r="AA42" i="8" s="1"/>
  <c r="Z44" i="8"/>
  <c r="AA44" i="8" s="1"/>
  <c r="Z46" i="8"/>
  <c r="AA46" i="8" s="1"/>
  <c r="Z48" i="8"/>
  <c r="AA48" i="8" s="1"/>
  <c r="Z50" i="8"/>
  <c r="AA50" i="8" s="1"/>
  <c r="Z51" i="8"/>
  <c r="AA51" i="8" s="1"/>
  <c r="Z36" i="7"/>
  <c r="AA36" i="7" s="1"/>
  <c r="Z20" i="8"/>
  <c r="AA20" i="8" s="1"/>
  <c r="Z32" i="8"/>
  <c r="AA32" i="8" s="1"/>
  <c r="Z43" i="8"/>
  <c r="AA43" i="8" s="1"/>
  <c r="Z12" i="8"/>
  <c r="AA12" i="8" s="1"/>
  <c r="Z16" i="8"/>
  <c r="AA16" i="8" s="1"/>
  <c r="Z21" i="8"/>
  <c r="AA21" i="8" s="1"/>
  <c r="Z25" i="8"/>
  <c r="AA25" i="8" s="1"/>
  <c r="Z31" i="8"/>
  <c r="AA31" i="8" s="1"/>
  <c r="Z38" i="7"/>
  <c r="AA38" i="7" s="1"/>
  <c r="Z15" i="8"/>
  <c r="AA15" i="8" s="1"/>
  <c r="Z28" i="8"/>
  <c r="AA28" i="8" s="1"/>
  <c r="Z38" i="8"/>
  <c r="AA38" i="8" s="1"/>
  <c r="Z40" i="7"/>
  <c r="AA40" i="7" s="1"/>
  <c r="Z22" i="8"/>
  <c r="AA22" i="8" s="1"/>
  <c r="Z40" i="8"/>
  <c r="AA40" i="8" s="1"/>
  <c r="Z12" i="7"/>
  <c r="AA12" i="7" s="1"/>
  <c r="Z14" i="7"/>
  <c r="AA14" i="7" s="1"/>
  <c r="Z16" i="7"/>
  <c r="AA16" i="7" s="1"/>
  <c r="Z19" i="7"/>
  <c r="AA19" i="7" s="1"/>
  <c r="Z21" i="7"/>
  <c r="AA21" i="7" s="1"/>
  <c r="Z23" i="7"/>
  <c r="AA23" i="7" s="1"/>
  <c r="Z25" i="7"/>
  <c r="AA25" i="7" s="1"/>
  <c r="Z27" i="7"/>
  <c r="AA27" i="7" s="1"/>
  <c r="Z29" i="7"/>
  <c r="AA29" i="7" s="1"/>
  <c r="Z31" i="7"/>
  <c r="AA31" i="7" s="1"/>
  <c r="Z45" i="7"/>
  <c r="AA45" i="7" s="1"/>
  <c r="Z37" i="7"/>
  <c r="AA37" i="7" s="1"/>
  <c r="Z46" i="7"/>
  <c r="AA46" i="7" s="1"/>
  <c r="Z34" i="7"/>
  <c r="AA34" i="7" s="1"/>
  <c r="Z43" i="7"/>
  <c r="AA43" i="7" s="1"/>
  <c r="Z39" i="7"/>
  <c r="AA39" i="7" s="1"/>
  <c r="Z48" i="7"/>
  <c r="AA48" i="7" s="1"/>
  <c r="Z10" i="7"/>
  <c r="AA10" i="7" s="1"/>
  <c r="Z33" i="7"/>
  <c r="AA33" i="7" s="1"/>
  <c r="Z42" i="7"/>
  <c r="AA42" i="7" s="1"/>
  <c r="Z50" i="7"/>
  <c r="AA50" i="7" s="1"/>
  <c r="Z35" i="7"/>
  <c r="AA35" i="7" s="1"/>
  <c r="Z44" i="7"/>
  <c r="AA44" i="7" s="1"/>
  <c r="Z51" i="7"/>
  <c r="AA51" i="7" s="1"/>
  <c r="W51" i="4"/>
  <c r="Y51" i="4" s="1"/>
  <c r="R51" i="4"/>
  <c r="S51" i="4" s="1"/>
  <c r="W50" i="4"/>
  <c r="Y50" i="4" s="1"/>
  <c r="R50" i="4"/>
  <c r="S50" i="4" s="1"/>
  <c r="W49" i="4"/>
  <c r="Y49" i="4" s="1"/>
  <c r="R49" i="4"/>
  <c r="S49" i="4" s="1"/>
  <c r="W48" i="4"/>
  <c r="Y48" i="4" s="1"/>
  <c r="R48" i="4"/>
  <c r="S48" i="4" s="1"/>
  <c r="W47" i="4"/>
  <c r="Y47" i="4" s="1"/>
  <c r="R47" i="4"/>
  <c r="S47" i="4" s="1"/>
  <c r="W46" i="4"/>
  <c r="Y46" i="4" s="1"/>
  <c r="R46" i="4"/>
  <c r="S46" i="4" s="1"/>
  <c r="W45" i="4"/>
  <c r="Y45" i="4" s="1"/>
  <c r="R45" i="4"/>
  <c r="S45" i="4" s="1"/>
  <c r="W44" i="4"/>
  <c r="Y44" i="4" s="1"/>
  <c r="R44" i="4"/>
  <c r="S44" i="4" s="1"/>
  <c r="W43" i="4"/>
  <c r="Y43" i="4" s="1"/>
  <c r="R43" i="4"/>
  <c r="S43" i="4" s="1"/>
  <c r="W42" i="4"/>
  <c r="Y42" i="4" s="1"/>
  <c r="R42" i="4"/>
  <c r="S42" i="4" s="1"/>
  <c r="W40" i="4"/>
  <c r="Y40" i="4" s="1"/>
  <c r="R40" i="4"/>
  <c r="S40" i="4" s="1"/>
  <c r="W39" i="4"/>
  <c r="Y39" i="4" s="1"/>
  <c r="R39" i="4"/>
  <c r="S39" i="4" s="1"/>
  <c r="W38" i="4"/>
  <c r="Y38" i="4" s="1"/>
  <c r="R38" i="4"/>
  <c r="S38" i="4" s="1"/>
  <c r="Z38" i="4"/>
  <c r="AA38" i="4" s="1"/>
  <c r="W37" i="4"/>
  <c r="Y37" i="4" s="1"/>
  <c r="R37" i="4"/>
  <c r="S37" i="4" s="1"/>
  <c r="W36" i="4"/>
  <c r="Y36" i="4" s="1"/>
  <c r="R36" i="4"/>
  <c r="S36" i="4" s="1"/>
  <c r="W35" i="4"/>
  <c r="Y35" i="4" s="1"/>
  <c r="R35" i="4"/>
  <c r="S35" i="4" s="1"/>
  <c r="W34" i="4"/>
  <c r="Y34" i="4" s="1"/>
  <c r="R34" i="4"/>
  <c r="S34" i="4" s="1"/>
  <c r="W33" i="4"/>
  <c r="Y33" i="4" s="1"/>
  <c r="R33" i="4"/>
  <c r="S33" i="4" s="1"/>
  <c r="W32" i="4"/>
  <c r="Y32" i="4" s="1"/>
  <c r="R32" i="4"/>
  <c r="S32" i="4" s="1"/>
  <c r="W31" i="4"/>
  <c r="Y31" i="4" s="1"/>
  <c r="R31" i="4"/>
  <c r="S31" i="4" s="1"/>
  <c r="W30" i="4"/>
  <c r="Y30" i="4" s="1"/>
  <c r="R30" i="4"/>
  <c r="S30" i="4" s="1"/>
  <c r="W29" i="4"/>
  <c r="Y29" i="4" s="1"/>
  <c r="R29" i="4"/>
  <c r="S29" i="4" s="1"/>
  <c r="W28" i="4"/>
  <c r="Y28" i="4" s="1"/>
  <c r="R28" i="4"/>
  <c r="S28" i="4" s="1"/>
  <c r="W27" i="4"/>
  <c r="Y27" i="4" s="1"/>
  <c r="R27" i="4"/>
  <c r="S27" i="4" s="1"/>
  <c r="W26" i="4"/>
  <c r="Y26" i="4" s="1"/>
  <c r="R26" i="4"/>
  <c r="S26" i="4" s="1"/>
  <c r="W25" i="4"/>
  <c r="Y25" i="4" s="1"/>
  <c r="R25" i="4"/>
  <c r="S25" i="4" s="1"/>
  <c r="W24" i="4"/>
  <c r="Y24" i="4" s="1"/>
  <c r="R24" i="4"/>
  <c r="S24" i="4" s="1"/>
  <c r="W23" i="4"/>
  <c r="Y23" i="4" s="1"/>
  <c r="R23" i="4"/>
  <c r="S23" i="4" s="1"/>
  <c r="W22" i="4"/>
  <c r="Y22" i="4" s="1"/>
  <c r="R22" i="4"/>
  <c r="S22" i="4" s="1"/>
  <c r="W21" i="4"/>
  <c r="Y21" i="4" s="1"/>
  <c r="R21" i="4"/>
  <c r="S21" i="4" s="1"/>
  <c r="W20" i="4"/>
  <c r="Y20" i="4" s="1"/>
  <c r="R20" i="4"/>
  <c r="S20" i="4" s="1"/>
  <c r="W19" i="4"/>
  <c r="Y19" i="4" s="1"/>
  <c r="R19" i="4"/>
  <c r="S19" i="4" s="1"/>
  <c r="W17" i="4"/>
  <c r="Y17" i="4" s="1"/>
  <c r="R17" i="4"/>
  <c r="S17" i="4" s="1"/>
  <c r="W16" i="4"/>
  <c r="Y16" i="4" s="1"/>
  <c r="R16" i="4"/>
  <c r="S16" i="4" s="1"/>
  <c r="W15" i="4"/>
  <c r="Y15" i="4" s="1"/>
  <c r="R15" i="4"/>
  <c r="S15" i="4" s="1"/>
  <c r="W14" i="4"/>
  <c r="Y14" i="4" s="1"/>
  <c r="R14" i="4"/>
  <c r="S14" i="4" s="1"/>
  <c r="W13" i="4"/>
  <c r="Y13" i="4" s="1"/>
  <c r="R13" i="4"/>
  <c r="S13" i="4" s="1"/>
  <c r="W12" i="4"/>
  <c r="Y12" i="4" s="1"/>
  <c r="R12" i="4"/>
  <c r="S12" i="4" s="1"/>
  <c r="AL19" i="13"/>
  <c r="W11" i="4"/>
  <c r="Y11" i="4" s="1"/>
  <c r="R11" i="4"/>
  <c r="S11" i="4" s="1"/>
  <c r="W10" i="4"/>
  <c r="Y10" i="4" s="1"/>
  <c r="R10" i="4"/>
  <c r="S10" i="4" s="1"/>
  <c r="W51" i="5"/>
  <c r="Y51" i="5" s="1"/>
  <c r="R51" i="5"/>
  <c r="S51" i="5" s="1"/>
  <c r="W50" i="5"/>
  <c r="Y50" i="5" s="1"/>
  <c r="R50" i="5"/>
  <c r="S50" i="5" s="1"/>
  <c r="W49" i="5"/>
  <c r="Y49" i="5" s="1"/>
  <c r="R49" i="5"/>
  <c r="S49" i="5" s="1"/>
  <c r="W48" i="5"/>
  <c r="Y48" i="5" s="1"/>
  <c r="R48" i="5"/>
  <c r="S48" i="5" s="1"/>
  <c r="W47" i="5"/>
  <c r="Y47" i="5" s="1"/>
  <c r="R47" i="5"/>
  <c r="S47" i="5" s="1"/>
  <c r="W46" i="5"/>
  <c r="Y46" i="5" s="1"/>
  <c r="R46" i="5"/>
  <c r="S46" i="5" s="1"/>
  <c r="W45" i="5"/>
  <c r="Y45" i="5" s="1"/>
  <c r="R45" i="5"/>
  <c r="S45" i="5" s="1"/>
  <c r="W44" i="5"/>
  <c r="Y44" i="5" s="1"/>
  <c r="R44" i="5"/>
  <c r="S44" i="5" s="1"/>
  <c r="W43" i="5"/>
  <c r="Y43" i="5" s="1"/>
  <c r="R43" i="5"/>
  <c r="S43" i="5" s="1"/>
  <c r="AF50" i="13"/>
  <c r="Y42" i="5"/>
  <c r="W42" i="5"/>
  <c r="R42" i="5"/>
  <c r="S42" i="5" s="1"/>
  <c r="W40" i="5"/>
  <c r="Y40" i="5" s="1"/>
  <c r="R40" i="5"/>
  <c r="S40" i="5" s="1"/>
  <c r="W39" i="5"/>
  <c r="Y39" i="5" s="1"/>
  <c r="R39" i="5"/>
  <c r="S39" i="5" s="1"/>
  <c r="AF46" i="13"/>
  <c r="W38" i="5"/>
  <c r="Y38" i="5" s="1"/>
  <c r="R38" i="5"/>
  <c r="S38" i="5" s="1"/>
  <c r="W37" i="5"/>
  <c r="Y37" i="5" s="1"/>
  <c r="R37" i="5"/>
  <c r="S37" i="5" s="1"/>
  <c r="W36" i="5"/>
  <c r="Y36" i="5" s="1"/>
  <c r="R36" i="5"/>
  <c r="S36" i="5" s="1"/>
  <c r="W35" i="5"/>
  <c r="Y35" i="5" s="1"/>
  <c r="R35" i="5"/>
  <c r="S35" i="5" s="1"/>
  <c r="W34" i="5"/>
  <c r="Y34" i="5" s="1"/>
  <c r="R34" i="5"/>
  <c r="S34" i="5" s="1"/>
  <c r="W33" i="5"/>
  <c r="Y33" i="5" s="1"/>
  <c r="R33" i="5"/>
  <c r="S33" i="5" s="1"/>
  <c r="W32" i="5"/>
  <c r="Y32" i="5" s="1"/>
  <c r="R32" i="5"/>
  <c r="S32" i="5" s="1"/>
  <c r="W31" i="5"/>
  <c r="Y31" i="5" s="1"/>
  <c r="R31" i="5"/>
  <c r="S31" i="5" s="1"/>
  <c r="W30" i="5"/>
  <c r="Y30" i="5" s="1"/>
  <c r="R30" i="5"/>
  <c r="S30" i="5" s="1"/>
  <c r="W29" i="5"/>
  <c r="Y29" i="5" s="1"/>
  <c r="R29" i="5"/>
  <c r="S29" i="5" s="1"/>
  <c r="W28" i="5"/>
  <c r="Y28" i="5" s="1"/>
  <c r="R28" i="5"/>
  <c r="S28" i="5" s="1"/>
  <c r="W27" i="5"/>
  <c r="Y27" i="5" s="1"/>
  <c r="R27" i="5"/>
  <c r="S27" i="5" s="1"/>
  <c r="W26" i="5"/>
  <c r="Y26" i="5" s="1"/>
  <c r="R26" i="5"/>
  <c r="S26" i="5" s="1"/>
  <c r="W25" i="5"/>
  <c r="Y25" i="5" s="1"/>
  <c r="R25" i="5"/>
  <c r="S25" i="5" s="1"/>
  <c r="W24" i="5"/>
  <c r="Y24" i="5" s="1"/>
  <c r="R24" i="5"/>
  <c r="S24" i="5" s="1"/>
  <c r="W23" i="5"/>
  <c r="Y23" i="5" s="1"/>
  <c r="R23" i="5"/>
  <c r="S23" i="5" s="1"/>
  <c r="W22" i="5"/>
  <c r="Y22" i="5" s="1"/>
  <c r="R22" i="5"/>
  <c r="S22" i="5" s="1"/>
  <c r="W21" i="5"/>
  <c r="Y21" i="5" s="1"/>
  <c r="R21" i="5"/>
  <c r="S21" i="5" s="1"/>
  <c r="W20" i="5"/>
  <c r="Y20" i="5" s="1"/>
  <c r="R20" i="5"/>
  <c r="S20" i="5" s="1"/>
  <c r="W19" i="5"/>
  <c r="Y19" i="5" s="1"/>
  <c r="R19" i="5"/>
  <c r="S19" i="5" s="1"/>
  <c r="AF26" i="13"/>
  <c r="W17" i="5"/>
  <c r="Y17" i="5" s="1"/>
  <c r="R17" i="5"/>
  <c r="S17" i="5" s="1"/>
  <c r="W16" i="5"/>
  <c r="Y16" i="5" s="1"/>
  <c r="R16" i="5"/>
  <c r="S16" i="5" s="1"/>
  <c r="W15" i="5"/>
  <c r="Y15" i="5" s="1"/>
  <c r="R15" i="5"/>
  <c r="S15" i="5" s="1"/>
  <c r="W14" i="5"/>
  <c r="Y14" i="5" s="1"/>
  <c r="R14" i="5"/>
  <c r="S14" i="5" s="1"/>
  <c r="W13" i="5"/>
  <c r="Y13" i="5" s="1"/>
  <c r="R13" i="5"/>
  <c r="S13" i="5" s="1"/>
  <c r="W12" i="5"/>
  <c r="Y12" i="5" s="1"/>
  <c r="R12" i="5"/>
  <c r="S12" i="5" s="1"/>
  <c r="W11" i="5"/>
  <c r="Y11" i="5" s="1"/>
  <c r="R11" i="5"/>
  <c r="S11" i="5" s="1"/>
  <c r="W10" i="5"/>
  <c r="Y10" i="5" s="1"/>
  <c r="R10" i="5"/>
  <c r="S10" i="5" s="1"/>
  <c r="Z47" i="4" l="1"/>
  <c r="AA47" i="4" s="1"/>
  <c r="Z40" i="4"/>
  <c r="AA40" i="4" s="1"/>
  <c r="Z35" i="4"/>
  <c r="AA35" i="4" s="1"/>
  <c r="Z49" i="5"/>
  <c r="AA49" i="5" s="1"/>
  <c r="Z11" i="5"/>
  <c r="AA11" i="5" s="1"/>
  <c r="Z15" i="5"/>
  <c r="AA15" i="5" s="1"/>
  <c r="Z20" i="5"/>
  <c r="AA20" i="5" s="1"/>
  <c r="Z22" i="5"/>
  <c r="AA22" i="5" s="1"/>
  <c r="Z24" i="5"/>
  <c r="AA24" i="5" s="1"/>
  <c r="Z26" i="5"/>
  <c r="AA26" i="5" s="1"/>
  <c r="Z13" i="5"/>
  <c r="AA13" i="5" s="1"/>
  <c r="Z17" i="5"/>
  <c r="AA17" i="5" s="1"/>
  <c r="Z10" i="4"/>
  <c r="AA10" i="4" s="1"/>
  <c r="Z45" i="4"/>
  <c r="AA45" i="4" s="1"/>
  <c r="Z29" i="5"/>
  <c r="AA29" i="5" s="1"/>
  <c r="Z31" i="5"/>
  <c r="AA31" i="5" s="1"/>
  <c r="Z33" i="5"/>
  <c r="AA33" i="5" s="1"/>
  <c r="Z35" i="5"/>
  <c r="AA35" i="5" s="1"/>
  <c r="Z37" i="5"/>
  <c r="AA37" i="5" s="1"/>
  <c r="Z39" i="5"/>
  <c r="AA39" i="5" s="1"/>
  <c r="Z42" i="5"/>
  <c r="AA42" i="5" s="1"/>
  <c r="Z44" i="5"/>
  <c r="AA44" i="5" s="1"/>
  <c r="Z12" i="5"/>
  <c r="AA12" i="5" s="1"/>
  <c r="Z16" i="5"/>
  <c r="AA16" i="5" s="1"/>
  <c r="Z19" i="5"/>
  <c r="AA19" i="5" s="1"/>
  <c r="Z23" i="5"/>
  <c r="AA23" i="5" s="1"/>
  <c r="Z25" i="5"/>
  <c r="AA25" i="5" s="1"/>
  <c r="Z27" i="5"/>
  <c r="AA27" i="5" s="1"/>
  <c r="Z24" i="4"/>
  <c r="AA24" i="4" s="1"/>
  <c r="Z43" i="4"/>
  <c r="AA43" i="4" s="1"/>
  <c r="Z10" i="5"/>
  <c r="AA10" i="5" s="1"/>
  <c r="Z14" i="5"/>
  <c r="AA14" i="5" s="1"/>
  <c r="Z21" i="5"/>
  <c r="AA21" i="5" s="1"/>
  <c r="Z16" i="4"/>
  <c r="AA16" i="4" s="1"/>
  <c r="Z27" i="4"/>
  <c r="AA27" i="4" s="1"/>
  <c r="Z51" i="5"/>
  <c r="AA51" i="5" s="1"/>
  <c r="Z19" i="4"/>
  <c r="AA19" i="4" s="1"/>
  <c r="Z49" i="4"/>
  <c r="AA49" i="4" s="1"/>
  <c r="Z33" i="4"/>
  <c r="AA33" i="4" s="1"/>
  <c r="Z30" i="5"/>
  <c r="AA30" i="5" s="1"/>
  <c r="Z32" i="5"/>
  <c r="AA32" i="5" s="1"/>
  <c r="Z34" i="5"/>
  <c r="AA34" i="5" s="1"/>
  <c r="Z36" i="5"/>
  <c r="AA36" i="5" s="1"/>
  <c r="Z38" i="5"/>
  <c r="AA38" i="5" s="1"/>
  <c r="Z40" i="5"/>
  <c r="AA40" i="5" s="1"/>
  <c r="Z43" i="5"/>
  <c r="AA43" i="5" s="1"/>
  <c r="Z48" i="5"/>
  <c r="AA48" i="5" s="1"/>
  <c r="Z15" i="4"/>
  <c r="AA15" i="4" s="1"/>
  <c r="Z25" i="4"/>
  <c r="AA25" i="4" s="1"/>
  <c r="Z32" i="4"/>
  <c r="AA32" i="4" s="1"/>
  <c r="Z28" i="5"/>
  <c r="AA28" i="5" s="1"/>
  <c r="Z13" i="4"/>
  <c r="AA13" i="4" s="1"/>
  <c r="Z22" i="4"/>
  <c r="AA22" i="4" s="1"/>
  <c r="Z30" i="4"/>
  <c r="AA30" i="4" s="1"/>
  <c r="Z21" i="4"/>
  <c r="AA21" i="4" s="1"/>
  <c r="Z29" i="4"/>
  <c r="AA29" i="4" s="1"/>
  <c r="Z37" i="4"/>
  <c r="AA37" i="4" s="1"/>
  <c r="Z39" i="4"/>
  <c r="AA39" i="4" s="1"/>
  <c r="Z42" i="4"/>
  <c r="AA42" i="4" s="1"/>
  <c r="Z44" i="4"/>
  <c r="AA44" i="4" s="1"/>
  <c r="Z46" i="4"/>
  <c r="AA46" i="4" s="1"/>
  <c r="Z48" i="4"/>
  <c r="AA48" i="4" s="1"/>
  <c r="Z50" i="4"/>
  <c r="AA50" i="4" s="1"/>
  <c r="Z51" i="4"/>
  <c r="AA51" i="4" s="1"/>
  <c r="Z12" i="4"/>
  <c r="AA12" i="4" s="1"/>
  <c r="Z17" i="4"/>
  <c r="AA17" i="4" s="1"/>
  <c r="Z26" i="4"/>
  <c r="AA26" i="4" s="1"/>
  <c r="Z34" i="4"/>
  <c r="AA34" i="4" s="1"/>
  <c r="Z31" i="4"/>
  <c r="AA31" i="4" s="1"/>
  <c r="Z14" i="4"/>
  <c r="AA14" i="4" s="1"/>
  <c r="Z23" i="4"/>
  <c r="AA23" i="4" s="1"/>
  <c r="Z11" i="4"/>
  <c r="AA11" i="4" s="1"/>
  <c r="Z20" i="4"/>
  <c r="AA20" i="4" s="1"/>
  <c r="Z28" i="4"/>
  <c r="AA28" i="4" s="1"/>
  <c r="Z36" i="4"/>
  <c r="AA36" i="4" s="1"/>
  <c r="Z46" i="5"/>
  <c r="AA46" i="5" s="1"/>
  <c r="Z47" i="5"/>
  <c r="AA47" i="5" s="1"/>
  <c r="Z50" i="5"/>
  <c r="AA50" i="5" s="1"/>
  <c r="Z45" i="5"/>
  <c r="AA45" i="5" s="1"/>
  <c r="W51" i="2"/>
  <c r="Y51" i="2" s="1"/>
  <c r="R51" i="2"/>
  <c r="S51" i="2" s="1"/>
  <c r="W50" i="2"/>
  <c r="Y50" i="2" s="1"/>
  <c r="R50" i="2"/>
  <c r="S50" i="2" s="1"/>
  <c r="W49" i="2"/>
  <c r="Y49" i="2" s="1"/>
  <c r="R49" i="2"/>
  <c r="S49" i="2" s="1"/>
  <c r="W48" i="2"/>
  <c r="Y48" i="2" s="1"/>
  <c r="R48" i="2"/>
  <c r="S48" i="2" s="1"/>
  <c r="W47" i="2"/>
  <c r="Y47" i="2" s="1"/>
  <c r="R47" i="2"/>
  <c r="S47" i="2" s="1"/>
  <c r="W46" i="2"/>
  <c r="Y46" i="2" s="1"/>
  <c r="R46" i="2"/>
  <c r="S46" i="2" s="1"/>
  <c r="W45" i="2"/>
  <c r="Y45" i="2" s="1"/>
  <c r="R45" i="2"/>
  <c r="S45" i="2" s="1"/>
  <c r="W44" i="2"/>
  <c r="Y44" i="2" s="1"/>
  <c r="R44" i="2"/>
  <c r="S44" i="2" s="1"/>
  <c r="W43" i="2"/>
  <c r="Y43" i="2" s="1"/>
  <c r="R43" i="2"/>
  <c r="S43" i="2" s="1"/>
  <c r="W42" i="2"/>
  <c r="Y42" i="2" s="1"/>
  <c r="R42" i="2"/>
  <c r="S42" i="2" s="1"/>
  <c r="W40" i="2"/>
  <c r="Y40" i="2" s="1"/>
  <c r="R40" i="2"/>
  <c r="S40" i="2" s="1"/>
  <c r="W39" i="2"/>
  <c r="Y39" i="2" s="1"/>
  <c r="R39" i="2"/>
  <c r="S39" i="2" s="1"/>
  <c r="W38" i="2"/>
  <c r="Y38" i="2" s="1"/>
  <c r="R38" i="2"/>
  <c r="S38" i="2" s="1"/>
  <c r="W37" i="2"/>
  <c r="Y37" i="2" s="1"/>
  <c r="R37" i="2"/>
  <c r="S37" i="2" s="1"/>
  <c r="W36" i="2"/>
  <c r="Y36" i="2" s="1"/>
  <c r="R36" i="2"/>
  <c r="S36" i="2" s="1"/>
  <c r="W35" i="2"/>
  <c r="Y35" i="2" s="1"/>
  <c r="R35" i="2"/>
  <c r="S35" i="2" s="1"/>
  <c r="W34" i="2"/>
  <c r="Y34" i="2" s="1"/>
  <c r="R34" i="2"/>
  <c r="S34" i="2" s="1"/>
  <c r="W33" i="2"/>
  <c r="Y33" i="2" s="1"/>
  <c r="R33" i="2"/>
  <c r="S33" i="2" s="1"/>
  <c r="W32" i="2"/>
  <c r="Y32" i="2" s="1"/>
  <c r="R32" i="2"/>
  <c r="S32" i="2" s="1"/>
  <c r="W31" i="2"/>
  <c r="Y31" i="2" s="1"/>
  <c r="R31" i="2"/>
  <c r="S31" i="2" s="1"/>
  <c r="W30" i="2"/>
  <c r="Y30" i="2" s="1"/>
  <c r="R30" i="2"/>
  <c r="S30" i="2" s="1"/>
  <c r="W29" i="2"/>
  <c r="Y29" i="2" s="1"/>
  <c r="R29" i="2"/>
  <c r="S29" i="2" s="1"/>
  <c r="W28" i="2"/>
  <c r="Y28" i="2" s="1"/>
  <c r="R28" i="2"/>
  <c r="S28" i="2" s="1"/>
  <c r="W27" i="2"/>
  <c r="Y27" i="2" s="1"/>
  <c r="R27" i="2"/>
  <c r="S27" i="2" s="1"/>
  <c r="W26" i="2"/>
  <c r="Y26" i="2" s="1"/>
  <c r="R26" i="2"/>
  <c r="S26" i="2" s="1"/>
  <c r="W25" i="2"/>
  <c r="Y25" i="2" s="1"/>
  <c r="R25" i="2"/>
  <c r="S25" i="2" s="1"/>
  <c r="W24" i="2"/>
  <c r="Y24" i="2" s="1"/>
  <c r="R24" i="2"/>
  <c r="S24" i="2" s="1"/>
  <c r="W23" i="2"/>
  <c r="Y23" i="2" s="1"/>
  <c r="R23" i="2"/>
  <c r="S23" i="2" s="1"/>
  <c r="W22" i="2"/>
  <c r="Y22" i="2" s="1"/>
  <c r="R22" i="2"/>
  <c r="S22" i="2" s="1"/>
  <c r="W21" i="2"/>
  <c r="Y21" i="2" s="1"/>
  <c r="R21" i="2"/>
  <c r="S21" i="2" s="1"/>
  <c r="W20" i="2"/>
  <c r="Y20" i="2" s="1"/>
  <c r="R20" i="2"/>
  <c r="S20" i="2" s="1"/>
  <c r="W19" i="2"/>
  <c r="Y19" i="2" s="1"/>
  <c r="R19" i="2"/>
  <c r="S19" i="2" s="1"/>
  <c r="W17" i="2"/>
  <c r="Y17" i="2" s="1"/>
  <c r="R17" i="2"/>
  <c r="S17" i="2" s="1"/>
  <c r="W16" i="2"/>
  <c r="Y16" i="2" s="1"/>
  <c r="R16" i="2"/>
  <c r="S16" i="2" s="1"/>
  <c r="W15" i="2"/>
  <c r="Y15" i="2" s="1"/>
  <c r="R15" i="2"/>
  <c r="S15" i="2" s="1"/>
  <c r="W14" i="2"/>
  <c r="Y14" i="2" s="1"/>
  <c r="R14" i="2"/>
  <c r="S14" i="2" s="1"/>
  <c r="W13" i="2"/>
  <c r="Y13" i="2" s="1"/>
  <c r="R13" i="2"/>
  <c r="S13" i="2" s="1"/>
  <c r="W12" i="2"/>
  <c r="Y12" i="2" s="1"/>
  <c r="R12" i="2"/>
  <c r="S12" i="2" s="1"/>
  <c r="W11" i="2"/>
  <c r="Y11" i="2" s="1"/>
  <c r="R11" i="2"/>
  <c r="S11" i="2" s="1"/>
  <c r="W10" i="2"/>
  <c r="Y10" i="2" s="1"/>
  <c r="R10" i="2"/>
  <c r="S10" i="2" s="1"/>
  <c r="Z28" i="2" l="1"/>
  <c r="AA28" i="2" s="1"/>
  <c r="Z30" i="2"/>
  <c r="AA30" i="2" s="1"/>
  <c r="Z47" i="2"/>
  <c r="AA47" i="2" s="1"/>
  <c r="Z45" i="2"/>
  <c r="AA45" i="2" s="1"/>
  <c r="Z49" i="2"/>
  <c r="AA49" i="2" s="1"/>
  <c r="Z32" i="2"/>
  <c r="AA32" i="2" s="1"/>
  <c r="Z16" i="2"/>
  <c r="AA16" i="2" s="1"/>
  <c r="Z21" i="2"/>
  <c r="AA21" i="2" s="1"/>
  <c r="Z23" i="2"/>
  <c r="AA23" i="2" s="1"/>
  <c r="Z25" i="2"/>
  <c r="AA25" i="2" s="1"/>
  <c r="Z36" i="2"/>
  <c r="AA36" i="2" s="1"/>
  <c r="Z14" i="2"/>
  <c r="AA14" i="2" s="1"/>
  <c r="Z19" i="2"/>
  <c r="AA19" i="2" s="1"/>
  <c r="Z38" i="2"/>
  <c r="AA38" i="2" s="1"/>
  <c r="Z40" i="2"/>
  <c r="AA40" i="2" s="1"/>
  <c r="Z29" i="2"/>
  <c r="AA29" i="2" s="1"/>
  <c r="Z37" i="2"/>
  <c r="AA37" i="2" s="1"/>
  <c r="Z46" i="2"/>
  <c r="AA46" i="2" s="1"/>
  <c r="Z11" i="2"/>
  <c r="AA11" i="2" s="1"/>
  <c r="Z13" i="2"/>
  <c r="AA13" i="2" s="1"/>
  <c r="Z15" i="2"/>
  <c r="AA15" i="2" s="1"/>
  <c r="Z17" i="2"/>
  <c r="AA17" i="2" s="1"/>
  <c r="Z20" i="2"/>
  <c r="AA20" i="2" s="1"/>
  <c r="Z22" i="2"/>
  <c r="AA22" i="2" s="1"/>
  <c r="Z24" i="2"/>
  <c r="AA24" i="2" s="1"/>
  <c r="Z26" i="2"/>
  <c r="AA26" i="2" s="1"/>
  <c r="Z34" i="2"/>
  <c r="AA34" i="2" s="1"/>
  <c r="Z43" i="2"/>
  <c r="AA43" i="2" s="1"/>
  <c r="Z31" i="2"/>
  <c r="AA31" i="2" s="1"/>
  <c r="Z39" i="2"/>
  <c r="AA39" i="2" s="1"/>
  <c r="Z48" i="2"/>
  <c r="AA48" i="2" s="1"/>
  <c r="Z33" i="2"/>
  <c r="AA33" i="2" s="1"/>
  <c r="Z42" i="2"/>
  <c r="AA42" i="2" s="1"/>
  <c r="Z50" i="2"/>
  <c r="AA50" i="2" s="1"/>
  <c r="Z10" i="2"/>
  <c r="AA10" i="2" s="1"/>
  <c r="Z12" i="2"/>
  <c r="AA12" i="2" s="1"/>
  <c r="Z27" i="2"/>
  <c r="AA27" i="2" s="1"/>
  <c r="Z35" i="2"/>
  <c r="AA35" i="2" s="1"/>
  <c r="Z44" i="2"/>
  <c r="AA44" i="2" s="1"/>
  <c r="Z51" i="2"/>
  <c r="AA51" i="2" s="1"/>
  <c r="W51" i="11"/>
  <c r="Y51" i="11" s="1"/>
  <c r="R51" i="11"/>
  <c r="S51" i="11" s="1"/>
  <c r="W50" i="11"/>
  <c r="Y50" i="11" s="1"/>
  <c r="R50" i="11"/>
  <c r="S50" i="11" s="1"/>
  <c r="W49" i="11"/>
  <c r="Y49" i="11" s="1"/>
  <c r="R49" i="11"/>
  <c r="S49" i="11" s="1"/>
  <c r="W48" i="11"/>
  <c r="Y48" i="11" s="1"/>
  <c r="R48" i="11"/>
  <c r="S48" i="11" s="1"/>
  <c r="W47" i="11"/>
  <c r="Y47" i="11" s="1"/>
  <c r="R47" i="11"/>
  <c r="S47" i="11" s="1"/>
  <c r="W46" i="11"/>
  <c r="Y46" i="11" s="1"/>
  <c r="R46" i="11"/>
  <c r="S46" i="11" s="1"/>
  <c r="W45" i="11"/>
  <c r="Y45" i="11" s="1"/>
  <c r="R45" i="11"/>
  <c r="S45" i="11" s="1"/>
  <c r="W44" i="11"/>
  <c r="Y44" i="11" s="1"/>
  <c r="R44" i="11"/>
  <c r="S44" i="11" s="1"/>
  <c r="W43" i="11"/>
  <c r="Y43" i="11" s="1"/>
  <c r="R43" i="11"/>
  <c r="S43" i="11" s="1"/>
  <c r="W42" i="11"/>
  <c r="Y42" i="11" s="1"/>
  <c r="R42" i="11"/>
  <c r="S42" i="11" s="1"/>
  <c r="W40" i="11"/>
  <c r="Y40" i="11" s="1"/>
  <c r="R40" i="11"/>
  <c r="S40" i="11" s="1"/>
  <c r="W39" i="11"/>
  <c r="Y39" i="11" s="1"/>
  <c r="R39" i="11"/>
  <c r="S39" i="11" s="1"/>
  <c r="W38" i="11"/>
  <c r="Y38" i="11" s="1"/>
  <c r="R38" i="11"/>
  <c r="S38" i="11" s="1"/>
  <c r="W37" i="11"/>
  <c r="Y37" i="11" s="1"/>
  <c r="R37" i="11"/>
  <c r="S37" i="11" s="1"/>
  <c r="W36" i="11"/>
  <c r="Y36" i="11" s="1"/>
  <c r="R36" i="11"/>
  <c r="S36" i="11" s="1"/>
  <c r="W35" i="11"/>
  <c r="Y35" i="11" s="1"/>
  <c r="R35" i="11"/>
  <c r="S35" i="11" s="1"/>
  <c r="W34" i="11"/>
  <c r="Y34" i="11" s="1"/>
  <c r="R34" i="11"/>
  <c r="S34" i="11" s="1"/>
  <c r="W33" i="11"/>
  <c r="Y33" i="11" s="1"/>
  <c r="R33" i="11"/>
  <c r="S33" i="11" s="1"/>
  <c r="W32" i="11"/>
  <c r="Y32" i="11" s="1"/>
  <c r="R32" i="11"/>
  <c r="S32" i="11" s="1"/>
  <c r="W31" i="11"/>
  <c r="Y31" i="11" s="1"/>
  <c r="R31" i="11"/>
  <c r="S31" i="11" s="1"/>
  <c r="W30" i="11"/>
  <c r="Y30" i="11" s="1"/>
  <c r="R30" i="11"/>
  <c r="S30" i="11" s="1"/>
  <c r="W29" i="11"/>
  <c r="Y29" i="11" s="1"/>
  <c r="R29" i="11"/>
  <c r="S29" i="11" s="1"/>
  <c r="W28" i="11"/>
  <c r="Y28" i="11" s="1"/>
  <c r="R28" i="11"/>
  <c r="S28" i="11" s="1"/>
  <c r="W27" i="11"/>
  <c r="Y27" i="11" s="1"/>
  <c r="R27" i="11"/>
  <c r="S27" i="11" s="1"/>
  <c r="W26" i="11"/>
  <c r="Y26" i="11" s="1"/>
  <c r="R26" i="11"/>
  <c r="S26" i="11" s="1"/>
  <c r="W25" i="11"/>
  <c r="Y25" i="11" s="1"/>
  <c r="R25" i="11"/>
  <c r="S25" i="11" s="1"/>
  <c r="W24" i="11"/>
  <c r="Y24" i="11" s="1"/>
  <c r="R24" i="11"/>
  <c r="S24" i="11" s="1"/>
  <c r="W23" i="11"/>
  <c r="Y23" i="11" s="1"/>
  <c r="R23" i="11"/>
  <c r="S23" i="11" s="1"/>
  <c r="W22" i="11"/>
  <c r="Y22" i="11" s="1"/>
  <c r="R22" i="11"/>
  <c r="S22" i="11" s="1"/>
  <c r="W21" i="11"/>
  <c r="Y21" i="11" s="1"/>
  <c r="R21" i="11"/>
  <c r="S21" i="11" s="1"/>
  <c r="W20" i="11"/>
  <c r="Y20" i="11" s="1"/>
  <c r="R20" i="11"/>
  <c r="S20" i="11" s="1"/>
  <c r="W19" i="11"/>
  <c r="Y19" i="11" s="1"/>
  <c r="R19" i="11"/>
  <c r="S19" i="11" s="1"/>
  <c r="W17" i="11"/>
  <c r="Y17" i="11" s="1"/>
  <c r="R17" i="11"/>
  <c r="S17" i="11" s="1"/>
  <c r="W16" i="11"/>
  <c r="Y16" i="11" s="1"/>
  <c r="R16" i="11"/>
  <c r="S16" i="11" s="1"/>
  <c r="W15" i="11"/>
  <c r="Y15" i="11" s="1"/>
  <c r="R15" i="11"/>
  <c r="S15" i="11" s="1"/>
  <c r="W14" i="11"/>
  <c r="Y14" i="11" s="1"/>
  <c r="R14" i="11"/>
  <c r="S14" i="11" s="1"/>
  <c r="W13" i="11"/>
  <c r="Y13" i="11" s="1"/>
  <c r="R13" i="11"/>
  <c r="S13" i="11" s="1"/>
  <c r="W12" i="11"/>
  <c r="Y12" i="11" s="1"/>
  <c r="R12" i="11"/>
  <c r="S12" i="11" s="1"/>
  <c r="W11" i="11"/>
  <c r="Y11" i="11" s="1"/>
  <c r="R11" i="11"/>
  <c r="S11" i="11" s="1"/>
  <c r="W10" i="11"/>
  <c r="Y10" i="11" s="1"/>
  <c r="R10" i="11"/>
  <c r="S10" i="11" s="1"/>
  <c r="Z50" i="11" l="1"/>
  <c r="AA50" i="11" s="1"/>
  <c r="Z21" i="11"/>
  <c r="AA21" i="11" s="1"/>
  <c r="Z23" i="11"/>
  <c r="AA23" i="11" s="1"/>
  <c r="Z48" i="11"/>
  <c r="AA48" i="11" s="1"/>
  <c r="Z19" i="11"/>
  <c r="AA19" i="11" s="1"/>
  <c r="Z31" i="11"/>
  <c r="AA31" i="11" s="1"/>
  <c r="Z43" i="11"/>
  <c r="AA43" i="11" s="1"/>
  <c r="Z13" i="11"/>
  <c r="AA13" i="11" s="1"/>
  <c r="Z28" i="11"/>
  <c r="AA28" i="11" s="1"/>
  <c r="Z39" i="11"/>
  <c r="AA39" i="11" s="1"/>
  <c r="Z11" i="11"/>
  <c r="AA11" i="11" s="1"/>
  <c r="Z20" i="11"/>
  <c r="AA20" i="11" s="1"/>
  <c r="Z14" i="11"/>
  <c r="AA14" i="11" s="1"/>
  <c r="Z26" i="11"/>
  <c r="AA26" i="11" s="1"/>
  <c r="Z33" i="11"/>
  <c r="AA33" i="11" s="1"/>
  <c r="Z17" i="11"/>
  <c r="AA17" i="11" s="1"/>
  <c r="Z45" i="11"/>
  <c r="AA45" i="11" s="1"/>
  <c r="Z25" i="11"/>
  <c r="AA25" i="11" s="1"/>
  <c r="Z34" i="11"/>
  <c r="AA34" i="11" s="1"/>
  <c r="Z42" i="11"/>
  <c r="AA42" i="11" s="1"/>
  <c r="Z10" i="11"/>
  <c r="AA10" i="11" s="1"/>
  <c r="Z16" i="11"/>
  <c r="AA16" i="11" s="1"/>
  <c r="Z36" i="11"/>
  <c r="AA36" i="11" s="1"/>
  <c r="Z22" i="11"/>
  <c r="AA22" i="11" s="1"/>
  <c r="Z30" i="11"/>
  <c r="AA30" i="11" s="1"/>
  <c r="Z38" i="11"/>
  <c r="AA38" i="11" s="1"/>
  <c r="Z47" i="11"/>
  <c r="AA47" i="11" s="1"/>
  <c r="Z27" i="11"/>
  <c r="AA27" i="11" s="1"/>
  <c r="Z35" i="11"/>
  <c r="AA35" i="11" s="1"/>
  <c r="Z44" i="11"/>
  <c r="AA44" i="11" s="1"/>
  <c r="Z51" i="11"/>
  <c r="AA51" i="11" s="1"/>
  <c r="Z12" i="11"/>
  <c r="AA12" i="11" s="1"/>
  <c r="Z24" i="11"/>
  <c r="AA24" i="11" s="1"/>
  <c r="Z32" i="11"/>
  <c r="AA32" i="11" s="1"/>
  <c r="Z40" i="11"/>
  <c r="AA40" i="11" s="1"/>
  <c r="Z49" i="11"/>
  <c r="AA49" i="11" s="1"/>
  <c r="Z15" i="11"/>
  <c r="AA15" i="11" s="1"/>
  <c r="Z29" i="11"/>
  <c r="AA29" i="11" s="1"/>
  <c r="Z37" i="11"/>
  <c r="AA37" i="11" s="1"/>
  <c r="Z46" i="11"/>
  <c r="AA46" i="11" s="1"/>
  <c r="W51" i="10"/>
  <c r="Y51" i="10" s="1"/>
  <c r="R51" i="10"/>
  <c r="S51" i="10" s="1"/>
  <c r="W50" i="10"/>
  <c r="Y50" i="10" s="1"/>
  <c r="R50" i="10"/>
  <c r="S50" i="10" s="1"/>
  <c r="W49" i="10"/>
  <c r="Y49" i="10" s="1"/>
  <c r="R49" i="10"/>
  <c r="S49" i="10" s="1"/>
  <c r="W48" i="10"/>
  <c r="Y48" i="10" s="1"/>
  <c r="R48" i="10"/>
  <c r="S48" i="10" s="1"/>
  <c r="W47" i="10"/>
  <c r="Y47" i="10" s="1"/>
  <c r="R47" i="10"/>
  <c r="S47" i="10" s="1"/>
  <c r="W46" i="10"/>
  <c r="Y46" i="10" s="1"/>
  <c r="R46" i="10"/>
  <c r="S46" i="10" s="1"/>
  <c r="W45" i="10"/>
  <c r="Y45" i="10" s="1"/>
  <c r="R45" i="10"/>
  <c r="S45" i="10" s="1"/>
  <c r="W44" i="10"/>
  <c r="Y44" i="10" s="1"/>
  <c r="R44" i="10"/>
  <c r="S44" i="10" s="1"/>
  <c r="W43" i="10"/>
  <c r="Y43" i="10" s="1"/>
  <c r="R43" i="10"/>
  <c r="S43" i="10" s="1"/>
  <c r="W42" i="10"/>
  <c r="Y42" i="10" s="1"/>
  <c r="R42" i="10"/>
  <c r="S42" i="10" s="1"/>
  <c r="W40" i="10"/>
  <c r="Y40" i="10" s="1"/>
  <c r="R40" i="10"/>
  <c r="S40" i="10" s="1"/>
  <c r="W39" i="10"/>
  <c r="Y39" i="10" s="1"/>
  <c r="R39" i="10"/>
  <c r="S39" i="10" s="1"/>
  <c r="W38" i="10"/>
  <c r="Y38" i="10" s="1"/>
  <c r="R38" i="10"/>
  <c r="S38" i="10" s="1"/>
  <c r="W37" i="10"/>
  <c r="Y37" i="10" s="1"/>
  <c r="R37" i="10"/>
  <c r="S37" i="10" s="1"/>
  <c r="W36" i="10"/>
  <c r="Y36" i="10" s="1"/>
  <c r="R36" i="10"/>
  <c r="S36" i="10" s="1"/>
  <c r="W35" i="10"/>
  <c r="Y35" i="10" s="1"/>
  <c r="R35" i="10"/>
  <c r="S35" i="10" s="1"/>
  <c r="W34" i="10"/>
  <c r="Y34" i="10" s="1"/>
  <c r="R34" i="10"/>
  <c r="S34" i="10" s="1"/>
  <c r="W33" i="10"/>
  <c r="Y33" i="10" s="1"/>
  <c r="R33" i="10"/>
  <c r="S33" i="10" s="1"/>
  <c r="W32" i="10"/>
  <c r="Y32" i="10" s="1"/>
  <c r="R32" i="10"/>
  <c r="S32" i="10" s="1"/>
  <c r="W31" i="10"/>
  <c r="Y31" i="10" s="1"/>
  <c r="R31" i="10"/>
  <c r="S31" i="10" s="1"/>
  <c r="W30" i="10"/>
  <c r="Y30" i="10" s="1"/>
  <c r="R30" i="10"/>
  <c r="S30" i="10" s="1"/>
  <c r="W29" i="10"/>
  <c r="Y29" i="10" s="1"/>
  <c r="R29" i="10"/>
  <c r="S29" i="10" s="1"/>
  <c r="W28" i="10"/>
  <c r="Y28" i="10" s="1"/>
  <c r="R28" i="10"/>
  <c r="S28" i="10" s="1"/>
  <c r="W27" i="10"/>
  <c r="Y27" i="10" s="1"/>
  <c r="R27" i="10"/>
  <c r="S27" i="10" s="1"/>
  <c r="W26" i="10"/>
  <c r="Y26" i="10" s="1"/>
  <c r="R26" i="10"/>
  <c r="S26" i="10" s="1"/>
  <c r="W25" i="10"/>
  <c r="Y25" i="10" s="1"/>
  <c r="R25" i="10"/>
  <c r="S25" i="10" s="1"/>
  <c r="W24" i="10"/>
  <c r="Y24" i="10" s="1"/>
  <c r="R24" i="10"/>
  <c r="S24" i="10" s="1"/>
  <c r="W23" i="10"/>
  <c r="Y23" i="10" s="1"/>
  <c r="R23" i="10"/>
  <c r="S23" i="10" s="1"/>
  <c r="W22" i="10"/>
  <c r="Y22" i="10" s="1"/>
  <c r="R22" i="10"/>
  <c r="S22" i="10" s="1"/>
  <c r="W21" i="10"/>
  <c r="Y21" i="10" s="1"/>
  <c r="R21" i="10"/>
  <c r="S21" i="10" s="1"/>
  <c r="W20" i="10"/>
  <c r="Y20" i="10" s="1"/>
  <c r="R20" i="10"/>
  <c r="S20" i="10" s="1"/>
  <c r="W19" i="10"/>
  <c r="Y19" i="10" s="1"/>
  <c r="R19" i="10"/>
  <c r="S19" i="10" s="1"/>
  <c r="W17" i="10"/>
  <c r="Y17" i="10" s="1"/>
  <c r="R17" i="10"/>
  <c r="S17" i="10" s="1"/>
  <c r="W16" i="10"/>
  <c r="Y16" i="10" s="1"/>
  <c r="R16" i="10"/>
  <c r="S16" i="10" s="1"/>
  <c r="W15" i="10"/>
  <c r="Y15" i="10" s="1"/>
  <c r="R15" i="10"/>
  <c r="S15" i="10" s="1"/>
  <c r="AA14" i="10"/>
  <c r="W14" i="10"/>
  <c r="Y14" i="10" s="1"/>
  <c r="R14" i="10"/>
  <c r="W13" i="10"/>
  <c r="Y13" i="10" s="1"/>
  <c r="R13" i="10"/>
  <c r="S13" i="10" s="1"/>
  <c r="W12" i="10"/>
  <c r="Y12" i="10" s="1"/>
  <c r="R12" i="10"/>
  <c r="S12" i="10" s="1"/>
  <c r="W11" i="10"/>
  <c r="Y11" i="10" s="1"/>
  <c r="R11" i="10"/>
  <c r="S11" i="10" s="1"/>
  <c r="AA10" i="10"/>
  <c r="W10" i="10"/>
  <c r="Y10" i="10" s="1"/>
  <c r="R10" i="10"/>
  <c r="S10" i="10" s="1"/>
  <c r="Z32" i="10" l="1"/>
  <c r="AA32" i="10" s="1"/>
  <c r="Z34" i="10"/>
  <c r="AA34" i="10" s="1"/>
  <c r="Z43" i="10"/>
  <c r="AA43" i="10" s="1"/>
  <c r="Z45" i="10"/>
  <c r="AA45" i="10" s="1"/>
  <c r="Z30" i="10"/>
  <c r="AA30" i="10" s="1"/>
  <c r="Z40" i="10"/>
  <c r="AA40" i="10" s="1"/>
  <c r="Z49" i="10"/>
  <c r="AA49" i="10" s="1"/>
  <c r="Z21" i="10"/>
  <c r="AA21" i="10" s="1"/>
  <c r="Z16" i="10"/>
  <c r="AA16" i="10" s="1"/>
  <c r="Z26" i="10"/>
  <c r="AA26" i="10" s="1"/>
  <c r="Z20" i="10"/>
  <c r="AA20" i="10" s="1"/>
  <c r="Z47" i="10"/>
  <c r="AA47" i="10" s="1"/>
  <c r="Z29" i="10"/>
  <c r="AA29" i="10" s="1"/>
  <c r="Z19" i="10"/>
  <c r="AA19" i="10" s="1"/>
  <c r="Z36" i="10"/>
  <c r="AA36" i="10" s="1"/>
  <c r="Z15" i="10"/>
  <c r="AA15" i="10" s="1"/>
  <c r="Z23" i="10"/>
  <c r="AA23" i="10" s="1"/>
  <c r="Z11" i="10"/>
  <c r="AA11" i="10" s="1"/>
  <c r="Z17" i="10"/>
  <c r="AA17" i="10" s="1"/>
  <c r="Z25" i="10"/>
  <c r="AA25" i="10" s="1"/>
  <c r="Z27" i="10"/>
  <c r="AA27" i="10" s="1"/>
  <c r="Z38" i="10"/>
  <c r="AA38" i="10" s="1"/>
  <c r="Z44" i="10"/>
  <c r="AA44" i="10" s="1"/>
  <c r="Z46" i="10"/>
  <c r="AA46" i="10" s="1"/>
  <c r="Z48" i="10"/>
  <c r="AA48" i="10" s="1"/>
  <c r="Z50" i="10"/>
  <c r="AA50" i="10" s="1"/>
  <c r="Z51" i="10"/>
  <c r="AA51" i="10" s="1"/>
  <c r="Z22" i="10"/>
  <c r="AA22" i="10" s="1"/>
  <c r="Z24" i="10"/>
  <c r="AA24" i="10" s="1"/>
  <c r="Z28" i="10"/>
  <c r="AA28" i="10" s="1"/>
  <c r="Z13" i="10"/>
  <c r="AA13" i="10" s="1"/>
  <c r="Z12" i="10"/>
  <c r="AA12" i="10" s="1"/>
  <c r="Z31" i="10"/>
  <c r="AA31" i="10" s="1"/>
  <c r="Z33" i="10"/>
  <c r="AA33" i="10" s="1"/>
  <c r="Z35" i="10"/>
  <c r="AA35" i="10" s="1"/>
  <c r="Z37" i="10"/>
  <c r="AA37" i="10" s="1"/>
  <c r="Z39" i="10"/>
  <c r="AA39" i="10" s="1"/>
  <c r="Z42" i="10"/>
  <c r="W51" i="1"/>
  <c r="Y51" i="1" s="1"/>
  <c r="R51" i="1"/>
  <c r="S51" i="1" s="1"/>
  <c r="W50" i="1"/>
  <c r="Y50" i="1" s="1"/>
  <c r="R50" i="1"/>
  <c r="S50" i="1" s="1"/>
  <c r="W49" i="1"/>
  <c r="Y49" i="1" s="1"/>
  <c r="R49" i="1"/>
  <c r="S49" i="1" s="1"/>
  <c r="W48" i="1"/>
  <c r="Y48" i="1" s="1"/>
  <c r="R48" i="1"/>
  <c r="S48" i="1" s="1"/>
  <c r="W47" i="1"/>
  <c r="Y47" i="1" s="1"/>
  <c r="R47" i="1"/>
  <c r="S47" i="1" s="1"/>
  <c r="W46" i="1"/>
  <c r="Y46" i="1" s="1"/>
  <c r="R46" i="1"/>
  <c r="S46" i="1" s="1"/>
  <c r="W45" i="1"/>
  <c r="Y45" i="1" s="1"/>
  <c r="R45" i="1"/>
  <c r="S45" i="1" s="1"/>
  <c r="W44" i="1"/>
  <c r="Y44" i="1" s="1"/>
  <c r="R44" i="1"/>
  <c r="S44" i="1" s="1"/>
  <c r="W43" i="1"/>
  <c r="Y43" i="1" s="1"/>
  <c r="R43" i="1"/>
  <c r="S43" i="1" s="1"/>
  <c r="W42" i="1"/>
  <c r="Y42" i="1" s="1"/>
  <c r="R42" i="1"/>
  <c r="S42" i="1" s="1"/>
  <c r="W40" i="1"/>
  <c r="Y40" i="1" s="1"/>
  <c r="R40" i="1"/>
  <c r="S40" i="1" s="1"/>
  <c r="W39" i="1"/>
  <c r="Y39" i="1" s="1"/>
  <c r="R39" i="1"/>
  <c r="S39" i="1" s="1"/>
  <c r="W38" i="1"/>
  <c r="Y38" i="1" s="1"/>
  <c r="R38" i="1"/>
  <c r="S38" i="1" s="1"/>
  <c r="W37" i="1"/>
  <c r="Y37" i="1" s="1"/>
  <c r="R37" i="1"/>
  <c r="S37" i="1" s="1"/>
  <c r="W36" i="1"/>
  <c r="Y36" i="1" s="1"/>
  <c r="R36" i="1"/>
  <c r="S36" i="1" s="1"/>
  <c r="W35" i="1"/>
  <c r="Y35" i="1" s="1"/>
  <c r="R35" i="1"/>
  <c r="S35" i="1" s="1"/>
  <c r="W34" i="1"/>
  <c r="Y34" i="1" s="1"/>
  <c r="R34" i="1"/>
  <c r="S34" i="1" s="1"/>
  <c r="W33" i="1"/>
  <c r="Y33" i="1" s="1"/>
  <c r="R33" i="1"/>
  <c r="S33" i="1" s="1"/>
  <c r="W32" i="1"/>
  <c r="Y32" i="1" s="1"/>
  <c r="R32" i="1"/>
  <c r="S32" i="1" s="1"/>
  <c r="W31" i="1"/>
  <c r="Y31" i="1" s="1"/>
  <c r="R31" i="1"/>
  <c r="S31" i="1" s="1"/>
  <c r="W30" i="1"/>
  <c r="Y30" i="1" s="1"/>
  <c r="R30" i="1"/>
  <c r="S30" i="1" s="1"/>
  <c r="W29" i="1"/>
  <c r="Y29" i="1" s="1"/>
  <c r="R29" i="1"/>
  <c r="S29" i="1" s="1"/>
  <c r="W28" i="1"/>
  <c r="Y28" i="1" s="1"/>
  <c r="R28" i="1"/>
  <c r="S28" i="1" s="1"/>
  <c r="W27" i="1"/>
  <c r="Y27" i="1" s="1"/>
  <c r="R27" i="1"/>
  <c r="S27" i="1" s="1"/>
  <c r="W26" i="1"/>
  <c r="Y26" i="1" s="1"/>
  <c r="R26" i="1"/>
  <c r="S26" i="1" s="1"/>
  <c r="W25" i="1"/>
  <c r="Y25" i="1" s="1"/>
  <c r="R25" i="1"/>
  <c r="S25" i="1" s="1"/>
  <c r="W24" i="1"/>
  <c r="Y24" i="1" s="1"/>
  <c r="R24" i="1"/>
  <c r="S24" i="1" s="1"/>
  <c r="W23" i="1"/>
  <c r="Y23" i="1" s="1"/>
  <c r="R23" i="1"/>
  <c r="S23" i="1" s="1"/>
  <c r="W22" i="1"/>
  <c r="Y22" i="1" s="1"/>
  <c r="R22" i="1"/>
  <c r="S22" i="1" s="1"/>
  <c r="W21" i="1"/>
  <c r="Y21" i="1" s="1"/>
  <c r="R21" i="1"/>
  <c r="S21" i="1" s="1"/>
  <c r="W20" i="1"/>
  <c r="Y20" i="1" s="1"/>
  <c r="R20" i="1"/>
  <c r="S20" i="1" s="1"/>
  <c r="W19" i="1"/>
  <c r="Y19" i="1" s="1"/>
  <c r="R19" i="1"/>
  <c r="S19" i="1" s="1"/>
  <c r="W17" i="1"/>
  <c r="Y17" i="1" s="1"/>
  <c r="R17" i="1"/>
  <c r="S17" i="1" s="1"/>
  <c r="W16" i="1"/>
  <c r="Y16" i="1" s="1"/>
  <c r="R16" i="1"/>
  <c r="S16" i="1" s="1"/>
  <c r="W15" i="1"/>
  <c r="Y15" i="1" s="1"/>
  <c r="R15" i="1"/>
  <c r="S15" i="1" s="1"/>
  <c r="W14" i="1"/>
  <c r="Y14" i="1" s="1"/>
  <c r="R14" i="1"/>
  <c r="S14" i="1" s="1"/>
  <c r="W13" i="1"/>
  <c r="Y13" i="1" s="1"/>
  <c r="R13" i="1"/>
  <c r="S13" i="1" s="1"/>
  <c r="W12" i="1"/>
  <c r="Y12" i="1" s="1"/>
  <c r="R12" i="1"/>
  <c r="S12" i="1" s="1"/>
  <c r="W11" i="1"/>
  <c r="Y11" i="1" s="1"/>
  <c r="R11" i="1"/>
  <c r="S11" i="1" s="1"/>
  <c r="W10" i="1"/>
  <c r="Y10" i="1" s="1"/>
  <c r="R10" i="1"/>
  <c r="S10" i="1" s="1"/>
  <c r="Z16" i="1" l="1"/>
  <c r="AA16" i="1" s="1"/>
  <c r="Z33" i="1"/>
  <c r="AA33" i="1" s="1"/>
  <c r="Z42" i="1"/>
  <c r="AA42" i="1" s="1"/>
  <c r="Z50" i="1"/>
  <c r="AA50" i="1" s="1"/>
  <c r="Z14" i="1"/>
  <c r="AA14" i="1" s="1"/>
  <c r="Z23" i="1"/>
  <c r="AA23" i="1" s="1"/>
  <c r="Z31" i="1"/>
  <c r="AA31" i="1" s="1"/>
  <c r="Z39" i="1"/>
  <c r="AA39" i="1" s="1"/>
  <c r="Z48" i="1"/>
  <c r="AA48" i="1" s="1"/>
  <c r="Z12" i="1"/>
  <c r="AA12" i="1" s="1"/>
  <c r="Z21" i="1"/>
  <c r="AA21" i="1" s="1"/>
  <c r="Z29" i="1"/>
  <c r="AA29" i="1" s="1"/>
  <c r="Z37" i="1"/>
  <c r="AA37" i="1" s="1"/>
  <c r="Z46" i="1"/>
  <c r="AA46" i="1" s="1"/>
  <c r="Z17" i="1"/>
  <c r="AA17" i="1" s="1"/>
  <c r="Z26" i="1"/>
  <c r="AA26" i="1" s="1"/>
  <c r="Z34" i="1"/>
  <c r="AA34" i="1" s="1"/>
  <c r="Z43" i="1"/>
  <c r="AA43" i="1" s="1"/>
  <c r="Z15" i="1"/>
  <c r="AA15" i="1" s="1"/>
  <c r="Z24" i="1"/>
  <c r="AA24" i="1" s="1"/>
  <c r="Z32" i="1"/>
  <c r="AA32" i="1" s="1"/>
  <c r="Z40" i="1"/>
  <c r="AA40" i="1" s="1"/>
  <c r="Z49" i="1"/>
  <c r="AA49" i="1" s="1"/>
  <c r="Z10" i="1"/>
  <c r="AA10" i="1" s="1"/>
  <c r="Z19" i="1"/>
  <c r="AA19" i="1" s="1"/>
  <c r="Z27" i="1"/>
  <c r="AA27" i="1" s="1"/>
  <c r="Z35" i="1"/>
  <c r="AA35" i="1" s="1"/>
  <c r="Z44" i="1"/>
  <c r="AA44" i="1" s="1"/>
  <c r="Z51" i="1"/>
  <c r="AA51" i="1" s="1"/>
  <c r="Z13" i="1"/>
  <c r="AA13" i="1" s="1"/>
  <c r="Z22" i="1"/>
  <c r="AA22" i="1" s="1"/>
  <c r="Z30" i="1"/>
  <c r="AA30" i="1" s="1"/>
  <c r="Z38" i="1"/>
  <c r="AA38" i="1" s="1"/>
  <c r="Z47" i="1"/>
  <c r="AA47" i="1" s="1"/>
  <c r="Z25" i="1"/>
  <c r="AA25" i="1" s="1"/>
  <c r="Z11" i="1"/>
  <c r="AA11" i="1" s="1"/>
  <c r="Z20" i="1"/>
  <c r="AA20" i="1" s="1"/>
  <c r="Z28" i="1"/>
  <c r="AA28" i="1" s="1"/>
  <c r="Z36" i="1"/>
  <c r="AA36" i="1" s="1"/>
  <c r="Z45" i="1"/>
  <c r="AA45" i="1" s="1"/>
  <c r="W51" i="3"/>
  <c r="Y51" i="3" s="1"/>
  <c r="R51" i="3"/>
  <c r="S51" i="3" s="1"/>
  <c r="W50" i="3"/>
  <c r="Y50" i="3" s="1"/>
  <c r="R50" i="3"/>
  <c r="S50" i="3" s="1"/>
  <c r="W49" i="3"/>
  <c r="Y49" i="3" s="1"/>
  <c r="R49" i="3"/>
  <c r="S49" i="3" s="1"/>
  <c r="W48" i="3"/>
  <c r="Y48" i="3" s="1"/>
  <c r="R48" i="3"/>
  <c r="S48" i="3" s="1"/>
  <c r="W47" i="3"/>
  <c r="Y47" i="3" s="1"/>
  <c r="R47" i="3"/>
  <c r="S47" i="3" s="1"/>
  <c r="W46" i="3"/>
  <c r="Y46" i="3" s="1"/>
  <c r="R46" i="3"/>
  <c r="S46" i="3" s="1"/>
  <c r="W45" i="3"/>
  <c r="Y45" i="3" s="1"/>
  <c r="R45" i="3"/>
  <c r="S45" i="3" s="1"/>
  <c r="W44" i="3"/>
  <c r="Y44" i="3" s="1"/>
  <c r="R44" i="3"/>
  <c r="S44" i="3" s="1"/>
  <c r="R43" i="3"/>
  <c r="W42" i="3"/>
  <c r="Y42" i="3" s="1"/>
  <c r="R42" i="3"/>
  <c r="W40" i="3"/>
  <c r="Y40" i="3" s="1"/>
  <c r="R40" i="3"/>
  <c r="W39" i="3"/>
  <c r="Y39" i="3" s="1"/>
  <c r="R39" i="3"/>
  <c r="W38" i="3"/>
  <c r="Y38" i="3" s="1"/>
  <c r="R38" i="3"/>
  <c r="W37" i="3"/>
  <c r="Y37" i="3" s="1"/>
  <c r="R37" i="3"/>
  <c r="W36" i="3"/>
  <c r="Y36" i="3" s="1"/>
  <c r="R36" i="3"/>
  <c r="W35" i="3"/>
  <c r="Y35" i="3" s="1"/>
  <c r="R35" i="3"/>
  <c r="W34" i="3"/>
  <c r="Y34" i="3" s="1"/>
  <c r="R34" i="3"/>
  <c r="W33" i="3"/>
  <c r="Y33" i="3" s="1"/>
  <c r="R33" i="3"/>
  <c r="W32" i="3"/>
  <c r="Y32" i="3" s="1"/>
  <c r="R32" i="3"/>
  <c r="W31" i="3"/>
  <c r="Y31" i="3" s="1"/>
  <c r="R31" i="3"/>
  <c r="W30" i="3"/>
  <c r="Y30" i="3" s="1"/>
  <c r="R30" i="3"/>
  <c r="W29" i="3"/>
  <c r="Y29" i="3" s="1"/>
  <c r="R29" i="3"/>
  <c r="W28" i="3"/>
  <c r="Y28" i="3" s="1"/>
  <c r="R28" i="3"/>
  <c r="W27" i="3"/>
  <c r="Y27" i="3" s="1"/>
  <c r="R27" i="3"/>
  <c r="W26" i="3"/>
  <c r="Y26" i="3" s="1"/>
  <c r="R26" i="3"/>
  <c r="W25" i="3"/>
  <c r="Y25" i="3" s="1"/>
  <c r="R25" i="3"/>
  <c r="W24" i="3"/>
  <c r="Y24" i="3" s="1"/>
  <c r="R24" i="3"/>
  <c r="W23" i="3"/>
  <c r="Y23" i="3" s="1"/>
  <c r="R23" i="3"/>
  <c r="W22" i="3"/>
  <c r="Y22" i="3" s="1"/>
  <c r="R22" i="3"/>
  <c r="W21" i="3"/>
  <c r="Y21" i="3" s="1"/>
  <c r="R21" i="3"/>
  <c r="W20" i="3"/>
  <c r="Y20" i="3" s="1"/>
  <c r="R20" i="3"/>
  <c r="W19" i="3"/>
  <c r="Y19" i="3" s="1"/>
  <c r="R19" i="3"/>
  <c r="W17" i="3"/>
  <c r="Y17" i="3" s="1"/>
  <c r="R17" i="3"/>
  <c r="W16" i="3"/>
  <c r="Y16" i="3" s="1"/>
  <c r="R16" i="3"/>
  <c r="W15" i="3"/>
  <c r="Y15" i="3" s="1"/>
  <c r="R15" i="3"/>
  <c r="W14" i="3"/>
  <c r="Y14" i="3" s="1"/>
  <c r="R14" i="3"/>
  <c r="W13" i="3"/>
  <c r="Y13" i="3" s="1"/>
  <c r="R13" i="3"/>
  <c r="W12" i="3"/>
  <c r="Y12" i="3" s="1"/>
  <c r="R12" i="3"/>
  <c r="W11" i="3"/>
  <c r="Y11" i="3" s="1"/>
  <c r="R11" i="3"/>
  <c r="W10" i="3"/>
  <c r="Y10" i="3" s="1"/>
  <c r="R10" i="3"/>
  <c r="Z47" i="3" l="1"/>
  <c r="AA47" i="3" s="1"/>
  <c r="Z48" i="3"/>
  <c r="AA48" i="3" s="1"/>
  <c r="Z44" i="3"/>
  <c r="AA44" i="3" s="1"/>
  <c r="Z51" i="3"/>
  <c r="AA51" i="3" s="1"/>
  <c r="Z13" i="3"/>
  <c r="AA13" i="3" s="1"/>
  <c r="Z17" i="3"/>
  <c r="AA17" i="3" s="1"/>
  <c r="Z22" i="3"/>
  <c r="AA22" i="3" s="1"/>
  <c r="Z24" i="3"/>
  <c r="AA24" i="3" s="1"/>
  <c r="Z28" i="3"/>
  <c r="AA28" i="3" s="1"/>
  <c r="Z30" i="3"/>
  <c r="AA30" i="3" s="1"/>
  <c r="Z32" i="3"/>
  <c r="AA32" i="3" s="1"/>
  <c r="Z34" i="3"/>
  <c r="AA34" i="3" s="1"/>
  <c r="Z36" i="3"/>
  <c r="AA36" i="3" s="1"/>
  <c r="Z38" i="3"/>
  <c r="AA38" i="3" s="1"/>
  <c r="Z40" i="3"/>
  <c r="AA40" i="3" s="1"/>
  <c r="Z15" i="3"/>
  <c r="AA15" i="3" s="1"/>
  <c r="Z20" i="3"/>
  <c r="AA20" i="3" s="1"/>
  <c r="Z26" i="3"/>
  <c r="AA26" i="3" s="1"/>
  <c r="Z46" i="3"/>
  <c r="AA46" i="3" s="1"/>
  <c r="Z50" i="3"/>
  <c r="AA50" i="3" s="1"/>
  <c r="Z11" i="3"/>
  <c r="AA11" i="3" s="1"/>
  <c r="Z10" i="3"/>
  <c r="AA10" i="3" s="1"/>
  <c r="Z12" i="3"/>
  <c r="AA12" i="3" s="1"/>
  <c r="Z16" i="3"/>
  <c r="AA16" i="3" s="1"/>
  <c r="Z19" i="3"/>
  <c r="AA19" i="3" s="1"/>
  <c r="Z21" i="3"/>
  <c r="AA21" i="3" s="1"/>
  <c r="Z23" i="3"/>
  <c r="AA23" i="3" s="1"/>
  <c r="Z25" i="3"/>
  <c r="AA25" i="3" s="1"/>
  <c r="Z27" i="3"/>
  <c r="AA27" i="3" s="1"/>
  <c r="Z29" i="3"/>
  <c r="AA29" i="3" s="1"/>
  <c r="Z31" i="3"/>
  <c r="AA31" i="3" s="1"/>
  <c r="Z33" i="3"/>
  <c r="AA33" i="3" s="1"/>
  <c r="Z35" i="3"/>
  <c r="AA35" i="3" s="1"/>
  <c r="Z37" i="3"/>
  <c r="AA37" i="3" s="1"/>
  <c r="Z39" i="3"/>
  <c r="AA39" i="3" s="1"/>
  <c r="Z42" i="3"/>
  <c r="AA42" i="3" s="1"/>
  <c r="Z45" i="3"/>
  <c r="AA45" i="3" s="1"/>
  <c r="Z49" i="3"/>
  <c r="AA49" i="3" s="1"/>
  <c r="Z14" i="3"/>
  <c r="AA14" i="3" s="1"/>
  <c r="S10" i="3"/>
  <c r="S11" i="3"/>
  <c r="S12" i="3"/>
  <c r="S13" i="3"/>
  <c r="S14" i="3"/>
  <c r="S15" i="3"/>
  <c r="S16" i="3"/>
  <c r="S17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2" i="3"/>
  <c r="S43" i="3"/>
  <c r="W43" i="3" s="1"/>
  <c r="Y43" i="3" s="1"/>
  <c r="Z43" i="3" s="1"/>
  <c r="AA43" i="3" s="1"/>
  <c r="W11" i="9" l="1"/>
  <c r="W12" i="9"/>
  <c r="W13" i="9"/>
  <c r="W14" i="9"/>
  <c r="W15" i="9"/>
  <c r="W16" i="9"/>
  <c r="W17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2" i="9"/>
  <c r="W43" i="9"/>
  <c r="W44" i="9"/>
  <c r="W45" i="9"/>
  <c r="W46" i="9"/>
  <c r="W47" i="9"/>
  <c r="W48" i="9"/>
  <c r="W49" i="9"/>
  <c r="W50" i="9"/>
  <c r="W51" i="9"/>
  <c r="W11" i="6"/>
  <c r="W12" i="6"/>
  <c r="W13" i="6"/>
  <c r="W14" i="6"/>
  <c r="W15" i="6"/>
  <c r="W16" i="6"/>
  <c r="W17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2" i="6"/>
  <c r="W43" i="6"/>
  <c r="W44" i="6"/>
  <c r="W45" i="6"/>
  <c r="W46" i="6"/>
  <c r="W47" i="6"/>
  <c r="W48" i="6"/>
  <c r="W49" i="6"/>
  <c r="W50" i="6"/>
  <c r="W51" i="6"/>
  <c r="W10" i="9"/>
  <c r="W10" i="6"/>
  <c r="Y51" i="9" l="1"/>
  <c r="R51" i="9"/>
  <c r="Y50" i="9"/>
  <c r="R50" i="9"/>
  <c r="Y49" i="9"/>
  <c r="R49" i="9"/>
  <c r="Y48" i="9"/>
  <c r="R48" i="9"/>
  <c r="Y47" i="9"/>
  <c r="R47" i="9"/>
  <c r="Y46" i="9"/>
  <c r="R46" i="9"/>
  <c r="Y45" i="9"/>
  <c r="R45" i="9"/>
  <c r="Y44" i="9"/>
  <c r="R44" i="9"/>
  <c r="Y43" i="9"/>
  <c r="R43" i="9"/>
  <c r="Y42" i="9"/>
  <c r="R42" i="9"/>
  <c r="Y40" i="9"/>
  <c r="R40" i="9"/>
  <c r="Y39" i="9"/>
  <c r="R39" i="9"/>
  <c r="Y38" i="9"/>
  <c r="R38" i="9"/>
  <c r="Y37" i="9"/>
  <c r="R37" i="9"/>
  <c r="Y36" i="9"/>
  <c r="R36" i="9"/>
  <c r="Y35" i="9"/>
  <c r="R35" i="9"/>
  <c r="Y34" i="9"/>
  <c r="R34" i="9"/>
  <c r="Y33" i="9"/>
  <c r="R33" i="9"/>
  <c r="Y32" i="9"/>
  <c r="R32" i="9"/>
  <c r="Y31" i="9"/>
  <c r="R31" i="9"/>
  <c r="Y30" i="9"/>
  <c r="R30" i="9"/>
  <c r="Y29" i="9"/>
  <c r="R29" i="9"/>
  <c r="Y28" i="9"/>
  <c r="R28" i="9"/>
  <c r="Y27" i="9"/>
  <c r="R27" i="9"/>
  <c r="Y26" i="9"/>
  <c r="R26" i="9"/>
  <c r="Y25" i="9"/>
  <c r="R25" i="9"/>
  <c r="Y24" i="9"/>
  <c r="R24" i="9"/>
  <c r="Y23" i="9"/>
  <c r="R23" i="9"/>
  <c r="Y22" i="9"/>
  <c r="R22" i="9"/>
  <c r="Y21" i="9"/>
  <c r="R21" i="9"/>
  <c r="Y20" i="9"/>
  <c r="R20" i="9"/>
  <c r="Y19" i="9"/>
  <c r="R19" i="9"/>
  <c r="Y17" i="9"/>
  <c r="R17" i="9"/>
  <c r="Y16" i="9"/>
  <c r="R16" i="9"/>
  <c r="Y15" i="9"/>
  <c r="R15" i="9"/>
  <c r="Y14" i="9"/>
  <c r="R14" i="9"/>
  <c r="Y13" i="9"/>
  <c r="R13" i="9"/>
  <c r="Y12" i="9"/>
  <c r="R12" i="9"/>
  <c r="Y11" i="9"/>
  <c r="R11" i="9"/>
  <c r="Y10" i="9"/>
  <c r="R10" i="9"/>
  <c r="Y51" i="6"/>
  <c r="R51" i="6"/>
  <c r="Y50" i="6"/>
  <c r="R50" i="6"/>
  <c r="Y49" i="6"/>
  <c r="R49" i="6"/>
  <c r="Y48" i="6"/>
  <c r="R48" i="6"/>
  <c r="Y47" i="6"/>
  <c r="R47" i="6"/>
  <c r="Y46" i="6"/>
  <c r="R46" i="6"/>
  <c r="Y45" i="6"/>
  <c r="R45" i="6"/>
  <c r="Y44" i="6"/>
  <c r="R44" i="6"/>
  <c r="Y43" i="6"/>
  <c r="R43" i="6"/>
  <c r="Y42" i="6"/>
  <c r="R42" i="6"/>
  <c r="Y40" i="6"/>
  <c r="R40" i="6"/>
  <c r="Y39" i="6"/>
  <c r="R39" i="6"/>
  <c r="Y38" i="6"/>
  <c r="R38" i="6"/>
  <c r="Y37" i="6"/>
  <c r="R37" i="6"/>
  <c r="Y36" i="6"/>
  <c r="R36" i="6"/>
  <c r="Y35" i="6"/>
  <c r="R35" i="6"/>
  <c r="Y34" i="6"/>
  <c r="R34" i="6"/>
  <c r="Y33" i="6"/>
  <c r="R33" i="6"/>
  <c r="Y32" i="6"/>
  <c r="R32" i="6"/>
  <c r="Y31" i="6"/>
  <c r="R31" i="6"/>
  <c r="Y30" i="6"/>
  <c r="R30" i="6"/>
  <c r="Y29" i="6"/>
  <c r="R29" i="6"/>
  <c r="Y28" i="6"/>
  <c r="R28" i="6"/>
  <c r="Y27" i="6"/>
  <c r="R27" i="6"/>
  <c r="Y26" i="6"/>
  <c r="R26" i="6"/>
  <c r="Y25" i="6"/>
  <c r="R25" i="6"/>
  <c r="Y24" i="6"/>
  <c r="R24" i="6"/>
  <c r="Y23" i="6"/>
  <c r="R23" i="6"/>
  <c r="Y22" i="6"/>
  <c r="R22" i="6"/>
  <c r="Y21" i="6"/>
  <c r="R21" i="6"/>
  <c r="Y20" i="6"/>
  <c r="R20" i="6"/>
  <c r="Y19" i="6"/>
  <c r="R19" i="6"/>
  <c r="Y17" i="6"/>
  <c r="R17" i="6"/>
  <c r="Y16" i="6"/>
  <c r="R16" i="6"/>
  <c r="Y15" i="6"/>
  <c r="R15" i="6"/>
  <c r="Y14" i="6"/>
  <c r="R14" i="6"/>
  <c r="Y13" i="6"/>
  <c r="R13" i="6"/>
  <c r="Y12" i="6"/>
  <c r="R12" i="6"/>
  <c r="Y11" i="6"/>
  <c r="R11" i="6"/>
  <c r="Y10" i="6"/>
  <c r="R10" i="6"/>
  <c r="AQ58" i="13" l="1"/>
  <c r="S37" i="6"/>
  <c r="S14" i="6"/>
  <c r="S17" i="6"/>
  <c r="S26" i="6"/>
  <c r="S34" i="6"/>
  <c r="S43" i="6"/>
  <c r="S29" i="6"/>
  <c r="S15" i="6"/>
  <c r="S24" i="6"/>
  <c r="S32" i="6"/>
  <c r="S40" i="6"/>
  <c r="S49" i="6"/>
  <c r="S21" i="6"/>
  <c r="S19" i="6"/>
  <c r="S27" i="6"/>
  <c r="S35" i="6"/>
  <c r="S44" i="6"/>
  <c r="S51" i="6"/>
  <c r="S13" i="6"/>
  <c r="S22" i="6"/>
  <c r="S30" i="6"/>
  <c r="S38" i="6"/>
  <c r="S47" i="6"/>
  <c r="S12" i="6"/>
  <c r="S16" i="6"/>
  <c r="S25" i="6"/>
  <c r="S33" i="6"/>
  <c r="S42" i="6"/>
  <c r="S50" i="6"/>
  <c r="S11" i="6"/>
  <c r="S20" i="6"/>
  <c r="S28" i="6"/>
  <c r="S36" i="6"/>
  <c r="S45" i="6"/>
  <c r="S46" i="6"/>
  <c r="S23" i="6"/>
  <c r="S31" i="6"/>
  <c r="S39" i="6"/>
  <c r="S48" i="6"/>
  <c r="S10" i="6"/>
  <c r="S22" i="9"/>
  <c r="S34" i="9"/>
  <c r="S43" i="9"/>
  <c r="S47" i="9"/>
  <c r="S26" i="9"/>
  <c r="S10" i="9"/>
  <c r="S19" i="9"/>
  <c r="S23" i="9"/>
  <c r="S31" i="9"/>
  <c r="S35" i="9"/>
  <c r="S39" i="9"/>
  <c r="S44" i="9"/>
  <c r="S48" i="9"/>
  <c r="S51" i="9"/>
  <c r="S17" i="9"/>
  <c r="S30" i="9"/>
  <c r="S38" i="9"/>
  <c r="S14" i="9"/>
  <c r="S27" i="9"/>
  <c r="S15" i="9"/>
  <c r="S24" i="9"/>
  <c r="S32" i="9"/>
  <c r="S40" i="9"/>
  <c r="S49" i="9"/>
  <c r="S11" i="9"/>
  <c r="S20" i="9"/>
  <c r="S28" i="9"/>
  <c r="S36" i="9"/>
  <c r="S45" i="9"/>
  <c r="S16" i="9"/>
  <c r="S25" i="9"/>
  <c r="S33" i="9"/>
  <c r="S42" i="9"/>
  <c r="S50" i="9"/>
  <c r="S13" i="9"/>
  <c r="S12" i="9"/>
  <c r="S21" i="9"/>
  <c r="S29" i="9"/>
  <c r="S37" i="9"/>
  <c r="S46" i="9"/>
  <c r="Z10" i="6"/>
  <c r="AA10" i="6" s="1"/>
  <c r="Z35" i="6"/>
  <c r="AA35" i="6" s="1"/>
  <c r="Z11" i="9"/>
  <c r="AA11" i="9" s="1"/>
  <c r="Z44" i="6"/>
  <c r="AA44" i="6" s="1"/>
  <c r="Z21" i="9"/>
  <c r="AA21" i="9" s="1"/>
  <c r="Z11" i="6"/>
  <c r="AA11" i="6" s="1"/>
  <c r="Z15" i="9"/>
  <c r="AA15" i="9" s="1"/>
  <c r="Z40" i="9"/>
  <c r="AA40" i="9" s="1"/>
  <c r="Z49" i="9"/>
  <c r="AA49" i="9" s="1"/>
  <c r="Z48" i="6"/>
  <c r="AA48" i="6" s="1"/>
  <c r="Z34" i="6"/>
  <c r="AA34" i="6" s="1"/>
  <c r="Z43" i="6"/>
  <c r="AA43" i="6" s="1"/>
  <c r="Z13" i="6"/>
  <c r="AA13" i="6" s="1"/>
  <c r="Z22" i="6"/>
  <c r="AA22" i="6" s="1"/>
  <c r="Z30" i="6"/>
  <c r="AA30" i="6" s="1"/>
  <c r="Z16" i="6"/>
  <c r="AA16" i="6" s="1"/>
  <c r="Z33" i="6"/>
  <c r="AA33" i="6" s="1"/>
  <c r="Z27" i="6"/>
  <c r="AA27" i="6" s="1"/>
  <c r="Z38" i="9"/>
  <c r="AA38" i="9" s="1"/>
  <c r="Z47" i="9"/>
  <c r="AA47" i="9" s="1"/>
  <c r="Z42" i="9"/>
  <c r="AA42" i="9" s="1"/>
  <c r="Z23" i="6"/>
  <c r="AA23" i="6" s="1"/>
  <c r="Z50" i="9"/>
  <c r="AA50" i="9" s="1"/>
  <c r="Z17" i="6"/>
  <c r="AA17" i="6" s="1"/>
  <c r="Z48" i="9"/>
  <c r="AA48" i="9" s="1"/>
  <c r="Z26" i="9"/>
  <c r="AA26" i="9" s="1"/>
  <c r="Z45" i="6"/>
  <c r="AA45" i="6" s="1"/>
  <c r="Z23" i="9"/>
  <c r="AA23" i="9" s="1"/>
  <c r="Z35" i="9"/>
  <c r="AA35" i="9" s="1"/>
  <c r="Z31" i="6"/>
  <c r="AA31" i="6" s="1"/>
  <c r="Z38" i="6"/>
  <c r="AA38" i="6" s="1"/>
  <c r="Z40" i="6"/>
  <c r="AA40" i="6" s="1"/>
  <c r="Z10" i="9"/>
  <c r="AA10" i="9" s="1"/>
  <c r="Z34" i="9"/>
  <c r="AA34" i="9" s="1"/>
  <c r="Z29" i="6"/>
  <c r="AA29" i="6" s="1"/>
  <c r="Z50" i="6"/>
  <c r="AA50" i="6" s="1"/>
  <c r="Z32" i="9"/>
  <c r="AA32" i="9" s="1"/>
  <c r="Z19" i="6"/>
  <c r="AA19" i="6" s="1"/>
  <c r="Z39" i="6"/>
  <c r="AA39" i="6" s="1"/>
  <c r="Z43" i="9"/>
  <c r="AA43" i="9" s="1"/>
  <c r="Z14" i="6"/>
  <c r="AA14" i="6" s="1"/>
  <c r="Z26" i="6"/>
  <c r="AA26" i="6" s="1"/>
  <c r="Z28" i="6"/>
  <c r="AA28" i="6" s="1"/>
  <c r="Z47" i="6"/>
  <c r="AA47" i="6" s="1"/>
  <c r="Z28" i="9"/>
  <c r="AA28" i="9" s="1"/>
  <c r="Z33" i="9"/>
  <c r="AA33" i="9" s="1"/>
  <c r="Z25" i="6"/>
  <c r="AA25" i="6" s="1"/>
  <c r="Z21" i="6"/>
  <c r="AA21" i="6" s="1"/>
  <c r="Z31" i="9"/>
  <c r="AA31" i="9" s="1"/>
  <c r="Z12" i="6"/>
  <c r="AA12" i="6" s="1"/>
  <c r="Z46" i="6"/>
  <c r="AA46" i="6" s="1"/>
  <c r="Z44" i="9"/>
  <c r="AA44" i="9" s="1"/>
  <c r="Z19" i="9"/>
  <c r="AA19" i="9" s="1"/>
  <c r="Z42" i="6"/>
  <c r="AA42" i="6" s="1"/>
  <c r="Z27" i="9"/>
  <c r="AA27" i="9" s="1"/>
  <c r="Z37" i="6"/>
  <c r="AA37" i="6" s="1"/>
  <c r="Z14" i="9"/>
  <c r="AA14" i="9" s="1"/>
  <c r="Z39" i="9"/>
  <c r="AA39" i="9" s="1"/>
  <c r="Z51" i="9"/>
  <c r="AA51" i="9" s="1"/>
  <c r="Z51" i="6"/>
  <c r="AA51" i="6" s="1"/>
  <c r="Z13" i="9"/>
  <c r="AA13" i="9" s="1"/>
  <c r="Z46" i="9"/>
  <c r="AA46" i="9" s="1"/>
  <c r="Z24" i="9"/>
  <c r="AA24" i="9" s="1"/>
  <c r="Z29" i="9"/>
  <c r="AA29" i="9" s="1"/>
  <c r="Z36" i="9"/>
  <c r="AA36" i="9" s="1"/>
  <c r="Z16" i="9"/>
  <c r="AA16" i="9" s="1"/>
  <c r="Z22" i="9"/>
  <c r="AA22" i="9" s="1"/>
  <c r="Z20" i="9"/>
  <c r="AA20" i="9" s="1"/>
  <c r="Z25" i="9"/>
  <c r="AA25" i="9" s="1"/>
  <c r="Z30" i="9"/>
  <c r="AA30" i="9" s="1"/>
  <c r="Z37" i="9"/>
  <c r="AA37" i="9" s="1"/>
  <c r="Z12" i="9"/>
  <c r="AA12" i="9" s="1"/>
  <c r="Z17" i="9"/>
  <c r="AA17" i="9" s="1"/>
  <c r="Z45" i="9"/>
  <c r="AA45" i="9" s="1"/>
  <c r="Z15" i="6"/>
  <c r="AA15" i="6" s="1"/>
  <c r="Z49" i="6"/>
  <c r="AA49" i="6" s="1"/>
  <c r="Z36" i="6"/>
  <c r="AA36" i="6" s="1"/>
  <c r="Z32" i="6"/>
  <c r="AA32" i="6" s="1"/>
  <c r="Z24" i="6"/>
  <c r="AA24" i="6" s="1"/>
  <c r="Z20" i="6"/>
  <c r="AA20" i="6" s="1"/>
  <c r="AY17" i="13" l="1"/>
  <c r="AX17" i="13"/>
  <c r="AW17" i="13"/>
  <c r="AV17" i="13"/>
  <c r="AC21" i="10" l="1"/>
  <c r="AD21" i="10" s="1"/>
  <c r="AC21" i="9"/>
  <c r="AC21" i="3"/>
  <c r="AD21" i="3" s="1"/>
  <c r="AC21" i="8"/>
  <c r="AC21" i="7"/>
  <c r="AD21" i="7" s="1"/>
  <c r="AC21" i="6"/>
  <c r="AC21" i="5"/>
  <c r="AC21" i="2"/>
  <c r="AD21" i="2" s="1"/>
  <c r="AC21" i="4"/>
  <c r="AC21" i="1"/>
  <c r="AD21" i="1" s="1"/>
  <c r="AC21" i="11"/>
  <c r="AD21" i="11" s="1"/>
  <c r="AE21" i="7" l="1"/>
  <c r="AE21" i="2"/>
  <c r="AE21" i="11"/>
  <c r="AE21" i="10"/>
  <c r="AE21" i="1"/>
  <c r="AE21" i="3"/>
  <c r="AD21" i="6"/>
  <c r="AD21" i="9"/>
  <c r="AD21" i="4"/>
  <c r="AD21" i="5"/>
  <c r="AD21" i="8"/>
  <c r="AC49" i="10"/>
  <c r="AD49" i="10" s="1"/>
  <c r="AC50" i="10"/>
  <c r="AD50" i="10" s="1"/>
  <c r="AC49" i="9"/>
  <c r="AC50" i="9"/>
  <c r="AC49" i="3"/>
  <c r="AD49" i="3" s="1"/>
  <c r="AC50" i="3"/>
  <c r="AD50" i="3" s="1"/>
  <c r="AC49" i="8"/>
  <c r="AC50" i="8"/>
  <c r="AC49" i="7"/>
  <c r="AC50" i="7"/>
  <c r="AD50" i="7" s="1"/>
  <c r="AC49" i="6"/>
  <c r="AC50" i="6"/>
  <c r="AC49" i="5"/>
  <c r="AC50" i="5"/>
  <c r="AC49" i="2"/>
  <c r="AD49" i="2" s="1"/>
  <c r="AC50" i="2"/>
  <c r="AD50" i="2" s="1"/>
  <c r="AC49" i="4"/>
  <c r="AC50" i="4"/>
  <c r="AC49" i="1"/>
  <c r="AD49" i="1" s="1"/>
  <c r="AC50" i="1"/>
  <c r="AD50" i="1" s="1"/>
  <c r="AC49" i="11"/>
  <c r="AD49" i="11" s="1"/>
  <c r="AC50" i="11"/>
  <c r="AD50" i="11" s="1"/>
  <c r="AE21" i="6" l="1"/>
  <c r="AE21" i="9"/>
  <c r="AE50" i="7"/>
  <c r="AE21" i="8"/>
  <c r="AE21" i="4"/>
  <c r="AE21" i="5"/>
  <c r="AE50" i="2"/>
  <c r="AE49" i="2"/>
  <c r="AE50" i="11"/>
  <c r="AE49" i="11"/>
  <c r="AE49" i="10"/>
  <c r="AE50" i="10"/>
  <c r="AE49" i="1"/>
  <c r="AE50" i="1"/>
  <c r="AE50" i="3"/>
  <c r="AE49" i="3"/>
  <c r="AD50" i="6"/>
  <c r="AD49" i="9"/>
  <c r="AD50" i="9"/>
  <c r="AD50" i="4"/>
  <c r="AD49" i="4"/>
  <c r="AD49" i="5"/>
  <c r="AD50" i="5"/>
  <c r="AD49" i="6"/>
  <c r="AD50" i="8"/>
  <c r="AD49" i="8"/>
  <c r="AD49" i="7"/>
  <c r="AC48" i="1"/>
  <c r="AC20" i="10"/>
  <c r="AC20" i="9"/>
  <c r="AC20" i="3"/>
  <c r="AC20" i="8"/>
  <c r="AC20" i="7"/>
  <c r="AC20" i="6"/>
  <c r="AC20" i="5"/>
  <c r="AC20" i="2"/>
  <c r="AC20" i="4"/>
  <c r="AC20" i="1"/>
  <c r="AC20" i="11"/>
  <c r="AC11" i="10"/>
  <c r="AC11" i="9"/>
  <c r="AC11" i="3"/>
  <c r="AC11" i="8"/>
  <c r="AC11" i="7"/>
  <c r="AC11" i="6"/>
  <c r="AC11" i="5"/>
  <c r="AC11" i="2"/>
  <c r="AC11" i="4"/>
  <c r="AC11" i="1"/>
  <c r="AC11" i="11"/>
  <c r="AE49" i="6" l="1"/>
  <c r="AE50" i="6"/>
  <c r="AE49" i="9"/>
  <c r="AE50" i="9"/>
  <c r="AE49" i="7"/>
  <c r="AE49" i="8"/>
  <c r="AE50" i="8"/>
  <c r="AE49" i="4"/>
  <c r="AE50" i="4"/>
  <c r="AE50" i="5"/>
  <c r="AE49" i="5"/>
  <c r="AI17" i="13"/>
  <c r="AD20" i="2" l="1"/>
  <c r="AD11" i="2"/>
  <c r="K17" i="13"/>
  <c r="AE11" i="2" l="1"/>
  <c r="AE20" i="2"/>
  <c r="AD11" i="11"/>
  <c r="AD20" i="11"/>
  <c r="AO17" i="13"/>
  <c r="T17" i="13"/>
  <c r="N17" i="13"/>
  <c r="AE11" i="11" l="1"/>
  <c r="AE20" i="11"/>
  <c r="AD11" i="10"/>
  <c r="AD20" i="10"/>
  <c r="AD11" i="1"/>
  <c r="AD20" i="1"/>
  <c r="AD48" i="1"/>
  <c r="AD11" i="3"/>
  <c r="AD20" i="3"/>
  <c r="AC17" i="13"/>
  <c r="AE20" i="10" l="1"/>
  <c r="AE11" i="10"/>
  <c r="AE48" i="1"/>
  <c r="AE20" i="1"/>
  <c r="AE11" i="1"/>
  <c r="AE20" i="3"/>
  <c r="AE11" i="3"/>
  <c r="AD11" i="6"/>
  <c r="AD20" i="6"/>
  <c r="AE20" i="6" l="1"/>
  <c r="AE11" i="6"/>
  <c r="BA17" i="13"/>
  <c r="AZ17" i="13"/>
  <c r="AU17" i="13"/>
  <c r="AT17" i="13"/>
  <c r="AM12" i="13"/>
  <c r="AM11" i="13"/>
  <c r="AV18" i="13" l="1"/>
  <c r="AZ18" i="13"/>
  <c r="AX18" i="13"/>
  <c r="AM10" i="13"/>
  <c r="AT18" i="13"/>
  <c r="AC30" i="10" l="1"/>
  <c r="AC30" i="9"/>
  <c r="AC30" i="8"/>
  <c r="AC30" i="7"/>
  <c r="AC30" i="6"/>
  <c r="AC30" i="5"/>
  <c r="AC30" i="4"/>
  <c r="AC30" i="3"/>
  <c r="AC30" i="2"/>
  <c r="AC30" i="1"/>
  <c r="AC30" i="11"/>
  <c r="AQ37" i="13" l="1"/>
  <c r="AD30" i="1"/>
  <c r="AD30" i="11"/>
  <c r="AD30" i="9"/>
  <c r="AD30" i="2"/>
  <c r="AD30" i="6"/>
  <c r="AD30" i="8"/>
  <c r="AD30" i="7"/>
  <c r="AD30" i="4"/>
  <c r="AD30" i="5"/>
  <c r="AD30" i="3"/>
  <c r="AD30" i="10"/>
  <c r="AE30" i="6" l="1"/>
  <c r="AE30" i="9"/>
  <c r="AE30" i="7"/>
  <c r="AE30" i="8"/>
  <c r="AE30" i="4"/>
  <c r="AE30" i="5"/>
  <c r="AE30" i="2"/>
  <c r="AE30" i="11"/>
  <c r="AE30" i="10"/>
  <c r="AE30" i="1"/>
  <c r="AE30" i="3"/>
  <c r="AC28" i="10"/>
  <c r="AC29" i="10"/>
  <c r="AC28" i="9"/>
  <c r="AC29" i="9"/>
  <c r="AC28" i="8"/>
  <c r="AC29" i="8"/>
  <c r="AC28" i="7"/>
  <c r="AC29" i="7"/>
  <c r="AC28" i="6"/>
  <c r="AC29" i="6"/>
  <c r="AC28" i="5"/>
  <c r="AC29" i="5"/>
  <c r="AQ35" i="13"/>
  <c r="AC28" i="4"/>
  <c r="AC29" i="4"/>
  <c r="AC28" i="3"/>
  <c r="AC29" i="3"/>
  <c r="AC28" i="2"/>
  <c r="AC29" i="2"/>
  <c r="AC28" i="1"/>
  <c r="AC29" i="1"/>
  <c r="AC28" i="11"/>
  <c r="AC29" i="11"/>
  <c r="AQ36" i="13" l="1"/>
  <c r="AD29" i="5"/>
  <c r="AD29" i="1"/>
  <c r="AD29" i="4"/>
  <c r="AD29" i="6"/>
  <c r="AD28" i="11"/>
  <c r="AD29" i="9"/>
  <c r="AD28" i="9"/>
  <c r="AD28" i="2"/>
  <c r="AD29" i="2"/>
  <c r="AD29" i="11"/>
  <c r="AD28" i="6"/>
  <c r="AD29" i="7"/>
  <c r="AD29" i="8"/>
  <c r="AD28" i="7"/>
  <c r="AD28" i="8"/>
  <c r="AD28" i="4"/>
  <c r="AD28" i="5"/>
  <c r="AD28" i="1"/>
  <c r="AD28" i="3"/>
  <c r="AD29" i="3"/>
  <c r="AD28" i="10"/>
  <c r="AD29" i="10"/>
  <c r="AC43" i="10"/>
  <c r="AC44" i="10"/>
  <c r="AC43" i="9"/>
  <c r="AC44" i="9"/>
  <c r="AC43" i="8"/>
  <c r="AC44" i="8"/>
  <c r="AC43" i="7"/>
  <c r="AC44" i="7"/>
  <c r="AC43" i="6"/>
  <c r="AC44" i="6"/>
  <c r="AC43" i="5"/>
  <c r="AC44" i="5"/>
  <c r="AQ50" i="13"/>
  <c r="AC43" i="4"/>
  <c r="AC44" i="4"/>
  <c r="AC43" i="3"/>
  <c r="AC44" i="3"/>
  <c r="AC43" i="2"/>
  <c r="AC44" i="2"/>
  <c r="AC43" i="1"/>
  <c r="AC44" i="1"/>
  <c r="AC43" i="11"/>
  <c r="AC44" i="11"/>
  <c r="AQ51" i="13" l="1"/>
  <c r="AE28" i="6"/>
  <c r="AE29" i="6"/>
  <c r="AE29" i="9"/>
  <c r="AE28" i="9"/>
  <c r="AE28" i="7"/>
  <c r="AE29" i="7"/>
  <c r="AE29" i="8"/>
  <c r="AE28" i="8"/>
  <c r="AE29" i="4"/>
  <c r="AE28" i="4"/>
  <c r="AE28" i="5"/>
  <c r="AE29" i="5"/>
  <c r="AE29" i="2"/>
  <c r="AE28" i="2"/>
  <c r="AE29" i="11"/>
  <c r="AE28" i="11"/>
  <c r="AE28" i="10"/>
  <c r="AE29" i="10"/>
  <c r="AE28" i="1"/>
  <c r="AE29" i="1"/>
  <c r="AE28" i="3"/>
  <c r="AE29" i="3"/>
  <c r="AD43" i="9"/>
  <c r="AD44" i="5"/>
  <c r="AD43" i="5"/>
  <c r="AD43" i="6"/>
  <c r="AD43" i="4"/>
  <c r="AD43" i="10"/>
  <c r="AD44" i="1"/>
  <c r="AD43" i="8"/>
  <c r="AD44" i="9"/>
  <c r="AD44" i="2"/>
  <c r="AD43" i="2"/>
  <c r="AD43" i="11"/>
  <c r="AD44" i="11"/>
  <c r="AD44" i="6"/>
  <c r="AD43" i="7"/>
  <c r="AD44" i="7"/>
  <c r="AD44" i="8"/>
  <c r="AD44" i="4"/>
  <c r="AD43" i="1"/>
  <c r="AD44" i="3"/>
  <c r="AD43" i="3"/>
  <c r="AD44" i="10"/>
  <c r="AC46" i="10"/>
  <c r="AC47" i="10"/>
  <c r="AC48" i="10"/>
  <c r="AC51" i="10"/>
  <c r="AC46" i="9"/>
  <c r="AC47" i="9"/>
  <c r="AC48" i="9"/>
  <c r="AC51" i="9"/>
  <c r="AC46" i="8"/>
  <c r="AC47" i="8"/>
  <c r="AC48" i="8"/>
  <c r="AC51" i="8"/>
  <c r="AC46" i="7"/>
  <c r="AC47" i="7"/>
  <c r="AC48" i="7"/>
  <c r="AC51" i="7"/>
  <c r="AC46" i="6"/>
  <c r="AC47" i="6"/>
  <c r="AC48" i="6"/>
  <c r="AC51" i="6"/>
  <c r="AC46" i="5"/>
  <c r="AC47" i="5"/>
  <c r="AC48" i="5"/>
  <c r="AC51" i="5"/>
  <c r="AC46" i="4"/>
  <c r="AC47" i="4"/>
  <c r="AC48" i="4"/>
  <c r="AC51" i="4"/>
  <c r="AC46" i="3"/>
  <c r="AC47" i="3"/>
  <c r="AC48" i="3"/>
  <c r="AC51" i="3"/>
  <c r="AC46" i="2"/>
  <c r="AC47" i="2"/>
  <c r="AC48" i="2"/>
  <c r="AC51" i="2"/>
  <c r="AC46" i="1"/>
  <c r="AC47" i="1"/>
  <c r="AC51" i="1"/>
  <c r="AC46" i="11"/>
  <c r="AC47" i="11"/>
  <c r="AC48" i="11"/>
  <c r="AC51" i="11"/>
  <c r="AC26" i="10"/>
  <c r="AC27" i="10"/>
  <c r="AC31" i="10"/>
  <c r="AC32" i="10"/>
  <c r="AC33" i="10"/>
  <c r="AC34" i="10"/>
  <c r="AC35" i="10"/>
  <c r="AC36" i="10"/>
  <c r="AC37" i="10"/>
  <c r="AC38" i="10"/>
  <c r="AC39" i="10"/>
  <c r="AC26" i="9"/>
  <c r="AC27" i="9"/>
  <c r="AC31" i="9"/>
  <c r="AC32" i="9"/>
  <c r="AC33" i="9"/>
  <c r="AC34" i="9"/>
  <c r="AC35" i="9"/>
  <c r="AC36" i="9"/>
  <c r="AC37" i="9"/>
  <c r="AC38" i="9"/>
  <c r="AC39" i="9"/>
  <c r="AC26" i="8"/>
  <c r="AC27" i="8"/>
  <c r="AC31" i="8"/>
  <c r="AC32" i="8"/>
  <c r="AC33" i="8"/>
  <c r="AC34" i="8"/>
  <c r="AC35" i="8"/>
  <c r="AC36" i="8"/>
  <c r="AC37" i="8"/>
  <c r="AC38" i="8"/>
  <c r="AC39" i="8"/>
  <c r="AC26" i="7"/>
  <c r="AC27" i="7"/>
  <c r="AC31" i="7"/>
  <c r="AC32" i="7"/>
  <c r="AC33" i="7"/>
  <c r="AC34" i="7"/>
  <c r="AC35" i="7"/>
  <c r="AC36" i="7"/>
  <c r="AC37" i="7"/>
  <c r="AC38" i="7"/>
  <c r="AC39" i="7"/>
  <c r="AC26" i="6"/>
  <c r="AC27" i="6"/>
  <c r="AC31" i="6"/>
  <c r="AC32" i="6"/>
  <c r="AC33" i="6"/>
  <c r="AC34" i="6"/>
  <c r="AC35" i="6"/>
  <c r="AC36" i="6"/>
  <c r="AC37" i="6"/>
  <c r="AC38" i="6"/>
  <c r="AC39" i="6"/>
  <c r="AC26" i="5"/>
  <c r="AC27" i="5"/>
  <c r="AC31" i="5"/>
  <c r="AC32" i="5"/>
  <c r="AC33" i="5"/>
  <c r="AC34" i="5"/>
  <c r="AC35" i="5"/>
  <c r="AC36" i="5"/>
  <c r="AC37" i="5"/>
  <c r="AC38" i="5"/>
  <c r="AC39" i="5"/>
  <c r="AC26" i="4"/>
  <c r="AC27" i="4"/>
  <c r="AC31" i="4"/>
  <c r="AC32" i="4"/>
  <c r="AC33" i="4"/>
  <c r="AC34" i="4"/>
  <c r="AC35" i="4"/>
  <c r="AC36" i="4"/>
  <c r="AC37" i="4"/>
  <c r="AC38" i="4"/>
  <c r="AC39" i="4"/>
  <c r="AC26" i="3"/>
  <c r="AC27" i="3"/>
  <c r="AC31" i="3"/>
  <c r="AC32" i="3"/>
  <c r="AC33" i="3"/>
  <c r="AC34" i="3"/>
  <c r="AC35" i="3"/>
  <c r="AC36" i="3"/>
  <c r="AC37" i="3"/>
  <c r="AC38" i="3"/>
  <c r="AC39" i="3"/>
  <c r="AC26" i="2"/>
  <c r="AC27" i="2"/>
  <c r="AC31" i="2"/>
  <c r="AC32" i="2"/>
  <c r="AC33" i="2"/>
  <c r="AC34" i="2"/>
  <c r="AC35" i="2"/>
  <c r="AC36" i="2"/>
  <c r="AC37" i="2"/>
  <c r="AC38" i="2"/>
  <c r="AC39" i="2"/>
  <c r="AC26" i="1"/>
  <c r="AC27" i="1"/>
  <c r="AC31" i="1"/>
  <c r="AC32" i="1"/>
  <c r="AC33" i="1"/>
  <c r="AC34" i="1"/>
  <c r="AC35" i="1"/>
  <c r="AC36" i="1"/>
  <c r="AC37" i="1"/>
  <c r="AC38" i="1"/>
  <c r="AC39" i="1"/>
  <c r="AC26" i="11"/>
  <c r="AC27" i="11"/>
  <c r="AC31" i="11"/>
  <c r="AC32" i="11"/>
  <c r="AC33" i="11"/>
  <c r="AC34" i="11"/>
  <c r="AC35" i="11"/>
  <c r="AC36" i="11"/>
  <c r="AC37" i="11"/>
  <c r="AC38" i="11"/>
  <c r="AC39" i="11"/>
  <c r="AQ45" i="13" l="1"/>
  <c r="AQ43" i="13"/>
  <c r="AQ41" i="13"/>
  <c r="AQ34" i="13"/>
  <c r="AQ46" i="13"/>
  <c r="AQ44" i="13"/>
  <c r="AQ42" i="13"/>
  <c r="AQ40" i="13"/>
  <c r="AQ33" i="13"/>
  <c r="AQ38" i="13"/>
  <c r="AQ39" i="13"/>
  <c r="AQ54" i="13"/>
  <c r="AQ53" i="13"/>
  <c r="AQ55" i="13"/>
  <c r="AE44" i="6"/>
  <c r="AE43" i="6"/>
  <c r="AE44" i="9"/>
  <c r="AE43" i="9"/>
  <c r="AE44" i="7"/>
  <c r="AE43" i="7"/>
  <c r="AE44" i="8"/>
  <c r="AE43" i="8"/>
  <c r="AE44" i="4"/>
  <c r="AE43" i="4"/>
  <c r="AE43" i="5"/>
  <c r="AE44" i="5"/>
  <c r="AE44" i="2"/>
  <c r="AE43" i="2"/>
  <c r="AE44" i="11"/>
  <c r="AE43" i="11"/>
  <c r="AE43" i="10"/>
  <c r="AE44" i="10"/>
  <c r="AE43" i="1"/>
  <c r="AE44" i="1"/>
  <c r="AE43" i="3"/>
  <c r="AE44" i="3"/>
  <c r="AD47" i="3"/>
  <c r="AD47" i="10"/>
  <c r="AD32" i="1"/>
  <c r="AD39" i="1"/>
  <c r="AD26" i="2"/>
  <c r="AD33" i="4"/>
  <c r="AD31" i="4"/>
  <c r="AD37" i="9"/>
  <c r="AD35" i="9"/>
  <c r="AD47" i="9"/>
  <c r="AD38" i="9"/>
  <c r="AD31" i="9"/>
  <c r="AD51" i="9"/>
  <c r="AD48" i="9"/>
  <c r="AD46" i="9"/>
  <c r="AD36" i="9"/>
  <c r="AD34" i="9"/>
  <c r="AD32" i="9"/>
  <c r="AD31" i="2"/>
  <c r="AD47" i="2"/>
  <c r="AD32" i="2"/>
  <c r="AD36" i="2"/>
  <c r="AD48" i="2"/>
  <c r="AD39" i="2"/>
  <c r="AD35" i="2"/>
  <c r="AD38" i="2"/>
  <c r="AD37" i="2"/>
  <c r="AD34" i="11"/>
  <c r="AD33" i="11"/>
  <c r="AD37" i="11"/>
  <c r="AD27" i="11"/>
  <c r="AD32" i="6"/>
  <c r="AD39" i="6"/>
  <c r="AD51" i="6"/>
  <c r="AD38" i="6"/>
  <c r="AD37" i="6"/>
  <c r="AD35" i="6"/>
  <c r="AD26" i="8"/>
  <c r="AD47" i="8"/>
  <c r="AD27" i="7"/>
  <c r="AD36" i="8"/>
  <c r="AD34" i="8"/>
  <c r="AD37" i="7"/>
  <c r="AD51" i="8"/>
  <c r="AD38" i="7"/>
  <c r="AD35" i="7"/>
  <c r="AD33" i="7"/>
  <c r="AD36" i="4"/>
  <c r="AD34" i="4"/>
  <c r="AD46" i="4"/>
  <c r="AD51" i="4"/>
  <c r="AD51" i="5"/>
  <c r="AD39" i="5"/>
  <c r="AD36" i="5"/>
  <c r="AD34" i="5"/>
  <c r="AD32" i="5"/>
  <c r="AD35" i="5"/>
  <c r="AD47" i="5"/>
  <c r="AD33" i="5"/>
  <c r="AD31" i="5"/>
  <c r="AD26" i="5"/>
  <c r="AD36" i="1"/>
  <c r="AD34" i="1"/>
  <c r="AD38" i="1"/>
  <c r="AD31" i="1"/>
  <c r="AD51" i="3"/>
  <c r="AD46" i="3"/>
  <c r="AD48" i="3"/>
  <c r="AD38" i="3"/>
  <c r="AD37" i="3"/>
  <c r="AD36" i="3"/>
  <c r="AD33" i="3"/>
  <c r="AD26" i="3"/>
  <c r="AD36" i="10"/>
  <c r="AD31" i="10"/>
  <c r="AD33" i="10"/>
  <c r="AD35" i="10"/>
  <c r="AD34" i="10"/>
  <c r="AD32" i="10"/>
  <c r="AD26" i="10"/>
  <c r="AD48" i="10"/>
  <c r="AD46" i="10"/>
  <c r="AD36" i="11"/>
  <c r="AD32" i="11"/>
  <c r="AD34" i="2"/>
  <c r="AD34" i="3"/>
  <c r="AD32" i="3"/>
  <c r="AD32" i="4"/>
  <c r="AD26" i="4"/>
  <c r="AD38" i="5"/>
  <c r="AD31" i="6"/>
  <c r="AD27" i="6"/>
  <c r="AD39" i="7"/>
  <c r="AD33" i="9"/>
  <c r="AD27" i="9"/>
  <c r="AD39" i="10"/>
  <c r="AD48" i="11"/>
  <c r="AD47" i="4"/>
  <c r="AD46" i="8"/>
  <c r="AD35" i="1"/>
  <c r="AD26" i="1"/>
  <c r="AD37" i="5"/>
  <c r="AD36" i="7"/>
  <c r="AD34" i="7"/>
  <c r="AD32" i="7"/>
  <c r="AD46" i="1"/>
  <c r="AD48" i="7"/>
  <c r="AD46" i="7"/>
  <c r="AD38" i="11"/>
  <c r="AD26" i="11"/>
  <c r="AD37" i="1"/>
  <c r="AD33" i="1"/>
  <c r="AD38" i="4"/>
  <c r="AD37" i="4"/>
  <c r="AD27" i="5"/>
  <c r="AD36" i="6"/>
  <c r="AD26" i="7"/>
  <c r="AD38" i="8"/>
  <c r="AD37" i="8"/>
  <c r="AD35" i="8"/>
  <c r="AD46" i="11"/>
  <c r="AD48" i="6"/>
  <c r="AD46" i="6"/>
  <c r="AD35" i="3"/>
  <c r="AD27" i="4"/>
  <c r="AD34" i="6"/>
  <c r="AD26" i="6"/>
  <c r="AD33" i="8"/>
  <c r="AD31" i="8"/>
  <c r="AD27" i="8"/>
  <c r="AD39" i="9"/>
  <c r="AD47" i="1"/>
  <c r="AD48" i="5"/>
  <c r="AD46" i="5"/>
  <c r="AD51" i="10"/>
  <c r="AD39" i="11"/>
  <c r="AD35" i="11"/>
  <c r="AD27" i="1"/>
  <c r="AD35" i="4"/>
  <c r="AD48" i="4"/>
  <c r="AD31" i="11"/>
  <c r="AD33" i="2"/>
  <c r="AD31" i="3"/>
  <c r="AD27" i="3"/>
  <c r="AD39" i="4"/>
  <c r="AD31" i="7"/>
  <c r="AD39" i="8"/>
  <c r="AD26" i="9"/>
  <c r="AD38" i="10"/>
  <c r="AD37" i="10"/>
  <c r="AD51" i="2"/>
  <c r="AD47" i="7"/>
  <c r="AD27" i="2"/>
  <c r="AD39" i="3"/>
  <c r="AD33" i="6"/>
  <c r="AD32" i="8"/>
  <c r="AD27" i="10"/>
  <c r="AD51" i="11"/>
  <c r="AD47" i="11"/>
  <c r="AD51" i="1"/>
  <c r="AD46" i="2"/>
  <c r="AD47" i="6"/>
  <c r="AD51" i="7"/>
  <c r="AD48" i="8"/>
  <c r="AC12" i="10"/>
  <c r="AC13" i="10"/>
  <c r="AC14" i="10"/>
  <c r="AC15" i="10"/>
  <c r="AC16" i="10"/>
  <c r="AC17" i="10"/>
  <c r="AC19" i="10"/>
  <c r="AC22" i="10"/>
  <c r="AC23" i="10"/>
  <c r="AC24" i="10"/>
  <c r="AC25" i="10"/>
  <c r="AC40" i="10"/>
  <c r="AC42" i="10"/>
  <c r="AC45" i="10"/>
  <c r="AC12" i="9"/>
  <c r="AC13" i="9"/>
  <c r="AC14" i="9"/>
  <c r="AC15" i="9"/>
  <c r="AC16" i="9"/>
  <c r="AC17" i="9"/>
  <c r="AC19" i="9"/>
  <c r="AC22" i="9"/>
  <c r="AC23" i="9"/>
  <c r="AC24" i="9"/>
  <c r="AC25" i="9"/>
  <c r="AC40" i="9"/>
  <c r="AC42" i="9"/>
  <c r="AC45" i="9"/>
  <c r="AC12" i="8"/>
  <c r="AC13" i="8"/>
  <c r="AC14" i="8"/>
  <c r="AC15" i="8"/>
  <c r="AC16" i="8"/>
  <c r="AC17" i="8"/>
  <c r="AC19" i="8"/>
  <c r="AC22" i="8"/>
  <c r="AC23" i="8"/>
  <c r="AC24" i="8"/>
  <c r="AC25" i="8"/>
  <c r="AC40" i="8"/>
  <c r="AC42" i="8"/>
  <c r="AC45" i="8"/>
  <c r="AC12" i="7"/>
  <c r="AC13" i="7"/>
  <c r="AC14" i="7"/>
  <c r="AC15" i="7"/>
  <c r="AC16" i="7"/>
  <c r="AC17" i="7"/>
  <c r="AC19" i="7"/>
  <c r="AC22" i="7"/>
  <c r="AC23" i="7"/>
  <c r="AC24" i="7"/>
  <c r="AC25" i="7"/>
  <c r="AC40" i="7"/>
  <c r="AC42" i="7"/>
  <c r="AC45" i="7"/>
  <c r="AC12" i="6"/>
  <c r="AC13" i="6"/>
  <c r="AC14" i="6"/>
  <c r="AC15" i="6"/>
  <c r="AC16" i="6"/>
  <c r="AC17" i="6"/>
  <c r="AC19" i="6"/>
  <c r="AC22" i="6"/>
  <c r="AC23" i="6"/>
  <c r="AC24" i="6"/>
  <c r="AC25" i="6"/>
  <c r="AC40" i="6"/>
  <c r="AC42" i="6"/>
  <c r="AC45" i="6"/>
  <c r="AC12" i="5"/>
  <c r="AC13" i="5"/>
  <c r="AC14" i="5"/>
  <c r="AC15" i="5"/>
  <c r="AC16" i="5"/>
  <c r="AC17" i="5"/>
  <c r="AC19" i="5"/>
  <c r="AC22" i="5"/>
  <c r="AC23" i="5"/>
  <c r="AC24" i="5"/>
  <c r="AC25" i="5"/>
  <c r="AC40" i="5"/>
  <c r="AC42" i="5"/>
  <c r="AC45" i="5"/>
  <c r="AC12" i="4"/>
  <c r="AC13" i="4"/>
  <c r="AC14" i="4"/>
  <c r="AC15" i="4"/>
  <c r="AC16" i="4"/>
  <c r="AC17" i="4"/>
  <c r="AC19" i="4"/>
  <c r="AC22" i="4"/>
  <c r="AC23" i="4"/>
  <c r="AC24" i="4"/>
  <c r="AC25" i="4"/>
  <c r="AC40" i="4"/>
  <c r="AC42" i="4"/>
  <c r="AC45" i="4"/>
  <c r="AC12" i="3"/>
  <c r="AC13" i="3"/>
  <c r="AC14" i="3"/>
  <c r="AC15" i="3"/>
  <c r="AC16" i="3"/>
  <c r="AC17" i="3"/>
  <c r="AC19" i="3"/>
  <c r="AC22" i="3"/>
  <c r="AC23" i="3"/>
  <c r="AC24" i="3"/>
  <c r="AC25" i="3"/>
  <c r="AC40" i="3"/>
  <c r="AC42" i="3"/>
  <c r="AC45" i="3"/>
  <c r="AC12" i="2"/>
  <c r="AC13" i="2"/>
  <c r="AC14" i="2"/>
  <c r="AC15" i="2"/>
  <c r="AC16" i="2"/>
  <c r="AC17" i="2"/>
  <c r="AC19" i="2"/>
  <c r="AC22" i="2"/>
  <c r="AC23" i="2"/>
  <c r="AC24" i="2"/>
  <c r="AC25" i="2"/>
  <c r="AC40" i="2"/>
  <c r="AC42" i="2"/>
  <c r="AC45" i="2"/>
  <c r="AC12" i="1"/>
  <c r="AC13" i="1"/>
  <c r="AC14" i="1"/>
  <c r="AC15" i="1"/>
  <c r="AC16" i="1"/>
  <c r="AC17" i="1"/>
  <c r="AC19" i="1"/>
  <c r="AC22" i="1"/>
  <c r="AC23" i="1"/>
  <c r="AC24" i="1"/>
  <c r="AC25" i="1"/>
  <c r="AC40" i="1"/>
  <c r="AC42" i="1"/>
  <c r="AC45" i="1"/>
  <c r="AC12" i="11"/>
  <c r="AC13" i="11"/>
  <c r="AC14" i="11"/>
  <c r="AC15" i="11"/>
  <c r="AC16" i="11"/>
  <c r="AC17" i="11"/>
  <c r="AC19" i="11"/>
  <c r="AC22" i="11"/>
  <c r="AC23" i="11"/>
  <c r="AC24" i="11"/>
  <c r="AC25" i="11"/>
  <c r="AC40" i="11"/>
  <c r="AC42" i="11"/>
  <c r="AC45" i="11"/>
  <c r="AC10" i="10"/>
  <c r="AC10" i="9"/>
  <c r="AC10" i="8"/>
  <c r="AC10" i="7"/>
  <c r="AC10" i="6"/>
  <c r="AC10" i="5"/>
  <c r="AC10" i="4"/>
  <c r="AC10" i="3"/>
  <c r="AC10" i="2"/>
  <c r="AC10" i="1"/>
  <c r="AC10" i="11"/>
  <c r="AQ56" i="13" l="1"/>
  <c r="AQ57" i="13"/>
  <c r="AE47" i="6"/>
  <c r="AE39" i="6"/>
  <c r="AE26" i="6"/>
  <c r="AE32" i="6"/>
  <c r="AE34" i="6"/>
  <c r="AE31" i="6"/>
  <c r="AE27" i="6"/>
  <c r="AE33" i="6"/>
  <c r="AE35" i="6"/>
  <c r="AE36" i="6"/>
  <c r="AE37" i="6"/>
  <c r="AE46" i="6"/>
  <c r="AE38" i="6"/>
  <c r="AE48" i="6"/>
  <c r="AE51" i="6"/>
  <c r="AE51" i="9"/>
  <c r="AE39" i="9"/>
  <c r="AE31" i="9"/>
  <c r="AE27" i="9"/>
  <c r="AE38" i="9"/>
  <c r="AE33" i="9"/>
  <c r="AE32" i="9"/>
  <c r="AE47" i="9"/>
  <c r="AE34" i="9"/>
  <c r="AE35" i="9"/>
  <c r="AE36" i="9"/>
  <c r="AE37" i="9"/>
  <c r="AE46" i="9"/>
  <c r="AE26" i="9"/>
  <c r="AE48" i="9"/>
  <c r="AE33" i="7"/>
  <c r="AE32" i="7"/>
  <c r="AE35" i="7"/>
  <c r="AE34" i="7"/>
  <c r="AE38" i="7"/>
  <c r="AE51" i="7"/>
  <c r="AE26" i="7"/>
  <c r="AE36" i="7"/>
  <c r="AE37" i="7"/>
  <c r="AE39" i="7"/>
  <c r="AE31" i="7"/>
  <c r="AE46" i="7"/>
  <c r="AE47" i="7"/>
  <c r="AE48" i="7"/>
  <c r="AE27" i="7"/>
  <c r="AE34" i="8"/>
  <c r="AE27" i="8"/>
  <c r="AE36" i="8"/>
  <c r="AE39" i="8"/>
  <c r="AE31" i="8"/>
  <c r="AE33" i="8"/>
  <c r="AE35" i="8"/>
  <c r="AE46" i="8"/>
  <c r="AE37" i="8"/>
  <c r="AE47" i="8"/>
  <c r="AE48" i="8"/>
  <c r="AE32" i="8"/>
  <c r="AE38" i="8"/>
  <c r="AE26" i="8"/>
  <c r="AE51" i="8"/>
  <c r="AE31" i="4"/>
  <c r="AE48" i="4"/>
  <c r="AE27" i="4"/>
  <c r="AE33" i="4"/>
  <c r="AE47" i="4"/>
  <c r="AE35" i="4"/>
  <c r="AE26" i="4"/>
  <c r="AE51" i="4"/>
  <c r="AE32" i="4"/>
  <c r="AE46" i="4"/>
  <c r="AE39" i="4"/>
  <c r="AE37" i="4"/>
  <c r="AE34" i="4"/>
  <c r="AE38" i="4"/>
  <c r="AE36" i="4"/>
  <c r="AE33" i="5"/>
  <c r="AE27" i="5"/>
  <c r="AE47" i="5"/>
  <c r="AE35" i="5"/>
  <c r="AE32" i="5"/>
  <c r="AE37" i="5"/>
  <c r="AE34" i="5"/>
  <c r="AE46" i="5"/>
  <c r="AE36" i="5"/>
  <c r="AE48" i="5"/>
  <c r="AE26" i="5"/>
  <c r="AE39" i="5"/>
  <c r="AE38" i="5"/>
  <c r="AE31" i="5"/>
  <c r="AE51" i="5"/>
  <c r="AE51" i="2"/>
  <c r="AE35" i="2"/>
  <c r="AE33" i="2"/>
  <c r="AE39" i="2"/>
  <c r="AE48" i="2"/>
  <c r="AE36" i="2"/>
  <c r="AE32" i="2"/>
  <c r="AE26" i="2"/>
  <c r="AE34" i="2"/>
  <c r="AE46" i="2"/>
  <c r="AE27" i="2"/>
  <c r="AE47" i="2"/>
  <c r="AE37" i="2"/>
  <c r="AE31" i="2"/>
  <c r="AE38" i="2"/>
  <c r="AE33" i="11"/>
  <c r="AE34" i="11"/>
  <c r="AE35" i="11"/>
  <c r="AE46" i="11"/>
  <c r="AE39" i="11"/>
  <c r="AE51" i="11"/>
  <c r="AE47" i="11"/>
  <c r="AE32" i="11"/>
  <c r="AE48" i="11"/>
  <c r="AE31" i="11"/>
  <c r="AE26" i="11"/>
  <c r="AE36" i="11"/>
  <c r="AE27" i="11"/>
  <c r="AE38" i="11"/>
  <c r="AE37" i="11"/>
  <c r="AE51" i="10"/>
  <c r="AE35" i="10"/>
  <c r="AE27" i="10"/>
  <c r="AE37" i="10"/>
  <c r="AE38" i="10"/>
  <c r="AE33" i="10"/>
  <c r="AE46" i="10"/>
  <c r="AE31" i="10"/>
  <c r="AE48" i="10"/>
  <c r="AE36" i="10"/>
  <c r="AE39" i="10"/>
  <c r="AE26" i="10"/>
  <c r="AE47" i="10"/>
  <c r="AE32" i="10"/>
  <c r="AE34" i="10"/>
  <c r="AE47" i="1"/>
  <c r="AE27" i="1"/>
  <c r="AE26" i="1"/>
  <c r="AE31" i="1"/>
  <c r="AE39" i="1"/>
  <c r="AE35" i="1"/>
  <c r="AE38" i="1"/>
  <c r="AE32" i="1"/>
  <c r="AE34" i="1"/>
  <c r="AE51" i="1"/>
  <c r="AE33" i="1"/>
  <c r="AE46" i="1"/>
  <c r="AE37" i="1"/>
  <c r="AE36" i="1"/>
  <c r="AE27" i="3"/>
  <c r="AE34" i="3"/>
  <c r="AE36" i="3"/>
  <c r="AE31" i="3"/>
  <c r="AE37" i="3"/>
  <c r="AE38" i="3"/>
  <c r="AE47" i="3"/>
  <c r="AE32" i="3"/>
  <c r="AE48" i="3"/>
  <c r="AE46" i="3"/>
  <c r="AE33" i="3"/>
  <c r="AE39" i="3"/>
  <c r="AE35" i="3"/>
  <c r="AE51" i="3"/>
  <c r="AE26" i="3"/>
  <c r="Q17" i="13"/>
  <c r="W17" i="13"/>
  <c r="Z17" i="13"/>
  <c r="AF17" i="13"/>
  <c r="AL17" i="13"/>
  <c r="AQ47" i="13" l="1"/>
  <c r="AQ26" i="13"/>
  <c r="AQ21" i="13"/>
  <c r="AQ17" i="13"/>
  <c r="AQ24" i="13"/>
  <c r="AQ23" i="13"/>
  <c r="AQ32" i="13"/>
  <c r="AQ20" i="13"/>
  <c r="AQ52" i="13"/>
  <c r="AQ31" i="13"/>
  <c r="AQ19" i="13"/>
  <c r="AQ30" i="13"/>
  <c r="AQ22" i="13"/>
  <c r="AD20" i="5"/>
  <c r="AD11" i="5"/>
  <c r="AD20" i="9"/>
  <c r="AD11" i="9"/>
  <c r="AD20" i="7"/>
  <c r="AD11" i="7"/>
  <c r="AD20" i="4"/>
  <c r="AD11" i="4"/>
  <c r="AD20" i="8"/>
  <c r="AD11" i="8"/>
  <c r="AQ27" i="13" l="1"/>
  <c r="AQ18" i="13"/>
  <c r="AQ28" i="13"/>
  <c r="AQ29" i="13"/>
  <c r="AE11" i="9"/>
  <c r="AE20" i="9"/>
  <c r="AE20" i="7"/>
  <c r="AE11" i="7"/>
  <c r="AE11" i="8"/>
  <c r="AE20" i="8"/>
  <c r="AE11" i="4"/>
  <c r="AE20" i="4"/>
  <c r="AE20" i="5"/>
  <c r="AE11" i="5"/>
  <c r="AD13" i="2"/>
  <c r="AD15" i="2"/>
  <c r="AD17" i="2"/>
  <c r="AD23" i="2"/>
  <c r="AD25" i="2"/>
  <c r="AD42" i="2"/>
  <c r="AD45" i="2"/>
  <c r="AD12" i="3"/>
  <c r="AD14" i="3"/>
  <c r="AD16" i="3"/>
  <c r="AD19" i="3"/>
  <c r="AD22" i="3"/>
  <c r="AD24" i="3"/>
  <c r="AD40" i="3"/>
  <c r="AD13" i="4"/>
  <c r="AD15" i="4"/>
  <c r="AD17" i="4"/>
  <c r="AD23" i="4"/>
  <c r="AD25" i="4"/>
  <c r="AD42" i="4"/>
  <c r="AD45" i="4"/>
  <c r="AD12" i="5"/>
  <c r="AD14" i="5"/>
  <c r="AD16" i="5"/>
  <c r="AD19" i="5"/>
  <c r="AD22" i="5"/>
  <c r="AD24" i="5"/>
  <c r="AD40" i="5"/>
  <c r="AD13" i="6"/>
  <c r="AD15" i="6"/>
  <c r="AD17" i="6"/>
  <c r="AD23" i="6"/>
  <c r="AD25" i="6"/>
  <c r="AD42" i="6"/>
  <c r="AD45" i="6"/>
  <c r="AD12" i="7"/>
  <c r="AD14" i="7"/>
  <c r="AD16" i="7"/>
  <c r="AD19" i="7"/>
  <c r="AD22" i="7"/>
  <c r="AD24" i="7"/>
  <c r="AD40" i="7"/>
  <c r="AD13" i="8"/>
  <c r="AD15" i="8"/>
  <c r="AD17" i="8"/>
  <c r="AD23" i="8"/>
  <c r="AD25" i="8"/>
  <c r="AD42" i="8"/>
  <c r="AD45" i="8"/>
  <c r="AD12" i="9"/>
  <c r="AD14" i="9"/>
  <c r="AD16" i="9"/>
  <c r="AD19" i="9"/>
  <c r="AD22" i="9"/>
  <c r="AD24" i="9"/>
  <c r="AD40" i="9"/>
  <c r="AD13" i="10"/>
  <c r="AD15" i="10"/>
  <c r="AD17" i="10"/>
  <c r="AD23" i="10"/>
  <c r="AD25" i="10"/>
  <c r="AD42" i="10"/>
  <c r="AD45" i="10"/>
  <c r="AD12" i="11"/>
  <c r="AD14" i="11"/>
  <c r="AD16" i="11"/>
  <c r="AD19" i="11"/>
  <c r="AD22" i="11"/>
  <c r="AD24" i="11"/>
  <c r="AD40" i="11"/>
  <c r="AD12" i="2"/>
  <c r="AD14" i="2"/>
  <c r="AD16" i="2"/>
  <c r="AD19" i="2"/>
  <c r="AD22" i="2"/>
  <c r="AD24" i="2"/>
  <c r="AD40" i="2"/>
  <c r="AD13" i="3"/>
  <c r="AD15" i="3"/>
  <c r="AD17" i="3"/>
  <c r="AD23" i="3"/>
  <c r="AD25" i="3"/>
  <c r="AD42" i="3"/>
  <c r="AD45" i="3"/>
  <c r="AD12" i="4"/>
  <c r="AD14" i="4"/>
  <c r="AD16" i="4"/>
  <c r="AD19" i="4"/>
  <c r="AD22" i="4"/>
  <c r="AD24" i="4"/>
  <c r="AD40" i="4"/>
  <c r="AD13" i="5"/>
  <c r="AD15" i="5"/>
  <c r="AD17" i="5"/>
  <c r="AD23" i="5"/>
  <c r="AD25" i="5"/>
  <c r="AD42" i="5"/>
  <c r="AD45" i="5"/>
  <c r="AD12" i="6"/>
  <c r="AD14" i="6"/>
  <c r="AD16" i="6"/>
  <c r="AD19" i="6"/>
  <c r="AD22" i="6"/>
  <c r="AD24" i="6"/>
  <c r="AD40" i="6"/>
  <c r="AD13" i="7"/>
  <c r="AD15" i="7"/>
  <c r="AD17" i="7"/>
  <c r="AD23" i="7"/>
  <c r="AD25" i="7"/>
  <c r="AD42" i="7"/>
  <c r="AD45" i="7"/>
  <c r="AD12" i="8"/>
  <c r="AD14" i="8"/>
  <c r="AD16" i="8"/>
  <c r="AD19" i="8"/>
  <c r="AD22" i="8"/>
  <c r="AD24" i="8"/>
  <c r="AD40" i="8"/>
  <c r="AD13" i="9"/>
  <c r="AD15" i="9"/>
  <c r="AD17" i="9"/>
  <c r="AD23" i="9"/>
  <c r="AD25" i="9"/>
  <c r="AD42" i="9"/>
  <c r="AD45" i="9"/>
  <c r="AD12" i="10"/>
  <c r="AD14" i="10"/>
  <c r="AD16" i="10"/>
  <c r="AD19" i="10"/>
  <c r="AD22" i="10"/>
  <c r="AD24" i="10"/>
  <c r="AD40" i="10"/>
  <c r="AD13" i="11"/>
  <c r="AD15" i="11"/>
  <c r="AD17" i="11"/>
  <c r="AD23" i="11"/>
  <c r="AD25" i="11"/>
  <c r="AD42" i="11"/>
  <c r="AD45" i="11"/>
  <c r="AD10" i="4"/>
  <c r="AD10" i="6"/>
  <c r="AD10" i="8"/>
  <c r="AD10" i="10"/>
  <c r="AD10" i="2"/>
  <c r="AD10" i="3"/>
  <c r="AD10" i="5"/>
  <c r="AD10" i="7"/>
  <c r="AD10" i="9"/>
  <c r="AD10" i="11"/>
  <c r="AE45" i="6" l="1"/>
  <c r="AE42" i="6"/>
  <c r="AE12" i="6"/>
  <c r="AE40" i="6"/>
  <c r="AE25" i="6"/>
  <c r="AE24" i="6"/>
  <c r="AE17" i="6"/>
  <c r="AE23" i="6"/>
  <c r="AE19" i="6"/>
  <c r="AE15" i="6"/>
  <c r="AE22" i="6"/>
  <c r="AE16" i="6"/>
  <c r="AE13" i="6"/>
  <c r="AE14" i="6"/>
  <c r="AE10" i="6"/>
  <c r="AE45" i="9"/>
  <c r="AE40" i="9"/>
  <c r="AE24" i="9"/>
  <c r="AE25" i="9"/>
  <c r="AE22" i="9"/>
  <c r="AE19" i="9"/>
  <c r="AE16" i="9"/>
  <c r="AE23" i="9"/>
  <c r="AE15" i="9"/>
  <c r="AE14" i="9"/>
  <c r="AE42" i="9"/>
  <c r="AE17" i="9"/>
  <c r="AE13" i="9"/>
  <c r="AE12" i="9"/>
  <c r="AE10" i="9"/>
  <c r="AE15" i="7"/>
  <c r="AE14" i="7"/>
  <c r="AE13" i="7"/>
  <c r="AE12" i="7"/>
  <c r="AE23" i="7"/>
  <c r="AE16" i="7"/>
  <c r="AE45" i="7"/>
  <c r="AE40" i="7"/>
  <c r="AE42" i="7"/>
  <c r="AE24" i="7"/>
  <c r="AE19" i="7"/>
  <c r="AE17" i="7"/>
  <c r="AE10" i="7"/>
  <c r="AE25" i="7"/>
  <c r="AE22" i="7"/>
  <c r="AE12" i="8"/>
  <c r="AE42" i="8"/>
  <c r="AE25" i="8"/>
  <c r="AE24" i="8"/>
  <c r="AE23" i="8"/>
  <c r="AE22" i="8"/>
  <c r="AE17" i="8"/>
  <c r="AE19" i="8"/>
  <c r="AE15" i="8"/>
  <c r="AE45" i="8"/>
  <c r="AE40" i="8"/>
  <c r="AE16" i="8"/>
  <c r="AE13" i="8"/>
  <c r="AE10" i="8"/>
  <c r="AE14" i="8"/>
  <c r="AE22" i="4"/>
  <c r="AE15" i="4"/>
  <c r="AE16" i="4"/>
  <c r="AE13" i="4"/>
  <c r="AE14" i="4"/>
  <c r="AE45" i="4"/>
  <c r="AE19" i="4"/>
  <c r="AE12" i="4"/>
  <c r="AE10" i="4"/>
  <c r="AE42" i="4"/>
  <c r="AE17" i="4"/>
  <c r="AE40" i="4"/>
  <c r="AE25" i="4"/>
  <c r="AE24" i="4"/>
  <c r="AE23" i="4"/>
  <c r="AE45" i="5"/>
  <c r="AE40" i="5"/>
  <c r="AE24" i="5"/>
  <c r="AE42" i="5"/>
  <c r="AE10" i="5"/>
  <c r="AE25" i="5"/>
  <c r="AE22" i="5"/>
  <c r="AE23" i="5"/>
  <c r="AE19" i="5"/>
  <c r="AE17" i="5"/>
  <c r="AE16" i="5"/>
  <c r="AE14" i="5"/>
  <c r="AE15" i="5"/>
  <c r="AE13" i="5"/>
  <c r="AE12" i="5"/>
  <c r="AE10" i="2"/>
  <c r="AE19" i="2"/>
  <c r="AE15" i="2"/>
  <c r="AE24" i="2"/>
  <c r="AE22" i="2"/>
  <c r="AE17" i="2"/>
  <c r="AE16" i="2"/>
  <c r="AE13" i="2"/>
  <c r="AE23" i="2"/>
  <c r="AE14" i="2"/>
  <c r="AE42" i="2"/>
  <c r="AE12" i="2"/>
  <c r="AE45" i="2"/>
  <c r="AE40" i="2"/>
  <c r="AE25" i="2"/>
  <c r="AE23" i="11"/>
  <c r="AE19" i="11"/>
  <c r="AE17" i="11"/>
  <c r="AE16" i="11"/>
  <c r="AE14" i="11"/>
  <c r="AE22" i="11"/>
  <c r="AE13" i="11"/>
  <c r="AE12" i="11"/>
  <c r="AE25" i="11"/>
  <c r="AE15" i="11"/>
  <c r="AE10" i="11"/>
  <c r="AE40" i="11"/>
  <c r="AE45" i="11"/>
  <c r="AE42" i="11"/>
  <c r="AE24" i="11"/>
  <c r="AE24" i="10"/>
  <c r="AE23" i="10"/>
  <c r="AE19" i="10"/>
  <c r="AE17" i="10"/>
  <c r="AE22" i="10"/>
  <c r="AE10" i="10"/>
  <c r="AE16" i="10"/>
  <c r="AE15" i="10"/>
  <c r="AE14" i="10"/>
  <c r="AE13" i="10"/>
  <c r="AE12" i="10"/>
  <c r="AE45" i="10"/>
  <c r="AE40" i="10"/>
  <c r="AE42" i="10"/>
  <c r="AE25" i="10"/>
  <c r="AE25" i="3"/>
  <c r="AE19" i="3"/>
  <c r="AE17" i="3"/>
  <c r="AE16" i="3"/>
  <c r="AE15" i="3"/>
  <c r="AE14" i="3"/>
  <c r="AE13" i="3"/>
  <c r="AE12" i="3"/>
  <c r="AE10" i="3"/>
  <c r="AE45" i="3"/>
  <c r="AE40" i="3"/>
  <c r="AE23" i="3"/>
  <c r="AE42" i="3"/>
  <c r="AE24" i="3"/>
  <c r="AE22" i="3"/>
  <c r="AV29" i="13"/>
  <c r="AD40" i="1"/>
  <c r="AD25" i="1"/>
  <c r="AD22" i="1"/>
  <c r="AD16" i="1"/>
  <c r="AD14" i="1"/>
  <c r="AD42" i="1"/>
  <c r="AD24" i="1"/>
  <c r="AD19" i="1"/>
  <c r="AD15" i="1"/>
  <c r="AD13" i="1"/>
  <c r="AD12" i="1"/>
  <c r="AE12" i="1" l="1"/>
  <c r="AE22" i="1"/>
  <c r="AE16" i="1"/>
  <c r="AE15" i="1"/>
  <c r="AE40" i="1"/>
  <c r="AE13" i="1"/>
  <c r="AE25" i="1"/>
  <c r="AE24" i="1"/>
  <c r="AE19" i="1"/>
  <c r="AE42" i="1"/>
  <c r="AE14" i="1"/>
  <c r="AD23" i="1"/>
  <c r="AD45" i="1"/>
  <c r="AD17" i="1"/>
  <c r="AE17" i="1" l="1"/>
  <c r="AE45" i="1"/>
  <c r="AE23" i="1"/>
  <c r="AD10" i="1"/>
  <c r="AE10" i="1" l="1"/>
</calcChain>
</file>

<file path=xl/comments1.xml><?xml version="1.0" encoding="utf-8"?>
<comments xmlns="http://schemas.openxmlformats.org/spreadsheetml/2006/main">
  <authors>
    <author>Operadores</author>
  </authors>
  <commentList>
    <comment ref="B63" authorId="0" shapeId="0">
      <text>
        <r>
          <rPr>
            <b/>
            <sz val="9"/>
            <color indexed="81"/>
            <rFont val="Tahoma"/>
            <family val="2"/>
          </rPr>
          <t>Operadores: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Operadores</author>
  </authors>
  <commentList>
    <comment ref="B63" authorId="0" shapeId="0">
      <text>
        <r>
          <rPr>
            <b/>
            <sz val="9"/>
            <color indexed="81"/>
            <rFont val="Tahoma"/>
            <family val="2"/>
          </rPr>
          <t>Operadores: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<sst xmlns="http://schemas.openxmlformats.org/spreadsheetml/2006/main" count="1540" uniqueCount="149">
  <si>
    <t>Nome do (a) Aluno (a)</t>
  </si>
  <si>
    <t xml:space="preserve">MFD </t>
  </si>
  <si>
    <t>MF</t>
  </si>
  <si>
    <t>OBS</t>
  </si>
  <si>
    <t>MAC</t>
  </si>
  <si>
    <t>NPP</t>
  </si>
  <si>
    <t>NPT</t>
  </si>
  <si>
    <t>MT1</t>
  </si>
  <si>
    <t>MT2</t>
  </si>
  <si>
    <t>MT3</t>
  </si>
  <si>
    <t>O Subdirector Pedagógico</t>
  </si>
  <si>
    <t>_____________________________</t>
  </si>
  <si>
    <t>ALBERTO SASSA TATI</t>
  </si>
  <si>
    <r>
      <t>Classe: 12</t>
    </r>
    <r>
      <rPr>
        <b/>
        <sz val="12"/>
        <color indexed="8"/>
        <rFont val="Bernard MT Condensed"/>
        <family val="1"/>
      </rPr>
      <t>ª</t>
    </r>
  </si>
  <si>
    <r>
      <t xml:space="preserve">Ano Lectivo: </t>
    </r>
    <r>
      <rPr>
        <b/>
        <sz val="12"/>
        <color indexed="8"/>
        <rFont val="Bernard MT Condensed"/>
        <family val="1"/>
      </rPr>
      <t>2021/2022</t>
    </r>
  </si>
  <si>
    <t>FALTAS</t>
  </si>
  <si>
    <r>
      <t>N</t>
    </r>
    <r>
      <rPr>
        <b/>
        <sz val="11"/>
        <color indexed="8"/>
        <rFont val="Agency FB"/>
        <family val="2"/>
      </rPr>
      <t>º</t>
    </r>
  </si>
  <si>
    <t>J</t>
  </si>
  <si>
    <t>I</t>
  </si>
  <si>
    <r>
      <t xml:space="preserve">Turno: </t>
    </r>
    <r>
      <rPr>
        <b/>
        <sz val="12"/>
        <color indexed="8"/>
        <rFont val="Bernard MT Condensed"/>
        <family val="1"/>
      </rPr>
      <t>Vespertino</t>
    </r>
  </si>
  <si>
    <t>EXAME ESCRITO</t>
  </si>
  <si>
    <t xml:space="preserve">             INSTITUTO TÉCNICO PRIVADO DE SAÚDE JOMORAIS</t>
  </si>
  <si>
    <t>Avaliações/I Trimestre</t>
  </si>
  <si>
    <t>Avaliações/II Trimestre</t>
  </si>
  <si>
    <t>Avaliações/III Trimestre</t>
  </si>
  <si>
    <t>MINI-PAUTA - SAÚDE</t>
  </si>
  <si>
    <r>
      <t xml:space="preserve">Disciplina: </t>
    </r>
    <r>
      <rPr>
        <b/>
        <sz val="12"/>
        <color indexed="8"/>
        <rFont val="Bernard MT Condensed"/>
        <family val="1"/>
      </rPr>
      <t xml:space="preserve"> Saúde Mental</t>
    </r>
  </si>
  <si>
    <r>
      <t xml:space="preserve">Disciplina: </t>
    </r>
    <r>
      <rPr>
        <b/>
        <sz val="12"/>
        <color indexed="8"/>
        <rFont val="Bernard MT Condensed"/>
        <family val="1"/>
      </rPr>
      <t xml:space="preserve"> FARMACOLOGIA A.E</t>
    </r>
  </si>
  <si>
    <r>
      <t xml:space="preserve">Disciplina: </t>
    </r>
    <r>
      <rPr>
        <b/>
        <sz val="12"/>
        <color indexed="8"/>
        <rFont val="Bernard MT Condensed"/>
        <family val="1"/>
      </rPr>
      <t xml:space="preserve"> Epidemiologia e Estatística</t>
    </r>
  </si>
  <si>
    <r>
      <t xml:space="preserve">Disciplina: </t>
    </r>
    <r>
      <rPr>
        <b/>
        <sz val="12"/>
        <color indexed="8"/>
        <rFont val="Bernard MT Condensed"/>
        <family val="1"/>
      </rPr>
      <t xml:space="preserve"> Nutrição e Dietética</t>
    </r>
  </si>
  <si>
    <r>
      <t xml:space="preserve">Disciplina: </t>
    </r>
    <r>
      <rPr>
        <b/>
        <sz val="12"/>
        <color indexed="8"/>
        <rFont val="Bernard MT Condensed"/>
        <family val="1"/>
      </rPr>
      <t xml:space="preserve"> A.E.P.M.C</t>
    </r>
  </si>
  <si>
    <r>
      <t xml:space="preserve">Disciplina: </t>
    </r>
    <r>
      <rPr>
        <b/>
        <sz val="12"/>
        <color indexed="8"/>
        <rFont val="Bernard MT Condensed"/>
        <family val="1"/>
      </rPr>
      <t xml:space="preserve"> Técnica de Enfermagem</t>
    </r>
  </si>
  <si>
    <r>
      <t xml:space="preserve">Disciplina: </t>
    </r>
    <r>
      <rPr>
        <b/>
        <sz val="12"/>
        <color indexed="8"/>
        <rFont val="Bernard MT Condensed"/>
        <family val="1"/>
      </rPr>
      <t xml:space="preserve"> Saúde da Mulher</t>
    </r>
  </si>
  <si>
    <r>
      <t xml:space="preserve">Disciplina: </t>
    </r>
    <r>
      <rPr>
        <b/>
        <sz val="12"/>
        <color indexed="8"/>
        <rFont val="Bernard MT Condensed"/>
        <family val="1"/>
      </rPr>
      <t xml:space="preserve"> Saúde da Criança</t>
    </r>
  </si>
  <si>
    <r>
      <t xml:space="preserve">Disciplina: </t>
    </r>
    <r>
      <rPr>
        <b/>
        <sz val="12"/>
        <color indexed="8"/>
        <rFont val="Bernard MT Condensed"/>
        <family val="1"/>
      </rPr>
      <t xml:space="preserve"> Urgência e Emergência</t>
    </r>
  </si>
  <si>
    <r>
      <t xml:space="preserve">Disciplina: </t>
    </r>
    <r>
      <rPr>
        <b/>
        <sz val="12"/>
        <color indexed="8"/>
        <rFont val="Bernard MT Condensed"/>
        <family val="1"/>
      </rPr>
      <t xml:space="preserve"> Projecto Tecnológico</t>
    </r>
  </si>
  <si>
    <r>
      <t xml:space="preserve">Disciplina: </t>
    </r>
    <r>
      <rPr>
        <b/>
        <sz val="12"/>
        <color indexed="8"/>
        <rFont val="Bernard MT Condensed"/>
        <family val="1"/>
      </rPr>
      <t xml:space="preserve"> Gestão em Enfermagem</t>
    </r>
  </si>
  <si>
    <t>NPR1</t>
  </si>
  <si>
    <t>NPR2</t>
  </si>
  <si>
    <t>40% MFD</t>
  </si>
  <si>
    <t>60% NEE</t>
  </si>
  <si>
    <t>O (A) Professor (a)</t>
  </si>
  <si>
    <t>DATA: 15/11/2022</t>
  </si>
  <si>
    <r>
      <t>Curso:</t>
    </r>
    <r>
      <rPr>
        <b/>
        <sz val="12"/>
        <color theme="1"/>
        <rFont val="Bernard MT Condensed"/>
        <family val="1"/>
      </rPr>
      <t>ENFERMAGEM GERAL</t>
    </r>
  </si>
  <si>
    <r>
      <t xml:space="preserve">Curso: </t>
    </r>
    <r>
      <rPr>
        <b/>
        <sz val="12"/>
        <color indexed="8"/>
        <rFont val="Bernard MT Condensed"/>
        <family val="1"/>
      </rPr>
      <t>ENFERMAGEM GERAL</t>
    </r>
  </si>
  <si>
    <t>PAUTA DE APROVEITAMENTO ESCOLAR</t>
  </si>
  <si>
    <r>
      <t xml:space="preserve">ÁREA DE FORMAÇÃO: </t>
    </r>
    <r>
      <rPr>
        <b/>
        <sz val="16"/>
        <color rgb="FF0070C0"/>
        <rFont val="Algerian"/>
        <family val="5"/>
      </rPr>
      <t>SAÚDE</t>
    </r>
  </si>
  <si>
    <t>12ª CLASSE</t>
  </si>
  <si>
    <r>
      <t xml:space="preserve">CURSO: </t>
    </r>
    <r>
      <rPr>
        <b/>
        <sz val="24"/>
        <color rgb="FF0070C0"/>
        <rFont val="Calibri"/>
        <family val="2"/>
        <scheme val="minor"/>
      </rPr>
      <t>ENFERMAGEM GERAL</t>
    </r>
  </si>
  <si>
    <r>
      <rPr>
        <b/>
        <sz val="14"/>
        <color theme="4"/>
        <rFont val="Calibri"/>
        <family val="2"/>
        <scheme val="minor"/>
      </rPr>
      <t>PERÍODO</t>
    </r>
    <r>
      <rPr>
        <b/>
        <sz val="14"/>
        <color rgb="FFFF0000"/>
        <rFont val="Calibri"/>
        <family val="2"/>
        <scheme val="minor"/>
      </rPr>
      <t>: VESPERTINO</t>
    </r>
  </si>
  <si>
    <t>O Director do Instituto</t>
  </si>
  <si>
    <t>MF:</t>
  </si>
  <si>
    <t>________________________________________</t>
  </si>
  <si>
    <t>TURMA:</t>
  </si>
  <si>
    <t>M</t>
  </si>
  <si>
    <r>
      <t>GABRIEL PR</t>
    </r>
    <r>
      <rPr>
        <b/>
        <sz val="14"/>
        <color theme="1"/>
        <rFont val="Calibri"/>
        <family val="2"/>
      </rPr>
      <t>ÓSPERO MABIALA</t>
    </r>
  </si>
  <si>
    <t>F</t>
  </si>
  <si>
    <t>Nº</t>
  </si>
  <si>
    <t>Nº PROC</t>
  </si>
  <si>
    <t>NOME</t>
  </si>
  <si>
    <t>DISCIPLINA A REPETIR</t>
  </si>
  <si>
    <t>S. Mental</t>
  </si>
  <si>
    <t>Epidemiol.</t>
  </si>
  <si>
    <t>F.A.E</t>
  </si>
  <si>
    <t>T. Enfer.</t>
  </si>
  <si>
    <t>A.E.S.M</t>
  </si>
  <si>
    <t>Idade</t>
  </si>
  <si>
    <t>Género</t>
  </si>
  <si>
    <t>DADOS ESTATÍSTICOS</t>
  </si>
  <si>
    <t>MATRICULADOS</t>
  </si>
  <si>
    <t>Desistido/a</t>
  </si>
  <si>
    <t>O Director de Turma</t>
  </si>
  <si>
    <t>_____________________________________</t>
  </si>
  <si>
    <t>ALBERTO SASSA ATI</t>
  </si>
  <si>
    <r>
      <t xml:space="preserve">                            INSTITUTO TÉCNICO PRIVADO DE SA</t>
    </r>
    <r>
      <rPr>
        <b/>
        <sz val="20"/>
        <color theme="1"/>
        <rFont val="Calibri"/>
        <family val="2"/>
      </rPr>
      <t>ÚDE</t>
    </r>
    <r>
      <rPr>
        <b/>
        <sz val="20"/>
        <color theme="1"/>
        <rFont val="Calibri"/>
        <family val="2"/>
        <scheme val="minor"/>
      </rPr>
      <t xml:space="preserve"> JOMORAIS</t>
    </r>
  </si>
  <si>
    <t>Nutrição</t>
  </si>
  <si>
    <t>A.E.S.Ç</t>
  </si>
  <si>
    <t>Urgência</t>
  </si>
  <si>
    <t>Gestão</t>
  </si>
  <si>
    <t>APROVADO/A</t>
  </si>
  <si>
    <t>REPROVADO/A</t>
  </si>
  <si>
    <t>MÉDIA</t>
  </si>
  <si>
    <t>MÁXIMA</t>
  </si>
  <si>
    <t>NOME DO/A ALUNO/A</t>
  </si>
  <si>
    <t>IDADE:</t>
  </si>
  <si>
    <t>MT1º</t>
  </si>
  <si>
    <r>
      <rPr>
        <b/>
        <sz val="14"/>
        <color theme="4"/>
        <rFont val="Calibri"/>
        <family val="2"/>
        <scheme val="minor"/>
      </rPr>
      <t xml:space="preserve">1º </t>
    </r>
    <r>
      <rPr>
        <b/>
        <sz val="14"/>
        <color rgb="FFFF0000"/>
        <rFont val="Calibri"/>
        <family val="2"/>
        <scheme val="minor"/>
      </rPr>
      <t xml:space="preserve">TRIMESTRE </t>
    </r>
  </si>
  <si>
    <t xml:space="preserve"> </t>
  </si>
  <si>
    <t>A</t>
  </si>
  <si>
    <t>AEPMC</t>
  </si>
  <si>
    <t>P.T</t>
  </si>
  <si>
    <r>
      <t>Turma:</t>
    </r>
    <r>
      <rPr>
        <b/>
        <sz val="12"/>
        <color indexed="8"/>
        <rFont val="Bernard MT Condensed"/>
        <family val="1"/>
      </rPr>
      <t xml:space="preserve"> A</t>
    </r>
  </si>
  <si>
    <t>Madalena Simba Pemba Miguel</t>
  </si>
  <si>
    <t>TRANSITA</t>
  </si>
  <si>
    <t>DATA DO CONSELHO DE TURMA______/______/2025</t>
  </si>
  <si>
    <t>DATA______/______/2025</t>
  </si>
  <si>
    <t>S. Colect.</t>
  </si>
  <si>
    <t>EDSON DE OLIVEIRA</t>
  </si>
  <si>
    <r>
      <rPr>
        <b/>
        <sz val="14"/>
        <color theme="4"/>
        <rFont val="Calibri"/>
        <family val="2"/>
        <scheme val="minor"/>
      </rPr>
      <t>ANO LECTIVO</t>
    </r>
    <r>
      <rPr>
        <b/>
        <sz val="14"/>
        <color theme="1"/>
        <rFont val="Calibri"/>
        <family val="2"/>
        <scheme val="minor"/>
      </rPr>
      <t xml:space="preserve">: </t>
    </r>
    <r>
      <rPr>
        <b/>
        <sz val="14"/>
        <color rgb="FFFF0000"/>
        <rFont val="Calibri"/>
        <family val="2"/>
        <scheme val="minor"/>
      </rPr>
      <t>2025/2026</t>
    </r>
  </si>
  <si>
    <t>Alberto Filipe Massiala</t>
  </si>
  <si>
    <t>Aldina Marta Mavungo Cumbo</t>
  </si>
  <si>
    <t>Alice Malonda Lubota Macaia</t>
  </si>
  <si>
    <t>Angelina Kambo Macosso</t>
  </si>
  <si>
    <t>Belma Da C. Ngaca Bernardo</t>
  </si>
  <si>
    <t>Carolina Teresa Joana Chingui</t>
  </si>
  <si>
    <t>Celma Cecília Macaia Gomes</t>
  </si>
  <si>
    <t>Dádiva Ermelinda Gabriel Barros</t>
  </si>
  <si>
    <t>Dina De Lourdes Massala</t>
  </si>
  <si>
    <t>Esperança C. Bumba Mabiala</t>
  </si>
  <si>
    <t>Esperança Lando Liumba</t>
  </si>
  <si>
    <t>Ester Mavungo Fuca</t>
  </si>
  <si>
    <t>Eufemia Maria Goma Ventena</t>
  </si>
  <si>
    <t>Eulália Buanga Bembe Alfredo</t>
  </si>
  <si>
    <t>Eva De Araújo Mambo</t>
  </si>
  <si>
    <t>Fátima B. Puila Cassombe</t>
  </si>
  <si>
    <t>Filomena Lelo Tembo Chibuango</t>
  </si>
  <si>
    <t>Helena Da C. Bumba Bilendo</t>
  </si>
  <si>
    <t>Helena Nzuzi Lembe Gimbi</t>
  </si>
  <si>
    <t>Helena Pemba António Brás</t>
  </si>
  <si>
    <t>Isabel Mariana Miala</t>
  </si>
  <si>
    <t>Isabel Nhongo Luambo Estevão</t>
  </si>
  <si>
    <t>Jerónimo Yombe Vemba</t>
  </si>
  <si>
    <t>Joana Dadiva Ndembe Bueia</t>
  </si>
  <si>
    <t>João Sidónio António</t>
  </si>
  <si>
    <t>Jocelma Badila Da Costa</t>
  </si>
  <si>
    <t>José Francisco Malonda Kibodo</t>
  </si>
  <si>
    <t>José Lourenço Muhongo Cassombe</t>
  </si>
  <si>
    <t>Leidy Da Graça Tumba Balo</t>
  </si>
  <si>
    <t>Lídia Pedro Puna</t>
  </si>
  <si>
    <t>Manuela Lopes Moio Capita</t>
  </si>
  <si>
    <t>Maria Da Conceição Buca Yoba</t>
  </si>
  <si>
    <t>Maria Rosa Brás</t>
  </si>
  <si>
    <t>Marta Gabriel Muela</t>
  </si>
  <si>
    <t>Martina Cumba Muendo Nvemba</t>
  </si>
  <si>
    <t>Raimundo Luís Gime Bussaco</t>
  </si>
  <si>
    <t>Rosária Domingas Mangovo</t>
  </si>
  <si>
    <t>Silvia Amada Castelão Morais</t>
  </si>
  <si>
    <t>Teresa Gomes Baza</t>
  </si>
  <si>
    <t>Zulmira Buanga António</t>
  </si>
  <si>
    <r>
      <t xml:space="preserve">Ano Lectivo: </t>
    </r>
    <r>
      <rPr>
        <b/>
        <sz val="12"/>
        <color indexed="8"/>
        <rFont val="Bernard MT Condensed"/>
        <family val="1"/>
      </rPr>
      <t>2025/2026</t>
    </r>
  </si>
  <si>
    <r>
      <t xml:space="preserve">INSTITUTO TÉCNICO PRIVADO DE SAÚDE JOMORAIS, </t>
    </r>
    <r>
      <rPr>
        <b/>
        <sz val="14"/>
        <color theme="1"/>
        <rFont val="Agency FB"/>
        <family val="2"/>
      </rPr>
      <t xml:space="preserve">12 de dezembro de 2025. - </t>
    </r>
  </si>
  <si>
    <r>
      <t xml:space="preserve">Disciplina: </t>
    </r>
    <r>
      <rPr>
        <b/>
        <sz val="12"/>
        <color indexed="8"/>
        <rFont val="Bernard MT Condensed"/>
        <family val="1"/>
      </rPr>
      <t xml:space="preserve"> Saúde Colectiva</t>
    </r>
  </si>
  <si>
    <t>Lúcia Dicuela Bangala Muanda</t>
  </si>
  <si>
    <t>N/TRANSITA</t>
  </si>
  <si>
    <t>Daniel Quendo João</t>
  </si>
  <si>
    <t>DATA DO CONSELHO DE TURMA______/______/2026</t>
  </si>
  <si>
    <t>DATA______/______/2026</t>
  </si>
  <si>
    <r>
      <rPr>
        <b/>
        <sz val="14"/>
        <color theme="4"/>
        <rFont val="Calibri"/>
        <family val="2"/>
        <scheme val="minor"/>
      </rPr>
      <t xml:space="preserve">2º </t>
    </r>
    <r>
      <rPr>
        <b/>
        <sz val="14"/>
        <color rgb="FFFF0000"/>
        <rFont val="Calibri"/>
        <family val="2"/>
        <scheme val="minor"/>
      </rPr>
      <t xml:space="preserve">TRIMESTRE </t>
    </r>
  </si>
  <si>
    <t>MT2º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</si>
</sst>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000000"/>
      <name val="Arial Narrow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Agency FB"/>
      <family val="2"/>
    </font>
    <font>
      <sz val="11"/>
      <color theme="1"/>
      <name val="Agency FB"/>
      <family val="2"/>
    </font>
    <font>
      <sz val="12"/>
      <color theme="1"/>
      <name val="Bernard MT Condensed"/>
      <family val="1"/>
    </font>
    <font>
      <b/>
      <sz val="12"/>
      <color indexed="8"/>
      <name val="Bernard MT Condensed"/>
      <family val="1"/>
    </font>
    <font>
      <sz val="11"/>
      <color theme="1"/>
      <name val="Bernard MT Condensed"/>
      <family val="1"/>
    </font>
    <font>
      <b/>
      <sz val="11"/>
      <color theme="1"/>
      <name val="Agency FB"/>
      <family val="2"/>
    </font>
    <font>
      <b/>
      <sz val="11"/>
      <color indexed="8"/>
      <name val="Agency FB"/>
      <family val="2"/>
    </font>
    <font>
      <b/>
      <sz val="10"/>
      <color theme="1"/>
      <name val="Agency FB"/>
      <family val="2"/>
    </font>
    <font>
      <b/>
      <sz val="12"/>
      <color theme="1"/>
      <name val="Agency FB"/>
      <family val="2"/>
    </font>
    <font>
      <b/>
      <sz val="9"/>
      <color theme="1"/>
      <name val="Agency FB"/>
      <family val="2"/>
    </font>
    <font>
      <sz val="11"/>
      <color rgb="FF000000"/>
      <name val="Agency FB"/>
      <family val="2"/>
    </font>
    <font>
      <sz val="12"/>
      <color rgb="FF000000"/>
      <name val="Agency FB"/>
      <family val="2"/>
    </font>
    <font>
      <b/>
      <sz val="16"/>
      <color theme="1"/>
      <name val="Papyrus"/>
      <family val="4"/>
    </font>
    <font>
      <sz val="16"/>
      <color theme="1"/>
      <name val="Agency FB"/>
      <family val="2"/>
    </font>
    <font>
      <b/>
      <sz val="16"/>
      <color theme="1"/>
      <name val="Agency FB"/>
      <family val="2"/>
    </font>
    <font>
      <b/>
      <sz val="8"/>
      <color theme="1"/>
      <name val="Agency FB"/>
      <family val="2"/>
    </font>
    <font>
      <b/>
      <sz val="18"/>
      <color theme="1"/>
      <name val="Times New Roman"/>
      <family val="1"/>
    </font>
    <font>
      <sz val="14"/>
      <color theme="1"/>
      <name val="Agency FB"/>
      <family val="2"/>
    </font>
    <font>
      <b/>
      <sz val="14"/>
      <color theme="1"/>
      <name val="Agency FB"/>
      <family val="2"/>
    </font>
    <font>
      <sz val="10"/>
      <name val="Arial"/>
      <family val="2"/>
    </font>
    <font>
      <b/>
      <sz val="12"/>
      <color theme="1"/>
      <name val="Bernard MT Condensed"/>
      <family val="1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Arial Rounded MT Bold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Algerian"/>
      <family val="5"/>
    </font>
    <font>
      <b/>
      <sz val="16"/>
      <color rgb="FF0070C0"/>
      <name val="Algerian"/>
      <family val="5"/>
    </font>
    <font>
      <b/>
      <i/>
      <sz val="11"/>
      <color theme="1"/>
      <name val="Agency FB"/>
      <family val="2"/>
    </font>
    <font>
      <b/>
      <sz val="14"/>
      <color rgb="FF0070C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2"/>
      <color theme="1"/>
      <name val="Blackadder ITC"/>
      <family val="5"/>
    </font>
    <font>
      <b/>
      <sz val="14"/>
      <color theme="1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1"/>
      <name val="Century Gothic"/>
      <family val="2"/>
    </font>
    <font>
      <b/>
      <sz val="10"/>
      <color theme="1"/>
      <name val="Century Gothic"/>
      <family val="2"/>
    </font>
    <font>
      <b/>
      <i/>
      <sz val="8"/>
      <color theme="1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rgb="FF000000"/>
      <name val="Arial Narrow"/>
      <family val="2"/>
    </font>
    <font>
      <b/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color theme="1"/>
      <name val="Arial Black"/>
      <family val="2"/>
    </font>
    <font>
      <sz val="11"/>
      <color rgb="FF0070C0"/>
      <name val="Arial Black"/>
      <family val="2"/>
    </font>
    <font>
      <sz val="12"/>
      <color theme="1"/>
      <name val="Arial Narrow"/>
      <family val="2"/>
    </font>
    <font>
      <b/>
      <sz val="10"/>
      <color rgb="FFFF0000"/>
      <name val="Calibri"/>
      <family val="2"/>
      <scheme val="minor"/>
    </font>
    <font>
      <sz val="14"/>
      <color theme="1"/>
      <name val="Blackadder ITC"/>
      <family val="5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rgb="FF0070C0"/>
      <name val="Bernard MT Condensed"/>
      <family val="1"/>
    </font>
    <font>
      <b/>
      <sz val="20"/>
      <color rgb="FF0070C0"/>
      <name val="Calibri"/>
      <family val="2"/>
      <scheme val="minor"/>
    </font>
    <font>
      <sz val="11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0" fontId="29" fillId="0" borderId="0"/>
  </cellStyleXfs>
  <cellXfs count="316">
    <xf numFmtId="0" fontId="0" fillId="0" borderId="0" xfId="0"/>
    <xf numFmtId="0" fontId="3" fillId="0" borderId="0" xfId="0" applyFont="1" applyAlignment="1">
      <alignment horizontal="center" vertical="top"/>
    </xf>
    <xf numFmtId="0" fontId="2" fillId="0" borderId="0" xfId="0" applyFont="1" applyAlignment="1"/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1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164" fontId="7" fillId="0" borderId="0" xfId="0" applyNumberFormat="1" applyFont="1" applyBorder="1" applyAlignment="1">
      <alignment horizontal="center"/>
    </xf>
    <xf numFmtId="164" fontId="8" fillId="0" borderId="0" xfId="0" applyNumberFormat="1" applyFont="1" applyBorder="1"/>
    <xf numFmtId="164" fontId="8" fillId="0" borderId="0" xfId="0" applyNumberFormat="1" applyFont="1" applyBorder="1" applyAlignment="1">
      <alignment horizontal="center"/>
    </xf>
    <xf numFmtId="164" fontId="9" fillId="0" borderId="0" xfId="0" applyNumberFormat="1" applyFont="1" applyBorder="1" applyAlignment="1">
      <alignment horizontal="center"/>
    </xf>
    <xf numFmtId="0" fontId="0" fillId="0" borderId="0" xfId="0" applyBorder="1"/>
    <xf numFmtId="0" fontId="14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2" fillId="0" borderId="0" xfId="0" applyFont="1" applyAlignment="1"/>
    <xf numFmtId="0" fontId="23" fillId="0" borderId="0" xfId="0" applyFont="1" applyAlignment="1">
      <alignment horizontal="center"/>
    </xf>
    <xf numFmtId="0" fontId="23" fillId="0" borderId="0" xfId="0" applyFont="1"/>
    <xf numFmtId="0" fontId="2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27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20" fillId="0" borderId="3" xfId="0" applyFont="1" applyBorder="1" applyAlignment="1">
      <alignment horizontal="center"/>
    </xf>
    <xf numFmtId="164" fontId="20" fillId="0" borderId="3" xfId="0" applyNumberFormat="1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164" fontId="20" fillId="0" borderId="15" xfId="0" applyNumberFormat="1" applyFont="1" applyBorder="1" applyAlignment="1">
      <alignment horizontal="center"/>
    </xf>
    <xf numFmtId="0" fontId="20" fillId="0" borderId="29" xfId="0" applyFont="1" applyBorder="1" applyAlignment="1">
      <alignment horizontal="center"/>
    </xf>
    <xf numFmtId="164" fontId="20" fillId="0" borderId="29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 vertical="top"/>
    </xf>
    <xf numFmtId="0" fontId="18" fillId="0" borderId="16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5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vertical="center" wrapText="1"/>
    </xf>
    <xf numFmtId="0" fontId="20" fillId="0" borderId="33" xfId="0" applyFont="1" applyBorder="1" applyAlignment="1">
      <alignment vertical="center" wrapText="1"/>
    </xf>
    <xf numFmtId="0" fontId="20" fillId="0" borderId="31" xfId="0" applyFont="1" applyBorder="1" applyAlignment="1">
      <alignment vertical="center" wrapText="1"/>
    </xf>
    <xf numFmtId="164" fontId="10" fillId="0" borderId="32" xfId="0" applyNumberFormat="1" applyFont="1" applyBorder="1" applyAlignment="1">
      <alignment horizontal="center"/>
    </xf>
    <xf numFmtId="164" fontId="10" fillId="0" borderId="33" xfId="0" applyNumberFormat="1" applyFont="1" applyBorder="1" applyAlignment="1">
      <alignment horizontal="center"/>
    </xf>
    <xf numFmtId="164" fontId="10" fillId="0" borderId="31" xfId="0" applyNumberFormat="1" applyFont="1" applyBorder="1" applyAlignment="1">
      <alignment horizontal="center"/>
    </xf>
    <xf numFmtId="0" fontId="15" fillId="0" borderId="14" xfId="0" applyFont="1" applyBorder="1" applyAlignment="1">
      <alignment horizontal="center" vertical="center"/>
    </xf>
    <xf numFmtId="0" fontId="20" fillId="0" borderId="25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14" xfId="0" applyFont="1" applyBorder="1" applyAlignment="1">
      <alignment vertical="center" wrapText="1"/>
    </xf>
    <xf numFmtId="164" fontId="10" fillId="0" borderId="25" xfId="0" applyNumberFormat="1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164" fontId="10" fillId="0" borderId="14" xfId="0" applyNumberFormat="1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164" fontId="10" fillId="0" borderId="35" xfId="0" applyNumberFormat="1" applyFont="1" applyBorder="1" applyAlignment="1">
      <alignment horizontal="center"/>
    </xf>
    <xf numFmtId="164" fontId="10" fillId="0" borderId="34" xfId="0" applyNumberFormat="1" applyFont="1" applyBorder="1" applyAlignment="1">
      <alignment horizontal="center"/>
    </xf>
    <xf numFmtId="0" fontId="17" fillId="0" borderId="23" xfId="0" applyFont="1" applyBorder="1" applyAlignment="1">
      <alignment horizontal="center" vertical="top"/>
    </xf>
    <xf numFmtId="0" fontId="17" fillId="0" borderId="24" xfId="0" applyFont="1" applyBorder="1" applyAlignment="1">
      <alignment horizontal="center" vertical="top"/>
    </xf>
    <xf numFmtId="164" fontId="10" fillId="0" borderId="26" xfId="0" applyNumberFormat="1" applyFont="1" applyBorder="1" applyAlignment="1">
      <alignment horizontal="center" vertical="center"/>
    </xf>
    <xf numFmtId="164" fontId="10" fillId="0" borderId="22" xfId="0" applyNumberFormat="1" applyFont="1" applyBorder="1" applyAlignment="1">
      <alignment horizontal="center" vertical="center"/>
    </xf>
    <xf numFmtId="164" fontId="10" fillId="0" borderId="24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3" xfId="0" applyFont="1" applyBorder="1" applyAlignment="1">
      <alignment horizontal="center"/>
    </xf>
    <xf numFmtId="164" fontId="21" fillId="0" borderId="18" xfId="0" applyNumberFormat="1" applyFont="1" applyBorder="1" applyAlignment="1">
      <alignment horizontal="center"/>
    </xf>
    <xf numFmtId="164" fontId="21" fillId="0" borderId="19" xfId="0" applyNumberFormat="1" applyFont="1" applyBorder="1" applyAlignment="1">
      <alignment horizontal="center"/>
    </xf>
    <xf numFmtId="164" fontId="21" fillId="0" borderId="13" xfId="0" applyNumberFormat="1" applyFont="1" applyBorder="1" applyAlignment="1">
      <alignment horizontal="center"/>
    </xf>
    <xf numFmtId="1" fontId="10" fillId="0" borderId="18" xfId="0" applyNumberFormat="1" applyFont="1" applyBorder="1" applyAlignment="1">
      <alignment horizontal="center"/>
    </xf>
    <xf numFmtId="1" fontId="10" fillId="0" borderId="19" xfId="0" applyNumberFormat="1" applyFont="1" applyBorder="1" applyAlignment="1">
      <alignment horizontal="center"/>
    </xf>
    <xf numFmtId="1" fontId="10" fillId="0" borderId="13" xfId="0" applyNumberFormat="1" applyFont="1" applyBorder="1" applyAlignment="1">
      <alignment horizontal="center"/>
    </xf>
    <xf numFmtId="0" fontId="12" fillId="0" borderId="36" xfId="0" applyFont="1" applyBorder="1" applyAlignment="1">
      <alignment horizontal="left"/>
    </xf>
    <xf numFmtId="0" fontId="0" fillId="0" borderId="36" xfId="0" applyBorder="1"/>
    <xf numFmtId="0" fontId="12" fillId="0" borderId="36" xfId="0" applyFont="1" applyBorder="1" applyAlignment="1"/>
    <xf numFmtId="0" fontId="14" fillId="0" borderId="36" xfId="0" applyFont="1" applyBorder="1"/>
    <xf numFmtId="0" fontId="35" fillId="0" borderId="0" xfId="0" applyFont="1" applyAlignment="1">
      <alignment horizontal="left"/>
    </xf>
    <xf numFmtId="0" fontId="40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/>
    <xf numFmtId="0" fontId="11" fillId="0" borderId="0" xfId="0" applyFont="1"/>
    <xf numFmtId="0" fontId="11" fillId="0" borderId="0" xfId="0" applyFont="1" applyAlignment="1">
      <alignment vertical="center"/>
    </xf>
    <xf numFmtId="0" fontId="57" fillId="4" borderId="52" xfId="0" applyFont="1" applyFill="1" applyBorder="1" applyAlignment="1">
      <alignment horizontal="center" vertical="center"/>
    </xf>
    <xf numFmtId="0" fontId="57" fillId="4" borderId="53" xfId="0" applyFont="1" applyFill="1" applyBorder="1" applyAlignment="1">
      <alignment horizontal="center" vertical="center"/>
    </xf>
    <xf numFmtId="0" fontId="57" fillId="0" borderId="54" xfId="0" applyFont="1" applyBorder="1" applyAlignment="1">
      <alignment horizontal="center" vertical="center"/>
    </xf>
    <xf numFmtId="0" fontId="57" fillId="0" borderId="53" xfId="0" applyFont="1" applyBorder="1" applyAlignment="1">
      <alignment horizontal="center" vertical="center"/>
    </xf>
    <xf numFmtId="0" fontId="57" fillId="0" borderId="5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4" borderId="55" xfId="0" applyFont="1" applyFill="1" applyBorder="1" applyAlignment="1">
      <alignment horizontal="center" vertical="center"/>
    </xf>
    <xf numFmtId="0" fontId="0" fillId="4" borderId="57" xfId="0" applyFont="1" applyFill="1" applyBorder="1" applyAlignment="1">
      <alignment horizontal="center" vertical="center"/>
    </xf>
    <xf numFmtId="164" fontId="59" fillId="4" borderId="58" xfId="0" applyNumberFormat="1" applyFont="1" applyFill="1" applyBorder="1" applyAlignment="1">
      <alignment horizontal="center" vertical="center"/>
    </xf>
    <xf numFmtId="0" fontId="8" fillId="4" borderId="57" xfId="0" applyFont="1" applyFill="1" applyBorder="1" applyAlignment="1">
      <alignment horizontal="center" vertical="center"/>
    </xf>
    <xf numFmtId="0" fontId="8" fillId="4" borderId="59" xfId="0" applyFont="1" applyFill="1" applyBorder="1" applyAlignment="1">
      <alignment horizontal="center" vertical="center"/>
    </xf>
    <xf numFmtId="164" fontId="59" fillId="4" borderId="59" xfId="0" applyNumberFormat="1" applyFont="1" applyFill="1" applyBorder="1" applyAlignment="1">
      <alignment horizontal="center" vertical="center"/>
    </xf>
    <xf numFmtId="164" fontId="59" fillId="4" borderId="57" xfId="0" applyNumberFormat="1" applyFont="1" applyFill="1" applyBorder="1" applyAlignment="1">
      <alignment horizontal="center" vertical="center"/>
    </xf>
    <xf numFmtId="0" fontId="59" fillId="0" borderId="4" xfId="0" applyFont="1" applyBorder="1" applyAlignment="1">
      <alignment horizontal="center" vertical="center"/>
    </xf>
    <xf numFmtId="0" fontId="59" fillId="0" borderId="3" xfId="0" applyFont="1" applyBorder="1" applyAlignment="1">
      <alignment horizontal="center" vertical="center"/>
    </xf>
    <xf numFmtId="0" fontId="60" fillId="0" borderId="3" xfId="0" applyFont="1" applyBorder="1" applyAlignment="1">
      <alignment horizontal="center" vertical="center"/>
    </xf>
    <xf numFmtId="0" fontId="2" fillId="4" borderId="60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0" fillId="4" borderId="0" xfId="0" applyFill="1"/>
    <xf numFmtId="0" fontId="0" fillId="5" borderId="0" xfId="0" applyFont="1" applyFill="1"/>
    <xf numFmtId="0" fontId="0" fillId="4" borderId="63" xfId="0" applyFont="1" applyFill="1" applyBorder="1" applyAlignment="1">
      <alignment horizontal="center" vertical="center"/>
    </xf>
    <xf numFmtId="0" fontId="64" fillId="0" borderId="0" xfId="0" applyFont="1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0" xfId="0" applyAlignment="1"/>
    <xf numFmtId="0" fontId="31" fillId="0" borderId="0" xfId="0" applyFont="1" applyAlignment="1"/>
    <xf numFmtId="0" fontId="58" fillId="0" borderId="67" xfId="0" applyFont="1" applyBorder="1" applyAlignment="1">
      <alignment vertical="center" wrapText="1"/>
    </xf>
    <xf numFmtId="0" fontId="58" fillId="0" borderId="35" xfId="0" applyFont="1" applyBorder="1" applyAlignment="1">
      <alignment vertical="center" wrapText="1"/>
    </xf>
    <xf numFmtId="0" fontId="63" fillId="0" borderId="35" xfId="0" applyFont="1" applyBorder="1" applyAlignment="1">
      <alignment vertical="center" wrapText="1"/>
    </xf>
    <xf numFmtId="0" fontId="63" fillId="0" borderId="68" xfId="0" applyFont="1" applyBorder="1" applyAlignment="1">
      <alignment vertical="center" wrapText="1"/>
    </xf>
    <xf numFmtId="0" fontId="31" fillId="4" borderId="67" xfId="0" applyFont="1" applyFill="1" applyBorder="1" applyAlignment="1">
      <alignment horizontal="center" vertical="center"/>
    </xf>
    <xf numFmtId="0" fontId="31" fillId="4" borderId="35" xfId="0" applyFont="1" applyFill="1" applyBorder="1" applyAlignment="1">
      <alignment horizontal="center" vertical="center"/>
    </xf>
    <xf numFmtId="0" fontId="31" fillId="4" borderId="68" xfId="0" applyFont="1" applyFill="1" applyBorder="1" applyAlignment="1">
      <alignment horizontal="center" vertical="center"/>
    </xf>
    <xf numFmtId="0" fontId="0" fillId="4" borderId="59" xfId="0" applyFont="1" applyFill="1" applyBorder="1" applyAlignment="1">
      <alignment horizontal="center" vertical="center"/>
    </xf>
    <xf numFmtId="0" fontId="0" fillId="4" borderId="69" xfId="0" applyFont="1" applyFill="1" applyBorder="1" applyAlignment="1">
      <alignment horizontal="center" vertical="center"/>
    </xf>
    <xf numFmtId="0" fontId="0" fillId="4" borderId="70" xfId="0" applyFont="1" applyFill="1" applyBorder="1" applyAlignment="1">
      <alignment horizontal="center" vertical="center"/>
    </xf>
    <xf numFmtId="0" fontId="58" fillId="0" borderId="35" xfId="0" applyFont="1" applyBorder="1" applyAlignment="1">
      <alignment horizontal="center" vertical="center" wrapText="1"/>
    </xf>
    <xf numFmtId="164" fontId="31" fillId="4" borderId="56" xfId="0" applyNumberFormat="1" applyFont="1" applyFill="1" applyBorder="1" applyAlignment="1">
      <alignment horizontal="center" vertical="center"/>
    </xf>
    <xf numFmtId="0" fontId="1" fillId="0" borderId="0" xfId="1"/>
    <xf numFmtId="0" fontId="0" fillId="0" borderId="3" xfId="1" applyFont="1" applyBorder="1"/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0" fillId="0" borderId="65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3" fillId="0" borderId="0" xfId="0" applyFont="1" applyAlignment="1">
      <alignment horizontal="left"/>
    </xf>
    <xf numFmtId="0" fontId="36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164" fontId="59" fillId="4" borderId="3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164" fontId="59" fillId="4" borderId="71" xfId="0" applyNumberFormat="1" applyFont="1" applyFill="1" applyBorder="1" applyAlignment="1">
      <alignment horizontal="center" vertical="center"/>
    </xf>
    <xf numFmtId="164" fontId="59" fillId="4" borderId="72" xfId="0" applyNumberFormat="1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4" borderId="70" xfId="0" applyFont="1" applyFill="1" applyBorder="1" applyAlignment="1">
      <alignment horizontal="center" vertical="center"/>
    </xf>
    <xf numFmtId="0" fontId="8" fillId="4" borderId="63" xfId="0" applyFont="1" applyFill="1" applyBorder="1" applyAlignment="1">
      <alignment horizontal="center" vertical="center"/>
    </xf>
    <xf numFmtId="164" fontId="59" fillId="4" borderId="69" xfId="0" applyNumberFormat="1" applyFont="1" applyFill="1" applyBorder="1" applyAlignment="1">
      <alignment horizontal="center" vertical="center"/>
    </xf>
    <xf numFmtId="164" fontId="59" fillId="4" borderId="70" xfId="0" applyNumberFormat="1" applyFont="1" applyFill="1" applyBorder="1" applyAlignment="1">
      <alignment horizontal="center" vertical="center"/>
    </xf>
    <xf numFmtId="164" fontId="59" fillId="4" borderId="63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top"/>
    </xf>
    <xf numFmtId="164" fontId="20" fillId="0" borderId="73" xfId="0" applyNumberFormat="1" applyFont="1" applyBorder="1" applyAlignment="1">
      <alignment horizontal="center"/>
    </xf>
    <xf numFmtId="164" fontId="10" fillId="0" borderId="26" xfId="1" applyNumberFormat="1" applyFont="1" applyBorder="1" applyAlignment="1">
      <alignment horizontal="center" vertical="center"/>
    </xf>
    <xf numFmtId="164" fontId="10" fillId="0" borderId="22" xfId="1" applyNumberFormat="1" applyFont="1" applyBorder="1" applyAlignment="1">
      <alignment horizontal="center" vertical="center"/>
    </xf>
    <xf numFmtId="164" fontId="10" fillId="0" borderId="24" xfId="1" applyNumberFormat="1" applyFont="1" applyBorder="1" applyAlignment="1">
      <alignment horizontal="center" vertical="center"/>
    </xf>
    <xf numFmtId="164" fontId="10" fillId="0" borderId="25" xfId="1" applyNumberFormat="1" applyFont="1" applyBorder="1" applyAlignment="1">
      <alignment horizontal="center"/>
    </xf>
    <xf numFmtId="164" fontId="10" fillId="0" borderId="32" xfId="1" applyNumberFormat="1" applyFont="1" applyBorder="1" applyAlignment="1">
      <alignment horizontal="center"/>
    </xf>
    <xf numFmtId="164" fontId="10" fillId="0" borderId="4" xfId="1" applyNumberFormat="1" applyFont="1" applyBorder="1" applyAlignment="1">
      <alignment horizontal="center"/>
    </xf>
    <xf numFmtId="164" fontId="10" fillId="0" borderId="33" xfId="1" applyNumberFormat="1" applyFont="1" applyBorder="1" applyAlignment="1">
      <alignment horizontal="center"/>
    </xf>
    <xf numFmtId="164" fontId="10" fillId="0" borderId="14" xfId="1" applyNumberFormat="1" applyFont="1" applyBorder="1" applyAlignment="1">
      <alignment horizontal="center"/>
    </xf>
    <xf numFmtId="164" fontId="10" fillId="0" borderId="31" xfId="1" applyNumberFormat="1" applyFont="1" applyBorder="1" applyAlignment="1">
      <alignment horizontal="center"/>
    </xf>
    <xf numFmtId="164" fontId="10" fillId="4" borderId="22" xfId="0" applyNumberFormat="1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/>
    </xf>
    <xf numFmtId="0" fontId="20" fillId="4" borderId="21" xfId="0" applyFont="1" applyFill="1" applyBorder="1" applyAlignment="1">
      <alignment horizontal="center"/>
    </xf>
    <xf numFmtId="164" fontId="20" fillId="4" borderId="29" xfId="0" applyNumberFormat="1" applyFont="1" applyFill="1" applyBorder="1" applyAlignment="1">
      <alignment horizontal="center"/>
    </xf>
    <xf numFmtId="164" fontId="20" fillId="4" borderId="3" xfId="0" applyNumberFormat="1" applyFont="1" applyFill="1" applyBorder="1" applyAlignment="1">
      <alignment horizontal="center"/>
    </xf>
    <xf numFmtId="164" fontId="10" fillId="4" borderId="4" xfId="0" applyNumberFormat="1" applyFont="1" applyFill="1" applyBorder="1" applyAlignment="1">
      <alignment horizontal="center"/>
    </xf>
    <xf numFmtId="164" fontId="10" fillId="4" borderId="33" xfId="0" applyNumberFormat="1" applyFont="1" applyFill="1" applyBorder="1" applyAlignment="1">
      <alignment horizontal="center"/>
    </xf>
    <xf numFmtId="164" fontId="10" fillId="0" borderId="22" xfId="0" applyNumberFormat="1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/>
    </xf>
    <xf numFmtId="0" fontId="20" fillId="0" borderId="21" xfId="0" applyFont="1" applyFill="1" applyBorder="1" applyAlignment="1">
      <alignment horizontal="center"/>
    </xf>
    <xf numFmtId="164" fontId="20" fillId="0" borderId="29" xfId="0" applyNumberFormat="1" applyFont="1" applyFill="1" applyBorder="1" applyAlignment="1">
      <alignment horizontal="center"/>
    </xf>
    <xf numFmtId="164" fontId="20" fillId="0" borderId="3" xfId="0" applyNumberFormat="1" applyFont="1" applyFill="1" applyBorder="1" applyAlignment="1">
      <alignment horizontal="center"/>
    </xf>
    <xf numFmtId="164" fontId="10" fillId="0" borderId="4" xfId="0" applyNumberFormat="1" applyFont="1" applyFill="1" applyBorder="1" applyAlignment="1">
      <alignment horizontal="center"/>
    </xf>
    <xf numFmtId="164" fontId="10" fillId="0" borderId="33" xfId="0" applyNumberFormat="1" applyFont="1" applyFill="1" applyBorder="1" applyAlignment="1">
      <alignment horizontal="center"/>
    </xf>
    <xf numFmtId="14" fontId="35" fillId="4" borderId="0" xfId="0" applyNumberFormat="1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80" xfId="0" applyFont="1" applyBorder="1" applyAlignment="1">
      <alignment horizontal="center"/>
    </xf>
    <xf numFmtId="164" fontId="10" fillId="0" borderId="6" xfId="0" applyNumberFormat="1" applyFont="1" applyBorder="1" applyAlignment="1">
      <alignment horizontal="center" vertical="center"/>
    </xf>
    <xf numFmtId="164" fontId="10" fillId="0" borderId="19" xfId="0" applyNumberFormat="1" applyFont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 vertical="center"/>
    </xf>
    <xf numFmtId="0" fontId="0" fillId="0" borderId="3" xfId="1" applyFont="1" applyBorder="1" applyAlignment="1">
      <alignment horizontal="center"/>
    </xf>
    <xf numFmtId="164" fontId="21" fillId="4" borderId="19" xfId="0" applyNumberFormat="1" applyFont="1" applyFill="1" applyBorder="1" applyAlignment="1">
      <alignment horizontal="center"/>
    </xf>
    <xf numFmtId="164" fontId="21" fillId="0" borderId="19" xfId="0" applyNumberFormat="1" applyFont="1" applyFill="1" applyBorder="1" applyAlignment="1">
      <alignment horizontal="center"/>
    </xf>
    <xf numFmtId="0" fontId="0" fillId="0" borderId="65" xfId="0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23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27" fillId="0" borderId="0" xfId="0" applyFont="1" applyAlignment="1">
      <alignment horizontal="center"/>
    </xf>
    <xf numFmtId="0" fontId="71" fillId="0" borderId="75" xfId="0" applyFont="1" applyBorder="1" applyAlignment="1">
      <alignment horizontal="center" vertical="center" wrapText="1"/>
    </xf>
    <xf numFmtId="0" fontId="71" fillId="0" borderId="74" xfId="0" applyFont="1" applyBorder="1" applyAlignment="1">
      <alignment horizontal="center" vertical="center" wrapText="1"/>
    </xf>
    <xf numFmtId="0" fontId="71" fillId="0" borderId="76" xfId="0" applyFont="1" applyBorder="1" applyAlignment="1">
      <alignment horizontal="center" vertical="center" wrapText="1"/>
    </xf>
    <xf numFmtId="0" fontId="71" fillId="0" borderId="78" xfId="0" applyFont="1" applyBorder="1" applyAlignment="1">
      <alignment horizontal="center" vertical="center" wrapText="1"/>
    </xf>
    <xf numFmtId="0" fontId="71" fillId="0" borderId="66" xfId="0" applyFont="1" applyBorder="1" applyAlignment="1">
      <alignment horizontal="center" vertical="center" wrapText="1"/>
    </xf>
    <xf numFmtId="0" fontId="71" fillId="0" borderId="79" xfId="0" applyFont="1" applyBorder="1" applyAlignment="1">
      <alignment horizontal="center" vertical="center" wrapText="1"/>
    </xf>
    <xf numFmtId="0" fontId="71" fillId="0" borderId="56" xfId="0" applyFont="1" applyBorder="1" applyAlignment="1">
      <alignment horizontal="center" vertical="center" wrapText="1"/>
    </xf>
    <xf numFmtId="0" fontId="71" fillId="0" borderId="61" xfId="0" applyFont="1" applyBorder="1" applyAlignment="1">
      <alignment horizontal="center" vertical="center" wrapText="1"/>
    </xf>
    <xf numFmtId="0" fontId="71" fillId="2" borderId="61" xfId="0" applyFont="1" applyFill="1" applyBorder="1" applyAlignment="1">
      <alignment horizontal="center" vertical="center" wrapText="1"/>
    </xf>
    <xf numFmtId="0" fontId="71" fillId="0" borderId="62" xfId="0" applyFont="1" applyBorder="1" applyAlignment="1">
      <alignment horizontal="center" vertical="center" wrapText="1"/>
    </xf>
    <xf numFmtId="0" fontId="71" fillId="0" borderId="56" xfId="0" applyFont="1" applyBorder="1" applyAlignment="1">
      <alignment vertical="center" wrapText="1"/>
    </xf>
    <xf numFmtId="0" fontId="71" fillId="0" borderId="61" xfId="0" applyFont="1" applyBorder="1" applyAlignment="1">
      <alignment vertical="center" wrapText="1"/>
    </xf>
    <xf numFmtId="0" fontId="71" fillId="0" borderId="62" xfId="0" applyFont="1" applyBorder="1" applyAlignment="1">
      <alignment vertical="center" wrapText="1"/>
    </xf>
    <xf numFmtId="0" fontId="20" fillId="0" borderId="81" xfId="0" applyFont="1" applyBorder="1" applyAlignment="1">
      <alignment horizontal="center"/>
    </xf>
    <xf numFmtId="0" fontId="20" fillId="0" borderId="73" xfId="0" applyFont="1" applyBorder="1" applyAlignment="1">
      <alignment horizontal="center"/>
    </xf>
    <xf numFmtId="164" fontId="21" fillId="0" borderId="80" xfId="0" applyNumberFormat="1" applyFont="1" applyBorder="1" applyAlignment="1">
      <alignment horizontal="center"/>
    </xf>
    <xf numFmtId="0" fontId="71" fillId="0" borderId="6" xfId="0" applyFont="1" applyBorder="1" applyAlignment="1">
      <alignment vertical="center" wrapText="1"/>
    </xf>
    <xf numFmtId="0" fontId="71" fillId="0" borderId="19" xfId="0" applyFont="1" applyBorder="1" applyAlignment="1">
      <alignment vertical="center" wrapText="1"/>
    </xf>
    <xf numFmtId="0" fontId="71" fillId="0" borderId="13" xfId="0" applyFont="1" applyBorder="1" applyAlignment="1">
      <alignment vertical="center" wrapText="1"/>
    </xf>
    <xf numFmtId="164" fontId="31" fillId="6" borderId="56" xfId="0" applyNumberFormat="1" applyFont="1" applyFill="1" applyBorder="1" applyAlignment="1">
      <alignment horizontal="center" vertical="center"/>
    </xf>
    <xf numFmtId="0" fontId="0" fillId="0" borderId="3" xfId="0" applyBorder="1"/>
    <xf numFmtId="0" fontId="33" fillId="0" borderId="0" xfId="0" applyFont="1" applyAlignment="1">
      <alignment horizontal="left"/>
    </xf>
    <xf numFmtId="0" fontId="36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1" applyFont="1" applyBorder="1" applyAlignment="1">
      <alignment horizontal="center"/>
    </xf>
    <xf numFmtId="0" fontId="0" fillId="0" borderId="65" xfId="0" applyBorder="1" applyAlignment="1">
      <alignment horizontal="center"/>
    </xf>
    <xf numFmtId="0" fontId="66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36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2" fillId="0" borderId="0" xfId="0" applyFont="1" applyBorder="1" applyAlignment="1">
      <alignment horizontal="center"/>
    </xf>
    <xf numFmtId="0" fontId="42" fillId="0" borderId="2" xfId="0" applyFont="1" applyBorder="1" applyAlignment="1">
      <alignment horizontal="center"/>
    </xf>
    <xf numFmtId="0" fontId="45" fillId="0" borderId="0" xfId="0" applyFont="1" applyAlignment="1">
      <alignment horizontal="right" vertical="center"/>
    </xf>
    <xf numFmtId="0" fontId="47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4" fontId="35" fillId="3" borderId="37" xfId="0" applyNumberFormat="1" applyFont="1" applyFill="1" applyBorder="1" applyAlignment="1">
      <alignment horizontal="center" vertical="center"/>
    </xf>
    <xf numFmtId="14" fontId="35" fillId="3" borderId="38" xfId="0" applyNumberFormat="1" applyFont="1" applyFill="1" applyBorder="1" applyAlignment="1">
      <alignment horizontal="center" vertical="center"/>
    </xf>
    <xf numFmtId="14" fontId="35" fillId="3" borderId="39" xfId="0" applyNumberFormat="1" applyFont="1" applyFill="1" applyBorder="1" applyAlignment="1">
      <alignment horizontal="center" vertical="center"/>
    </xf>
    <xf numFmtId="14" fontId="35" fillId="3" borderId="40" xfId="0" applyNumberFormat="1" applyFont="1" applyFill="1" applyBorder="1" applyAlignment="1">
      <alignment horizontal="center" vertical="center"/>
    </xf>
    <xf numFmtId="14" fontId="35" fillId="3" borderId="41" xfId="0" applyNumberFormat="1" applyFont="1" applyFill="1" applyBorder="1" applyAlignment="1">
      <alignment horizontal="center" vertical="center"/>
    </xf>
    <xf numFmtId="14" fontId="35" fillId="3" borderId="42" xfId="0" applyNumberFormat="1" applyFont="1" applyFill="1" applyBorder="1" applyAlignment="1">
      <alignment horizontal="center" vertical="center"/>
    </xf>
    <xf numFmtId="0" fontId="69" fillId="4" borderId="45" xfId="0" applyFont="1" applyFill="1" applyBorder="1" applyAlignment="1">
      <alignment horizontal="center" vertical="center"/>
    </xf>
    <xf numFmtId="0" fontId="69" fillId="4" borderId="46" xfId="0" applyFont="1" applyFill="1" applyBorder="1" applyAlignment="1">
      <alignment horizontal="center" vertical="center"/>
    </xf>
    <xf numFmtId="0" fontId="69" fillId="4" borderId="47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right" vertical="center"/>
    </xf>
    <xf numFmtId="0" fontId="45" fillId="0" borderId="0" xfId="0" applyFont="1" applyAlignment="1">
      <alignment horizontal="center" vertical="center"/>
    </xf>
    <xf numFmtId="0" fontId="49" fillId="4" borderId="43" xfId="0" applyFont="1" applyFill="1" applyBorder="1" applyAlignment="1">
      <alignment horizontal="center" vertical="center" textRotation="45"/>
    </xf>
    <xf numFmtId="0" fontId="49" fillId="4" borderId="49" xfId="0" applyFont="1" applyFill="1" applyBorder="1" applyAlignment="1">
      <alignment horizontal="center" vertical="center" textRotation="45"/>
    </xf>
    <xf numFmtId="0" fontId="50" fillId="4" borderId="44" xfId="0" applyFont="1" applyFill="1" applyBorder="1" applyAlignment="1">
      <alignment horizontal="center" vertical="center"/>
    </xf>
    <xf numFmtId="0" fontId="50" fillId="4" borderId="50" xfId="0" applyFont="1" applyFill="1" applyBorder="1" applyAlignment="1">
      <alignment horizontal="center" vertical="center"/>
    </xf>
    <xf numFmtId="0" fontId="50" fillId="4" borderId="43" xfId="0" applyFont="1" applyFill="1" applyBorder="1" applyAlignment="1">
      <alignment horizontal="center" vertical="center"/>
    </xf>
    <xf numFmtId="0" fontId="50" fillId="4" borderId="49" xfId="0" applyFont="1" applyFill="1" applyBorder="1" applyAlignment="1">
      <alignment horizontal="center" vertical="center"/>
    </xf>
    <xf numFmtId="0" fontId="54" fillId="4" borderId="43" xfId="0" applyFont="1" applyFill="1" applyBorder="1" applyAlignment="1">
      <alignment horizontal="center" vertical="center"/>
    </xf>
    <xf numFmtId="0" fontId="54" fillId="4" borderId="49" xfId="0" applyFont="1" applyFill="1" applyBorder="1" applyAlignment="1">
      <alignment horizontal="center" vertical="center"/>
    </xf>
    <xf numFmtId="0" fontId="55" fillId="0" borderId="45" xfId="0" applyFont="1" applyBorder="1" applyAlignment="1">
      <alignment horizontal="center" vertical="center"/>
    </xf>
    <xf numFmtId="0" fontId="55" fillId="0" borderId="47" xfId="0" applyFont="1" applyBorder="1" applyAlignment="1">
      <alignment horizontal="center" vertical="center"/>
    </xf>
    <xf numFmtId="0" fontId="69" fillId="0" borderId="45" xfId="0" applyFont="1" applyBorder="1" applyAlignment="1">
      <alignment horizontal="center" vertical="center"/>
    </xf>
    <xf numFmtId="0" fontId="69" fillId="0" borderId="46" xfId="0" applyFont="1" applyBorder="1" applyAlignment="1">
      <alignment horizontal="center" vertical="center"/>
    </xf>
    <xf numFmtId="0" fontId="69" fillId="0" borderId="47" xfId="0" applyFont="1" applyBorder="1" applyAlignment="1">
      <alignment horizontal="center" vertical="center"/>
    </xf>
    <xf numFmtId="0" fontId="55" fillId="0" borderId="46" xfId="0" applyFont="1" applyBorder="1" applyAlignment="1">
      <alignment horizontal="center" vertical="center"/>
    </xf>
    <xf numFmtId="0" fontId="51" fillId="0" borderId="43" xfId="0" applyFont="1" applyBorder="1" applyAlignment="1">
      <alignment horizontal="center" vertical="center" wrapText="1"/>
    </xf>
    <xf numFmtId="0" fontId="51" fillId="0" borderId="49" xfId="0" applyFont="1" applyBorder="1" applyAlignment="1">
      <alignment horizontal="center" vertical="center" wrapText="1"/>
    </xf>
    <xf numFmtId="0" fontId="52" fillId="0" borderId="48" xfId="0" applyFont="1" applyBorder="1" applyAlignment="1">
      <alignment horizontal="center" vertical="center" wrapText="1"/>
    </xf>
    <xf numFmtId="0" fontId="52" fillId="0" borderId="5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53" fillId="4" borderId="45" xfId="0" applyFont="1" applyFill="1" applyBorder="1" applyAlignment="1">
      <alignment horizontal="center" vertical="center"/>
    </xf>
    <xf numFmtId="0" fontId="53" fillId="4" borderId="46" xfId="0" applyFont="1" applyFill="1" applyBorder="1" applyAlignment="1">
      <alignment horizontal="center" vertical="center"/>
    </xf>
    <xf numFmtId="0" fontId="53" fillId="0" borderId="46" xfId="0" applyFont="1" applyBorder="1" applyAlignment="1">
      <alignment horizontal="center" vertical="center"/>
    </xf>
    <xf numFmtId="0" fontId="53" fillId="0" borderId="45" xfId="0" applyFont="1" applyBorder="1" applyAlignment="1">
      <alignment horizontal="center" vertical="center"/>
    </xf>
    <xf numFmtId="0" fontId="37" fillId="0" borderId="43" xfId="0" applyFont="1" applyBorder="1" applyAlignment="1">
      <alignment horizontal="center" vertical="center"/>
    </xf>
    <xf numFmtId="0" fontId="37" fillId="0" borderId="49" xfId="0" applyFont="1" applyBorder="1" applyAlignment="1">
      <alignment horizontal="center" vertical="center"/>
    </xf>
    <xf numFmtId="0" fontId="56" fillId="0" borderId="3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61" fillId="0" borderId="4" xfId="0" applyFont="1" applyBorder="1" applyAlignment="1">
      <alignment horizontal="center" vertical="center"/>
    </xf>
    <xf numFmtId="0" fontId="61" fillId="0" borderId="3" xfId="0" applyFont="1" applyBorder="1" applyAlignment="1">
      <alignment horizontal="center" vertical="center"/>
    </xf>
    <xf numFmtId="0" fontId="62" fillId="0" borderId="3" xfId="0" applyFont="1" applyBorder="1" applyAlignment="1">
      <alignment horizontal="center" vertical="center"/>
    </xf>
    <xf numFmtId="0" fontId="0" fillId="0" borderId="43" xfId="1" applyFont="1" applyBorder="1" applyAlignment="1">
      <alignment horizontal="center" vertical="center"/>
    </xf>
    <xf numFmtId="0" fontId="0" fillId="0" borderId="49" xfId="1" applyFont="1" applyBorder="1" applyAlignment="1">
      <alignment horizontal="center" vertical="center"/>
    </xf>
    <xf numFmtId="164" fontId="70" fillId="0" borderId="48" xfId="1" applyNumberFormat="1" applyFont="1" applyBorder="1" applyAlignment="1">
      <alignment horizontal="center" vertical="center"/>
    </xf>
    <xf numFmtId="164" fontId="70" fillId="0" borderId="51" xfId="1" applyNumberFormat="1" applyFont="1" applyBorder="1" applyAlignment="1">
      <alignment horizontal="center" vertical="center"/>
    </xf>
    <xf numFmtId="0" fontId="0" fillId="0" borderId="3" xfId="1" applyFont="1" applyBorder="1" applyAlignment="1">
      <alignment horizontal="center"/>
    </xf>
    <xf numFmtId="0" fontId="1" fillId="0" borderId="3" xfId="1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66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26" fillId="0" borderId="0" xfId="1" applyFont="1" applyAlignment="1">
      <alignment horizontal="left" vertical="center" wrapText="1"/>
    </xf>
    <xf numFmtId="0" fontId="26" fillId="0" borderId="0" xfId="1" applyFont="1" applyAlignment="1">
      <alignment horizontal="left" vertical="center"/>
    </xf>
    <xf numFmtId="0" fontId="3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27" fillId="0" borderId="0" xfId="0" applyFont="1" applyAlignment="1">
      <alignment horizontal="center"/>
    </xf>
    <xf numFmtId="0" fontId="22" fillId="0" borderId="15" xfId="0" applyFont="1" applyBorder="1" applyAlignment="1">
      <alignment horizontal="center"/>
    </xf>
    <xf numFmtId="0" fontId="15" fillId="0" borderId="5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15" fillId="0" borderId="7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top"/>
    </xf>
    <xf numFmtId="0" fontId="17" fillId="0" borderId="8" xfId="0" applyFont="1" applyBorder="1" applyAlignment="1">
      <alignment horizontal="center" vertical="top"/>
    </xf>
    <xf numFmtId="0" fontId="17" fillId="0" borderId="10" xfId="0" applyFont="1" applyBorder="1" applyAlignment="1">
      <alignment horizontal="center" vertical="top"/>
    </xf>
    <xf numFmtId="0" fontId="18" fillId="0" borderId="37" xfId="0" applyFont="1" applyBorder="1" applyAlignment="1">
      <alignment horizontal="center" vertical="center" textRotation="45"/>
    </xf>
    <xf numFmtId="0" fontId="18" fillId="0" borderId="41" xfId="0" applyFont="1" applyBorder="1" applyAlignment="1">
      <alignment horizontal="center" vertical="center" textRotation="45"/>
    </xf>
    <xf numFmtId="0" fontId="18" fillId="0" borderId="7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9" fontId="19" fillId="0" borderId="30" xfId="0" applyNumberFormat="1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9" fontId="25" fillId="0" borderId="6" xfId="0" applyNumberFormat="1" applyFont="1" applyBorder="1" applyAlignment="1">
      <alignment horizontal="center" vertical="center" wrapText="1"/>
    </xf>
    <xf numFmtId="9" fontId="25" fillId="0" borderId="13" xfId="0" applyNumberFormat="1" applyFont="1" applyBorder="1" applyAlignment="1">
      <alignment horizontal="center" vertical="center" wrapText="1"/>
    </xf>
    <xf numFmtId="9" fontId="17" fillId="0" borderId="11" xfId="0" applyNumberFormat="1" applyFont="1" applyBorder="1" applyAlignment="1">
      <alignment horizontal="center" vertical="center" wrapText="1"/>
    </xf>
    <xf numFmtId="9" fontId="17" fillId="0" borderId="34" xfId="0" applyNumberFormat="1" applyFont="1" applyBorder="1" applyAlignment="1">
      <alignment horizontal="center" vertical="center" wrapText="1"/>
    </xf>
    <xf numFmtId="9" fontId="17" fillId="0" borderId="6" xfId="0" applyNumberFormat="1" applyFont="1" applyBorder="1" applyAlignment="1">
      <alignment horizontal="center" vertical="center" wrapText="1"/>
    </xf>
    <xf numFmtId="9" fontId="17" fillId="0" borderId="13" xfId="0" applyNumberFormat="1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textRotation="45"/>
    </xf>
    <xf numFmtId="0" fontId="18" fillId="0" borderId="13" xfId="0" applyFont="1" applyBorder="1" applyAlignment="1">
      <alignment horizontal="center" textRotation="45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2" fillId="0" borderId="27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28" xfId="0" applyFont="1" applyBorder="1" applyAlignment="1">
      <alignment horizontal="center"/>
    </xf>
    <xf numFmtId="0" fontId="12" fillId="0" borderId="36" xfId="0" applyFont="1" applyBorder="1" applyAlignment="1">
      <alignment horizontal="left"/>
    </xf>
    <xf numFmtId="0" fontId="12" fillId="0" borderId="36" xfId="0" applyFont="1" applyBorder="1" applyAlignment="1">
      <alignment horizontal="right"/>
    </xf>
  </cellXfs>
  <cellStyles count="3">
    <cellStyle name="Normal" xfId="0" builtinId="0"/>
    <cellStyle name="Normal 2 2 2" xfId="2"/>
    <cellStyle name="Normal 8" xfId="1"/>
  </cellStyles>
  <dxfs count="1939"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b/>
        <sz val="11"/>
        <color rgb="FFFF0000"/>
      </font>
    </dxf>
    <dxf>
      <font>
        <b/>
        <sz val="11"/>
        <color rgb="FF0000FF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b/>
        <sz val="11"/>
        <color rgb="FFFF0000"/>
      </font>
    </dxf>
    <dxf>
      <font>
        <b/>
        <sz val="11"/>
        <color rgb="FF0000FF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b/>
        <sz val="11"/>
        <color rgb="FFFF0000"/>
      </font>
    </dxf>
    <dxf>
      <font>
        <b/>
        <sz val="11"/>
        <color rgb="FF0000FF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b/>
        <sz val="11"/>
        <color rgb="FFFF0000"/>
      </font>
    </dxf>
    <dxf>
      <font>
        <b/>
        <sz val="11"/>
        <color rgb="FF0000FF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b/>
        <sz val="11"/>
        <color rgb="FFFF0000"/>
      </font>
    </dxf>
    <dxf>
      <font>
        <b/>
        <sz val="11"/>
        <color rgb="FF0000FF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b/>
        <sz val="11"/>
        <color rgb="FFFF0000"/>
      </font>
    </dxf>
    <dxf>
      <font>
        <b/>
        <sz val="11"/>
        <color rgb="FF0000FF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b/>
        <sz val="11"/>
        <color rgb="FFFF0000"/>
      </font>
    </dxf>
    <dxf>
      <font>
        <b/>
        <sz val="11"/>
        <color rgb="FF0000FF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sz val="11"/>
        <color rgb="FFFF0000"/>
      </font>
    </dxf>
    <dxf>
      <font>
        <b/>
        <sz val="11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sz val="11"/>
        <color rgb="FFFF0000"/>
      </font>
    </dxf>
    <dxf>
      <font>
        <b/>
        <sz val="11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sz val="11"/>
        <color rgb="FFFF0000"/>
      </font>
    </dxf>
    <dxf>
      <font>
        <b/>
        <sz val="11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sz val="11"/>
        <color rgb="FFFF0000"/>
      </font>
    </dxf>
    <dxf>
      <font>
        <b/>
        <sz val="11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sz val="11"/>
        <color rgb="FFFF0000"/>
      </font>
    </dxf>
    <dxf>
      <font>
        <b/>
        <sz val="11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sz val="11"/>
        <color rgb="FFFF0000"/>
      </font>
    </dxf>
    <dxf>
      <font>
        <b/>
        <sz val="11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b/>
        <sz val="11"/>
        <color rgb="FFFF0000"/>
      </font>
    </dxf>
    <dxf>
      <font>
        <b/>
        <sz val="11"/>
        <color rgb="FF0000FF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sz val="11"/>
        <color rgb="FFFF0000"/>
      </font>
    </dxf>
    <dxf>
      <font>
        <b/>
        <sz val="11"/>
        <color rgb="FF0000FF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b/>
        <sz val="11"/>
        <color rgb="FFFF0000"/>
      </font>
    </dxf>
    <dxf>
      <font>
        <b/>
        <sz val="11"/>
        <color rgb="FF0000FF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0070C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5181BD"/>
      </font>
    </dxf>
    <dxf>
      <font>
        <color rgb="FFFF0000"/>
      </font>
    </dxf>
    <dxf>
      <font>
        <color rgb="FFC00000"/>
      </font>
    </dxf>
    <dxf>
      <font>
        <color rgb="FF0070C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sz val="11"/>
        <color rgb="FFFF0000"/>
      </font>
    </dxf>
    <dxf>
      <font>
        <b/>
        <sz val="11"/>
        <color rgb="FF0000FF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sz val="11"/>
        <color rgb="FFFF0000"/>
      </font>
    </dxf>
    <dxf>
      <font>
        <b/>
        <sz val="11"/>
        <color rgb="FF0000FF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78441</xdr:colOff>
      <xdr:row>4</xdr:row>
      <xdr:rowOff>27215</xdr:rowOff>
    </xdr:from>
    <xdr:to>
      <xdr:col>41</xdr:col>
      <xdr:colOff>612321</xdr:colOff>
      <xdr:row>4</xdr:row>
      <xdr:rowOff>27216</xdr:rowOff>
    </xdr:to>
    <xdr:cxnSp macro="">
      <xdr:nvCxnSpPr>
        <xdr:cNvPr id="2" name="Conexão recta 4"/>
        <xdr:cNvCxnSpPr/>
      </xdr:nvCxnSpPr>
      <xdr:spPr>
        <a:xfrm flipV="1">
          <a:off x="164166" y="522515"/>
          <a:ext cx="16250130" cy="1"/>
        </a:xfrm>
        <a:prstGeom prst="line">
          <a:avLst/>
        </a:prstGeom>
        <a:ln w="38100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179295</xdr:colOff>
      <xdr:row>0</xdr:row>
      <xdr:rowOff>78441</xdr:rowOff>
    </xdr:from>
    <xdr:to>
      <xdr:col>3</xdr:col>
      <xdr:colOff>257735</xdr:colOff>
      <xdr:row>3</xdr:row>
      <xdr:rowOff>78441</xdr:rowOff>
    </xdr:to>
    <xdr:pic>
      <xdr:nvPicPr>
        <xdr:cNvPr id="3" name="Imagem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020" y="78441"/>
          <a:ext cx="1044947" cy="3714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78441</xdr:colOff>
      <xdr:row>4</xdr:row>
      <xdr:rowOff>27215</xdr:rowOff>
    </xdr:from>
    <xdr:to>
      <xdr:col>41</xdr:col>
      <xdr:colOff>612321</xdr:colOff>
      <xdr:row>4</xdr:row>
      <xdr:rowOff>27216</xdr:rowOff>
    </xdr:to>
    <xdr:cxnSp macro="">
      <xdr:nvCxnSpPr>
        <xdr:cNvPr id="2" name="Conexão recta 4"/>
        <xdr:cNvCxnSpPr/>
      </xdr:nvCxnSpPr>
      <xdr:spPr>
        <a:xfrm flipV="1">
          <a:off x="169881" y="514895"/>
          <a:ext cx="17556960" cy="1"/>
        </a:xfrm>
        <a:prstGeom prst="line">
          <a:avLst/>
        </a:prstGeom>
        <a:ln w="38100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179295</xdr:colOff>
      <xdr:row>0</xdr:row>
      <xdr:rowOff>78441</xdr:rowOff>
    </xdr:from>
    <xdr:to>
      <xdr:col>3</xdr:col>
      <xdr:colOff>257735</xdr:colOff>
      <xdr:row>3</xdr:row>
      <xdr:rowOff>78441</xdr:rowOff>
    </xdr:to>
    <xdr:pic>
      <xdr:nvPicPr>
        <xdr:cNvPr id="3" name="Imagem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35" y="78441"/>
          <a:ext cx="1069040" cy="365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35859</xdr:colOff>
      <xdr:row>0</xdr:row>
      <xdr:rowOff>390747</xdr:rowOff>
    </xdr:from>
    <xdr:to>
      <xdr:col>30</xdr:col>
      <xdr:colOff>708212</xdr:colOff>
      <xdr:row>0</xdr:row>
      <xdr:rowOff>390747</xdr:rowOff>
    </xdr:to>
    <xdr:cxnSp macro="">
      <xdr:nvCxnSpPr>
        <xdr:cNvPr id="2" name="Conexão recta 7"/>
        <xdr:cNvCxnSpPr/>
      </xdr:nvCxnSpPr>
      <xdr:spPr>
        <a:xfrm>
          <a:off x="35859" y="390747"/>
          <a:ext cx="12426203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281454</xdr:colOff>
      <xdr:row>0</xdr:row>
      <xdr:rowOff>323850</xdr:rowOff>
    </xdr:to>
    <xdr:pic>
      <xdr:nvPicPr>
        <xdr:cNvPr id="3" name="Imagem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3404" cy="323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35859</xdr:colOff>
      <xdr:row>0</xdr:row>
      <xdr:rowOff>390747</xdr:rowOff>
    </xdr:from>
    <xdr:to>
      <xdr:col>30</xdr:col>
      <xdr:colOff>708212</xdr:colOff>
      <xdr:row>0</xdr:row>
      <xdr:rowOff>390747</xdr:rowOff>
    </xdr:to>
    <xdr:cxnSp macro="">
      <xdr:nvCxnSpPr>
        <xdr:cNvPr id="3" name="Conexão recta 7"/>
        <xdr:cNvCxnSpPr/>
      </xdr:nvCxnSpPr>
      <xdr:spPr>
        <a:xfrm>
          <a:off x="35859" y="390747"/>
          <a:ext cx="9368678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281454</xdr:colOff>
      <xdr:row>0</xdr:row>
      <xdr:rowOff>323850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3404" cy="323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35859</xdr:colOff>
      <xdr:row>0</xdr:row>
      <xdr:rowOff>390747</xdr:rowOff>
    </xdr:from>
    <xdr:to>
      <xdr:col>24</xdr:col>
      <xdr:colOff>708212</xdr:colOff>
      <xdr:row>0</xdr:row>
      <xdr:rowOff>390747</xdr:rowOff>
    </xdr:to>
    <xdr:cxnSp macro="">
      <xdr:nvCxnSpPr>
        <xdr:cNvPr id="3" name="Conexão recta 7"/>
        <xdr:cNvCxnSpPr/>
      </xdr:nvCxnSpPr>
      <xdr:spPr>
        <a:xfrm>
          <a:off x="35859" y="390747"/>
          <a:ext cx="9368678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28575</xdr:colOff>
      <xdr:row>0</xdr:row>
      <xdr:rowOff>9525</xdr:rowOff>
    </xdr:from>
    <xdr:to>
      <xdr:col>2</xdr:col>
      <xdr:colOff>310029</xdr:colOff>
      <xdr:row>0</xdr:row>
      <xdr:rowOff>333375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525"/>
          <a:ext cx="643404" cy="323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35859</xdr:colOff>
      <xdr:row>0</xdr:row>
      <xdr:rowOff>390747</xdr:rowOff>
    </xdr:from>
    <xdr:to>
      <xdr:col>24</xdr:col>
      <xdr:colOff>708212</xdr:colOff>
      <xdr:row>0</xdr:row>
      <xdr:rowOff>390747</xdr:rowOff>
    </xdr:to>
    <xdr:cxnSp macro="">
      <xdr:nvCxnSpPr>
        <xdr:cNvPr id="3" name="Conexão recta 7"/>
        <xdr:cNvCxnSpPr/>
      </xdr:nvCxnSpPr>
      <xdr:spPr>
        <a:xfrm>
          <a:off x="35859" y="390747"/>
          <a:ext cx="9368678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281454</xdr:colOff>
      <xdr:row>0</xdr:row>
      <xdr:rowOff>323850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3404" cy="323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35859</xdr:colOff>
      <xdr:row>0</xdr:row>
      <xdr:rowOff>390747</xdr:rowOff>
    </xdr:from>
    <xdr:to>
      <xdr:col>24</xdr:col>
      <xdr:colOff>708212</xdr:colOff>
      <xdr:row>0</xdr:row>
      <xdr:rowOff>390747</xdr:rowOff>
    </xdr:to>
    <xdr:cxnSp macro="">
      <xdr:nvCxnSpPr>
        <xdr:cNvPr id="3" name="Conexão recta 7"/>
        <xdr:cNvCxnSpPr/>
      </xdr:nvCxnSpPr>
      <xdr:spPr>
        <a:xfrm>
          <a:off x="35859" y="390747"/>
          <a:ext cx="9368678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281454</xdr:colOff>
      <xdr:row>0</xdr:row>
      <xdr:rowOff>323850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3404" cy="323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35859</xdr:colOff>
      <xdr:row>0</xdr:row>
      <xdr:rowOff>390747</xdr:rowOff>
    </xdr:from>
    <xdr:to>
      <xdr:col>30</xdr:col>
      <xdr:colOff>708212</xdr:colOff>
      <xdr:row>0</xdr:row>
      <xdr:rowOff>390747</xdr:rowOff>
    </xdr:to>
    <xdr:cxnSp macro="">
      <xdr:nvCxnSpPr>
        <xdr:cNvPr id="3" name="Conexão recta 7"/>
        <xdr:cNvCxnSpPr/>
      </xdr:nvCxnSpPr>
      <xdr:spPr>
        <a:xfrm>
          <a:off x="35859" y="390747"/>
          <a:ext cx="9368678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281454</xdr:colOff>
      <xdr:row>0</xdr:row>
      <xdr:rowOff>323850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3404" cy="323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35859</xdr:colOff>
      <xdr:row>0</xdr:row>
      <xdr:rowOff>390747</xdr:rowOff>
    </xdr:from>
    <xdr:to>
      <xdr:col>24</xdr:col>
      <xdr:colOff>708212</xdr:colOff>
      <xdr:row>0</xdr:row>
      <xdr:rowOff>390747</xdr:rowOff>
    </xdr:to>
    <xdr:cxnSp macro="">
      <xdr:nvCxnSpPr>
        <xdr:cNvPr id="3" name="Conexão recta 7"/>
        <xdr:cNvCxnSpPr/>
      </xdr:nvCxnSpPr>
      <xdr:spPr>
        <a:xfrm>
          <a:off x="35859" y="390747"/>
          <a:ext cx="9368678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281454</xdr:colOff>
      <xdr:row>0</xdr:row>
      <xdr:rowOff>323850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3404" cy="323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35859</xdr:colOff>
      <xdr:row>0</xdr:row>
      <xdr:rowOff>390747</xdr:rowOff>
    </xdr:from>
    <xdr:to>
      <xdr:col>30</xdr:col>
      <xdr:colOff>708212</xdr:colOff>
      <xdr:row>0</xdr:row>
      <xdr:rowOff>390747</xdr:rowOff>
    </xdr:to>
    <xdr:cxnSp macro="">
      <xdr:nvCxnSpPr>
        <xdr:cNvPr id="3" name="Conexão recta 7"/>
        <xdr:cNvCxnSpPr/>
      </xdr:nvCxnSpPr>
      <xdr:spPr>
        <a:xfrm>
          <a:off x="35859" y="390747"/>
          <a:ext cx="9368678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281454</xdr:colOff>
      <xdr:row>0</xdr:row>
      <xdr:rowOff>323850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3404" cy="323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35859</xdr:colOff>
      <xdr:row>0</xdr:row>
      <xdr:rowOff>390747</xdr:rowOff>
    </xdr:from>
    <xdr:to>
      <xdr:col>24</xdr:col>
      <xdr:colOff>708212</xdr:colOff>
      <xdr:row>0</xdr:row>
      <xdr:rowOff>390747</xdr:rowOff>
    </xdr:to>
    <xdr:cxnSp macro="">
      <xdr:nvCxnSpPr>
        <xdr:cNvPr id="3" name="Conexão recta 7"/>
        <xdr:cNvCxnSpPr/>
      </xdr:nvCxnSpPr>
      <xdr:spPr>
        <a:xfrm>
          <a:off x="35859" y="390747"/>
          <a:ext cx="9368678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281454</xdr:colOff>
      <xdr:row>0</xdr:row>
      <xdr:rowOff>323850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3404" cy="323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35859</xdr:colOff>
      <xdr:row>0</xdr:row>
      <xdr:rowOff>390747</xdr:rowOff>
    </xdr:from>
    <xdr:to>
      <xdr:col>24</xdr:col>
      <xdr:colOff>708212</xdr:colOff>
      <xdr:row>0</xdr:row>
      <xdr:rowOff>390747</xdr:rowOff>
    </xdr:to>
    <xdr:cxnSp macro="">
      <xdr:nvCxnSpPr>
        <xdr:cNvPr id="3" name="Conexão recta 7"/>
        <xdr:cNvCxnSpPr/>
      </xdr:nvCxnSpPr>
      <xdr:spPr>
        <a:xfrm>
          <a:off x="35859" y="390747"/>
          <a:ext cx="9368678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281454</xdr:colOff>
      <xdr:row>0</xdr:row>
      <xdr:rowOff>323850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3404" cy="323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35859</xdr:colOff>
      <xdr:row>0</xdr:row>
      <xdr:rowOff>390747</xdr:rowOff>
    </xdr:from>
    <xdr:to>
      <xdr:col>24</xdr:col>
      <xdr:colOff>708212</xdr:colOff>
      <xdr:row>0</xdr:row>
      <xdr:rowOff>390747</xdr:rowOff>
    </xdr:to>
    <xdr:cxnSp macro="">
      <xdr:nvCxnSpPr>
        <xdr:cNvPr id="3" name="Conexão recta 7"/>
        <xdr:cNvCxnSpPr/>
      </xdr:nvCxnSpPr>
      <xdr:spPr>
        <a:xfrm>
          <a:off x="35859" y="390747"/>
          <a:ext cx="9368678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281454</xdr:colOff>
      <xdr:row>0</xdr:row>
      <xdr:rowOff>323850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3404" cy="323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35859</xdr:colOff>
      <xdr:row>0</xdr:row>
      <xdr:rowOff>390747</xdr:rowOff>
    </xdr:from>
    <xdr:to>
      <xdr:col>24</xdr:col>
      <xdr:colOff>708212</xdr:colOff>
      <xdr:row>0</xdr:row>
      <xdr:rowOff>390747</xdr:rowOff>
    </xdr:to>
    <xdr:cxnSp macro="">
      <xdr:nvCxnSpPr>
        <xdr:cNvPr id="3" name="Conexão recta 7"/>
        <xdr:cNvCxnSpPr/>
      </xdr:nvCxnSpPr>
      <xdr:spPr>
        <a:xfrm>
          <a:off x="35859" y="390747"/>
          <a:ext cx="9368678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281454</xdr:colOff>
      <xdr:row>0</xdr:row>
      <xdr:rowOff>323850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3404" cy="323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BB68"/>
  <sheetViews>
    <sheetView showGridLines="0" showWhiteSpace="0" topLeftCell="A28" zoomScale="70" zoomScaleNormal="70" zoomScalePageLayoutView="85" workbookViewId="0">
      <selection activeCell="A48" sqref="A48:XFD48"/>
    </sheetView>
  </sheetViews>
  <sheetFormatPr defaultRowHeight="14.4" x14ac:dyDescent="0.3"/>
  <cols>
    <col min="1" max="1" width="1.33203125" customWidth="1"/>
    <col min="2" max="2" width="3.5546875" customWidth="1"/>
    <col min="3" max="3" width="10.88671875" customWidth="1"/>
    <col min="4" max="4" width="43.5546875" customWidth="1"/>
    <col min="5" max="5" width="36.6640625" customWidth="1"/>
    <col min="6" max="7" width="3.109375" customWidth="1"/>
    <col min="8" max="8" width="8.33203125" customWidth="1"/>
    <col min="9" max="10" width="2.6640625" customWidth="1"/>
    <col min="11" max="11" width="6.5546875" customWidth="1"/>
    <col min="12" max="13" width="2.6640625" customWidth="1"/>
    <col min="14" max="14" width="7" customWidth="1"/>
    <col min="15" max="16" width="2.6640625" customWidth="1"/>
    <col min="17" max="17" width="7.44140625" customWidth="1"/>
    <col min="18" max="19" width="2.6640625" customWidth="1"/>
    <col min="20" max="20" width="7.33203125" customWidth="1"/>
    <col min="21" max="22" width="2.6640625" customWidth="1"/>
    <col min="23" max="23" width="6.88671875" customWidth="1"/>
    <col min="24" max="25" width="2.6640625" customWidth="1"/>
    <col min="26" max="26" width="6.6640625" customWidth="1"/>
    <col min="27" max="28" width="2.6640625" customWidth="1"/>
    <col min="29" max="29" width="7.6640625" customWidth="1"/>
    <col min="30" max="31" width="2.6640625" customWidth="1"/>
    <col min="32" max="32" width="6.44140625" customWidth="1"/>
    <col min="33" max="33" width="3" customWidth="1"/>
    <col min="34" max="34" width="3.109375" customWidth="1"/>
    <col min="35" max="35" width="6.6640625" customWidth="1"/>
    <col min="36" max="36" width="5.109375" customWidth="1"/>
    <col min="37" max="37" width="3" customWidth="1"/>
    <col min="38" max="38" width="7.109375" customWidth="1"/>
    <col min="39" max="40" width="3.44140625" customWidth="1"/>
    <col min="41" max="41" width="5.44140625" customWidth="1"/>
    <col min="42" max="42" width="17" customWidth="1"/>
    <col min="43" max="43" width="9.44140625" customWidth="1"/>
    <col min="48" max="53" width="9.6640625" bestFit="1" customWidth="1"/>
  </cols>
  <sheetData>
    <row r="1" spans="1:53" ht="9.9" customHeight="1" x14ac:dyDescent="0.5">
      <c r="A1" s="212" t="s">
        <v>74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2"/>
      <c r="AP1" s="212"/>
      <c r="AQ1" s="122"/>
    </row>
    <row r="2" spans="1:53" ht="9.9" customHeight="1" x14ac:dyDescent="0.5">
      <c r="A2" s="212"/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122"/>
    </row>
    <row r="3" spans="1:53" ht="9.9" customHeight="1" x14ac:dyDescent="0.5">
      <c r="A3" s="212"/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  <c r="AC3" s="212"/>
      <c r="AD3" s="212"/>
      <c r="AE3" s="212"/>
      <c r="AF3" s="212"/>
      <c r="AG3" s="212"/>
      <c r="AH3" s="212"/>
      <c r="AI3" s="212"/>
      <c r="AJ3" s="212"/>
      <c r="AK3" s="212"/>
      <c r="AL3" s="212"/>
      <c r="AM3" s="212"/>
      <c r="AN3" s="212"/>
      <c r="AO3" s="212"/>
      <c r="AP3" s="212"/>
      <c r="AQ3" s="122"/>
    </row>
    <row r="4" spans="1:53" ht="9.9" customHeight="1" x14ac:dyDescent="0.5">
      <c r="A4" s="212"/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122"/>
    </row>
    <row r="5" spans="1:53" ht="9.9" customHeight="1" x14ac:dyDescent="0.45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</row>
    <row r="6" spans="1:53" ht="9.9" customHeight="1" x14ac:dyDescent="0.4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</row>
    <row r="7" spans="1:53" ht="23.25" customHeight="1" x14ac:dyDescent="0.3">
      <c r="B7" s="213" t="s">
        <v>45</v>
      </c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  <c r="AA7" s="213"/>
      <c r="AB7" s="213"/>
      <c r="AC7" s="213"/>
      <c r="AD7" s="213"/>
      <c r="AE7" s="213"/>
      <c r="AF7" s="213"/>
      <c r="AG7" s="213"/>
      <c r="AH7" s="213"/>
      <c r="AI7" s="213"/>
      <c r="AJ7" s="213"/>
      <c r="AK7" s="213"/>
      <c r="AL7" s="213"/>
      <c r="AM7" s="213"/>
      <c r="AN7" s="213"/>
      <c r="AO7" s="213"/>
      <c r="AP7" s="213"/>
      <c r="AQ7" s="123"/>
    </row>
    <row r="8" spans="1:53" ht="22.5" customHeight="1" x14ac:dyDescent="0.3">
      <c r="B8" s="121"/>
      <c r="C8" s="214" t="s">
        <v>46</v>
      </c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  <c r="AK8" s="214"/>
      <c r="AL8" s="214"/>
      <c r="AM8" s="214"/>
      <c r="AN8" s="214"/>
      <c r="AO8" s="214"/>
      <c r="AP8" s="214"/>
      <c r="AQ8" s="124"/>
    </row>
    <row r="9" spans="1:53" ht="16.5" customHeight="1" thickBot="1" x14ac:dyDescent="0.4">
      <c r="B9" s="72"/>
      <c r="C9" s="72"/>
      <c r="D9" s="72"/>
      <c r="E9" s="72"/>
      <c r="F9" s="72"/>
      <c r="G9" s="72"/>
      <c r="H9" s="72"/>
      <c r="I9" s="72"/>
      <c r="J9" s="72"/>
      <c r="K9" s="215" t="s">
        <v>47</v>
      </c>
      <c r="L9" s="215"/>
      <c r="M9" s="215"/>
      <c r="N9" s="215"/>
      <c r="O9" s="216" t="s">
        <v>48</v>
      </c>
      <c r="P9" s="216"/>
      <c r="Q9" s="216"/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73"/>
      <c r="AE9" s="218" t="s">
        <v>49</v>
      </c>
      <c r="AF9" s="218"/>
      <c r="AG9" s="218"/>
      <c r="AH9" s="218"/>
      <c r="AI9" s="218"/>
      <c r="AJ9" s="218"/>
      <c r="AK9" s="218"/>
      <c r="AL9" s="74"/>
      <c r="AM9" s="74"/>
      <c r="AN9" s="74"/>
      <c r="AO9" s="74"/>
      <c r="AP9" s="74"/>
      <c r="AQ9" s="74"/>
    </row>
    <row r="10" spans="1:53" ht="15" customHeight="1" thickTop="1" x14ac:dyDescent="0.35">
      <c r="B10" s="219" t="s">
        <v>50</v>
      </c>
      <c r="C10" s="219"/>
      <c r="D10" s="219"/>
      <c r="E10" s="125"/>
      <c r="F10" s="174"/>
      <c r="G10" s="174"/>
      <c r="H10" s="174"/>
      <c r="I10" s="72"/>
      <c r="J10" s="72"/>
      <c r="K10" s="215"/>
      <c r="L10" s="215"/>
      <c r="M10" s="215"/>
      <c r="N10" s="215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74"/>
      <c r="AE10" s="218" t="s">
        <v>86</v>
      </c>
      <c r="AF10" s="218"/>
      <c r="AG10" s="218"/>
      <c r="AH10" s="218"/>
      <c r="AI10" s="218"/>
      <c r="AJ10" s="218"/>
      <c r="AK10" s="218"/>
      <c r="AL10" s="121" t="s">
        <v>51</v>
      </c>
      <c r="AM10" s="220">
        <f>SUM(AM12,AM11)</f>
        <v>42</v>
      </c>
      <c r="AN10" s="220"/>
      <c r="AO10" s="221">
        <v>46003</v>
      </c>
      <c r="AP10" s="222"/>
      <c r="AQ10" s="161"/>
    </row>
    <row r="11" spans="1:53" ht="18" customHeight="1" x14ac:dyDescent="0.35">
      <c r="B11" s="230" t="s">
        <v>52</v>
      </c>
      <c r="C11" s="230"/>
      <c r="D11" s="230"/>
      <c r="E11" s="120"/>
      <c r="F11" s="172"/>
      <c r="G11" s="172"/>
      <c r="H11" s="172"/>
      <c r="I11" s="72"/>
      <c r="J11" s="72"/>
      <c r="K11" s="220" t="s">
        <v>53</v>
      </c>
      <c r="L11" s="220"/>
      <c r="M11" s="231" t="s">
        <v>88</v>
      </c>
      <c r="N11" s="231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74"/>
      <c r="AE11" s="218"/>
      <c r="AF11" s="218"/>
      <c r="AG11" s="218"/>
      <c r="AH11" s="218"/>
      <c r="AI11" s="218"/>
      <c r="AJ11" s="218"/>
      <c r="AK11" s="218"/>
      <c r="AL11" s="121" t="s">
        <v>54</v>
      </c>
      <c r="AM11" s="232">
        <f>COUNTIF(AS17:AS58,"M")</f>
        <v>8</v>
      </c>
      <c r="AN11" s="232"/>
      <c r="AO11" s="223"/>
      <c r="AP11" s="224"/>
      <c r="AQ11" s="161"/>
    </row>
    <row r="12" spans="1:53" ht="16.5" customHeight="1" thickBot="1" x14ac:dyDescent="0.35">
      <c r="B12" s="232" t="s">
        <v>55</v>
      </c>
      <c r="C12" s="232"/>
      <c r="D12" s="232"/>
      <c r="E12" s="121"/>
      <c r="F12" s="173"/>
      <c r="G12" s="173"/>
      <c r="H12" s="173"/>
      <c r="I12" s="72"/>
      <c r="J12" s="72"/>
      <c r="K12" s="220"/>
      <c r="L12" s="220"/>
      <c r="M12" s="231"/>
      <c r="N12" s="231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33" t="s">
        <v>98</v>
      </c>
      <c r="AE12" s="233"/>
      <c r="AF12" s="233"/>
      <c r="AG12" s="233"/>
      <c r="AH12" s="233"/>
      <c r="AI12" s="233"/>
      <c r="AJ12" s="233"/>
      <c r="AK12" s="233"/>
      <c r="AL12" s="121" t="s">
        <v>56</v>
      </c>
      <c r="AM12" s="234">
        <f>COUNTIF(AS17:AS58,"F")</f>
        <v>34</v>
      </c>
      <c r="AN12" s="234"/>
      <c r="AO12" s="225"/>
      <c r="AP12" s="226"/>
      <c r="AQ12" s="161"/>
    </row>
    <row r="13" spans="1:53" ht="19.5" customHeight="1" thickTop="1" thickBot="1" x14ac:dyDescent="0.35">
      <c r="B13" s="230" t="s">
        <v>95</v>
      </c>
      <c r="C13" s="230"/>
      <c r="D13" s="230"/>
      <c r="E13" s="120"/>
      <c r="F13" s="172"/>
      <c r="G13" s="172"/>
      <c r="H13" s="1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5"/>
      <c r="AB13" s="75"/>
      <c r="AC13" s="75"/>
      <c r="AD13" s="75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5"/>
      <c r="AQ13" s="75"/>
    </row>
    <row r="14" spans="1:53" ht="23.25" customHeight="1" thickBot="1" x14ac:dyDescent="0.35">
      <c r="B14" s="235" t="s">
        <v>57</v>
      </c>
      <c r="C14" s="235" t="s">
        <v>58</v>
      </c>
      <c r="D14" s="237" t="s">
        <v>59</v>
      </c>
      <c r="E14" s="239" t="s">
        <v>60</v>
      </c>
      <c r="F14" s="227" t="s">
        <v>96</v>
      </c>
      <c r="G14" s="228"/>
      <c r="H14" s="229"/>
      <c r="I14" s="227" t="s">
        <v>61</v>
      </c>
      <c r="J14" s="228"/>
      <c r="K14" s="229"/>
      <c r="L14" s="246" t="s">
        <v>62</v>
      </c>
      <c r="M14" s="246"/>
      <c r="N14" s="246"/>
      <c r="O14" s="227" t="s">
        <v>63</v>
      </c>
      <c r="P14" s="228"/>
      <c r="Q14" s="229"/>
      <c r="R14" s="227" t="s">
        <v>77</v>
      </c>
      <c r="S14" s="228"/>
      <c r="T14" s="229"/>
      <c r="U14" s="245" t="s">
        <v>75</v>
      </c>
      <c r="V14" s="246"/>
      <c r="W14" s="247"/>
      <c r="X14" s="245" t="s">
        <v>89</v>
      </c>
      <c r="Y14" s="246"/>
      <c r="Z14" s="247"/>
      <c r="AA14" s="245" t="s">
        <v>64</v>
      </c>
      <c r="AB14" s="246"/>
      <c r="AC14" s="247"/>
      <c r="AD14" s="245" t="s">
        <v>65</v>
      </c>
      <c r="AE14" s="246"/>
      <c r="AF14" s="247"/>
      <c r="AG14" s="245" t="s">
        <v>90</v>
      </c>
      <c r="AH14" s="246"/>
      <c r="AI14" s="247"/>
      <c r="AJ14" s="245" t="s">
        <v>76</v>
      </c>
      <c r="AK14" s="246"/>
      <c r="AL14" s="246"/>
      <c r="AM14" s="245" t="s">
        <v>78</v>
      </c>
      <c r="AN14" s="246"/>
      <c r="AO14" s="247"/>
      <c r="AP14" s="258" t="s">
        <v>3</v>
      </c>
      <c r="AQ14" s="258" t="s">
        <v>81</v>
      </c>
      <c r="AR14" s="249" t="s">
        <v>66</v>
      </c>
      <c r="AS14" s="251" t="s">
        <v>67</v>
      </c>
      <c r="AT14" s="253" t="s">
        <v>68</v>
      </c>
      <c r="AU14" s="253"/>
      <c r="AV14" s="253"/>
      <c r="AW14" s="253"/>
      <c r="AX14" s="253"/>
      <c r="AY14" s="253"/>
      <c r="AZ14" s="253"/>
      <c r="BA14" s="253"/>
    </row>
    <row r="15" spans="1:53" ht="12.9" customHeight="1" thickBot="1" x14ac:dyDescent="0.35">
      <c r="B15" s="236"/>
      <c r="C15" s="236"/>
      <c r="D15" s="238"/>
      <c r="E15" s="240"/>
      <c r="F15" s="254" t="s">
        <v>15</v>
      </c>
      <c r="G15" s="255"/>
      <c r="H15" s="241" t="s">
        <v>85</v>
      </c>
      <c r="I15" s="254" t="s">
        <v>15</v>
      </c>
      <c r="J15" s="255"/>
      <c r="K15" s="241" t="s">
        <v>85</v>
      </c>
      <c r="L15" s="256" t="s">
        <v>15</v>
      </c>
      <c r="M15" s="256"/>
      <c r="N15" s="241" t="s">
        <v>85</v>
      </c>
      <c r="O15" s="257" t="s">
        <v>15</v>
      </c>
      <c r="P15" s="256"/>
      <c r="Q15" s="241" t="s">
        <v>85</v>
      </c>
      <c r="R15" s="256" t="s">
        <v>15</v>
      </c>
      <c r="S15" s="256"/>
      <c r="T15" s="241" t="s">
        <v>85</v>
      </c>
      <c r="U15" s="243" t="s">
        <v>15</v>
      </c>
      <c r="V15" s="248"/>
      <c r="W15" s="241" t="s">
        <v>85</v>
      </c>
      <c r="X15" s="243" t="s">
        <v>15</v>
      </c>
      <c r="Y15" s="244"/>
      <c r="Z15" s="241" t="s">
        <v>85</v>
      </c>
      <c r="AA15" s="248" t="s">
        <v>15</v>
      </c>
      <c r="AB15" s="248"/>
      <c r="AC15" s="241" t="s">
        <v>85</v>
      </c>
      <c r="AD15" s="243" t="s">
        <v>15</v>
      </c>
      <c r="AE15" s="244"/>
      <c r="AF15" s="241" t="s">
        <v>85</v>
      </c>
      <c r="AG15" s="243" t="s">
        <v>15</v>
      </c>
      <c r="AH15" s="248"/>
      <c r="AI15" s="241" t="s">
        <v>85</v>
      </c>
      <c r="AJ15" s="243" t="s">
        <v>15</v>
      </c>
      <c r="AK15" s="244"/>
      <c r="AL15" s="241" t="s">
        <v>85</v>
      </c>
      <c r="AM15" s="243" t="s">
        <v>15</v>
      </c>
      <c r="AN15" s="244"/>
      <c r="AO15" s="241" t="s">
        <v>85</v>
      </c>
      <c r="AP15" s="259"/>
      <c r="AQ15" s="259"/>
      <c r="AR15" s="250"/>
      <c r="AS15" s="252"/>
      <c r="AT15" s="253" t="s">
        <v>69</v>
      </c>
      <c r="AU15" s="253"/>
      <c r="AV15" s="260" t="s">
        <v>79</v>
      </c>
      <c r="AW15" s="260"/>
      <c r="AX15" s="261" t="s">
        <v>80</v>
      </c>
      <c r="AY15" s="261"/>
      <c r="AZ15" s="262" t="s">
        <v>70</v>
      </c>
      <c r="BA15" s="262"/>
    </row>
    <row r="16" spans="1:53" ht="12.9" customHeight="1" thickBot="1" x14ac:dyDescent="0.35">
      <c r="B16" s="236"/>
      <c r="C16" s="236"/>
      <c r="D16" s="238"/>
      <c r="E16" s="240"/>
      <c r="F16" s="77" t="s">
        <v>17</v>
      </c>
      <c r="G16" s="78" t="s">
        <v>18</v>
      </c>
      <c r="H16" s="242"/>
      <c r="I16" s="77" t="s">
        <v>17</v>
      </c>
      <c r="J16" s="78" t="s">
        <v>18</v>
      </c>
      <c r="K16" s="242"/>
      <c r="L16" s="79" t="s">
        <v>17</v>
      </c>
      <c r="M16" s="80" t="s">
        <v>18</v>
      </c>
      <c r="N16" s="242"/>
      <c r="O16" s="81" t="s">
        <v>17</v>
      </c>
      <c r="P16" s="80" t="s">
        <v>18</v>
      </c>
      <c r="Q16" s="242"/>
      <c r="R16" s="79" t="s">
        <v>17</v>
      </c>
      <c r="S16" s="80" t="s">
        <v>18</v>
      </c>
      <c r="T16" s="242"/>
      <c r="U16" s="81" t="s">
        <v>17</v>
      </c>
      <c r="V16" s="80" t="s">
        <v>18</v>
      </c>
      <c r="W16" s="242"/>
      <c r="X16" s="81" t="s">
        <v>17</v>
      </c>
      <c r="Y16" s="80" t="s">
        <v>18</v>
      </c>
      <c r="Z16" s="242"/>
      <c r="AA16" s="79" t="s">
        <v>17</v>
      </c>
      <c r="AB16" s="80" t="s">
        <v>18</v>
      </c>
      <c r="AC16" s="242"/>
      <c r="AD16" s="81" t="s">
        <v>17</v>
      </c>
      <c r="AE16" s="80" t="s">
        <v>18</v>
      </c>
      <c r="AF16" s="242"/>
      <c r="AG16" s="81" t="s">
        <v>17</v>
      </c>
      <c r="AH16" s="80" t="s">
        <v>18</v>
      </c>
      <c r="AI16" s="242"/>
      <c r="AJ16" s="81" t="s">
        <v>17</v>
      </c>
      <c r="AK16" s="80" t="s">
        <v>18</v>
      </c>
      <c r="AL16" s="242"/>
      <c r="AM16" s="81" t="s">
        <v>17</v>
      </c>
      <c r="AN16" s="80" t="s">
        <v>18</v>
      </c>
      <c r="AO16" s="242"/>
      <c r="AP16" s="259"/>
      <c r="AQ16" s="259"/>
      <c r="AR16" s="250"/>
      <c r="AS16" s="252"/>
      <c r="AT16" s="119" t="s">
        <v>54</v>
      </c>
      <c r="AU16" s="119" t="s">
        <v>56</v>
      </c>
      <c r="AV16" s="82" t="s">
        <v>54</v>
      </c>
      <c r="AW16" s="82" t="s">
        <v>56</v>
      </c>
      <c r="AX16" s="82" t="s">
        <v>54</v>
      </c>
      <c r="AY16" s="82" t="s">
        <v>56</v>
      </c>
      <c r="AZ16" s="82" t="s">
        <v>54</v>
      </c>
      <c r="BA16" s="82" t="s">
        <v>56</v>
      </c>
    </row>
    <row r="17" spans="2:54" ht="15" customHeight="1" thickTop="1" thickBot="1" x14ac:dyDescent="0.35">
      <c r="B17" s="83">
        <v>1</v>
      </c>
      <c r="C17" s="186">
        <v>2582</v>
      </c>
      <c r="D17" s="190" t="s">
        <v>99</v>
      </c>
      <c r="E17" s="102"/>
      <c r="F17" s="109"/>
      <c r="G17" s="84"/>
      <c r="H17" s="85">
        <f>SUM('12EG -A- S.COLECT.'!K10)</f>
        <v>14.666666666666666</v>
      </c>
      <c r="I17" s="109"/>
      <c r="J17" s="84"/>
      <c r="K17" s="85">
        <f>SUM('12EG -A- S. MENTAL'!K10)</f>
        <v>7.666666666666667</v>
      </c>
      <c r="L17" s="87"/>
      <c r="M17" s="86"/>
      <c r="N17" s="85">
        <f>SUM('12EG -A- EPIDEMIOL.'!K10)</f>
        <v>11</v>
      </c>
      <c r="O17" s="87"/>
      <c r="P17" s="86"/>
      <c r="Q17" s="85">
        <f>SUM('12EG-A- F.A.E'!K10)</f>
        <v>1.6666666666666667</v>
      </c>
      <c r="R17" s="88"/>
      <c r="S17" s="86"/>
      <c r="T17" s="85">
        <f>SUM('12EG -A- URGÊNCIA'!K10)</f>
        <v>6.666666666666667</v>
      </c>
      <c r="U17" s="87"/>
      <c r="V17" s="86"/>
      <c r="W17" s="85">
        <f>SUM('12EG -A- N.D'!K10)</f>
        <v>8.8333333333333339</v>
      </c>
      <c r="X17" s="87"/>
      <c r="Y17" s="86"/>
      <c r="Z17" s="85">
        <f>SUM('12EG -A- A.E.P.M.C'!K10)</f>
        <v>9.3333333333333339</v>
      </c>
      <c r="AA17" s="88"/>
      <c r="AB17" s="86"/>
      <c r="AC17" s="85">
        <f>SUM('12EG -A- TEC. ENFER'!K10)</f>
        <v>3.6666666666666665</v>
      </c>
      <c r="AD17" s="87"/>
      <c r="AE17" s="86"/>
      <c r="AF17" s="85">
        <f>SUM('12EG -A- A.E.S.M'!K10)</f>
        <v>12</v>
      </c>
      <c r="AG17" s="88"/>
      <c r="AH17" s="86"/>
      <c r="AI17" s="85">
        <f>SUM('12EG -A- PROJ. TEC'!K10)</f>
        <v>0</v>
      </c>
      <c r="AJ17" s="88"/>
      <c r="AK17" s="86"/>
      <c r="AL17" s="85">
        <f>SUM('12EG -A- A.E.S.Ç'!K10)</f>
        <v>12.666666666666666</v>
      </c>
      <c r="AM17" s="88"/>
      <c r="AN17" s="89"/>
      <c r="AO17" s="85">
        <f>SUM('12EG -A- GESTÃO ENF.'!K10)</f>
        <v>2.6666666666666665</v>
      </c>
      <c r="AP17" s="106" t="s">
        <v>143</v>
      </c>
      <c r="AQ17" s="113">
        <f>AVERAGE(H17:AO17)</f>
        <v>7.5694444444444455</v>
      </c>
      <c r="AR17" s="180">
        <v>17</v>
      </c>
      <c r="AS17" s="183" t="s">
        <v>54</v>
      </c>
      <c r="AT17" s="90">
        <f>COUNTIF(AS17:AS58,"M")</f>
        <v>8</v>
      </c>
      <c r="AU17" s="91">
        <f>COUNTIF(AS17:AS58,"F")</f>
        <v>34</v>
      </c>
      <c r="AV17" s="92">
        <f>COUNTIFS(AP17:AP58,"TRANSITA",AS17:AS58,"M")</f>
        <v>1</v>
      </c>
      <c r="AW17" s="92">
        <f>COUNTIFS(AP17:AP58,"TRANSITA",AS17:AS58,"F")</f>
        <v>18</v>
      </c>
      <c r="AX17" s="92">
        <f>COUNTIFS(AP17:AP58,"N/TRANSITA",AS17:AS58,"M")</f>
        <v>7</v>
      </c>
      <c r="AY17" s="92">
        <f>COUNTIFS(AP17:AP58,"N/TRANSITA",AS17:AS58,"F")</f>
        <v>16</v>
      </c>
      <c r="AZ17" s="92">
        <f>COUNTIFS(AP17:AP58,"Desistido",AS17:AS58,"M")</f>
        <v>0</v>
      </c>
      <c r="BA17" s="92">
        <f>COUNTIFS(AP17:AP58,"Desistida",AS17:AS58,"F")</f>
        <v>0</v>
      </c>
    </row>
    <row r="18" spans="2:54" ht="15" customHeight="1" thickBot="1" x14ac:dyDescent="0.35">
      <c r="B18" s="93">
        <v>2</v>
      </c>
      <c r="C18" s="187">
        <v>2150</v>
      </c>
      <c r="D18" s="191" t="s">
        <v>100</v>
      </c>
      <c r="E18" s="112"/>
      <c r="F18" s="110"/>
      <c r="G18" s="94"/>
      <c r="H18" s="128">
        <f>SUM('12EG -A- S.COLECT.'!K11)</f>
        <v>19.666666666666668</v>
      </c>
      <c r="I18" s="110"/>
      <c r="J18" s="94"/>
      <c r="K18" s="128">
        <f>SUM('12EG -A- S. MENTAL'!K11)</f>
        <v>16</v>
      </c>
      <c r="L18" s="130"/>
      <c r="M18" s="127"/>
      <c r="N18" s="128">
        <f>SUM('12EG -A- EPIDEMIOL.'!K11)</f>
        <v>13.666666666666666</v>
      </c>
      <c r="O18" s="130"/>
      <c r="P18" s="127"/>
      <c r="Q18" s="128">
        <f>SUM('12EG-A- F.A.E'!K11)</f>
        <v>10</v>
      </c>
      <c r="R18" s="133"/>
      <c r="S18" s="127"/>
      <c r="T18" s="128">
        <f>SUM('12EG -A- URGÊNCIA'!K11)</f>
        <v>11.666666666666666</v>
      </c>
      <c r="U18" s="130"/>
      <c r="V18" s="127"/>
      <c r="W18" s="128">
        <f>SUM('12EG -A- N.D'!K11)</f>
        <v>15.333333333333334</v>
      </c>
      <c r="X18" s="130"/>
      <c r="Y18" s="127"/>
      <c r="Z18" s="128">
        <f>SUM('12EG -A- A.E.P.M.C'!K11)</f>
        <v>14.833333333333334</v>
      </c>
      <c r="AA18" s="133"/>
      <c r="AB18" s="127"/>
      <c r="AC18" s="128">
        <f>SUM('12EG -A- TEC. ENFER'!K11)</f>
        <v>11</v>
      </c>
      <c r="AD18" s="130"/>
      <c r="AE18" s="127"/>
      <c r="AF18" s="128">
        <f>SUM('12EG -A- A.E.S.M'!K11)</f>
        <v>12</v>
      </c>
      <c r="AG18" s="133"/>
      <c r="AH18" s="127"/>
      <c r="AI18" s="128">
        <f>SUM('12EG -A- PROJ. TEC'!K11)</f>
        <v>15.333333333333334</v>
      </c>
      <c r="AJ18" s="133"/>
      <c r="AK18" s="127"/>
      <c r="AL18" s="128">
        <f>SUM('12EG -A- A.E.S.Ç'!K11)</f>
        <v>16.666666666666668</v>
      </c>
      <c r="AM18" s="133"/>
      <c r="AN18" s="126"/>
      <c r="AO18" s="128">
        <f>SUM('12EG -A- GESTÃO ENF.'!K11)</f>
        <v>5.166666666666667</v>
      </c>
      <c r="AP18" s="107" t="s">
        <v>143</v>
      </c>
      <c r="AQ18" s="113">
        <f t="shared" ref="AQ18:AQ58" si="0">AVERAGE(H18:AO18)</f>
        <v>13.444444444444443</v>
      </c>
      <c r="AR18" s="181">
        <v>17</v>
      </c>
      <c r="AS18" s="184" t="s">
        <v>56</v>
      </c>
      <c r="AT18" s="263">
        <f>SUM(AT17:AU17)</f>
        <v>42</v>
      </c>
      <c r="AU18" s="264"/>
      <c r="AV18" s="265">
        <f>SUM(AV17:AW17)</f>
        <v>19</v>
      </c>
      <c r="AW18" s="265"/>
      <c r="AX18" s="264">
        <f>SUM(AX17:AY17)</f>
        <v>23</v>
      </c>
      <c r="AY18" s="264"/>
      <c r="AZ18" s="264">
        <f>SUM(AZ17:BA17)</f>
        <v>0</v>
      </c>
      <c r="BA18" s="264"/>
    </row>
    <row r="19" spans="2:54" s="95" customFormat="1" ht="15" customHeight="1" thickBot="1" x14ac:dyDescent="0.35">
      <c r="B19" s="93">
        <v>3</v>
      </c>
      <c r="C19" s="187">
        <v>1791</v>
      </c>
      <c r="D19" s="191" t="s">
        <v>101</v>
      </c>
      <c r="E19" s="103"/>
      <c r="F19" s="110"/>
      <c r="G19" s="94"/>
      <c r="H19" s="128">
        <f>SUM('12EG -A- S.COLECT.'!K12)</f>
        <v>18.5</v>
      </c>
      <c r="I19" s="110"/>
      <c r="J19" s="94"/>
      <c r="K19" s="128">
        <f>SUM('12EG -A- S. MENTAL'!K12)</f>
        <v>15</v>
      </c>
      <c r="L19" s="130"/>
      <c r="M19" s="127"/>
      <c r="N19" s="128">
        <f>SUM('12EG -A- EPIDEMIOL.'!K12)</f>
        <v>5.333333333333333</v>
      </c>
      <c r="O19" s="130"/>
      <c r="P19" s="127"/>
      <c r="Q19" s="128">
        <f>SUM('12EG-A- F.A.E'!K12)</f>
        <v>12</v>
      </c>
      <c r="R19" s="133"/>
      <c r="S19" s="127"/>
      <c r="T19" s="128">
        <f>SUM('12EG -A- URGÊNCIA'!K12)</f>
        <v>11</v>
      </c>
      <c r="U19" s="130"/>
      <c r="V19" s="127"/>
      <c r="W19" s="128">
        <f>SUM('12EG -A- N.D'!K12)</f>
        <v>14.833333333333334</v>
      </c>
      <c r="X19" s="130"/>
      <c r="Y19" s="127"/>
      <c r="Z19" s="128">
        <f>SUM('12EG -A- A.E.P.M.C'!K12)</f>
        <v>13.833333333333334</v>
      </c>
      <c r="AA19" s="133"/>
      <c r="AB19" s="127"/>
      <c r="AC19" s="128">
        <f>SUM('12EG -A- TEC. ENFER'!K12)</f>
        <v>11.5</v>
      </c>
      <c r="AD19" s="130"/>
      <c r="AE19" s="127"/>
      <c r="AF19" s="128">
        <f>SUM('12EG -A- A.E.S.M'!K12)</f>
        <v>12</v>
      </c>
      <c r="AG19" s="133"/>
      <c r="AH19" s="127"/>
      <c r="AI19" s="128">
        <f>SUM('12EG -A- PROJ. TEC'!K12)</f>
        <v>17.333333333333332</v>
      </c>
      <c r="AJ19" s="133"/>
      <c r="AK19" s="127"/>
      <c r="AL19" s="128">
        <f>SUM('12EG -A- A.E.S.Ç'!K12)</f>
        <v>17.666666666666668</v>
      </c>
      <c r="AM19" s="133"/>
      <c r="AN19" s="126"/>
      <c r="AO19" s="128">
        <f>SUM('12EG -A- GESTÃO ENF.'!K12)</f>
        <v>5.5</v>
      </c>
      <c r="AP19" s="107" t="s">
        <v>143</v>
      </c>
      <c r="AQ19" s="113">
        <f t="shared" si="0"/>
        <v>12.875</v>
      </c>
      <c r="AR19" s="181">
        <v>17</v>
      </c>
      <c r="AS19" s="184" t="s">
        <v>56</v>
      </c>
    </row>
    <row r="20" spans="2:54" ht="15" customHeight="1" thickBot="1" x14ac:dyDescent="0.35">
      <c r="B20" s="93">
        <v>4</v>
      </c>
      <c r="C20" s="187">
        <v>2623</v>
      </c>
      <c r="D20" s="191" t="s">
        <v>102</v>
      </c>
      <c r="E20" s="103"/>
      <c r="F20" s="110"/>
      <c r="G20" s="94"/>
      <c r="H20" s="128">
        <f>SUM('12EG -A- S.COLECT.'!K13)</f>
        <v>19</v>
      </c>
      <c r="I20" s="110"/>
      <c r="J20" s="94"/>
      <c r="K20" s="128">
        <f>SUM('12EG -A- S. MENTAL'!K13)</f>
        <v>14.5</v>
      </c>
      <c r="L20" s="130"/>
      <c r="M20" s="127"/>
      <c r="N20" s="128">
        <f>SUM('12EG -A- EPIDEMIOL.'!K13)</f>
        <v>16</v>
      </c>
      <c r="O20" s="130"/>
      <c r="P20" s="127"/>
      <c r="Q20" s="128">
        <f>SUM('12EG-A- F.A.E'!K13)</f>
        <v>12.666666666666666</v>
      </c>
      <c r="R20" s="133"/>
      <c r="S20" s="127"/>
      <c r="T20" s="128">
        <f>SUM('12EG -A- URGÊNCIA'!K13)</f>
        <v>13.5</v>
      </c>
      <c r="U20" s="130"/>
      <c r="V20" s="127"/>
      <c r="W20" s="128">
        <f>SUM('12EG -A- N.D'!K13)</f>
        <v>17</v>
      </c>
      <c r="X20" s="130"/>
      <c r="Y20" s="127"/>
      <c r="Z20" s="128">
        <f>SUM('12EG -A- A.E.P.M.C'!K13)</f>
        <v>18</v>
      </c>
      <c r="AA20" s="133"/>
      <c r="AB20" s="127"/>
      <c r="AC20" s="128">
        <f>SUM('12EG -A- TEC. ENFER'!K13)</f>
        <v>12.866666666666667</v>
      </c>
      <c r="AD20" s="130"/>
      <c r="AE20" s="127"/>
      <c r="AF20" s="128">
        <f>SUM('12EG -A- A.E.S.M'!K13)</f>
        <v>12</v>
      </c>
      <c r="AG20" s="133"/>
      <c r="AH20" s="127"/>
      <c r="AI20" s="128">
        <f>SUM('12EG -A- PROJ. TEC'!K13)</f>
        <v>17.666666666666668</v>
      </c>
      <c r="AJ20" s="133"/>
      <c r="AK20" s="127"/>
      <c r="AL20" s="128">
        <f>SUM('12EG -A- A.E.S.Ç'!K13)</f>
        <v>17.833333333333332</v>
      </c>
      <c r="AM20" s="133"/>
      <c r="AN20" s="126"/>
      <c r="AO20" s="128">
        <f>SUM('12EG -A- GESTÃO ENF.'!K13)</f>
        <v>10.5</v>
      </c>
      <c r="AP20" s="107" t="s">
        <v>93</v>
      </c>
      <c r="AQ20" s="113">
        <f t="shared" si="0"/>
        <v>15.127777777777778</v>
      </c>
      <c r="AR20" s="181">
        <v>17</v>
      </c>
      <c r="AS20" s="184" t="s">
        <v>56</v>
      </c>
    </row>
    <row r="21" spans="2:54" ht="15" customHeight="1" thickBot="1" x14ac:dyDescent="0.35">
      <c r="B21" s="93">
        <v>5</v>
      </c>
      <c r="C21" s="187">
        <v>1818</v>
      </c>
      <c r="D21" s="191" t="s">
        <v>103</v>
      </c>
      <c r="E21" s="103"/>
      <c r="F21" s="110"/>
      <c r="G21" s="94"/>
      <c r="H21" s="128">
        <f>SUM('12EG -A- S.COLECT.'!K14)</f>
        <v>19.666666666666668</v>
      </c>
      <c r="I21" s="110"/>
      <c r="J21" s="94"/>
      <c r="K21" s="128">
        <f>SUM('12EG -A- S. MENTAL'!K14)</f>
        <v>16.333333333333332</v>
      </c>
      <c r="L21" s="130"/>
      <c r="M21" s="127"/>
      <c r="N21" s="128">
        <f>SUM('12EG -A- EPIDEMIOL.'!K14)</f>
        <v>17.333333333333332</v>
      </c>
      <c r="O21" s="130"/>
      <c r="P21" s="127"/>
      <c r="Q21" s="128">
        <f>SUM('12EG-A- F.A.E'!K14)</f>
        <v>12</v>
      </c>
      <c r="R21" s="133"/>
      <c r="S21" s="127"/>
      <c r="T21" s="128">
        <f>SUM('12EG -A- URGÊNCIA'!K14)</f>
        <v>16</v>
      </c>
      <c r="U21" s="130"/>
      <c r="V21" s="127"/>
      <c r="W21" s="128">
        <f>SUM('12EG -A- N.D'!K14)</f>
        <v>18.833333333333332</v>
      </c>
      <c r="X21" s="130"/>
      <c r="Y21" s="127"/>
      <c r="Z21" s="128">
        <f>SUM('12EG -A- A.E.P.M.C'!K14)</f>
        <v>19</v>
      </c>
      <c r="AA21" s="133"/>
      <c r="AB21" s="127"/>
      <c r="AC21" s="128">
        <f>SUM('12EG -A- TEC. ENFER'!K14)</f>
        <v>16.2</v>
      </c>
      <c r="AD21" s="130"/>
      <c r="AE21" s="127"/>
      <c r="AF21" s="128">
        <f>SUM('12EG -A- A.E.S.M'!K14)</f>
        <v>12</v>
      </c>
      <c r="AG21" s="133"/>
      <c r="AH21" s="127"/>
      <c r="AI21" s="128">
        <f>SUM('12EG -A- PROJ. TEC'!K14)</f>
        <v>19.333333333333332</v>
      </c>
      <c r="AJ21" s="133"/>
      <c r="AK21" s="127"/>
      <c r="AL21" s="128">
        <f>SUM('12EG -A- A.E.S.Ç'!K14)</f>
        <v>17.833333333333332</v>
      </c>
      <c r="AM21" s="133"/>
      <c r="AN21" s="126"/>
      <c r="AO21" s="128">
        <f>SUM('12EG -A- GESTÃO ENF.'!K14)</f>
        <v>12.666666666666666</v>
      </c>
      <c r="AP21" s="107" t="s">
        <v>93</v>
      </c>
      <c r="AQ21" s="199">
        <f t="shared" si="0"/>
        <v>16.433333333333334</v>
      </c>
      <c r="AR21" s="181">
        <v>18</v>
      </c>
      <c r="AS21" s="184" t="s">
        <v>56</v>
      </c>
    </row>
    <row r="22" spans="2:54" ht="15" customHeight="1" thickBot="1" x14ac:dyDescent="0.35">
      <c r="B22" s="93">
        <v>6</v>
      </c>
      <c r="C22" s="187">
        <v>1974</v>
      </c>
      <c r="D22" s="191" t="s">
        <v>104</v>
      </c>
      <c r="E22" s="103"/>
      <c r="F22" s="110"/>
      <c r="G22" s="94"/>
      <c r="H22" s="128">
        <f>SUM('12EG -A- S.COLECT.'!K15)</f>
        <v>14.5</v>
      </c>
      <c r="I22" s="110"/>
      <c r="J22" s="94"/>
      <c r="K22" s="128">
        <f>SUM('12EG -A- S. MENTAL'!K15)</f>
        <v>14.333333333333334</v>
      </c>
      <c r="L22" s="130"/>
      <c r="M22" s="127"/>
      <c r="N22" s="128">
        <f>SUM('12EG -A- EPIDEMIOL.'!K15)</f>
        <v>14.666666666666666</v>
      </c>
      <c r="O22" s="130"/>
      <c r="P22" s="127"/>
      <c r="Q22" s="128">
        <f>SUM('12EG-A- F.A.E'!K15)</f>
        <v>2.6666666666666665</v>
      </c>
      <c r="R22" s="133"/>
      <c r="S22" s="127"/>
      <c r="T22" s="128">
        <f>SUM('12EG -A- URGÊNCIA'!K15)</f>
        <v>8.6666666666666661</v>
      </c>
      <c r="U22" s="130"/>
      <c r="V22" s="127"/>
      <c r="W22" s="128">
        <f>SUM('12EG -A- N.D'!K15)</f>
        <v>0</v>
      </c>
      <c r="X22" s="130"/>
      <c r="Y22" s="127"/>
      <c r="Z22" s="128">
        <f>SUM('12EG -A- A.E.P.M.C'!K15)</f>
        <v>0</v>
      </c>
      <c r="AA22" s="133"/>
      <c r="AB22" s="127"/>
      <c r="AC22" s="128">
        <f>SUM('12EG -A- TEC. ENFER'!K15)</f>
        <v>11.200000000000001</v>
      </c>
      <c r="AD22" s="130"/>
      <c r="AE22" s="127"/>
      <c r="AF22" s="128">
        <f>SUM('12EG -A- A.E.S.M'!K15)</f>
        <v>12</v>
      </c>
      <c r="AG22" s="133"/>
      <c r="AH22" s="127"/>
      <c r="AI22" s="128">
        <f>SUM('12EG -A- PROJ. TEC'!K15)</f>
        <v>9.3333333333333339</v>
      </c>
      <c r="AJ22" s="133"/>
      <c r="AK22" s="127"/>
      <c r="AL22" s="128">
        <f>SUM('12EG -A- A.E.S.Ç'!K15)</f>
        <v>15.333333333333334</v>
      </c>
      <c r="AM22" s="133"/>
      <c r="AN22" s="126"/>
      <c r="AO22" s="128">
        <f>SUM('12EG -A- GESTÃO ENF.'!K15)</f>
        <v>9.3333333333333339</v>
      </c>
      <c r="AP22" s="107" t="s">
        <v>143</v>
      </c>
      <c r="AQ22" s="113">
        <f t="shared" si="0"/>
        <v>9.3361111111111104</v>
      </c>
      <c r="AR22" s="181">
        <v>17</v>
      </c>
      <c r="AS22" s="184" t="s">
        <v>56</v>
      </c>
    </row>
    <row r="23" spans="2:54" ht="15" customHeight="1" thickBot="1" x14ac:dyDescent="0.35">
      <c r="B23" s="93">
        <v>7</v>
      </c>
      <c r="C23" s="187">
        <v>2051</v>
      </c>
      <c r="D23" s="191" t="s">
        <v>105</v>
      </c>
      <c r="E23" s="103"/>
      <c r="F23" s="110"/>
      <c r="G23" s="94"/>
      <c r="H23" s="128">
        <f>SUM('12EG -A- S.COLECT.'!K16)</f>
        <v>18.666666666666668</v>
      </c>
      <c r="I23" s="110"/>
      <c r="J23" s="94"/>
      <c r="K23" s="128">
        <f>SUM('12EG -A- S. MENTAL'!K16)</f>
        <v>14.5</v>
      </c>
      <c r="L23" s="130"/>
      <c r="M23" s="127"/>
      <c r="N23" s="128">
        <f>SUM('12EG -A- EPIDEMIOL.'!K16)</f>
        <v>16.666666666666668</v>
      </c>
      <c r="O23" s="130"/>
      <c r="P23" s="127"/>
      <c r="Q23" s="128">
        <f>SUM('12EG-A- F.A.E'!K16)</f>
        <v>12.666666666666666</v>
      </c>
      <c r="R23" s="133"/>
      <c r="S23" s="127"/>
      <c r="T23" s="128">
        <f>SUM('12EG -A- URGÊNCIA'!K16)</f>
        <v>13.833333333333334</v>
      </c>
      <c r="U23" s="130"/>
      <c r="V23" s="127"/>
      <c r="W23" s="128">
        <f>SUM('12EG -A- N.D'!K16)</f>
        <v>18.5</v>
      </c>
      <c r="X23" s="130"/>
      <c r="Y23" s="127"/>
      <c r="Z23" s="128">
        <f>SUM('12EG -A- A.E.P.M.C'!K16)</f>
        <v>16</v>
      </c>
      <c r="AA23" s="133"/>
      <c r="AB23" s="127"/>
      <c r="AC23" s="128">
        <f>SUM('12EG -A- TEC. ENFER'!K16)</f>
        <v>13.6</v>
      </c>
      <c r="AD23" s="130"/>
      <c r="AE23" s="127"/>
      <c r="AF23" s="128">
        <f>SUM('12EG -A- A.E.S.M'!K16)</f>
        <v>12</v>
      </c>
      <c r="AG23" s="133"/>
      <c r="AH23" s="127"/>
      <c r="AI23" s="128">
        <f>SUM('12EG -A- PROJ. TEC'!K16)</f>
        <v>18.333333333333332</v>
      </c>
      <c r="AJ23" s="133"/>
      <c r="AK23" s="127"/>
      <c r="AL23" s="128">
        <f>SUM('12EG -A- A.E.S.Ç'!K16)</f>
        <v>17.5</v>
      </c>
      <c r="AM23" s="133"/>
      <c r="AN23" s="126"/>
      <c r="AO23" s="128">
        <f>SUM('12EG -A- GESTÃO ENF.'!K16)</f>
        <v>15.166666666666666</v>
      </c>
      <c r="AP23" s="107" t="s">
        <v>93</v>
      </c>
      <c r="AQ23" s="113">
        <f t="shared" si="0"/>
        <v>15.619444444444445</v>
      </c>
      <c r="AR23" s="181">
        <v>17</v>
      </c>
      <c r="AS23" s="184" t="s">
        <v>56</v>
      </c>
    </row>
    <row r="24" spans="2:54" s="96" customFormat="1" ht="15" customHeight="1" thickBot="1" x14ac:dyDescent="0.35">
      <c r="B24" s="93">
        <v>8</v>
      </c>
      <c r="C24" s="187">
        <v>2230</v>
      </c>
      <c r="D24" s="191" t="s">
        <v>106</v>
      </c>
      <c r="E24" s="104"/>
      <c r="F24" s="110"/>
      <c r="G24" s="94"/>
      <c r="H24" s="128">
        <f>SUM('12EG -A- S.COLECT.'!K17)</f>
        <v>14.833333333333334</v>
      </c>
      <c r="I24" s="110"/>
      <c r="J24" s="94"/>
      <c r="K24" s="128">
        <f>SUM('12EG -A- S. MENTAL'!K17)</f>
        <v>12</v>
      </c>
      <c r="L24" s="130"/>
      <c r="M24" s="127"/>
      <c r="N24" s="128">
        <f>SUM('12EG -A- EPIDEMIOL.'!K17)</f>
        <v>9.3333333333333339</v>
      </c>
      <c r="O24" s="130"/>
      <c r="P24" s="127"/>
      <c r="Q24" s="128">
        <f>SUM('12EG-A- F.A.E'!K17)</f>
        <v>11</v>
      </c>
      <c r="R24" s="133"/>
      <c r="S24" s="127"/>
      <c r="T24" s="128">
        <f>SUM('12EG -A- URGÊNCIA'!K17)</f>
        <v>11.333333333333334</v>
      </c>
      <c r="U24" s="130"/>
      <c r="V24" s="127"/>
      <c r="W24" s="128">
        <f>SUM('12EG -A- N.D'!K17)</f>
        <v>12.833333333333334</v>
      </c>
      <c r="X24" s="130"/>
      <c r="Y24" s="127"/>
      <c r="Z24" s="128">
        <f>SUM('12EG -A- A.E.P.M.C'!K17)</f>
        <v>11.5</v>
      </c>
      <c r="AA24" s="133"/>
      <c r="AB24" s="127"/>
      <c r="AC24" s="128">
        <f>SUM('12EG -A- TEC. ENFER'!K17)</f>
        <v>9.3333333333333339</v>
      </c>
      <c r="AD24" s="130"/>
      <c r="AE24" s="127"/>
      <c r="AF24" s="128">
        <f>SUM('12EG -A- A.E.S.M'!K17)</f>
        <v>12</v>
      </c>
      <c r="AG24" s="133"/>
      <c r="AH24" s="127"/>
      <c r="AI24" s="128">
        <f>SUM('12EG -A- PROJ. TEC'!K17)</f>
        <v>16</v>
      </c>
      <c r="AJ24" s="133"/>
      <c r="AK24" s="127"/>
      <c r="AL24" s="128">
        <f>SUM('12EG -A- A.E.S.Ç'!K17)</f>
        <v>14</v>
      </c>
      <c r="AM24" s="133"/>
      <c r="AN24" s="126"/>
      <c r="AO24" s="128">
        <f>SUM('12EG -A- GESTÃO ENF.'!K17)</f>
        <v>9</v>
      </c>
      <c r="AP24" s="107" t="s">
        <v>143</v>
      </c>
      <c r="AQ24" s="113">
        <f t="shared" si="0"/>
        <v>11.930555555555557</v>
      </c>
      <c r="AR24" s="181">
        <v>18</v>
      </c>
      <c r="AS24" s="184" t="s">
        <v>56</v>
      </c>
    </row>
    <row r="25" spans="2:54" s="96" customFormat="1" ht="15" customHeight="1" thickBot="1" x14ac:dyDescent="0.35">
      <c r="B25" s="93">
        <v>9</v>
      </c>
      <c r="C25" s="187">
        <v>1774</v>
      </c>
      <c r="D25" s="191" t="s">
        <v>144</v>
      </c>
      <c r="E25" s="104"/>
      <c r="F25" s="110"/>
      <c r="G25" s="94"/>
      <c r="H25" s="128">
        <f>SUM('12EG -A- S.COLECT.'!K18)</f>
        <v>18.333333333333332</v>
      </c>
      <c r="I25" s="110"/>
      <c r="J25" s="94"/>
      <c r="K25" s="128">
        <f>SUM('12EG -A- S. MENTAL'!K18)</f>
        <v>7.333333333333333</v>
      </c>
      <c r="L25" s="130"/>
      <c r="M25" s="127"/>
      <c r="N25" s="128">
        <f>SUM('12EG -A- EPIDEMIOL.'!K18)</f>
        <v>10</v>
      </c>
      <c r="O25" s="130"/>
      <c r="P25" s="127"/>
      <c r="Q25" s="128">
        <f>SUM('12EG-A- F.A.E'!K18)</f>
        <v>2</v>
      </c>
      <c r="R25" s="133"/>
      <c r="S25" s="127"/>
      <c r="T25" s="128">
        <f>SUM('12EG -A- URGÊNCIA'!K18)</f>
        <v>0</v>
      </c>
      <c r="U25" s="130"/>
      <c r="V25" s="127"/>
      <c r="W25" s="128">
        <f>SUM('12EG -A- N.D'!K18)</f>
        <v>0</v>
      </c>
      <c r="X25" s="130"/>
      <c r="Y25" s="127"/>
      <c r="Z25" s="128">
        <f>SUM('12EG -A- A.E.P.M.C'!K18)</f>
        <v>0</v>
      </c>
      <c r="AA25" s="133"/>
      <c r="AB25" s="127"/>
      <c r="AC25" s="128">
        <f>SUM('12EG -A- TEC. ENFER'!K18)</f>
        <v>2</v>
      </c>
      <c r="AD25" s="130"/>
      <c r="AE25" s="127"/>
      <c r="AF25" s="128">
        <f>SUM('12EG -A- A.E.S.M'!K18)</f>
        <v>0</v>
      </c>
      <c r="AG25" s="133"/>
      <c r="AH25" s="127"/>
      <c r="AI25" s="128">
        <f>SUM('12EG -A- PROJ. TEC'!K18)</f>
        <v>0</v>
      </c>
      <c r="AJ25" s="133"/>
      <c r="AK25" s="127"/>
      <c r="AL25" s="128">
        <f>SUM('12EG -A- A.E.S.Ç'!K18)</f>
        <v>6.666666666666667</v>
      </c>
      <c r="AM25" s="133"/>
      <c r="AN25" s="126"/>
      <c r="AO25" s="128">
        <f>SUM('12EG -A- GESTÃO ENF.'!K18)</f>
        <v>2.5</v>
      </c>
      <c r="AP25" s="107" t="s">
        <v>143</v>
      </c>
      <c r="AQ25" s="113">
        <f t="shared" ref="AQ25" si="1">AVERAGE(H25:AO25)</f>
        <v>4.0694444444444438</v>
      </c>
      <c r="AR25" s="181">
        <v>18</v>
      </c>
      <c r="AS25" s="184" t="s">
        <v>54</v>
      </c>
    </row>
    <row r="26" spans="2:54" ht="15" customHeight="1" thickBot="1" x14ac:dyDescent="0.35">
      <c r="B26" s="93">
        <v>10</v>
      </c>
      <c r="C26" s="187">
        <v>4446</v>
      </c>
      <c r="D26" s="191" t="s">
        <v>107</v>
      </c>
      <c r="E26" s="103"/>
      <c r="F26" s="110"/>
      <c r="G26" s="94"/>
      <c r="H26" s="128">
        <f>SUM('12EG -A- S.COLECT.'!K19)</f>
        <v>19.333333333333332</v>
      </c>
      <c r="I26" s="110"/>
      <c r="J26" s="94"/>
      <c r="K26" s="128">
        <f>SUM('12EG -A- S. MENTAL'!K19)</f>
        <v>14.833333333333334</v>
      </c>
      <c r="L26" s="130"/>
      <c r="M26" s="127"/>
      <c r="N26" s="128">
        <f>SUM('12EG -A- EPIDEMIOL.'!K19)</f>
        <v>13</v>
      </c>
      <c r="O26" s="130"/>
      <c r="P26" s="127"/>
      <c r="Q26" s="128">
        <f>SUM('12EG-A- F.A.E'!K19)</f>
        <v>11</v>
      </c>
      <c r="R26" s="133"/>
      <c r="S26" s="127"/>
      <c r="T26" s="128">
        <f>SUM('12EG -A- URGÊNCIA'!K19)</f>
        <v>11.166666666666666</v>
      </c>
      <c r="U26" s="130"/>
      <c r="V26" s="127"/>
      <c r="W26" s="128">
        <f>SUM('12EG -A- N.D'!K19)</f>
        <v>17</v>
      </c>
      <c r="X26" s="130"/>
      <c r="Y26" s="127"/>
      <c r="Z26" s="128">
        <f>SUM('12EG -A- A.E.P.M.C'!K19)</f>
        <v>13.833333333333334</v>
      </c>
      <c r="AA26" s="133"/>
      <c r="AB26" s="127"/>
      <c r="AC26" s="128">
        <f>SUM('12EG -A- TEC. ENFER'!K19)</f>
        <v>13.666666666666666</v>
      </c>
      <c r="AD26" s="130"/>
      <c r="AE26" s="127"/>
      <c r="AF26" s="128">
        <f>SUM('12EG -A- A.E.S.M'!K19)</f>
        <v>16</v>
      </c>
      <c r="AG26" s="133"/>
      <c r="AH26" s="127"/>
      <c r="AI26" s="128">
        <f>SUM('12EG -A- PROJ. TEC'!K19)</f>
        <v>16.666666666666668</v>
      </c>
      <c r="AJ26" s="133"/>
      <c r="AK26" s="127"/>
      <c r="AL26" s="128">
        <f>SUM('12EG -A- A.E.S.Ç'!K19)</f>
        <v>12.833333333333334</v>
      </c>
      <c r="AM26" s="133"/>
      <c r="AN26" s="126"/>
      <c r="AO26" s="128">
        <f>SUM('12EG -A- GESTÃO ENF.'!K19)</f>
        <v>13.833333333333334</v>
      </c>
      <c r="AP26" s="107" t="s">
        <v>93</v>
      </c>
      <c r="AQ26" s="113">
        <f t="shared" si="0"/>
        <v>14.430555555555555</v>
      </c>
      <c r="AR26" s="181">
        <v>16</v>
      </c>
      <c r="AS26" s="184" t="s">
        <v>56</v>
      </c>
    </row>
    <row r="27" spans="2:54" s="95" customFormat="1" ht="15" customHeight="1" thickBot="1" x14ac:dyDescent="0.35">
      <c r="B27" s="93">
        <v>11</v>
      </c>
      <c r="C27" s="187">
        <v>1992</v>
      </c>
      <c r="D27" s="191" t="s">
        <v>108</v>
      </c>
      <c r="E27" s="103"/>
      <c r="F27" s="110"/>
      <c r="G27" s="94"/>
      <c r="H27" s="128">
        <f>SUM('12EG -A- S.COLECT.'!K20)</f>
        <v>18.666666666666668</v>
      </c>
      <c r="I27" s="110"/>
      <c r="J27" s="94"/>
      <c r="K27" s="128">
        <f>SUM('12EG -A- S. MENTAL'!K20)</f>
        <v>14</v>
      </c>
      <c r="L27" s="130"/>
      <c r="M27" s="127"/>
      <c r="N27" s="128">
        <f>SUM('12EG -A- EPIDEMIOL.'!K20)</f>
        <v>17.333333333333332</v>
      </c>
      <c r="O27" s="130"/>
      <c r="P27" s="127"/>
      <c r="Q27" s="128">
        <f>SUM('12EG-A- F.A.E'!K20)</f>
        <v>10.333333333333334</v>
      </c>
      <c r="R27" s="133"/>
      <c r="S27" s="127"/>
      <c r="T27" s="128">
        <f>SUM('12EG -A- URGÊNCIA'!K20)</f>
        <v>15.833333333333334</v>
      </c>
      <c r="U27" s="130"/>
      <c r="V27" s="127"/>
      <c r="W27" s="128">
        <f>SUM('12EG -A- N.D'!K20)</f>
        <v>17.5</v>
      </c>
      <c r="X27" s="130"/>
      <c r="Y27" s="127"/>
      <c r="Z27" s="128">
        <f>SUM('12EG -A- A.E.P.M.C'!K20)</f>
        <v>18.333333333333332</v>
      </c>
      <c r="AA27" s="133"/>
      <c r="AB27" s="127"/>
      <c r="AC27" s="128">
        <f>SUM('12EG -A- TEC. ENFER'!K20)</f>
        <v>14.833333333333334</v>
      </c>
      <c r="AD27" s="130"/>
      <c r="AE27" s="127"/>
      <c r="AF27" s="128">
        <f>SUM('12EG -A- A.E.S.M'!K20)</f>
        <v>12</v>
      </c>
      <c r="AG27" s="133"/>
      <c r="AH27" s="127"/>
      <c r="AI27" s="128">
        <f>SUM('12EG -A- PROJ. TEC'!K20)</f>
        <v>17</v>
      </c>
      <c r="AJ27" s="133"/>
      <c r="AK27" s="127"/>
      <c r="AL27" s="128">
        <f>SUM('12EG -A- A.E.S.Ç'!K20)</f>
        <v>17.5</v>
      </c>
      <c r="AM27" s="133"/>
      <c r="AN27" s="126"/>
      <c r="AO27" s="128">
        <f>SUM('12EG -A- GESTÃO ENF.'!K20)</f>
        <v>14.666666666666666</v>
      </c>
      <c r="AP27" s="107" t="s">
        <v>93</v>
      </c>
      <c r="AQ27" s="113">
        <f t="shared" si="0"/>
        <v>15.666666666666664</v>
      </c>
      <c r="AR27" s="181">
        <v>18</v>
      </c>
      <c r="AS27" s="184" t="s">
        <v>56</v>
      </c>
    </row>
    <row r="28" spans="2:54" s="95" customFormat="1" ht="15" customHeight="1" thickBot="1" x14ac:dyDescent="0.35">
      <c r="B28" s="93">
        <v>12</v>
      </c>
      <c r="C28" s="187">
        <v>2053</v>
      </c>
      <c r="D28" s="191" t="s">
        <v>109</v>
      </c>
      <c r="E28" s="103"/>
      <c r="F28" s="110"/>
      <c r="G28" s="94"/>
      <c r="H28" s="128">
        <f>SUM('12EG -A- S.COLECT.'!K21)</f>
        <v>15.333333333333334</v>
      </c>
      <c r="I28" s="110"/>
      <c r="J28" s="94"/>
      <c r="K28" s="128">
        <f>SUM('12EG -A- S. MENTAL'!K21)</f>
        <v>15.333333333333334</v>
      </c>
      <c r="L28" s="130"/>
      <c r="M28" s="127"/>
      <c r="N28" s="128">
        <f>SUM('12EG -A- EPIDEMIOL.'!K21)</f>
        <v>17</v>
      </c>
      <c r="O28" s="130"/>
      <c r="P28" s="127"/>
      <c r="Q28" s="128">
        <f>SUM('12EG-A- F.A.E'!K21)</f>
        <v>10.333333333333334</v>
      </c>
      <c r="R28" s="133"/>
      <c r="S28" s="127"/>
      <c r="T28" s="128">
        <f>SUM('12EG -A- URGÊNCIA'!K21)</f>
        <v>16.5</v>
      </c>
      <c r="U28" s="130"/>
      <c r="V28" s="127"/>
      <c r="W28" s="128">
        <f>SUM('12EG -A- N.D'!K21)</f>
        <v>18.166666666666668</v>
      </c>
      <c r="X28" s="130"/>
      <c r="Y28" s="127"/>
      <c r="Z28" s="128">
        <f>SUM('12EG -A- A.E.P.M.C'!K21)</f>
        <v>17.833333333333332</v>
      </c>
      <c r="AA28" s="133"/>
      <c r="AB28" s="127"/>
      <c r="AC28" s="128">
        <f>SUM('12EG -A- TEC. ENFER'!K21)</f>
        <v>14.166666666666666</v>
      </c>
      <c r="AD28" s="130"/>
      <c r="AE28" s="127"/>
      <c r="AF28" s="128">
        <f>SUM('12EG -A- A.E.S.M'!K21)</f>
        <v>12</v>
      </c>
      <c r="AG28" s="133"/>
      <c r="AH28" s="127"/>
      <c r="AI28" s="128">
        <f>SUM('12EG -A- PROJ. TEC'!K21)</f>
        <v>15.333333333333334</v>
      </c>
      <c r="AJ28" s="133"/>
      <c r="AK28" s="127"/>
      <c r="AL28" s="128">
        <f>SUM('12EG -A- A.E.S.Ç'!K21)</f>
        <v>17</v>
      </c>
      <c r="AM28" s="133"/>
      <c r="AN28" s="126"/>
      <c r="AO28" s="128">
        <f>SUM('12EG -A- GESTÃO ENF.'!K21)</f>
        <v>12.333333333333334</v>
      </c>
      <c r="AP28" s="107" t="s">
        <v>93</v>
      </c>
      <c r="AQ28" s="113">
        <f t="shared" si="0"/>
        <v>15.111111111111114</v>
      </c>
      <c r="AR28" s="181">
        <v>17</v>
      </c>
      <c r="AS28" s="184" t="s">
        <v>56</v>
      </c>
    </row>
    <row r="29" spans="2:54" s="95" customFormat="1" ht="15" customHeight="1" thickBot="1" x14ac:dyDescent="0.35">
      <c r="B29" s="93">
        <v>13</v>
      </c>
      <c r="C29" s="187">
        <v>2039</v>
      </c>
      <c r="D29" s="191" t="s">
        <v>110</v>
      </c>
      <c r="E29" s="103"/>
      <c r="F29" s="110"/>
      <c r="G29" s="94"/>
      <c r="H29" s="128">
        <f>SUM('12EG -A- S.COLECT.'!K22)</f>
        <v>18.166666666666668</v>
      </c>
      <c r="I29" s="110"/>
      <c r="J29" s="94"/>
      <c r="K29" s="128">
        <f>SUM('12EG -A- S. MENTAL'!K22)</f>
        <v>11.5</v>
      </c>
      <c r="L29" s="130"/>
      <c r="M29" s="127"/>
      <c r="N29" s="128">
        <f>SUM('12EG -A- EPIDEMIOL.'!K22)</f>
        <v>13.333333333333334</v>
      </c>
      <c r="O29" s="130"/>
      <c r="P29" s="127"/>
      <c r="Q29" s="128">
        <f>SUM('12EG-A- F.A.E'!K22)</f>
        <v>8.3333333333333339</v>
      </c>
      <c r="R29" s="133"/>
      <c r="S29" s="127"/>
      <c r="T29" s="128">
        <f>SUM('12EG -A- URGÊNCIA'!K22)</f>
        <v>13</v>
      </c>
      <c r="U29" s="130"/>
      <c r="V29" s="127"/>
      <c r="W29" s="128">
        <f>SUM('12EG -A- N.D'!K22)</f>
        <v>16</v>
      </c>
      <c r="X29" s="130"/>
      <c r="Y29" s="127"/>
      <c r="Z29" s="128">
        <f>SUM('12EG -A- A.E.P.M.C'!K22)</f>
        <v>12.5</v>
      </c>
      <c r="AA29" s="133"/>
      <c r="AB29" s="127"/>
      <c r="AC29" s="128">
        <f>SUM('12EG -A- TEC. ENFER'!K22)</f>
        <v>10.666666666666666</v>
      </c>
      <c r="AD29" s="130"/>
      <c r="AE29" s="127"/>
      <c r="AF29" s="128">
        <f>SUM('12EG -A- A.E.S.M'!K22)</f>
        <v>12</v>
      </c>
      <c r="AG29" s="133"/>
      <c r="AH29" s="127"/>
      <c r="AI29" s="128">
        <f>SUM('12EG -A- PROJ. TEC'!K22)</f>
        <v>15.666666666666666</v>
      </c>
      <c r="AJ29" s="133"/>
      <c r="AK29" s="127"/>
      <c r="AL29" s="128">
        <f>SUM('12EG -A- A.E.S.Ç'!K22)</f>
        <v>17</v>
      </c>
      <c r="AM29" s="133"/>
      <c r="AN29" s="126"/>
      <c r="AO29" s="128">
        <f>SUM('12EG -A- GESTÃO ENF.'!K22)</f>
        <v>12.666666666666666</v>
      </c>
      <c r="AP29" s="107" t="s">
        <v>143</v>
      </c>
      <c r="AQ29" s="113">
        <f t="shared" si="0"/>
        <v>13.402777777777779</v>
      </c>
      <c r="AR29" s="181">
        <v>17</v>
      </c>
      <c r="AS29" s="184" t="s">
        <v>56</v>
      </c>
      <c r="AU29" s="266" t="s">
        <v>82</v>
      </c>
      <c r="AV29" s="268">
        <f>MAX(AQ17:AQ58)</f>
        <v>16.433333333333334</v>
      </c>
      <c r="AW29" s="114"/>
      <c r="AX29" s="114"/>
      <c r="AY29" s="114"/>
      <c r="AZ29" s="114"/>
      <c r="BA29" s="114"/>
      <c r="BB29" s="114"/>
    </row>
    <row r="30" spans="2:54" s="95" customFormat="1" ht="15" customHeight="1" thickBot="1" x14ac:dyDescent="0.35">
      <c r="B30" s="93">
        <v>14</v>
      </c>
      <c r="C30" s="187">
        <v>1942</v>
      </c>
      <c r="D30" s="191" t="s">
        <v>111</v>
      </c>
      <c r="E30" s="103"/>
      <c r="F30" s="110"/>
      <c r="G30" s="94"/>
      <c r="H30" s="128">
        <f>SUM('12EG -A- S.COLECT.'!K23)</f>
        <v>18.666666666666668</v>
      </c>
      <c r="I30" s="110"/>
      <c r="J30" s="94"/>
      <c r="K30" s="128">
        <f>SUM('12EG -A- S. MENTAL'!K23)</f>
        <v>13.833333333333334</v>
      </c>
      <c r="L30" s="130"/>
      <c r="M30" s="127"/>
      <c r="N30" s="128">
        <f>SUM('12EG -A- EPIDEMIOL.'!K23)</f>
        <v>13.666666666666666</v>
      </c>
      <c r="O30" s="130"/>
      <c r="P30" s="127"/>
      <c r="Q30" s="128">
        <f>SUM('12EG-A- F.A.E'!K23)</f>
        <v>10</v>
      </c>
      <c r="R30" s="133"/>
      <c r="S30" s="127"/>
      <c r="T30" s="128">
        <f>SUM('12EG -A- URGÊNCIA'!K23)</f>
        <v>14.666666666666666</v>
      </c>
      <c r="U30" s="130"/>
      <c r="V30" s="127"/>
      <c r="W30" s="128">
        <f>SUM('12EG -A- N.D'!K23)</f>
        <v>17.833333333333332</v>
      </c>
      <c r="X30" s="130"/>
      <c r="Y30" s="127"/>
      <c r="Z30" s="128">
        <f>SUM('12EG -A- A.E.P.M.C'!K23)</f>
        <v>16.666666666666668</v>
      </c>
      <c r="AA30" s="133"/>
      <c r="AB30" s="127"/>
      <c r="AC30" s="128">
        <f>SUM('12EG -A- TEC. ENFER'!K23)</f>
        <v>10.833333333333334</v>
      </c>
      <c r="AD30" s="130"/>
      <c r="AE30" s="127"/>
      <c r="AF30" s="128">
        <f>SUM('12EG -A- A.E.S.M'!K23)</f>
        <v>12</v>
      </c>
      <c r="AG30" s="133"/>
      <c r="AH30" s="127"/>
      <c r="AI30" s="128">
        <f>SUM('12EG -A- PROJ. TEC'!K23)</f>
        <v>16</v>
      </c>
      <c r="AJ30" s="133"/>
      <c r="AK30" s="127"/>
      <c r="AL30" s="128">
        <f>SUM('12EG -A- A.E.S.Ç'!K23)</f>
        <v>16.5</v>
      </c>
      <c r="AM30" s="133"/>
      <c r="AN30" s="126"/>
      <c r="AO30" s="128">
        <f>SUM('12EG -A- GESTÃO ENF.'!K23)</f>
        <v>11.666666666666666</v>
      </c>
      <c r="AP30" s="107" t="s">
        <v>93</v>
      </c>
      <c r="AQ30" s="113">
        <f t="shared" si="0"/>
        <v>14.361111111111109</v>
      </c>
      <c r="AR30" s="181">
        <v>18</v>
      </c>
      <c r="AS30" s="184" t="s">
        <v>56</v>
      </c>
      <c r="AU30" s="267"/>
      <c r="AV30" s="269"/>
      <c r="AW30" s="114"/>
      <c r="AX30" s="114"/>
      <c r="AY30" s="114"/>
      <c r="AZ30" s="114"/>
      <c r="BA30" s="114"/>
      <c r="BB30" s="114"/>
    </row>
    <row r="31" spans="2:54" ht="15" customHeight="1" thickBot="1" x14ac:dyDescent="0.35">
      <c r="B31" s="93">
        <v>15</v>
      </c>
      <c r="C31" s="187">
        <v>2612</v>
      </c>
      <c r="D31" s="191" t="s">
        <v>112</v>
      </c>
      <c r="E31" s="103"/>
      <c r="F31" s="110"/>
      <c r="G31" s="94"/>
      <c r="H31" s="128">
        <f>SUM('12EG -A- S.COLECT.'!K24)</f>
        <v>18.666666666666668</v>
      </c>
      <c r="I31" s="110"/>
      <c r="J31" s="94"/>
      <c r="K31" s="128">
        <f>SUM('12EG -A- S. MENTAL'!K24)</f>
        <v>15</v>
      </c>
      <c r="L31" s="130"/>
      <c r="M31" s="127"/>
      <c r="N31" s="128">
        <f>SUM('12EG -A- EPIDEMIOL.'!K24)</f>
        <v>16.666666666666668</v>
      </c>
      <c r="O31" s="130"/>
      <c r="P31" s="127"/>
      <c r="Q31" s="128">
        <f>SUM('12EG-A- F.A.E'!K24)</f>
        <v>11</v>
      </c>
      <c r="R31" s="133"/>
      <c r="S31" s="127"/>
      <c r="T31" s="128">
        <f>SUM('12EG -A- URGÊNCIA'!K24)</f>
        <v>13.166666666666666</v>
      </c>
      <c r="U31" s="130"/>
      <c r="V31" s="127"/>
      <c r="W31" s="128">
        <f>SUM('12EG -A- N.D'!K24)</f>
        <v>18.166666666666668</v>
      </c>
      <c r="X31" s="130"/>
      <c r="Y31" s="127"/>
      <c r="Z31" s="128">
        <f>SUM('12EG -A- A.E.P.M.C'!K24)</f>
        <v>15.166666666666666</v>
      </c>
      <c r="AA31" s="133"/>
      <c r="AB31" s="127"/>
      <c r="AC31" s="128">
        <f>SUM('12EG -A- TEC. ENFER'!K24)</f>
        <v>15.333333333333334</v>
      </c>
      <c r="AD31" s="130"/>
      <c r="AE31" s="127"/>
      <c r="AF31" s="128">
        <f>SUM('12EG -A- A.E.S.M'!K24)</f>
        <v>12</v>
      </c>
      <c r="AG31" s="133"/>
      <c r="AH31" s="127"/>
      <c r="AI31" s="128">
        <f>SUM('12EG -A- PROJ. TEC'!K24)</f>
        <v>18.666666666666668</v>
      </c>
      <c r="AJ31" s="133"/>
      <c r="AK31" s="127"/>
      <c r="AL31" s="128">
        <f>SUM('12EG -A- A.E.S.Ç'!K24)</f>
        <v>18.166666666666668</v>
      </c>
      <c r="AM31" s="133"/>
      <c r="AN31" s="126"/>
      <c r="AO31" s="128">
        <f>SUM('12EG -A- GESTÃO ENF.'!K24)</f>
        <v>9.1666666666666661</v>
      </c>
      <c r="AP31" s="107" t="s">
        <v>143</v>
      </c>
      <c r="AQ31" s="113">
        <f t="shared" si="0"/>
        <v>15.097222222222221</v>
      </c>
      <c r="AR31" s="181">
        <v>17</v>
      </c>
      <c r="AS31" s="184" t="s">
        <v>56</v>
      </c>
      <c r="AU31" s="270" t="s">
        <v>83</v>
      </c>
      <c r="AV31" s="270"/>
      <c r="AW31" s="270"/>
      <c r="AX31" s="271" t="s">
        <v>92</v>
      </c>
      <c r="AY31" s="271"/>
      <c r="AZ31" s="271"/>
      <c r="BA31" s="271"/>
      <c r="BB31" s="271"/>
    </row>
    <row r="32" spans="2:54" ht="15" customHeight="1" thickBot="1" x14ac:dyDescent="0.35">
      <c r="B32" s="93">
        <v>16</v>
      </c>
      <c r="C32" s="187">
        <v>2041</v>
      </c>
      <c r="D32" s="191" t="s">
        <v>113</v>
      </c>
      <c r="E32" s="103"/>
      <c r="F32" s="110"/>
      <c r="G32" s="94"/>
      <c r="H32" s="128">
        <f>SUM('12EG -A- S.COLECT.'!K25)</f>
        <v>17</v>
      </c>
      <c r="I32" s="110"/>
      <c r="J32" s="94"/>
      <c r="K32" s="128">
        <f>SUM('12EG -A- S. MENTAL'!K25)</f>
        <v>13.666666666666666</v>
      </c>
      <c r="L32" s="130"/>
      <c r="M32" s="127"/>
      <c r="N32" s="128">
        <f>SUM('12EG -A- EPIDEMIOL.'!K25)</f>
        <v>11.666666666666666</v>
      </c>
      <c r="O32" s="130"/>
      <c r="P32" s="127"/>
      <c r="Q32" s="128">
        <f>SUM('12EG-A- F.A.E'!K25)</f>
        <v>10.666666666666666</v>
      </c>
      <c r="R32" s="133"/>
      <c r="S32" s="127"/>
      <c r="T32" s="128">
        <f>SUM('12EG -A- URGÊNCIA'!K25)</f>
        <v>17.333333333333332</v>
      </c>
      <c r="U32" s="130"/>
      <c r="V32" s="127"/>
      <c r="W32" s="128">
        <f>SUM('12EG -A- N.D'!K25)</f>
        <v>14.333333333333334</v>
      </c>
      <c r="X32" s="130"/>
      <c r="Y32" s="127"/>
      <c r="Z32" s="128">
        <f>SUM('12EG -A- A.E.P.M.C'!K25)</f>
        <v>13.833333333333334</v>
      </c>
      <c r="AA32" s="133"/>
      <c r="AB32" s="127"/>
      <c r="AC32" s="128">
        <f>SUM('12EG -A- TEC. ENFER'!K25)</f>
        <v>10.700000000000001</v>
      </c>
      <c r="AD32" s="130"/>
      <c r="AE32" s="127"/>
      <c r="AF32" s="128">
        <f>SUM('12EG -A- A.E.S.M'!K25)</f>
        <v>12</v>
      </c>
      <c r="AG32" s="133"/>
      <c r="AH32" s="127"/>
      <c r="AI32" s="128">
        <f>SUM('12EG -A- PROJ. TEC'!K25)</f>
        <v>16.666666666666668</v>
      </c>
      <c r="AJ32" s="133"/>
      <c r="AK32" s="127"/>
      <c r="AL32" s="128">
        <f>SUM('12EG -A- A.E.S.Ç'!K25)</f>
        <v>16.5</v>
      </c>
      <c r="AM32" s="133"/>
      <c r="AN32" s="126"/>
      <c r="AO32" s="128">
        <f>SUM('12EG -A- GESTÃO ENF.'!K25)</f>
        <v>12</v>
      </c>
      <c r="AP32" s="107" t="s">
        <v>93</v>
      </c>
      <c r="AQ32" s="113">
        <f t="shared" si="0"/>
        <v>13.863888888888887</v>
      </c>
      <c r="AR32" s="181">
        <v>18</v>
      </c>
      <c r="AS32" s="184" t="s">
        <v>56</v>
      </c>
      <c r="AU32" s="115" t="s">
        <v>84</v>
      </c>
      <c r="AV32" s="168">
        <v>17</v>
      </c>
      <c r="AW32" s="114"/>
      <c r="AX32" s="114"/>
      <c r="AY32" s="114"/>
      <c r="AZ32" s="114"/>
      <c r="BA32" s="114"/>
      <c r="BB32" s="114"/>
    </row>
    <row r="33" spans="2:45" ht="15" customHeight="1" thickBot="1" x14ac:dyDescent="0.35">
      <c r="B33" s="93">
        <v>17</v>
      </c>
      <c r="C33" s="187">
        <v>2596</v>
      </c>
      <c r="D33" s="191" t="s">
        <v>114</v>
      </c>
      <c r="E33" s="103"/>
      <c r="F33" s="110"/>
      <c r="G33" s="94"/>
      <c r="H33" s="128">
        <f>SUM('12EG -A- S.COLECT.'!K26)</f>
        <v>19.333333333333332</v>
      </c>
      <c r="I33" s="110"/>
      <c r="J33" s="94"/>
      <c r="K33" s="128">
        <f>SUM('12EG -A- S. MENTAL'!K26)</f>
        <v>15.333333333333334</v>
      </c>
      <c r="L33" s="130"/>
      <c r="M33" s="127"/>
      <c r="N33" s="128">
        <f>SUM('12EG -A- EPIDEMIOL.'!K26)</f>
        <v>12.333333333333334</v>
      </c>
      <c r="O33" s="130"/>
      <c r="P33" s="127"/>
      <c r="Q33" s="128">
        <f>SUM('12EG-A- F.A.E'!K26)</f>
        <v>12.666666666666666</v>
      </c>
      <c r="R33" s="133"/>
      <c r="S33" s="127"/>
      <c r="T33" s="128">
        <f>SUM('12EG -A- URGÊNCIA'!K26)</f>
        <v>16.166666666666668</v>
      </c>
      <c r="U33" s="130"/>
      <c r="V33" s="127"/>
      <c r="W33" s="128">
        <f>SUM('12EG -A- N.D'!K26)</f>
        <v>15.5</v>
      </c>
      <c r="X33" s="130"/>
      <c r="Y33" s="127"/>
      <c r="Z33" s="128">
        <f>SUM('12EG -A- A.E.P.M.C'!K26)</f>
        <v>17.333333333333332</v>
      </c>
      <c r="AA33" s="133"/>
      <c r="AB33" s="127"/>
      <c r="AC33" s="128">
        <f>SUM('12EG -A- TEC. ENFER'!K26)</f>
        <v>11.333333333333334</v>
      </c>
      <c r="AD33" s="130"/>
      <c r="AE33" s="127"/>
      <c r="AF33" s="128">
        <f>SUM('12EG -A- A.E.S.M'!K26)</f>
        <v>12</v>
      </c>
      <c r="AG33" s="133"/>
      <c r="AH33" s="127"/>
      <c r="AI33" s="128">
        <f>SUM('12EG -A- PROJ. TEC'!K26)</f>
        <v>19</v>
      </c>
      <c r="AJ33" s="133"/>
      <c r="AK33" s="127"/>
      <c r="AL33" s="128">
        <f>SUM('12EG -A- A.E.S.Ç'!K26)</f>
        <v>18</v>
      </c>
      <c r="AM33" s="133"/>
      <c r="AN33" s="126"/>
      <c r="AO33" s="128">
        <f>SUM('12EG -A- GESTÃO ENF.'!K26)</f>
        <v>13.5</v>
      </c>
      <c r="AP33" s="107" t="s">
        <v>93</v>
      </c>
      <c r="AQ33" s="113">
        <f t="shared" si="0"/>
        <v>15.208333333333334</v>
      </c>
      <c r="AR33" s="181">
        <v>17</v>
      </c>
      <c r="AS33" s="184" t="s">
        <v>56</v>
      </c>
    </row>
    <row r="34" spans="2:45" ht="15" customHeight="1" thickBot="1" x14ac:dyDescent="0.35">
      <c r="B34" s="93">
        <v>18</v>
      </c>
      <c r="C34" s="187">
        <v>2082</v>
      </c>
      <c r="D34" s="191" t="s">
        <v>115</v>
      </c>
      <c r="E34" s="103"/>
      <c r="F34" s="110"/>
      <c r="G34" s="94"/>
      <c r="H34" s="128">
        <f>SUM('12EG -A- S.COLECT.'!K27)</f>
        <v>18.333333333333332</v>
      </c>
      <c r="I34" s="110"/>
      <c r="J34" s="94"/>
      <c r="K34" s="128">
        <f>SUM('12EG -A- S. MENTAL'!K27)</f>
        <v>14.166666666666666</v>
      </c>
      <c r="L34" s="130"/>
      <c r="M34" s="127"/>
      <c r="N34" s="128">
        <f>SUM('12EG -A- EPIDEMIOL.'!K27)</f>
        <v>11.666666666666666</v>
      </c>
      <c r="O34" s="130"/>
      <c r="P34" s="127"/>
      <c r="Q34" s="128">
        <f>SUM('12EG-A- F.A.E'!K27)</f>
        <v>10.666666666666666</v>
      </c>
      <c r="R34" s="133"/>
      <c r="S34" s="127"/>
      <c r="T34" s="128">
        <f>SUM('12EG -A- URGÊNCIA'!K27)</f>
        <v>13.333333333333334</v>
      </c>
      <c r="U34" s="130"/>
      <c r="V34" s="127"/>
      <c r="W34" s="128">
        <f>SUM('12EG -A- N.D'!K27)</f>
        <v>17.166666666666668</v>
      </c>
      <c r="X34" s="130"/>
      <c r="Y34" s="127"/>
      <c r="Z34" s="128">
        <f>SUM('12EG -A- A.E.P.M.C'!K27)</f>
        <v>14.333333333333334</v>
      </c>
      <c r="AA34" s="133"/>
      <c r="AB34" s="127"/>
      <c r="AC34" s="128">
        <f>SUM('12EG -A- TEC. ENFER'!K27)</f>
        <v>12.266666666666666</v>
      </c>
      <c r="AD34" s="130"/>
      <c r="AE34" s="127"/>
      <c r="AF34" s="128">
        <f>SUM('12EG -A- A.E.S.M'!K27)</f>
        <v>12</v>
      </c>
      <c r="AG34" s="133"/>
      <c r="AH34" s="127"/>
      <c r="AI34" s="128">
        <f>SUM('12EG -A- PROJ. TEC'!K27)</f>
        <v>15.333333333333334</v>
      </c>
      <c r="AJ34" s="133"/>
      <c r="AK34" s="127"/>
      <c r="AL34" s="128">
        <f>SUM('12EG -A- A.E.S.Ç'!K27)</f>
        <v>17.333333333333332</v>
      </c>
      <c r="AM34" s="133"/>
      <c r="AN34" s="126"/>
      <c r="AO34" s="128">
        <f>SUM('12EG -A- GESTÃO ENF.'!K27)</f>
        <v>13.666666666666666</v>
      </c>
      <c r="AP34" s="107" t="s">
        <v>93</v>
      </c>
      <c r="AQ34" s="113">
        <f t="shared" si="0"/>
        <v>14.188888888888888</v>
      </c>
      <c r="AR34" s="181">
        <v>17</v>
      </c>
      <c r="AS34" s="184" t="s">
        <v>56</v>
      </c>
    </row>
    <row r="35" spans="2:45" ht="15" customHeight="1" thickBot="1" x14ac:dyDescent="0.35">
      <c r="B35" s="93">
        <v>19</v>
      </c>
      <c r="C35" s="187">
        <v>1936</v>
      </c>
      <c r="D35" s="191" t="s">
        <v>116</v>
      </c>
      <c r="E35" s="103"/>
      <c r="F35" s="110"/>
      <c r="G35" s="94"/>
      <c r="H35" s="128">
        <f>SUM('12EG -A- S.COLECT.'!K28)</f>
        <v>16.333333333333332</v>
      </c>
      <c r="I35" s="110"/>
      <c r="J35" s="94"/>
      <c r="K35" s="128">
        <f>SUM('12EG -A- S. MENTAL'!K28)</f>
        <v>14.333333333333334</v>
      </c>
      <c r="L35" s="130"/>
      <c r="M35" s="127"/>
      <c r="N35" s="128">
        <f>SUM('12EG -A- EPIDEMIOL.'!K28)</f>
        <v>11.666666666666666</v>
      </c>
      <c r="O35" s="130"/>
      <c r="P35" s="127"/>
      <c r="Q35" s="128">
        <f>SUM('12EG-A- F.A.E'!K28)</f>
        <v>12.666666666666666</v>
      </c>
      <c r="R35" s="133"/>
      <c r="S35" s="127"/>
      <c r="T35" s="128">
        <f>SUM('12EG -A- URGÊNCIA'!K28)</f>
        <v>9</v>
      </c>
      <c r="U35" s="130"/>
      <c r="V35" s="127"/>
      <c r="W35" s="128">
        <f>SUM('12EG -A- N.D'!K28)</f>
        <v>17.333333333333332</v>
      </c>
      <c r="X35" s="130"/>
      <c r="Y35" s="127"/>
      <c r="Z35" s="128">
        <f>SUM('12EG -A- A.E.P.M.C'!K28)</f>
        <v>17</v>
      </c>
      <c r="AA35" s="133"/>
      <c r="AB35" s="127"/>
      <c r="AC35" s="128">
        <f>SUM('12EG -A- TEC. ENFER'!K28)</f>
        <v>11.5</v>
      </c>
      <c r="AD35" s="130"/>
      <c r="AE35" s="127"/>
      <c r="AF35" s="128">
        <f>SUM('12EG -A- A.E.S.M'!K28)</f>
        <v>12</v>
      </c>
      <c r="AG35" s="133"/>
      <c r="AH35" s="127"/>
      <c r="AI35" s="128">
        <f>SUM('12EG -A- PROJ. TEC'!K28)</f>
        <v>14.666666666666666</v>
      </c>
      <c r="AJ35" s="133"/>
      <c r="AK35" s="127"/>
      <c r="AL35" s="128">
        <f>SUM('12EG -A- A.E.S.Ç'!K28)</f>
        <v>16.166666666666668</v>
      </c>
      <c r="AM35" s="133"/>
      <c r="AN35" s="126"/>
      <c r="AO35" s="128">
        <f>SUM('12EG -A- GESTÃO ENF.'!K28)</f>
        <v>10.833333333333334</v>
      </c>
      <c r="AP35" s="107" t="s">
        <v>143</v>
      </c>
      <c r="AQ35" s="113">
        <f t="shared" si="0"/>
        <v>13.625</v>
      </c>
      <c r="AR35" s="181">
        <v>18</v>
      </c>
      <c r="AS35" s="184" t="s">
        <v>56</v>
      </c>
    </row>
    <row r="36" spans="2:45" ht="15" customHeight="1" thickBot="1" x14ac:dyDescent="0.35">
      <c r="B36" s="93">
        <v>20</v>
      </c>
      <c r="C36" s="187">
        <v>2107</v>
      </c>
      <c r="D36" s="191" t="s">
        <v>117</v>
      </c>
      <c r="E36" s="103"/>
      <c r="F36" s="110"/>
      <c r="G36" s="94"/>
      <c r="H36" s="128">
        <f>SUM('12EG -A- S.COLECT.'!K29)</f>
        <v>19</v>
      </c>
      <c r="I36" s="110"/>
      <c r="J36" s="94"/>
      <c r="K36" s="128">
        <f>SUM('12EG -A- S. MENTAL'!K29)</f>
        <v>14.666666666666666</v>
      </c>
      <c r="L36" s="130"/>
      <c r="M36" s="127"/>
      <c r="N36" s="128">
        <f>SUM('12EG -A- EPIDEMIOL.'!K29)</f>
        <v>15.333333333333334</v>
      </c>
      <c r="O36" s="130"/>
      <c r="P36" s="127"/>
      <c r="Q36" s="128">
        <f>SUM('12EG-A- F.A.E'!K29)</f>
        <v>0</v>
      </c>
      <c r="R36" s="133"/>
      <c r="S36" s="127"/>
      <c r="T36" s="128">
        <f>SUM('12EG -A- URGÊNCIA'!K29)</f>
        <v>13</v>
      </c>
      <c r="U36" s="130"/>
      <c r="V36" s="127"/>
      <c r="W36" s="128">
        <f>SUM('12EG -A- N.D'!K29)</f>
        <v>16.833333333333332</v>
      </c>
      <c r="X36" s="130"/>
      <c r="Y36" s="127"/>
      <c r="Z36" s="128">
        <f>SUM('12EG -A- A.E.P.M.C'!K29)</f>
        <v>18</v>
      </c>
      <c r="AA36" s="133"/>
      <c r="AB36" s="127"/>
      <c r="AC36" s="128">
        <f>SUM('12EG -A- TEC. ENFER'!K29)</f>
        <v>12.866666666666667</v>
      </c>
      <c r="AD36" s="130"/>
      <c r="AE36" s="127"/>
      <c r="AF36" s="128">
        <f>SUM('12EG -A- A.E.S.M'!K29)</f>
        <v>12</v>
      </c>
      <c r="AG36" s="133"/>
      <c r="AH36" s="127"/>
      <c r="AI36" s="128">
        <f>SUM('12EG -A- PROJ. TEC'!K29)</f>
        <v>17</v>
      </c>
      <c r="AJ36" s="133"/>
      <c r="AK36" s="127"/>
      <c r="AL36" s="128">
        <f>SUM('12EG -A- A.E.S.Ç'!K29)</f>
        <v>16.833333333333332</v>
      </c>
      <c r="AM36" s="133"/>
      <c r="AN36" s="126"/>
      <c r="AO36" s="128">
        <f>SUM('12EG -A- GESTÃO ENF.'!K29)</f>
        <v>9.8333333333333339</v>
      </c>
      <c r="AP36" s="107" t="s">
        <v>143</v>
      </c>
      <c r="AQ36" s="113">
        <f t="shared" si="0"/>
        <v>13.780555555555557</v>
      </c>
      <c r="AR36" s="181">
        <v>17</v>
      </c>
      <c r="AS36" s="184" t="s">
        <v>56</v>
      </c>
    </row>
    <row r="37" spans="2:45" ht="15" customHeight="1" thickBot="1" x14ac:dyDescent="0.35">
      <c r="B37" s="93">
        <v>21</v>
      </c>
      <c r="C37" s="187">
        <v>2477</v>
      </c>
      <c r="D37" s="191" t="s">
        <v>118</v>
      </c>
      <c r="E37" s="103"/>
      <c r="F37" s="110"/>
      <c r="G37" s="94"/>
      <c r="H37" s="128">
        <f>SUM('12EG -A- S.COLECT.'!K30)</f>
        <v>14.166666666666666</v>
      </c>
      <c r="I37" s="110"/>
      <c r="J37" s="94"/>
      <c r="K37" s="128">
        <f>SUM('12EG -A- S. MENTAL'!K30)</f>
        <v>15</v>
      </c>
      <c r="L37" s="130"/>
      <c r="M37" s="127"/>
      <c r="N37" s="128">
        <f>SUM('12EG -A- EPIDEMIOL.'!K30)</f>
        <v>17.333333333333332</v>
      </c>
      <c r="O37" s="130"/>
      <c r="P37" s="127"/>
      <c r="Q37" s="128">
        <f>SUM('12EG-A- F.A.E'!K30)</f>
        <v>11</v>
      </c>
      <c r="R37" s="133"/>
      <c r="S37" s="127"/>
      <c r="T37" s="128">
        <f>SUM('12EG -A- URGÊNCIA'!K30)</f>
        <v>11.333333333333334</v>
      </c>
      <c r="U37" s="130"/>
      <c r="V37" s="127"/>
      <c r="W37" s="128">
        <f>SUM('12EG -A- N.D'!K30)</f>
        <v>17.833333333333332</v>
      </c>
      <c r="X37" s="130"/>
      <c r="Y37" s="127"/>
      <c r="Z37" s="128">
        <f>SUM('12EG -A- A.E.P.M.C'!K30)</f>
        <v>17.166666666666668</v>
      </c>
      <c r="AA37" s="133"/>
      <c r="AB37" s="127"/>
      <c r="AC37" s="128">
        <f>SUM('12EG -A- TEC. ENFER'!K30)</f>
        <v>14.366666666666667</v>
      </c>
      <c r="AD37" s="130"/>
      <c r="AE37" s="127"/>
      <c r="AF37" s="128">
        <f>SUM('12EG -A- A.E.S.M'!K30)</f>
        <v>12</v>
      </c>
      <c r="AG37" s="133"/>
      <c r="AH37" s="127"/>
      <c r="AI37" s="128">
        <f>SUM('12EG -A- PROJ. TEC'!K30)</f>
        <v>17.666666666666668</v>
      </c>
      <c r="AJ37" s="133"/>
      <c r="AK37" s="127"/>
      <c r="AL37" s="128">
        <f>SUM('12EG -A- A.E.S.Ç'!K30)</f>
        <v>17.166666666666668</v>
      </c>
      <c r="AM37" s="133"/>
      <c r="AN37" s="126"/>
      <c r="AO37" s="128">
        <f>SUM('12EG -A- GESTÃO ENF.'!K30)</f>
        <v>11.166666666666666</v>
      </c>
      <c r="AP37" s="107" t="s">
        <v>93</v>
      </c>
      <c r="AQ37" s="113">
        <f t="shared" si="0"/>
        <v>14.68333333333333</v>
      </c>
      <c r="AR37" s="181">
        <v>17</v>
      </c>
      <c r="AS37" s="184" t="s">
        <v>56</v>
      </c>
    </row>
    <row r="38" spans="2:45" ht="15" customHeight="1" thickBot="1" x14ac:dyDescent="0.35">
      <c r="B38" s="93">
        <v>22</v>
      </c>
      <c r="C38" s="187">
        <v>1928</v>
      </c>
      <c r="D38" s="191" t="s">
        <v>119</v>
      </c>
      <c r="E38" s="103"/>
      <c r="F38" s="110"/>
      <c r="G38" s="94"/>
      <c r="H38" s="128">
        <f>SUM('12EG -A- S.COLECT.'!K31)</f>
        <v>15.666666666666666</v>
      </c>
      <c r="I38" s="110"/>
      <c r="J38" s="94"/>
      <c r="K38" s="128">
        <f>SUM('12EG -A- S. MENTAL'!K31)</f>
        <v>13.333333333333334</v>
      </c>
      <c r="L38" s="130"/>
      <c r="M38" s="127"/>
      <c r="N38" s="128">
        <f>SUM('12EG -A- EPIDEMIOL.'!K31)</f>
        <v>14</v>
      </c>
      <c r="O38" s="130"/>
      <c r="P38" s="127"/>
      <c r="Q38" s="128">
        <f>SUM('12EG-A- F.A.E'!K31)</f>
        <v>10</v>
      </c>
      <c r="R38" s="133"/>
      <c r="S38" s="127"/>
      <c r="T38" s="128">
        <f>SUM('12EG -A- URGÊNCIA'!K31)</f>
        <v>12.5</v>
      </c>
      <c r="U38" s="130"/>
      <c r="V38" s="127"/>
      <c r="W38" s="128">
        <f>SUM('12EG -A- N.D'!K31)</f>
        <v>13.5</v>
      </c>
      <c r="X38" s="130"/>
      <c r="Y38" s="127"/>
      <c r="Z38" s="128">
        <f>SUM('12EG -A- A.E.P.M.C'!K31)</f>
        <v>15.166666666666666</v>
      </c>
      <c r="AA38" s="133"/>
      <c r="AB38" s="127"/>
      <c r="AC38" s="128">
        <f>SUM('12EG -A- TEC. ENFER'!K31)</f>
        <v>11.833333333333334</v>
      </c>
      <c r="AD38" s="130"/>
      <c r="AE38" s="127"/>
      <c r="AF38" s="128">
        <f>SUM('12EG -A- A.E.S.M'!K31)</f>
        <v>12</v>
      </c>
      <c r="AG38" s="133"/>
      <c r="AH38" s="127"/>
      <c r="AI38" s="128">
        <f>SUM('12EG -A- PROJ. TEC'!K31)</f>
        <v>0</v>
      </c>
      <c r="AJ38" s="133"/>
      <c r="AK38" s="127"/>
      <c r="AL38" s="128">
        <f>SUM('12EG -A- A.E.S.Ç'!K31)</f>
        <v>17.333333333333332</v>
      </c>
      <c r="AM38" s="133"/>
      <c r="AN38" s="126"/>
      <c r="AO38" s="128">
        <f>SUM('12EG -A- GESTÃO ENF.'!K31)</f>
        <v>3.8333333333333335</v>
      </c>
      <c r="AP38" s="107" t="s">
        <v>143</v>
      </c>
      <c r="AQ38" s="113">
        <f t="shared" si="0"/>
        <v>11.597222222222223</v>
      </c>
      <c r="AR38" s="182">
        <v>18</v>
      </c>
      <c r="AS38" s="185" t="s">
        <v>56</v>
      </c>
    </row>
    <row r="39" spans="2:45" ht="15" customHeight="1" thickTop="1" thickBot="1" x14ac:dyDescent="0.35">
      <c r="B39" s="93">
        <v>23</v>
      </c>
      <c r="C39" s="187">
        <v>2313</v>
      </c>
      <c r="D39" s="191" t="s">
        <v>120</v>
      </c>
      <c r="E39" s="103"/>
      <c r="F39" s="110"/>
      <c r="G39" s="94"/>
      <c r="H39" s="128">
        <f>SUM('12EG -A- S.COLECT.'!K32)</f>
        <v>12.666666666666666</v>
      </c>
      <c r="I39" s="110"/>
      <c r="J39" s="94"/>
      <c r="K39" s="128">
        <f>SUM('12EG -A- S. MENTAL'!K32)</f>
        <v>13.666666666666666</v>
      </c>
      <c r="L39" s="130"/>
      <c r="M39" s="127"/>
      <c r="N39" s="128">
        <f>SUM('12EG -A- EPIDEMIOL.'!K32)</f>
        <v>17.333333333333332</v>
      </c>
      <c r="O39" s="130"/>
      <c r="P39" s="127"/>
      <c r="Q39" s="128">
        <f>SUM('12EG-A- F.A.E'!K32)</f>
        <v>12.666666666666666</v>
      </c>
      <c r="R39" s="133"/>
      <c r="S39" s="127"/>
      <c r="T39" s="128">
        <f>SUM('12EG -A- URGÊNCIA'!K32)</f>
        <v>17.833333333333332</v>
      </c>
      <c r="U39" s="130"/>
      <c r="V39" s="127"/>
      <c r="W39" s="128">
        <f>SUM('12EG -A- N.D'!K32)</f>
        <v>16.666666666666668</v>
      </c>
      <c r="X39" s="130"/>
      <c r="Y39" s="127"/>
      <c r="Z39" s="128">
        <f>SUM('12EG -A- A.E.P.M.C'!K32)</f>
        <v>16.333333333333332</v>
      </c>
      <c r="AA39" s="133"/>
      <c r="AB39" s="127"/>
      <c r="AC39" s="128">
        <f>SUM('12EG -A- TEC. ENFER'!K32)</f>
        <v>11.700000000000001</v>
      </c>
      <c r="AD39" s="130"/>
      <c r="AE39" s="127"/>
      <c r="AF39" s="128">
        <f>SUM('12EG -A- A.E.S.M'!K32)</f>
        <v>12</v>
      </c>
      <c r="AG39" s="133"/>
      <c r="AH39" s="127"/>
      <c r="AI39" s="128">
        <f>SUM('12EG -A- PROJ. TEC'!K32)</f>
        <v>13</v>
      </c>
      <c r="AJ39" s="133"/>
      <c r="AK39" s="127"/>
      <c r="AL39" s="128">
        <f>SUM('12EG -A- A.E.S.Ç'!K32)</f>
        <v>15.166666666666666</v>
      </c>
      <c r="AM39" s="133"/>
      <c r="AN39" s="126"/>
      <c r="AO39" s="128">
        <f>SUM('12EG -A- GESTÃO ENF.'!K32)</f>
        <v>15.333333333333334</v>
      </c>
      <c r="AP39" s="107" t="s">
        <v>93</v>
      </c>
      <c r="AQ39" s="113">
        <f t="shared" si="0"/>
        <v>14.530555555555557</v>
      </c>
      <c r="AR39" s="180">
        <v>17</v>
      </c>
      <c r="AS39" s="183" t="s">
        <v>54</v>
      </c>
    </row>
    <row r="40" spans="2:45" ht="15" customHeight="1" thickBot="1" x14ac:dyDescent="0.35">
      <c r="B40" s="93">
        <v>24</v>
      </c>
      <c r="C40" s="187">
        <v>2525</v>
      </c>
      <c r="D40" s="191" t="s">
        <v>121</v>
      </c>
      <c r="E40" s="103"/>
      <c r="F40" s="110"/>
      <c r="G40" s="94"/>
      <c r="H40" s="128">
        <f>SUM('12EG -A- S.COLECT.'!K33)</f>
        <v>19.666666666666668</v>
      </c>
      <c r="I40" s="110"/>
      <c r="J40" s="94"/>
      <c r="K40" s="128">
        <f>SUM('12EG -A- S. MENTAL'!K33)</f>
        <v>8.8333333333333339</v>
      </c>
      <c r="L40" s="130"/>
      <c r="M40" s="127"/>
      <c r="N40" s="128">
        <f>SUM('12EG -A- EPIDEMIOL.'!K33)</f>
        <v>10.666666666666666</v>
      </c>
      <c r="O40" s="130"/>
      <c r="P40" s="127"/>
      <c r="Q40" s="128">
        <f>SUM('12EG-A- F.A.E'!K33)</f>
        <v>3</v>
      </c>
      <c r="R40" s="133"/>
      <c r="S40" s="127"/>
      <c r="T40" s="128">
        <f>SUM('12EG -A- URGÊNCIA'!K33)</f>
        <v>6.666666666666667</v>
      </c>
      <c r="U40" s="130"/>
      <c r="V40" s="127"/>
      <c r="W40" s="128">
        <f>SUM('12EG -A- N.D'!K33)</f>
        <v>11.166666666666666</v>
      </c>
      <c r="X40" s="130"/>
      <c r="Y40" s="127"/>
      <c r="Z40" s="128">
        <f>SUM('12EG -A- A.E.P.M.C'!K33)</f>
        <v>9.5</v>
      </c>
      <c r="AA40" s="133"/>
      <c r="AB40" s="127"/>
      <c r="AC40" s="128">
        <f>SUM('12EG -A- TEC. ENFER'!K33)</f>
        <v>7.7</v>
      </c>
      <c r="AD40" s="130"/>
      <c r="AE40" s="127"/>
      <c r="AF40" s="128">
        <f>SUM('12EG -A- A.E.S.M'!K33)</f>
        <v>12</v>
      </c>
      <c r="AG40" s="133"/>
      <c r="AH40" s="127"/>
      <c r="AI40" s="128">
        <f>SUM('12EG -A- PROJ. TEC'!K33)</f>
        <v>0</v>
      </c>
      <c r="AJ40" s="133"/>
      <c r="AK40" s="127"/>
      <c r="AL40" s="128">
        <f>SUM('12EG -A- A.E.S.Ç'!K33)</f>
        <v>12</v>
      </c>
      <c r="AM40" s="133"/>
      <c r="AN40" s="126"/>
      <c r="AO40" s="128">
        <f>SUM('12EG -A- GESTÃO ENF.'!K33)</f>
        <v>7</v>
      </c>
      <c r="AP40" s="107" t="s">
        <v>143</v>
      </c>
      <c r="AQ40" s="113">
        <f t="shared" si="0"/>
        <v>9.0166666666666675</v>
      </c>
      <c r="AR40" s="181">
        <v>17</v>
      </c>
      <c r="AS40" s="184" t="s">
        <v>54</v>
      </c>
    </row>
    <row r="41" spans="2:45" ht="15" customHeight="1" thickBot="1" x14ac:dyDescent="0.35">
      <c r="B41" s="93">
        <v>25</v>
      </c>
      <c r="C41" s="187">
        <v>2163</v>
      </c>
      <c r="D41" s="191" t="s">
        <v>122</v>
      </c>
      <c r="E41" s="103"/>
      <c r="F41" s="110"/>
      <c r="G41" s="94"/>
      <c r="H41" s="128">
        <f>SUM('12EG -A- S.COLECT.'!K34)</f>
        <v>14</v>
      </c>
      <c r="I41" s="110"/>
      <c r="J41" s="94"/>
      <c r="K41" s="128">
        <f>SUM('12EG -A- S. MENTAL'!K34)</f>
        <v>16.666666666666668</v>
      </c>
      <c r="L41" s="130"/>
      <c r="M41" s="127"/>
      <c r="N41" s="128">
        <f>SUM('12EG -A- EPIDEMIOL.'!K34)</f>
        <v>17.333333333333332</v>
      </c>
      <c r="O41" s="130"/>
      <c r="P41" s="127"/>
      <c r="Q41" s="128">
        <f>SUM('12EG-A- F.A.E'!K34)</f>
        <v>11</v>
      </c>
      <c r="R41" s="133"/>
      <c r="S41" s="127"/>
      <c r="T41" s="128">
        <f>SUM('12EG -A- URGÊNCIA'!K34)</f>
        <v>16.333333333333332</v>
      </c>
      <c r="U41" s="130"/>
      <c r="V41" s="127"/>
      <c r="W41" s="128">
        <f>SUM('12EG -A- N.D'!K34)</f>
        <v>18.833333333333332</v>
      </c>
      <c r="X41" s="130"/>
      <c r="Y41" s="127"/>
      <c r="Z41" s="128">
        <f>SUM('12EG -A- A.E.P.M.C'!K34)</f>
        <v>17.333333333333332</v>
      </c>
      <c r="AA41" s="133"/>
      <c r="AB41" s="127"/>
      <c r="AC41" s="128">
        <f>SUM('12EG -A- TEC. ENFER'!K34)</f>
        <v>14.666666666666666</v>
      </c>
      <c r="AD41" s="130"/>
      <c r="AE41" s="127"/>
      <c r="AF41" s="128">
        <f>SUM('12EG -A- A.E.S.M'!K34)</f>
        <v>12</v>
      </c>
      <c r="AG41" s="133"/>
      <c r="AH41" s="127"/>
      <c r="AI41" s="128">
        <f>SUM('12EG -A- PROJ. TEC'!K34)</f>
        <v>19.333333333333332</v>
      </c>
      <c r="AJ41" s="133"/>
      <c r="AK41" s="127"/>
      <c r="AL41" s="128">
        <f>SUM('12EG -A- A.E.S.Ç'!K34)</f>
        <v>17.5</v>
      </c>
      <c r="AM41" s="133"/>
      <c r="AN41" s="126"/>
      <c r="AO41" s="128">
        <f>SUM('12EG -A- GESTÃO ENF.'!K34)</f>
        <v>15.333333333333334</v>
      </c>
      <c r="AP41" s="107" t="s">
        <v>93</v>
      </c>
      <c r="AQ41" s="113">
        <f t="shared" si="0"/>
        <v>15.861111111111112</v>
      </c>
      <c r="AR41" s="181">
        <v>17</v>
      </c>
      <c r="AS41" s="184" t="s">
        <v>56</v>
      </c>
    </row>
    <row r="42" spans="2:45" ht="15" customHeight="1" thickBot="1" x14ac:dyDescent="0.35">
      <c r="B42" s="93">
        <v>26</v>
      </c>
      <c r="C42" s="187">
        <v>2042</v>
      </c>
      <c r="D42" s="191" t="s">
        <v>123</v>
      </c>
      <c r="E42" s="103"/>
      <c r="F42" s="110"/>
      <c r="G42" s="94"/>
      <c r="H42" s="128">
        <f>SUM('12EG -A- S.COLECT.'!K35)</f>
        <v>16.166666666666668</v>
      </c>
      <c r="I42" s="110"/>
      <c r="J42" s="94"/>
      <c r="K42" s="128">
        <f>SUM('12EG -A- S. MENTAL'!K35)</f>
        <v>12.666666666666666</v>
      </c>
      <c r="L42" s="130"/>
      <c r="M42" s="127"/>
      <c r="N42" s="128">
        <f>SUM('12EG -A- EPIDEMIOL.'!K35)</f>
        <v>14.666666666666666</v>
      </c>
      <c r="O42" s="130"/>
      <c r="P42" s="127"/>
      <c r="Q42" s="128">
        <f>SUM('12EG-A- F.A.E'!K35)</f>
        <v>4.666666666666667</v>
      </c>
      <c r="R42" s="133"/>
      <c r="S42" s="127"/>
      <c r="T42" s="128">
        <f>SUM('12EG -A- URGÊNCIA'!K35)</f>
        <v>5.666666666666667</v>
      </c>
      <c r="U42" s="130"/>
      <c r="V42" s="127"/>
      <c r="W42" s="128">
        <f>SUM('12EG -A- N.D'!K35)</f>
        <v>9.6666666666666661</v>
      </c>
      <c r="X42" s="130"/>
      <c r="Y42" s="127"/>
      <c r="Z42" s="128">
        <f>SUM('12EG -A- A.E.P.M.C'!K35)</f>
        <v>13.666666666666666</v>
      </c>
      <c r="AA42" s="133"/>
      <c r="AB42" s="127"/>
      <c r="AC42" s="128">
        <f>SUM('12EG -A- TEC. ENFER'!K35)</f>
        <v>10</v>
      </c>
      <c r="AD42" s="130"/>
      <c r="AE42" s="127"/>
      <c r="AF42" s="128">
        <f>SUM('12EG -A- A.E.S.M'!K35)</f>
        <v>12</v>
      </c>
      <c r="AG42" s="133"/>
      <c r="AH42" s="127"/>
      <c r="AI42" s="128">
        <f>SUM('12EG -A- PROJ. TEC'!K35)</f>
        <v>9.3333333333333339</v>
      </c>
      <c r="AJ42" s="133"/>
      <c r="AK42" s="127"/>
      <c r="AL42" s="128">
        <f>SUM('12EG -A- A.E.S.Ç'!K35)</f>
        <v>13.5</v>
      </c>
      <c r="AM42" s="133"/>
      <c r="AN42" s="126"/>
      <c r="AO42" s="128">
        <f>SUM('12EG -A- GESTÃO ENF.'!K35)</f>
        <v>7</v>
      </c>
      <c r="AP42" s="107" t="s">
        <v>143</v>
      </c>
      <c r="AQ42" s="113">
        <f t="shared" si="0"/>
        <v>10.75</v>
      </c>
      <c r="AR42" s="181">
        <v>18</v>
      </c>
      <c r="AS42" s="184" t="s">
        <v>54</v>
      </c>
    </row>
    <row r="43" spans="2:45" ht="15" customHeight="1" thickBot="1" x14ac:dyDescent="0.35">
      <c r="B43" s="93">
        <v>27</v>
      </c>
      <c r="C43" s="187">
        <v>1975</v>
      </c>
      <c r="D43" s="191" t="s">
        <v>124</v>
      </c>
      <c r="E43" s="103"/>
      <c r="F43" s="110"/>
      <c r="G43" s="94"/>
      <c r="H43" s="128">
        <f>SUM('12EG -A- S.COLECT.'!K36)</f>
        <v>15</v>
      </c>
      <c r="I43" s="110"/>
      <c r="J43" s="94"/>
      <c r="K43" s="128">
        <f>SUM('12EG -A- S. MENTAL'!K36)</f>
        <v>17</v>
      </c>
      <c r="L43" s="130"/>
      <c r="M43" s="127"/>
      <c r="N43" s="128">
        <f>SUM('12EG -A- EPIDEMIOL.'!K36)</f>
        <v>13.666666666666666</v>
      </c>
      <c r="O43" s="130"/>
      <c r="P43" s="127"/>
      <c r="Q43" s="128">
        <f>SUM('12EG-A- F.A.E'!K36)</f>
        <v>3.6666666666666665</v>
      </c>
      <c r="R43" s="133"/>
      <c r="S43" s="127"/>
      <c r="T43" s="128">
        <f>SUM('12EG -A- URGÊNCIA'!K36)</f>
        <v>10</v>
      </c>
      <c r="U43" s="130"/>
      <c r="V43" s="127"/>
      <c r="W43" s="128">
        <f>SUM('12EG -A- N.D'!K36)</f>
        <v>18</v>
      </c>
      <c r="X43" s="130"/>
      <c r="Y43" s="127"/>
      <c r="Z43" s="128">
        <f>SUM('12EG -A- A.E.P.M.C'!K36)</f>
        <v>14.333333333333334</v>
      </c>
      <c r="AA43" s="133"/>
      <c r="AB43" s="127"/>
      <c r="AC43" s="128">
        <f>SUM('12EG -A- TEC. ENFER'!K36)</f>
        <v>10</v>
      </c>
      <c r="AD43" s="130"/>
      <c r="AE43" s="127"/>
      <c r="AF43" s="128">
        <f>SUM('12EG -A- A.E.S.M'!K36)</f>
        <v>12</v>
      </c>
      <c r="AG43" s="133"/>
      <c r="AH43" s="127"/>
      <c r="AI43" s="128">
        <f>SUM('12EG -A- PROJ. TEC'!K36)</f>
        <v>16</v>
      </c>
      <c r="AJ43" s="133"/>
      <c r="AK43" s="127"/>
      <c r="AL43" s="128">
        <f>SUM('12EG -A- A.E.S.Ç'!K36)</f>
        <v>15.5</v>
      </c>
      <c r="AM43" s="133"/>
      <c r="AN43" s="126"/>
      <c r="AO43" s="128">
        <f>SUM('12EG -A- GESTÃO ENF.'!K36)</f>
        <v>5.833333333333333</v>
      </c>
      <c r="AP43" s="107" t="s">
        <v>143</v>
      </c>
      <c r="AQ43" s="113">
        <f t="shared" si="0"/>
        <v>12.583333333333334</v>
      </c>
      <c r="AR43" s="181">
        <v>17</v>
      </c>
      <c r="AS43" s="184" t="s">
        <v>56</v>
      </c>
    </row>
    <row r="44" spans="2:45" ht="15" customHeight="1" thickBot="1" x14ac:dyDescent="0.35">
      <c r="B44" s="93">
        <v>28</v>
      </c>
      <c r="C44" s="187">
        <v>1915</v>
      </c>
      <c r="D44" s="191" t="s">
        <v>125</v>
      </c>
      <c r="E44" s="103"/>
      <c r="F44" s="110"/>
      <c r="G44" s="94"/>
      <c r="H44" s="128">
        <f>SUM('12EG -A- S.COLECT.'!K37)</f>
        <v>15.666666666666666</v>
      </c>
      <c r="I44" s="110"/>
      <c r="J44" s="94"/>
      <c r="K44" s="128">
        <f>SUM('12EG -A- S. MENTAL'!K37)</f>
        <v>15</v>
      </c>
      <c r="L44" s="130"/>
      <c r="M44" s="127"/>
      <c r="N44" s="128">
        <f>SUM('12EG -A- EPIDEMIOL.'!K37)</f>
        <v>15.666666666666666</v>
      </c>
      <c r="O44" s="130"/>
      <c r="P44" s="127"/>
      <c r="Q44" s="128">
        <f>SUM('12EG-A- F.A.E'!K37)</f>
        <v>10.666666666666666</v>
      </c>
      <c r="R44" s="133"/>
      <c r="S44" s="127"/>
      <c r="T44" s="128">
        <f>SUM('12EG -A- URGÊNCIA'!K37)</f>
        <v>10.333333333333334</v>
      </c>
      <c r="U44" s="130"/>
      <c r="V44" s="127"/>
      <c r="W44" s="128">
        <f>SUM('12EG -A- N.D'!K37)</f>
        <v>14.333333333333334</v>
      </c>
      <c r="X44" s="130"/>
      <c r="Y44" s="127"/>
      <c r="Z44" s="128">
        <f>SUM('12EG -A- A.E.P.M.C'!K37)</f>
        <v>14</v>
      </c>
      <c r="AA44" s="133"/>
      <c r="AB44" s="127"/>
      <c r="AC44" s="128">
        <f>SUM('12EG -A- TEC. ENFER'!K37)</f>
        <v>6.833333333333333</v>
      </c>
      <c r="AD44" s="130"/>
      <c r="AE44" s="127"/>
      <c r="AF44" s="128">
        <f>SUM('12EG -A- A.E.S.M'!K37)</f>
        <v>12</v>
      </c>
      <c r="AG44" s="133"/>
      <c r="AH44" s="127"/>
      <c r="AI44" s="128">
        <f>SUM('12EG -A- PROJ. TEC'!K37)</f>
        <v>13.666666666666666</v>
      </c>
      <c r="AJ44" s="133"/>
      <c r="AK44" s="127"/>
      <c r="AL44" s="128">
        <f>SUM('12EG -A- A.E.S.Ç'!K37)</f>
        <v>17</v>
      </c>
      <c r="AM44" s="133"/>
      <c r="AN44" s="126"/>
      <c r="AO44" s="128">
        <f>SUM('12EG -A- GESTÃO ENF.'!K37)</f>
        <v>8.6666666666666661</v>
      </c>
      <c r="AP44" s="107" t="s">
        <v>143</v>
      </c>
      <c r="AQ44" s="113">
        <f t="shared" si="0"/>
        <v>12.819444444444443</v>
      </c>
      <c r="AR44" s="181">
        <v>17</v>
      </c>
      <c r="AS44" s="184" t="s">
        <v>54</v>
      </c>
    </row>
    <row r="45" spans="2:45" ht="15" customHeight="1" thickBot="1" x14ac:dyDescent="0.35">
      <c r="B45" s="93">
        <v>29</v>
      </c>
      <c r="C45" s="187">
        <v>2598</v>
      </c>
      <c r="D45" s="191" t="s">
        <v>126</v>
      </c>
      <c r="E45" s="103"/>
      <c r="F45" s="110"/>
      <c r="G45" s="94"/>
      <c r="H45" s="128">
        <f>SUM('12EG -A- S.COLECT.'!K38)</f>
        <v>19.666666666666668</v>
      </c>
      <c r="I45" s="110"/>
      <c r="J45" s="94"/>
      <c r="K45" s="128">
        <f>SUM('12EG -A- S. MENTAL'!K38)</f>
        <v>11.166666666666666</v>
      </c>
      <c r="L45" s="130"/>
      <c r="M45" s="127"/>
      <c r="N45" s="128">
        <f>SUM('12EG -A- EPIDEMIOL.'!K38)</f>
        <v>16.666666666666668</v>
      </c>
      <c r="O45" s="130"/>
      <c r="P45" s="127"/>
      <c r="Q45" s="128">
        <f>SUM('12EG-A- F.A.E'!K38)</f>
        <v>6</v>
      </c>
      <c r="R45" s="133"/>
      <c r="S45" s="127"/>
      <c r="T45" s="128">
        <f>SUM('12EG -A- URGÊNCIA'!K38)</f>
        <v>9</v>
      </c>
      <c r="U45" s="130"/>
      <c r="V45" s="127"/>
      <c r="W45" s="128">
        <f>SUM('12EG -A- N.D'!K38)</f>
        <v>13.166666666666666</v>
      </c>
      <c r="X45" s="130"/>
      <c r="Y45" s="127"/>
      <c r="Z45" s="128">
        <f>SUM('12EG -A- A.E.P.M.C'!K38)</f>
        <v>8.3333333333333339</v>
      </c>
      <c r="AA45" s="133"/>
      <c r="AB45" s="127"/>
      <c r="AC45" s="128">
        <f>SUM('12EG -A- TEC. ENFER'!K38)</f>
        <v>11.666666666666666</v>
      </c>
      <c r="AD45" s="130"/>
      <c r="AE45" s="127"/>
      <c r="AF45" s="128">
        <f>SUM('12EG -A- A.E.S.M'!K38)</f>
        <v>12</v>
      </c>
      <c r="AG45" s="133"/>
      <c r="AH45" s="127"/>
      <c r="AI45" s="128">
        <f>SUM('12EG -A- PROJ. TEC'!K38)</f>
        <v>0</v>
      </c>
      <c r="AJ45" s="133"/>
      <c r="AK45" s="127"/>
      <c r="AL45" s="128">
        <f>SUM('12EG -A- A.E.S.Ç'!K38)</f>
        <v>14.5</v>
      </c>
      <c r="AM45" s="133"/>
      <c r="AN45" s="126"/>
      <c r="AO45" s="128">
        <f>SUM('12EG -A- GESTÃO ENF.'!K38)</f>
        <v>4.666666666666667</v>
      </c>
      <c r="AP45" s="107" t="s">
        <v>143</v>
      </c>
      <c r="AQ45" s="113">
        <f t="shared" si="0"/>
        <v>10.569444444444445</v>
      </c>
      <c r="AR45" s="181">
        <v>17</v>
      </c>
      <c r="AS45" s="184" t="s">
        <v>54</v>
      </c>
    </row>
    <row r="46" spans="2:45" ht="15" customHeight="1" thickBot="1" x14ac:dyDescent="0.35">
      <c r="B46" s="93">
        <v>30</v>
      </c>
      <c r="C46" s="187">
        <v>2012</v>
      </c>
      <c r="D46" s="191" t="s">
        <v>127</v>
      </c>
      <c r="E46" s="103"/>
      <c r="F46" s="110"/>
      <c r="G46" s="94"/>
      <c r="H46" s="128">
        <f>SUM('12EG -A- S.COLECT.'!K39)</f>
        <v>15.333333333333334</v>
      </c>
      <c r="I46" s="110"/>
      <c r="J46" s="94"/>
      <c r="K46" s="128">
        <f>SUM('12EG -A- S. MENTAL'!K39)</f>
        <v>17</v>
      </c>
      <c r="L46" s="130"/>
      <c r="M46" s="127"/>
      <c r="N46" s="128">
        <f>SUM('12EG -A- EPIDEMIOL.'!K39)</f>
        <v>17.333333333333332</v>
      </c>
      <c r="O46" s="130"/>
      <c r="P46" s="127"/>
      <c r="Q46" s="128">
        <f>SUM('12EG-A- F.A.E'!K39)</f>
        <v>11</v>
      </c>
      <c r="R46" s="133"/>
      <c r="S46" s="127"/>
      <c r="T46" s="128">
        <f>SUM('12EG -A- URGÊNCIA'!K39)</f>
        <v>15.333333333333334</v>
      </c>
      <c r="U46" s="130"/>
      <c r="V46" s="127"/>
      <c r="W46" s="128">
        <f>SUM('12EG -A- N.D'!K39)</f>
        <v>19.166666666666668</v>
      </c>
      <c r="X46" s="130"/>
      <c r="Y46" s="127"/>
      <c r="Z46" s="128">
        <f>SUM('12EG -A- A.E.P.M.C'!K39)</f>
        <v>16.333333333333332</v>
      </c>
      <c r="AA46" s="133"/>
      <c r="AB46" s="127"/>
      <c r="AC46" s="128">
        <f>SUM('12EG -A- TEC. ENFER'!K39)</f>
        <v>15.933333333333332</v>
      </c>
      <c r="AD46" s="130"/>
      <c r="AE46" s="127"/>
      <c r="AF46" s="128">
        <f>SUM('12EG -A- A.E.S.M'!K39)</f>
        <v>14.666666666666666</v>
      </c>
      <c r="AG46" s="133"/>
      <c r="AH46" s="127"/>
      <c r="AI46" s="128">
        <f>SUM('12EG -A- PROJ. TEC'!K39)</f>
        <v>18.666666666666668</v>
      </c>
      <c r="AJ46" s="133"/>
      <c r="AK46" s="127"/>
      <c r="AL46" s="128">
        <f>SUM('12EG -A- A.E.S.Ç'!K39)</f>
        <v>17.833333333333332</v>
      </c>
      <c r="AM46" s="133"/>
      <c r="AN46" s="126"/>
      <c r="AO46" s="128">
        <f>SUM('12EG -A- GESTÃO ENF.'!K39)</f>
        <v>15</v>
      </c>
      <c r="AP46" s="107" t="s">
        <v>93</v>
      </c>
      <c r="AQ46" s="113">
        <f t="shared" si="0"/>
        <v>16.133333333333333</v>
      </c>
      <c r="AR46" s="181">
        <v>17</v>
      </c>
      <c r="AS46" s="184" t="s">
        <v>56</v>
      </c>
    </row>
    <row r="47" spans="2:45" ht="15" customHeight="1" thickBot="1" x14ac:dyDescent="0.35">
      <c r="B47" s="93">
        <v>31</v>
      </c>
      <c r="C47" s="187">
        <v>2177</v>
      </c>
      <c r="D47" s="191" t="s">
        <v>128</v>
      </c>
      <c r="E47" s="103"/>
      <c r="F47" s="110"/>
      <c r="G47" s="94"/>
      <c r="H47" s="128">
        <f>SUM('12EG -A- S.COLECT.'!K40)</f>
        <v>15.833333333333334</v>
      </c>
      <c r="I47" s="110"/>
      <c r="J47" s="94"/>
      <c r="K47" s="128">
        <f>SUM('12EG -A- S. MENTAL'!K40)</f>
        <v>14.5</v>
      </c>
      <c r="L47" s="130"/>
      <c r="M47" s="127"/>
      <c r="N47" s="128">
        <f>SUM('12EG -A- EPIDEMIOL.'!K40)</f>
        <v>13.333333333333334</v>
      </c>
      <c r="O47" s="130"/>
      <c r="P47" s="127"/>
      <c r="Q47" s="128">
        <f>SUM('12EG-A- F.A.E'!K40)</f>
        <v>12.666666666666666</v>
      </c>
      <c r="R47" s="133"/>
      <c r="S47" s="127"/>
      <c r="T47" s="128">
        <f>SUM('12EG -A- URGÊNCIA'!K40)</f>
        <v>14.166666666666666</v>
      </c>
      <c r="U47" s="130"/>
      <c r="V47" s="127"/>
      <c r="W47" s="128">
        <f>SUM('12EG -A- N.D'!K40)</f>
        <v>16.5</v>
      </c>
      <c r="X47" s="130"/>
      <c r="Y47" s="127"/>
      <c r="Z47" s="128">
        <f>SUM('12EG -A- A.E.P.M.C'!K40)</f>
        <v>15.166666666666666</v>
      </c>
      <c r="AA47" s="133"/>
      <c r="AB47" s="127"/>
      <c r="AC47" s="128">
        <f>SUM('12EG -A- TEC. ENFER'!K40)</f>
        <v>13.666666666666666</v>
      </c>
      <c r="AD47" s="130"/>
      <c r="AE47" s="127"/>
      <c r="AF47" s="128">
        <f>SUM('12EG -A- A.E.S.M'!K40)</f>
        <v>12</v>
      </c>
      <c r="AG47" s="133"/>
      <c r="AH47" s="127"/>
      <c r="AI47" s="128">
        <f>SUM('12EG -A- PROJ. TEC'!K40)</f>
        <v>18.666666666666668</v>
      </c>
      <c r="AJ47" s="133"/>
      <c r="AK47" s="127"/>
      <c r="AL47" s="128">
        <f>SUM('12EG -A- A.E.S.Ç'!K40)</f>
        <v>15</v>
      </c>
      <c r="AM47" s="133"/>
      <c r="AN47" s="126"/>
      <c r="AO47" s="128">
        <f>SUM('12EG -A- GESTÃO ENF.'!K40)</f>
        <v>13.666666666666666</v>
      </c>
      <c r="AP47" s="107" t="s">
        <v>93</v>
      </c>
      <c r="AQ47" s="113">
        <f t="shared" si="0"/>
        <v>14.597222222222221</v>
      </c>
      <c r="AR47" s="181">
        <v>17</v>
      </c>
      <c r="AS47" s="184" t="s">
        <v>56</v>
      </c>
    </row>
    <row r="48" spans="2:45" ht="15" customHeight="1" thickBot="1" x14ac:dyDescent="0.35">
      <c r="B48" s="93">
        <v>32</v>
      </c>
      <c r="C48" s="187">
        <v>2155</v>
      </c>
      <c r="D48" s="191" t="s">
        <v>142</v>
      </c>
      <c r="E48" s="103"/>
      <c r="F48" s="110"/>
      <c r="G48" s="94"/>
      <c r="H48" s="128">
        <f>SUM('12EG -A- S.COLECT.'!K41)</f>
        <v>16.666666666666668</v>
      </c>
      <c r="I48" s="110"/>
      <c r="J48" s="94"/>
      <c r="K48" s="128">
        <f>SUM('12EG -A- S. MENTAL'!K41)</f>
        <v>16</v>
      </c>
      <c r="L48" s="130"/>
      <c r="M48" s="127"/>
      <c r="N48" s="128">
        <f>SUM('12EG -A- EPIDEMIOL.'!K41)</f>
        <v>16</v>
      </c>
      <c r="O48" s="130"/>
      <c r="P48" s="127"/>
      <c r="Q48" s="128">
        <f>SUM('12EG-A- F.A.E'!K41)</f>
        <v>12</v>
      </c>
      <c r="R48" s="133"/>
      <c r="S48" s="127"/>
      <c r="T48" s="128">
        <f>SUM('12EG -A- URGÊNCIA'!K41)</f>
        <v>11.833333333333334</v>
      </c>
      <c r="U48" s="130"/>
      <c r="V48" s="127"/>
      <c r="W48" s="128">
        <f>SUM('12EG -A- N.D'!K41)</f>
        <v>0</v>
      </c>
      <c r="X48" s="130"/>
      <c r="Y48" s="127"/>
      <c r="Z48" s="128">
        <f>SUM('12EG -A- A.E.P.M.C'!K41)</f>
        <v>0</v>
      </c>
      <c r="AA48" s="133"/>
      <c r="AB48" s="127"/>
      <c r="AC48" s="128">
        <f>SUM('12EG -A- TEC. ENFER'!K41)</f>
        <v>0</v>
      </c>
      <c r="AD48" s="130"/>
      <c r="AE48" s="127"/>
      <c r="AF48" s="128">
        <f>SUM('12EG -A- A.E.S.M'!K41)</f>
        <v>0</v>
      </c>
      <c r="AG48" s="133"/>
      <c r="AH48" s="127"/>
      <c r="AI48" s="128">
        <f>SUM('12EG -A- PROJ. TEC'!K41)</f>
        <v>0</v>
      </c>
      <c r="AJ48" s="133"/>
      <c r="AK48" s="127"/>
      <c r="AL48" s="128">
        <f>SUM('12EG -A- A.E.S.Ç'!K41)</f>
        <v>10</v>
      </c>
      <c r="AM48" s="133"/>
      <c r="AN48" s="126"/>
      <c r="AO48" s="128">
        <f>SUM('12EG -A- GESTÃO ENF.'!K41)</f>
        <v>0</v>
      </c>
      <c r="AP48" s="107" t="s">
        <v>143</v>
      </c>
      <c r="AQ48" s="113">
        <f t="shared" si="0"/>
        <v>6.875</v>
      </c>
      <c r="AR48" s="181">
        <v>18</v>
      </c>
      <c r="AS48" s="184" t="s">
        <v>56</v>
      </c>
    </row>
    <row r="49" spans="2:45" ht="15" customHeight="1" thickBot="1" x14ac:dyDescent="0.35">
      <c r="B49" s="93">
        <v>33</v>
      </c>
      <c r="C49" s="187">
        <v>2270</v>
      </c>
      <c r="D49" s="191" t="s">
        <v>129</v>
      </c>
      <c r="E49" s="104"/>
      <c r="F49" s="110"/>
      <c r="G49" s="94"/>
      <c r="H49" s="128">
        <f>SUM('12EG -A- S.COLECT.'!K42)</f>
        <v>19</v>
      </c>
      <c r="I49" s="110"/>
      <c r="J49" s="94"/>
      <c r="K49" s="128">
        <f>SUM('12EG -A- S. MENTAL'!K42)</f>
        <v>12.666666666666666</v>
      </c>
      <c r="L49" s="130"/>
      <c r="M49" s="127"/>
      <c r="N49" s="128">
        <f>SUM('12EG -A- EPIDEMIOL.'!K42)</f>
        <v>11.333333333333334</v>
      </c>
      <c r="O49" s="130"/>
      <c r="P49" s="127"/>
      <c r="Q49" s="128">
        <f>SUM('12EG-A- F.A.E'!K42)</f>
        <v>10.416666666666666</v>
      </c>
      <c r="R49" s="133"/>
      <c r="S49" s="127"/>
      <c r="T49" s="128">
        <f>SUM('12EG -A- URGÊNCIA'!K42)</f>
        <v>14.666666666666666</v>
      </c>
      <c r="U49" s="130"/>
      <c r="V49" s="127"/>
      <c r="W49" s="128">
        <f>SUM('12EG -A- N.D'!K42)</f>
        <v>18.333333333333332</v>
      </c>
      <c r="X49" s="130"/>
      <c r="Y49" s="127"/>
      <c r="Z49" s="128">
        <f>SUM('12EG -A- A.E.P.M.C'!K42)</f>
        <v>11.5</v>
      </c>
      <c r="AA49" s="133"/>
      <c r="AB49" s="127"/>
      <c r="AC49" s="128">
        <f>SUM('12EG -A- TEC. ENFER'!K42)</f>
        <v>10.700000000000001</v>
      </c>
      <c r="AD49" s="130"/>
      <c r="AE49" s="127"/>
      <c r="AF49" s="128">
        <f>SUM('12EG -A- A.E.S.M'!K42)</f>
        <v>12</v>
      </c>
      <c r="AG49" s="133"/>
      <c r="AH49" s="127"/>
      <c r="AI49" s="128">
        <f>SUM('12EG -A- PROJ. TEC'!K42)</f>
        <v>0</v>
      </c>
      <c r="AJ49" s="133"/>
      <c r="AK49" s="127"/>
      <c r="AL49" s="128">
        <f>SUM('12EG -A- A.E.S.Ç'!K42)</f>
        <v>12.5</v>
      </c>
      <c r="AM49" s="133"/>
      <c r="AN49" s="126"/>
      <c r="AO49" s="128">
        <f>SUM('12EG -A- GESTÃO ENF.'!K42)</f>
        <v>11.666666666666666</v>
      </c>
      <c r="AP49" s="107" t="s">
        <v>93</v>
      </c>
      <c r="AQ49" s="113">
        <f t="shared" si="0"/>
        <v>12.065277777777778</v>
      </c>
      <c r="AR49" s="181">
        <v>17</v>
      </c>
      <c r="AS49" s="184" t="s">
        <v>56</v>
      </c>
    </row>
    <row r="50" spans="2:45" ht="15" customHeight="1" thickBot="1" x14ac:dyDescent="0.35">
      <c r="B50" s="93">
        <v>34</v>
      </c>
      <c r="C50" s="187">
        <v>1894</v>
      </c>
      <c r="D50" s="191" t="s">
        <v>130</v>
      </c>
      <c r="E50" s="103"/>
      <c r="F50" s="110"/>
      <c r="G50" s="94"/>
      <c r="H50" s="128">
        <f>SUM('12EG -A- S.COLECT.'!K43)</f>
        <v>18.833333333333332</v>
      </c>
      <c r="I50" s="110"/>
      <c r="J50" s="94"/>
      <c r="K50" s="128">
        <f>SUM('12EG -A- S. MENTAL'!K43)</f>
        <v>14.666666666666666</v>
      </c>
      <c r="L50" s="130"/>
      <c r="M50" s="127"/>
      <c r="N50" s="128">
        <f>SUM('12EG -A- EPIDEMIOL.'!K43)</f>
        <v>11.666666666666666</v>
      </c>
      <c r="O50" s="130"/>
      <c r="P50" s="127"/>
      <c r="Q50" s="128">
        <f>SUM('12EG-A- F.A.E'!K43)</f>
        <v>11.333333333333334</v>
      </c>
      <c r="R50" s="133"/>
      <c r="S50" s="127"/>
      <c r="T50" s="128">
        <f>SUM('12EG -A- URGÊNCIA'!K43)</f>
        <v>13.5</v>
      </c>
      <c r="U50" s="130"/>
      <c r="V50" s="127"/>
      <c r="W50" s="128">
        <f>SUM('12EG -A- N.D'!K43)</f>
        <v>18</v>
      </c>
      <c r="X50" s="130"/>
      <c r="Y50" s="127"/>
      <c r="Z50" s="128">
        <f>SUM('12EG -A- A.E.P.M.C'!K43)</f>
        <v>16.333333333333332</v>
      </c>
      <c r="AA50" s="133"/>
      <c r="AB50" s="127"/>
      <c r="AC50" s="128">
        <f>SUM('12EG -A- TEC. ENFER'!K43)</f>
        <v>11.533333333333333</v>
      </c>
      <c r="AD50" s="130"/>
      <c r="AE50" s="127"/>
      <c r="AF50" s="128">
        <f>SUM('12EG -A- A.E.S.M'!K43)</f>
        <v>12</v>
      </c>
      <c r="AG50" s="133"/>
      <c r="AH50" s="127"/>
      <c r="AI50" s="128">
        <f>SUM('12EG -A- PROJ. TEC'!K43)</f>
        <v>15.666666666666666</v>
      </c>
      <c r="AJ50" s="133"/>
      <c r="AK50" s="127"/>
      <c r="AL50" s="128">
        <f>SUM('12EG -A- A.E.S.Ç'!K43)</f>
        <v>16.833333333333332</v>
      </c>
      <c r="AM50" s="133"/>
      <c r="AN50" s="126"/>
      <c r="AO50" s="128">
        <f>SUM('12EG -A- GESTÃO ENF.'!K43)</f>
        <v>11.333333333333334</v>
      </c>
      <c r="AP50" s="107" t="s">
        <v>93</v>
      </c>
      <c r="AQ50" s="113">
        <f t="shared" si="0"/>
        <v>14.308333333333335</v>
      </c>
      <c r="AR50" s="181">
        <v>18</v>
      </c>
      <c r="AS50" s="184" t="s">
        <v>56</v>
      </c>
    </row>
    <row r="51" spans="2:45" ht="15" customHeight="1" thickBot="1" x14ac:dyDescent="0.35">
      <c r="B51" s="93">
        <v>35</v>
      </c>
      <c r="C51" s="187">
        <v>2594</v>
      </c>
      <c r="D51" s="191" t="s">
        <v>131</v>
      </c>
      <c r="E51" s="103"/>
      <c r="F51" s="110"/>
      <c r="G51" s="94"/>
      <c r="H51" s="128">
        <f>SUM('12EG -A- S.COLECT.'!K44)</f>
        <v>17.833333333333332</v>
      </c>
      <c r="I51" s="110"/>
      <c r="J51" s="94"/>
      <c r="K51" s="128">
        <f>SUM('12EG -A- S. MENTAL'!K44)</f>
        <v>15</v>
      </c>
      <c r="L51" s="130"/>
      <c r="M51" s="127"/>
      <c r="N51" s="128">
        <f>SUM('12EG -A- EPIDEMIOL.'!K44)</f>
        <v>16.333333333333332</v>
      </c>
      <c r="O51" s="130"/>
      <c r="P51" s="127"/>
      <c r="Q51" s="128">
        <f>SUM('12EG-A- F.A.E'!K44)</f>
        <v>12.833333333333334</v>
      </c>
      <c r="R51" s="133"/>
      <c r="S51" s="127"/>
      <c r="T51" s="128">
        <f>SUM('12EG -A- URGÊNCIA'!K44)</f>
        <v>10.833333333333334</v>
      </c>
      <c r="U51" s="130"/>
      <c r="V51" s="127"/>
      <c r="W51" s="128">
        <f>SUM('12EG -A- N.D'!K44)</f>
        <v>16</v>
      </c>
      <c r="X51" s="130"/>
      <c r="Y51" s="127"/>
      <c r="Z51" s="128">
        <f>SUM('12EG -A- A.E.P.M.C'!K44)</f>
        <v>18</v>
      </c>
      <c r="AA51" s="133"/>
      <c r="AB51" s="127"/>
      <c r="AC51" s="128">
        <f>SUM('12EG -A- TEC. ENFER'!K44)</f>
        <v>14.200000000000001</v>
      </c>
      <c r="AD51" s="130"/>
      <c r="AE51" s="127"/>
      <c r="AF51" s="128">
        <f>SUM('12EG -A- A.E.S.M'!K44)</f>
        <v>12</v>
      </c>
      <c r="AG51" s="133"/>
      <c r="AH51" s="127"/>
      <c r="AI51" s="128">
        <f>SUM('12EG -A- PROJ. TEC'!K44)</f>
        <v>18</v>
      </c>
      <c r="AJ51" s="133"/>
      <c r="AK51" s="127"/>
      <c r="AL51" s="128">
        <f>SUM('12EG -A- A.E.S.Ç'!K44)</f>
        <v>16.5</v>
      </c>
      <c r="AM51" s="133"/>
      <c r="AN51" s="126"/>
      <c r="AO51" s="128">
        <f>SUM('12EG -A- GESTÃO ENF.'!K44)</f>
        <v>8.3333333333333339</v>
      </c>
      <c r="AP51" s="107" t="s">
        <v>143</v>
      </c>
      <c r="AQ51" s="113">
        <f t="shared" si="0"/>
        <v>14.655555555555557</v>
      </c>
      <c r="AR51" s="181">
        <v>17</v>
      </c>
      <c r="AS51" s="184" t="s">
        <v>56</v>
      </c>
    </row>
    <row r="52" spans="2:45" ht="15" customHeight="1" thickBot="1" x14ac:dyDescent="0.35">
      <c r="B52" s="93">
        <v>36</v>
      </c>
      <c r="C52" s="187">
        <v>1775</v>
      </c>
      <c r="D52" s="191" t="s">
        <v>132</v>
      </c>
      <c r="E52" s="103"/>
      <c r="F52" s="110"/>
      <c r="G52" s="94"/>
      <c r="H52" s="128">
        <f>SUM('12EG -A- S.COLECT.'!K45)</f>
        <v>13.833333333333334</v>
      </c>
      <c r="I52" s="110"/>
      <c r="J52" s="94"/>
      <c r="K52" s="128">
        <f>SUM('12EG -A- S. MENTAL'!K45)</f>
        <v>15.666666666666666</v>
      </c>
      <c r="L52" s="130"/>
      <c r="M52" s="127"/>
      <c r="N52" s="128">
        <f>SUM('12EG -A- EPIDEMIOL.'!K45)</f>
        <v>10.666666666666666</v>
      </c>
      <c r="O52" s="130"/>
      <c r="P52" s="127"/>
      <c r="Q52" s="128">
        <f>SUM('12EG-A- F.A.E'!K45)</f>
        <v>11.333333333333334</v>
      </c>
      <c r="R52" s="133"/>
      <c r="S52" s="127"/>
      <c r="T52" s="128">
        <f>SUM('12EG -A- URGÊNCIA'!K45)</f>
        <v>11.333333333333334</v>
      </c>
      <c r="U52" s="130"/>
      <c r="V52" s="127"/>
      <c r="W52" s="128">
        <f>SUM('12EG -A- N.D'!K45)</f>
        <v>16.333333333333332</v>
      </c>
      <c r="X52" s="130"/>
      <c r="Y52" s="127"/>
      <c r="Z52" s="128">
        <f>SUM('12EG -A- A.E.P.M.C'!K45)</f>
        <v>16.166666666666668</v>
      </c>
      <c r="AA52" s="133"/>
      <c r="AB52" s="127"/>
      <c r="AC52" s="128">
        <f>SUM('12EG -A- TEC. ENFER'!K45)</f>
        <v>11.333333333333334</v>
      </c>
      <c r="AD52" s="130"/>
      <c r="AE52" s="127"/>
      <c r="AF52" s="128">
        <f>SUM('12EG -A- A.E.S.M'!K45)</f>
        <v>12</v>
      </c>
      <c r="AG52" s="133"/>
      <c r="AH52" s="127"/>
      <c r="AI52" s="128">
        <f>SUM('12EG -A- PROJ. TEC'!K45)</f>
        <v>14.333333333333334</v>
      </c>
      <c r="AJ52" s="133"/>
      <c r="AK52" s="127"/>
      <c r="AL52" s="128">
        <f>SUM('12EG -A- A.E.S.Ç'!K45)</f>
        <v>15.666666666666666</v>
      </c>
      <c r="AM52" s="133"/>
      <c r="AN52" s="126"/>
      <c r="AO52" s="128">
        <f>SUM('12EG -A- GESTÃO ENF.'!K45)</f>
        <v>6.333333333333333</v>
      </c>
      <c r="AP52" s="107" t="s">
        <v>143</v>
      </c>
      <c r="AQ52" s="113">
        <f t="shared" si="0"/>
        <v>12.916666666666666</v>
      </c>
      <c r="AR52" s="181">
        <v>17</v>
      </c>
      <c r="AS52" s="184" t="s">
        <v>56</v>
      </c>
    </row>
    <row r="53" spans="2:45" ht="15" customHeight="1" thickBot="1" x14ac:dyDescent="0.35">
      <c r="B53" s="93">
        <v>37</v>
      </c>
      <c r="C53" s="187">
        <v>2637</v>
      </c>
      <c r="D53" s="191" t="s">
        <v>133</v>
      </c>
      <c r="E53" s="103"/>
      <c r="F53" s="110"/>
      <c r="G53" s="94"/>
      <c r="H53" s="128">
        <f>SUM('12EG -A- S.COLECT.'!K46)</f>
        <v>19.333333333333332</v>
      </c>
      <c r="I53" s="110"/>
      <c r="J53" s="94"/>
      <c r="K53" s="128">
        <f>SUM('12EG -A- S. MENTAL'!K46)</f>
        <v>16</v>
      </c>
      <c r="L53" s="130"/>
      <c r="M53" s="127"/>
      <c r="N53" s="128">
        <f>SUM('12EG -A- EPIDEMIOL.'!K46)</f>
        <v>18</v>
      </c>
      <c r="O53" s="130"/>
      <c r="P53" s="127"/>
      <c r="Q53" s="128">
        <f>SUM('12EG-A- F.A.E'!K46)</f>
        <v>11.666666666666666</v>
      </c>
      <c r="R53" s="133"/>
      <c r="S53" s="127"/>
      <c r="T53" s="128">
        <f>SUM('12EG -A- URGÊNCIA'!K46)</f>
        <v>11.166666666666666</v>
      </c>
      <c r="U53" s="130"/>
      <c r="V53" s="127"/>
      <c r="W53" s="128">
        <f>SUM('12EG -A- N.D'!K46)</f>
        <v>16.5</v>
      </c>
      <c r="X53" s="130"/>
      <c r="Y53" s="127"/>
      <c r="Z53" s="128">
        <f>SUM('12EG -A- A.E.P.M.C'!K46)</f>
        <v>17.5</v>
      </c>
      <c r="AA53" s="133"/>
      <c r="AB53" s="127"/>
      <c r="AC53" s="128">
        <f>SUM('12EG -A- TEC. ENFER'!K46)</f>
        <v>13.1</v>
      </c>
      <c r="AD53" s="130"/>
      <c r="AE53" s="127"/>
      <c r="AF53" s="128">
        <f>SUM('12EG -A- A.E.S.M'!K46)</f>
        <v>12</v>
      </c>
      <c r="AG53" s="133"/>
      <c r="AH53" s="127"/>
      <c r="AI53" s="128">
        <f>SUM('12EG -A- PROJ. TEC'!K46)</f>
        <v>13.666666666666666</v>
      </c>
      <c r="AJ53" s="133"/>
      <c r="AK53" s="127"/>
      <c r="AL53" s="128">
        <f>SUM('12EG -A- A.E.S.Ç'!K46)</f>
        <v>16.833333333333332</v>
      </c>
      <c r="AM53" s="133"/>
      <c r="AN53" s="126"/>
      <c r="AO53" s="128">
        <f>SUM('12EG -A- GESTÃO ENF.'!K46)</f>
        <v>8.8333333333333339</v>
      </c>
      <c r="AP53" s="107" t="s">
        <v>143</v>
      </c>
      <c r="AQ53" s="113">
        <f t="shared" si="0"/>
        <v>14.549999999999999</v>
      </c>
      <c r="AR53" s="181">
        <v>17</v>
      </c>
      <c r="AS53" s="184" t="s">
        <v>56</v>
      </c>
    </row>
    <row r="54" spans="2:45" ht="15" customHeight="1" thickBot="1" x14ac:dyDescent="0.35">
      <c r="B54" s="93">
        <v>38</v>
      </c>
      <c r="C54" s="187">
        <v>1833</v>
      </c>
      <c r="D54" s="191" t="s">
        <v>134</v>
      </c>
      <c r="E54" s="103"/>
      <c r="F54" s="110"/>
      <c r="G54" s="94"/>
      <c r="H54" s="128">
        <f>SUM('12EG -A- S.COLECT.'!K47)</f>
        <v>19.666666666666668</v>
      </c>
      <c r="I54" s="110"/>
      <c r="J54" s="94"/>
      <c r="K54" s="128">
        <f>SUM('12EG -A- S. MENTAL'!K47)</f>
        <v>9.6666666666666661</v>
      </c>
      <c r="L54" s="130"/>
      <c r="M54" s="127"/>
      <c r="N54" s="128">
        <f>SUM('12EG -A- EPIDEMIOL.'!K47)</f>
        <v>7.333333333333333</v>
      </c>
      <c r="O54" s="130"/>
      <c r="P54" s="127"/>
      <c r="Q54" s="128">
        <f>SUM('12EG-A- F.A.E'!K47)</f>
        <v>9</v>
      </c>
      <c r="R54" s="133"/>
      <c r="S54" s="127"/>
      <c r="T54" s="128">
        <f>SUM('12EG -A- URGÊNCIA'!K47)</f>
        <v>4.333333333333333</v>
      </c>
      <c r="U54" s="130"/>
      <c r="V54" s="127"/>
      <c r="W54" s="128">
        <f>SUM('12EG -A- N.D'!K47)</f>
        <v>9</v>
      </c>
      <c r="X54" s="130"/>
      <c r="Y54" s="127"/>
      <c r="Z54" s="128">
        <f>SUM('12EG -A- A.E.P.M.C'!K47)</f>
        <v>7.666666666666667</v>
      </c>
      <c r="AA54" s="133"/>
      <c r="AB54" s="127"/>
      <c r="AC54" s="128">
        <f>SUM('12EG -A- TEC. ENFER'!K47)</f>
        <v>6.833333333333333</v>
      </c>
      <c r="AD54" s="130"/>
      <c r="AE54" s="127"/>
      <c r="AF54" s="128">
        <f>SUM('12EG -A- A.E.S.M'!K47)</f>
        <v>12</v>
      </c>
      <c r="AG54" s="133"/>
      <c r="AH54" s="127"/>
      <c r="AI54" s="128">
        <f>SUM('12EG -A- PROJ. TEC'!K47)</f>
        <v>0</v>
      </c>
      <c r="AJ54" s="133"/>
      <c r="AK54" s="127"/>
      <c r="AL54" s="128">
        <f>SUM('12EG -A- A.E.S.Ç'!K47)</f>
        <v>6.5</v>
      </c>
      <c r="AM54" s="133"/>
      <c r="AN54" s="126"/>
      <c r="AO54" s="128">
        <f>SUM('12EG -A- GESTÃO ENF.'!K47)</f>
        <v>6.166666666666667</v>
      </c>
      <c r="AP54" s="107" t="s">
        <v>143</v>
      </c>
      <c r="AQ54" s="113">
        <f t="shared" si="0"/>
        <v>8.1805555555555554</v>
      </c>
      <c r="AR54" s="181">
        <v>17</v>
      </c>
      <c r="AS54" s="184" t="s">
        <v>54</v>
      </c>
    </row>
    <row r="55" spans="2:45" ht="15" customHeight="1" thickBot="1" x14ac:dyDescent="0.35">
      <c r="B55" s="93">
        <v>39</v>
      </c>
      <c r="C55" s="188">
        <v>1940</v>
      </c>
      <c r="D55" s="191" t="s">
        <v>135</v>
      </c>
      <c r="E55" s="112"/>
      <c r="F55" s="110"/>
      <c r="G55" s="94"/>
      <c r="H55" s="128">
        <f>SUM('12EG -A- S.COLECT.'!K48)</f>
        <v>15.666666666666666</v>
      </c>
      <c r="I55" s="110"/>
      <c r="J55" s="94"/>
      <c r="K55" s="128">
        <f>SUM('12EG -A- S. MENTAL'!K48)</f>
        <v>15.166666666666666</v>
      </c>
      <c r="L55" s="130"/>
      <c r="M55" s="127"/>
      <c r="N55" s="128">
        <f>SUM('12EG -A- EPIDEMIOL.'!K48)</f>
        <v>7.666666666666667</v>
      </c>
      <c r="O55" s="130"/>
      <c r="P55" s="127"/>
      <c r="Q55" s="128">
        <f>SUM('12EG-A- F.A.E'!K48)</f>
        <v>11.333333333333334</v>
      </c>
      <c r="R55" s="133"/>
      <c r="S55" s="127"/>
      <c r="T55" s="128">
        <f>SUM('12EG -A- URGÊNCIA'!K48)</f>
        <v>11</v>
      </c>
      <c r="U55" s="130"/>
      <c r="V55" s="127"/>
      <c r="W55" s="128">
        <f>SUM('12EG -A- N.D'!K48)</f>
        <v>14.166666666666666</v>
      </c>
      <c r="X55" s="130"/>
      <c r="Y55" s="127"/>
      <c r="Z55" s="128">
        <f>SUM('12EG -A- A.E.P.M.C'!K48)</f>
        <v>16</v>
      </c>
      <c r="AA55" s="133"/>
      <c r="AB55" s="127"/>
      <c r="AC55" s="128">
        <f>SUM('12EG -A- TEC. ENFER'!K48)</f>
        <v>9.9666666666666668</v>
      </c>
      <c r="AD55" s="130"/>
      <c r="AE55" s="127"/>
      <c r="AF55" s="128">
        <f>SUM('12EG -A- A.E.S.M'!K48)</f>
        <v>12</v>
      </c>
      <c r="AG55" s="133"/>
      <c r="AH55" s="127"/>
      <c r="AI55" s="128">
        <f>SUM('12EG -A- PROJ. TEC'!K48)</f>
        <v>18</v>
      </c>
      <c r="AJ55" s="133"/>
      <c r="AK55" s="127"/>
      <c r="AL55" s="128">
        <f>SUM('12EG -A- A.E.S.Ç'!K48)</f>
        <v>12.166666666666666</v>
      </c>
      <c r="AM55" s="133"/>
      <c r="AN55" s="126"/>
      <c r="AO55" s="128">
        <f>SUM('12EG -A- GESTÃO ENF.'!K48)</f>
        <v>7.333333333333333</v>
      </c>
      <c r="AP55" s="107" t="s">
        <v>143</v>
      </c>
      <c r="AQ55" s="113">
        <f t="shared" si="0"/>
        <v>12.53888888888889</v>
      </c>
      <c r="AR55" s="181">
        <v>17</v>
      </c>
      <c r="AS55" s="184" t="s">
        <v>56</v>
      </c>
    </row>
    <row r="56" spans="2:45" ht="15" customHeight="1" thickBot="1" x14ac:dyDescent="0.35">
      <c r="B56" s="93">
        <v>40</v>
      </c>
      <c r="C56" s="187">
        <v>2494</v>
      </c>
      <c r="D56" s="191" t="s">
        <v>136</v>
      </c>
      <c r="E56" s="112"/>
      <c r="F56" s="110"/>
      <c r="G56" s="94"/>
      <c r="H56" s="128">
        <f>SUM('12EG -A- S.COLECT.'!K49)</f>
        <v>15</v>
      </c>
      <c r="I56" s="110"/>
      <c r="J56" s="94"/>
      <c r="K56" s="128">
        <f>SUM('12EG -A- S. MENTAL'!K49)</f>
        <v>17</v>
      </c>
      <c r="L56" s="130"/>
      <c r="M56" s="127"/>
      <c r="N56" s="128">
        <f>SUM('12EG -A- EPIDEMIOL.'!K49)</f>
        <v>17.333333333333332</v>
      </c>
      <c r="O56" s="130"/>
      <c r="P56" s="127"/>
      <c r="Q56" s="128">
        <f>SUM('12EG-A- F.A.E'!K49)</f>
        <v>11.666666666666666</v>
      </c>
      <c r="R56" s="133"/>
      <c r="S56" s="127"/>
      <c r="T56" s="128">
        <f>SUM('12EG -A- URGÊNCIA'!K49)</f>
        <v>17.5</v>
      </c>
      <c r="U56" s="130"/>
      <c r="V56" s="127"/>
      <c r="W56" s="128">
        <f>SUM('12EG -A- N.D'!K49)</f>
        <v>18.666666666666668</v>
      </c>
      <c r="X56" s="130"/>
      <c r="Y56" s="127"/>
      <c r="Z56" s="128">
        <f>SUM('12EG -A- A.E.P.M.C'!K49)</f>
        <v>17.333333333333332</v>
      </c>
      <c r="AA56" s="133"/>
      <c r="AB56" s="127"/>
      <c r="AC56" s="128">
        <f>SUM('12EG -A- TEC. ENFER'!K49)</f>
        <v>14.166666666666666</v>
      </c>
      <c r="AD56" s="130"/>
      <c r="AE56" s="127"/>
      <c r="AF56" s="128">
        <f>SUM('12EG -A- A.E.S.M'!K49)</f>
        <v>12</v>
      </c>
      <c r="AG56" s="133"/>
      <c r="AH56" s="127"/>
      <c r="AI56" s="128">
        <f>SUM('12EG -A- PROJ. TEC'!K49)</f>
        <v>17.666666666666668</v>
      </c>
      <c r="AJ56" s="133"/>
      <c r="AK56" s="127"/>
      <c r="AL56" s="128">
        <f>SUM('12EG -A- A.E.S.Ç'!K49)</f>
        <v>18</v>
      </c>
      <c r="AM56" s="133"/>
      <c r="AN56" s="126"/>
      <c r="AO56" s="128">
        <f>SUM('12EG -A- GESTÃO ENF.'!K49)</f>
        <v>14</v>
      </c>
      <c r="AP56" s="107" t="s">
        <v>93</v>
      </c>
      <c r="AQ56" s="113">
        <f t="shared" si="0"/>
        <v>15.861111111111109</v>
      </c>
      <c r="AR56" s="181">
        <v>17</v>
      </c>
      <c r="AS56" s="184" t="s">
        <v>56</v>
      </c>
    </row>
    <row r="57" spans="2:45" ht="15" customHeight="1" thickBot="1" x14ac:dyDescent="0.35">
      <c r="B57" s="93">
        <v>41</v>
      </c>
      <c r="C57" s="187">
        <v>2149</v>
      </c>
      <c r="D57" s="191" t="s">
        <v>137</v>
      </c>
      <c r="E57" s="103"/>
      <c r="F57" s="110"/>
      <c r="G57" s="94"/>
      <c r="H57" s="128">
        <f>SUM('12EG -A- S.COLECT.'!K50)</f>
        <v>16.666666666666668</v>
      </c>
      <c r="I57" s="110"/>
      <c r="J57" s="94"/>
      <c r="K57" s="128">
        <f>SUM('12EG -A- S. MENTAL'!K50)</f>
        <v>16</v>
      </c>
      <c r="L57" s="130"/>
      <c r="M57" s="127"/>
      <c r="N57" s="128">
        <f>SUM('12EG -A- EPIDEMIOL.'!K50)</f>
        <v>12.333333333333334</v>
      </c>
      <c r="O57" s="130"/>
      <c r="P57" s="127"/>
      <c r="Q57" s="128">
        <f>SUM('12EG-A- F.A.E'!K50)</f>
        <v>11.333333333333334</v>
      </c>
      <c r="R57" s="133"/>
      <c r="S57" s="127"/>
      <c r="T57" s="128">
        <f>SUM('12EG -A- URGÊNCIA'!K50)</f>
        <v>7.666666666666667</v>
      </c>
      <c r="U57" s="130"/>
      <c r="V57" s="127"/>
      <c r="W57" s="128">
        <f>SUM('12EG -A- N.D'!K50)</f>
        <v>18</v>
      </c>
      <c r="X57" s="130"/>
      <c r="Y57" s="127"/>
      <c r="Z57" s="128">
        <f>SUM('12EG -A- A.E.P.M.C'!K50)</f>
        <v>13.666666666666666</v>
      </c>
      <c r="AA57" s="133"/>
      <c r="AB57" s="127"/>
      <c r="AC57" s="128">
        <f>SUM('12EG -A- TEC. ENFER'!K50)</f>
        <v>12.5</v>
      </c>
      <c r="AD57" s="130"/>
      <c r="AE57" s="127"/>
      <c r="AF57" s="128">
        <f>SUM('12EG -A- A.E.S.M'!K50)</f>
        <v>12</v>
      </c>
      <c r="AG57" s="133"/>
      <c r="AH57" s="127"/>
      <c r="AI57" s="128">
        <f>SUM('12EG -A- PROJ. TEC'!K50)</f>
        <v>16</v>
      </c>
      <c r="AJ57" s="133"/>
      <c r="AK57" s="127"/>
      <c r="AL57" s="128">
        <f>SUM('12EG -A- A.E.S.Ç'!K50)</f>
        <v>16.833333333333332</v>
      </c>
      <c r="AM57" s="133"/>
      <c r="AN57" s="126"/>
      <c r="AO57" s="128">
        <f>SUM('12EG -A- GESTÃO ENF.'!K50)</f>
        <v>13.333333333333334</v>
      </c>
      <c r="AP57" s="107" t="s">
        <v>143</v>
      </c>
      <c r="AQ57" s="113">
        <f t="shared" si="0"/>
        <v>13.861111111111114</v>
      </c>
      <c r="AR57" s="181">
        <v>17</v>
      </c>
      <c r="AS57" s="184" t="s">
        <v>56</v>
      </c>
    </row>
    <row r="58" spans="2:45" ht="15" customHeight="1" thickBot="1" x14ac:dyDescent="0.35">
      <c r="B58" s="93">
        <v>42</v>
      </c>
      <c r="C58" s="189">
        <v>2096</v>
      </c>
      <c r="D58" s="192" t="s">
        <v>138</v>
      </c>
      <c r="E58" s="105"/>
      <c r="F58" s="111"/>
      <c r="G58" s="97"/>
      <c r="H58" s="129">
        <f>SUM('12EG -A- S.COLECT.'!K51)</f>
        <v>12</v>
      </c>
      <c r="I58" s="111"/>
      <c r="J58" s="97"/>
      <c r="K58" s="129">
        <f>SUM('12EG -A- S. MENTAL'!K51)</f>
        <v>15.166666666666666</v>
      </c>
      <c r="L58" s="131"/>
      <c r="M58" s="132"/>
      <c r="N58" s="129">
        <f>SUM('12EG -A- EPIDEMIOL.'!K51)</f>
        <v>11</v>
      </c>
      <c r="O58" s="131"/>
      <c r="P58" s="132"/>
      <c r="Q58" s="129">
        <f>SUM('12EG-A- F.A.E'!K51)</f>
        <v>11.666666666666666</v>
      </c>
      <c r="R58" s="134"/>
      <c r="S58" s="132"/>
      <c r="T58" s="129">
        <f>SUM('12EG -A- URGÊNCIA'!K51)</f>
        <v>12</v>
      </c>
      <c r="U58" s="131"/>
      <c r="V58" s="132"/>
      <c r="W58" s="129">
        <f>SUM('12EG -A- N.D'!K51)</f>
        <v>10.5</v>
      </c>
      <c r="X58" s="131"/>
      <c r="Y58" s="132"/>
      <c r="Z58" s="129">
        <f>SUM('12EG -A- A.E.P.M.C'!K51)</f>
        <v>13.166666666666666</v>
      </c>
      <c r="AA58" s="134"/>
      <c r="AB58" s="132"/>
      <c r="AC58" s="129">
        <f>SUM('12EG -A- TEC. ENFER'!K51)</f>
        <v>11.366666666666667</v>
      </c>
      <c r="AD58" s="131"/>
      <c r="AE58" s="132"/>
      <c r="AF58" s="129">
        <f>SUM('12EG -A- A.E.S.M'!K51)</f>
        <v>12</v>
      </c>
      <c r="AG58" s="134"/>
      <c r="AH58" s="132"/>
      <c r="AI58" s="129">
        <f>SUM('12EG -A- PROJ. TEC'!K51)</f>
        <v>13.333333333333334</v>
      </c>
      <c r="AJ58" s="134"/>
      <c r="AK58" s="132"/>
      <c r="AL58" s="129">
        <f>SUM('12EG -A- A.E.S.Ç'!K51)</f>
        <v>16.833333333333332</v>
      </c>
      <c r="AM58" s="134"/>
      <c r="AN58" s="135"/>
      <c r="AO58" s="129">
        <f>SUM('12EG -A- GESTÃO ENF.'!K51)</f>
        <v>11</v>
      </c>
      <c r="AP58" s="108" t="s">
        <v>93</v>
      </c>
      <c r="AQ58" s="113">
        <f t="shared" si="0"/>
        <v>12.502777777777778</v>
      </c>
      <c r="AR58" s="181">
        <v>17</v>
      </c>
      <c r="AS58" s="184" t="s">
        <v>56</v>
      </c>
    </row>
    <row r="59" spans="2:45" ht="21.75" customHeight="1" thickBot="1" x14ac:dyDescent="0.35">
      <c r="B59" s="272" t="s">
        <v>94</v>
      </c>
      <c r="C59" s="273"/>
      <c r="D59" s="273"/>
      <c r="E59" s="118"/>
      <c r="F59" s="171"/>
      <c r="G59" s="171"/>
      <c r="H59" s="171"/>
      <c r="I59" s="272"/>
      <c r="J59" s="273"/>
      <c r="K59" s="274"/>
      <c r="L59" s="272"/>
      <c r="M59" s="273"/>
      <c r="N59" s="274"/>
      <c r="O59" s="272"/>
      <c r="P59" s="273"/>
      <c r="Q59" s="274"/>
      <c r="R59" s="272"/>
      <c r="S59" s="273"/>
      <c r="T59" s="274"/>
      <c r="U59" s="272"/>
      <c r="V59" s="273"/>
      <c r="W59" s="274"/>
      <c r="X59" s="272"/>
      <c r="Y59" s="273"/>
      <c r="Z59" s="274"/>
      <c r="AA59" s="272"/>
      <c r="AB59" s="273"/>
      <c r="AC59" s="274"/>
      <c r="AD59" s="272"/>
      <c r="AE59" s="273"/>
      <c r="AF59" s="274"/>
      <c r="AG59" s="272"/>
      <c r="AH59" s="273"/>
      <c r="AI59" s="274"/>
      <c r="AJ59" s="272"/>
      <c r="AK59" s="273"/>
      <c r="AL59" s="274"/>
      <c r="AM59" s="272"/>
      <c r="AN59" s="273"/>
      <c r="AO59" s="274"/>
      <c r="AP59" s="98"/>
      <c r="AQ59" s="98"/>
    </row>
    <row r="60" spans="2:45" ht="15" customHeight="1" x14ac:dyDescent="0.3"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P60" s="98"/>
      <c r="AQ60" s="98"/>
    </row>
    <row r="61" spans="2:45" ht="19.8" x14ac:dyDescent="0.5">
      <c r="B61" s="276" t="s">
        <v>71</v>
      </c>
      <c r="C61" s="276"/>
      <c r="D61" s="276"/>
      <c r="E61" s="276"/>
      <c r="F61" s="276"/>
      <c r="G61" s="276"/>
      <c r="H61" s="276"/>
      <c r="I61" s="276"/>
      <c r="J61" s="276"/>
      <c r="K61" s="276"/>
      <c r="L61" s="276"/>
      <c r="M61" s="276"/>
      <c r="N61" s="276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AA61" s="276" t="s">
        <v>10</v>
      </c>
      <c r="AB61" s="276"/>
      <c r="AC61" s="276"/>
      <c r="AD61" s="276"/>
      <c r="AE61" s="276"/>
      <c r="AF61" s="276"/>
      <c r="AG61" s="276"/>
      <c r="AH61" s="276"/>
      <c r="AI61" s="276"/>
      <c r="AJ61" s="276"/>
      <c r="AK61" s="276"/>
      <c r="AL61" s="276"/>
      <c r="AM61" s="276"/>
      <c r="AN61" s="276"/>
      <c r="AO61" s="276"/>
      <c r="AP61" s="276"/>
      <c r="AQ61" s="116"/>
    </row>
    <row r="62" spans="2:45" ht="12.75" customHeight="1" x14ac:dyDescent="0.3">
      <c r="B62" s="277" t="s">
        <v>72</v>
      </c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AA62" s="277"/>
      <c r="AB62" s="277"/>
      <c r="AC62" s="277"/>
      <c r="AD62" s="277"/>
      <c r="AE62" s="277"/>
      <c r="AF62" s="277"/>
      <c r="AG62" s="277"/>
      <c r="AH62" s="277"/>
      <c r="AI62" s="277"/>
      <c r="AJ62" s="277"/>
      <c r="AK62" s="277"/>
      <c r="AL62" s="277"/>
      <c r="AM62" s="277"/>
      <c r="AN62" s="277"/>
      <c r="AO62" s="277"/>
      <c r="AP62" s="98"/>
      <c r="AQ62" s="98"/>
    </row>
    <row r="63" spans="2:45" ht="29.25" customHeight="1" x14ac:dyDescent="0.4">
      <c r="B63" s="275" t="s">
        <v>97</v>
      </c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"/>
      <c r="P63" s="2"/>
      <c r="Q63" s="2"/>
      <c r="R63" s="2"/>
      <c r="S63" s="2"/>
      <c r="T63" s="2"/>
      <c r="U63" s="2"/>
      <c r="V63" s="2"/>
      <c r="W63" s="2"/>
      <c r="X63" s="101"/>
      <c r="Y63" s="101"/>
      <c r="AA63" s="275" t="s">
        <v>73</v>
      </c>
      <c r="AB63" s="275"/>
      <c r="AC63" s="275"/>
      <c r="AD63" s="275"/>
      <c r="AE63" s="275"/>
      <c r="AF63" s="275"/>
      <c r="AG63" s="275"/>
      <c r="AH63" s="275"/>
      <c r="AI63" s="275"/>
      <c r="AJ63" s="275"/>
      <c r="AK63" s="275"/>
      <c r="AL63" s="275"/>
      <c r="AM63" s="275"/>
      <c r="AN63" s="275"/>
      <c r="AO63" s="275"/>
      <c r="AP63" s="275"/>
      <c r="AQ63" s="117"/>
    </row>
    <row r="66" spans="27:32" x14ac:dyDescent="0.3">
      <c r="AA66" s="100"/>
      <c r="AB66" s="100"/>
      <c r="AC66" s="100"/>
      <c r="AD66" s="100"/>
      <c r="AE66" s="100"/>
      <c r="AF66" s="100"/>
    </row>
    <row r="67" spans="27:32" x14ac:dyDescent="0.3">
      <c r="AA67" s="100"/>
      <c r="AB67" s="100"/>
      <c r="AC67" s="100"/>
      <c r="AD67" s="100"/>
      <c r="AE67" s="100"/>
      <c r="AF67" s="100"/>
    </row>
    <row r="68" spans="27:32" x14ac:dyDescent="0.3">
      <c r="AA68" s="100"/>
      <c r="AB68" s="100"/>
      <c r="AC68" s="100"/>
      <c r="AD68" s="100"/>
      <c r="AE68" s="100"/>
      <c r="AF68" s="100"/>
    </row>
  </sheetData>
  <mergeCells count="93">
    <mergeCell ref="F15:G15"/>
    <mergeCell ref="H15:H16"/>
    <mergeCell ref="B61:N61"/>
    <mergeCell ref="AA61:AP61"/>
    <mergeCell ref="B62:N62"/>
    <mergeCell ref="AA62:AO62"/>
    <mergeCell ref="AC15:AC16"/>
    <mergeCell ref="AD15:AE15"/>
    <mergeCell ref="AF15:AF16"/>
    <mergeCell ref="AG15:AH15"/>
    <mergeCell ref="AI15:AI16"/>
    <mergeCell ref="AJ15:AK15"/>
    <mergeCell ref="AA15:AB15"/>
    <mergeCell ref="AO15:AO16"/>
    <mergeCell ref="B63:N63"/>
    <mergeCell ref="AA63:AP63"/>
    <mergeCell ref="X59:Z59"/>
    <mergeCell ref="AA59:AC59"/>
    <mergeCell ref="AD59:AF59"/>
    <mergeCell ref="AG59:AI59"/>
    <mergeCell ref="AJ59:AL59"/>
    <mergeCell ref="AM59:AO59"/>
    <mergeCell ref="AU29:AU30"/>
    <mergeCell ref="AV29:AV30"/>
    <mergeCell ref="AU31:AW31"/>
    <mergeCell ref="AX31:BB31"/>
    <mergeCell ref="B59:D59"/>
    <mergeCell ref="I59:K59"/>
    <mergeCell ref="L59:N59"/>
    <mergeCell ref="O59:Q59"/>
    <mergeCell ref="R59:T59"/>
    <mergeCell ref="U59:W59"/>
    <mergeCell ref="AT15:AU15"/>
    <mergeCell ref="AV15:AW15"/>
    <mergeCell ref="AX15:AY15"/>
    <mergeCell ref="AZ15:BA15"/>
    <mergeCell ref="AT18:AU18"/>
    <mergeCell ref="AV18:AW18"/>
    <mergeCell ref="AX18:AY18"/>
    <mergeCell ref="AZ18:BA18"/>
    <mergeCell ref="AR14:AR16"/>
    <mergeCell ref="AS14:AS16"/>
    <mergeCell ref="AT14:BA14"/>
    <mergeCell ref="I15:J15"/>
    <mergeCell ref="K15:K16"/>
    <mergeCell ref="L15:M15"/>
    <mergeCell ref="N15:N16"/>
    <mergeCell ref="O15:P15"/>
    <mergeCell ref="Q15:Q16"/>
    <mergeCell ref="R15:S15"/>
    <mergeCell ref="AD14:AF14"/>
    <mergeCell ref="AG14:AI14"/>
    <mergeCell ref="AJ14:AL14"/>
    <mergeCell ref="AM14:AO14"/>
    <mergeCell ref="AP14:AP16"/>
    <mergeCell ref="AQ14:AQ16"/>
    <mergeCell ref="L14:N14"/>
    <mergeCell ref="O14:Q14"/>
    <mergeCell ref="R14:T14"/>
    <mergeCell ref="U14:W14"/>
    <mergeCell ref="X14:Z14"/>
    <mergeCell ref="AA14:AC14"/>
    <mergeCell ref="T15:T16"/>
    <mergeCell ref="U15:V15"/>
    <mergeCell ref="W15:W16"/>
    <mergeCell ref="X15:Y15"/>
    <mergeCell ref="Z15:Z16"/>
    <mergeCell ref="I14:K14"/>
    <mergeCell ref="B11:D11"/>
    <mergeCell ref="K11:L12"/>
    <mergeCell ref="M11:N12"/>
    <mergeCell ref="AM11:AN11"/>
    <mergeCell ref="B12:D12"/>
    <mergeCell ref="AD12:AK12"/>
    <mergeCell ref="AM12:AN12"/>
    <mergeCell ref="B13:D13"/>
    <mergeCell ref="B14:B16"/>
    <mergeCell ref="C14:C16"/>
    <mergeCell ref="D14:D16"/>
    <mergeCell ref="E14:E16"/>
    <mergeCell ref="AL15:AL16"/>
    <mergeCell ref="AM15:AN15"/>
    <mergeCell ref="F14:H14"/>
    <mergeCell ref="A1:AP4"/>
    <mergeCell ref="B7:AP7"/>
    <mergeCell ref="C8:AP8"/>
    <mergeCell ref="K9:N10"/>
    <mergeCell ref="O9:AC12"/>
    <mergeCell ref="AE9:AK9"/>
    <mergeCell ref="B10:D10"/>
    <mergeCell ref="AE10:AK11"/>
    <mergeCell ref="AM10:AN10"/>
    <mergeCell ref="AO10:AP12"/>
  </mergeCells>
  <conditionalFormatting sqref="K17:K58 AI17:AO58 AF17:AG58 AC17:AC58 Q17:R58 N17:N58 Z17:AA58 W17:W58 T17:T58 H17:H58">
    <cfRule type="cellIs" dxfId="1938" priority="15" stopIfTrue="1" operator="lessThan">
      <formula>10</formula>
    </cfRule>
    <cfRule type="cellIs" dxfId="1937" priority="16" stopIfTrue="1" operator="greaterThanOrEqual">
      <formula>10</formula>
    </cfRule>
  </conditionalFormatting>
  <conditionalFormatting sqref="AP59:AQ59">
    <cfRule type="cellIs" dxfId="1936" priority="14" operator="equal">
      <formula>"Transita"</formula>
    </cfRule>
  </conditionalFormatting>
  <conditionalFormatting sqref="AX17:BA18">
    <cfRule type="cellIs" dxfId="1935" priority="13" stopIfTrue="1" operator="greaterThanOrEqual">
      <formula>0.1</formula>
    </cfRule>
  </conditionalFormatting>
  <conditionalFormatting sqref="AX17:BA18">
    <cfRule type="cellIs" dxfId="1934" priority="12" stopIfTrue="1" operator="equal">
      <formula>0</formula>
    </cfRule>
  </conditionalFormatting>
  <conditionalFormatting sqref="AV17:AW18">
    <cfRule type="cellIs" dxfId="1933" priority="11" stopIfTrue="1" operator="greaterThanOrEqual">
      <formula>0</formula>
    </cfRule>
  </conditionalFormatting>
  <conditionalFormatting sqref="AQ17:AQ58">
    <cfRule type="cellIs" dxfId="1932" priority="3" stopIfTrue="1" operator="lessThanOrEqual">
      <formula>9.9</formula>
    </cfRule>
    <cfRule type="cellIs" dxfId="1931" priority="4" stopIfTrue="1" operator="greaterThanOrEqual">
      <formula>10</formula>
    </cfRule>
  </conditionalFormatting>
  <pageMargins left="0.41" right="0.16" top="0.19685039370078741" bottom="0.35433070866141736" header="0.31496062992125984" footer="0.31496062992125984"/>
  <pageSetup paperSize="8" scale="65" orientation="landscape" r:id="rId1"/>
  <colBreaks count="1" manualBreakCount="1">
    <brk id="43" max="1048575" man="1"/>
  </colBreak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stopIfTrue="1" operator="containsText" id="{DDB069FA-78B8-40D5-B4A4-121C2FCFFEB2}">
            <xm:f>NOT(ISERROR(SEARCH("DISISTIDA",AP17)))</xm:f>
            <xm:f>"DISISTIDA"</xm:f>
            <x14:dxf>
              <font>
                <color rgb="FFFF0000"/>
              </font>
            </x14:dxf>
          </x14:cfRule>
          <x14:cfRule type="containsText" priority="6" stopIfTrue="1" operator="containsText" id="{C93DD171-9A8B-400E-9025-62782FF67E05}">
            <xm:f>NOT(ISERROR(SEARCH("DESISTIDO",AP17)))</xm:f>
            <xm:f>"DESISTIDO"</xm:f>
            <x14:dxf>
              <font>
                <color rgb="FFFF0000"/>
              </font>
            </x14:dxf>
          </x14:cfRule>
          <x14:cfRule type="containsText" priority="7" stopIfTrue="1" operator="containsText" id="{C703BE23-8884-4737-92F8-5C8F59F2B93F}">
            <xm:f>NOT(ISERROR(SEARCH("N/TRANSITA",AP17)))</xm:f>
            <xm:f>"N/TRANSITA"</xm:f>
            <x14:dxf>
              <font>
                <color rgb="FFFF0000"/>
              </font>
            </x14:dxf>
          </x14:cfRule>
          <x14:cfRule type="containsText" priority="8" stopIfTrue="1" operator="containsText" id="{AC97BFD5-0DDA-41BB-96E3-8B81AD775F42}">
            <xm:f>NOT(ISERROR(SEARCH("TRANSITA",AP17)))</xm:f>
            <xm:f>"TRANSITA"</xm:f>
            <x14:dxf>
              <font>
                <color rgb="FF0070C0"/>
              </font>
            </x14:dxf>
          </x14:cfRule>
          <xm:sqref>AP17:AP58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BB68"/>
  <sheetViews>
    <sheetView showGridLines="0" tabSelected="1" showWhiteSpace="0" topLeftCell="A14" zoomScale="70" zoomScaleNormal="70" zoomScalePageLayoutView="85" workbookViewId="0">
      <selection activeCell="E50" sqref="E50"/>
    </sheetView>
  </sheetViews>
  <sheetFormatPr defaultRowHeight="14.4" x14ac:dyDescent="0.3"/>
  <cols>
    <col min="1" max="1" width="1.33203125" customWidth="1"/>
    <col min="2" max="2" width="3.5546875" customWidth="1"/>
    <col min="3" max="3" width="10.88671875" customWidth="1"/>
    <col min="4" max="4" width="43.5546875" customWidth="1"/>
    <col min="5" max="5" width="36.6640625" customWidth="1"/>
    <col min="6" max="7" width="3.109375" customWidth="1"/>
    <col min="8" max="8" width="8.33203125" customWidth="1"/>
    <col min="9" max="10" width="2.6640625" customWidth="1"/>
    <col min="11" max="11" width="6.5546875" customWidth="1"/>
    <col min="12" max="13" width="2.6640625" customWidth="1"/>
    <col min="14" max="14" width="7" customWidth="1"/>
    <col min="15" max="16" width="2.6640625" customWidth="1"/>
    <col min="17" max="17" width="7.44140625" customWidth="1"/>
    <col min="18" max="19" width="2.6640625" customWidth="1"/>
    <col min="20" max="20" width="7.33203125" customWidth="1"/>
    <col min="21" max="22" width="2.6640625" customWidth="1"/>
    <col min="23" max="23" width="6.88671875" customWidth="1"/>
    <col min="24" max="25" width="2.6640625" customWidth="1"/>
    <col min="26" max="26" width="6.6640625" customWidth="1"/>
    <col min="27" max="28" width="2.6640625" customWidth="1"/>
    <col min="29" max="29" width="7.6640625" customWidth="1"/>
    <col min="30" max="31" width="2.6640625" customWidth="1"/>
    <col min="32" max="32" width="6.44140625" customWidth="1"/>
    <col min="33" max="33" width="3" customWidth="1"/>
    <col min="34" max="34" width="3.109375" customWidth="1"/>
    <col min="35" max="35" width="6.6640625" customWidth="1"/>
    <col min="36" max="36" width="5.109375" customWidth="1"/>
    <col min="37" max="37" width="3" customWidth="1"/>
    <col min="38" max="38" width="7.109375" customWidth="1"/>
    <col min="39" max="40" width="3.44140625" customWidth="1"/>
    <col min="41" max="41" width="7.33203125" customWidth="1"/>
    <col min="42" max="42" width="17" customWidth="1"/>
    <col min="43" max="43" width="9.44140625" customWidth="1"/>
    <col min="48" max="53" width="9.6640625" bestFit="1" customWidth="1"/>
  </cols>
  <sheetData>
    <row r="1" spans="1:53" ht="9.9" customHeight="1" x14ac:dyDescent="0.5">
      <c r="A1" s="212" t="s">
        <v>74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2"/>
      <c r="AP1" s="212"/>
      <c r="AQ1" s="201"/>
    </row>
    <row r="2" spans="1:53" ht="9.9" customHeight="1" x14ac:dyDescent="0.5">
      <c r="A2" s="212"/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201"/>
    </row>
    <row r="3" spans="1:53" ht="9.9" customHeight="1" x14ac:dyDescent="0.5">
      <c r="A3" s="212"/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  <c r="AC3" s="212"/>
      <c r="AD3" s="212"/>
      <c r="AE3" s="212"/>
      <c r="AF3" s="212"/>
      <c r="AG3" s="212"/>
      <c r="AH3" s="212"/>
      <c r="AI3" s="212"/>
      <c r="AJ3" s="212"/>
      <c r="AK3" s="212"/>
      <c r="AL3" s="212"/>
      <c r="AM3" s="212"/>
      <c r="AN3" s="212"/>
      <c r="AO3" s="212"/>
      <c r="AP3" s="212"/>
      <c r="AQ3" s="201"/>
    </row>
    <row r="4" spans="1:53" ht="9.9" customHeight="1" x14ac:dyDescent="0.5">
      <c r="A4" s="212"/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01"/>
    </row>
    <row r="5" spans="1:53" ht="9.9" customHeight="1" x14ac:dyDescent="0.45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</row>
    <row r="6" spans="1:53" ht="9.9" customHeight="1" x14ac:dyDescent="0.4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</row>
    <row r="7" spans="1:53" ht="23.25" customHeight="1" x14ac:dyDescent="0.3">
      <c r="B7" s="213" t="s">
        <v>45</v>
      </c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  <c r="AA7" s="213"/>
      <c r="AB7" s="213"/>
      <c r="AC7" s="213"/>
      <c r="AD7" s="213"/>
      <c r="AE7" s="213"/>
      <c r="AF7" s="213"/>
      <c r="AG7" s="213"/>
      <c r="AH7" s="213"/>
      <c r="AI7" s="213"/>
      <c r="AJ7" s="213"/>
      <c r="AK7" s="213"/>
      <c r="AL7" s="213"/>
      <c r="AM7" s="213"/>
      <c r="AN7" s="213"/>
      <c r="AO7" s="213"/>
      <c r="AP7" s="213"/>
      <c r="AQ7" s="202"/>
    </row>
    <row r="8" spans="1:53" ht="22.5" customHeight="1" x14ac:dyDescent="0.3">
      <c r="B8" s="206"/>
      <c r="C8" s="214" t="s">
        <v>46</v>
      </c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  <c r="AK8" s="214"/>
      <c r="AL8" s="214"/>
      <c r="AM8" s="214"/>
      <c r="AN8" s="214"/>
      <c r="AO8" s="214"/>
      <c r="AP8" s="214"/>
      <c r="AQ8" s="203"/>
    </row>
    <row r="9" spans="1:53" ht="16.5" customHeight="1" thickBot="1" x14ac:dyDescent="0.4">
      <c r="B9" s="72"/>
      <c r="C9" s="72"/>
      <c r="D9" s="72"/>
      <c r="E9" s="72"/>
      <c r="F9" s="72"/>
      <c r="G9" s="72"/>
      <c r="H9" s="72"/>
      <c r="I9" s="72"/>
      <c r="J9" s="72"/>
      <c r="K9" s="215" t="s">
        <v>47</v>
      </c>
      <c r="L9" s="215"/>
      <c r="M9" s="215"/>
      <c r="N9" s="215"/>
      <c r="O9" s="216" t="s">
        <v>48</v>
      </c>
      <c r="P9" s="216"/>
      <c r="Q9" s="216"/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73"/>
      <c r="AE9" s="218" t="s">
        <v>49</v>
      </c>
      <c r="AF9" s="218"/>
      <c r="AG9" s="218"/>
      <c r="AH9" s="218"/>
      <c r="AI9" s="218"/>
      <c r="AJ9" s="218"/>
      <c r="AK9" s="218"/>
      <c r="AL9" s="74"/>
      <c r="AM9" s="74"/>
      <c r="AN9" s="74"/>
      <c r="AO9" s="74"/>
      <c r="AP9" s="74"/>
      <c r="AQ9" s="74"/>
    </row>
    <row r="10" spans="1:53" ht="15" customHeight="1" thickTop="1" x14ac:dyDescent="0.35">
      <c r="B10" s="219" t="s">
        <v>50</v>
      </c>
      <c r="C10" s="219"/>
      <c r="D10" s="219"/>
      <c r="E10" s="204"/>
      <c r="F10" s="204"/>
      <c r="G10" s="204"/>
      <c r="H10" s="204"/>
      <c r="I10" s="72"/>
      <c r="J10" s="72"/>
      <c r="K10" s="215"/>
      <c r="L10" s="215"/>
      <c r="M10" s="215"/>
      <c r="N10" s="215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74"/>
      <c r="AE10" s="218" t="s">
        <v>147</v>
      </c>
      <c r="AF10" s="218"/>
      <c r="AG10" s="218"/>
      <c r="AH10" s="218"/>
      <c r="AI10" s="218"/>
      <c r="AJ10" s="218"/>
      <c r="AK10" s="218"/>
      <c r="AL10" s="206" t="s">
        <v>51</v>
      </c>
      <c r="AM10" s="220">
        <f>SUM(AM12,AM11)</f>
        <v>42</v>
      </c>
      <c r="AN10" s="220"/>
      <c r="AO10" s="221">
        <v>46118</v>
      </c>
      <c r="AP10" s="222"/>
      <c r="AQ10" s="161"/>
    </row>
    <row r="11" spans="1:53" ht="18" customHeight="1" x14ac:dyDescent="0.35">
      <c r="B11" s="230" t="s">
        <v>52</v>
      </c>
      <c r="C11" s="230"/>
      <c r="D11" s="230"/>
      <c r="E11" s="205"/>
      <c r="F11" s="205"/>
      <c r="G11" s="205"/>
      <c r="H11" s="205"/>
      <c r="I11" s="72"/>
      <c r="J11" s="72"/>
      <c r="K11" s="220" t="s">
        <v>53</v>
      </c>
      <c r="L11" s="220"/>
      <c r="M11" s="231" t="s">
        <v>88</v>
      </c>
      <c r="N11" s="231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74"/>
      <c r="AE11" s="218"/>
      <c r="AF11" s="218"/>
      <c r="AG11" s="218"/>
      <c r="AH11" s="218"/>
      <c r="AI11" s="218"/>
      <c r="AJ11" s="218"/>
      <c r="AK11" s="218"/>
      <c r="AL11" s="206" t="s">
        <v>54</v>
      </c>
      <c r="AM11" s="232">
        <f>COUNTIF(AS17:AS58,"M")</f>
        <v>8</v>
      </c>
      <c r="AN11" s="232"/>
      <c r="AO11" s="223"/>
      <c r="AP11" s="224"/>
      <c r="AQ11" s="161"/>
    </row>
    <row r="12" spans="1:53" ht="16.5" customHeight="1" thickBot="1" x14ac:dyDescent="0.35">
      <c r="B12" s="232" t="s">
        <v>55</v>
      </c>
      <c r="C12" s="232"/>
      <c r="D12" s="232"/>
      <c r="E12" s="206"/>
      <c r="F12" s="206"/>
      <c r="G12" s="206"/>
      <c r="H12" s="206"/>
      <c r="I12" s="72"/>
      <c r="J12" s="72"/>
      <c r="K12" s="220"/>
      <c r="L12" s="220"/>
      <c r="M12" s="231"/>
      <c r="N12" s="231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33" t="s">
        <v>98</v>
      </c>
      <c r="AE12" s="233"/>
      <c r="AF12" s="233"/>
      <c r="AG12" s="233"/>
      <c r="AH12" s="233"/>
      <c r="AI12" s="233"/>
      <c r="AJ12" s="233"/>
      <c r="AK12" s="233"/>
      <c r="AL12" s="206" t="s">
        <v>56</v>
      </c>
      <c r="AM12" s="234">
        <f>COUNTIF(AS17:AS58,"F")</f>
        <v>34</v>
      </c>
      <c r="AN12" s="234"/>
      <c r="AO12" s="225"/>
      <c r="AP12" s="226"/>
      <c r="AQ12" s="161"/>
    </row>
    <row r="13" spans="1:53" ht="19.5" customHeight="1" thickTop="1" thickBot="1" x14ac:dyDescent="0.35">
      <c r="B13" s="230" t="s">
        <v>146</v>
      </c>
      <c r="C13" s="230"/>
      <c r="D13" s="230"/>
      <c r="E13" s="205"/>
      <c r="F13" s="205"/>
      <c r="G13" s="205"/>
      <c r="H13" s="205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5"/>
      <c r="AB13" s="75"/>
      <c r="AC13" s="75"/>
      <c r="AD13" s="75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5"/>
      <c r="AQ13" s="75"/>
    </row>
    <row r="14" spans="1:53" ht="23.25" customHeight="1" thickBot="1" x14ac:dyDescent="0.35">
      <c r="B14" s="235" t="s">
        <v>57</v>
      </c>
      <c r="C14" s="235" t="s">
        <v>58</v>
      </c>
      <c r="D14" s="237" t="s">
        <v>59</v>
      </c>
      <c r="E14" s="239" t="s">
        <v>60</v>
      </c>
      <c r="F14" s="227" t="s">
        <v>96</v>
      </c>
      <c r="G14" s="228"/>
      <c r="H14" s="229"/>
      <c r="I14" s="227" t="s">
        <v>61</v>
      </c>
      <c r="J14" s="228"/>
      <c r="K14" s="229"/>
      <c r="L14" s="246" t="s">
        <v>62</v>
      </c>
      <c r="M14" s="246"/>
      <c r="N14" s="246"/>
      <c r="O14" s="227" t="s">
        <v>63</v>
      </c>
      <c r="P14" s="228"/>
      <c r="Q14" s="229"/>
      <c r="R14" s="227" t="s">
        <v>77</v>
      </c>
      <c r="S14" s="228"/>
      <c r="T14" s="229"/>
      <c r="U14" s="245" t="s">
        <v>75</v>
      </c>
      <c r="V14" s="246"/>
      <c r="W14" s="247"/>
      <c r="X14" s="245" t="s">
        <v>89</v>
      </c>
      <c r="Y14" s="246"/>
      <c r="Z14" s="247"/>
      <c r="AA14" s="245" t="s">
        <v>64</v>
      </c>
      <c r="AB14" s="246"/>
      <c r="AC14" s="247"/>
      <c r="AD14" s="245" t="s">
        <v>65</v>
      </c>
      <c r="AE14" s="246"/>
      <c r="AF14" s="247"/>
      <c r="AG14" s="245" t="s">
        <v>90</v>
      </c>
      <c r="AH14" s="246"/>
      <c r="AI14" s="247"/>
      <c r="AJ14" s="245" t="s">
        <v>76</v>
      </c>
      <c r="AK14" s="246"/>
      <c r="AL14" s="246"/>
      <c r="AM14" s="245" t="s">
        <v>78</v>
      </c>
      <c r="AN14" s="246"/>
      <c r="AO14" s="247"/>
      <c r="AP14" s="258" t="s">
        <v>3</v>
      </c>
      <c r="AQ14" s="258" t="s">
        <v>81</v>
      </c>
      <c r="AR14" s="249" t="s">
        <v>66</v>
      </c>
      <c r="AS14" s="251" t="s">
        <v>67</v>
      </c>
      <c r="AT14" s="253" t="s">
        <v>68</v>
      </c>
      <c r="AU14" s="253"/>
      <c r="AV14" s="253"/>
      <c r="AW14" s="253"/>
      <c r="AX14" s="253"/>
      <c r="AY14" s="253"/>
      <c r="AZ14" s="253"/>
      <c r="BA14" s="253"/>
    </row>
    <row r="15" spans="1:53" ht="12.9" customHeight="1" thickBot="1" x14ac:dyDescent="0.35">
      <c r="B15" s="236"/>
      <c r="C15" s="236"/>
      <c r="D15" s="238"/>
      <c r="E15" s="240"/>
      <c r="F15" s="254" t="s">
        <v>15</v>
      </c>
      <c r="G15" s="255"/>
      <c r="H15" s="241" t="s">
        <v>148</v>
      </c>
      <c r="I15" s="254" t="s">
        <v>15</v>
      </c>
      <c r="J15" s="255"/>
      <c r="K15" s="241" t="s">
        <v>148</v>
      </c>
      <c r="L15" s="256" t="s">
        <v>15</v>
      </c>
      <c r="M15" s="256"/>
      <c r="N15" s="241" t="s">
        <v>148</v>
      </c>
      <c r="O15" s="257" t="s">
        <v>15</v>
      </c>
      <c r="P15" s="256"/>
      <c r="Q15" s="241" t="s">
        <v>148</v>
      </c>
      <c r="R15" s="256" t="s">
        <v>15</v>
      </c>
      <c r="S15" s="256"/>
      <c r="T15" s="241" t="s">
        <v>148</v>
      </c>
      <c r="U15" s="243" t="s">
        <v>15</v>
      </c>
      <c r="V15" s="248"/>
      <c r="W15" s="241" t="s">
        <v>148</v>
      </c>
      <c r="X15" s="243" t="s">
        <v>15</v>
      </c>
      <c r="Y15" s="244"/>
      <c r="Z15" s="241" t="s">
        <v>148</v>
      </c>
      <c r="AA15" s="248" t="s">
        <v>15</v>
      </c>
      <c r="AB15" s="248"/>
      <c r="AC15" s="241" t="s">
        <v>148</v>
      </c>
      <c r="AD15" s="243" t="s">
        <v>15</v>
      </c>
      <c r="AE15" s="244"/>
      <c r="AF15" s="241" t="s">
        <v>148</v>
      </c>
      <c r="AG15" s="243" t="s">
        <v>15</v>
      </c>
      <c r="AH15" s="248"/>
      <c r="AI15" s="241" t="s">
        <v>148</v>
      </c>
      <c r="AJ15" s="243" t="s">
        <v>15</v>
      </c>
      <c r="AK15" s="244"/>
      <c r="AL15" s="241" t="s">
        <v>148</v>
      </c>
      <c r="AM15" s="243" t="s">
        <v>15</v>
      </c>
      <c r="AN15" s="244"/>
      <c r="AO15" s="241" t="s">
        <v>148</v>
      </c>
      <c r="AP15" s="259"/>
      <c r="AQ15" s="259"/>
      <c r="AR15" s="250"/>
      <c r="AS15" s="252"/>
      <c r="AT15" s="253" t="s">
        <v>69</v>
      </c>
      <c r="AU15" s="253"/>
      <c r="AV15" s="260" t="s">
        <v>79</v>
      </c>
      <c r="AW15" s="260"/>
      <c r="AX15" s="261" t="s">
        <v>80</v>
      </c>
      <c r="AY15" s="261"/>
      <c r="AZ15" s="262" t="s">
        <v>70</v>
      </c>
      <c r="BA15" s="262"/>
    </row>
    <row r="16" spans="1:53" ht="12.9" customHeight="1" thickBot="1" x14ac:dyDescent="0.35">
      <c r="B16" s="236"/>
      <c r="C16" s="236"/>
      <c r="D16" s="238"/>
      <c r="E16" s="240"/>
      <c r="F16" s="77" t="s">
        <v>17</v>
      </c>
      <c r="G16" s="78" t="s">
        <v>18</v>
      </c>
      <c r="H16" s="242"/>
      <c r="I16" s="77" t="s">
        <v>17</v>
      </c>
      <c r="J16" s="78" t="s">
        <v>18</v>
      </c>
      <c r="K16" s="242"/>
      <c r="L16" s="79" t="s">
        <v>17</v>
      </c>
      <c r="M16" s="80" t="s">
        <v>18</v>
      </c>
      <c r="N16" s="242"/>
      <c r="O16" s="81" t="s">
        <v>17</v>
      </c>
      <c r="P16" s="80" t="s">
        <v>18</v>
      </c>
      <c r="Q16" s="242"/>
      <c r="R16" s="79" t="s">
        <v>17</v>
      </c>
      <c r="S16" s="80" t="s">
        <v>18</v>
      </c>
      <c r="T16" s="242"/>
      <c r="U16" s="81" t="s">
        <v>17</v>
      </c>
      <c r="V16" s="80" t="s">
        <v>18</v>
      </c>
      <c r="W16" s="242"/>
      <c r="X16" s="81" t="s">
        <v>17</v>
      </c>
      <c r="Y16" s="80" t="s">
        <v>18</v>
      </c>
      <c r="Z16" s="242"/>
      <c r="AA16" s="79" t="s">
        <v>17</v>
      </c>
      <c r="AB16" s="80" t="s">
        <v>18</v>
      </c>
      <c r="AC16" s="242"/>
      <c r="AD16" s="81" t="s">
        <v>17</v>
      </c>
      <c r="AE16" s="80" t="s">
        <v>18</v>
      </c>
      <c r="AF16" s="242"/>
      <c r="AG16" s="81" t="s">
        <v>17</v>
      </c>
      <c r="AH16" s="80" t="s">
        <v>18</v>
      </c>
      <c r="AI16" s="242"/>
      <c r="AJ16" s="81" t="s">
        <v>17</v>
      </c>
      <c r="AK16" s="80" t="s">
        <v>18</v>
      </c>
      <c r="AL16" s="242"/>
      <c r="AM16" s="81" t="s">
        <v>17</v>
      </c>
      <c r="AN16" s="80" t="s">
        <v>18</v>
      </c>
      <c r="AO16" s="242"/>
      <c r="AP16" s="259"/>
      <c r="AQ16" s="259"/>
      <c r="AR16" s="250"/>
      <c r="AS16" s="252"/>
      <c r="AT16" s="207" t="s">
        <v>54</v>
      </c>
      <c r="AU16" s="207" t="s">
        <v>56</v>
      </c>
      <c r="AV16" s="82" t="s">
        <v>54</v>
      </c>
      <c r="AW16" s="82" t="s">
        <v>56</v>
      </c>
      <c r="AX16" s="82" t="s">
        <v>54</v>
      </c>
      <c r="AY16" s="82" t="s">
        <v>56</v>
      </c>
      <c r="AZ16" s="82" t="s">
        <v>54</v>
      </c>
      <c r="BA16" s="82" t="s">
        <v>56</v>
      </c>
    </row>
    <row r="17" spans="2:54" ht="15" customHeight="1" thickTop="1" thickBot="1" x14ac:dyDescent="0.35">
      <c r="B17" s="83">
        <v>1</v>
      </c>
      <c r="C17" s="186">
        <v>2582</v>
      </c>
      <c r="D17" s="190" t="s">
        <v>99</v>
      </c>
      <c r="E17" s="102"/>
      <c r="F17" s="109"/>
      <c r="G17" s="84"/>
      <c r="H17" s="85">
        <f>SUM('12EG -A- S.COLECT.'!R10)</f>
        <v>14</v>
      </c>
      <c r="I17" s="109"/>
      <c r="J17" s="84"/>
      <c r="K17" s="85">
        <f>SUM('12EG -A- S. MENTAL'!R10)</f>
        <v>9.1666666666666661</v>
      </c>
      <c r="L17" s="87"/>
      <c r="M17" s="86"/>
      <c r="N17" s="85">
        <f>SUM('12EG -A- EPIDEMIOL.'!R10)</f>
        <v>16</v>
      </c>
      <c r="O17" s="87"/>
      <c r="P17" s="86"/>
      <c r="Q17" s="85">
        <f>SUM('12EG-A- F.A.E'!R10)</f>
        <v>2.5</v>
      </c>
      <c r="R17" s="88"/>
      <c r="S17" s="86"/>
      <c r="T17" s="85">
        <f>SUM('12EG -A- URGÊNCIA'!R10)</f>
        <v>3.6666666666666665</v>
      </c>
      <c r="U17" s="87"/>
      <c r="V17" s="86"/>
      <c r="W17" s="85">
        <f>SUM('12EG -A- N.D'!R10)</f>
        <v>11.833333333333334</v>
      </c>
      <c r="X17" s="87"/>
      <c r="Y17" s="86"/>
      <c r="Z17" s="85">
        <f>SUM('12EG -A- A.E.P.M.C'!R10)</f>
        <v>10.333333333333334</v>
      </c>
      <c r="AA17" s="88"/>
      <c r="AB17" s="86"/>
      <c r="AC17" s="85">
        <f>SUM('12EG -A- TEC. ENFER'!R10)</f>
        <v>9.8333333333333339</v>
      </c>
      <c r="AD17" s="87"/>
      <c r="AE17" s="86"/>
      <c r="AF17" s="85">
        <f>SUM('12EG -A- A.E.S.M'!R10)</f>
        <v>9.3333333333333339</v>
      </c>
      <c r="AG17" s="88"/>
      <c r="AH17" s="86"/>
      <c r="AI17" s="85">
        <f>SUM('12EG -A- PROJ. TEC'!R10)</f>
        <v>0</v>
      </c>
      <c r="AJ17" s="88"/>
      <c r="AK17" s="86"/>
      <c r="AL17" s="85">
        <f>SUM('12EG -A- A.E.S.Ç'!R10)</f>
        <v>8.5</v>
      </c>
      <c r="AM17" s="88"/>
      <c r="AN17" s="89"/>
      <c r="AO17" s="85">
        <f>SUM('12EG -A- GESTÃO ENF.'!R10)</f>
        <v>2.8333333333333335</v>
      </c>
      <c r="AP17" s="106" t="s">
        <v>143</v>
      </c>
      <c r="AQ17" s="113">
        <f>AVERAGE(H17:AO17)</f>
        <v>8.1666666666666661</v>
      </c>
      <c r="AR17" s="180">
        <v>17</v>
      </c>
      <c r="AS17" s="183" t="s">
        <v>54</v>
      </c>
      <c r="AT17" s="90">
        <f>COUNTIF(AS17:AS58,"M")</f>
        <v>8</v>
      </c>
      <c r="AU17" s="91">
        <f>COUNTIF(AS17:AS58,"F")</f>
        <v>34</v>
      </c>
      <c r="AV17" s="92">
        <f>COUNTIFS(AP17:AP58,"TRANSITA",AS17:AS58,"M")</f>
        <v>1</v>
      </c>
      <c r="AW17" s="92">
        <f>COUNTIFS(AP17:AP58,"TRANSITA",AS17:AS58,"F")</f>
        <v>11</v>
      </c>
      <c r="AX17" s="92">
        <f>COUNTIFS(AP17:AP58,"N/TRANSITA",AS17:AS58,"M")</f>
        <v>7</v>
      </c>
      <c r="AY17" s="92">
        <f>COUNTIFS(AP17:AP58,"N/TRANSITA",AS17:AS58,"F")</f>
        <v>23</v>
      </c>
      <c r="AZ17" s="92">
        <f>COUNTIFS(AP17:AP58,"Desistido",AS17:AS58,"M")</f>
        <v>0</v>
      </c>
      <c r="BA17" s="92">
        <f>COUNTIFS(AP17:AP58,"Desistida",AS17:AS58,"F")</f>
        <v>0</v>
      </c>
    </row>
    <row r="18" spans="2:54" ht="15" customHeight="1" thickBot="1" x14ac:dyDescent="0.35">
      <c r="B18" s="93">
        <v>2</v>
      </c>
      <c r="C18" s="187">
        <v>2150</v>
      </c>
      <c r="D18" s="191" t="s">
        <v>100</v>
      </c>
      <c r="E18" s="112"/>
      <c r="F18" s="110"/>
      <c r="G18" s="94"/>
      <c r="H18" s="128">
        <f>SUM('12EG -A- S.COLECT.'!R11)</f>
        <v>14</v>
      </c>
      <c r="I18" s="110"/>
      <c r="J18" s="94"/>
      <c r="K18" s="128">
        <f>SUM('12EG -A- S. MENTAL'!R11)</f>
        <v>12.166666666666666</v>
      </c>
      <c r="L18" s="130"/>
      <c r="M18" s="127"/>
      <c r="N18" s="128">
        <f>SUM('12EG -A- EPIDEMIOL.'!R11)</f>
        <v>4.333333333333333</v>
      </c>
      <c r="O18" s="130"/>
      <c r="P18" s="127"/>
      <c r="Q18" s="128">
        <f>SUM('12EG-A- F.A.E'!R11)</f>
        <v>10</v>
      </c>
      <c r="R18" s="133"/>
      <c r="S18" s="127"/>
      <c r="T18" s="128">
        <f>SUM('12EG -A- URGÊNCIA'!R11)</f>
        <v>11</v>
      </c>
      <c r="U18" s="130"/>
      <c r="V18" s="127"/>
      <c r="W18" s="128">
        <f>SUM('12EG -A- N.D'!R11)</f>
        <v>16.333333333333332</v>
      </c>
      <c r="X18" s="130"/>
      <c r="Y18" s="127"/>
      <c r="Z18" s="128">
        <f>SUM('12EG -A- A.E.P.M.C'!R11)</f>
        <v>18.166666666666668</v>
      </c>
      <c r="AA18" s="133"/>
      <c r="AB18" s="127"/>
      <c r="AC18" s="128">
        <f>SUM('12EG -A- TEC. ENFER'!R11)</f>
        <v>14.433333333333332</v>
      </c>
      <c r="AD18" s="130"/>
      <c r="AE18" s="127"/>
      <c r="AF18" s="128">
        <f>SUM('12EG -A- A.E.S.M'!R11)</f>
        <v>15</v>
      </c>
      <c r="AG18" s="133"/>
      <c r="AH18" s="127"/>
      <c r="AI18" s="128">
        <f>SUM('12EG -A- PROJ. TEC'!R11)</f>
        <v>16.666666666666668</v>
      </c>
      <c r="AJ18" s="133"/>
      <c r="AK18" s="127"/>
      <c r="AL18" s="128">
        <f>SUM('12EG -A- A.E.S.Ç'!R11)</f>
        <v>10.666666666666666</v>
      </c>
      <c r="AM18" s="133"/>
      <c r="AN18" s="126"/>
      <c r="AO18" s="128">
        <f>SUM('12EG -A- GESTÃO ENF.'!R11)</f>
        <v>10.833333333333334</v>
      </c>
      <c r="AP18" s="107" t="s">
        <v>143</v>
      </c>
      <c r="AQ18" s="113">
        <f t="shared" ref="AQ18:AQ58" si="0">AVERAGE(H18:AO18)</f>
        <v>12.799999999999999</v>
      </c>
      <c r="AR18" s="181">
        <v>17</v>
      </c>
      <c r="AS18" s="184" t="s">
        <v>56</v>
      </c>
      <c r="AT18" s="263">
        <f>SUM(AT17:AU17)</f>
        <v>42</v>
      </c>
      <c r="AU18" s="264"/>
      <c r="AV18" s="265">
        <f>SUM(AV17:AW17)</f>
        <v>12</v>
      </c>
      <c r="AW18" s="265"/>
      <c r="AX18" s="264">
        <f>SUM(AX17:AY17)</f>
        <v>30</v>
      </c>
      <c r="AY18" s="264"/>
      <c r="AZ18" s="264">
        <f>SUM(AZ17:BA17)</f>
        <v>0</v>
      </c>
      <c r="BA18" s="264"/>
    </row>
    <row r="19" spans="2:54" s="95" customFormat="1" ht="15" customHeight="1" thickBot="1" x14ac:dyDescent="0.35">
      <c r="B19" s="93">
        <v>3</v>
      </c>
      <c r="C19" s="187">
        <v>1791</v>
      </c>
      <c r="D19" s="191" t="s">
        <v>101</v>
      </c>
      <c r="E19" s="103"/>
      <c r="F19" s="110"/>
      <c r="G19" s="94"/>
      <c r="H19" s="128">
        <f>SUM('12EG -A- S.COLECT.'!R12)</f>
        <v>14</v>
      </c>
      <c r="I19" s="110"/>
      <c r="J19" s="94"/>
      <c r="K19" s="128">
        <f>SUM('12EG -A- S. MENTAL'!R12)</f>
        <v>15.833333333333334</v>
      </c>
      <c r="L19" s="130"/>
      <c r="M19" s="127"/>
      <c r="N19" s="128">
        <f>SUM('12EG -A- EPIDEMIOL.'!R12)</f>
        <v>15</v>
      </c>
      <c r="O19" s="130"/>
      <c r="P19" s="127"/>
      <c r="Q19" s="128">
        <f>SUM('12EG-A- F.A.E'!R12)</f>
        <v>8.3333333333333339</v>
      </c>
      <c r="R19" s="133"/>
      <c r="S19" s="127"/>
      <c r="T19" s="128">
        <f>SUM('12EG -A- URGÊNCIA'!R12)</f>
        <v>11</v>
      </c>
      <c r="U19" s="130"/>
      <c r="V19" s="127"/>
      <c r="W19" s="128">
        <f>SUM('12EG -A- N.D'!R12)</f>
        <v>16.833333333333332</v>
      </c>
      <c r="X19" s="130"/>
      <c r="Y19" s="127"/>
      <c r="Z19" s="128">
        <f>SUM('12EG -A- A.E.P.M.C'!R12)</f>
        <v>17.833333333333332</v>
      </c>
      <c r="AA19" s="133"/>
      <c r="AB19" s="127"/>
      <c r="AC19" s="128">
        <f>SUM('12EG -A- TEC. ENFER'!R12)</f>
        <v>13.1</v>
      </c>
      <c r="AD19" s="130"/>
      <c r="AE19" s="127"/>
      <c r="AF19" s="128">
        <f>SUM('12EG -A- A.E.S.M'!R12)</f>
        <v>9.3333333333333339</v>
      </c>
      <c r="AG19" s="133"/>
      <c r="AH19" s="127"/>
      <c r="AI19" s="128">
        <f>SUM('12EG -A- PROJ. TEC'!R12)</f>
        <v>17</v>
      </c>
      <c r="AJ19" s="133"/>
      <c r="AK19" s="127"/>
      <c r="AL19" s="128">
        <f>SUM('12EG -A- A.E.S.Ç'!R12)</f>
        <v>13.333333333333334</v>
      </c>
      <c r="AM19" s="133"/>
      <c r="AN19" s="126"/>
      <c r="AO19" s="128">
        <f>SUM('12EG -A- GESTÃO ENF.'!R12)</f>
        <v>11.5</v>
      </c>
      <c r="AP19" s="107" t="s">
        <v>143</v>
      </c>
      <c r="AQ19" s="113">
        <f t="shared" si="0"/>
        <v>13.591666666666667</v>
      </c>
      <c r="AR19" s="181">
        <v>17</v>
      </c>
      <c r="AS19" s="184" t="s">
        <v>56</v>
      </c>
    </row>
    <row r="20" spans="2:54" ht="15" customHeight="1" thickBot="1" x14ac:dyDescent="0.35">
      <c r="B20" s="93">
        <v>4</v>
      </c>
      <c r="C20" s="187">
        <v>2623</v>
      </c>
      <c r="D20" s="191" t="s">
        <v>102</v>
      </c>
      <c r="E20" s="103"/>
      <c r="F20" s="110"/>
      <c r="G20" s="94"/>
      <c r="H20" s="128">
        <f>SUM('12EG -A- S.COLECT.'!R13)</f>
        <v>14</v>
      </c>
      <c r="I20" s="110"/>
      <c r="J20" s="94"/>
      <c r="K20" s="128">
        <f>SUM('12EG -A- S. MENTAL'!R13)</f>
        <v>14.833333333333334</v>
      </c>
      <c r="L20" s="130"/>
      <c r="M20" s="127"/>
      <c r="N20" s="128">
        <f>SUM('12EG -A- EPIDEMIOL.'!R13)</f>
        <v>10.333333333333334</v>
      </c>
      <c r="O20" s="130"/>
      <c r="P20" s="127"/>
      <c r="Q20" s="128">
        <f>SUM('12EG-A- F.A.E'!R13)</f>
        <v>11.333333333333334</v>
      </c>
      <c r="R20" s="133"/>
      <c r="S20" s="127"/>
      <c r="T20" s="128">
        <f>SUM('12EG -A- URGÊNCIA'!R13)</f>
        <v>11</v>
      </c>
      <c r="U20" s="130"/>
      <c r="V20" s="127"/>
      <c r="W20" s="128">
        <f>SUM('12EG -A- N.D'!R13)</f>
        <v>17.333333333333332</v>
      </c>
      <c r="X20" s="130"/>
      <c r="Y20" s="127"/>
      <c r="Z20" s="128">
        <f>SUM('12EG -A- A.E.P.M.C'!R13)</f>
        <v>17.833333333333332</v>
      </c>
      <c r="AA20" s="133"/>
      <c r="AB20" s="127"/>
      <c r="AC20" s="128">
        <f>SUM('12EG -A- TEC. ENFER'!R13)</f>
        <v>12</v>
      </c>
      <c r="AD20" s="130"/>
      <c r="AE20" s="127"/>
      <c r="AF20" s="128">
        <f>SUM('12EG -A- A.E.S.M'!R13)</f>
        <v>15.666666666666666</v>
      </c>
      <c r="AG20" s="133"/>
      <c r="AH20" s="127"/>
      <c r="AI20" s="128">
        <f>SUM('12EG -A- PROJ. TEC'!R13)</f>
        <v>16.666666666666668</v>
      </c>
      <c r="AJ20" s="133"/>
      <c r="AK20" s="127"/>
      <c r="AL20" s="128">
        <f>SUM('12EG -A- A.E.S.Ç'!R13)</f>
        <v>14</v>
      </c>
      <c r="AM20" s="133"/>
      <c r="AN20" s="126"/>
      <c r="AO20" s="128">
        <f>SUM('12EG -A- GESTÃO ENF.'!R13)</f>
        <v>11.166666666666666</v>
      </c>
      <c r="AP20" s="107" t="s">
        <v>93</v>
      </c>
      <c r="AQ20" s="113">
        <f t="shared" si="0"/>
        <v>13.847222222222221</v>
      </c>
      <c r="AR20" s="181">
        <v>17</v>
      </c>
      <c r="AS20" s="184" t="s">
        <v>56</v>
      </c>
    </row>
    <row r="21" spans="2:54" ht="15" customHeight="1" thickBot="1" x14ac:dyDescent="0.35">
      <c r="B21" s="93">
        <v>5</v>
      </c>
      <c r="C21" s="187">
        <v>1818</v>
      </c>
      <c r="D21" s="191" t="s">
        <v>103</v>
      </c>
      <c r="E21" s="103"/>
      <c r="F21" s="110"/>
      <c r="G21" s="94"/>
      <c r="H21" s="128">
        <f>SUM('12EG -A- S.COLECT.'!R14)</f>
        <v>14</v>
      </c>
      <c r="I21" s="110"/>
      <c r="J21" s="94"/>
      <c r="K21" s="128">
        <f>SUM('12EG -A- S. MENTAL'!R14)</f>
        <v>20</v>
      </c>
      <c r="L21" s="130"/>
      <c r="M21" s="127"/>
      <c r="N21" s="128">
        <f>SUM('12EG -A- EPIDEMIOL.'!R14)</f>
        <v>17.333333333333332</v>
      </c>
      <c r="O21" s="130"/>
      <c r="P21" s="127"/>
      <c r="Q21" s="128">
        <f>SUM('12EG-A- F.A.E'!R14)</f>
        <v>12.666666666666666</v>
      </c>
      <c r="R21" s="133"/>
      <c r="S21" s="127"/>
      <c r="T21" s="128">
        <f>SUM('12EG -A- URGÊNCIA'!R14)</f>
        <v>18.666666666666668</v>
      </c>
      <c r="U21" s="130"/>
      <c r="V21" s="127"/>
      <c r="W21" s="128">
        <f>SUM('12EG -A- N.D'!R14)</f>
        <v>18.5</v>
      </c>
      <c r="X21" s="130"/>
      <c r="Y21" s="127"/>
      <c r="Z21" s="128">
        <f>SUM('12EG -A- A.E.P.M.C'!R14)</f>
        <v>19.666666666666668</v>
      </c>
      <c r="AA21" s="133"/>
      <c r="AB21" s="127"/>
      <c r="AC21" s="128">
        <f>SUM('12EG -A- TEC. ENFER'!R14)</f>
        <v>17.5</v>
      </c>
      <c r="AD21" s="130"/>
      <c r="AE21" s="127"/>
      <c r="AF21" s="128">
        <f>SUM('12EG -A- A.E.S.M'!R14)</f>
        <v>14.833333333333334</v>
      </c>
      <c r="AG21" s="133"/>
      <c r="AH21" s="127"/>
      <c r="AI21" s="128">
        <f>SUM('12EG -A- PROJ. TEC'!R14)</f>
        <v>17.666666666666668</v>
      </c>
      <c r="AJ21" s="133"/>
      <c r="AK21" s="127"/>
      <c r="AL21" s="128">
        <f>SUM('12EG -A- A.E.S.Ç'!R14)</f>
        <v>14.333333333333334</v>
      </c>
      <c r="AM21" s="133"/>
      <c r="AN21" s="126"/>
      <c r="AO21" s="128">
        <f>SUM('12EG -A- GESTÃO ENF.'!R14)</f>
        <v>13.5</v>
      </c>
      <c r="AP21" s="107" t="s">
        <v>93</v>
      </c>
      <c r="AQ21" s="199">
        <f t="shared" si="0"/>
        <v>16.555555555555554</v>
      </c>
      <c r="AR21" s="181">
        <v>18</v>
      </c>
      <c r="AS21" s="184" t="s">
        <v>56</v>
      </c>
    </row>
    <row r="22" spans="2:54" ht="15" customHeight="1" thickBot="1" x14ac:dyDescent="0.35">
      <c r="B22" s="93">
        <v>6</v>
      </c>
      <c r="C22" s="187">
        <v>1974</v>
      </c>
      <c r="D22" s="191" t="s">
        <v>104</v>
      </c>
      <c r="E22" s="103"/>
      <c r="F22" s="110"/>
      <c r="G22" s="94"/>
      <c r="H22" s="128">
        <f>SUM('12EG -A- S.COLECT.'!R15)</f>
        <v>14</v>
      </c>
      <c r="I22" s="110"/>
      <c r="J22" s="94"/>
      <c r="K22" s="128">
        <f>SUM('12EG -A- S. MENTAL'!R15)</f>
        <v>13.333333333333334</v>
      </c>
      <c r="L22" s="130"/>
      <c r="M22" s="127"/>
      <c r="N22" s="128">
        <f>SUM('12EG -A- EPIDEMIOL.'!R15)</f>
        <v>12.666666666666666</v>
      </c>
      <c r="O22" s="130"/>
      <c r="P22" s="127"/>
      <c r="Q22" s="128">
        <f>SUM('12EG-A- F.A.E'!R15)</f>
        <v>10.333333333333334</v>
      </c>
      <c r="R22" s="133"/>
      <c r="S22" s="127"/>
      <c r="T22" s="128">
        <f>SUM('12EG -A- URGÊNCIA'!R15)</f>
        <v>10.666666666666666</v>
      </c>
      <c r="U22" s="130"/>
      <c r="V22" s="127"/>
      <c r="W22" s="128">
        <f>SUM('12EG -A- N.D'!R15)</f>
        <v>14.166666666666666</v>
      </c>
      <c r="X22" s="130"/>
      <c r="Y22" s="127"/>
      <c r="Z22" s="128">
        <f>SUM('12EG -A- A.E.P.M.C'!R15)</f>
        <v>14.166666666666666</v>
      </c>
      <c r="AA22" s="133"/>
      <c r="AB22" s="127"/>
      <c r="AC22" s="128">
        <f>SUM('12EG -A- TEC. ENFER'!R15)</f>
        <v>14.5</v>
      </c>
      <c r="AD22" s="130"/>
      <c r="AE22" s="127"/>
      <c r="AF22" s="128">
        <f>SUM('12EG -A- A.E.S.M'!R15)</f>
        <v>14.333333333333334</v>
      </c>
      <c r="AG22" s="133"/>
      <c r="AH22" s="127"/>
      <c r="AI22" s="128">
        <f>SUM('12EG -A- PROJ. TEC'!R15)</f>
        <v>16</v>
      </c>
      <c r="AJ22" s="133"/>
      <c r="AK22" s="127"/>
      <c r="AL22" s="128">
        <f>SUM('12EG -A- A.E.S.Ç'!R15)</f>
        <v>12.333333333333334</v>
      </c>
      <c r="AM22" s="133"/>
      <c r="AN22" s="126"/>
      <c r="AO22" s="128">
        <f>SUM('12EG -A- GESTÃO ENF.'!R15)</f>
        <v>8.1666666666666661</v>
      </c>
      <c r="AP22" s="107" t="s">
        <v>143</v>
      </c>
      <c r="AQ22" s="113">
        <f t="shared" si="0"/>
        <v>12.888888888888891</v>
      </c>
      <c r="AR22" s="181">
        <v>17</v>
      </c>
      <c r="AS22" s="184" t="s">
        <v>56</v>
      </c>
    </row>
    <row r="23" spans="2:54" ht="15" customHeight="1" thickBot="1" x14ac:dyDescent="0.35">
      <c r="B23" s="93">
        <v>7</v>
      </c>
      <c r="C23" s="187">
        <v>2051</v>
      </c>
      <c r="D23" s="191" t="s">
        <v>105</v>
      </c>
      <c r="E23" s="103"/>
      <c r="F23" s="110"/>
      <c r="G23" s="94"/>
      <c r="H23" s="128">
        <f>SUM('12EG -A- S.COLECT.'!R16)</f>
        <v>14</v>
      </c>
      <c r="I23" s="110"/>
      <c r="J23" s="94"/>
      <c r="K23" s="128">
        <f>SUM('12EG -A- S. MENTAL'!R16)</f>
        <v>15.166666666666666</v>
      </c>
      <c r="L23" s="130"/>
      <c r="M23" s="127"/>
      <c r="N23" s="128">
        <f>SUM('12EG -A- EPIDEMIOL.'!R16)</f>
        <v>11.333333333333334</v>
      </c>
      <c r="O23" s="130"/>
      <c r="P23" s="127"/>
      <c r="Q23" s="128">
        <f>SUM('12EG-A- F.A.E'!R16)</f>
        <v>10.666666666666666</v>
      </c>
      <c r="R23" s="133"/>
      <c r="S23" s="127"/>
      <c r="T23" s="128">
        <f>SUM('12EG -A- URGÊNCIA'!R16)</f>
        <v>13.333333333333334</v>
      </c>
      <c r="U23" s="130"/>
      <c r="V23" s="127"/>
      <c r="W23" s="128">
        <f>SUM('12EG -A- N.D'!R16)</f>
        <v>16.333333333333332</v>
      </c>
      <c r="X23" s="130"/>
      <c r="Y23" s="127"/>
      <c r="Z23" s="128">
        <f>SUM('12EG -A- A.E.P.M.C'!R16)</f>
        <v>18.5</v>
      </c>
      <c r="AA23" s="133"/>
      <c r="AB23" s="127"/>
      <c r="AC23" s="128">
        <f>SUM('12EG -A- TEC. ENFER'!R16)</f>
        <v>13.833333333333334</v>
      </c>
      <c r="AD23" s="130"/>
      <c r="AE23" s="127"/>
      <c r="AF23" s="128">
        <f>SUM('12EG -A- A.E.S.M'!R16)</f>
        <v>14.833333333333334</v>
      </c>
      <c r="AG23" s="133"/>
      <c r="AH23" s="127"/>
      <c r="AI23" s="128">
        <f>SUM('12EG -A- PROJ. TEC'!R16)</f>
        <v>18.333333333333332</v>
      </c>
      <c r="AJ23" s="133"/>
      <c r="AK23" s="127"/>
      <c r="AL23" s="128">
        <f>SUM('12EG -A- A.E.S.Ç'!R16)</f>
        <v>13.666666666666666</v>
      </c>
      <c r="AM23" s="133"/>
      <c r="AN23" s="126"/>
      <c r="AO23" s="128">
        <f>SUM('12EG -A- GESTÃO ENF.'!R16)</f>
        <v>11.666666666666666</v>
      </c>
      <c r="AP23" s="107" t="s">
        <v>93</v>
      </c>
      <c r="AQ23" s="113">
        <f t="shared" si="0"/>
        <v>14.305555555555552</v>
      </c>
      <c r="AR23" s="181">
        <v>17</v>
      </c>
      <c r="AS23" s="184" t="s">
        <v>56</v>
      </c>
    </row>
    <row r="24" spans="2:54" s="96" customFormat="1" ht="15" customHeight="1" thickBot="1" x14ac:dyDescent="0.35">
      <c r="B24" s="93">
        <v>8</v>
      </c>
      <c r="C24" s="187">
        <v>2230</v>
      </c>
      <c r="D24" s="191" t="s">
        <v>106</v>
      </c>
      <c r="E24" s="104"/>
      <c r="F24" s="110"/>
      <c r="G24" s="94"/>
      <c r="H24" s="128">
        <f>SUM('12EG -A- S.COLECT.'!R17)</f>
        <v>14</v>
      </c>
      <c r="I24" s="110"/>
      <c r="J24" s="94"/>
      <c r="K24" s="128">
        <f>SUM('12EG -A- S. MENTAL'!R17)</f>
        <v>12</v>
      </c>
      <c r="L24" s="130"/>
      <c r="M24" s="127"/>
      <c r="N24" s="128">
        <f>SUM('12EG -A- EPIDEMIOL.'!R17)</f>
        <v>10.333333333333334</v>
      </c>
      <c r="O24" s="130"/>
      <c r="P24" s="127"/>
      <c r="Q24" s="128">
        <f>SUM('12EG-A- F.A.E'!R17)</f>
        <v>6.666666666666667</v>
      </c>
      <c r="R24" s="133"/>
      <c r="S24" s="127"/>
      <c r="T24" s="128">
        <f>SUM('12EG -A- URGÊNCIA'!R17)</f>
        <v>10.833333333333334</v>
      </c>
      <c r="U24" s="130"/>
      <c r="V24" s="127"/>
      <c r="W24" s="128">
        <f>SUM('12EG -A- N.D'!R17)</f>
        <v>12.5</v>
      </c>
      <c r="X24" s="130"/>
      <c r="Y24" s="127"/>
      <c r="Z24" s="128">
        <f>SUM('12EG -A- A.E.P.M.C'!R17)</f>
        <v>16.333333333333332</v>
      </c>
      <c r="AA24" s="133"/>
      <c r="AB24" s="127"/>
      <c r="AC24" s="128">
        <f>SUM('12EG -A- TEC. ENFER'!R17)</f>
        <v>9.6666666666666661</v>
      </c>
      <c r="AD24" s="130"/>
      <c r="AE24" s="127"/>
      <c r="AF24" s="128">
        <f>SUM('12EG -A- A.E.S.M'!R17)</f>
        <v>9.3333333333333339</v>
      </c>
      <c r="AG24" s="133"/>
      <c r="AH24" s="127"/>
      <c r="AI24" s="128">
        <f>SUM('12EG -A- PROJ. TEC'!R17)</f>
        <v>15.666666666666666</v>
      </c>
      <c r="AJ24" s="133"/>
      <c r="AK24" s="127"/>
      <c r="AL24" s="128">
        <f>SUM('12EG -A- A.E.S.Ç'!R17)</f>
        <v>13.166666666666666</v>
      </c>
      <c r="AM24" s="133"/>
      <c r="AN24" s="126"/>
      <c r="AO24" s="128">
        <f>SUM('12EG -A- GESTÃO ENF.'!R17)</f>
        <v>9.8333333333333339</v>
      </c>
      <c r="AP24" s="107" t="s">
        <v>143</v>
      </c>
      <c r="AQ24" s="113">
        <f t="shared" si="0"/>
        <v>11.694444444444445</v>
      </c>
      <c r="AR24" s="181">
        <v>18</v>
      </c>
      <c r="AS24" s="184" t="s">
        <v>56</v>
      </c>
    </row>
    <row r="25" spans="2:54" s="96" customFormat="1" ht="15" customHeight="1" thickBot="1" x14ac:dyDescent="0.35">
      <c r="B25" s="93">
        <v>9</v>
      </c>
      <c r="C25" s="187">
        <v>1774</v>
      </c>
      <c r="D25" s="191" t="s">
        <v>144</v>
      </c>
      <c r="E25" s="104"/>
      <c r="F25" s="110"/>
      <c r="G25" s="94"/>
      <c r="H25" s="128">
        <f>SUM('12EG -A- S.COLECT.'!R18)</f>
        <v>14</v>
      </c>
      <c r="I25" s="110"/>
      <c r="J25" s="94"/>
      <c r="K25" s="128">
        <f>SUM('12EG -A- S. MENTAL'!R18)</f>
        <v>8.3333333333333339</v>
      </c>
      <c r="L25" s="130"/>
      <c r="M25" s="127"/>
      <c r="N25" s="128">
        <f>SUM('12EG -A- EPIDEMIOL.'!R18)</f>
        <v>14.333333333333334</v>
      </c>
      <c r="O25" s="130"/>
      <c r="P25" s="127"/>
      <c r="Q25" s="128">
        <f>SUM('12EG-A- F.A.E'!R18)</f>
        <v>1</v>
      </c>
      <c r="R25" s="133"/>
      <c r="S25" s="127"/>
      <c r="T25" s="128">
        <f>SUM('12EG -A- URGÊNCIA'!R18)</f>
        <v>0</v>
      </c>
      <c r="U25" s="130"/>
      <c r="V25" s="127"/>
      <c r="W25" s="128">
        <f>SUM('12EG -A- N.D'!R18)</f>
        <v>11.833333333333334</v>
      </c>
      <c r="X25" s="130"/>
      <c r="Y25" s="127"/>
      <c r="Z25" s="128">
        <f>SUM('12EG -A- A.E.P.M.C'!R18)</f>
        <v>8.8333333333333339</v>
      </c>
      <c r="AA25" s="133"/>
      <c r="AB25" s="127"/>
      <c r="AC25" s="128">
        <f>SUM('12EG -A- TEC. ENFER'!R18)</f>
        <v>6.25</v>
      </c>
      <c r="AD25" s="130"/>
      <c r="AE25" s="127"/>
      <c r="AF25" s="128">
        <f>SUM('12EG -A- A.E.S.M'!R18)</f>
        <v>14</v>
      </c>
      <c r="AG25" s="133"/>
      <c r="AH25" s="127"/>
      <c r="AI25" s="128">
        <f>SUM('12EG -A- PROJ. TEC'!R18)</f>
        <v>0</v>
      </c>
      <c r="AJ25" s="133"/>
      <c r="AK25" s="127"/>
      <c r="AL25" s="128">
        <f>SUM('12EG -A- A.E.S.Ç'!R18)</f>
        <v>9.6666666666666661</v>
      </c>
      <c r="AM25" s="133"/>
      <c r="AN25" s="126"/>
      <c r="AO25" s="128">
        <f>SUM('12EG -A- GESTÃO ENF.'!R18)</f>
        <v>2.8333333333333335</v>
      </c>
      <c r="AP25" s="107" t="s">
        <v>143</v>
      </c>
      <c r="AQ25" s="113">
        <f t="shared" si="0"/>
        <v>7.5902777777777786</v>
      </c>
      <c r="AR25" s="181">
        <v>18</v>
      </c>
      <c r="AS25" s="184" t="s">
        <v>54</v>
      </c>
    </row>
    <row r="26" spans="2:54" ht="15" customHeight="1" thickBot="1" x14ac:dyDescent="0.35">
      <c r="B26" s="93">
        <v>10</v>
      </c>
      <c r="C26" s="187">
        <v>4446</v>
      </c>
      <c r="D26" s="191" t="s">
        <v>107</v>
      </c>
      <c r="E26" s="103"/>
      <c r="F26" s="110"/>
      <c r="G26" s="94"/>
      <c r="H26" s="128">
        <f>SUM('12EG -A- S.COLECT.'!R19)</f>
        <v>14</v>
      </c>
      <c r="I26" s="110"/>
      <c r="J26" s="94"/>
      <c r="K26" s="128">
        <f>SUM('12EG -A- S. MENTAL'!R19)</f>
        <v>12.666666666666666</v>
      </c>
      <c r="L26" s="130"/>
      <c r="M26" s="127"/>
      <c r="N26" s="128">
        <f>SUM('12EG -A- EPIDEMIOL.'!R19)</f>
        <v>13.333333333333334</v>
      </c>
      <c r="O26" s="130"/>
      <c r="P26" s="127"/>
      <c r="Q26" s="128">
        <f>SUM('12EG-A- F.A.E'!R19)</f>
        <v>10.666666666666666</v>
      </c>
      <c r="R26" s="133"/>
      <c r="S26" s="127"/>
      <c r="T26" s="128">
        <f>SUM('12EG -A- URGÊNCIA'!R19)</f>
        <v>14.333333333333334</v>
      </c>
      <c r="U26" s="130"/>
      <c r="V26" s="127"/>
      <c r="W26" s="128">
        <f>SUM('12EG -A- N.D'!R19)</f>
        <v>15.666666666666666</v>
      </c>
      <c r="X26" s="130"/>
      <c r="Y26" s="127"/>
      <c r="Z26" s="128">
        <f>SUM('12EG -A- A.E.P.M.C'!R19)</f>
        <v>16.833333333333332</v>
      </c>
      <c r="AA26" s="133"/>
      <c r="AB26" s="127"/>
      <c r="AC26" s="128">
        <f>SUM('12EG -A- TEC. ENFER'!R19)</f>
        <v>12.333333333333334</v>
      </c>
      <c r="AD26" s="130"/>
      <c r="AE26" s="127"/>
      <c r="AF26" s="128">
        <f>SUM('12EG -A- A.E.S.M'!R19)</f>
        <v>13.5</v>
      </c>
      <c r="AG26" s="133"/>
      <c r="AH26" s="127"/>
      <c r="AI26" s="128">
        <f>SUM('12EG -A- PROJ. TEC'!R19)</f>
        <v>17</v>
      </c>
      <c r="AJ26" s="133"/>
      <c r="AK26" s="127"/>
      <c r="AL26" s="128">
        <f>SUM('12EG -A- A.E.S.Ç'!R19)</f>
        <v>11.666666666666666</v>
      </c>
      <c r="AM26" s="133"/>
      <c r="AN26" s="126"/>
      <c r="AO26" s="128">
        <f>SUM('12EG -A- GESTÃO ENF.'!R19)</f>
        <v>11</v>
      </c>
      <c r="AP26" s="107" t="s">
        <v>93</v>
      </c>
      <c r="AQ26" s="113">
        <f t="shared" si="0"/>
        <v>13.58333333333333</v>
      </c>
      <c r="AR26" s="181">
        <v>16</v>
      </c>
      <c r="AS26" s="184" t="s">
        <v>56</v>
      </c>
    </row>
    <row r="27" spans="2:54" s="95" customFormat="1" ht="15" customHeight="1" thickBot="1" x14ac:dyDescent="0.35">
      <c r="B27" s="93">
        <v>11</v>
      </c>
      <c r="C27" s="187">
        <v>1992</v>
      </c>
      <c r="D27" s="191" t="s">
        <v>108</v>
      </c>
      <c r="E27" s="103"/>
      <c r="F27" s="110"/>
      <c r="G27" s="94"/>
      <c r="H27" s="128">
        <f>SUM('12EG -A- S.COLECT.'!R20)</f>
        <v>14</v>
      </c>
      <c r="I27" s="110"/>
      <c r="J27" s="94"/>
      <c r="K27" s="128">
        <f>SUM('12EG -A- S. MENTAL'!R20)</f>
        <v>17.333333333333332</v>
      </c>
      <c r="L27" s="130"/>
      <c r="M27" s="127"/>
      <c r="N27" s="128">
        <f>SUM('12EG -A- EPIDEMIOL.'!R20)</f>
        <v>12.666666666666666</v>
      </c>
      <c r="O27" s="130"/>
      <c r="P27" s="127"/>
      <c r="Q27" s="128">
        <f>SUM('12EG-A- F.A.E'!R20)</f>
        <v>10.666666666666666</v>
      </c>
      <c r="R27" s="133"/>
      <c r="S27" s="127"/>
      <c r="T27" s="128">
        <f>SUM('12EG -A- URGÊNCIA'!R20)</f>
        <v>12.166666666666666</v>
      </c>
      <c r="U27" s="130"/>
      <c r="V27" s="127"/>
      <c r="W27" s="128">
        <f>SUM('12EG -A- N.D'!R20)</f>
        <v>17.166666666666668</v>
      </c>
      <c r="X27" s="130"/>
      <c r="Y27" s="127"/>
      <c r="Z27" s="128">
        <f>SUM('12EG -A- A.E.P.M.C'!R20)</f>
        <v>17.666666666666668</v>
      </c>
      <c r="AA27" s="133"/>
      <c r="AB27" s="127"/>
      <c r="AC27" s="128">
        <f>SUM('12EG -A- TEC. ENFER'!R20)</f>
        <v>12.566666666666668</v>
      </c>
      <c r="AD27" s="130"/>
      <c r="AE27" s="127"/>
      <c r="AF27" s="128">
        <f>SUM('12EG -A- A.E.S.M'!R20)</f>
        <v>14.5</v>
      </c>
      <c r="AG27" s="133"/>
      <c r="AH27" s="127"/>
      <c r="AI27" s="128">
        <f>SUM('12EG -A- PROJ. TEC'!R20)</f>
        <v>16.666666666666668</v>
      </c>
      <c r="AJ27" s="133"/>
      <c r="AK27" s="127"/>
      <c r="AL27" s="128">
        <f>SUM('12EG -A- A.E.S.Ç'!R20)</f>
        <v>15</v>
      </c>
      <c r="AM27" s="133"/>
      <c r="AN27" s="126"/>
      <c r="AO27" s="128">
        <f>SUM('12EG -A- GESTÃO ENF.'!R20)</f>
        <v>17.5</v>
      </c>
      <c r="AP27" s="107" t="s">
        <v>93</v>
      </c>
      <c r="AQ27" s="113">
        <f t="shared" si="0"/>
        <v>14.825000000000001</v>
      </c>
      <c r="AR27" s="181">
        <v>18</v>
      </c>
      <c r="AS27" s="184" t="s">
        <v>56</v>
      </c>
    </row>
    <row r="28" spans="2:54" s="95" customFormat="1" ht="15" customHeight="1" thickBot="1" x14ac:dyDescent="0.35">
      <c r="B28" s="93">
        <v>12</v>
      </c>
      <c r="C28" s="187">
        <v>2053</v>
      </c>
      <c r="D28" s="191" t="s">
        <v>109</v>
      </c>
      <c r="E28" s="103"/>
      <c r="F28" s="110"/>
      <c r="G28" s="94"/>
      <c r="H28" s="128">
        <f>SUM('12EG -A- S.COLECT.'!R21)</f>
        <v>14</v>
      </c>
      <c r="I28" s="110"/>
      <c r="J28" s="94"/>
      <c r="K28" s="128">
        <f>SUM('12EG -A- S. MENTAL'!R21)</f>
        <v>14.5</v>
      </c>
      <c r="L28" s="130"/>
      <c r="M28" s="127"/>
      <c r="N28" s="128">
        <f>SUM('12EG -A- EPIDEMIOL.'!R21)</f>
        <v>15.333333333333334</v>
      </c>
      <c r="O28" s="130"/>
      <c r="P28" s="127"/>
      <c r="Q28" s="128">
        <f>SUM('12EG-A- F.A.E'!R21)</f>
        <v>10.666666666666666</v>
      </c>
      <c r="R28" s="133"/>
      <c r="S28" s="127"/>
      <c r="T28" s="128">
        <f>SUM('12EG -A- URGÊNCIA'!R21)</f>
        <v>12.666666666666666</v>
      </c>
      <c r="U28" s="130"/>
      <c r="V28" s="127"/>
      <c r="W28" s="128">
        <f>SUM('12EG -A- N.D'!R21)</f>
        <v>16.833333333333332</v>
      </c>
      <c r="X28" s="130"/>
      <c r="Y28" s="127"/>
      <c r="Z28" s="128">
        <f>SUM('12EG -A- A.E.P.M.C'!R21)</f>
        <v>17.833333333333332</v>
      </c>
      <c r="AA28" s="133"/>
      <c r="AB28" s="127"/>
      <c r="AC28" s="128">
        <f>SUM('12EG -A- TEC. ENFER'!R21)</f>
        <v>16.666666666666668</v>
      </c>
      <c r="AD28" s="130"/>
      <c r="AE28" s="127"/>
      <c r="AF28" s="128">
        <f>SUM('12EG -A- A.E.S.M'!R21)</f>
        <v>15.666666666666666</v>
      </c>
      <c r="AG28" s="133"/>
      <c r="AH28" s="127"/>
      <c r="AI28" s="128">
        <f>SUM('12EG -A- PROJ. TEC'!R21)</f>
        <v>16</v>
      </c>
      <c r="AJ28" s="133"/>
      <c r="AK28" s="127"/>
      <c r="AL28" s="128">
        <f>SUM('12EG -A- A.E.S.Ç'!R21)</f>
        <v>14.5</v>
      </c>
      <c r="AM28" s="133"/>
      <c r="AN28" s="126"/>
      <c r="AO28" s="128">
        <f>SUM('12EG -A- GESTÃO ENF.'!R21)</f>
        <v>15.833333333333334</v>
      </c>
      <c r="AP28" s="107" t="s">
        <v>93</v>
      </c>
      <c r="AQ28" s="113">
        <f t="shared" si="0"/>
        <v>15.041666666666666</v>
      </c>
      <c r="AR28" s="181">
        <v>17</v>
      </c>
      <c r="AS28" s="184" t="s">
        <v>56</v>
      </c>
    </row>
    <row r="29" spans="2:54" s="95" customFormat="1" ht="15" customHeight="1" thickBot="1" x14ac:dyDescent="0.35">
      <c r="B29" s="93">
        <v>13</v>
      </c>
      <c r="C29" s="187">
        <v>2039</v>
      </c>
      <c r="D29" s="191" t="s">
        <v>110</v>
      </c>
      <c r="E29" s="103"/>
      <c r="F29" s="110"/>
      <c r="G29" s="94"/>
      <c r="H29" s="128">
        <f>SUM('12EG -A- S.COLECT.'!R22)</f>
        <v>14</v>
      </c>
      <c r="I29" s="110"/>
      <c r="J29" s="94"/>
      <c r="K29" s="128">
        <f>SUM('12EG -A- S. MENTAL'!R22)</f>
        <v>14.166666666666666</v>
      </c>
      <c r="L29" s="130"/>
      <c r="M29" s="127"/>
      <c r="N29" s="128">
        <f>SUM('12EG -A- EPIDEMIOL.'!R22)</f>
        <v>12.333333333333334</v>
      </c>
      <c r="O29" s="130"/>
      <c r="P29" s="127"/>
      <c r="Q29" s="128">
        <f>SUM('12EG-A- F.A.E'!R22)</f>
        <v>7.15</v>
      </c>
      <c r="R29" s="133"/>
      <c r="S29" s="127"/>
      <c r="T29" s="128">
        <f>SUM('12EG -A- URGÊNCIA'!R22)</f>
        <v>11.666666666666666</v>
      </c>
      <c r="U29" s="130"/>
      <c r="V29" s="127"/>
      <c r="W29" s="128">
        <f>SUM('12EG -A- N.D'!R22)</f>
        <v>17.666666666666668</v>
      </c>
      <c r="X29" s="130"/>
      <c r="Y29" s="127"/>
      <c r="Z29" s="128">
        <f>SUM('12EG -A- A.E.P.M.C'!R22)</f>
        <v>17.5</v>
      </c>
      <c r="AA29" s="133"/>
      <c r="AB29" s="127"/>
      <c r="AC29" s="128">
        <f>SUM('12EG -A- TEC. ENFER'!R22)</f>
        <v>14.533333333333333</v>
      </c>
      <c r="AD29" s="130"/>
      <c r="AE29" s="127"/>
      <c r="AF29" s="128">
        <f>SUM('12EG -A- A.E.S.M'!R22)</f>
        <v>14.666666666666666</v>
      </c>
      <c r="AG29" s="133"/>
      <c r="AH29" s="127"/>
      <c r="AI29" s="128">
        <f>SUM('12EG -A- PROJ. TEC'!R22)</f>
        <v>15.333333333333334</v>
      </c>
      <c r="AJ29" s="133"/>
      <c r="AK29" s="127"/>
      <c r="AL29" s="128">
        <f>SUM('12EG -A- A.E.S.Ç'!R22)</f>
        <v>11.333333333333334</v>
      </c>
      <c r="AM29" s="133"/>
      <c r="AN29" s="126"/>
      <c r="AO29" s="128">
        <f>SUM('12EG -A- GESTÃO ENF.'!R22)</f>
        <v>11.166666666666666</v>
      </c>
      <c r="AP29" s="107" t="s">
        <v>143</v>
      </c>
      <c r="AQ29" s="113">
        <f t="shared" si="0"/>
        <v>13.459722222222224</v>
      </c>
      <c r="AR29" s="181">
        <v>17</v>
      </c>
      <c r="AS29" s="184" t="s">
        <v>56</v>
      </c>
      <c r="AU29" s="266" t="s">
        <v>82</v>
      </c>
      <c r="AV29" s="268">
        <f>MAX(AQ17:AQ58)</f>
        <v>16.555555555555554</v>
      </c>
      <c r="AW29" s="114"/>
      <c r="AX29" s="114"/>
      <c r="AY29" s="114"/>
      <c r="AZ29" s="114"/>
      <c r="BA29" s="114"/>
      <c r="BB29" s="114"/>
    </row>
    <row r="30" spans="2:54" s="95" customFormat="1" ht="15" customHeight="1" thickBot="1" x14ac:dyDescent="0.35">
      <c r="B30" s="93">
        <v>14</v>
      </c>
      <c r="C30" s="187">
        <v>1942</v>
      </c>
      <c r="D30" s="191" t="s">
        <v>111</v>
      </c>
      <c r="E30" s="103"/>
      <c r="F30" s="110"/>
      <c r="G30" s="94"/>
      <c r="H30" s="128">
        <f>SUM('12EG -A- S.COLECT.'!R23)</f>
        <v>14</v>
      </c>
      <c r="I30" s="110"/>
      <c r="J30" s="94"/>
      <c r="K30" s="128">
        <f>SUM('12EG -A- S. MENTAL'!R23)</f>
        <v>14.666666666666666</v>
      </c>
      <c r="L30" s="130"/>
      <c r="M30" s="127"/>
      <c r="N30" s="128">
        <f>SUM('12EG -A- EPIDEMIOL.'!R23)</f>
        <v>11.666666666666666</v>
      </c>
      <c r="O30" s="130"/>
      <c r="P30" s="127"/>
      <c r="Q30" s="128">
        <f>SUM('12EG-A- F.A.E'!R23)</f>
        <v>8.6666666666666661</v>
      </c>
      <c r="R30" s="133"/>
      <c r="S30" s="127"/>
      <c r="T30" s="128">
        <f>SUM('12EG -A- URGÊNCIA'!R23)</f>
        <v>10.166666666666666</v>
      </c>
      <c r="U30" s="130"/>
      <c r="V30" s="127"/>
      <c r="W30" s="128">
        <f>SUM('12EG -A- N.D'!R23)</f>
        <v>14.666666666666666</v>
      </c>
      <c r="X30" s="130"/>
      <c r="Y30" s="127"/>
      <c r="Z30" s="128">
        <f>SUM('12EG -A- A.E.P.M.C'!R23)</f>
        <v>18.5</v>
      </c>
      <c r="AA30" s="133"/>
      <c r="AB30" s="127"/>
      <c r="AC30" s="128">
        <f>SUM('12EG -A- TEC. ENFER'!R23)</f>
        <v>12.166666666666666</v>
      </c>
      <c r="AD30" s="130"/>
      <c r="AE30" s="127"/>
      <c r="AF30" s="128">
        <f>SUM('12EG -A- A.E.S.M'!R23)</f>
        <v>15.333333333333334</v>
      </c>
      <c r="AG30" s="133"/>
      <c r="AH30" s="127"/>
      <c r="AI30" s="128">
        <f>SUM('12EG -A- PROJ. TEC'!R23)</f>
        <v>17.666666666666668</v>
      </c>
      <c r="AJ30" s="133"/>
      <c r="AK30" s="127"/>
      <c r="AL30" s="128">
        <f>SUM('12EG -A- A.E.S.Ç'!R23)</f>
        <v>13.333333333333334</v>
      </c>
      <c r="AM30" s="133"/>
      <c r="AN30" s="126"/>
      <c r="AO30" s="128">
        <f>SUM('12EG -A- GESTÃO ENF.'!R23)</f>
        <v>16.166666666666668</v>
      </c>
      <c r="AP30" s="107" t="s">
        <v>143</v>
      </c>
      <c r="AQ30" s="113">
        <f t="shared" si="0"/>
        <v>13.916666666666666</v>
      </c>
      <c r="AR30" s="181">
        <v>18</v>
      </c>
      <c r="AS30" s="184" t="s">
        <v>56</v>
      </c>
      <c r="AU30" s="267"/>
      <c r="AV30" s="269"/>
      <c r="AW30" s="114"/>
      <c r="AX30" s="114"/>
      <c r="AY30" s="114"/>
      <c r="AZ30" s="114"/>
      <c r="BA30" s="114"/>
      <c r="BB30" s="114"/>
    </row>
    <row r="31" spans="2:54" ht="15" customHeight="1" thickBot="1" x14ac:dyDescent="0.35">
      <c r="B31" s="93">
        <v>15</v>
      </c>
      <c r="C31" s="187">
        <v>2612</v>
      </c>
      <c r="D31" s="191" t="s">
        <v>112</v>
      </c>
      <c r="E31" s="103"/>
      <c r="F31" s="110"/>
      <c r="G31" s="94"/>
      <c r="H31" s="128">
        <f>SUM('12EG -A- S.COLECT.'!R24)</f>
        <v>14</v>
      </c>
      <c r="I31" s="110"/>
      <c r="J31" s="94"/>
      <c r="K31" s="128">
        <f>SUM('12EG -A- S. MENTAL'!R24)</f>
        <v>15.833333333333334</v>
      </c>
      <c r="L31" s="130"/>
      <c r="M31" s="127"/>
      <c r="N31" s="128">
        <f>SUM('12EG -A- EPIDEMIOL.'!R24)</f>
        <v>4</v>
      </c>
      <c r="O31" s="130"/>
      <c r="P31" s="127"/>
      <c r="Q31" s="128">
        <f>SUM('12EG-A- F.A.E'!R24)</f>
        <v>11.666666666666666</v>
      </c>
      <c r="R31" s="133"/>
      <c r="S31" s="127"/>
      <c r="T31" s="128">
        <f>SUM('12EG -A- URGÊNCIA'!R24)</f>
        <v>11</v>
      </c>
      <c r="U31" s="130"/>
      <c r="V31" s="127"/>
      <c r="W31" s="128">
        <f>SUM('12EG -A- N.D'!R24)</f>
        <v>17.166666666666668</v>
      </c>
      <c r="X31" s="130"/>
      <c r="Y31" s="127"/>
      <c r="Z31" s="128">
        <f>SUM('12EG -A- A.E.P.M.C'!R24)</f>
        <v>19.666666666666668</v>
      </c>
      <c r="AA31" s="133"/>
      <c r="AB31" s="127"/>
      <c r="AC31" s="128">
        <f>SUM('12EG -A- TEC. ENFER'!R24)</f>
        <v>14.566666666666668</v>
      </c>
      <c r="AD31" s="130"/>
      <c r="AE31" s="127"/>
      <c r="AF31" s="128">
        <f>SUM('12EG -A- A.E.S.M'!R24)</f>
        <v>15.833333333333334</v>
      </c>
      <c r="AG31" s="133"/>
      <c r="AH31" s="127"/>
      <c r="AI31" s="128">
        <f>SUM('12EG -A- PROJ. TEC'!R24)</f>
        <v>17.333333333333332</v>
      </c>
      <c r="AJ31" s="133"/>
      <c r="AK31" s="127"/>
      <c r="AL31" s="128">
        <f>SUM('12EG -A- A.E.S.Ç'!R24)</f>
        <v>13</v>
      </c>
      <c r="AM31" s="133"/>
      <c r="AN31" s="126"/>
      <c r="AO31" s="128">
        <f>SUM('12EG -A- GESTÃO ENF.'!R24)</f>
        <v>14.5</v>
      </c>
      <c r="AP31" s="107" t="s">
        <v>143</v>
      </c>
      <c r="AQ31" s="113">
        <f t="shared" si="0"/>
        <v>14.047222222222222</v>
      </c>
      <c r="AR31" s="181">
        <v>17</v>
      </c>
      <c r="AS31" s="184" t="s">
        <v>56</v>
      </c>
      <c r="AU31" s="270" t="s">
        <v>83</v>
      </c>
      <c r="AV31" s="270"/>
      <c r="AW31" s="270"/>
      <c r="AX31" s="271" t="s">
        <v>92</v>
      </c>
      <c r="AY31" s="271"/>
      <c r="AZ31" s="271"/>
      <c r="BA31" s="271"/>
      <c r="BB31" s="271"/>
    </row>
    <row r="32" spans="2:54" ht="15" customHeight="1" thickBot="1" x14ac:dyDescent="0.35">
      <c r="B32" s="93">
        <v>16</v>
      </c>
      <c r="C32" s="187">
        <v>2041</v>
      </c>
      <c r="D32" s="191" t="s">
        <v>113</v>
      </c>
      <c r="E32" s="103"/>
      <c r="F32" s="110"/>
      <c r="G32" s="94"/>
      <c r="H32" s="128">
        <f>SUM('12EG -A- S.COLECT.'!R25)</f>
        <v>14</v>
      </c>
      <c r="I32" s="110"/>
      <c r="J32" s="94"/>
      <c r="K32" s="128">
        <f>SUM('12EG -A- S. MENTAL'!R25)</f>
        <v>13.833333333333334</v>
      </c>
      <c r="L32" s="130"/>
      <c r="M32" s="127"/>
      <c r="N32" s="128">
        <f>SUM('12EG -A- EPIDEMIOL.'!R25)</f>
        <v>12.333333333333334</v>
      </c>
      <c r="O32" s="130"/>
      <c r="P32" s="127"/>
      <c r="Q32" s="128">
        <f>SUM('12EG-A- F.A.E'!R25)</f>
        <v>8.3333333333333339</v>
      </c>
      <c r="R32" s="133"/>
      <c r="S32" s="127"/>
      <c r="T32" s="128">
        <f>SUM('12EG -A- URGÊNCIA'!R25)</f>
        <v>13</v>
      </c>
      <c r="U32" s="130"/>
      <c r="V32" s="127"/>
      <c r="W32" s="128">
        <f>SUM('12EG -A- N.D'!R25)</f>
        <v>13.666666666666666</v>
      </c>
      <c r="X32" s="130"/>
      <c r="Y32" s="127"/>
      <c r="Z32" s="128">
        <f>SUM('12EG -A- A.E.P.M.C'!R25)</f>
        <v>17.333333333333332</v>
      </c>
      <c r="AA32" s="133"/>
      <c r="AB32" s="127"/>
      <c r="AC32" s="128">
        <f>SUM('12EG -A- TEC. ENFER'!R25)</f>
        <v>13</v>
      </c>
      <c r="AD32" s="130"/>
      <c r="AE32" s="127"/>
      <c r="AF32" s="128">
        <f>SUM('12EG -A- A.E.S.M'!R25)</f>
        <v>14.666666666666666</v>
      </c>
      <c r="AG32" s="133"/>
      <c r="AH32" s="127"/>
      <c r="AI32" s="128">
        <f>SUM('12EG -A- PROJ. TEC'!R25)</f>
        <v>17.333333333333332</v>
      </c>
      <c r="AJ32" s="133"/>
      <c r="AK32" s="127"/>
      <c r="AL32" s="128">
        <f>SUM('12EG -A- A.E.S.Ç'!R25)</f>
        <v>12.666666666666666</v>
      </c>
      <c r="AM32" s="133"/>
      <c r="AN32" s="126"/>
      <c r="AO32" s="128">
        <f>SUM('12EG -A- GESTÃO ENF.'!R25)</f>
        <v>12</v>
      </c>
      <c r="AP32" s="107" t="s">
        <v>143</v>
      </c>
      <c r="AQ32" s="113">
        <f t="shared" si="0"/>
        <v>13.513888888888888</v>
      </c>
      <c r="AR32" s="181">
        <v>18</v>
      </c>
      <c r="AS32" s="184" t="s">
        <v>56</v>
      </c>
      <c r="AU32" s="115" t="s">
        <v>84</v>
      </c>
      <c r="AV32" s="208">
        <v>17</v>
      </c>
      <c r="AW32" s="114"/>
      <c r="AX32" s="114"/>
      <c r="AY32" s="114"/>
      <c r="AZ32" s="114"/>
      <c r="BA32" s="114"/>
      <c r="BB32" s="114"/>
    </row>
    <row r="33" spans="2:45" ht="15" customHeight="1" thickBot="1" x14ac:dyDescent="0.35">
      <c r="B33" s="93">
        <v>17</v>
      </c>
      <c r="C33" s="187">
        <v>2596</v>
      </c>
      <c r="D33" s="191" t="s">
        <v>114</v>
      </c>
      <c r="E33" s="103"/>
      <c r="F33" s="110"/>
      <c r="G33" s="94"/>
      <c r="H33" s="128">
        <f>SUM('12EG -A- S.COLECT.'!R26)</f>
        <v>14</v>
      </c>
      <c r="I33" s="110"/>
      <c r="J33" s="94"/>
      <c r="K33" s="128">
        <f>SUM('12EG -A- S. MENTAL'!R26)</f>
        <v>14.666666666666666</v>
      </c>
      <c r="L33" s="130"/>
      <c r="M33" s="127"/>
      <c r="N33" s="128">
        <f>SUM('12EG -A- EPIDEMIOL.'!R26)</f>
        <v>8</v>
      </c>
      <c r="O33" s="130"/>
      <c r="P33" s="127"/>
      <c r="Q33" s="128">
        <f>SUM('12EG-A- F.A.E'!R26)</f>
        <v>10</v>
      </c>
      <c r="R33" s="133"/>
      <c r="S33" s="127"/>
      <c r="T33" s="128">
        <f>SUM('12EG -A- URGÊNCIA'!R26)</f>
        <v>14.333333333333334</v>
      </c>
      <c r="U33" s="130"/>
      <c r="V33" s="127"/>
      <c r="W33" s="128">
        <f>SUM('12EG -A- N.D'!R26)</f>
        <v>15.833333333333334</v>
      </c>
      <c r="X33" s="130"/>
      <c r="Y33" s="127"/>
      <c r="Z33" s="128">
        <f>SUM('12EG -A- A.E.P.M.C'!R26)</f>
        <v>18.333333333333332</v>
      </c>
      <c r="AA33" s="133"/>
      <c r="AB33" s="127"/>
      <c r="AC33" s="128">
        <f>SUM('12EG -A- TEC. ENFER'!R26)</f>
        <v>13.866666666666667</v>
      </c>
      <c r="AD33" s="130"/>
      <c r="AE33" s="127"/>
      <c r="AF33" s="128">
        <f>SUM('12EG -A- A.E.S.M'!R26)</f>
        <v>14.5</v>
      </c>
      <c r="AG33" s="133"/>
      <c r="AH33" s="127"/>
      <c r="AI33" s="128">
        <f>SUM('12EG -A- PROJ. TEC'!R26)</f>
        <v>17.333333333333332</v>
      </c>
      <c r="AJ33" s="133"/>
      <c r="AK33" s="127"/>
      <c r="AL33" s="128">
        <f>SUM('12EG -A- A.E.S.Ç'!R26)</f>
        <v>13.333333333333334</v>
      </c>
      <c r="AM33" s="133"/>
      <c r="AN33" s="126"/>
      <c r="AO33" s="128">
        <f>SUM('12EG -A- GESTÃO ENF.'!R26)</f>
        <v>11.166666666666666</v>
      </c>
      <c r="AP33" s="107" t="s">
        <v>143</v>
      </c>
      <c r="AQ33" s="113">
        <f t="shared" si="0"/>
        <v>13.780555555555557</v>
      </c>
      <c r="AR33" s="181">
        <v>17</v>
      </c>
      <c r="AS33" s="184" t="s">
        <v>56</v>
      </c>
    </row>
    <row r="34" spans="2:45" ht="15" customHeight="1" thickBot="1" x14ac:dyDescent="0.35">
      <c r="B34" s="93">
        <v>18</v>
      </c>
      <c r="C34" s="187">
        <v>2082</v>
      </c>
      <c r="D34" s="191" t="s">
        <v>115</v>
      </c>
      <c r="E34" s="103"/>
      <c r="F34" s="110"/>
      <c r="G34" s="94"/>
      <c r="H34" s="128">
        <f>SUM('12EG -A- S.COLECT.'!R27)</f>
        <v>14</v>
      </c>
      <c r="I34" s="110"/>
      <c r="J34" s="94"/>
      <c r="K34" s="128">
        <f>SUM('12EG -A- S. MENTAL'!R27)</f>
        <v>18.833333333333332</v>
      </c>
      <c r="L34" s="130"/>
      <c r="M34" s="127"/>
      <c r="N34" s="128">
        <f>SUM('12EG -A- EPIDEMIOL.'!R27)</f>
        <v>13.666666666666666</v>
      </c>
      <c r="O34" s="130"/>
      <c r="P34" s="127"/>
      <c r="Q34" s="128">
        <f>SUM('12EG-A- F.A.E'!R27)</f>
        <v>8.6666666666666661</v>
      </c>
      <c r="R34" s="133"/>
      <c r="S34" s="127"/>
      <c r="T34" s="128">
        <f>SUM('12EG -A- URGÊNCIA'!R27)</f>
        <v>11.666666666666666</v>
      </c>
      <c r="U34" s="130"/>
      <c r="V34" s="127"/>
      <c r="W34" s="128">
        <f>SUM('12EG -A- N.D'!R27)</f>
        <v>13.833333333333334</v>
      </c>
      <c r="X34" s="130"/>
      <c r="Y34" s="127"/>
      <c r="Z34" s="128">
        <f>SUM('12EG -A- A.E.P.M.C'!R27)</f>
        <v>16.833333333333332</v>
      </c>
      <c r="AA34" s="133"/>
      <c r="AB34" s="127"/>
      <c r="AC34" s="128">
        <f>SUM('12EG -A- TEC. ENFER'!R27)</f>
        <v>15.166666666666666</v>
      </c>
      <c r="AD34" s="130"/>
      <c r="AE34" s="127"/>
      <c r="AF34" s="128">
        <f>SUM('12EG -A- A.E.S.M'!R27)</f>
        <v>14.666666666666666</v>
      </c>
      <c r="AG34" s="133"/>
      <c r="AH34" s="127"/>
      <c r="AI34" s="128">
        <f>SUM('12EG -A- PROJ. TEC'!R27)</f>
        <v>17.666666666666668</v>
      </c>
      <c r="AJ34" s="133"/>
      <c r="AK34" s="127"/>
      <c r="AL34" s="128">
        <f>SUM('12EG -A- A.E.S.Ç'!R27)</f>
        <v>13</v>
      </c>
      <c r="AM34" s="133"/>
      <c r="AN34" s="126"/>
      <c r="AO34" s="128">
        <f>SUM('12EG -A- GESTÃO ENF.'!R27)</f>
        <v>12.166666666666666</v>
      </c>
      <c r="AP34" s="107" t="s">
        <v>143</v>
      </c>
      <c r="AQ34" s="113">
        <f t="shared" si="0"/>
        <v>14.180555555555555</v>
      </c>
      <c r="AR34" s="181">
        <v>17</v>
      </c>
      <c r="AS34" s="184" t="s">
        <v>56</v>
      </c>
    </row>
    <row r="35" spans="2:45" ht="15" customHeight="1" thickBot="1" x14ac:dyDescent="0.35">
      <c r="B35" s="93">
        <v>19</v>
      </c>
      <c r="C35" s="187">
        <v>1936</v>
      </c>
      <c r="D35" s="191" t="s">
        <v>116</v>
      </c>
      <c r="E35" s="103"/>
      <c r="F35" s="110"/>
      <c r="G35" s="94"/>
      <c r="H35" s="128">
        <f>SUM('12EG -A- S.COLECT.'!R28)</f>
        <v>14</v>
      </c>
      <c r="I35" s="110"/>
      <c r="J35" s="94"/>
      <c r="K35" s="128">
        <f>SUM('12EG -A- S. MENTAL'!R28)</f>
        <v>15</v>
      </c>
      <c r="L35" s="130"/>
      <c r="M35" s="127"/>
      <c r="N35" s="128">
        <f>SUM('12EG -A- EPIDEMIOL.'!R28)</f>
        <v>16</v>
      </c>
      <c r="O35" s="130"/>
      <c r="P35" s="127"/>
      <c r="Q35" s="128">
        <f>SUM('12EG-A- F.A.E'!R28)</f>
        <v>10</v>
      </c>
      <c r="R35" s="133"/>
      <c r="S35" s="127"/>
      <c r="T35" s="128">
        <f>SUM('12EG -A- URGÊNCIA'!R28)</f>
        <v>9.5</v>
      </c>
      <c r="U35" s="130"/>
      <c r="V35" s="127"/>
      <c r="W35" s="128">
        <f>SUM('12EG -A- N.D'!R28)</f>
        <v>16</v>
      </c>
      <c r="X35" s="130"/>
      <c r="Y35" s="127"/>
      <c r="Z35" s="128">
        <f>SUM('12EG -A- A.E.P.M.C'!R28)</f>
        <v>17.833333333333332</v>
      </c>
      <c r="AA35" s="133"/>
      <c r="AB35" s="127"/>
      <c r="AC35" s="128">
        <f>SUM('12EG -A- TEC. ENFER'!R28)</f>
        <v>10.666666666666666</v>
      </c>
      <c r="AD35" s="130"/>
      <c r="AE35" s="127"/>
      <c r="AF35" s="128">
        <f>SUM('12EG -A- A.E.S.M'!R28)</f>
        <v>15.166666666666666</v>
      </c>
      <c r="AG35" s="133"/>
      <c r="AH35" s="127"/>
      <c r="AI35" s="128">
        <f>SUM('12EG -A- PROJ. TEC'!R28)</f>
        <v>15.666666666666666</v>
      </c>
      <c r="AJ35" s="133"/>
      <c r="AK35" s="127"/>
      <c r="AL35" s="128">
        <f>SUM('12EG -A- A.E.S.Ç'!R28)</f>
        <v>14.333333333333334</v>
      </c>
      <c r="AM35" s="133"/>
      <c r="AN35" s="126"/>
      <c r="AO35" s="128">
        <f>SUM('12EG -A- GESTÃO ENF.'!R28)</f>
        <v>10.833333333333334</v>
      </c>
      <c r="AP35" s="107" t="s">
        <v>143</v>
      </c>
      <c r="AQ35" s="113">
        <f t="shared" si="0"/>
        <v>13.750000000000002</v>
      </c>
      <c r="AR35" s="181">
        <v>18</v>
      </c>
      <c r="AS35" s="184" t="s">
        <v>56</v>
      </c>
    </row>
    <row r="36" spans="2:45" ht="15" customHeight="1" thickBot="1" x14ac:dyDescent="0.35">
      <c r="B36" s="93">
        <v>20</v>
      </c>
      <c r="C36" s="187">
        <v>2107</v>
      </c>
      <c r="D36" s="191" t="s">
        <v>117</v>
      </c>
      <c r="E36" s="103"/>
      <c r="F36" s="110"/>
      <c r="G36" s="94"/>
      <c r="H36" s="128">
        <f>SUM('12EG -A- S.COLECT.'!R29)</f>
        <v>14</v>
      </c>
      <c r="I36" s="110"/>
      <c r="J36" s="94"/>
      <c r="K36" s="128">
        <f>SUM('12EG -A- S. MENTAL'!R29)</f>
        <v>10</v>
      </c>
      <c r="L36" s="130"/>
      <c r="M36" s="127"/>
      <c r="N36" s="128">
        <f>SUM('12EG -A- EPIDEMIOL.'!R29)</f>
        <v>13</v>
      </c>
      <c r="O36" s="130"/>
      <c r="P36" s="127"/>
      <c r="Q36" s="128">
        <f>SUM('12EG-A- F.A.E'!R29)</f>
        <v>0</v>
      </c>
      <c r="R36" s="133"/>
      <c r="S36" s="127"/>
      <c r="T36" s="128">
        <f>SUM('12EG -A- URGÊNCIA'!R29)</f>
        <v>9.3333333333333339</v>
      </c>
      <c r="U36" s="130"/>
      <c r="V36" s="127"/>
      <c r="W36" s="128">
        <f>SUM('12EG -A- N.D'!R29)</f>
        <v>11</v>
      </c>
      <c r="X36" s="130"/>
      <c r="Y36" s="127"/>
      <c r="Z36" s="128">
        <f>SUM('12EG -A- A.E.P.M.C'!R29)</f>
        <v>13.333333333333334</v>
      </c>
      <c r="AA36" s="133"/>
      <c r="AB36" s="127"/>
      <c r="AC36" s="128">
        <f>SUM('12EG -A- TEC. ENFER'!R29)</f>
        <v>8.8333333333333339</v>
      </c>
      <c r="AD36" s="130"/>
      <c r="AE36" s="127"/>
      <c r="AF36" s="128">
        <f>SUM('12EG -A- A.E.S.M'!R29)</f>
        <v>9.3333333333333339</v>
      </c>
      <c r="AG36" s="133"/>
      <c r="AH36" s="127"/>
      <c r="AI36" s="128">
        <f>SUM('12EG -A- PROJ. TEC'!R29)</f>
        <v>5.666666666666667</v>
      </c>
      <c r="AJ36" s="133"/>
      <c r="AK36" s="127"/>
      <c r="AL36" s="128">
        <f>SUM('12EG -A- A.E.S.Ç'!R29)</f>
        <v>0</v>
      </c>
      <c r="AM36" s="133"/>
      <c r="AN36" s="126"/>
      <c r="AO36" s="128">
        <f>SUM('12EG -A- GESTÃO ENF.'!R29)</f>
        <v>9.6666666666666661</v>
      </c>
      <c r="AP36" s="107" t="s">
        <v>143</v>
      </c>
      <c r="AQ36" s="113">
        <f t="shared" si="0"/>
        <v>8.6805555555555554</v>
      </c>
      <c r="AR36" s="181">
        <v>17</v>
      </c>
      <c r="AS36" s="184" t="s">
        <v>56</v>
      </c>
    </row>
    <row r="37" spans="2:45" ht="15" customHeight="1" thickBot="1" x14ac:dyDescent="0.35">
      <c r="B37" s="93">
        <v>21</v>
      </c>
      <c r="C37" s="187">
        <v>2477</v>
      </c>
      <c r="D37" s="191" t="s">
        <v>118</v>
      </c>
      <c r="E37" s="103"/>
      <c r="F37" s="110"/>
      <c r="G37" s="94"/>
      <c r="H37" s="128">
        <f>SUM('12EG -A- S.COLECT.'!R30)</f>
        <v>14</v>
      </c>
      <c r="I37" s="110"/>
      <c r="J37" s="94"/>
      <c r="K37" s="128">
        <f>SUM('12EG -A- S. MENTAL'!R30)</f>
        <v>16.166666666666668</v>
      </c>
      <c r="L37" s="130"/>
      <c r="M37" s="127"/>
      <c r="N37" s="128">
        <f>SUM('12EG -A- EPIDEMIOL.'!R30)</f>
        <v>12.666666666666666</v>
      </c>
      <c r="O37" s="130"/>
      <c r="P37" s="127"/>
      <c r="Q37" s="128">
        <f>SUM('12EG-A- F.A.E'!R30)</f>
        <v>10</v>
      </c>
      <c r="R37" s="133"/>
      <c r="S37" s="127"/>
      <c r="T37" s="128">
        <f>SUM('12EG -A- URGÊNCIA'!R30)</f>
        <v>10.166666666666666</v>
      </c>
      <c r="U37" s="130"/>
      <c r="V37" s="127"/>
      <c r="W37" s="128">
        <f>SUM('12EG -A- N.D'!R30)</f>
        <v>15.833333333333334</v>
      </c>
      <c r="X37" s="130"/>
      <c r="Y37" s="127"/>
      <c r="Z37" s="128">
        <f>SUM('12EG -A- A.E.P.M.C'!R30)</f>
        <v>19.166666666666668</v>
      </c>
      <c r="AA37" s="133"/>
      <c r="AB37" s="127"/>
      <c r="AC37" s="128">
        <f>SUM('12EG -A- TEC. ENFER'!R30)</f>
        <v>14.066666666666668</v>
      </c>
      <c r="AD37" s="130"/>
      <c r="AE37" s="127"/>
      <c r="AF37" s="128">
        <f>SUM('12EG -A- A.E.S.M'!R30)</f>
        <v>16</v>
      </c>
      <c r="AG37" s="133"/>
      <c r="AH37" s="127"/>
      <c r="AI37" s="128">
        <f>SUM('12EG -A- PROJ. TEC'!R30)</f>
        <v>17.333333333333332</v>
      </c>
      <c r="AJ37" s="133"/>
      <c r="AK37" s="127"/>
      <c r="AL37" s="128">
        <f>SUM('12EG -A- A.E.S.Ç'!R30)</f>
        <v>14.333333333333334</v>
      </c>
      <c r="AM37" s="133"/>
      <c r="AN37" s="126"/>
      <c r="AO37" s="128">
        <f>SUM('12EG -A- GESTÃO ENF.'!R30)</f>
        <v>15.666666666666666</v>
      </c>
      <c r="AP37" s="107" t="s">
        <v>93</v>
      </c>
      <c r="AQ37" s="113">
        <f t="shared" si="0"/>
        <v>14.616666666666667</v>
      </c>
      <c r="AR37" s="181">
        <v>17</v>
      </c>
      <c r="AS37" s="184" t="s">
        <v>56</v>
      </c>
    </row>
    <row r="38" spans="2:45" ht="15" customHeight="1" thickBot="1" x14ac:dyDescent="0.35">
      <c r="B38" s="93">
        <v>22</v>
      </c>
      <c r="C38" s="187">
        <v>1928</v>
      </c>
      <c r="D38" s="191" t="s">
        <v>119</v>
      </c>
      <c r="E38" s="103"/>
      <c r="F38" s="110"/>
      <c r="G38" s="94"/>
      <c r="H38" s="128">
        <f>SUM('12EG -A- S.COLECT.'!R31)</f>
        <v>14</v>
      </c>
      <c r="I38" s="110"/>
      <c r="J38" s="94"/>
      <c r="K38" s="128">
        <f>SUM('12EG -A- S. MENTAL'!R31)</f>
        <v>13.333333333333334</v>
      </c>
      <c r="L38" s="130"/>
      <c r="M38" s="127"/>
      <c r="N38" s="128">
        <f>SUM('12EG -A- EPIDEMIOL.'!R31)</f>
        <v>8.6666666666666661</v>
      </c>
      <c r="O38" s="130"/>
      <c r="P38" s="127"/>
      <c r="Q38" s="128">
        <f>SUM('12EG-A- F.A.E'!R31)</f>
        <v>10.666666666666666</v>
      </c>
      <c r="R38" s="133"/>
      <c r="S38" s="127"/>
      <c r="T38" s="128">
        <f>SUM('12EG -A- URGÊNCIA'!R31)</f>
        <v>11.666666666666666</v>
      </c>
      <c r="U38" s="130"/>
      <c r="V38" s="127"/>
      <c r="W38" s="128">
        <f>SUM('12EG -A- N.D'!R31)</f>
        <v>13.666666666666666</v>
      </c>
      <c r="X38" s="130"/>
      <c r="Y38" s="127"/>
      <c r="Z38" s="128">
        <f>SUM('12EG -A- A.E.P.M.C'!R31)</f>
        <v>12.666666666666666</v>
      </c>
      <c r="AA38" s="133"/>
      <c r="AB38" s="127"/>
      <c r="AC38" s="128">
        <f>SUM('12EG -A- TEC. ENFER'!R31)</f>
        <v>13</v>
      </c>
      <c r="AD38" s="130"/>
      <c r="AE38" s="127"/>
      <c r="AF38" s="128">
        <f>SUM('12EG -A- A.E.S.M'!R31)</f>
        <v>14</v>
      </c>
      <c r="AG38" s="133"/>
      <c r="AH38" s="127"/>
      <c r="AI38" s="128">
        <f>SUM('12EG -A- PROJ. TEC'!R31)</f>
        <v>17</v>
      </c>
      <c r="AJ38" s="133"/>
      <c r="AK38" s="127"/>
      <c r="AL38" s="128">
        <f>SUM('12EG -A- A.E.S.Ç'!R31)</f>
        <v>12.666666666666666</v>
      </c>
      <c r="AM38" s="133"/>
      <c r="AN38" s="126"/>
      <c r="AO38" s="128">
        <f>SUM('12EG -A- GESTÃO ENF.'!R31)</f>
        <v>5.833333333333333</v>
      </c>
      <c r="AP38" s="107" t="s">
        <v>143</v>
      </c>
      <c r="AQ38" s="113">
        <f t="shared" si="0"/>
        <v>12.263888888888891</v>
      </c>
      <c r="AR38" s="182">
        <v>18</v>
      </c>
      <c r="AS38" s="185" t="s">
        <v>56</v>
      </c>
    </row>
    <row r="39" spans="2:45" ht="15" customHeight="1" thickTop="1" thickBot="1" x14ac:dyDescent="0.35">
      <c r="B39" s="93">
        <v>23</v>
      </c>
      <c r="C39" s="187">
        <v>2313</v>
      </c>
      <c r="D39" s="191" t="s">
        <v>120</v>
      </c>
      <c r="E39" s="103"/>
      <c r="F39" s="110"/>
      <c r="G39" s="94"/>
      <c r="H39" s="128">
        <f>SUM('12EG -A- S.COLECT.'!R32)</f>
        <v>14</v>
      </c>
      <c r="I39" s="110"/>
      <c r="J39" s="94"/>
      <c r="K39" s="128">
        <f>SUM('12EG -A- S. MENTAL'!R32)</f>
        <v>12.5</v>
      </c>
      <c r="L39" s="130"/>
      <c r="M39" s="127"/>
      <c r="N39" s="128">
        <f>SUM('12EG -A- EPIDEMIOL.'!R32)</f>
        <v>13</v>
      </c>
      <c r="O39" s="130"/>
      <c r="P39" s="127"/>
      <c r="Q39" s="128">
        <f>SUM('12EG-A- F.A.E'!R32)</f>
        <v>10.5</v>
      </c>
      <c r="R39" s="133"/>
      <c r="S39" s="127"/>
      <c r="T39" s="128">
        <f>SUM('12EG -A- URGÊNCIA'!R32)</f>
        <v>11.333333333333334</v>
      </c>
      <c r="U39" s="130"/>
      <c r="V39" s="127"/>
      <c r="W39" s="128">
        <f>SUM('12EG -A- N.D'!R32)</f>
        <v>16.5</v>
      </c>
      <c r="X39" s="130"/>
      <c r="Y39" s="127"/>
      <c r="Z39" s="128">
        <f>SUM('12EG -A- A.E.P.M.C'!R32)</f>
        <v>18</v>
      </c>
      <c r="AA39" s="133"/>
      <c r="AB39" s="127"/>
      <c r="AC39" s="128">
        <f>SUM('12EG -A- TEC. ENFER'!R32)</f>
        <v>13.266666666666666</v>
      </c>
      <c r="AD39" s="130"/>
      <c r="AE39" s="127"/>
      <c r="AF39" s="128">
        <f>SUM('12EG -A- A.E.S.M'!R32)</f>
        <v>13.5</v>
      </c>
      <c r="AG39" s="133"/>
      <c r="AH39" s="127"/>
      <c r="AI39" s="128">
        <f>SUM('12EG -A- PROJ. TEC'!R32)</f>
        <v>17.666666666666668</v>
      </c>
      <c r="AJ39" s="133"/>
      <c r="AK39" s="127"/>
      <c r="AL39" s="128">
        <f>SUM('12EG -A- A.E.S.Ç'!R32)</f>
        <v>15.5</v>
      </c>
      <c r="AM39" s="133"/>
      <c r="AN39" s="126"/>
      <c r="AO39" s="128">
        <f>SUM('12EG -A- GESTÃO ENF.'!R32)</f>
        <v>12.5</v>
      </c>
      <c r="AP39" s="107" t="s">
        <v>93</v>
      </c>
      <c r="AQ39" s="113">
        <f t="shared" si="0"/>
        <v>14.022222222222224</v>
      </c>
      <c r="AR39" s="180">
        <v>17</v>
      </c>
      <c r="AS39" s="183" t="s">
        <v>54</v>
      </c>
    </row>
    <row r="40" spans="2:45" ht="15" customHeight="1" thickBot="1" x14ac:dyDescent="0.35">
      <c r="B40" s="93">
        <v>24</v>
      </c>
      <c r="C40" s="187">
        <v>2525</v>
      </c>
      <c r="D40" s="191" t="s">
        <v>121</v>
      </c>
      <c r="E40" s="103"/>
      <c r="F40" s="110"/>
      <c r="G40" s="94"/>
      <c r="H40" s="128">
        <f>SUM('12EG -A- S.COLECT.'!R33)</f>
        <v>14</v>
      </c>
      <c r="I40" s="110"/>
      <c r="J40" s="94"/>
      <c r="K40" s="128">
        <f>SUM('12EG -A- S. MENTAL'!R33)</f>
        <v>9</v>
      </c>
      <c r="L40" s="130"/>
      <c r="M40" s="127"/>
      <c r="N40" s="128">
        <f>SUM('12EG -A- EPIDEMIOL.'!R33)</f>
        <v>17.333333333333332</v>
      </c>
      <c r="O40" s="130"/>
      <c r="P40" s="127"/>
      <c r="Q40" s="128">
        <f>SUM('12EG-A- F.A.E'!R33)</f>
        <v>4</v>
      </c>
      <c r="R40" s="133"/>
      <c r="S40" s="127"/>
      <c r="T40" s="128">
        <f>SUM('12EG -A- URGÊNCIA'!R33)</f>
        <v>3</v>
      </c>
      <c r="U40" s="130"/>
      <c r="V40" s="127"/>
      <c r="W40" s="128">
        <f>SUM('12EG -A- N.D'!R33)</f>
        <v>8.8333333333333339</v>
      </c>
      <c r="X40" s="130"/>
      <c r="Y40" s="127"/>
      <c r="Z40" s="128">
        <f>SUM('12EG -A- A.E.P.M.C'!R33)</f>
        <v>10</v>
      </c>
      <c r="AA40" s="133"/>
      <c r="AB40" s="127"/>
      <c r="AC40" s="128">
        <f>SUM('12EG -A- TEC. ENFER'!R33)</f>
        <v>9</v>
      </c>
      <c r="AD40" s="130"/>
      <c r="AE40" s="127"/>
      <c r="AF40" s="128">
        <f>SUM('12EG -A- A.E.S.M'!R33)</f>
        <v>14</v>
      </c>
      <c r="AG40" s="133"/>
      <c r="AH40" s="127"/>
      <c r="AI40" s="128">
        <f>SUM('12EG -A- PROJ. TEC'!R33)</f>
        <v>9.3333333333333339</v>
      </c>
      <c r="AJ40" s="133"/>
      <c r="AK40" s="127"/>
      <c r="AL40" s="128">
        <f>SUM('12EG -A- A.E.S.Ç'!R33)</f>
        <v>10</v>
      </c>
      <c r="AM40" s="133"/>
      <c r="AN40" s="126"/>
      <c r="AO40" s="128">
        <f>SUM('12EG -A- GESTÃO ENF.'!R33)</f>
        <v>1.8333333333333333</v>
      </c>
      <c r="AP40" s="107" t="s">
        <v>143</v>
      </c>
      <c r="AQ40" s="113">
        <f t="shared" si="0"/>
        <v>9.1944444444444429</v>
      </c>
      <c r="AR40" s="181">
        <v>17</v>
      </c>
      <c r="AS40" s="184" t="s">
        <v>54</v>
      </c>
    </row>
    <row r="41" spans="2:45" ht="15" customHeight="1" thickBot="1" x14ac:dyDescent="0.35">
      <c r="B41" s="93">
        <v>25</v>
      </c>
      <c r="C41" s="187">
        <v>2163</v>
      </c>
      <c r="D41" s="191" t="s">
        <v>122</v>
      </c>
      <c r="E41" s="103"/>
      <c r="F41" s="110"/>
      <c r="G41" s="94"/>
      <c r="H41" s="128">
        <f>SUM('12EG -A- S.COLECT.'!R34)</f>
        <v>14</v>
      </c>
      <c r="I41" s="110"/>
      <c r="J41" s="94"/>
      <c r="K41" s="128">
        <f>SUM('12EG -A- S. MENTAL'!R34)</f>
        <v>17</v>
      </c>
      <c r="L41" s="130"/>
      <c r="M41" s="127"/>
      <c r="N41" s="128">
        <f>SUM('12EG -A- EPIDEMIOL.'!R34)</f>
        <v>9.3333333333333339</v>
      </c>
      <c r="O41" s="130"/>
      <c r="P41" s="127"/>
      <c r="Q41" s="128">
        <f>SUM('12EG-A- F.A.E'!R34)</f>
        <v>13.333333333333334</v>
      </c>
      <c r="R41" s="133"/>
      <c r="S41" s="127"/>
      <c r="T41" s="128">
        <f>SUM('12EG -A- URGÊNCIA'!R34)</f>
        <v>18.666666666666668</v>
      </c>
      <c r="U41" s="130"/>
      <c r="V41" s="127"/>
      <c r="W41" s="128">
        <f>SUM('12EG -A- N.D'!R34)</f>
        <v>18.833333333333332</v>
      </c>
      <c r="X41" s="130"/>
      <c r="Y41" s="127"/>
      <c r="Z41" s="128">
        <f>SUM('12EG -A- A.E.P.M.C'!R34)</f>
        <v>19.5</v>
      </c>
      <c r="AA41" s="133"/>
      <c r="AB41" s="127"/>
      <c r="AC41" s="128">
        <f>SUM('12EG -A- TEC. ENFER'!R34)</f>
        <v>14.166666666666666</v>
      </c>
      <c r="AD41" s="130"/>
      <c r="AE41" s="127"/>
      <c r="AF41" s="128">
        <f>SUM('12EG -A- A.E.S.M'!R34)</f>
        <v>14.666666666666666</v>
      </c>
      <c r="AG41" s="133"/>
      <c r="AH41" s="127"/>
      <c r="AI41" s="128">
        <f>SUM('12EG -A- PROJ. TEC'!R34)</f>
        <v>18</v>
      </c>
      <c r="AJ41" s="133"/>
      <c r="AK41" s="127"/>
      <c r="AL41" s="128">
        <f>SUM('12EG -A- A.E.S.Ç'!R34)</f>
        <v>15.333333333333334</v>
      </c>
      <c r="AM41" s="133"/>
      <c r="AN41" s="126"/>
      <c r="AO41" s="128">
        <f>SUM('12EG -A- GESTÃO ENF.'!R34)</f>
        <v>11.833333333333334</v>
      </c>
      <c r="AP41" s="107" t="s">
        <v>93</v>
      </c>
      <c r="AQ41" s="113">
        <f t="shared" si="0"/>
        <v>15.388888888888891</v>
      </c>
      <c r="AR41" s="181">
        <v>17</v>
      </c>
      <c r="AS41" s="184" t="s">
        <v>56</v>
      </c>
    </row>
    <row r="42" spans="2:45" ht="15" customHeight="1" thickBot="1" x14ac:dyDescent="0.35">
      <c r="B42" s="93">
        <v>26</v>
      </c>
      <c r="C42" s="187">
        <v>2042</v>
      </c>
      <c r="D42" s="191" t="s">
        <v>123</v>
      </c>
      <c r="E42" s="103"/>
      <c r="F42" s="110"/>
      <c r="G42" s="94"/>
      <c r="H42" s="128">
        <f>SUM('12EG -A- S.COLECT.'!R35)</f>
        <v>14</v>
      </c>
      <c r="I42" s="110"/>
      <c r="J42" s="94"/>
      <c r="K42" s="128">
        <f>SUM('12EG -A- S. MENTAL'!R35)</f>
        <v>15</v>
      </c>
      <c r="L42" s="130"/>
      <c r="M42" s="127"/>
      <c r="N42" s="128">
        <f>SUM('12EG -A- EPIDEMIOL.'!R35)</f>
        <v>13</v>
      </c>
      <c r="O42" s="130"/>
      <c r="P42" s="127"/>
      <c r="Q42" s="128">
        <f>SUM('12EG-A- F.A.E'!R35)</f>
        <v>8.3333333333333339</v>
      </c>
      <c r="R42" s="133"/>
      <c r="S42" s="127"/>
      <c r="T42" s="128">
        <f>SUM('12EG -A- URGÊNCIA'!R35)</f>
        <v>4.666666666666667</v>
      </c>
      <c r="U42" s="130"/>
      <c r="V42" s="127"/>
      <c r="W42" s="128">
        <f>SUM('12EG -A- N.D'!R35)</f>
        <v>13</v>
      </c>
      <c r="X42" s="130"/>
      <c r="Y42" s="127"/>
      <c r="Z42" s="128">
        <f>SUM('12EG -A- A.E.P.M.C'!R35)</f>
        <v>12.5</v>
      </c>
      <c r="AA42" s="133"/>
      <c r="AB42" s="127"/>
      <c r="AC42" s="128">
        <f>SUM('12EG -A- TEC. ENFER'!R35)</f>
        <v>7.333333333333333</v>
      </c>
      <c r="AD42" s="130"/>
      <c r="AE42" s="127"/>
      <c r="AF42" s="128">
        <f>SUM('12EG -A- A.E.S.M'!R35)</f>
        <v>14.166666666666666</v>
      </c>
      <c r="AG42" s="133"/>
      <c r="AH42" s="127"/>
      <c r="AI42" s="128">
        <f>SUM('12EG -A- PROJ. TEC'!R35)</f>
        <v>10.333333333333334</v>
      </c>
      <c r="AJ42" s="133"/>
      <c r="AK42" s="127"/>
      <c r="AL42" s="128">
        <f>SUM('12EG -A- A.E.S.Ç'!R35)</f>
        <v>11.666666666666666</v>
      </c>
      <c r="AM42" s="133"/>
      <c r="AN42" s="126"/>
      <c r="AO42" s="128">
        <f>SUM('12EG -A- GESTÃO ENF.'!R35)</f>
        <v>9.3333333333333339</v>
      </c>
      <c r="AP42" s="107" t="s">
        <v>143</v>
      </c>
      <c r="AQ42" s="113">
        <f t="shared" si="0"/>
        <v>11.111111111111112</v>
      </c>
      <c r="AR42" s="181">
        <v>18</v>
      </c>
      <c r="AS42" s="184" t="s">
        <v>54</v>
      </c>
    </row>
    <row r="43" spans="2:45" ht="15" customHeight="1" thickBot="1" x14ac:dyDescent="0.35">
      <c r="B43" s="93">
        <v>27</v>
      </c>
      <c r="C43" s="187">
        <v>1975</v>
      </c>
      <c r="D43" s="191" t="s">
        <v>124</v>
      </c>
      <c r="E43" s="103"/>
      <c r="F43" s="110"/>
      <c r="G43" s="94"/>
      <c r="H43" s="128">
        <f>SUM('12EG -A- S.COLECT.'!R36)</f>
        <v>14</v>
      </c>
      <c r="I43" s="110"/>
      <c r="J43" s="94"/>
      <c r="K43" s="128">
        <f>SUM('12EG -A- S. MENTAL'!R36)</f>
        <v>12.166666666666666</v>
      </c>
      <c r="L43" s="130"/>
      <c r="M43" s="127"/>
      <c r="N43" s="128">
        <f>SUM('12EG -A- EPIDEMIOL.'!R36)</f>
        <v>5</v>
      </c>
      <c r="O43" s="130"/>
      <c r="P43" s="127"/>
      <c r="Q43" s="128">
        <f>SUM('12EG-A- F.A.E'!R36)</f>
        <v>8.3333333333333339</v>
      </c>
      <c r="R43" s="133"/>
      <c r="S43" s="127"/>
      <c r="T43" s="128">
        <f>SUM('12EG -A- URGÊNCIA'!R36)</f>
        <v>11.333333333333334</v>
      </c>
      <c r="U43" s="130"/>
      <c r="V43" s="127"/>
      <c r="W43" s="128">
        <f>SUM('12EG -A- N.D'!R36)</f>
        <v>15.333333333333334</v>
      </c>
      <c r="X43" s="130"/>
      <c r="Y43" s="127"/>
      <c r="Z43" s="128">
        <f>SUM('12EG -A- A.E.P.M.C'!R36)</f>
        <v>18.333333333333332</v>
      </c>
      <c r="AA43" s="133"/>
      <c r="AB43" s="127"/>
      <c r="AC43" s="128">
        <f>SUM('12EG -A- TEC. ENFER'!R36)</f>
        <v>10.166666666666666</v>
      </c>
      <c r="AD43" s="130"/>
      <c r="AE43" s="127"/>
      <c r="AF43" s="128">
        <f>SUM('12EG -A- A.E.S.M'!R36)</f>
        <v>15.333333333333334</v>
      </c>
      <c r="AG43" s="133"/>
      <c r="AH43" s="127"/>
      <c r="AI43" s="128">
        <f>SUM('12EG -A- PROJ. TEC'!R36)</f>
        <v>16.666666666666668</v>
      </c>
      <c r="AJ43" s="133"/>
      <c r="AK43" s="127"/>
      <c r="AL43" s="128">
        <f>SUM('12EG -A- A.E.S.Ç'!R36)</f>
        <v>10</v>
      </c>
      <c r="AM43" s="133"/>
      <c r="AN43" s="126"/>
      <c r="AO43" s="128">
        <f>SUM('12EG -A- GESTÃO ENF.'!R36)</f>
        <v>7.333333333333333</v>
      </c>
      <c r="AP43" s="107" t="s">
        <v>143</v>
      </c>
      <c r="AQ43" s="113">
        <f t="shared" si="0"/>
        <v>12.000000000000002</v>
      </c>
      <c r="AR43" s="181">
        <v>17</v>
      </c>
      <c r="AS43" s="184" t="s">
        <v>56</v>
      </c>
    </row>
    <row r="44" spans="2:45" ht="15" customHeight="1" thickBot="1" x14ac:dyDescent="0.35">
      <c r="B44" s="93">
        <v>28</v>
      </c>
      <c r="C44" s="187">
        <v>1915</v>
      </c>
      <c r="D44" s="191" t="s">
        <v>125</v>
      </c>
      <c r="E44" s="103"/>
      <c r="F44" s="110"/>
      <c r="G44" s="94"/>
      <c r="H44" s="128">
        <f>SUM('12EG -A- S.COLECT.'!R37)</f>
        <v>14</v>
      </c>
      <c r="I44" s="110"/>
      <c r="J44" s="94"/>
      <c r="K44" s="128">
        <f>SUM('12EG -A- S. MENTAL'!R37)</f>
        <v>13.5</v>
      </c>
      <c r="L44" s="130"/>
      <c r="M44" s="127"/>
      <c r="N44" s="128">
        <f>SUM('12EG -A- EPIDEMIOL.'!R37)</f>
        <v>6.666666666666667</v>
      </c>
      <c r="O44" s="130"/>
      <c r="P44" s="127"/>
      <c r="Q44" s="128">
        <f>SUM('12EG-A- F.A.E'!R37)</f>
        <v>10</v>
      </c>
      <c r="R44" s="133"/>
      <c r="S44" s="127"/>
      <c r="T44" s="128">
        <f>SUM('12EG -A- URGÊNCIA'!R37)</f>
        <v>7</v>
      </c>
      <c r="U44" s="130"/>
      <c r="V44" s="127"/>
      <c r="W44" s="128">
        <f>SUM('12EG -A- N.D'!R37)</f>
        <v>15.5</v>
      </c>
      <c r="X44" s="130"/>
      <c r="Y44" s="127"/>
      <c r="Z44" s="128">
        <f>SUM('12EG -A- A.E.P.M.C'!R37)</f>
        <v>15</v>
      </c>
      <c r="AA44" s="133"/>
      <c r="AB44" s="127"/>
      <c r="AC44" s="128">
        <f>SUM('12EG -A- TEC. ENFER'!R37)</f>
        <v>11.299999999999999</v>
      </c>
      <c r="AD44" s="130"/>
      <c r="AE44" s="127"/>
      <c r="AF44" s="128">
        <f>SUM('12EG -A- A.E.S.M'!R37)</f>
        <v>15.666666666666666</v>
      </c>
      <c r="AG44" s="133"/>
      <c r="AH44" s="127"/>
      <c r="AI44" s="128">
        <f>SUM('12EG -A- PROJ. TEC'!R37)</f>
        <v>18.333333333333332</v>
      </c>
      <c r="AJ44" s="133"/>
      <c r="AK44" s="127"/>
      <c r="AL44" s="128">
        <f>SUM('12EG -A- A.E.S.Ç'!R37)</f>
        <v>9.6666666666666661</v>
      </c>
      <c r="AM44" s="133"/>
      <c r="AN44" s="126"/>
      <c r="AO44" s="128">
        <f>SUM('12EG -A- GESTÃO ENF.'!R37)</f>
        <v>12.333333333333334</v>
      </c>
      <c r="AP44" s="107" t="s">
        <v>143</v>
      </c>
      <c r="AQ44" s="113">
        <f t="shared" si="0"/>
        <v>12.41388888888889</v>
      </c>
      <c r="AR44" s="181">
        <v>17</v>
      </c>
      <c r="AS44" s="184" t="s">
        <v>54</v>
      </c>
    </row>
    <row r="45" spans="2:45" ht="15" customHeight="1" thickBot="1" x14ac:dyDescent="0.35">
      <c r="B45" s="93">
        <v>29</v>
      </c>
      <c r="C45" s="187">
        <v>2598</v>
      </c>
      <c r="D45" s="191" t="s">
        <v>126</v>
      </c>
      <c r="E45" s="103"/>
      <c r="F45" s="110"/>
      <c r="G45" s="94"/>
      <c r="H45" s="128">
        <f>SUM('12EG -A- S.COLECT.'!R38)</f>
        <v>14</v>
      </c>
      <c r="I45" s="110"/>
      <c r="J45" s="94"/>
      <c r="K45" s="128">
        <f>SUM('12EG -A- S. MENTAL'!R38)</f>
        <v>12</v>
      </c>
      <c r="L45" s="130"/>
      <c r="M45" s="127"/>
      <c r="N45" s="128">
        <f>SUM('12EG -A- EPIDEMIOL.'!R38)</f>
        <v>7</v>
      </c>
      <c r="O45" s="130"/>
      <c r="P45" s="127"/>
      <c r="Q45" s="128">
        <f>SUM('12EG-A- F.A.E'!R38)</f>
        <v>6</v>
      </c>
      <c r="R45" s="133"/>
      <c r="S45" s="127"/>
      <c r="T45" s="128">
        <f>SUM('12EG -A- URGÊNCIA'!R38)</f>
        <v>2.6666666666666665</v>
      </c>
      <c r="U45" s="130"/>
      <c r="V45" s="127"/>
      <c r="W45" s="128">
        <f>SUM('12EG -A- N.D'!R38)</f>
        <v>8</v>
      </c>
      <c r="X45" s="130"/>
      <c r="Y45" s="127"/>
      <c r="Z45" s="128">
        <f>SUM('12EG -A- A.E.P.M.C'!R38)</f>
        <v>7.5</v>
      </c>
      <c r="AA45" s="133"/>
      <c r="AB45" s="127"/>
      <c r="AC45" s="128">
        <f>SUM('12EG -A- TEC. ENFER'!R38)</f>
        <v>4.25</v>
      </c>
      <c r="AD45" s="130"/>
      <c r="AE45" s="127"/>
      <c r="AF45" s="128">
        <f>SUM('12EG -A- A.E.S.M'!R38)</f>
        <v>9.3333333333333339</v>
      </c>
      <c r="AG45" s="133"/>
      <c r="AH45" s="127"/>
      <c r="AI45" s="128">
        <f>SUM('12EG -A- PROJ. TEC'!R38)</f>
        <v>8.6666666666666661</v>
      </c>
      <c r="AJ45" s="133"/>
      <c r="AK45" s="127"/>
      <c r="AL45" s="128">
        <f>SUM('12EG -A- A.E.S.Ç'!R38)</f>
        <v>11.666666666666666</v>
      </c>
      <c r="AM45" s="133"/>
      <c r="AN45" s="126"/>
      <c r="AO45" s="128">
        <f>SUM('12EG -A- GESTÃO ENF.'!R38)</f>
        <v>7.833333333333333</v>
      </c>
      <c r="AP45" s="107" t="s">
        <v>143</v>
      </c>
      <c r="AQ45" s="113">
        <f t="shared" si="0"/>
        <v>8.2430555555555554</v>
      </c>
      <c r="AR45" s="181">
        <v>17</v>
      </c>
      <c r="AS45" s="184" t="s">
        <v>54</v>
      </c>
    </row>
    <row r="46" spans="2:45" ht="15" customHeight="1" thickBot="1" x14ac:dyDescent="0.35">
      <c r="B46" s="93">
        <v>30</v>
      </c>
      <c r="C46" s="187">
        <v>2012</v>
      </c>
      <c r="D46" s="191" t="s">
        <v>127</v>
      </c>
      <c r="E46" s="103"/>
      <c r="F46" s="110"/>
      <c r="G46" s="94"/>
      <c r="H46" s="128">
        <f>SUM('12EG -A- S.COLECT.'!R39)</f>
        <v>14</v>
      </c>
      <c r="I46" s="110"/>
      <c r="J46" s="94"/>
      <c r="K46" s="128">
        <f>SUM('12EG -A- S. MENTAL'!R39)</f>
        <v>20</v>
      </c>
      <c r="L46" s="130"/>
      <c r="M46" s="127"/>
      <c r="N46" s="128">
        <f>SUM('12EG -A- EPIDEMIOL.'!R39)</f>
        <v>10.666666666666666</v>
      </c>
      <c r="O46" s="130"/>
      <c r="P46" s="127"/>
      <c r="Q46" s="128">
        <f>SUM('12EG-A- F.A.E'!R39)</f>
        <v>11</v>
      </c>
      <c r="R46" s="133"/>
      <c r="S46" s="127"/>
      <c r="T46" s="128">
        <f>SUM('12EG -A- URGÊNCIA'!R39)</f>
        <v>17.666666666666668</v>
      </c>
      <c r="U46" s="130"/>
      <c r="V46" s="127"/>
      <c r="W46" s="128">
        <f>SUM('12EG -A- N.D'!R39)</f>
        <v>17.166666666666668</v>
      </c>
      <c r="X46" s="130"/>
      <c r="Y46" s="127"/>
      <c r="Z46" s="128">
        <f>SUM('12EG -A- A.E.P.M.C'!R39)</f>
        <v>18</v>
      </c>
      <c r="AA46" s="133"/>
      <c r="AB46" s="127"/>
      <c r="AC46" s="128">
        <f>SUM('12EG -A- TEC. ENFER'!R39)</f>
        <v>17.866666666666667</v>
      </c>
      <c r="AD46" s="130"/>
      <c r="AE46" s="127"/>
      <c r="AF46" s="128">
        <f>SUM('12EG -A- A.E.S.M'!R39)</f>
        <v>16</v>
      </c>
      <c r="AG46" s="133"/>
      <c r="AH46" s="127"/>
      <c r="AI46" s="128">
        <f>SUM('12EG -A- PROJ. TEC'!R39)</f>
        <v>18.333333333333332</v>
      </c>
      <c r="AJ46" s="133"/>
      <c r="AK46" s="127"/>
      <c r="AL46" s="128">
        <f>SUM('12EG -A- A.E.S.Ç'!R39)</f>
        <v>16</v>
      </c>
      <c r="AM46" s="133"/>
      <c r="AN46" s="126"/>
      <c r="AO46" s="128">
        <f>SUM('12EG -A- GESTÃO ENF.'!R39)</f>
        <v>19.166666666666668</v>
      </c>
      <c r="AP46" s="107" t="s">
        <v>93</v>
      </c>
      <c r="AQ46" s="113">
        <f t="shared" si="0"/>
        <v>16.322222222222223</v>
      </c>
      <c r="AR46" s="181">
        <v>17</v>
      </c>
      <c r="AS46" s="184" t="s">
        <v>56</v>
      </c>
    </row>
    <row r="47" spans="2:45" ht="15" customHeight="1" thickBot="1" x14ac:dyDescent="0.35">
      <c r="B47" s="93">
        <v>31</v>
      </c>
      <c r="C47" s="187">
        <v>2177</v>
      </c>
      <c r="D47" s="191" t="s">
        <v>128</v>
      </c>
      <c r="E47" s="103"/>
      <c r="F47" s="110"/>
      <c r="G47" s="94"/>
      <c r="H47" s="128">
        <f>SUM('12EG -A- S.COLECT.'!R40)</f>
        <v>14</v>
      </c>
      <c r="I47" s="110"/>
      <c r="J47" s="94"/>
      <c r="K47" s="128">
        <f>SUM('12EG -A- S. MENTAL'!R40)</f>
        <v>16</v>
      </c>
      <c r="L47" s="130"/>
      <c r="M47" s="127"/>
      <c r="N47" s="128">
        <f>SUM('12EG -A- EPIDEMIOL.'!R40)</f>
        <v>12</v>
      </c>
      <c r="O47" s="130"/>
      <c r="P47" s="127"/>
      <c r="Q47" s="128">
        <f>SUM('12EG-A- F.A.E'!R40)</f>
        <v>8.6666666666666661</v>
      </c>
      <c r="R47" s="133"/>
      <c r="S47" s="127"/>
      <c r="T47" s="128">
        <f>SUM('12EG -A- URGÊNCIA'!R40)</f>
        <v>14.666666666666666</v>
      </c>
      <c r="U47" s="130"/>
      <c r="V47" s="127"/>
      <c r="W47" s="128">
        <f>SUM('12EG -A- N.D'!R40)</f>
        <v>15.166666666666666</v>
      </c>
      <c r="X47" s="130"/>
      <c r="Y47" s="127"/>
      <c r="Z47" s="128">
        <f>SUM('12EG -A- A.E.P.M.C'!R40)</f>
        <v>17.5</v>
      </c>
      <c r="AA47" s="133"/>
      <c r="AB47" s="127"/>
      <c r="AC47" s="128">
        <f>SUM('12EG -A- TEC. ENFER'!R40)</f>
        <v>15.9</v>
      </c>
      <c r="AD47" s="130"/>
      <c r="AE47" s="127"/>
      <c r="AF47" s="128">
        <f>SUM('12EG -A- A.E.S.M'!R40)</f>
        <v>15</v>
      </c>
      <c r="AG47" s="133"/>
      <c r="AH47" s="127"/>
      <c r="AI47" s="128">
        <f>SUM('12EG -A- PROJ. TEC'!R40)</f>
        <v>18.333333333333332</v>
      </c>
      <c r="AJ47" s="133"/>
      <c r="AK47" s="127"/>
      <c r="AL47" s="128">
        <f>SUM('12EG -A- A.E.S.Ç'!R40)</f>
        <v>12.666666666666666</v>
      </c>
      <c r="AM47" s="133"/>
      <c r="AN47" s="126"/>
      <c r="AO47" s="128">
        <f>SUM('12EG -A- GESTÃO ENF.'!R40)</f>
        <v>10.333333333333334</v>
      </c>
      <c r="AP47" s="107" t="s">
        <v>143</v>
      </c>
      <c r="AQ47" s="113">
        <f t="shared" si="0"/>
        <v>14.186111111111112</v>
      </c>
      <c r="AR47" s="181">
        <v>17</v>
      </c>
      <c r="AS47" s="184" t="s">
        <v>56</v>
      </c>
    </row>
    <row r="48" spans="2:45" ht="15" customHeight="1" thickBot="1" x14ac:dyDescent="0.35">
      <c r="B48" s="93">
        <v>32</v>
      </c>
      <c r="C48" s="187">
        <v>2155</v>
      </c>
      <c r="D48" s="191" t="s">
        <v>142</v>
      </c>
      <c r="E48" s="103"/>
      <c r="F48" s="110"/>
      <c r="G48" s="94"/>
      <c r="H48" s="128">
        <f>SUM('12EG -A- S.COLECT.'!R41)</f>
        <v>14</v>
      </c>
      <c r="I48" s="110"/>
      <c r="J48" s="94"/>
      <c r="K48" s="128">
        <f>SUM('12EG -A- S. MENTAL'!R41)</f>
        <v>15.333333333333334</v>
      </c>
      <c r="L48" s="130"/>
      <c r="M48" s="127"/>
      <c r="N48" s="128">
        <f>SUM('12EG -A- EPIDEMIOL.'!R41)</f>
        <v>16.333333333333332</v>
      </c>
      <c r="O48" s="130"/>
      <c r="P48" s="127"/>
      <c r="Q48" s="128">
        <f>SUM('12EG-A- F.A.E'!R41)</f>
        <v>11</v>
      </c>
      <c r="R48" s="133"/>
      <c r="S48" s="127"/>
      <c r="T48" s="128">
        <f>SUM('12EG -A- URGÊNCIA'!R41)</f>
        <v>13.5</v>
      </c>
      <c r="U48" s="130"/>
      <c r="V48" s="127"/>
      <c r="W48" s="128">
        <f>SUM('12EG -A- N.D'!R41)</f>
        <v>16.666666666666668</v>
      </c>
      <c r="X48" s="130"/>
      <c r="Y48" s="127"/>
      <c r="Z48" s="128">
        <f>SUM('12EG -A- A.E.P.M.C'!R41)</f>
        <v>18.666666666666668</v>
      </c>
      <c r="AA48" s="133"/>
      <c r="AB48" s="127"/>
      <c r="AC48" s="128">
        <f>SUM('12EG -A- TEC. ENFER'!R41)</f>
        <v>14</v>
      </c>
      <c r="AD48" s="130"/>
      <c r="AE48" s="127"/>
      <c r="AF48" s="128">
        <f>SUM('12EG -A- A.E.S.M'!R41)</f>
        <v>16</v>
      </c>
      <c r="AG48" s="133"/>
      <c r="AH48" s="127"/>
      <c r="AI48" s="128">
        <f>SUM('12EG -A- PROJ. TEC'!R41)</f>
        <v>0</v>
      </c>
      <c r="AJ48" s="133"/>
      <c r="AK48" s="127"/>
      <c r="AL48" s="128">
        <f>SUM('12EG -A- A.E.S.Ç'!R41)</f>
        <v>14</v>
      </c>
      <c r="AM48" s="133"/>
      <c r="AN48" s="126"/>
      <c r="AO48" s="128">
        <f>SUM('12EG -A- GESTÃO ENF.'!R41)</f>
        <v>15.833333333333334</v>
      </c>
      <c r="AP48" s="107" t="s">
        <v>143</v>
      </c>
      <c r="AQ48" s="113">
        <f t="shared" si="0"/>
        <v>13.777777777777779</v>
      </c>
      <c r="AR48" s="181">
        <v>18</v>
      </c>
      <c r="AS48" s="184" t="s">
        <v>56</v>
      </c>
    </row>
    <row r="49" spans="2:45" ht="15" customHeight="1" thickBot="1" x14ac:dyDescent="0.35">
      <c r="B49" s="93">
        <v>33</v>
      </c>
      <c r="C49" s="187">
        <v>2270</v>
      </c>
      <c r="D49" s="191" t="s">
        <v>129</v>
      </c>
      <c r="E49" s="104"/>
      <c r="F49" s="110"/>
      <c r="G49" s="94"/>
      <c r="H49" s="128">
        <f>SUM('12EG -A- S.COLECT.'!R42)</f>
        <v>14</v>
      </c>
      <c r="I49" s="110"/>
      <c r="J49" s="94"/>
      <c r="K49" s="128">
        <f>SUM('12EG -A- S. MENTAL'!R42)</f>
        <v>13.333333333333334</v>
      </c>
      <c r="L49" s="130"/>
      <c r="M49" s="127"/>
      <c r="N49" s="128">
        <f>SUM('12EG -A- EPIDEMIOL.'!R42)</f>
        <v>14</v>
      </c>
      <c r="O49" s="130"/>
      <c r="P49" s="127"/>
      <c r="Q49" s="128">
        <f>SUM('12EG-A- F.A.E'!R42)</f>
        <v>8.3333333333333339</v>
      </c>
      <c r="R49" s="133"/>
      <c r="S49" s="127"/>
      <c r="T49" s="128">
        <f>SUM('12EG -A- URGÊNCIA'!R42)</f>
        <v>13.666666666666666</v>
      </c>
      <c r="U49" s="130"/>
      <c r="V49" s="127"/>
      <c r="W49" s="128">
        <f>SUM('12EG -A- N.D'!R42)</f>
        <v>16</v>
      </c>
      <c r="X49" s="130"/>
      <c r="Y49" s="127"/>
      <c r="Z49" s="128">
        <f>SUM('12EG -A- A.E.P.M.C'!R42)</f>
        <v>16.833333333333332</v>
      </c>
      <c r="AA49" s="133"/>
      <c r="AB49" s="127"/>
      <c r="AC49" s="128">
        <f>SUM('12EG -A- TEC. ENFER'!R42)</f>
        <v>6.166666666666667</v>
      </c>
      <c r="AD49" s="130"/>
      <c r="AE49" s="127"/>
      <c r="AF49" s="128">
        <f>SUM('12EG -A- A.E.S.M'!R42)</f>
        <v>11.666666666666666</v>
      </c>
      <c r="AG49" s="133"/>
      <c r="AH49" s="127"/>
      <c r="AI49" s="128">
        <f>SUM('12EG -A- PROJ. TEC'!R42)</f>
        <v>0</v>
      </c>
      <c r="AJ49" s="133"/>
      <c r="AK49" s="127"/>
      <c r="AL49" s="128">
        <f>SUM('12EG -A- A.E.S.Ç'!R42)</f>
        <v>9.3333333333333339</v>
      </c>
      <c r="AM49" s="133"/>
      <c r="AN49" s="126"/>
      <c r="AO49" s="128">
        <f>SUM('12EG -A- GESTÃO ENF.'!R42)</f>
        <v>9.5</v>
      </c>
      <c r="AP49" s="107" t="s">
        <v>143</v>
      </c>
      <c r="AQ49" s="113">
        <f t="shared" si="0"/>
        <v>11.069444444444445</v>
      </c>
      <c r="AR49" s="181">
        <v>17</v>
      </c>
      <c r="AS49" s="184" t="s">
        <v>56</v>
      </c>
    </row>
    <row r="50" spans="2:45" ht="15" customHeight="1" thickBot="1" x14ac:dyDescent="0.35">
      <c r="B50" s="93">
        <v>34</v>
      </c>
      <c r="C50" s="187">
        <v>1894</v>
      </c>
      <c r="D50" s="191" t="s">
        <v>130</v>
      </c>
      <c r="E50" s="103"/>
      <c r="F50" s="110"/>
      <c r="G50" s="94"/>
      <c r="H50" s="128">
        <f>SUM('12EG -A- S.COLECT.'!R43)</f>
        <v>14</v>
      </c>
      <c r="I50" s="110"/>
      <c r="J50" s="94"/>
      <c r="K50" s="128">
        <f>SUM('12EG -A- S. MENTAL'!R43)</f>
        <v>12.333333333333334</v>
      </c>
      <c r="L50" s="130"/>
      <c r="M50" s="127"/>
      <c r="N50" s="128">
        <f>SUM('12EG -A- EPIDEMIOL.'!R43)</f>
        <v>14.333333333333334</v>
      </c>
      <c r="O50" s="130"/>
      <c r="P50" s="127"/>
      <c r="Q50" s="128">
        <f>SUM('12EG-A- F.A.E'!R43)</f>
        <v>8.3333333333333339</v>
      </c>
      <c r="R50" s="133"/>
      <c r="S50" s="127"/>
      <c r="T50" s="128">
        <f>SUM('12EG -A- URGÊNCIA'!R43)</f>
        <v>12.833333333333334</v>
      </c>
      <c r="U50" s="130"/>
      <c r="V50" s="127"/>
      <c r="W50" s="128">
        <f>SUM('12EG -A- N.D'!R43)</f>
        <v>14.666666666666666</v>
      </c>
      <c r="X50" s="130"/>
      <c r="Y50" s="127"/>
      <c r="Z50" s="128">
        <f>SUM('12EG -A- A.E.P.M.C'!R43)</f>
        <v>18.5</v>
      </c>
      <c r="AA50" s="133"/>
      <c r="AB50" s="127"/>
      <c r="AC50" s="128">
        <f>SUM('12EG -A- TEC. ENFER'!R43)</f>
        <v>12.666666666666666</v>
      </c>
      <c r="AD50" s="130"/>
      <c r="AE50" s="127"/>
      <c r="AF50" s="128">
        <f>SUM('12EG -A- A.E.S.M'!R43)</f>
        <v>14.666666666666666</v>
      </c>
      <c r="AG50" s="133"/>
      <c r="AH50" s="127"/>
      <c r="AI50" s="128">
        <f>SUM('12EG -A- PROJ. TEC'!R43)</f>
        <v>15.666666666666666</v>
      </c>
      <c r="AJ50" s="133"/>
      <c r="AK50" s="127"/>
      <c r="AL50" s="128">
        <f>SUM('12EG -A- A.E.S.Ç'!R43)</f>
        <v>14.333333333333334</v>
      </c>
      <c r="AM50" s="133"/>
      <c r="AN50" s="126"/>
      <c r="AO50" s="128">
        <f>SUM('12EG -A- GESTÃO ENF.'!R43)</f>
        <v>9.3333333333333339</v>
      </c>
      <c r="AP50" s="107" t="s">
        <v>143</v>
      </c>
      <c r="AQ50" s="113">
        <f t="shared" si="0"/>
        <v>13.472222222222227</v>
      </c>
      <c r="AR50" s="181">
        <v>18</v>
      </c>
      <c r="AS50" s="184" t="s">
        <v>56</v>
      </c>
    </row>
    <row r="51" spans="2:45" ht="15" customHeight="1" thickBot="1" x14ac:dyDescent="0.35">
      <c r="B51" s="93">
        <v>35</v>
      </c>
      <c r="C51" s="187">
        <v>2594</v>
      </c>
      <c r="D51" s="191" t="s">
        <v>131</v>
      </c>
      <c r="E51" s="103"/>
      <c r="F51" s="110"/>
      <c r="G51" s="94"/>
      <c r="H51" s="128">
        <f>SUM('12EG -A- S.COLECT.'!R44)</f>
        <v>14</v>
      </c>
      <c r="I51" s="110"/>
      <c r="J51" s="94"/>
      <c r="K51" s="128">
        <f>SUM('12EG -A- S. MENTAL'!R44)</f>
        <v>16.666666666666668</v>
      </c>
      <c r="L51" s="130"/>
      <c r="M51" s="127"/>
      <c r="N51" s="128">
        <f>SUM('12EG -A- EPIDEMIOL.'!R44)</f>
        <v>9.3333333333333339</v>
      </c>
      <c r="O51" s="130"/>
      <c r="P51" s="127"/>
      <c r="Q51" s="128">
        <f>SUM('12EG-A- F.A.E'!R44)</f>
        <v>10.333333333333334</v>
      </c>
      <c r="R51" s="133"/>
      <c r="S51" s="127"/>
      <c r="T51" s="128">
        <f>SUM('12EG -A- URGÊNCIA'!R44)</f>
        <v>13.166666666666666</v>
      </c>
      <c r="U51" s="130"/>
      <c r="V51" s="127"/>
      <c r="W51" s="128">
        <f>SUM('12EG -A- N.D'!R44)</f>
        <v>16.333333333333332</v>
      </c>
      <c r="X51" s="130"/>
      <c r="Y51" s="127"/>
      <c r="Z51" s="128">
        <f>SUM('12EG -A- A.E.P.M.C'!R44)</f>
        <v>19</v>
      </c>
      <c r="AA51" s="133"/>
      <c r="AB51" s="127"/>
      <c r="AC51" s="128">
        <f>SUM('12EG -A- TEC. ENFER'!R44)</f>
        <v>14.166666666666666</v>
      </c>
      <c r="AD51" s="130"/>
      <c r="AE51" s="127"/>
      <c r="AF51" s="128">
        <f>SUM('12EG -A- A.E.S.M'!R44)</f>
        <v>16</v>
      </c>
      <c r="AG51" s="133"/>
      <c r="AH51" s="127"/>
      <c r="AI51" s="128">
        <f>SUM('12EG -A- PROJ. TEC'!R44)</f>
        <v>16.333333333333332</v>
      </c>
      <c r="AJ51" s="133"/>
      <c r="AK51" s="127"/>
      <c r="AL51" s="128">
        <f>SUM('12EG -A- A.E.S.Ç'!R44)</f>
        <v>14.5</v>
      </c>
      <c r="AM51" s="133"/>
      <c r="AN51" s="126"/>
      <c r="AO51" s="128">
        <f>SUM('12EG -A- GESTÃO ENF.'!R44)</f>
        <v>16.666666666666668</v>
      </c>
      <c r="AP51" s="107" t="s">
        <v>143</v>
      </c>
      <c r="AQ51" s="113">
        <f t="shared" si="0"/>
        <v>14.708333333333334</v>
      </c>
      <c r="AR51" s="181">
        <v>17</v>
      </c>
      <c r="AS51" s="184" t="s">
        <v>56</v>
      </c>
    </row>
    <row r="52" spans="2:45" ht="15" customHeight="1" thickBot="1" x14ac:dyDescent="0.35">
      <c r="B52" s="93">
        <v>36</v>
      </c>
      <c r="C52" s="187">
        <v>1775</v>
      </c>
      <c r="D52" s="191" t="s">
        <v>132</v>
      </c>
      <c r="E52" s="103"/>
      <c r="F52" s="110"/>
      <c r="G52" s="94"/>
      <c r="H52" s="128">
        <f>SUM('12EG -A- S.COLECT.'!R45)</f>
        <v>14</v>
      </c>
      <c r="I52" s="110"/>
      <c r="J52" s="94"/>
      <c r="K52" s="128">
        <f>SUM('12EG -A- S. MENTAL'!R45)</f>
        <v>14.5</v>
      </c>
      <c r="L52" s="130"/>
      <c r="M52" s="127"/>
      <c r="N52" s="128">
        <f>SUM('12EG -A- EPIDEMIOL.'!R45)</f>
        <v>13.666666666666666</v>
      </c>
      <c r="O52" s="130"/>
      <c r="P52" s="127"/>
      <c r="Q52" s="128">
        <f>SUM('12EG-A- F.A.E'!R45)</f>
        <v>12.666666666666666</v>
      </c>
      <c r="R52" s="133"/>
      <c r="S52" s="127"/>
      <c r="T52" s="128">
        <f>SUM('12EG -A- URGÊNCIA'!R45)</f>
        <v>13.166666666666666</v>
      </c>
      <c r="U52" s="130"/>
      <c r="V52" s="127"/>
      <c r="W52" s="128">
        <f>SUM('12EG -A- N.D'!R45)</f>
        <v>17.333333333333332</v>
      </c>
      <c r="X52" s="130"/>
      <c r="Y52" s="127"/>
      <c r="Z52" s="128">
        <f>SUM('12EG -A- A.E.P.M.C'!R45)</f>
        <v>17.833333333333332</v>
      </c>
      <c r="AA52" s="133"/>
      <c r="AB52" s="127"/>
      <c r="AC52" s="128">
        <f>SUM('12EG -A- TEC. ENFER'!R45)</f>
        <v>13</v>
      </c>
      <c r="AD52" s="130"/>
      <c r="AE52" s="127"/>
      <c r="AF52" s="128">
        <f>SUM('12EG -A- A.E.S.M'!R45)</f>
        <v>14.666666666666666</v>
      </c>
      <c r="AG52" s="133"/>
      <c r="AH52" s="127"/>
      <c r="AI52" s="128">
        <f>SUM('12EG -A- PROJ. TEC'!R45)</f>
        <v>16.333333333333332</v>
      </c>
      <c r="AJ52" s="133"/>
      <c r="AK52" s="127"/>
      <c r="AL52" s="128">
        <f>SUM('12EG -A- A.E.S.Ç'!R45)</f>
        <v>13.333333333333334</v>
      </c>
      <c r="AM52" s="133"/>
      <c r="AN52" s="126"/>
      <c r="AO52" s="128">
        <f>SUM('12EG -A- GESTÃO ENF.'!R45)</f>
        <v>10.5</v>
      </c>
      <c r="AP52" s="107" t="s">
        <v>93</v>
      </c>
      <c r="AQ52" s="113">
        <f t="shared" si="0"/>
        <v>14.25</v>
      </c>
      <c r="AR52" s="181">
        <v>17</v>
      </c>
      <c r="AS52" s="184" t="s">
        <v>56</v>
      </c>
    </row>
    <row r="53" spans="2:45" ht="15" customHeight="1" thickBot="1" x14ac:dyDescent="0.35">
      <c r="B53" s="93">
        <v>37</v>
      </c>
      <c r="C53" s="187">
        <v>2637</v>
      </c>
      <c r="D53" s="191" t="s">
        <v>133</v>
      </c>
      <c r="E53" s="103"/>
      <c r="F53" s="110"/>
      <c r="G53" s="94"/>
      <c r="H53" s="128">
        <f>SUM('12EG -A- S.COLECT.'!R46)</f>
        <v>14</v>
      </c>
      <c r="I53" s="110"/>
      <c r="J53" s="94"/>
      <c r="K53" s="128">
        <f>SUM('12EG -A- S. MENTAL'!R46)</f>
        <v>19</v>
      </c>
      <c r="L53" s="130"/>
      <c r="M53" s="127"/>
      <c r="N53" s="128">
        <f>SUM('12EG -A- EPIDEMIOL.'!R46)</f>
        <v>13</v>
      </c>
      <c r="O53" s="130"/>
      <c r="P53" s="127"/>
      <c r="Q53" s="128">
        <f>SUM('12EG-A- F.A.E'!R46)</f>
        <v>10.666666666666666</v>
      </c>
      <c r="R53" s="133"/>
      <c r="S53" s="127"/>
      <c r="T53" s="128">
        <f>SUM('12EG -A- URGÊNCIA'!R46)</f>
        <v>14</v>
      </c>
      <c r="U53" s="130"/>
      <c r="V53" s="127"/>
      <c r="W53" s="128">
        <f>SUM('12EG -A- N.D'!R46)</f>
        <v>17.166666666666668</v>
      </c>
      <c r="X53" s="130"/>
      <c r="Y53" s="127"/>
      <c r="Z53" s="128">
        <f>SUM('12EG -A- A.E.P.M.C'!R46)</f>
        <v>19</v>
      </c>
      <c r="AA53" s="133"/>
      <c r="AB53" s="127"/>
      <c r="AC53" s="128">
        <f>SUM('12EG -A- TEC. ENFER'!R46)</f>
        <v>13.433333333333332</v>
      </c>
      <c r="AD53" s="130"/>
      <c r="AE53" s="127"/>
      <c r="AF53" s="128">
        <f>SUM('12EG -A- A.E.S.M'!R46)</f>
        <v>16</v>
      </c>
      <c r="AG53" s="133"/>
      <c r="AH53" s="127"/>
      <c r="AI53" s="128">
        <f>SUM('12EG -A- PROJ. TEC'!R46)</f>
        <v>17</v>
      </c>
      <c r="AJ53" s="133"/>
      <c r="AK53" s="127"/>
      <c r="AL53" s="128">
        <f>SUM('12EG -A- A.E.S.Ç'!R46)</f>
        <v>12.666666666666666</v>
      </c>
      <c r="AM53" s="133"/>
      <c r="AN53" s="126"/>
      <c r="AO53" s="128">
        <f>SUM('12EG -A- GESTÃO ENF.'!R46)</f>
        <v>15</v>
      </c>
      <c r="AP53" s="107" t="s">
        <v>93</v>
      </c>
      <c r="AQ53" s="113">
        <f t="shared" si="0"/>
        <v>15.077777777777776</v>
      </c>
      <c r="AR53" s="181">
        <v>17</v>
      </c>
      <c r="AS53" s="184" t="s">
        <v>56</v>
      </c>
    </row>
    <row r="54" spans="2:45" ht="15" customHeight="1" thickBot="1" x14ac:dyDescent="0.35">
      <c r="B54" s="93">
        <v>38</v>
      </c>
      <c r="C54" s="187">
        <v>1833</v>
      </c>
      <c r="D54" s="191" t="s">
        <v>134</v>
      </c>
      <c r="E54" s="103"/>
      <c r="F54" s="110"/>
      <c r="G54" s="94"/>
      <c r="H54" s="128">
        <f>SUM('12EG -A- S.COLECT.'!R47)</f>
        <v>14</v>
      </c>
      <c r="I54" s="110"/>
      <c r="J54" s="94"/>
      <c r="K54" s="128">
        <f>SUM('12EG -A- S. MENTAL'!R47)</f>
        <v>5</v>
      </c>
      <c r="L54" s="130"/>
      <c r="M54" s="127"/>
      <c r="N54" s="128">
        <f>SUM('12EG -A- EPIDEMIOL.'!R47)</f>
        <v>10.666666666666666</v>
      </c>
      <c r="O54" s="130"/>
      <c r="P54" s="127"/>
      <c r="Q54" s="128">
        <f>SUM('12EG-A- F.A.E'!R47)</f>
        <v>1</v>
      </c>
      <c r="R54" s="133"/>
      <c r="S54" s="127"/>
      <c r="T54" s="128">
        <f>SUM('12EG -A- URGÊNCIA'!R47)</f>
        <v>1.3333333333333333</v>
      </c>
      <c r="U54" s="130"/>
      <c r="V54" s="127"/>
      <c r="W54" s="128">
        <f>SUM('12EG -A- N.D'!R47)</f>
        <v>6</v>
      </c>
      <c r="X54" s="130"/>
      <c r="Y54" s="127"/>
      <c r="Z54" s="128">
        <f>SUM('12EG -A- A.E.P.M.C'!R47)</f>
        <v>11.333333333333334</v>
      </c>
      <c r="AA54" s="133"/>
      <c r="AB54" s="127"/>
      <c r="AC54" s="128">
        <f>SUM('12EG -A- TEC. ENFER'!R47)</f>
        <v>3</v>
      </c>
      <c r="AD54" s="130"/>
      <c r="AE54" s="127"/>
      <c r="AF54" s="128">
        <f>SUM('12EG -A- A.E.S.M'!R47)</f>
        <v>9.3333333333333339</v>
      </c>
      <c r="AG54" s="133"/>
      <c r="AH54" s="127"/>
      <c r="AI54" s="128">
        <f>SUM('12EG -A- PROJ. TEC'!R47)</f>
        <v>7.333333333333333</v>
      </c>
      <c r="AJ54" s="133"/>
      <c r="AK54" s="127"/>
      <c r="AL54" s="128">
        <f>SUM('12EG -A- A.E.S.Ç'!R47)</f>
        <v>10</v>
      </c>
      <c r="AM54" s="133"/>
      <c r="AN54" s="126"/>
      <c r="AO54" s="128">
        <f>SUM('12EG -A- GESTÃO ENF.'!R47)</f>
        <v>6.333333333333333</v>
      </c>
      <c r="AP54" s="107" t="s">
        <v>143</v>
      </c>
      <c r="AQ54" s="113">
        <f t="shared" si="0"/>
        <v>7.1111111111111107</v>
      </c>
      <c r="AR54" s="181">
        <v>17</v>
      </c>
      <c r="AS54" s="184" t="s">
        <v>54</v>
      </c>
    </row>
    <row r="55" spans="2:45" ht="15" customHeight="1" thickBot="1" x14ac:dyDescent="0.35">
      <c r="B55" s="93">
        <v>39</v>
      </c>
      <c r="C55" s="188">
        <v>1940</v>
      </c>
      <c r="D55" s="191" t="s">
        <v>135</v>
      </c>
      <c r="E55" s="112"/>
      <c r="F55" s="110"/>
      <c r="G55" s="94"/>
      <c r="H55" s="128">
        <f>SUM('12EG -A- S.COLECT.'!R48)</f>
        <v>14</v>
      </c>
      <c r="I55" s="110"/>
      <c r="J55" s="94"/>
      <c r="K55" s="128">
        <f>SUM('12EG -A- S. MENTAL'!R48)</f>
        <v>14.166666666666666</v>
      </c>
      <c r="L55" s="130"/>
      <c r="M55" s="127"/>
      <c r="N55" s="128">
        <f>SUM('12EG -A- EPIDEMIOL.'!R48)</f>
        <v>4</v>
      </c>
      <c r="O55" s="130"/>
      <c r="P55" s="127"/>
      <c r="Q55" s="128">
        <f>SUM('12EG-A- F.A.E'!R48)</f>
        <v>8</v>
      </c>
      <c r="R55" s="133"/>
      <c r="S55" s="127"/>
      <c r="T55" s="128">
        <f>SUM('12EG -A- URGÊNCIA'!R48)</f>
        <v>12.333333333333334</v>
      </c>
      <c r="U55" s="130"/>
      <c r="V55" s="127"/>
      <c r="W55" s="128">
        <f>SUM('12EG -A- N.D'!R48)</f>
        <v>16</v>
      </c>
      <c r="X55" s="130"/>
      <c r="Y55" s="127"/>
      <c r="Z55" s="128">
        <f>SUM('12EG -A- A.E.P.M.C'!R48)</f>
        <v>17.666666666666668</v>
      </c>
      <c r="AA55" s="133"/>
      <c r="AB55" s="127"/>
      <c r="AC55" s="128">
        <f>SUM('12EG -A- TEC. ENFER'!R48)</f>
        <v>15.066666666666668</v>
      </c>
      <c r="AD55" s="130"/>
      <c r="AE55" s="127"/>
      <c r="AF55" s="128">
        <f>SUM('12EG -A- A.E.S.M'!R48)</f>
        <v>14.5</v>
      </c>
      <c r="AG55" s="133"/>
      <c r="AH55" s="127"/>
      <c r="AI55" s="128">
        <f>SUM('12EG -A- PROJ. TEC'!R48)</f>
        <v>16.666666666666668</v>
      </c>
      <c r="AJ55" s="133"/>
      <c r="AK55" s="127"/>
      <c r="AL55" s="128">
        <f>SUM('12EG -A- A.E.S.Ç'!R48)</f>
        <v>13.5</v>
      </c>
      <c r="AM55" s="133"/>
      <c r="AN55" s="126"/>
      <c r="AO55" s="128">
        <f>SUM('12EG -A- GESTÃO ENF.'!R48)</f>
        <v>11</v>
      </c>
      <c r="AP55" s="107" t="s">
        <v>143</v>
      </c>
      <c r="AQ55" s="113">
        <f t="shared" si="0"/>
        <v>13.075000000000001</v>
      </c>
      <c r="AR55" s="181">
        <v>17</v>
      </c>
      <c r="AS55" s="184" t="s">
        <v>56</v>
      </c>
    </row>
    <row r="56" spans="2:45" ht="15" customHeight="1" thickBot="1" x14ac:dyDescent="0.35">
      <c r="B56" s="93">
        <v>40</v>
      </c>
      <c r="C56" s="187">
        <v>2494</v>
      </c>
      <c r="D56" s="191" t="s">
        <v>136</v>
      </c>
      <c r="E56" s="112"/>
      <c r="F56" s="110"/>
      <c r="G56" s="94"/>
      <c r="H56" s="128">
        <f>SUM('12EG -A- S.COLECT.'!R49)</f>
        <v>14</v>
      </c>
      <c r="I56" s="110"/>
      <c r="J56" s="94"/>
      <c r="K56" s="128">
        <f>SUM('12EG -A- S. MENTAL'!R49)</f>
        <v>20</v>
      </c>
      <c r="L56" s="130"/>
      <c r="M56" s="127"/>
      <c r="N56" s="128">
        <f>SUM('12EG -A- EPIDEMIOL.'!R49)</f>
        <v>8.6666666666666661</v>
      </c>
      <c r="O56" s="130"/>
      <c r="P56" s="127"/>
      <c r="Q56" s="128">
        <f>SUM('12EG-A- F.A.E'!R49)</f>
        <v>10.666666666666666</v>
      </c>
      <c r="R56" s="133"/>
      <c r="S56" s="127"/>
      <c r="T56" s="128">
        <f>SUM('12EG -A- URGÊNCIA'!R49)</f>
        <v>18.666666666666668</v>
      </c>
      <c r="U56" s="130"/>
      <c r="V56" s="127"/>
      <c r="W56" s="128">
        <f>SUM('12EG -A- N.D'!R49)</f>
        <v>18.166666666666668</v>
      </c>
      <c r="X56" s="130"/>
      <c r="Y56" s="127"/>
      <c r="Z56" s="128">
        <f>SUM('12EG -A- A.E.P.M.C'!R49)</f>
        <v>19.833333333333332</v>
      </c>
      <c r="AA56" s="133"/>
      <c r="AB56" s="127"/>
      <c r="AC56" s="128">
        <f>SUM('12EG -A- TEC. ENFER'!R49)</f>
        <v>17.2</v>
      </c>
      <c r="AD56" s="130"/>
      <c r="AE56" s="127"/>
      <c r="AF56" s="128">
        <f>SUM('12EG -A- A.E.S.M'!R49)</f>
        <v>15</v>
      </c>
      <c r="AG56" s="133"/>
      <c r="AH56" s="127"/>
      <c r="AI56" s="128">
        <f>SUM('12EG -A- PROJ. TEC'!R49)</f>
        <v>18.333333333333332</v>
      </c>
      <c r="AJ56" s="133"/>
      <c r="AK56" s="127"/>
      <c r="AL56" s="128">
        <f>SUM('12EG -A- A.E.S.Ç'!R49)</f>
        <v>15.666666666666666</v>
      </c>
      <c r="AM56" s="133"/>
      <c r="AN56" s="126"/>
      <c r="AO56" s="128">
        <f>SUM('12EG -A- GESTÃO ENF.'!R49)</f>
        <v>12.5</v>
      </c>
      <c r="AP56" s="107" t="s">
        <v>143</v>
      </c>
      <c r="AQ56" s="113">
        <f t="shared" si="0"/>
        <v>15.725</v>
      </c>
      <c r="AR56" s="181">
        <v>17</v>
      </c>
      <c r="AS56" s="184" t="s">
        <v>56</v>
      </c>
    </row>
    <row r="57" spans="2:45" ht="15" customHeight="1" thickBot="1" x14ac:dyDescent="0.35">
      <c r="B57" s="93">
        <v>41</v>
      </c>
      <c r="C57" s="187">
        <v>2149</v>
      </c>
      <c r="D57" s="191" t="s">
        <v>137</v>
      </c>
      <c r="E57" s="103"/>
      <c r="F57" s="110"/>
      <c r="G57" s="94"/>
      <c r="H57" s="128">
        <f>SUM('12EG -A- S.COLECT.'!R50)</f>
        <v>14</v>
      </c>
      <c r="I57" s="110"/>
      <c r="J57" s="94"/>
      <c r="K57" s="128">
        <f>SUM('12EG -A- S. MENTAL'!R50)</f>
        <v>14.333333333333334</v>
      </c>
      <c r="L57" s="130"/>
      <c r="M57" s="127"/>
      <c r="N57" s="128">
        <f>SUM('12EG -A- EPIDEMIOL.'!R50)</f>
        <v>12.666666666666666</v>
      </c>
      <c r="O57" s="130"/>
      <c r="P57" s="127"/>
      <c r="Q57" s="128">
        <f>SUM('12EG-A- F.A.E'!R50)</f>
        <v>12</v>
      </c>
      <c r="R57" s="133"/>
      <c r="S57" s="127"/>
      <c r="T57" s="128">
        <f>SUM('12EG -A- URGÊNCIA'!R50)</f>
        <v>8.6666666666666661</v>
      </c>
      <c r="U57" s="130"/>
      <c r="V57" s="127"/>
      <c r="W57" s="128">
        <f>SUM('12EG -A- N.D'!R50)</f>
        <v>14.833333333333334</v>
      </c>
      <c r="X57" s="130"/>
      <c r="Y57" s="127"/>
      <c r="Z57" s="128">
        <f>SUM('12EG -A- A.E.P.M.C'!R50)</f>
        <v>9.3333333333333339</v>
      </c>
      <c r="AA57" s="133"/>
      <c r="AB57" s="127"/>
      <c r="AC57" s="128">
        <f>SUM('12EG -A- TEC. ENFER'!R50)</f>
        <v>10.5</v>
      </c>
      <c r="AD57" s="130"/>
      <c r="AE57" s="127"/>
      <c r="AF57" s="128">
        <f>SUM('12EG -A- A.E.S.M'!R50)</f>
        <v>14.666666666666666</v>
      </c>
      <c r="AG57" s="133"/>
      <c r="AH57" s="127"/>
      <c r="AI57" s="128">
        <f>SUM('12EG -A- PROJ. TEC'!R50)</f>
        <v>15.666666666666666</v>
      </c>
      <c r="AJ57" s="133"/>
      <c r="AK57" s="127"/>
      <c r="AL57" s="128">
        <f>SUM('12EG -A- A.E.S.Ç'!R50)</f>
        <v>12.333333333333334</v>
      </c>
      <c r="AM57" s="133"/>
      <c r="AN57" s="126"/>
      <c r="AO57" s="128">
        <f>SUM('12EG -A- GESTÃO ENF.'!R50)</f>
        <v>9.5</v>
      </c>
      <c r="AP57" s="107" t="s">
        <v>143</v>
      </c>
      <c r="AQ57" s="113">
        <f t="shared" si="0"/>
        <v>12.375</v>
      </c>
      <c r="AR57" s="181">
        <v>17</v>
      </c>
      <c r="AS57" s="184" t="s">
        <v>56</v>
      </c>
    </row>
    <row r="58" spans="2:45" ht="15" customHeight="1" thickBot="1" x14ac:dyDescent="0.35">
      <c r="B58" s="93">
        <v>42</v>
      </c>
      <c r="C58" s="189">
        <v>2096</v>
      </c>
      <c r="D58" s="192" t="s">
        <v>138</v>
      </c>
      <c r="E58" s="105"/>
      <c r="F58" s="111"/>
      <c r="G58" s="97"/>
      <c r="H58" s="129">
        <f>SUM('12EG -A- S.COLECT.'!R51)</f>
        <v>14</v>
      </c>
      <c r="I58" s="111"/>
      <c r="J58" s="97"/>
      <c r="K58" s="129">
        <f>SUM('12EG -A- S. MENTAL'!R51)</f>
        <v>15</v>
      </c>
      <c r="L58" s="131"/>
      <c r="M58" s="132"/>
      <c r="N58" s="129">
        <f>SUM('12EG -A- EPIDEMIOL.'!R51)</f>
        <v>10.666666666666666</v>
      </c>
      <c r="O58" s="131"/>
      <c r="P58" s="132"/>
      <c r="Q58" s="129">
        <f>SUM('12EG-A- F.A.E'!R51)</f>
        <v>8.3333333333333339</v>
      </c>
      <c r="R58" s="134"/>
      <c r="S58" s="132"/>
      <c r="T58" s="129">
        <f>SUM('12EG -A- URGÊNCIA'!R51)</f>
        <v>8.3333333333333339</v>
      </c>
      <c r="U58" s="131"/>
      <c r="V58" s="132"/>
      <c r="W58" s="129">
        <f>SUM('12EG -A- N.D'!R51)</f>
        <v>14.5</v>
      </c>
      <c r="X58" s="131"/>
      <c r="Y58" s="132"/>
      <c r="Z58" s="129">
        <f>SUM('12EG -A- A.E.P.M.C'!R51)</f>
        <v>11.666666666666666</v>
      </c>
      <c r="AA58" s="134"/>
      <c r="AB58" s="132"/>
      <c r="AC58" s="129">
        <f>SUM('12EG -A- TEC. ENFER'!R51)</f>
        <v>12.333333333333334</v>
      </c>
      <c r="AD58" s="131"/>
      <c r="AE58" s="132"/>
      <c r="AF58" s="129">
        <f>SUM('12EG -A- A.E.S.M'!R51)</f>
        <v>12.666666666666666</v>
      </c>
      <c r="AG58" s="134"/>
      <c r="AH58" s="132"/>
      <c r="AI58" s="129">
        <f>SUM('12EG -A- PROJ. TEC'!R51)</f>
        <v>15.666666666666666</v>
      </c>
      <c r="AJ58" s="134"/>
      <c r="AK58" s="132"/>
      <c r="AL58" s="129">
        <f>SUM('12EG -A- A.E.S.Ç'!R51)</f>
        <v>13</v>
      </c>
      <c r="AM58" s="134"/>
      <c r="AN58" s="135"/>
      <c r="AO58" s="129">
        <f>SUM('12EG -A- GESTÃO ENF.'!R51)</f>
        <v>10.666666666666666</v>
      </c>
      <c r="AP58" s="108" t="s">
        <v>143</v>
      </c>
      <c r="AQ58" s="113">
        <f t="shared" si="0"/>
        <v>12.236111111111112</v>
      </c>
      <c r="AR58" s="181">
        <v>17</v>
      </c>
      <c r="AS58" s="184" t="s">
        <v>56</v>
      </c>
    </row>
    <row r="59" spans="2:45" ht="21.75" customHeight="1" thickBot="1" x14ac:dyDescent="0.35">
      <c r="B59" s="272" t="s">
        <v>145</v>
      </c>
      <c r="C59" s="273"/>
      <c r="D59" s="273"/>
      <c r="E59" s="209"/>
      <c r="F59" s="209"/>
      <c r="G59" s="209"/>
      <c r="H59" s="209"/>
      <c r="I59" s="272"/>
      <c r="J59" s="273"/>
      <c r="K59" s="274"/>
      <c r="L59" s="272"/>
      <c r="M59" s="273"/>
      <c r="N59" s="274"/>
      <c r="O59" s="272"/>
      <c r="P59" s="273"/>
      <c r="Q59" s="274"/>
      <c r="R59" s="272"/>
      <c r="S59" s="273"/>
      <c r="T59" s="274"/>
      <c r="U59" s="272"/>
      <c r="V59" s="273"/>
      <c r="W59" s="274"/>
      <c r="X59" s="272"/>
      <c r="Y59" s="273"/>
      <c r="Z59" s="274"/>
      <c r="AA59" s="272"/>
      <c r="AB59" s="273"/>
      <c r="AC59" s="274"/>
      <c r="AD59" s="272"/>
      <c r="AE59" s="273"/>
      <c r="AF59" s="274"/>
      <c r="AG59" s="272"/>
      <c r="AH59" s="273"/>
      <c r="AI59" s="274"/>
      <c r="AJ59" s="272"/>
      <c r="AK59" s="273"/>
      <c r="AL59" s="274"/>
      <c r="AM59" s="272"/>
      <c r="AN59" s="273"/>
      <c r="AO59" s="274"/>
      <c r="AP59" s="98"/>
      <c r="AQ59" s="98"/>
    </row>
    <row r="60" spans="2:45" ht="15" customHeight="1" x14ac:dyDescent="0.3"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P60" s="98"/>
      <c r="AQ60" s="98"/>
    </row>
    <row r="61" spans="2:45" ht="19.8" x14ac:dyDescent="0.5">
      <c r="B61" s="276" t="s">
        <v>71</v>
      </c>
      <c r="C61" s="276"/>
      <c r="D61" s="276"/>
      <c r="E61" s="276"/>
      <c r="F61" s="276"/>
      <c r="G61" s="276"/>
      <c r="H61" s="276"/>
      <c r="I61" s="276"/>
      <c r="J61" s="276"/>
      <c r="K61" s="276"/>
      <c r="L61" s="276"/>
      <c r="M61" s="276"/>
      <c r="N61" s="276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AA61" s="276" t="s">
        <v>10</v>
      </c>
      <c r="AB61" s="276"/>
      <c r="AC61" s="276"/>
      <c r="AD61" s="276"/>
      <c r="AE61" s="276"/>
      <c r="AF61" s="276"/>
      <c r="AG61" s="276"/>
      <c r="AH61" s="276"/>
      <c r="AI61" s="276"/>
      <c r="AJ61" s="276"/>
      <c r="AK61" s="276"/>
      <c r="AL61" s="276"/>
      <c r="AM61" s="276"/>
      <c r="AN61" s="276"/>
      <c r="AO61" s="276"/>
      <c r="AP61" s="276"/>
      <c r="AQ61" s="211"/>
    </row>
    <row r="62" spans="2:45" ht="12.75" customHeight="1" x14ac:dyDescent="0.3">
      <c r="B62" s="277" t="s">
        <v>72</v>
      </c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AA62" s="277"/>
      <c r="AB62" s="277"/>
      <c r="AC62" s="277"/>
      <c r="AD62" s="277"/>
      <c r="AE62" s="277"/>
      <c r="AF62" s="277"/>
      <c r="AG62" s="277"/>
      <c r="AH62" s="277"/>
      <c r="AI62" s="277"/>
      <c r="AJ62" s="277"/>
      <c r="AK62" s="277"/>
      <c r="AL62" s="277"/>
      <c r="AM62" s="277"/>
      <c r="AN62" s="277"/>
      <c r="AO62" s="277"/>
      <c r="AP62" s="98"/>
      <c r="AQ62" s="98"/>
    </row>
    <row r="63" spans="2:45" ht="29.25" customHeight="1" x14ac:dyDescent="0.4">
      <c r="B63" s="275" t="s">
        <v>97</v>
      </c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"/>
      <c r="P63" s="2"/>
      <c r="Q63" s="2"/>
      <c r="R63" s="2"/>
      <c r="S63" s="2"/>
      <c r="T63" s="2"/>
      <c r="U63" s="2"/>
      <c r="V63" s="2"/>
      <c r="W63" s="2"/>
      <c r="X63" s="101"/>
      <c r="Y63" s="101"/>
      <c r="AA63" s="275" t="s">
        <v>73</v>
      </c>
      <c r="AB63" s="275"/>
      <c r="AC63" s="275"/>
      <c r="AD63" s="275"/>
      <c r="AE63" s="275"/>
      <c r="AF63" s="275"/>
      <c r="AG63" s="275"/>
      <c r="AH63" s="275"/>
      <c r="AI63" s="275"/>
      <c r="AJ63" s="275"/>
      <c r="AK63" s="275"/>
      <c r="AL63" s="275"/>
      <c r="AM63" s="275"/>
      <c r="AN63" s="275"/>
      <c r="AO63" s="275"/>
      <c r="AP63" s="275"/>
      <c r="AQ63" s="210"/>
    </row>
    <row r="66" spans="27:32" x14ac:dyDescent="0.3">
      <c r="AA66" s="100"/>
      <c r="AB66" s="100"/>
      <c r="AC66" s="100"/>
      <c r="AD66" s="100"/>
      <c r="AE66" s="100"/>
      <c r="AF66" s="100"/>
    </row>
    <row r="67" spans="27:32" x14ac:dyDescent="0.3">
      <c r="AA67" s="100"/>
      <c r="AB67" s="100"/>
      <c r="AC67" s="100"/>
      <c r="AD67" s="100"/>
      <c r="AE67" s="100"/>
      <c r="AF67" s="100"/>
    </row>
    <row r="68" spans="27:32" x14ac:dyDescent="0.3">
      <c r="AA68" s="100"/>
      <c r="AB68" s="100"/>
      <c r="AC68" s="100"/>
      <c r="AD68" s="100"/>
      <c r="AE68" s="100"/>
      <c r="AF68" s="100"/>
    </row>
  </sheetData>
  <mergeCells count="93">
    <mergeCell ref="A1:AP4"/>
    <mergeCell ref="B7:AP7"/>
    <mergeCell ref="C8:AP8"/>
    <mergeCell ref="K9:N10"/>
    <mergeCell ref="O9:AC12"/>
    <mergeCell ref="AE9:AK9"/>
    <mergeCell ref="B10:D10"/>
    <mergeCell ref="AE10:AK11"/>
    <mergeCell ref="AM10:AN10"/>
    <mergeCell ref="AO10:AP12"/>
    <mergeCell ref="F14:H14"/>
    <mergeCell ref="B11:D11"/>
    <mergeCell ref="K11:L12"/>
    <mergeCell ref="M11:N12"/>
    <mergeCell ref="AM11:AN11"/>
    <mergeCell ref="B12:D12"/>
    <mergeCell ref="AD12:AK12"/>
    <mergeCell ref="AM12:AN12"/>
    <mergeCell ref="B13:D13"/>
    <mergeCell ref="B14:B16"/>
    <mergeCell ref="C14:C16"/>
    <mergeCell ref="D14:D16"/>
    <mergeCell ref="E14:E16"/>
    <mergeCell ref="I14:K14"/>
    <mergeCell ref="L14:N14"/>
    <mergeCell ref="O14:Q14"/>
    <mergeCell ref="R14:T14"/>
    <mergeCell ref="U14:W14"/>
    <mergeCell ref="N15:N16"/>
    <mergeCell ref="AA14:AC14"/>
    <mergeCell ref="AD14:AF14"/>
    <mergeCell ref="AG14:AI14"/>
    <mergeCell ref="AJ14:AL14"/>
    <mergeCell ref="AG15:AH15"/>
    <mergeCell ref="AI15:AI16"/>
    <mergeCell ref="AJ15:AK15"/>
    <mergeCell ref="AL15:AL16"/>
    <mergeCell ref="X14:Z14"/>
    <mergeCell ref="F15:G15"/>
    <mergeCell ref="H15:H16"/>
    <mergeCell ref="I15:J15"/>
    <mergeCell ref="K15:K16"/>
    <mergeCell ref="L15:M15"/>
    <mergeCell ref="W15:W16"/>
    <mergeCell ref="AQ14:AQ16"/>
    <mergeCell ref="AR14:AR16"/>
    <mergeCell ref="AS14:AS16"/>
    <mergeCell ref="AT14:BA14"/>
    <mergeCell ref="AM14:AO14"/>
    <mergeCell ref="AP14:AP16"/>
    <mergeCell ref="O15:P15"/>
    <mergeCell ref="Q15:Q16"/>
    <mergeCell ref="R15:S15"/>
    <mergeCell ref="T15:T16"/>
    <mergeCell ref="U15:V15"/>
    <mergeCell ref="AZ15:BA15"/>
    <mergeCell ref="X15:Y15"/>
    <mergeCell ref="Z15:Z16"/>
    <mergeCell ref="AA15:AB15"/>
    <mergeCell ref="AC15:AC16"/>
    <mergeCell ref="AD15:AE15"/>
    <mergeCell ref="AF15:AF16"/>
    <mergeCell ref="AM15:AN15"/>
    <mergeCell ref="AO15:AO16"/>
    <mergeCell ref="AT15:AU15"/>
    <mergeCell ref="AV15:AW15"/>
    <mergeCell ref="AX15:AY15"/>
    <mergeCell ref="AT18:AU18"/>
    <mergeCell ref="AV18:AW18"/>
    <mergeCell ref="AX18:AY18"/>
    <mergeCell ref="AZ18:BA18"/>
    <mergeCell ref="AU29:AU30"/>
    <mergeCell ref="AV29:AV30"/>
    <mergeCell ref="AU31:AW31"/>
    <mergeCell ref="AX31:BB31"/>
    <mergeCell ref="B59:D59"/>
    <mergeCell ref="I59:K59"/>
    <mergeCell ref="L59:N59"/>
    <mergeCell ref="O59:Q59"/>
    <mergeCell ref="R59:T59"/>
    <mergeCell ref="U59:W59"/>
    <mergeCell ref="X59:Z59"/>
    <mergeCell ref="AA59:AC59"/>
    <mergeCell ref="B62:N62"/>
    <mergeCell ref="AA62:AO62"/>
    <mergeCell ref="B63:N63"/>
    <mergeCell ref="AA63:AP63"/>
    <mergeCell ref="AD59:AF59"/>
    <mergeCell ref="AG59:AI59"/>
    <mergeCell ref="AJ59:AL59"/>
    <mergeCell ref="AM59:AO59"/>
    <mergeCell ref="B61:N61"/>
    <mergeCell ref="AA61:AP61"/>
  </mergeCells>
  <conditionalFormatting sqref="K17:K58 AI17:AO58 AF17:AG58 AC17:AC58 Q17:R58 N17:N58 Z17:AA58 W17:W58 T17:T58 H17:H58">
    <cfRule type="cellIs" dxfId="1926" priority="11" stopIfTrue="1" operator="lessThan">
      <formula>10</formula>
    </cfRule>
    <cfRule type="cellIs" dxfId="1925" priority="12" stopIfTrue="1" operator="greaterThanOrEqual">
      <formula>10</formula>
    </cfRule>
  </conditionalFormatting>
  <conditionalFormatting sqref="AP59:AQ59">
    <cfRule type="cellIs" dxfId="1924" priority="10" operator="equal">
      <formula>"Transita"</formula>
    </cfRule>
  </conditionalFormatting>
  <conditionalFormatting sqref="AX17:BA18">
    <cfRule type="cellIs" dxfId="1923" priority="9" stopIfTrue="1" operator="greaterThanOrEqual">
      <formula>0.1</formula>
    </cfRule>
  </conditionalFormatting>
  <conditionalFormatting sqref="AX17:BA18">
    <cfRule type="cellIs" dxfId="1922" priority="8" stopIfTrue="1" operator="equal">
      <formula>0</formula>
    </cfRule>
  </conditionalFormatting>
  <conditionalFormatting sqref="AV17:AW18">
    <cfRule type="cellIs" dxfId="1921" priority="7" stopIfTrue="1" operator="greaterThanOrEqual">
      <formula>0</formula>
    </cfRule>
  </conditionalFormatting>
  <conditionalFormatting sqref="AQ17:AQ58">
    <cfRule type="cellIs" dxfId="1920" priority="1" stopIfTrue="1" operator="lessThanOrEqual">
      <formula>9.9</formula>
    </cfRule>
    <cfRule type="cellIs" dxfId="1919" priority="2" stopIfTrue="1" operator="greaterThanOrEqual">
      <formula>10</formula>
    </cfRule>
  </conditionalFormatting>
  <pageMargins left="0.41" right="0.16" top="0.19685039370078741" bottom="0.35433070866141736" header="0.31496062992125984" footer="0.31496062992125984"/>
  <pageSetup paperSize="8" scale="65" orientation="landscape" r:id="rId1"/>
  <colBreaks count="1" manualBreakCount="1">
    <brk id="43" max="1048575" man="1"/>
  </colBreak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stopIfTrue="1" operator="containsText" id="{742A6C05-2C30-4D75-A14D-FB23807C226B}">
            <xm:f>NOT(ISERROR(SEARCH("DISISTIDA",AP17)))</xm:f>
            <xm:f>"DISISTIDA"</xm:f>
            <x14:dxf>
              <font>
                <color rgb="FFFF0000"/>
              </font>
            </x14:dxf>
          </x14:cfRule>
          <x14:cfRule type="containsText" priority="4" stopIfTrue="1" operator="containsText" id="{2AED4EA1-1B9A-4335-8BE5-4CC3C98C63F0}">
            <xm:f>NOT(ISERROR(SEARCH("DESISTIDO",AP17)))</xm:f>
            <xm:f>"DESISTIDO"</xm:f>
            <x14:dxf>
              <font>
                <color rgb="FFFF0000"/>
              </font>
            </x14:dxf>
          </x14:cfRule>
          <x14:cfRule type="containsText" priority="5" stopIfTrue="1" operator="containsText" id="{2C9FE8C5-BF60-4497-95CB-5A25891BBF99}">
            <xm:f>NOT(ISERROR(SEARCH("N/TRANSITA",AP17)))</xm:f>
            <xm:f>"N/TRANSITA"</xm:f>
            <x14:dxf>
              <font>
                <color rgb="FFFF0000"/>
              </font>
            </x14:dxf>
          </x14:cfRule>
          <x14:cfRule type="containsText" priority="6" stopIfTrue="1" operator="containsText" id="{BF713AA4-7FAD-446A-A69D-068EA44A0A89}">
            <xm:f>NOT(ISERROR(SEARCH("TRANSITA",AP17)))</xm:f>
            <xm:f>"TRANSITA"</xm:f>
            <x14:dxf>
              <font>
                <color rgb="FF0070C0"/>
              </font>
            </x14:dxf>
          </x14:cfRule>
          <xm:sqref>AP17:AP58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E57"/>
  <sheetViews>
    <sheetView showGridLines="0" topLeftCell="A26" zoomScale="115" zoomScaleNormal="115" zoomScalePageLayoutView="85" workbookViewId="0">
      <selection activeCell="M10" sqref="M10:P51"/>
    </sheetView>
  </sheetViews>
  <sheetFormatPr defaultRowHeight="14.4" x14ac:dyDescent="0.3"/>
  <cols>
    <col min="1" max="1" width="1.6640625" customWidth="1"/>
    <col min="2" max="2" width="3.6640625" customWidth="1"/>
    <col min="3" max="3" width="36.33203125" customWidth="1"/>
    <col min="4" max="4" width="2.6640625" customWidth="1"/>
    <col min="5" max="5" width="2.88671875" customWidth="1"/>
    <col min="6" max="11" width="4.44140625" customWidth="1"/>
    <col min="12" max="12" width="11" customWidth="1"/>
    <col min="13" max="18" width="4.44140625" customWidth="1"/>
    <col min="19" max="19" width="11.109375" customWidth="1"/>
    <col min="20" max="25" width="4.44140625" customWidth="1"/>
    <col min="26" max="26" width="6.109375" customWidth="1"/>
    <col min="27" max="27" width="4.44140625" customWidth="1"/>
    <col min="28" max="28" width="5.88671875" customWidth="1"/>
    <col min="29" max="29" width="4.44140625" customWidth="1"/>
    <col min="30" max="30" width="6.33203125" customWidth="1"/>
    <col min="31" max="31" width="11.88671875" customWidth="1"/>
    <col min="32" max="32" width="3.44140625" customWidth="1"/>
    <col min="33" max="33" width="5" customWidth="1"/>
    <col min="267" max="267" width="1.6640625" customWidth="1"/>
    <col min="268" max="268" width="3.6640625" customWidth="1"/>
    <col min="269" max="269" width="23.44140625" customWidth="1"/>
    <col min="270" max="281" width="4.44140625" customWidth="1"/>
    <col min="282" max="282" width="6.109375" customWidth="1"/>
    <col min="283" max="283" width="4.44140625" customWidth="1"/>
    <col min="284" max="284" width="7.5546875" customWidth="1"/>
    <col min="285" max="285" width="4.44140625" customWidth="1"/>
    <col min="286" max="286" width="6.33203125" customWidth="1"/>
    <col min="287" max="287" width="7.88671875" customWidth="1"/>
    <col min="288" max="288" width="3.44140625" customWidth="1"/>
    <col min="289" max="289" width="5" customWidth="1"/>
    <col min="523" max="523" width="1.6640625" customWidth="1"/>
    <col min="524" max="524" width="3.6640625" customWidth="1"/>
    <col min="525" max="525" width="23.44140625" customWidth="1"/>
    <col min="526" max="537" width="4.44140625" customWidth="1"/>
    <col min="538" max="538" width="6.109375" customWidth="1"/>
    <col min="539" max="539" width="4.44140625" customWidth="1"/>
    <col min="540" max="540" width="7.5546875" customWidth="1"/>
    <col min="541" max="541" width="4.44140625" customWidth="1"/>
    <col min="542" max="542" width="6.33203125" customWidth="1"/>
    <col min="543" max="543" width="7.88671875" customWidth="1"/>
    <col min="544" max="544" width="3.44140625" customWidth="1"/>
    <col min="545" max="545" width="5" customWidth="1"/>
    <col min="779" max="779" width="1.6640625" customWidth="1"/>
    <col min="780" max="780" width="3.6640625" customWidth="1"/>
    <col min="781" max="781" width="23.44140625" customWidth="1"/>
    <col min="782" max="793" width="4.44140625" customWidth="1"/>
    <col min="794" max="794" width="6.109375" customWidth="1"/>
    <col min="795" max="795" width="4.44140625" customWidth="1"/>
    <col min="796" max="796" width="7.5546875" customWidth="1"/>
    <col min="797" max="797" width="4.44140625" customWidth="1"/>
    <col min="798" max="798" width="6.33203125" customWidth="1"/>
    <col min="799" max="799" width="7.88671875" customWidth="1"/>
    <col min="800" max="800" width="3.44140625" customWidth="1"/>
    <col min="801" max="801" width="5" customWidth="1"/>
    <col min="1035" max="1035" width="1.6640625" customWidth="1"/>
    <col min="1036" max="1036" width="3.6640625" customWidth="1"/>
    <col min="1037" max="1037" width="23.44140625" customWidth="1"/>
    <col min="1038" max="1049" width="4.44140625" customWidth="1"/>
    <col min="1050" max="1050" width="6.109375" customWidth="1"/>
    <col min="1051" max="1051" width="4.44140625" customWidth="1"/>
    <col min="1052" max="1052" width="7.5546875" customWidth="1"/>
    <col min="1053" max="1053" width="4.44140625" customWidth="1"/>
    <col min="1054" max="1054" width="6.33203125" customWidth="1"/>
    <col min="1055" max="1055" width="7.88671875" customWidth="1"/>
    <col min="1056" max="1056" width="3.44140625" customWidth="1"/>
    <col min="1057" max="1057" width="5" customWidth="1"/>
    <col min="1291" max="1291" width="1.6640625" customWidth="1"/>
    <col min="1292" max="1292" width="3.6640625" customWidth="1"/>
    <col min="1293" max="1293" width="23.44140625" customWidth="1"/>
    <col min="1294" max="1305" width="4.44140625" customWidth="1"/>
    <col min="1306" max="1306" width="6.109375" customWidth="1"/>
    <col min="1307" max="1307" width="4.44140625" customWidth="1"/>
    <col min="1308" max="1308" width="7.5546875" customWidth="1"/>
    <col min="1309" max="1309" width="4.44140625" customWidth="1"/>
    <col min="1310" max="1310" width="6.33203125" customWidth="1"/>
    <col min="1311" max="1311" width="7.88671875" customWidth="1"/>
    <col min="1312" max="1312" width="3.44140625" customWidth="1"/>
    <col min="1313" max="1313" width="5" customWidth="1"/>
    <col min="1547" max="1547" width="1.6640625" customWidth="1"/>
    <col min="1548" max="1548" width="3.6640625" customWidth="1"/>
    <col min="1549" max="1549" width="23.44140625" customWidth="1"/>
    <col min="1550" max="1561" width="4.44140625" customWidth="1"/>
    <col min="1562" max="1562" width="6.109375" customWidth="1"/>
    <col min="1563" max="1563" width="4.44140625" customWidth="1"/>
    <col min="1564" max="1564" width="7.5546875" customWidth="1"/>
    <col min="1565" max="1565" width="4.44140625" customWidth="1"/>
    <col min="1566" max="1566" width="6.33203125" customWidth="1"/>
    <col min="1567" max="1567" width="7.88671875" customWidth="1"/>
    <col min="1568" max="1568" width="3.44140625" customWidth="1"/>
    <col min="1569" max="1569" width="5" customWidth="1"/>
    <col min="1803" max="1803" width="1.6640625" customWidth="1"/>
    <col min="1804" max="1804" width="3.6640625" customWidth="1"/>
    <col min="1805" max="1805" width="23.44140625" customWidth="1"/>
    <col min="1806" max="1817" width="4.44140625" customWidth="1"/>
    <col min="1818" max="1818" width="6.109375" customWidth="1"/>
    <col min="1819" max="1819" width="4.44140625" customWidth="1"/>
    <col min="1820" max="1820" width="7.5546875" customWidth="1"/>
    <col min="1821" max="1821" width="4.44140625" customWidth="1"/>
    <col min="1822" max="1822" width="6.33203125" customWidth="1"/>
    <col min="1823" max="1823" width="7.88671875" customWidth="1"/>
    <col min="1824" max="1824" width="3.44140625" customWidth="1"/>
    <col min="1825" max="1825" width="5" customWidth="1"/>
    <col min="2059" max="2059" width="1.6640625" customWidth="1"/>
    <col min="2060" max="2060" width="3.6640625" customWidth="1"/>
    <col min="2061" max="2061" width="23.44140625" customWidth="1"/>
    <col min="2062" max="2073" width="4.44140625" customWidth="1"/>
    <col min="2074" max="2074" width="6.109375" customWidth="1"/>
    <col min="2075" max="2075" width="4.44140625" customWidth="1"/>
    <col min="2076" max="2076" width="7.5546875" customWidth="1"/>
    <col min="2077" max="2077" width="4.44140625" customWidth="1"/>
    <col min="2078" max="2078" width="6.33203125" customWidth="1"/>
    <col min="2079" max="2079" width="7.88671875" customWidth="1"/>
    <col min="2080" max="2080" width="3.44140625" customWidth="1"/>
    <col min="2081" max="2081" width="5" customWidth="1"/>
    <col min="2315" max="2315" width="1.6640625" customWidth="1"/>
    <col min="2316" max="2316" width="3.6640625" customWidth="1"/>
    <col min="2317" max="2317" width="23.44140625" customWidth="1"/>
    <col min="2318" max="2329" width="4.44140625" customWidth="1"/>
    <col min="2330" max="2330" width="6.109375" customWidth="1"/>
    <col min="2331" max="2331" width="4.44140625" customWidth="1"/>
    <col min="2332" max="2332" width="7.5546875" customWidth="1"/>
    <col min="2333" max="2333" width="4.44140625" customWidth="1"/>
    <col min="2334" max="2334" width="6.33203125" customWidth="1"/>
    <col min="2335" max="2335" width="7.88671875" customWidth="1"/>
    <col min="2336" max="2336" width="3.44140625" customWidth="1"/>
    <col min="2337" max="2337" width="5" customWidth="1"/>
    <col min="2571" max="2571" width="1.6640625" customWidth="1"/>
    <col min="2572" max="2572" width="3.6640625" customWidth="1"/>
    <col min="2573" max="2573" width="23.44140625" customWidth="1"/>
    <col min="2574" max="2585" width="4.44140625" customWidth="1"/>
    <col min="2586" max="2586" width="6.109375" customWidth="1"/>
    <col min="2587" max="2587" width="4.44140625" customWidth="1"/>
    <col min="2588" max="2588" width="7.5546875" customWidth="1"/>
    <col min="2589" max="2589" width="4.44140625" customWidth="1"/>
    <col min="2590" max="2590" width="6.33203125" customWidth="1"/>
    <col min="2591" max="2591" width="7.88671875" customWidth="1"/>
    <col min="2592" max="2592" width="3.44140625" customWidth="1"/>
    <col min="2593" max="2593" width="5" customWidth="1"/>
    <col min="2827" max="2827" width="1.6640625" customWidth="1"/>
    <col min="2828" max="2828" width="3.6640625" customWidth="1"/>
    <col min="2829" max="2829" width="23.44140625" customWidth="1"/>
    <col min="2830" max="2841" width="4.44140625" customWidth="1"/>
    <col min="2842" max="2842" width="6.109375" customWidth="1"/>
    <col min="2843" max="2843" width="4.44140625" customWidth="1"/>
    <col min="2844" max="2844" width="7.5546875" customWidth="1"/>
    <col min="2845" max="2845" width="4.44140625" customWidth="1"/>
    <col min="2846" max="2846" width="6.33203125" customWidth="1"/>
    <col min="2847" max="2847" width="7.88671875" customWidth="1"/>
    <col min="2848" max="2848" width="3.44140625" customWidth="1"/>
    <col min="2849" max="2849" width="5" customWidth="1"/>
    <col min="3083" max="3083" width="1.6640625" customWidth="1"/>
    <col min="3084" max="3084" width="3.6640625" customWidth="1"/>
    <col min="3085" max="3085" width="23.44140625" customWidth="1"/>
    <col min="3086" max="3097" width="4.44140625" customWidth="1"/>
    <col min="3098" max="3098" width="6.109375" customWidth="1"/>
    <col min="3099" max="3099" width="4.44140625" customWidth="1"/>
    <col min="3100" max="3100" width="7.5546875" customWidth="1"/>
    <col min="3101" max="3101" width="4.44140625" customWidth="1"/>
    <col min="3102" max="3102" width="6.33203125" customWidth="1"/>
    <col min="3103" max="3103" width="7.88671875" customWidth="1"/>
    <col min="3104" max="3104" width="3.44140625" customWidth="1"/>
    <col min="3105" max="3105" width="5" customWidth="1"/>
    <col min="3339" max="3339" width="1.6640625" customWidth="1"/>
    <col min="3340" max="3340" width="3.6640625" customWidth="1"/>
    <col min="3341" max="3341" width="23.44140625" customWidth="1"/>
    <col min="3342" max="3353" width="4.44140625" customWidth="1"/>
    <col min="3354" max="3354" width="6.109375" customWidth="1"/>
    <col min="3355" max="3355" width="4.44140625" customWidth="1"/>
    <col min="3356" max="3356" width="7.5546875" customWidth="1"/>
    <col min="3357" max="3357" width="4.44140625" customWidth="1"/>
    <col min="3358" max="3358" width="6.33203125" customWidth="1"/>
    <col min="3359" max="3359" width="7.88671875" customWidth="1"/>
    <col min="3360" max="3360" width="3.44140625" customWidth="1"/>
    <col min="3361" max="3361" width="5" customWidth="1"/>
    <col min="3595" max="3595" width="1.6640625" customWidth="1"/>
    <col min="3596" max="3596" width="3.6640625" customWidth="1"/>
    <col min="3597" max="3597" width="23.44140625" customWidth="1"/>
    <col min="3598" max="3609" width="4.44140625" customWidth="1"/>
    <col min="3610" max="3610" width="6.109375" customWidth="1"/>
    <col min="3611" max="3611" width="4.44140625" customWidth="1"/>
    <col min="3612" max="3612" width="7.5546875" customWidth="1"/>
    <col min="3613" max="3613" width="4.44140625" customWidth="1"/>
    <col min="3614" max="3614" width="6.33203125" customWidth="1"/>
    <col min="3615" max="3615" width="7.88671875" customWidth="1"/>
    <col min="3616" max="3616" width="3.44140625" customWidth="1"/>
    <col min="3617" max="3617" width="5" customWidth="1"/>
    <col min="3851" max="3851" width="1.6640625" customWidth="1"/>
    <col min="3852" max="3852" width="3.6640625" customWidth="1"/>
    <col min="3853" max="3853" width="23.44140625" customWidth="1"/>
    <col min="3854" max="3865" width="4.44140625" customWidth="1"/>
    <col min="3866" max="3866" width="6.109375" customWidth="1"/>
    <col min="3867" max="3867" width="4.44140625" customWidth="1"/>
    <col min="3868" max="3868" width="7.5546875" customWidth="1"/>
    <col min="3869" max="3869" width="4.44140625" customWidth="1"/>
    <col min="3870" max="3870" width="6.33203125" customWidth="1"/>
    <col min="3871" max="3871" width="7.88671875" customWidth="1"/>
    <col min="3872" max="3872" width="3.44140625" customWidth="1"/>
    <col min="3873" max="3873" width="5" customWidth="1"/>
    <col min="4107" max="4107" width="1.6640625" customWidth="1"/>
    <col min="4108" max="4108" width="3.6640625" customWidth="1"/>
    <col min="4109" max="4109" width="23.44140625" customWidth="1"/>
    <col min="4110" max="4121" width="4.44140625" customWidth="1"/>
    <col min="4122" max="4122" width="6.109375" customWidth="1"/>
    <col min="4123" max="4123" width="4.44140625" customWidth="1"/>
    <col min="4124" max="4124" width="7.5546875" customWidth="1"/>
    <col min="4125" max="4125" width="4.44140625" customWidth="1"/>
    <col min="4126" max="4126" width="6.33203125" customWidth="1"/>
    <col min="4127" max="4127" width="7.88671875" customWidth="1"/>
    <col min="4128" max="4128" width="3.44140625" customWidth="1"/>
    <col min="4129" max="4129" width="5" customWidth="1"/>
    <col min="4363" max="4363" width="1.6640625" customWidth="1"/>
    <col min="4364" max="4364" width="3.6640625" customWidth="1"/>
    <col min="4365" max="4365" width="23.44140625" customWidth="1"/>
    <col min="4366" max="4377" width="4.44140625" customWidth="1"/>
    <col min="4378" max="4378" width="6.109375" customWidth="1"/>
    <col min="4379" max="4379" width="4.44140625" customWidth="1"/>
    <col min="4380" max="4380" width="7.5546875" customWidth="1"/>
    <col min="4381" max="4381" width="4.44140625" customWidth="1"/>
    <col min="4382" max="4382" width="6.33203125" customWidth="1"/>
    <col min="4383" max="4383" width="7.88671875" customWidth="1"/>
    <col min="4384" max="4384" width="3.44140625" customWidth="1"/>
    <col min="4385" max="4385" width="5" customWidth="1"/>
    <col min="4619" max="4619" width="1.6640625" customWidth="1"/>
    <col min="4620" max="4620" width="3.6640625" customWidth="1"/>
    <col min="4621" max="4621" width="23.44140625" customWidth="1"/>
    <col min="4622" max="4633" width="4.44140625" customWidth="1"/>
    <col min="4634" max="4634" width="6.109375" customWidth="1"/>
    <col min="4635" max="4635" width="4.44140625" customWidth="1"/>
    <col min="4636" max="4636" width="7.5546875" customWidth="1"/>
    <col min="4637" max="4637" width="4.44140625" customWidth="1"/>
    <col min="4638" max="4638" width="6.33203125" customWidth="1"/>
    <col min="4639" max="4639" width="7.88671875" customWidth="1"/>
    <col min="4640" max="4640" width="3.44140625" customWidth="1"/>
    <col min="4641" max="4641" width="5" customWidth="1"/>
    <col min="4875" max="4875" width="1.6640625" customWidth="1"/>
    <col min="4876" max="4876" width="3.6640625" customWidth="1"/>
    <col min="4877" max="4877" width="23.44140625" customWidth="1"/>
    <col min="4878" max="4889" width="4.44140625" customWidth="1"/>
    <col min="4890" max="4890" width="6.109375" customWidth="1"/>
    <col min="4891" max="4891" width="4.44140625" customWidth="1"/>
    <col min="4892" max="4892" width="7.5546875" customWidth="1"/>
    <col min="4893" max="4893" width="4.44140625" customWidth="1"/>
    <col min="4894" max="4894" width="6.33203125" customWidth="1"/>
    <col min="4895" max="4895" width="7.88671875" customWidth="1"/>
    <col min="4896" max="4896" width="3.44140625" customWidth="1"/>
    <col min="4897" max="4897" width="5" customWidth="1"/>
    <col min="5131" max="5131" width="1.6640625" customWidth="1"/>
    <col min="5132" max="5132" width="3.6640625" customWidth="1"/>
    <col min="5133" max="5133" width="23.44140625" customWidth="1"/>
    <col min="5134" max="5145" width="4.44140625" customWidth="1"/>
    <col min="5146" max="5146" width="6.109375" customWidth="1"/>
    <col min="5147" max="5147" width="4.44140625" customWidth="1"/>
    <col min="5148" max="5148" width="7.5546875" customWidth="1"/>
    <col min="5149" max="5149" width="4.44140625" customWidth="1"/>
    <col min="5150" max="5150" width="6.33203125" customWidth="1"/>
    <col min="5151" max="5151" width="7.88671875" customWidth="1"/>
    <col min="5152" max="5152" width="3.44140625" customWidth="1"/>
    <col min="5153" max="5153" width="5" customWidth="1"/>
    <col min="5387" max="5387" width="1.6640625" customWidth="1"/>
    <col min="5388" max="5388" width="3.6640625" customWidth="1"/>
    <col min="5389" max="5389" width="23.44140625" customWidth="1"/>
    <col min="5390" max="5401" width="4.44140625" customWidth="1"/>
    <col min="5402" max="5402" width="6.109375" customWidth="1"/>
    <col min="5403" max="5403" width="4.44140625" customWidth="1"/>
    <col min="5404" max="5404" width="7.5546875" customWidth="1"/>
    <col min="5405" max="5405" width="4.44140625" customWidth="1"/>
    <col min="5406" max="5406" width="6.33203125" customWidth="1"/>
    <col min="5407" max="5407" width="7.88671875" customWidth="1"/>
    <col min="5408" max="5408" width="3.44140625" customWidth="1"/>
    <col min="5409" max="5409" width="5" customWidth="1"/>
    <col min="5643" max="5643" width="1.6640625" customWidth="1"/>
    <col min="5644" max="5644" width="3.6640625" customWidth="1"/>
    <col min="5645" max="5645" width="23.44140625" customWidth="1"/>
    <col min="5646" max="5657" width="4.44140625" customWidth="1"/>
    <col min="5658" max="5658" width="6.109375" customWidth="1"/>
    <col min="5659" max="5659" width="4.44140625" customWidth="1"/>
    <col min="5660" max="5660" width="7.5546875" customWidth="1"/>
    <col min="5661" max="5661" width="4.44140625" customWidth="1"/>
    <col min="5662" max="5662" width="6.33203125" customWidth="1"/>
    <col min="5663" max="5663" width="7.88671875" customWidth="1"/>
    <col min="5664" max="5664" width="3.44140625" customWidth="1"/>
    <col min="5665" max="5665" width="5" customWidth="1"/>
    <col min="5899" max="5899" width="1.6640625" customWidth="1"/>
    <col min="5900" max="5900" width="3.6640625" customWidth="1"/>
    <col min="5901" max="5901" width="23.44140625" customWidth="1"/>
    <col min="5902" max="5913" width="4.44140625" customWidth="1"/>
    <col min="5914" max="5914" width="6.109375" customWidth="1"/>
    <col min="5915" max="5915" width="4.44140625" customWidth="1"/>
    <col min="5916" max="5916" width="7.5546875" customWidth="1"/>
    <col min="5917" max="5917" width="4.44140625" customWidth="1"/>
    <col min="5918" max="5918" width="6.33203125" customWidth="1"/>
    <col min="5919" max="5919" width="7.88671875" customWidth="1"/>
    <col min="5920" max="5920" width="3.44140625" customWidth="1"/>
    <col min="5921" max="5921" width="5" customWidth="1"/>
    <col min="6155" max="6155" width="1.6640625" customWidth="1"/>
    <col min="6156" max="6156" width="3.6640625" customWidth="1"/>
    <col min="6157" max="6157" width="23.44140625" customWidth="1"/>
    <col min="6158" max="6169" width="4.44140625" customWidth="1"/>
    <col min="6170" max="6170" width="6.109375" customWidth="1"/>
    <col min="6171" max="6171" width="4.44140625" customWidth="1"/>
    <col min="6172" max="6172" width="7.5546875" customWidth="1"/>
    <col min="6173" max="6173" width="4.44140625" customWidth="1"/>
    <col min="6174" max="6174" width="6.33203125" customWidth="1"/>
    <col min="6175" max="6175" width="7.88671875" customWidth="1"/>
    <col min="6176" max="6176" width="3.44140625" customWidth="1"/>
    <col min="6177" max="6177" width="5" customWidth="1"/>
    <col min="6411" max="6411" width="1.6640625" customWidth="1"/>
    <col min="6412" max="6412" width="3.6640625" customWidth="1"/>
    <col min="6413" max="6413" width="23.44140625" customWidth="1"/>
    <col min="6414" max="6425" width="4.44140625" customWidth="1"/>
    <col min="6426" max="6426" width="6.109375" customWidth="1"/>
    <col min="6427" max="6427" width="4.44140625" customWidth="1"/>
    <col min="6428" max="6428" width="7.5546875" customWidth="1"/>
    <col min="6429" max="6429" width="4.44140625" customWidth="1"/>
    <col min="6430" max="6430" width="6.33203125" customWidth="1"/>
    <col min="6431" max="6431" width="7.88671875" customWidth="1"/>
    <col min="6432" max="6432" width="3.44140625" customWidth="1"/>
    <col min="6433" max="6433" width="5" customWidth="1"/>
    <col min="6667" max="6667" width="1.6640625" customWidth="1"/>
    <col min="6668" max="6668" width="3.6640625" customWidth="1"/>
    <col min="6669" max="6669" width="23.44140625" customWidth="1"/>
    <col min="6670" max="6681" width="4.44140625" customWidth="1"/>
    <col min="6682" max="6682" width="6.109375" customWidth="1"/>
    <col min="6683" max="6683" width="4.44140625" customWidth="1"/>
    <col min="6684" max="6684" width="7.5546875" customWidth="1"/>
    <col min="6685" max="6685" width="4.44140625" customWidth="1"/>
    <col min="6686" max="6686" width="6.33203125" customWidth="1"/>
    <col min="6687" max="6687" width="7.88671875" customWidth="1"/>
    <col min="6688" max="6688" width="3.44140625" customWidth="1"/>
    <col min="6689" max="6689" width="5" customWidth="1"/>
    <col min="6923" max="6923" width="1.6640625" customWidth="1"/>
    <col min="6924" max="6924" width="3.6640625" customWidth="1"/>
    <col min="6925" max="6925" width="23.44140625" customWidth="1"/>
    <col min="6926" max="6937" width="4.44140625" customWidth="1"/>
    <col min="6938" max="6938" width="6.109375" customWidth="1"/>
    <col min="6939" max="6939" width="4.44140625" customWidth="1"/>
    <col min="6940" max="6940" width="7.5546875" customWidth="1"/>
    <col min="6941" max="6941" width="4.44140625" customWidth="1"/>
    <col min="6942" max="6942" width="6.33203125" customWidth="1"/>
    <col min="6943" max="6943" width="7.88671875" customWidth="1"/>
    <col min="6944" max="6944" width="3.44140625" customWidth="1"/>
    <col min="6945" max="6945" width="5" customWidth="1"/>
    <col min="7179" max="7179" width="1.6640625" customWidth="1"/>
    <col min="7180" max="7180" width="3.6640625" customWidth="1"/>
    <col min="7181" max="7181" width="23.44140625" customWidth="1"/>
    <col min="7182" max="7193" width="4.44140625" customWidth="1"/>
    <col min="7194" max="7194" width="6.109375" customWidth="1"/>
    <col min="7195" max="7195" width="4.44140625" customWidth="1"/>
    <col min="7196" max="7196" width="7.5546875" customWidth="1"/>
    <col min="7197" max="7197" width="4.44140625" customWidth="1"/>
    <col min="7198" max="7198" width="6.33203125" customWidth="1"/>
    <col min="7199" max="7199" width="7.88671875" customWidth="1"/>
    <col min="7200" max="7200" width="3.44140625" customWidth="1"/>
    <col min="7201" max="7201" width="5" customWidth="1"/>
    <col min="7435" max="7435" width="1.6640625" customWidth="1"/>
    <col min="7436" max="7436" width="3.6640625" customWidth="1"/>
    <col min="7437" max="7437" width="23.44140625" customWidth="1"/>
    <col min="7438" max="7449" width="4.44140625" customWidth="1"/>
    <col min="7450" max="7450" width="6.109375" customWidth="1"/>
    <col min="7451" max="7451" width="4.44140625" customWidth="1"/>
    <col min="7452" max="7452" width="7.5546875" customWidth="1"/>
    <col min="7453" max="7453" width="4.44140625" customWidth="1"/>
    <col min="7454" max="7454" width="6.33203125" customWidth="1"/>
    <col min="7455" max="7455" width="7.88671875" customWidth="1"/>
    <col min="7456" max="7456" width="3.44140625" customWidth="1"/>
    <col min="7457" max="7457" width="5" customWidth="1"/>
    <col min="7691" max="7691" width="1.6640625" customWidth="1"/>
    <col min="7692" max="7692" width="3.6640625" customWidth="1"/>
    <col min="7693" max="7693" width="23.44140625" customWidth="1"/>
    <col min="7694" max="7705" width="4.44140625" customWidth="1"/>
    <col min="7706" max="7706" width="6.109375" customWidth="1"/>
    <col min="7707" max="7707" width="4.44140625" customWidth="1"/>
    <col min="7708" max="7708" width="7.5546875" customWidth="1"/>
    <col min="7709" max="7709" width="4.44140625" customWidth="1"/>
    <col min="7710" max="7710" width="6.33203125" customWidth="1"/>
    <col min="7711" max="7711" width="7.88671875" customWidth="1"/>
    <col min="7712" max="7712" width="3.44140625" customWidth="1"/>
    <col min="7713" max="7713" width="5" customWidth="1"/>
    <col min="7947" max="7947" width="1.6640625" customWidth="1"/>
    <col min="7948" max="7948" width="3.6640625" customWidth="1"/>
    <col min="7949" max="7949" width="23.44140625" customWidth="1"/>
    <col min="7950" max="7961" width="4.44140625" customWidth="1"/>
    <col min="7962" max="7962" width="6.109375" customWidth="1"/>
    <col min="7963" max="7963" width="4.44140625" customWidth="1"/>
    <col min="7964" max="7964" width="7.5546875" customWidth="1"/>
    <col min="7965" max="7965" width="4.44140625" customWidth="1"/>
    <col min="7966" max="7966" width="6.33203125" customWidth="1"/>
    <col min="7967" max="7967" width="7.88671875" customWidth="1"/>
    <col min="7968" max="7968" width="3.44140625" customWidth="1"/>
    <col min="7969" max="7969" width="5" customWidth="1"/>
    <col min="8203" max="8203" width="1.6640625" customWidth="1"/>
    <col min="8204" max="8204" width="3.6640625" customWidth="1"/>
    <col min="8205" max="8205" width="23.44140625" customWidth="1"/>
    <col min="8206" max="8217" width="4.44140625" customWidth="1"/>
    <col min="8218" max="8218" width="6.109375" customWidth="1"/>
    <col min="8219" max="8219" width="4.44140625" customWidth="1"/>
    <col min="8220" max="8220" width="7.5546875" customWidth="1"/>
    <col min="8221" max="8221" width="4.44140625" customWidth="1"/>
    <col min="8222" max="8222" width="6.33203125" customWidth="1"/>
    <col min="8223" max="8223" width="7.88671875" customWidth="1"/>
    <col min="8224" max="8224" width="3.44140625" customWidth="1"/>
    <col min="8225" max="8225" width="5" customWidth="1"/>
    <col min="8459" max="8459" width="1.6640625" customWidth="1"/>
    <col min="8460" max="8460" width="3.6640625" customWidth="1"/>
    <col min="8461" max="8461" width="23.44140625" customWidth="1"/>
    <col min="8462" max="8473" width="4.44140625" customWidth="1"/>
    <col min="8474" max="8474" width="6.109375" customWidth="1"/>
    <col min="8475" max="8475" width="4.44140625" customWidth="1"/>
    <col min="8476" max="8476" width="7.5546875" customWidth="1"/>
    <col min="8477" max="8477" width="4.44140625" customWidth="1"/>
    <col min="8478" max="8478" width="6.33203125" customWidth="1"/>
    <col min="8479" max="8479" width="7.88671875" customWidth="1"/>
    <col min="8480" max="8480" width="3.44140625" customWidth="1"/>
    <col min="8481" max="8481" width="5" customWidth="1"/>
    <col min="8715" max="8715" width="1.6640625" customWidth="1"/>
    <col min="8716" max="8716" width="3.6640625" customWidth="1"/>
    <col min="8717" max="8717" width="23.44140625" customWidth="1"/>
    <col min="8718" max="8729" width="4.44140625" customWidth="1"/>
    <col min="8730" max="8730" width="6.109375" customWidth="1"/>
    <col min="8731" max="8731" width="4.44140625" customWidth="1"/>
    <col min="8732" max="8732" width="7.5546875" customWidth="1"/>
    <col min="8733" max="8733" width="4.44140625" customWidth="1"/>
    <col min="8734" max="8734" width="6.33203125" customWidth="1"/>
    <col min="8735" max="8735" width="7.88671875" customWidth="1"/>
    <col min="8736" max="8736" width="3.44140625" customWidth="1"/>
    <col min="8737" max="8737" width="5" customWidth="1"/>
    <col min="8971" max="8971" width="1.6640625" customWidth="1"/>
    <col min="8972" max="8972" width="3.6640625" customWidth="1"/>
    <col min="8973" max="8973" width="23.44140625" customWidth="1"/>
    <col min="8974" max="8985" width="4.44140625" customWidth="1"/>
    <col min="8986" max="8986" width="6.109375" customWidth="1"/>
    <col min="8987" max="8987" width="4.44140625" customWidth="1"/>
    <col min="8988" max="8988" width="7.5546875" customWidth="1"/>
    <col min="8989" max="8989" width="4.44140625" customWidth="1"/>
    <col min="8990" max="8990" width="6.33203125" customWidth="1"/>
    <col min="8991" max="8991" width="7.88671875" customWidth="1"/>
    <col min="8992" max="8992" width="3.44140625" customWidth="1"/>
    <col min="8993" max="8993" width="5" customWidth="1"/>
    <col min="9227" max="9227" width="1.6640625" customWidth="1"/>
    <col min="9228" max="9228" width="3.6640625" customWidth="1"/>
    <col min="9229" max="9229" width="23.44140625" customWidth="1"/>
    <col min="9230" max="9241" width="4.44140625" customWidth="1"/>
    <col min="9242" max="9242" width="6.109375" customWidth="1"/>
    <col min="9243" max="9243" width="4.44140625" customWidth="1"/>
    <col min="9244" max="9244" width="7.5546875" customWidth="1"/>
    <col min="9245" max="9245" width="4.44140625" customWidth="1"/>
    <col min="9246" max="9246" width="6.33203125" customWidth="1"/>
    <col min="9247" max="9247" width="7.88671875" customWidth="1"/>
    <col min="9248" max="9248" width="3.44140625" customWidth="1"/>
    <col min="9249" max="9249" width="5" customWidth="1"/>
    <col min="9483" max="9483" width="1.6640625" customWidth="1"/>
    <col min="9484" max="9484" width="3.6640625" customWidth="1"/>
    <col min="9485" max="9485" width="23.44140625" customWidth="1"/>
    <col min="9486" max="9497" width="4.44140625" customWidth="1"/>
    <col min="9498" max="9498" width="6.109375" customWidth="1"/>
    <col min="9499" max="9499" width="4.44140625" customWidth="1"/>
    <col min="9500" max="9500" width="7.5546875" customWidth="1"/>
    <col min="9501" max="9501" width="4.44140625" customWidth="1"/>
    <col min="9502" max="9502" width="6.33203125" customWidth="1"/>
    <col min="9503" max="9503" width="7.88671875" customWidth="1"/>
    <col min="9504" max="9504" width="3.44140625" customWidth="1"/>
    <col min="9505" max="9505" width="5" customWidth="1"/>
    <col min="9739" max="9739" width="1.6640625" customWidth="1"/>
    <col min="9740" max="9740" width="3.6640625" customWidth="1"/>
    <col min="9741" max="9741" width="23.44140625" customWidth="1"/>
    <col min="9742" max="9753" width="4.44140625" customWidth="1"/>
    <col min="9754" max="9754" width="6.109375" customWidth="1"/>
    <col min="9755" max="9755" width="4.44140625" customWidth="1"/>
    <col min="9756" max="9756" width="7.5546875" customWidth="1"/>
    <col min="9757" max="9757" width="4.44140625" customWidth="1"/>
    <col min="9758" max="9758" width="6.33203125" customWidth="1"/>
    <col min="9759" max="9759" width="7.88671875" customWidth="1"/>
    <col min="9760" max="9760" width="3.44140625" customWidth="1"/>
    <col min="9761" max="9761" width="5" customWidth="1"/>
    <col min="9995" max="9995" width="1.6640625" customWidth="1"/>
    <col min="9996" max="9996" width="3.6640625" customWidth="1"/>
    <col min="9997" max="9997" width="23.44140625" customWidth="1"/>
    <col min="9998" max="10009" width="4.44140625" customWidth="1"/>
    <col min="10010" max="10010" width="6.109375" customWidth="1"/>
    <col min="10011" max="10011" width="4.44140625" customWidth="1"/>
    <col min="10012" max="10012" width="7.5546875" customWidth="1"/>
    <col min="10013" max="10013" width="4.44140625" customWidth="1"/>
    <col min="10014" max="10014" width="6.33203125" customWidth="1"/>
    <col min="10015" max="10015" width="7.88671875" customWidth="1"/>
    <col min="10016" max="10016" width="3.44140625" customWidth="1"/>
    <col min="10017" max="10017" width="5" customWidth="1"/>
    <col min="10251" max="10251" width="1.6640625" customWidth="1"/>
    <col min="10252" max="10252" width="3.6640625" customWidth="1"/>
    <col min="10253" max="10253" width="23.44140625" customWidth="1"/>
    <col min="10254" max="10265" width="4.44140625" customWidth="1"/>
    <col min="10266" max="10266" width="6.109375" customWidth="1"/>
    <col min="10267" max="10267" width="4.44140625" customWidth="1"/>
    <col min="10268" max="10268" width="7.5546875" customWidth="1"/>
    <col min="10269" max="10269" width="4.44140625" customWidth="1"/>
    <col min="10270" max="10270" width="6.33203125" customWidth="1"/>
    <col min="10271" max="10271" width="7.88671875" customWidth="1"/>
    <col min="10272" max="10272" width="3.44140625" customWidth="1"/>
    <col min="10273" max="10273" width="5" customWidth="1"/>
    <col min="10507" max="10507" width="1.6640625" customWidth="1"/>
    <col min="10508" max="10508" width="3.6640625" customWidth="1"/>
    <col min="10509" max="10509" width="23.44140625" customWidth="1"/>
    <col min="10510" max="10521" width="4.44140625" customWidth="1"/>
    <col min="10522" max="10522" width="6.109375" customWidth="1"/>
    <col min="10523" max="10523" width="4.44140625" customWidth="1"/>
    <col min="10524" max="10524" width="7.5546875" customWidth="1"/>
    <col min="10525" max="10525" width="4.44140625" customWidth="1"/>
    <col min="10526" max="10526" width="6.33203125" customWidth="1"/>
    <col min="10527" max="10527" width="7.88671875" customWidth="1"/>
    <col min="10528" max="10528" width="3.44140625" customWidth="1"/>
    <col min="10529" max="10529" width="5" customWidth="1"/>
    <col min="10763" max="10763" width="1.6640625" customWidth="1"/>
    <col min="10764" max="10764" width="3.6640625" customWidth="1"/>
    <col min="10765" max="10765" width="23.44140625" customWidth="1"/>
    <col min="10766" max="10777" width="4.44140625" customWidth="1"/>
    <col min="10778" max="10778" width="6.109375" customWidth="1"/>
    <col min="10779" max="10779" width="4.44140625" customWidth="1"/>
    <col min="10780" max="10780" width="7.5546875" customWidth="1"/>
    <col min="10781" max="10781" width="4.44140625" customWidth="1"/>
    <col min="10782" max="10782" width="6.33203125" customWidth="1"/>
    <col min="10783" max="10783" width="7.88671875" customWidth="1"/>
    <col min="10784" max="10784" width="3.44140625" customWidth="1"/>
    <col min="10785" max="10785" width="5" customWidth="1"/>
    <col min="11019" max="11019" width="1.6640625" customWidth="1"/>
    <col min="11020" max="11020" width="3.6640625" customWidth="1"/>
    <col min="11021" max="11021" width="23.44140625" customWidth="1"/>
    <col min="11022" max="11033" width="4.44140625" customWidth="1"/>
    <col min="11034" max="11034" width="6.109375" customWidth="1"/>
    <col min="11035" max="11035" width="4.44140625" customWidth="1"/>
    <col min="11036" max="11036" width="7.5546875" customWidth="1"/>
    <col min="11037" max="11037" width="4.44140625" customWidth="1"/>
    <col min="11038" max="11038" width="6.33203125" customWidth="1"/>
    <col min="11039" max="11039" width="7.88671875" customWidth="1"/>
    <col min="11040" max="11040" width="3.44140625" customWidth="1"/>
    <col min="11041" max="11041" width="5" customWidth="1"/>
    <col min="11275" max="11275" width="1.6640625" customWidth="1"/>
    <col min="11276" max="11276" width="3.6640625" customWidth="1"/>
    <col min="11277" max="11277" width="23.44140625" customWidth="1"/>
    <col min="11278" max="11289" width="4.44140625" customWidth="1"/>
    <col min="11290" max="11290" width="6.109375" customWidth="1"/>
    <col min="11291" max="11291" width="4.44140625" customWidth="1"/>
    <col min="11292" max="11292" width="7.5546875" customWidth="1"/>
    <col min="11293" max="11293" width="4.44140625" customWidth="1"/>
    <col min="11294" max="11294" width="6.33203125" customWidth="1"/>
    <col min="11295" max="11295" width="7.88671875" customWidth="1"/>
    <col min="11296" max="11296" width="3.44140625" customWidth="1"/>
    <col min="11297" max="11297" width="5" customWidth="1"/>
    <col min="11531" max="11531" width="1.6640625" customWidth="1"/>
    <col min="11532" max="11532" width="3.6640625" customWidth="1"/>
    <col min="11533" max="11533" width="23.44140625" customWidth="1"/>
    <col min="11534" max="11545" width="4.44140625" customWidth="1"/>
    <col min="11546" max="11546" width="6.109375" customWidth="1"/>
    <col min="11547" max="11547" width="4.44140625" customWidth="1"/>
    <col min="11548" max="11548" width="7.5546875" customWidth="1"/>
    <col min="11549" max="11549" width="4.44140625" customWidth="1"/>
    <col min="11550" max="11550" width="6.33203125" customWidth="1"/>
    <col min="11551" max="11551" width="7.88671875" customWidth="1"/>
    <col min="11552" max="11552" width="3.44140625" customWidth="1"/>
    <col min="11553" max="11553" width="5" customWidth="1"/>
    <col min="11787" max="11787" width="1.6640625" customWidth="1"/>
    <col min="11788" max="11788" width="3.6640625" customWidth="1"/>
    <col min="11789" max="11789" width="23.44140625" customWidth="1"/>
    <col min="11790" max="11801" width="4.44140625" customWidth="1"/>
    <col min="11802" max="11802" width="6.109375" customWidth="1"/>
    <col min="11803" max="11803" width="4.44140625" customWidth="1"/>
    <col min="11804" max="11804" width="7.5546875" customWidth="1"/>
    <col min="11805" max="11805" width="4.44140625" customWidth="1"/>
    <col min="11806" max="11806" width="6.33203125" customWidth="1"/>
    <col min="11807" max="11807" width="7.88671875" customWidth="1"/>
    <col min="11808" max="11808" width="3.44140625" customWidth="1"/>
    <col min="11809" max="11809" width="5" customWidth="1"/>
    <col min="12043" max="12043" width="1.6640625" customWidth="1"/>
    <col min="12044" max="12044" width="3.6640625" customWidth="1"/>
    <col min="12045" max="12045" width="23.44140625" customWidth="1"/>
    <col min="12046" max="12057" width="4.44140625" customWidth="1"/>
    <col min="12058" max="12058" width="6.109375" customWidth="1"/>
    <col min="12059" max="12059" width="4.44140625" customWidth="1"/>
    <col min="12060" max="12060" width="7.5546875" customWidth="1"/>
    <col min="12061" max="12061" width="4.44140625" customWidth="1"/>
    <col min="12062" max="12062" width="6.33203125" customWidth="1"/>
    <col min="12063" max="12063" width="7.88671875" customWidth="1"/>
    <col min="12064" max="12064" width="3.44140625" customWidth="1"/>
    <col min="12065" max="12065" width="5" customWidth="1"/>
    <col min="12299" max="12299" width="1.6640625" customWidth="1"/>
    <col min="12300" max="12300" width="3.6640625" customWidth="1"/>
    <col min="12301" max="12301" width="23.44140625" customWidth="1"/>
    <col min="12302" max="12313" width="4.44140625" customWidth="1"/>
    <col min="12314" max="12314" width="6.109375" customWidth="1"/>
    <col min="12315" max="12315" width="4.44140625" customWidth="1"/>
    <col min="12316" max="12316" width="7.5546875" customWidth="1"/>
    <col min="12317" max="12317" width="4.44140625" customWidth="1"/>
    <col min="12318" max="12318" width="6.33203125" customWidth="1"/>
    <col min="12319" max="12319" width="7.88671875" customWidth="1"/>
    <col min="12320" max="12320" width="3.44140625" customWidth="1"/>
    <col min="12321" max="12321" width="5" customWidth="1"/>
    <col min="12555" max="12555" width="1.6640625" customWidth="1"/>
    <col min="12556" max="12556" width="3.6640625" customWidth="1"/>
    <col min="12557" max="12557" width="23.44140625" customWidth="1"/>
    <col min="12558" max="12569" width="4.44140625" customWidth="1"/>
    <col min="12570" max="12570" width="6.109375" customWidth="1"/>
    <col min="12571" max="12571" width="4.44140625" customWidth="1"/>
    <col min="12572" max="12572" width="7.5546875" customWidth="1"/>
    <col min="12573" max="12573" width="4.44140625" customWidth="1"/>
    <col min="12574" max="12574" width="6.33203125" customWidth="1"/>
    <col min="12575" max="12575" width="7.88671875" customWidth="1"/>
    <col min="12576" max="12576" width="3.44140625" customWidth="1"/>
    <col min="12577" max="12577" width="5" customWidth="1"/>
    <col min="12811" max="12811" width="1.6640625" customWidth="1"/>
    <col min="12812" max="12812" width="3.6640625" customWidth="1"/>
    <col min="12813" max="12813" width="23.44140625" customWidth="1"/>
    <col min="12814" max="12825" width="4.44140625" customWidth="1"/>
    <col min="12826" max="12826" width="6.109375" customWidth="1"/>
    <col min="12827" max="12827" width="4.44140625" customWidth="1"/>
    <col min="12828" max="12828" width="7.5546875" customWidth="1"/>
    <col min="12829" max="12829" width="4.44140625" customWidth="1"/>
    <col min="12830" max="12830" width="6.33203125" customWidth="1"/>
    <col min="12831" max="12831" width="7.88671875" customWidth="1"/>
    <col min="12832" max="12832" width="3.44140625" customWidth="1"/>
    <col min="12833" max="12833" width="5" customWidth="1"/>
    <col min="13067" max="13067" width="1.6640625" customWidth="1"/>
    <col min="13068" max="13068" width="3.6640625" customWidth="1"/>
    <col min="13069" max="13069" width="23.44140625" customWidth="1"/>
    <col min="13070" max="13081" width="4.44140625" customWidth="1"/>
    <col min="13082" max="13082" width="6.109375" customWidth="1"/>
    <col min="13083" max="13083" width="4.44140625" customWidth="1"/>
    <col min="13084" max="13084" width="7.5546875" customWidth="1"/>
    <col min="13085" max="13085" width="4.44140625" customWidth="1"/>
    <col min="13086" max="13086" width="6.33203125" customWidth="1"/>
    <col min="13087" max="13087" width="7.88671875" customWidth="1"/>
    <col min="13088" max="13088" width="3.44140625" customWidth="1"/>
    <col min="13089" max="13089" width="5" customWidth="1"/>
    <col min="13323" max="13323" width="1.6640625" customWidth="1"/>
    <col min="13324" max="13324" width="3.6640625" customWidth="1"/>
    <col min="13325" max="13325" width="23.44140625" customWidth="1"/>
    <col min="13326" max="13337" width="4.44140625" customWidth="1"/>
    <col min="13338" max="13338" width="6.109375" customWidth="1"/>
    <col min="13339" max="13339" width="4.44140625" customWidth="1"/>
    <col min="13340" max="13340" width="7.5546875" customWidth="1"/>
    <col min="13341" max="13341" width="4.44140625" customWidth="1"/>
    <col min="13342" max="13342" width="6.33203125" customWidth="1"/>
    <col min="13343" max="13343" width="7.88671875" customWidth="1"/>
    <col min="13344" max="13344" width="3.44140625" customWidth="1"/>
    <col min="13345" max="13345" width="5" customWidth="1"/>
    <col min="13579" max="13579" width="1.6640625" customWidth="1"/>
    <col min="13580" max="13580" width="3.6640625" customWidth="1"/>
    <col min="13581" max="13581" width="23.44140625" customWidth="1"/>
    <col min="13582" max="13593" width="4.44140625" customWidth="1"/>
    <col min="13594" max="13594" width="6.109375" customWidth="1"/>
    <col min="13595" max="13595" width="4.44140625" customWidth="1"/>
    <col min="13596" max="13596" width="7.5546875" customWidth="1"/>
    <col min="13597" max="13597" width="4.44140625" customWidth="1"/>
    <col min="13598" max="13598" width="6.33203125" customWidth="1"/>
    <col min="13599" max="13599" width="7.88671875" customWidth="1"/>
    <col min="13600" max="13600" width="3.44140625" customWidth="1"/>
    <col min="13601" max="13601" width="5" customWidth="1"/>
    <col min="13835" max="13835" width="1.6640625" customWidth="1"/>
    <col min="13836" max="13836" width="3.6640625" customWidth="1"/>
    <col min="13837" max="13837" width="23.44140625" customWidth="1"/>
    <col min="13838" max="13849" width="4.44140625" customWidth="1"/>
    <col min="13850" max="13850" width="6.109375" customWidth="1"/>
    <col min="13851" max="13851" width="4.44140625" customWidth="1"/>
    <col min="13852" max="13852" width="7.5546875" customWidth="1"/>
    <col min="13853" max="13853" width="4.44140625" customWidth="1"/>
    <col min="13854" max="13854" width="6.33203125" customWidth="1"/>
    <col min="13855" max="13855" width="7.88671875" customWidth="1"/>
    <col min="13856" max="13856" width="3.44140625" customWidth="1"/>
    <col min="13857" max="13857" width="5" customWidth="1"/>
    <col min="14091" max="14091" width="1.6640625" customWidth="1"/>
    <col min="14092" max="14092" width="3.6640625" customWidth="1"/>
    <col min="14093" max="14093" width="23.44140625" customWidth="1"/>
    <col min="14094" max="14105" width="4.44140625" customWidth="1"/>
    <col min="14106" max="14106" width="6.109375" customWidth="1"/>
    <col min="14107" max="14107" width="4.44140625" customWidth="1"/>
    <col min="14108" max="14108" width="7.5546875" customWidth="1"/>
    <col min="14109" max="14109" width="4.44140625" customWidth="1"/>
    <col min="14110" max="14110" width="6.33203125" customWidth="1"/>
    <col min="14111" max="14111" width="7.88671875" customWidth="1"/>
    <col min="14112" max="14112" width="3.44140625" customWidth="1"/>
    <col min="14113" max="14113" width="5" customWidth="1"/>
    <col min="14347" max="14347" width="1.6640625" customWidth="1"/>
    <col min="14348" max="14348" width="3.6640625" customWidth="1"/>
    <col min="14349" max="14349" width="23.44140625" customWidth="1"/>
    <col min="14350" max="14361" width="4.44140625" customWidth="1"/>
    <col min="14362" max="14362" width="6.109375" customWidth="1"/>
    <col min="14363" max="14363" width="4.44140625" customWidth="1"/>
    <col min="14364" max="14364" width="7.5546875" customWidth="1"/>
    <col min="14365" max="14365" width="4.44140625" customWidth="1"/>
    <col min="14366" max="14366" width="6.33203125" customWidth="1"/>
    <col min="14367" max="14367" width="7.88671875" customWidth="1"/>
    <col min="14368" max="14368" width="3.44140625" customWidth="1"/>
    <col min="14369" max="14369" width="5" customWidth="1"/>
    <col min="14603" max="14603" width="1.6640625" customWidth="1"/>
    <col min="14604" max="14604" width="3.6640625" customWidth="1"/>
    <col min="14605" max="14605" width="23.44140625" customWidth="1"/>
    <col min="14606" max="14617" width="4.44140625" customWidth="1"/>
    <col min="14618" max="14618" width="6.109375" customWidth="1"/>
    <col min="14619" max="14619" width="4.44140625" customWidth="1"/>
    <col min="14620" max="14620" width="7.5546875" customWidth="1"/>
    <col min="14621" max="14621" width="4.44140625" customWidth="1"/>
    <col min="14622" max="14622" width="6.33203125" customWidth="1"/>
    <col min="14623" max="14623" width="7.88671875" customWidth="1"/>
    <col min="14624" max="14624" width="3.44140625" customWidth="1"/>
    <col min="14625" max="14625" width="5" customWidth="1"/>
    <col min="14859" max="14859" width="1.6640625" customWidth="1"/>
    <col min="14860" max="14860" width="3.6640625" customWidth="1"/>
    <col min="14861" max="14861" width="23.44140625" customWidth="1"/>
    <col min="14862" max="14873" width="4.44140625" customWidth="1"/>
    <col min="14874" max="14874" width="6.109375" customWidth="1"/>
    <col min="14875" max="14875" width="4.44140625" customWidth="1"/>
    <col min="14876" max="14876" width="7.5546875" customWidth="1"/>
    <col min="14877" max="14877" width="4.44140625" customWidth="1"/>
    <col min="14878" max="14878" width="6.33203125" customWidth="1"/>
    <col min="14879" max="14879" width="7.88671875" customWidth="1"/>
    <col min="14880" max="14880" width="3.44140625" customWidth="1"/>
    <col min="14881" max="14881" width="5" customWidth="1"/>
    <col min="15115" max="15115" width="1.6640625" customWidth="1"/>
    <col min="15116" max="15116" width="3.6640625" customWidth="1"/>
    <col min="15117" max="15117" width="23.44140625" customWidth="1"/>
    <col min="15118" max="15129" width="4.44140625" customWidth="1"/>
    <col min="15130" max="15130" width="6.109375" customWidth="1"/>
    <col min="15131" max="15131" width="4.44140625" customWidth="1"/>
    <col min="15132" max="15132" width="7.5546875" customWidth="1"/>
    <col min="15133" max="15133" width="4.44140625" customWidth="1"/>
    <col min="15134" max="15134" width="6.33203125" customWidth="1"/>
    <col min="15135" max="15135" width="7.88671875" customWidth="1"/>
    <col min="15136" max="15136" width="3.44140625" customWidth="1"/>
    <col min="15137" max="15137" width="5" customWidth="1"/>
    <col min="15371" max="15371" width="1.6640625" customWidth="1"/>
    <col min="15372" max="15372" width="3.6640625" customWidth="1"/>
    <col min="15373" max="15373" width="23.44140625" customWidth="1"/>
    <col min="15374" max="15385" width="4.44140625" customWidth="1"/>
    <col min="15386" max="15386" width="6.109375" customWidth="1"/>
    <col min="15387" max="15387" width="4.44140625" customWidth="1"/>
    <col min="15388" max="15388" width="7.5546875" customWidth="1"/>
    <col min="15389" max="15389" width="4.44140625" customWidth="1"/>
    <col min="15390" max="15390" width="6.33203125" customWidth="1"/>
    <col min="15391" max="15391" width="7.88671875" customWidth="1"/>
    <col min="15392" max="15392" width="3.44140625" customWidth="1"/>
    <col min="15393" max="15393" width="5" customWidth="1"/>
    <col min="15627" max="15627" width="1.6640625" customWidth="1"/>
    <col min="15628" max="15628" width="3.6640625" customWidth="1"/>
    <col min="15629" max="15629" width="23.44140625" customWidth="1"/>
    <col min="15630" max="15641" width="4.44140625" customWidth="1"/>
    <col min="15642" max="15642" width="6.109375" customWidth="1"/>
    <col min="15643" max="15643" width="4.44140625" customWidth="1"/>
    <col min="15644" max="15644" width="7.5546875" customWidth="1"/>
    <col min="15645" max="15645" width="4.44140625" customWidth="1"/>
    <col min="15646" max="15646" width="6.33203125" customWidth="1"/>
    <col min="15647" max="15647" width="7.88671875" customWidth="1"/>
    <col min="15648" max="15648" width="3.44140625" customWidth="1"/>
    <col min="15649" max="15649" width="5" customWidth="1"/>
    <col min="15883" max="15883" width="1.6640625" customWidth="1"/>
    <col min="15884" max="15884" width="3.6640625" customWidth="1"/>
    <col min="15885" max="15885" width="23.44140625" customWidth="1"/>
    <col min="15886" max="15897" width="4.44140625" customWidth="1"/>
    <col min="15898" max="15898" width="6.109375" customWidth="1"/>
    <col min="15899" max="15899" width="4.44140625" customWidth="1"/>
    <col min="15900" max="15900" width="7.5546875" customWidth="1"/>
    <col min="15901" max="15901" width="4.44140625" customWidth="1"/>
    <col min="15902" max="15902" width="6.33203125" customWidth="1"/>
    <col min="15903" max="15903" width="7.88671875" customWidth="1"/>
    <col min="15904" max="15904" width="3.44140625" customWidth="1"/>
    <col min="15905" max="15905" width="5" customWidth="1"/>
    <col min="16139" max="16139" width="1.6640625" customWidth="1"/>
    <col min="16140" max="16140" width="3.6640625" customWidth="1"/>
    <col min="16141" max="16141" width="23.44140625" customWidth="1"/>
    <col min="16142" max="16153" width="4.44140625" customWidth="1"/>
    <col min="16154" max="16154" width="6.109375" customWidth="1"/>
    <col min="16155" max="16155" width="4.44140625" customWidth="1"/>
    <col min="16156" max="16156" width="7.5546875" customWidth="1"/>
    <col min="16157" max="16157" width="4.44140625" customWidth="1"/>
    <col min="16158" max="16158" width="6.33203125" customWidth="1"/>
    <col min="16159" max="16159" width="7.88671875" customWidth="1"/>
    <col min="16160" max="16160" width="3.44140625" customWidth="1"/>
    <col min="16161" max="16161" width="5" customWidth="1"/>
  </cols>
  <sheetData>
    <row r="1" spans="1:31" ht="34.5" customHeight="1" x14ac:dyDescent="0.3">
      <c r="A1" s="280" t="s">
        <v>21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</row>
    <row r="2" spans="1:31" ht="26.25" customHeight="1" x14ac:dyDescent="0.3"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2"/>
      <c r="Z2" s="282"/>
      <c r="AA2" s="282"/>
      <c r="AB2" s="282"/>
      <c r="AC2" s="282"/>
      <c r="AD2" s="282"/>
      <c r="AE2" s="282"/>
    </row>
    <row r="3" spans="1:31" ht="13.5" customHeight="1" x14ac:dyDescent="0.3"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283"/>
      <c r="M3" s="283"/>
      <c r="N3" s="283"/>
      <c r="O3" s="283"/>
      <c r="P3" s="283"/>
      <c r="Q3" s="283"/>
      <c r="R3" s="283"/>
      <c r="S3" s="283"/>
      <c r="T3" s="178"/>
      <c r="U3" s="178"/>
      <c r="V3" s="178"/>
      <c r="W3" s="178"/>
      <c r="X3" s="178"/>
      <c r="Y3" s="178"/>
    </row>
    <row r="4" spans="1:31" ht="15.75" customHeight="1" x14ac:dyDescent="0.3">
      <c r="B4" s="278" t="s">
        <v>13</v>
      </c>
      <c r="C4" s="278"/>
      <c r="D4" s="175"/>
      <c r="E4" s="175"/>
      <c r="G4" s="18"/>
      <c r="H4" s="18"/>
      <c r="I4" s="18"/>
      <c r="J4" s="18"/>
      <c r="K4" s="18"/>
      <c r="L4" s="18" t="s">
        <v>141</v>
      </c>
      <c r="M4" s="18"/>
      <c r="N4" s="18"/>
      <c r="O4" s="18"/>
      <c r="P4" s="18"/>
      <c r="Q4" s="18"/>
      <c r="R4" s="18"/>
      <c r="S4" s="18"/>
      <c r="T4" s="15"/>
      <c r="U4" s="15"/>
      <c r="V4" s="15"/>
      <c r="W4" s="15"/>
      <c r="X4" s="15"/>
      <c r="Y4" s="279" t="s">
        <v>139</v>
      </c>
      <c r="Z4" s="279"/>
      <c r="AA4" s="279"/>
      <c r="AB4" s="279"/>
      <c r="AC4" s="279"/>
      <c r="AD4" s="279"/>
      <c r="AE4" s="279"/>
    </row>
    <row r="5" spans="1:31" ht="6.75" customHeight="1" x14ac:dyDescent="0.3"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5"/>
      <c r="U5" s="15"/>
      <c r="V5" s="15"/>
      <c r="W5" s="15"/>
      <c r="X5" s="15"/>
      <c r="Y5" s="176"/>
      <c r="Z5" s="176"/>
      <c r="AA5" s="176"/>
      <c r="AB5" s="176"/>
      <c r="AC5" s="176"/>
      <c r="AD5" s="176"/>
      <c r="AE5" s="176"/>
    </row>
    <row r="6" spans="1:31" ht="16.2" customHeight="1" x14ac:dyDescent="0.3">
      <c r="B6" s="278" t="s">
        <v>19</v>
      </c>
      <c r="C6" s="278"/>
      <c r="D6" s="175"/>
      <c r="E6" s="175"/>
      <c r="L6" s="18" t="s">
        <v>91</v>
      </c>
      <c r="M6" s="18"/>
      <c r="N6" s="18"/>
      <c r="O6" s="18"/>
      <c r="P6" s="18"/>
      <c r="Q6" s="18"/>
      <c r="R6" s="18"/>
      <c r="S6" s="18"/>
      <c r="T6" s="18"/>
      <c r="U6" s="15"/>
      <c r="V6" s="15"/>
      <c r="W6" s="15"/>
      <c r="X6" s="15"/>
      <c r="Y6" s="279" t="s">
        <v>43</v>
      </c>
      <c r="Z6" s="279"/>
      <c r="AA6" s="279"/>
      <c r="AB6" s="279"/>
      <c r="AC6" s="279"/>
      <c r="AD6" s="279"/>
      <c r="AE6" s="279"/>
    </row>
    <row r="7" spans="1:31" ht="28.5" customHeight="1" thickBot="1" x14ac:dyDescent="0.85">
      <c r="B7" s="285" t="s">
        <v>25</v>
      </c>
      <c r="C7" s="285"/>
      <c r="D7" s="285"/>
      <c r="E7" s="285"/>
      <c r="F7" s="285"/>
      <c r="G7" s="285"/>
      <c r="H7" s="285"/>
      <c r="I7" s="285"/>
      <c r="J7" s="285"/>
      <c r="K7" s="285"/>
      <c r="L7" s="285"/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5"/>
      <c r="AB7" s="285"/>
      <c r="AC7" s="285"/>
      <c r="AD7" s="285"/>
      <c r="AE7" s="285"/>
    </row>
    <row r="8" spans="1:31" ht="21" customHeight="1" thickTop="1" x14ac:dyDescent="0.3">
      <c r="B8" s="286" t="s">
        <v>16</v>
      </c>
      <c r="C8" s="288" t="s">
        <v>0</v>
      </c>
      <c r="D8" s="290" t="s">
        <v>15</v>
      </c>
      <c r="E8" s="291"/>
      <c r="F8" s="292" t="s">
        <v>22</v>
      </c>
      <c r="G8" s="293"/>
      <c r="H8" s="293"/>
      <c r="I8" s="293"/>
      <c r="J8" s="293"/>
      <c r="K8" s="294"/>
      <c r="L8" s="295" t="s">
        <v>3</v>
      </c>
      <c r="M8" s="292" t="s">
        <v>23</v>
      </c>
      <c r="N8" s="293"/>
      <c r="O8" s="293"/>
      <c r="P8" s="293"/>
      <c r="Q8" s="293"/>
      <c r="R8" s="294"/>
      <c r="S8" s="295" t="s">
        <v>3</v>
      </c>
      <c r="T8" s="292" t="s">
        <v>24</v>
      </c>
      <c r="U8" s="293"/>
      <c r="V8" s="293"/>
      <c r="W8" s="293"/>
      <c r="X8" s="293"/>
      <c r="Y8" s="294"/>
      <c r="Z8" s="297" t="s">
        <v>1</v>
      </c>
      <c r="AA8" s="299" t="s">
        <v>39</v>
      </c>
      <c r="AB8" s="301" t="s">
        <v>20</v>
      </c>
      <c r="AC8" s="303" t="s">
        <v>40</v>
      </c>
      <c r="AD8" s="305" t="s">
        <v>2</v>
      </c>
      <c r="AE8" s="307" t="s">
        <v>3</v>
      </c>
    </row>
    <row r="9" spans="1:31" ht="16.5" customHeight="1" thickBot="1" x14ac:dyDescent="0.35">
      <c r="B9" s="287"/>
      <c r="C9" s="289"/>
      <c r="D9" s="43" t="s">
        <v>17</v>
      </c>
      <c r="E9" s="36" t="s">
        <v>18</v>
      </c>
      <c r="F9" s="53" t="s">
        <v>4</v>
      </c>
      <c r="G9" s="33" t="s">
        <v>5</v>
      </c>
      <c r="H9" s="33" t="s">
        <v>37</v>
      </c>
      <c r="I9" s="33" t="s">
        <v>6</v>
      </c>
      <c r="J9" s="33" t="s">
        <v>38</v>
      </c>
      <c r="K9" s="54" t="s">
        <v>7</v>
      </c>
      <c r="L9" s="296"/>
      <c r="M9" s="53" t="s">
        <v>4</v>
      </c>
      <c r="N9" s="33" t="s">
        <v>5</v>
      </c>
      <c r="O9" s="33" t="s">
        <v>37</v>
      </c>
      <c r="P9" s="33" t="s">
        <v>6</v>
      </c>
      <c r="Q9" s="33" t="s">
        <v>38</v>
      </c>
      <c r="R9" s="54" t="s">
        <v>8</v>
      </c>
      <c r="S9" s="296"/>
      <c r="T9" s="53" t="s">
        <v>4</v>
      </c>
      <c r="U9" s="33" t="s">
        <v>5</v>
      </c>
      <c r="V9" s="33" t="s">
        <v>37</v>
      </c>
      <c r="W9" s="33" t="s">
        <v>6</v>
      </c>
      <c r="X9" s="33" t="s">
        <v>38</v>
      </c>
      <c r="Y9" s="54" t="s">
        <v>9</v>
      </c>
      <c r="Z9" s="298"/>
      <c r="AA9" s="300"/>
      <c r="AB9" s="302"/>
      <c r="AC9" s="304"/>
      <c r="AD9" s="306"/>
      <c r="AE9" s="308"/>
    </row>
    <row r="10" spans="1:31" ht="15.75" customHeight="1" thickTop="1" x14ac:dyDescent="0.3">
      <c r="B10" s="34">
        <v>1</v>
      </c>
      <c r="C10" s="196" t="s">
        <v>99</v>
      </c>
      <c r="D10" s="44"/>
      <c r="E10" s="37"/>
      <c r="F10" s="58">
        <v>13</v>
      </c>
      <c r="G10" s="31">
        <v>20</v>
      </c>
      <c r="H10" s="31"/>
      <c r="I10" s="32">
        <v>11</v>
      </c>
      <c r="J10" s="32"/>
      <c r="K10" s="55">
        <f>AVERAGE(F10,MAX(G10:H10),MAX(I10:J10))</f>
        <v>14.666666666666666</v>
      </c>
      <c r="L10" s="165" t="str">
        <f>IF(K10&gt;=10,"TRANSITA","N/TRANSITA")</f>
        <v>TRANSITA</v>
      </c>
      <c r="M10" s="58">
        <v>14</v>
      </c>
      <c r="N10" s="31">
        <v>14</v>
      </c>
      <c r="O10" s="31"/>
      <c r="P10" s="32">
        <v>14</v>
      </c>
      <c r="Q10" s="32"/>
      <c r="R10" s="55">
        <f>AVERAGE(M10,MAX(N10:O10),MAX(P10:Q10))</f>
        <v>14</v>
      </c>
      <c r="S10" s="165" t="str">
        <f>IF(R10&gt;=10,"TRANSITA","N/TRANSITA")</f>
        <v>TRANSITA</v>
      </c>
      <c r="T10" s="58"/>
      <c r="U10" s="31"/>
      <c r="V10" s="31"/>
      <c r="W10" s="32" t="e">
        <f>AVERAGE(T10:U10)</f>
        <v>#DIV/0!</v>
      </c>
      <c r="X10" s="32"/>
      <c r="Y10" s="55" t="e">
        <f>AVERAGE(T10,MAX(U10:V10),MAX(W10:X10))</f>
        <v>#DIV/0!</v>
      </c>
      <c r="Z10" s="47" t="e">
        <f t="shared" ref="Z10:Z51" si="0">SUM(K10,R10,Y10)/3</f>
        <v>#DIV/0!</v>
      </c>
      <c r="AA10" s="40" t="e">
        <f>Z10*0.4</f>
        <v>#DIV/0!</v>
      </c>
      <c r="AB10" s="61"/>
      <c r="AC10" s="50">
        <f>AB10*0.6</f>
        <v>0</v>
      </c>
      <c r="AD10" s="64" t="e">
        <f>AVERAGE(AA10+AC10)</f>
        <v>#DIV/0!</v>
      </c>
      <c r="AE10" s="163" t="e">
        <f>IF(AD10&gt;=10,"APROVADO/A","REPROVADO/A")</f>
        <v>#DIV/0!</v>
      </c>
    </row>
    <row r="11" spans="1:31" ht="15.75" customHeight="1" x14ac:dyDescent="0.3">
      <c r="B11" s="35">
        <v>2</v>
      </c>
      <c r="C11" s="197" t="s">
        <v>100</v>
      </c>
      <c r="D11" s="45"/>
      <c r="E11" s="38"/>
      <c r="F11" s="59">
        <v>19</v>
      </c>
      <c r="G11" s="27">
        <v>20</v>
      </c>
      <c r="H11" s="27"/>
      <c r="I11" s="32">
        <v>20</v>
      </c>
      <c r="J11" s="28"/>
      <c r="K11" s="56">
        <f t="shared" ref="K11:K50" si="1">AVERAGE(F11,MAX(G11:H11),MAX(I11:J11))</f>
        <v>19.666666666666668</v>
      </c>
      <c r="L11" s="166" t="str">
        <f t="shared" ref="L11:L50" si="2">IF(K11&gt;=10,"TRANSITA","N/TRANSITA")</f>
        <v>TRANSITA</v>
      </c>
      <c r="M11" s="58">
        <v>14</v>
      </c>
      <c r="N11" s="31">
        <v>14</v>
      </c>
      <c r="O11" s="31"/>
      <c r="P11" s="32">
        <v>14</v>
      </c>
      <c r="Q11" s="28"/>
      <c r="R11" s="56">
        <f t="shared" ref="R11:R51" si="3">AVERAGE(M11,MAX(N11:O11),MAX(P11:Q11))</f>
        <v>14</v>
      </c>
      <c r="S11" s="166" t="str">
        <f t="shared" ref="S11:S51" si="4">IF(R11&gt;=10,"TRANSITA","N/TRANSITA")</f>
        <v>TRANSITA</v>
      </c>
      <c r="T11" s="59"/>
      <c r="U11" s="27"/>
      <c r="V11" s="27"/>
      <c r="W11" s="32" t="e">
        <f t="shared" ref="W11:W51" si="5">AVERAGE(T11:U11)</f>
        <v>#DIV/0!</v>
      </c>
      <c r="X11" s="28"/>
      <c r="Y11" s="56" t="e">
        <f t="shared" ref="Y11:Y51" si="6">AVERAGE(T11,MAX(U11:V11),MAX(W11:X11))</f>
        <v>#DIV/0!</v>
      </c>
      <c r="Z11" s="48" t="e">
        <f t="shared" si="0"/>
        <v>#DIV/0!</v>
      </c>
      <c r="AA11" s="41" t="e">
        <f t="shared" ref="AA11:AA51" si="7">Z11*0.4</f>
        <v>#DIV/0!</v>
      </c>
      <c r="AB11" s="62"/>
      <c r="AC11" s="51">
        <f t="shared" ref="AC11:AC51" si="8">AB11*0.6</f>
        <v>0</v>
      </c>
      <c r="AD11" s="65" t="e">
        <f t="shared" ref="AD11:AD51" si="9">AVERAGE(AA11+AC11)</f>
        <v>#DIV/0!</v>
      </c>
      <c r="AE11" s="162" t="e">
        <f t="shared" ref="AE11:AE51" si="10">IF(AD11&gt;=10,"APROVADO/A","REPROVADO/A")</f>
        <v>#DIV/0!</v>
      </c>
    </row>
    <row r="12" spans="1:31" ht="15.75" customHeight="1" x14ac:dyDescent="0.3">
      <c r="B12" s="35">
        <v>3</v>
      </c>
      <c r="C12" s="197" t="s">
        <v>101</v>
      </c>
      <c r="D12" s="45"/>
      <c r="E12" s="38"/>
      <c r="F12" s="59">
        <v>18</v>
      </c>
      <c r="G12" s="27">
        <v>20</v>
      </c>
      <c r="H12" s="27"/>
      <c r="I12" s="32">
        <v>17.5</v>
      </c>
      <c r="J12" s="28"/>
      <c r="K12" s="56">
        <f t="shared" si="1"/>
        <v>18.5</v>
      </c>
      <c r="L12" s="166" t="str">
        <f t="shared" si="2"/>
        <v>TRANSITA</v>
      </c>
      <c r="M12" s="58">
        <v>14</v>
      </c>
      <c r="N12" s="31">
        <v>14</v>
      </c>
      <c r="O12" s="31"/>
      <c r="P12" s="32">
        <v>14</v>
      </c>
      <c r="Q12" s="28"/>
      <c r="R12" s="56">
        <f t="shared" si="3"/>
        <v>14</v>
      </c>
      <c r="S12" s="166" t="str">
        <f t="shared" si="4"/>
        <v>TRANSITA</v>
      </c>
      <c r="T12" s="59"/>
      <c r="U12" s="27"/>
      <c r="V12" s="27"/>
      <c r="W12" s="32" t="e">
        <f t="shared" si="5"/>
        <v>#DIV/0!</v>
      </c>
      <c r="X12" s="28"/>
      <c r="Y12" s="56" t="e">
        <f t="shared" si="6"/>
        <v>#DIV/0!</v>
      </c>
      <c r="Z12" s="48" t="e">
        <f t="shared" si="0"/>
        <v>#DIV/0!</v>
      </c>
      <c r="AA12" s="41" t="e">
        <f t="shared" si="7"/>
        <v>#DIV/0!</v>
      </c>
      <c r="AB12" s="62"/>
      <c r="AC12" s="51">
        <f t="shared" si="8"/>
        <v>0</v>
      </c>
      <c r="AD12" s="65" t="e">
        <f t="shared" si="9"/>
        <v>#DIV/0!</v>
      </c>
      <c r="AE12" s="162" t="e">
        <f t="shared" si="10"/>
        <v>#DIV/0!</v>
      </c>
    </row>
    <row r="13" spans="1:31" ht="15.75" customHeight="1" x14ac:dyDescent="0.3">
      <c r="B13" s="35">
        <v>4</v>
      </c>
      <c r="C13" s="197" t="s">
        <v>102</v>
      </c>
      <c r="D13" s="45"/>
      <c r="E13" s="38"/>
      <c r="F13" s="59">
        <v>17</v>
      </c>
      <c r="G13" s="27">
        <v>20</v>
      </c>
      <c r="H13" s="27"/>
      <c r="I13" s="32">
        <v>20</v>
      </c>
      <c r="J13" s="28"/>
      <c r="K13" s="56">
        <f t="shared" si="1"/>
        <v>19</v>
      </c>
      <c r="L13" s="166" t="str">
        <f t="shared" si="2"/>
        <v>TRANSITA</v>
      </c>
      <c r="M13" s="58">
        <v>14</v>
      </c>
      <c r="N13" s="31">
        <v>14</v>
      </c>
      <c r="O13" s="31"/>
      <c r="P13" s="32">
        <v>14</v>
      </c>
      <c r="Q13" s="28"/>
      <c r="R13" s="56">
        <f t="shared" si="3"/>
        <v>14</v>
      </c>
      <c r="S13" s="166" t="str">
        <f t="shared" si="4"/>
        <v>TRANSITA</v>
      </c>
      <c r="T13" s="59"/>
      <c r="U13" s="27"/>
      <c r="V13" s="27"/>
      <c r="W13" s="32" t="e">
        <f t="shared" si="5"/>
        <v>#DIV/0!</v>
      </c>
      <c r="X13" s="28"/>
      <c r="Y13" s="56" t="e">
        <f t="shared" si="6"/>
        <v>#DIV/0!</v>
      </c>
      <c r="Z13" s="48" t="e">
        <f t="shared" si="0"/>
        <v>#DIV/0!</v>
      </c>
      <c r="AA13" s="41" t="e">
        <f t="shared" si="7"/>
        <v>#DIV/0!</v>
      </c>
      <c r="AB13" s="62"/>
      <c r="AC13" s="51">
        <f t="shared" si="8"/>
        <v>0</v>
      </c>
      <c r="AD13" s="65" t="e">
        <f t="shared" si="9"/>
        <v>#DIV/0!</v>
      </c>
      <c r="AE13" s="162" t="e">
        <f t="shared" si="10"/>
        <v>#DIV/0!</v>
      </c>
    </row>
    <row r="14" spans="1:31" ht="15.75" customHeight="1" x14ac:dyDescent="0.3">
      <c r="B14" s="35">
        <v>5</v>
      </c>
      <c r="C14" s="197" t="s">
        <v>103</v>
      </c>
      <c r="D14" s="45"/>
      <c r="E14" s="38"/>
      <c r="F14" s="59">
        <v>19</v>
      </c>
      <c r="G14" s="27">
        <v>20</v>
      </c>
      <c r="H14" s="27"/>
      <c r="I14" s="32">
        <v>20</v>
      </c>
      <c r="J14" s="28"/>
      <c r="K14" s="56">
        <f t="shared" si="1"/>
        <v>19.666666666666668</v>
      </c>
      <c r="L14" s="166" t="str">
        <f t="shared" si="2"/>
        <v>TRANSITA</v>
      </c>
      <c r="M14" s="58">
        <v>14</v>
      </c>
      <c r="N14" s="31">
        <v>14</v>
      </c>
      <c r="O14" s="31"/>
      <c r="P14" s="32">
        <v>14</v>
      </c>
      <c r="Q14" s="28"/>
      <c r="R14" s="56">
        <f t="shared" si="3"/>
        <v>14</v>
      </c>
      <c r="S14" s="166" t="str">
        <f t="shared" si="4"/>
        <v>TRANSITA</v>
      </c>
      <c r="T14" s="59"/>
      <c r="U14" s="27"/>
      <c r="V14" s="27"/>
      <c r="W14" s="32" t="e">
        <f t="shared" si="5"/>
        <v>#DIV/0!</v>
      </c>
      <c r="X14" s="28"/>
      <c r="Y14" s="56" t="e">
        <f t="shared" si="6"/>
        <v>#DIV/0!</v>
      </c>
      <c r="Z14" s="48" t="e">
        <f t="shared" si="0"/>
        <v>#DIV/0!</v>
      </c>
      <c r="AA14" s="41" t="e">
        <f t="shared" si="7"/>
        <v>#DIV/0!</v>
      </c>
      <c r="AB14" s="62"/>
      <c r="AC14" s="51">
        <f t="shared" si="8"/>
        <v>0</v>
      </c>
      <c r="AD14" s="65" t="e">
        <f t="shared" si="9"/>
        <v>#DIV/0!</v>
      </c>
      <c r="AE14" s="162" t="e">
        <f t="shared" si="10"/>
        <v>#DIV/0!</v>
      </c>
    </row>
    <row r="15" spans="1:31" ht="15.75" customHeight="1" x14ac:dyDescent="0.3">
      <c r="B15" s="35">
        <v>6</v>
      </c>
      <c r="C15" s="197" t="s">
        <v>104</v>
      </c>
      <c r="D15" s="45"/>
      <c r="E15" s="38"/>
      <c r="F15" s="149">
        <v>16</v>
      </c>
      <c r="G15" s="148">
        <v>15</v>
      </c>
      <c r="H15" s="148"/>
      <c r="I15" s="150">
        <v>12.5</v>
      </c>
      <c r="J15" s="151"/>
      <c r="K15" s="147">
        <f t="shared" si="1"/>
        <v>14.5</v>
      </c>
      <c r="L15" s="166" t="str">
        <f t="shared" si="2"/>
        <v>TRANSITA</v>
      </c>
      <c r="M15" s="58">
        <v>14</v>
      </c>
      <c r="N15" s="31">
        <v>14</v>
      </c>
      <c r="O15" s="31"/>
      <c r="P15" s="32">
        <v>14</v>
      </c>
      <c r="Q15" s="151"/>
      <c r="R15" s="147">
        <f t="shared" si="3"/>
        <v>14</v>
      </c>
      <c r="S15" s="166" t="str">
        <f t="shared" si="4"/>
        <v>TRANSITA</v>
      </c>
      <c r="T15" s="149"/>
      <c r="U15" s="148"/>
      <c r="V15" s="148"/>
      <c r="W15" s="32" t="e">
        <f t="shared" si="5"/>
        <v>#DIV/0!</v>
      </c>
      <c r="X15" s="151"/>
      <c r="Y15" s="147" t="e">
        <f t="shared" si="6"/>
        <v>#DIV/0!</v>
      </c>
      <c r="Z15" s="152" t="e">
        <f t="shared" si="0"/>
        <v>#DIV/0!</v>
      </c>
      <c r="AA15" s="153" t="e">
        <f t="shared" si="7"/>
        <v>#DIV/0!</v>
      </c>
      <c r="AB15" s="62"/>
      <c r="AC15" s="51">
        <f t="shared" si="8"/>
        <v>0</v>
      </c>
      <c r="AD15" s="65" t="e">
        <f t="shared" si="9"/>
        <v>#DIV/0!</v>
      </c>
      <c r="AE15" s="162" t="e">
        <f t="shared" si="10"/>
        <v>#DIV/0!</v>
      </c>
    </row>
    <row r="16" spans="1:31" ht="15.75" customHeight="1" x14ac:dyDescent="0.3">
      <c r="B16" s="35">
        <v>7</v>
      </c>
      <c r="C16" s="197" t="s">
        <v>105</v>
      </c>
      <c r="D16" s="45"/>
      <c r="E16" s="38"/>
      <c r="F16" s="59">
        <v>16</v>
      </c>
      <c r="G16" s="27">
        <v>20</v>
      </c>
      <c r="H16" s="27"/>
      <c r="I16" s="32">
        <v>20</v>
      </c>
      <c r="J16" s="28"/>
      <c r="K16" s="56">
        <f t="shared" si="1"/>
        <v>18.666666666666668</v>
      </c>
      <c r="L16" s="166" t="str">
        <f t="shared" si="2"/>
        <v>TRANSITA</v>
      </c>
      <c r="M16" s="58">
        <v>14</v>
      </c>
      <c r="N16" s="31">
        <v>14</v>
      </c>
      <c r="O16" s="31"/>
      <c r="P16" s="32">
        <v>14</v>
      </c>
      <c r="Q16" s="28"/>
      <c r="R16" s="56">
        <f t="shared" si="3"/>
        <v>14</v>
      </c>
      <c r="S16" s="166" t="str">
        <f t="shared" si="4"/>
        <v>TRANSITA</v>
      </c>
      <c r="T16" s="59"/>
      <c r="U16" s="27"/>
      <c r="V16" s="27"/>
      <c r="W16" s="32" t="e">
        <f t="shared" si="5"/>
        <v>#DIV/0!</v>
      </c>
      <c r="X16" s="28"/>
      <c r="Y16" s="56" t="e">
        <f t="shared" si="6"/>
        <v>#DIV/0!</v>
      </c>
      <c r="Z16" s="48" t="e">
        <f t="shared" si="0"/>
        <v>#DIV/0!</v>
      </c>
      <c r="AA16" s="41" t="e">
        <f t="shared" si="7"/>
        <v>#DIV/0!</v>
      </c>
      <c r="AB16" s="62"/>
      <c r="AC16" s="51">
        <f t="shared" si="8"/>
        <v>0</v>
      </c>
      <c r="AD16" s="65" t="e">
        <f t="shared" si="9"/>
        <v>#DIV/0!</v>
      </c>
      <c r="AE16" s="162" t="e">
        <f t="shared" si="10"/>
        <v>#DIV/0!</v>
      </c>
    </row>
    <row r="17" spans="2:31" ht="15.75" customHeight="1" x14ac:dyDescent="0.3">
      <c r="B17" s="35">
        <v>8</v>
      </c>
      <c r="C17" s="197" t="s">
        <v>106</v>
      </c>
      <c r="D17" s="45"/>
      <c r="E17" s="38"/>
      <c r="F17" s="59">
        <v>16</v>
      </c>
      <c r="G17" s="27">
        <v>17.5</v>
      </c>
      <c r="H17" s="27"/>
      <c r="I17" s="32">
        <v>11</v>
      </c>
      <c r="J17" s="28"/>
      <c r="K17" s="56">
        <f t="shared" si="1"/>
        <v>14.833333333333334</v>
      </c>
      <c r="L17" s="166" t="str">
        <f t="shared" si="2"/>
        <v>TRANSITA</v>
      </c>
      <c r="M17" s="58">
        <v>14</v>
      </c>
      <c r="N17" s="31">
        <v>14</v>
      </c>
      <c r="O17" s="31"/>
      <c r="P17" s="32">
        <v>14</v>
      </c>
      <c r="Q17" s="28"/>
      <c r="R17" s="56">
        <f t="shared" si="3"/>
        <v>14</v>
      </c>
      <c r="S17" s="166" t="str">
        <f t="shared" si="4"/>
        <v>TRANSITA</v>
      </c>
      <c r="T17" s="59"/>
      <c r="U17" s="27"/>
      <c r="V17" s="27"/>
      <c r="W17" s="32" t="e">
        <f t="shared" si="5"/>
        <v>#DIV/0!</v>
      </c>
      <c r="X17" s="28"/>
      <c r="Y17" s="56" t="e">
        <f t="shared" si="6"/>
        <v>#DIV/0!</v>
      </c>
      <c r="Z17" s="48" t="e">
        <f t="shared" si="0"/>
        <v>#DIV/0!</v>
      </c>
      <c r="AA17" s="41" t="e">
        <f t="shared" si="7"/>
        <v>#DIV/0!</v>
      </c>
      <c r="AB17" s="62"/>
      <c r="AC17" s="51">
        <f t="shared" si="8"/>
        <v>0</v>
      </c>
      <c r="AD17" s="65" t="e">
        <f t="shared" si="9"/>
        <v>#DIV/0!</v>
      </c>
      <c r="AE17" s="162" t="e">
        <f t="shared" si="10"/>
        <v>#DIV/0!</v>
      </c>
    </row>
    <row r="18" spans="2:31" ht="15.75" customHeight="1" x14ac:dyDescent="0.3">
      <c r="B18" s="35">
        <v>9</v>
      </c>
      <c r="C18" s="197" t="s">
        <v>144</v>
      </c>
      <c r="D18" s="45"/>
      <c r="E18" s="38"/>
      <c r="F18" s="59">
        <v>17</v>
      </c>
      <c r="G18" s="27">
        <v>20</v>
      </c>
      <c r="H18" s="27"/>
      <c r="I18" s="32">
        <v>18</v>
      </c>
      <c r="J18" s="28"/>
      <c r="K18" s="56">
        <f t="shared" si="1"/>
        <v>18.333333333333332</v>
      </c>
      <c r="L18" s="166" t="str">
        <f t="shared" si="2"/>
        <v>TRANSITA</v>
      </c>
      <c r="M18" s="58">
        <v>14</v>
      </c>
      <c r="N18" s="31">
        <v>14</v>
      </c>
      <c r="O18" s="31"/>
      <c r="P18" s="32">
        <v>14</v>
      </c>
      <c r="Q18" s="28"/>
      <c r="R18" s="56">
        <f t="shared" ref="R18" si="11">AVERAGE(M18,MAX(N18:O18),MAX(P18:Q18))</f>
        <v>14</v>
      </c>
      <c r="S18" s="166" t="str">
        <f t="shared" ref="S18" si="12">IF(R18&gt;=10,"TRANSITA","N/TRANSITA")</f>
        <v>TRANSITA</v>
      </c>
      <c r="T18" s="59"/>
      <c r="U18" s="27"/>
      <c r="V18" s="27"/>
      <c r="W18" s="32" t="e">
        <f t="shared" ref="W18" si="13">AVERAGE(T18:U18)</f>
        <v>#DIV/0!</v>
      </c>
      <c r="X18" s="28"/>
      <c r="Y18" s="56" t="e">
        <f t="shared" ref="Y18" si="14">AVERAGE(T18,MAX(U18:V18),MAX(W18:X18))</f>
        <v>#DIV/0!</v>
      </c>
      <c r="Z18" s="48" t="e">
        <f t="shared" ref="Z18" si="15">SUM(K18,R18,Y18)/3</f>
        <v>#DIV/0!</v>
      </c>
      <c r="AA18" s="41" t="e">
        <f t="shared" ref="AA18" si="16">Z18*0.4</f>
        <v>#DIV/0!</v>
      </c>
      <c r="AB18" s="62"/>
      <c r="AC18" s="51">
        <f t="shared" ref="AC18" si="17">AB18*0.6</f>
        <v>0</v>
      </c>
      <c r="AD18" s="65" t="e">
        <f t="shared" ref="AD18" si="18">AVERAGE(AA18+AC18)</f>
        <v>#DIV/0!</v>
      </c>
      <c r="AE18" s="162" t="e">
        <f t="shared" ref="AE18" si="19">IF(AD18&gt;=10,"APROVADO/A","REPROVADO/A")</f>
        <v>#DIV/0!</v>
      </c>
    </row>
    <row r="19" spans="2:31" ht="15.75" customHeight="1" x14ac:dyDescent="0.3">
      <c r="B19" s="35">
        <v>10</v>
      </c>
      <c r="C19" s="197" t="s">
        <v>107</v>
      </c>
      <c r="D19" s="45"/>
      <c r="E19" s="38"/>
      <c r="F19" s="59">
        <v>18</v>
      </c>
      <c r="G19" s="27">
        <v>20</v>
      </c>
      <c r="H19" s="27"/>
      <c r="I19" s="32">
        <v>20</v>
      </c>
      <c r="J19" s="28"/>
      <c r="K19" s="56">
        <f t="shared" si="1"/>
        <v>19.333333333333332</v>
      </c>
      <c r="L19" s="166" t="str">
        <f t="shared" si="2"/>
        <v>TRANSITA</v>
      </c>
      <c r="M19" s="58">
        <v>14</v>
      </c>
      <c r="N19" s="31">
        <v>14</v>
      </c>
      <c r="O19" s="31"/>
      <c r="P19" s="32">
        <v>14</v>
      </c>
      <c r="Q19" s="28"/>
      <c r="R19" s="56">
        <f t="shared" si="3"/>
        <v>14</v>
      </c>
      <c r="S19" s="166" t="str">
        <f t="shared" si="4"/>
        <v>TRANSITA</v>
      </c>
      <c r="T19" s="59"/>
      <c r="U19" s="27"/>
      <c r="V19" s="27"/>
      <c r="W19" s="32" t="e">
        <f t="shared" si="5"/>
        <v>#DIV/0!</v>
      </c>
      <c r="X19" s="28"/>
      <c r="Y19" s="56" t="e">
        <f t="shared" si="6"/>
        <v>#DIV/0!</v>
      </c>
      <c r="Z19" s="48" t="e">
        <f t="shared" si="0"/>
        <v>#DIV/0!</v>
      </c>
      <c r="AA19" s="41" t="e">
        <f t="shared" si="7"/>
        <v>#DIV/0!</v>
      </c>
      <c r="AB19" s="62"/>
      <c r="AC19" s="51">
        <f t="shared" si="8"/>
        <v>0</v>
      </c>
      <c r="AD19" s="65" t="e">
        <f t="shared" si="9"/>
        <v>#DIV/0!</v>
      </c>
      <c r="AE19" s="162" t="e">
        <f t="shared" si="10"/>
        <v>#DIV/0!</v>
      </c>
    </row>
    <row r="20" spans="2:31" ht="15.75" customHeight="1" x14ac:dyDescent="0.3">
      <c r="B20" s="35">
        <v>11</v>
      </c>
      <c r="C20" s="197" t="s">
        <v>108</v>
      </c>
      <c r="D20" s="45"/>
      <c r="E20" s="38"/>
      <c r="F20" s="149">
        <v>18</v>
      </c>
      <c r="G20" s="148">
        <v>20</v>
      </c>
      <c r="H20" s="148"/>
      <c r="I20" s="150">
        <v>18</v>
      </c>
      <c r="J20" s="151"/>
      <c r="K20" s="147">
        <f t="shared" si="1"/>
        <v>18.666666666666668</v>
      </c>
      <c r="L20" s="166" t="str">
        <f t="shared" si="2"/>
        <v>TRANSITA</v>
      </c>
      <c r="M20" s="58">
        <v>14</v>
      </c>
      <c r="N20" s="31">
        <v>14</v>
      </c>
      <c r="O20" s="31"/>
      <c r="P20" s="32">
        <v>14</v>
      </c>
      <c r="Q20" s="151"/>
      <c r="R20" s="56">
        <f t="shared" si="3"/>
        <v>14</v>
      </c>
      <c r="S20" s="166" t="str">
        <f t="shared" si="4"/>
        <v>TRANSITA</v>
      </c>
      <c r="T20" s="59"/>
      <c r="U20" s="27"/>
      <c r="V20" s="27"/>
      <c r="W20" s="32" t="e">
        <f t="shared" si="5"/>
        <v>#DIV/0!</v>
      </c>
      <c r="X20" s="28"/>
      <c r="Y20" s="56" t="e">
        <f t="shared" si="6"/>
        <v>#DIV/0!</v>
      </c>
      <c r="Z20" s="48" t="e">
        <f t="shared" si="0"/>
        <v>#DIV/0!</v>
      </c>
      <c r="AA20" s="41" t="e">
        <f t="shared" si="7"/>
        <v>#DIV/0!</v>
      </c>
      <c r="AB20" s="62"/>
      <c r="AC20" s="51">
        <f t="shared" si="8"/>
        <v>0</v>
      </c>
      <c r="AD20" s="65" t="e">
        <f t="shared" si="9"/>
        <v>#DIV/0!</v>
      </c>
      <c r="AE20" s="162" t="e">
        <f t="shared" si="10"/>
        <v>#DIV/0!</v>
      </c>
    </row>
    <row r="21" spans="2:31" ht="15.75" customHeight="1" x14ac:dyDescent="0.3">
      <c r="B21" s="35">
        <v>12</v>
      </c>
      <c r="C21" s="197" t="s">
        <v>109</v>
      </c>
      <c r="D21" s="45"/>
      <c r="E21" s="38"/>
      <c r="F21" s="59">
        <v>15</v>
      </c>
      <c r="G21" s="27">
        <v>20</v>
      </c>
      <c r="H21" s="27"/>
      <c r="I21" s="32">
        <v>11</v>
      </c>
      <c r="J21" s="28"/>
      <c r="K21" s="56">
        <f t="shared" si="1"/>
        <v>15.333333333333334</v>
      </c>
      <c r="L21" s="166" t="str">
        <f t="shared" si="2"/>
        <v>TRANSITA</v>
      </c>
      <c r="M21" s="58">
        <v>14</v>
      </c>
      <c r="N21" s="31">
        <v>14</v>
      </c>
      <c r="O21" s="31"/>
      <c r="P21" s="32">
        <v>14</v>
      </c>
      <c r="Q21" s="28"/>
      <c r="R21" s="147">
        <f t="shared" si="3"/>
        <v>14</v>
      </c>
      <c r="S21" s="166" t="str">
        <f t="shared" si="4"/>
        <v>TRANSITA</v>
      </c>
      <c r="T21" s="149"/>
      <c r="U21" s="148"/>
      <c r="V21" s="148"/>
      <c r="W21" s="32" t="e">
        <f t="shared" si="5"/>
        <v>#DIV/0!</v>
      </c>
      <c r="X21" s="151"/>
      <c r="Y21" s="147" t="e">
        <f t="shared" si="6"/>
        <v>#DIV/0!</v>
      </c>
      <c r="Z21" s="152" t="e">
        <f t="shared" si="0"/>
        <v>#DIV/0!</v>
      </c>
      <c r="AA21" s="153" t="e">
        <f t="shared" si="7"/>
        <v>#DIV/0!</v>
      </c>
      <c r="AB21" s="62"/>
      <c r="AC21" s="51">
        <f t="shared" si="8"/>
        <v>0</v>
      </c>
      <c r="AD21" s="65" t="e">
        <f t="shared" si="9"/>
        <v>#DIV/0!</v>
      </c>
      <c r="AE21" s="162" t="e">
        <f t="shared" si="10"/>
        <v>#DIV/0!</v>
      </c>
    </row>
    <row r="22" spans="2:31" ht="15.75" customHeight="1" x14ac:dyDescent="0.3">
      <c r="B22" s="35">
        <v>13</v>
      </c>
      <c r="C22" s="197" t="s">
        <v>110</v>
      </c>
      <c r="D22" s="45"/>
      <c r="E22" s="38"/>
      <c r="F22" s="59">
        <v>18</v>
      </c>
      <c r="G22" s="27">
        <v>20</v>
      </c>
      <c r="H22" s="27"/>
      <c r="I22" s="32">
        <v>16.5</v>
      </c>
      <c r="J22" s="28"/>
      <c r="K22" s="56">
        <f t="shared" si="1"/>
        <v>18.166666666666668</v>
      </c>
      <c r="L22" s="166" t="str">
        <f t="shared" si="2"/>
        <v>TRANSITA</v>
      </c>
      <c r="M22" s="58">
        <v>14</v>
      </c>
      <c r="N22" s="31">
        <v>14</v>
      </c>
      <c r="O22" s="31"/>
      <c r="P22" s="32">
        <v>14</v>
      </c>
      <c r="Q22" s="28"/>
      <c r="R22" s="56">
        <f t="shared" si="3"/>
        <v>14</v>
      </c>
      <c r="S22" s="166" t="str">
        <f t="shared" si="4"/>
        <v>TRANSITA</v>
      </c>
      <c r="T22" s="59"/>
      <c r="U22" s="27"/>
      <c r="V22" s="27"/>
      <c r="W22" s="32" t="e">
        <f t="shared" si="5"/>
        <v>#DIV/0!</v>
      </c>
      <c r="X22" s="28"/>
      <c r="Y22" s="56" t="e">
        <f t="shared" si="6"/>
        <v>#DIV/0!</v>
      </c>
      <c r="Z22" s="48" t="e">
        <f t="shared" si="0"/>
        <v>#DIV/0!</v>
      </c>
      <c r="AA22" s="41" t="e">
        <f t="shared" si="7"/>
        <v>#DIV/0!</v>
      </c>
      <c r="AB22" s="62"/>
      <c r="AC22" s="51">
        <f t="shared" si="8"/>
        <v>0</v>
      </c>
      <c r="AD22" s="65" t="e">
        <f t="shared" si="9"/>
        <v>#DIV/0!</v>
      </c>
      <c r="AE22" s="162" t="e">
        <f t="shared" si="10"/>
        <v>#DIV/0!</v>
      </c>
    </row>
    <row r="23" spans="2:31" ht="15.75" customHeight="1" x14ac:dyDescent="0.3">
      <c r="B23" s="35">
        <v>14</v>
      </c>
      <c r="C23" s="197" t="s">
        <v>111</v>
      </c>
      <c r="D23" s="45"/>
      <c r="E23" s="38"/>
      <c r="F23" s="59">
        <v>18</v>
      </c>
      <c r="G23" s="27">
        <v>20</v>
      </c>
      <c r="H23" s="27"/>
      <c r="I23" s="32">
        <v>18</v>
      </c>
      <c r="J23" s="28"/>
      <c r="K23" s="56">
        <f t="shared" si="1"/>
        <v>18.666666666666668</v>
      </c>
      <c r="L23" s="166" t="str">
        <f t="shared" si="2"/>
        <v>TRANSITA</v>
      </c>
      <c r="M23" s="58">
        <v>14</v>
      </c>
      <c r="N23" s="31">
        <v>14</v>
      </c>
      <c r="O23" s="31"/>
      <c r="P23" s="32">
        <v>14</v>
      </c>
      <c r="Q23" s="28"/>
      <c r="R23" s="56">
        <f t="shared" si="3"/>
        <v>14</v>
      </c>
      <c r="S23" s="166" t="str">
        <f t="shared" si="4"/>
        <v>TRANSITA</v>
      </c>
      <c r="T23" s="59"/>
      <c r="U23" s="27"/>
      <c r="V23" s="27"/>
      <c r="W23" s="32" t="e">
        <f t="shared" si="5"/>
        <v>#DIV/0!</v>
      </c>
      <c r="X23" s="28"/>
      <c r="Y23" s="56" t="e">
        <f t="shared" si="6"/>
        <v>#DIV/0!</v>
      </c>
      <c r="Z23" s="48" t="e">
        <f t="shared" si="0"/>
        <v>#DIV/0!</v>
      </c>
      <c r="AA23" s="41" t="e">
        <f t="shared" si="7"/>
        <v>#DIV/0!</v>
      </c>
      <c r="AB23" s="62"/>
      <c r="AC23" s="51">
        <f t="shared" si="8"/>
        <v>0</v>
      </c>
      <c r="AD23" s="65" t="e">
        <f t="shared" si="9"/>
        <v>#DIV/0!</v>
      </c>
      <c r="AE23" s="162" t="e">
        <f t="shared" si="10"/>
        <v>#DIV/0!</v>
      </c>
    </row>
    <row r="24" spans="2:31" ht="15.75" customHeight="1" x14ac:dyDescent="0.3">
      <c r="B24" s="35">
        <v>15</v>
      </c>
      <c r="C24" s="197" t="s">
        <v>112</v>
      </c>
      <c r="D24" s="45"/>
      <c r="E24" s="38"/>
      <c r="F24" s="59">
        <v>18</v>
      </c>
      <c r="G24" s="27">
        <v>20</v>
      </c>
      <c r="H24" s="27"/>
      <c r="I24" s="32">
        <v>18</v>
      </c>
      <c r="J24" s="28"/>
      <c r="K24" s="56">
        <f t="shared" si="1"/>
        <v>18.666666666666668</v>
      </c>
      <c r="L24" s="166" t="str">
        <f t="shared" si="2"/>
        <v>TRANSITA</v>
      </c>
      <c r="M24" s="58">
        <v>14</v>
      </c>
      <c r="N24" s="31">
        <v>14</v>
      </c>
      <c r="O24" s="31"/>
      <c r="P24" s="32">
        <v>14</v>
      </c>
      <c r="Q24" s="28"/>
      <c r="R24" s="56">
        <f t="shared" si="3"/>
        <v>14</v>
      </c>
      <c r="S24" s="166" t="str">
        <f t="shared" si="4"/>
        <v>TRANSITA</v>
      </c>
      <c r="T24" s="59"/>
      <c r="U24" s="27"/>
      <c r="V24" s="27"/>
      <c r="W24" s="32" t="e">
        <f t="shared" si="5"/>
        <v>#DIV/0!</v>
      </c>
      <c r="X24" s="28"/>
      <c r="Y24" s="56" t="e">
        <f t="shared" si="6"/>
        <v>#DIV/0!</v>
      </c>
      <c r="Z24" s="48" t="e">
        <f t="shared" si="0"/>
        <v>#DIV/0!</v>
      </c>
      <c r="AA24" s="41" t="e">
        <f t="shared" si="7"/>
        <v>#DIV/0!</v>
      </c>
      <c r="AB24" s="62"/>
      <c r="AC24" s="51">
        <f t="shared" si="8"/>
        <v>0</v>
      </c>
      <c r="AD24" s="65" t="e">
        <f t="shared" si="9"/>
        <v>#DIV/0!</v>
      </c>
      <c r="AE24" s="162" t="e">
        <f t="shared" si="10"/>
        <v>#DIV/0!</v>
      </c>
    </row>
    <row r="25" spans="2:31" ht="15.75" customHeight="1" x14ac:dyDescent="0.3">
      <c r="B25" s="35">
        <v>16</v>
      </c>
      <c r="C25" s="197" t="s">
        <v>113</v>
      </c>
      <c r="D25" s="45"/>
      <c r="E25" s="38"/>
      <c r="F25" s="59">
        <v>16</v>
      </c>
      <c r="G25" s="27">
        <v>20</v>
      </c>
      <c r="H25" s="27"/>
      <c r="I25" s="32">
        <v>15</v>
      </c>
      <c r="J25" s="28"/>
      <c r="K25" s="56">
        <f t="shared" si="1"/>
        <v>17</v>
      </c>
      <c r="L25" s="166" t="str">
        <f t="shared" si="2"/>
        <v>TRANSITA</v>
      </c>
      <c r="M25" s="58">
        <v>14</v>
      </c>
      <c r="N25" s="31">
        <v>14</v>
      </c>
      <c r="O25" s="31"/>
      <c r="P25" s="32">
        <v>14</v>
      </c>
      <c r="Q25" s="28"/>
      <c r="R25" s="56">
        <f t="shared" si="3"/>
        <v>14</v>
      </c>
      <c r="S25" s="166" t="str">
        <f t="shared" si="4"/>
        <v>TRANSITA</v>
      </c>
      <c r="T25" s="59"/>
      <c r="U25" s="27"/>
      <c r="V25" s="27"/>
      <c r="W25" s="32" t="e">
        <f t="shared" si="5"/>
        <v>#DIV/0!</v>
      </c>
      <c r="X25" s="28"/>
      <c r="Y25" s="56" t="e">
        <f t="shared" si="6"/>
        <v>#DIV/0!</v>
      </c>
      <c r="Z25" s="48" t="e">
        <f t="shared" si="0"/>
        <v>#DIV/0!</v>
      </c>
      <c r="AA25" s="41" t="e">
        <f t="shared" si="7"/>
        <v>#DIV/0!</v>
      </c>
      <c r="AB25" s="62"/>
      <c r="AC25" s="51">
        <f t="shared" si="8"/>
        <v>0</v>
      </c>
      <c r="AD25" s="65" t="e">
        <f t="shared" si="9"/>
        <v>#DIV/0!</v>
      </c>
      <c r="AE25" s="162" t="e">
        <f t="shared" si="10"/>
        <v>#DIV/0!</v>
      </c>
    </row>
    <row r="26" spans="2:31" ht="15.75" customHeight="1" x14ac:dyDescent="0.3">
      <c r="B26" s="35">
        <v>17</v>
      </c>
      <c r="C26" s="197" t="s">
        <v>114</v>
      </c>
      <c r="D26" s="45"/>
      <c r="E26" s="38"/>
      <c r="F26" s="59">
        <v>18</v>
      </c>
      <c r="G26" s="27">
        <v>20</v>
      </c>
      <c r="H26" s="27"/>
      <c r="I26" s="32">
        <v>20</v>
      </c>
      <c r="J26" s="28"/>
      <c r="K26" s="56">
        <f t="shared" si="1"/>
        <v>19.333333333333332</v>
      </c>
      <c r="L26" s="166" t="str">
        <f t="shared" si="2"/>
        <v>TRANSITA</v>
      </c>
      <c r="M26" s="58">
        <v>14</v>
      </c>
      <c r="N26" s="31">
        <v>14</v>
      </c>
      <c r="O26" s="31"/>
      <c r="P26" s="32">
        <v>14</v>
      </c>
      <c r="Q26" s="28"/>
      <c r="R26" s="56">
        <f t="shared" si="3"/>
        <v>14</v>
      </c>
      <c r="S26" s="166" t="str">
        <f t="shared" si="4"/>
        <v>TRANSITA</v>
      </c>
      <c r="T26" s="59"/>
      <c r="U26" s="27"/>
      <c r="V26" s="27"/>
      <c r="W26" s="32" t="e">
        <f t="shared" si="5"/>
        <v>#DIV/0!</v>
      </c>
      <c r="X26" s="28"/>
      <c r="Y26" s="56" t="e">
        <f t="shared" si="6"/>
        <v>#DIV/0!</v>
      </c>
      <c r="Z26" s="48" t="e">
        <f t="shared" si="0"/>
        <v>#DIV/0!</v>
      </c>
      <c r="AA26" s="41" t="e">
        <f t="shared" si="7"/>
        <v>#DIV/0!</v>
      </c>
      <c r="AB26" s="62"/>
      <c r="AC26" s="51">
        <f t="shared" si="8"/>
        <v>0</v>
      </c>
      <c r="AD26" s="65" t="e">
        <f t="shared" si="9"/>
        <v>#DIV/0!</v>
      </c>
      <c r="AE26" s="162" t="e">
        <f t="shared" si="10"/>
        <v>#DIV/0!</v>
      </c>
    </row>
    <row r="27" spans="2:31" ht="15.75" customHeight="1" x14ac:dyDescent="0.3">
      <c r="B27" s="35">
        <v>18</v>
      </c>
      <c r="C27" s="197" t="s">
        <v>115</v>
      </c>
      <c r="D27" s="45"/>
      <c r="E27" s="38"/>
      <c r="F27" s="59">
        <v>17</v>
      </c>
      <c r="G27" s="27">
        <v>20</v>
      </c>
      <c r="H27" s="27"/>
      <c r="I27" s="32">
        <v>18</v>
      </c>
      <c r="J27" s="28"/>
      <c r="K27" s="56">
        <f t="shared" si="1"/>
        <v>18.333333333333332</v>
      </c>
      <c r="L27" s="166" t="str">
        <f t="shared" si="2"/>
        <v>TRANSITA</v>
      </c>
      <c r="M27" s="58">
        <v>14</v>
      </c>
      <c r="N27" s="31">
        <v>14</v>
      </c>
      <c r="O27" s="31"/>
      <c r="P27" s="32">
        <v>14</v>
      </c>
      <c r="Q27" s="28"/>
      <c r="R27" s="56">
        <f t="shared" si="3"/>
        <v>14</v>
      </c>
      <c r="S27" s="166" t="str">
        <f t="shared" si="4"/>
        <v>TRANSITA</v>
      </c>
      <c r="T27" s="59"/>
      <c r="U27" s="27"/>
      <c r="V27" s="27"/>
      <c r="W27" s="32" t="e">
        <f t="shared" si="5"/>
        <v>#DIV/0!</v>
      </c>
      <c r="X27" s="28"/>
      <c r="Y27" s="56" t="e">
        <f t="shared" si="6"/>
        <v>#DIV/0!</v>
      </c>
      <c r="Z27" s="48" t="e">
        <f t="shared" si="0"/>
        <v>#DIV/0!</v>
      </c>
      <c r="AA27" s="41" t="e">
        <f t="shared" si="7"/>
        <v>#DIV/0!</v>
      </c>
      <c r="AB27" s="62"/>
      <c r="AC27" s="51">
        <f t="shared" si="8"/>
        <v>0</v>
      </c>
      <c r="AD27" s="65" t="e">
        <f t="shared" si="9"/>
        <v>#DIV/0!</v>
      </c>
      <c r="AE27" s="162" t="e">
        <f t="shared" si="10"/>
        <v>#DIV/0!</v>
      </c>
    </row>
    <row r="28" spans="2:31" ht="15.75" customHeight="1" x14ac:dyDescent="0.3">
      <c r="B28" s="35">
        <v>19</v>
      </c>
      <c r="C28" s="197" t="s">
        <v>116</v>
      </c>
      <c r="D28" s="45"/>
      <c r="E28" s="38"/>
      <c r="F28" s="59">
        <v>18</v>
      </c>
      <c r="G28" s="27">
        <v>20</v>
      </c>
      <c r="H28" s="27"/>
      <c r="I28" s="32">
        <v>11</v>
      </c>
      <c r="J28" s="28"/>
      <c r="K28" s="56">
        <f t="shared" si="1"/>
        <v>16.333333333333332</v>
      </c>
      <c r="L28" s="166" t="str">
        <f t="shared" si="2"/>
        <v>TRANSITA</v>
      </c>
      <c r="M28" s="58">
        <v>14</v>
      </c>
      <c r="N28" s="31">
        <v>14</v>
      </c>
      <c r="O28" s="31"/>
      <c r="P28" s="32">
        <v>14</v>
      </c>
      <c r="Q28" s="28"/>
      <c r="R28" s="56">
        <f t="shared" si="3"/>
        <v>14</v>
      </c>
      <c r="S28" s="166" t="str">
        <f t="shared" si="4"/>
        <v>TRANSITA</v>
      </c>
      <c r="T28" s="59"/>
      <c r="U28" s="27"/>
      <c r="V28" s="27"/>
      <c r="W28" s="32" t="e">
        <f t="shared" si="5"/>
        <v>#DIV/0!</v>
      </c>
      <c r="X28" s="28"/>
      <c r="Y28" s="56" t="e">
        <f t="shared" si="6"/>
        <v>#DIV/0!</v>
      </c>
      <c r="Z28" s="48" t="e">
        <f t="shared" si="0"/>
        <v>#DIV/0!</v>
      </c>
      <c r="AA28" s="41" t="e">
        <f t="shared" si="7"/>
        <v>#DIV/0!</v>
      </c>
      <c r="AB28" s="62"/>
      <c r="AC28" s="51">
        <f t="shared" si="8"/>
        <v>0</v>
      </c>
      <c r="AD28" s="65" t="e">
        <f t="shared" si="9"/>
        <v>#DIV/0!</v>
      </c>
      <c r="AE28" s="162" t="e">
        <f t="shared" si="10"/>
        <v>#DIV/0!</v>
      </c>
    </row>
    <row r="29" spans="2:31" ht="15.75" customHeight="1" x14ac:dyDescent="0.3">
      <c r="B29" s="35">
        <v>20</v>
      </c>
      <c r="C29" s="197" t="s">
        <v>117</v>
      </c>
      <c r="D29" s="45"/>
      <c r="E29" s="38"/>
      <c r="F29" s="156">
        <v>17</v>
      </c>
      <c r="G29" s="155">
        <v>20</v>
      </c>
      <c r="H29" s="155"/>
      <c r="I29" s="157">
        <v>20</v>
      </c>
      <c r="J29" s="158"/>
      <c r="K29" s="154">
        <f t="shared" si="1"/>
        <v>19</v>
      </c>
      <c r="L29" s="166" t="str">
        <f t="shared" si="2"/>
        <v>TRANSITA</v>
      </c>
      <c r="M29" s="58">
        <v>14</v>
      </c>
      <c r="N29" s="31">
        <v>14</v>
      </c>
      <c r="O29" s="31"/>
      <c r="P29" s="32">
        <v>14</v>
      </c>
      <c r="Q29" s="158"/>
      <c r="R29" s="56">
        <f t="shared" si="3"/>
        <v>14</v>
      </c>
      <c r="S29" s="166" t="str">
        <f t="shared" si="4"/>
        <v>TRANSITA</v>
      </c>
      <c r="T29" s="59"/>
      <c r="U29" s="27"/>
      <c r="V29" s="27"/>
      <c r="W29" s="32" t="e">
        <f t="shared" si="5"/>
        <v>#DIV/0!</v>
      </c>
      <c r="X29" s="28"/>
      <c r="Y29" s="56" t="e">
        <f t="shared" si="6"/>
        <v>#DIV/0!</v>
      </c>
      <c r="Z29" s="48" t="e">
        <f t="shared" si="0"/>
        <v>#DIV/0!</v>
      </c>
      <c r="AA29" s="41" t="e">
        <f t="shared" si="7"/>
        <v>#DIV/0!</v>
      </c>
      <c r="AB29" s="62"/>
      <c r="AC29" s="51">
        <f t="shared" si="8"/>
        <v>0</v>
      </c>
      <c r="AD29" s="65" t="e">
        <f t="shared" si="9"/>
        <v>#DIV/0!</v>
      </c>
      <c r="AE29" s="162" t="e">
        <f t="shared" si="10"/>
        <v>#DIV/0!</v>
      </c>
    </row>
    <row r="30" spans="2:31" ht="15.75" customHeight="1" x14ac:dyDescent="0.3">
      <c r="B30" s="35">
        <v>21</v>
      </c>
      <c r="C30" s="197" t="s">
        <v>118</v>
      </c>
      <c r="D30" s="45"/>
      <c r="E30" s="38"/>
      <c r="F30" s="59">
        <v>16</v>
      </c>
      <c r="G30" s="27">
        <v>15</v>
      </c>
      <c r="H30" s="27"/>
      <c r="I30" s="32">
        <v>11.5</v>
      </c>
      <c r="J30" s="28"/>
      <c r="K30" s="56">
        <f t="shared" si="1"/>
        <v>14.166666666666666</v>
      </c>
      <c r="L30" s="166" t="str">
        <f t="shared" si="2"/>
        <v>TRANSITA</v>
      </c>
      <c r="M30" s="58">
        <v>14</v>
      </c>
      <c r="N30" s="31">
        <v>14</v>
      </c>
      <c r="O30" s="31"/>
      <c r="P30" s="32">
        <v>14</v>
      </c>
      <c r="Q30" s="28"/>
      <c r="R30" s="154">
        <f t="shared" si="3"/>
        <v>14</v>
      </c>
      <c r="S30" s="166" t="str">
        <f t="shared" si="4"/>
        <v>TRANSITA</v>
      </c>
      <c r="T30" s="156"/>
      <c r="U30" s="155"/>
      <c r="V30" s="155"/>
      <c r="W30" s="32" t="e">
        <f t="shared" si="5"/>
        <v>#DIV/0!</v>
      </c>
      <c r="X30" s="158"/>
      <c r="Y30" s="154" t="e">
        <f t="shared" si="6"/>
        <v>#DIV/0!</v>
      </c>
      <c r="Z30" s="159" t="e">
        <f t="shared" si="0"/>
        <v>#DIV/0!</v>
      </c>
      <c r="AA30" s="160" t="e">
        <f t="shared" si="7"/>
        <v>#DIV/0!</v>
      </c>
      <c r="AB30" s="62"/>
      <c r="AC30" s="51">
        <f t="shared" si="8"/>
        <v>0</v>
      </c>
      <c r="AD30" s="65" t="e">
        <f t="shared" si="9"/>
        <v>#DIV/0!</v>
      </c>
      <c r="AE30" s="162" t="e">
        <f t="shared" si="10"/>
        <v>#DIV/0!</v>
      </c>
    </row>
    <row r="31" spans="2:31" ht="15.75" customHeight="1" x14ac:dyDescent="0.3">
      <c r="B31" s="35">
        <v>22</v>
      </c>
      <c r="C31" s="197" t="s">
        <v>119</v>
      </c>
      <c r="D31" s="45"/>
      <c r="E31" s="38"/>
      <c r="F31" s="59">
        <v>15</v>
      </c>
      <c r="G31" s="27">
        <v>16</v>
      </c>
      <c r="H31" s="27"/>
      <c r="I31" s="32">
        <v>16</v>
      </c>
      <c r="J31" s="28"/>
      <c r="K31" s="56">
        <f t="shared" si="1"/>
        <v>15.666666666666666</v>
      </c>
      <c r="L31" s="166" t="str">
        <f t="shared" si="2"/>
        <v>TRANSITA</v>
      </c>
      <c r="M31" s="58">
        <v>14</v>
      </c>
      <c r="N31" s="31">
        <v>14</v>
      </c>
      <c r="O31" s="31"/>
      <c r="P31" s="32">
        <v>14</v>
      </c>
      <c r="Q31" s="28"/>
      <c r="R31" s="56">
        <f t="shared" si="3"/>
        <v>14</v>
      </c>
      <c r="S31" s="166" t="str">
        <f t="shared" si="4"/>
        <v>TRANSITA</v>
      </c>
      <c r="T31" s="59"/>
      <c r="U31" s="27"/>
      <c r="V31" s="27"/>
      <c r="W31" s="32" t="e">
        <f t="shared" si="5"/>
        <v>#DIV/0!</v>
      </c>
      <c r="X31" s="28"/>
      <c r="Y31" s="56" t="e">
        <f t="shared" si="6"/>
        <v>#DIV/0!</v>
      </c>
      <c r="Z31" s="48" t="e">
        <f t="shared" si="0"/>
        <v>#DIV/0!</v>
      </c>
      <c r="AA31" s="41" t="e">
        <f t="shared" si="7"/>
        <v>#DIV/0!</v>
      </c>
      <c r="AB31" s="62"/>
      <c r="AC31" s="51">
        <f t="shared" si="8"/>
        <v>0</v>
      </c>
      <c r="AD31" s="65" t="e">
        <f t="shared" si="9"/>
        <v>#DIV/0!</v>
      </c>
      <c r="AE31" s="162" t="e">
        <f t="shared" si="10"/>
        <v>#DIV/0!</v>
      </c>
    </row>
    <row r="32" spans="2:31" ht="15.75" customHeight="1" x14ac:dyDescent="0.3">
      <c r="B32" s="35">
        <v>23</v>
      </c>
      <c r="C32" s="197" t="s">
        <v>120</v>
      </c>
      <c r="D32" s="45"/>
      <c r="E32" s="38"/>
      <c r="F32" s="59">
        <v>12</v>
      </c>
      <c r="G32" s="27">
        <v>12</v>
      </c>
      <c r="H32" s="27"/>
      <c r="I32" s="32">
        <v>14</v>
      </c>
      <c r="J32" s="28"/>
      <c r="K32" s="56">
        <f t="shared" si="1"/>
        <v>12.666666666666666</v>
      </c>
      <c r="L32" s="166" t="str">
        <f t="shared" si="2"/>
        <v>TRANSITA</v>
      </c>
      <c r="M32" s="58">
        <v>14</v>
      </c>
      <c r="N32" s="31">
        <v>14</v>
      </c>
      <c r="O32" s="31"/>
      <c r="P32" s="32">
        <v>14</v>
      </c>
      <c r="Q32" s="28"/>
      <c r="R32" s="56">
        <f t="shared" si="3"/>
        <v>14</v>
      </c>
      <c r="S32" s="166" t="str">
        <f t="shared" si="4"/>
        <v>TRANSITA</v>
      </c>
      <c r="T32" s="59"/>
      <c r="U32" s="27"/>
      <c r="V32" s="27"/>
      <c r="W32" s="32" t="e">
        <f t="shared" si="5"/>
        <v>#DIV/0!</v>
      </c>
      <c r="X32" s="28"/>
      <c r="Y32" s="56" t="e">
        <f t="shared" si="6"/>
        <v>#DIV/0!</v>
      </c>
      <c r="Z32" s="48" t="e">
        <f t="shared" si="0"/>
        <v>#DIV/0!</v>
      </c>
      <c r="AA32" s="41" t="e">
        <f t="shared" si="7"/>
        <v>#DIV/0!</v>
      </c>
      <c r="AB32" s="62"/>
      <c r="AC32" s="51">
        <f t="shared" si="8"/>
        <v>0</v>
      </c>
      <c r="AD32" s="65" t="e">
        <f t="shared" si="9"/>
        <v>#DIV/0!</v>
      </c>
      <c r="AE32" s="162" t="e">
        <f t="shared" si="10"/>
        <v>#DIV/0!</v>
      </c>
    </row>
    <row r="33" spans="2:31" ht="15.75" customHeight="1" x14ac:dyDescent="0.3">
      <c r="B33" s="35">
        <v>24</v>
      </c>
      <c r="C33" s="197" t="s">
        <v>121</v>
      </c>
      <c r="D33" s="45"/>
      <c r="E33" s="38"/>
      <c r="F33" s="59">
        <v>19</v>
      </c>
      <c r="G33" s="27">
        <v>20</v>
      </c>
      <c r="H33" s="27"/>
      <c r="I33" s="32">
        <v>20</v>
      </c>
      <c r="J33" s="28"/>
      <c r="K33" s="56">
        <f t="shared" si="1"/>
        <v>19.666666666666668</v>
      </c>
      <c r="L33" s="166" t="str">
        <f t="shared" si="2"/>
        <v>TRANSITA</v>
      </c>
      <c r="M33" s="58">
        <v>14</v>
      </c>
      <c r="N33" s="31">
        <v>14</v>
      </c>
      <c r="O33" s="31"/>
      <c r="P33" s="32">
        <v>14</v>
      </c>
      <c r="Q33" s="28"/>
      <c r="R33" s="56">
        <f t="shared" si="3"/>
        <v>14</v>
      </c>
      <c r="S33" s="166" t="str">
        <f t="shared" si="4"/>
        <v>TRANSITA</v>
      </c>
      <c r="T33" s="59"/>
      <c r="U33" s="27"/>
      <c r="V33" s="27"/>
      <c r="W33" s="32" t="e">
        <f t="shared" si="5"/>
        <v>#DIV/0!</v>
      </c>
      <c r="X33" s="28"/>
      <c r="Y33" s="56" t="e">
        <f t="shared" si="6"/>
        <v>#DIV/0!</v>
      </c>
      <c r="Z33" s="48" t="e">
        <f t="shared" si="0"/>
        <v>#DIV/0!</v>
      </c>
      <c r="AA33" s="41" t="e">
        <f t="shared" si="7"/>
        <v>#DIV/0!</v>
      </c>
      <c r="AB33" s="62"/>
      <c r="AC33" s="51">
        <f t="shared" si="8"/>
        <v>0</v>
      </c>
      <c r="AD33" s="65" t="e">
        <f t="shared" si="9"/>
        <v>#DIV/0!</v>
      </c>
      <c r="AE33" s="162" t="e">
        <f t="shared" si="10"/>
        <v>#DIV/0!</v>
      </c>
    </row>
    <row r="34" spans="2:31" ht="15.75" customHeight="1" x14ac:dyDescent="0.3">
      <c r="B34" s="35">
        <v>25</v>
      </c>
      <c r="C34" s="197" t="s">
        <v>122</v>
      </c>
      <c r="D34" s="45"/>
      <c r="E34" s="38"/>
      <c r="F34" s="59">
        <v>16</v>
      </c>
      <c r="G34" s="27">
        <v>16</v>
      </c>
      <c r="H34" s="27"/>
      <c r="I34" s="32">
        <v>10</v>
      </c>
      <c r="J34" s="28"/>
      <c r="K34" s="56">
        <f t="shared" si="1"/>
        <v>14</v>
      </c>
      <c r="L34" s="166" t="str">
        <f t="shared" si="2"/>
        <v>TRANSITA</v>
      </c>
      <c r="M34" s="58">
        <v>14</v>
      </c>
      <c r="N34" s="31">
        <v>14</v>
      </c>
      <c r="O34" s="31"/>
      <c r="P34" s="32">
        <v>14</v>
      </c>
      <c r="Q34" s="28"/>
      <c r="R34" s="56">
        <f t="shared" si="3"/>
        <v>14</v>
      </c>
      <c r="S34" s="166" t="str">
        <f t="shared" si="4"/>
        <v>TRANSITA</v>
      </c>
      <c r="T34" s="59"/>
      <c r="U34" s="27"/>
      <c r="V34" s="27"/>
      <c r="W34" s="32" t="e">
        <f t="shared" si="5"/>
        <v>#DIV/0!</v>
      </c>
      <c r="X34" s="28"/>
      <c r="Y34" s="56" t="e">
        <f t="shared" si="6"/>
        <v>#DIV/0!</v>
      </c>
      <c r="Z34" s="48" t="e">
        <f t="shared" si="0"/>
        <v>#DIV/0!</v>
      </c>
      <c r="AA34" s="41" t="e">
        <f t="shared" si="7"/>
        <v>#DIV/0!</v>
      </c>
      <c r="AB34" s="62"/>
      <c r="AC34" s="51">
        <f t="shared" si="8"/>
        <v>0</v>
      </c>
      <c r="AD34" s="65" t="e">
        <f t="shared" si="9"/>
        <v>#DIV/0!</v>
      </c>
      <c r="AE34" s="162" t="e">
        <f t="shared" si="10"/>
        <v>#DIV/0!</v>
      </c>
    </row>
    <row r="35" spans="2:31" ht="15.75" customHeight="1" x14ac:dyDescent="0.3">
      <c r="B35" s="35">
        <v>26</v>
      </c>
      <c r="C35" s="197" t="s">
        <v>123</v>
      </c>
      <c r="D35" s="45"/>
      <c r="E35" s="38"/>
      <c r="F35" s="59">
        <v>17</v>
      </c>
      <c r="G35" s="27">
        <v>18</v>
      </c>
      <c r="H35" s="27"/>
      <c r="I35" s="32">
        <v>13.5</v>
      </c>
      <c r="J35" s="28"/>
      <c r="K35" s="56">
        <f t="shared" si="1"/>
        <v>16.166666666666668</v>
      </c>
      <c r="L35" s="166" t="str">
        <f t="shared" si="2"/>
        <v>TRANSITA</v>
      </c>
      <c r="M35" s="58">
        <v>14</v>
      </c>
      <c r="N35" s="31">
        <v>14</v>
      </c>
      <c r="O35" s="31"/>
      <c r="P35" s="32">
        <v>14</v>
      </c>
      <c r="Q35" s="28"/>
      <c r="R35" s="56">
        <f t="shared" si="3"/>
        <v>14</v>
      </c>
      <c r="S35" s="166" t="str">
        <f t="shared" si="4"/>
        <v>TRANSITA</v>
      </c>
      <c r="T35" s="59"/>
      <c r="U35" s="27"/>
      <c r="V35" s="27"/>
      <c r="W35" s="32" t="e">
        <f t="shared" si="5"/>
        <v>#DIV/0!</v>
      </c>
      <c r="X35" s="28"/>
      <c r="Y35" s="56" t="e">
        <f t="shared" si="6"/>
        <v>#DIV/0!</v>
      </c>
      <c r="Z35" s="48" t="e">
        <f t="shared" si="0"/>
        <v>#DIV/0!</v>
      </c>
      <c r="AA35" s="41" t="e">
        <f t="shared" si="7"/>
        <v>#DIV/0!</v>
      </c>
      <c r="AB35" s="62"/>
      <c r="AC35" s="51">
        <f t="shared" si="8"/>
        <v>0</v>
      </c>
      <c r="AD35" s="65" t="e">
        <f t="shared" si="9"/>
        <v>#DIV/0!</v>
      </c>
      <c r="AE35" s="162" t="e">
        <f t="shared" si="10"/>
        <v>#DIV/0!</v>
      </c>
    </row>
    <row r="36" spans="2:31" ht="15.75" customHeight="1" x14ac:dyDescent="0.3">
      <c r="B36" s="35">
        <v>27</v>
      </c>
      <c r="C36" s="197" t="s">
        <v>124</v>
      </c>
      <c r="D36" s="45"/>
      <c r="E36" s="38"/>
      <c r="F36" s="149">
        <v>16</v>
      </c>
      <c r="G36" s="148">
        <v>17</v>
      </c>
      <c r="H36" s="148"/>
      <c r="I36" s="150">
        <v>12</v>
      </c>
      <c r="J36" s="151"/>
      <c r="K36" s="147">
        <f t="shared" si="1"/>
        <v>15</v>
      </c>
      <c r="L36" s="166" t="str">
        <f t="shared" si="2"/>
        <v>TRANSITA</v>
      </c>
      <c r="M36" s="58">
        <v>14</v>
      </c>
      <c r="N36" s="31">
        <v>14</v>
      </c>
      <c r="O36" s="31"/>
      <c r="P36" s="32">
        <v>14</v>
      </c>
      <c r="Q36" s="151"/>
      <c r="R36" s="56">
        <f t="shared" si="3"/>
        <v>14</v>
      </c>
      <c r="S36" s="166" t="str">
        <f t="shared" si="4"/>
        <v>TRANSITA</v>
      </c>
      <c r="T36" s="59"/>
      <c r="U36" s="27"/>
      <c r="V36" s="27"/>
      <c r="W36" s="32" t="e">
        <f t="shared" si="5"/>
        <v>#DIV/0!</v>
      </c>
      <c r="X36" s="28"/>
      <c r="Y36" s="56" t="e">
        <f t="shared" si="6"/>
        <v>#DIV/0!</v>
      </c>
      <c r="Z36" s="48" t="e">
        <f t="shared" si="0"/>
        <v>#DIV/0!</v>
      </c>
      <c r="AA36" s="41" t="e">
        <f t="shared" si="7"/>
        <v>#DIV/0!</v>
      </c>
      <c r="AB36" s="62"/>
      <c r="AC36" s="51">
        <f t="shared" si="8"/>
        <v>0</v>
      </c>
      <c r="AD36" s="65" t="e">
        <f t="shared" si="9"/>
        <v>#DIV/0!</v>
      </c>
      <c r="AE36" s="162" t="e">
        <f t="shared" si="10"/>
        <v>#DIV/0!</v>
      </c>
    </row>
    <row r="37" spans="2:31" ht="15.75" customHeight="1" x14ac:dyDescent="0.3">
      <c r="B37" s="35">
        <v>28</v>
      </c>
      <c r="C37" s="197" t="s">
        <v>125</v>
      </c>
      <c r="D37" s="45"/>
      <c r="E37" s="38"/>
      <c r="F37" s="59">
        <v>12</v>
      </c>
      <c r="G37" s="27">
        <v>20</v>
      </c>
      <c r="H37" s="27"/>
      <c r="I37" s="32">
        <v>15</v>
      </c>
      <c r="J37" s="28"/>
      <c r="K37" s="56">
        <f t="shared" si="1"/>
        <v>15.666666666666666</v>
      </c>
      <c r="L37" s="166" t="str">
        <f t="shared" si="2"/>
        <v>TRANSITA</v>
      </c>
      <c r="M37" s="58">
        <v>14</v>
      </c>
      <c r="N37" s="31">
        <v>14</v>
      </c>
      <c r="O37" s="31"/>
      <c r="P37" s="32">
        <v>14</v>
      </c>
      <c r="Q37" s="28"/>
      <c r="R37" s="147">
        <f t="shared" si="3"/>
        <v>14</v>
      </c>
      <c r="S37" s="166" t="str">
        <f t="shared" si="4"/>
        <v>TRANSITA</v>
      </c>
      <c r="T37" s="149"/>
      <c r="U37" s="148"/>
      <c r="V37" s="148"/>
      <c r="W37" s="32" t="e">
        <f t="shared" si="5"/>
        <v>#DIV/0!</v>
      </c>
      <c r="X37" s="151"/>
      <c r="Y37" s="147" t="e">
        <f t="shared" si="6"/>
        <v>#DIV/0!</v>
      </c>
      <c r="Z37" s="152" t="e">
        <f t="shared" si="0"/>
        <v>#DIV/0!</v>
      </c>
      <c r="AA37" s="153" t="e">
        <f t="shared" si="7"/>
        <v>#DIV/0!</v>
      </c>
      <c r="AB37" s="62"/>
      <c r="AC37" s="51">
        <f t="shared" si="8"/>
        <v>0</v>
      </c>
      <c r="AD37" s="65" t="e">
        <f t="shared" si="9"/>
        <v>#DIV/0!</v>
      </c>
      <c r="AE37" s="162" t="e">
        <f t="shared" si="10"/>
        <v>#DIV/0!</v>
      </c>
    </row>
    <row r="38" spans="2:31" ht="15.75" customHeight="1" x14ac:dyDescent="0.3">
      <c r="B38" s="35">
        <v>29</v>
      </c>
      <c r="C38" s="197" t="s">
        <v>126</v>
      </c>
      <c r="D38" s="45"/>
      <c r="E38" s="38"/>
      <c r="F38" s="59">
        <v>19</v>
      </c>
      <c r="G38" s="27">
        <v>20</v>
      </c>
      <c r="H38" s="27"/>
      <c r="I38" s="32">
        <v>20</v>
      </c>
      <c r="J38" s="28"/>
      <c r="K38" s="56">
        <f t="shared" si="1"/>
        <v>19.666666666666668</v>
      </c>
      <c r="L38" s="166" t="str">
        <f t="shared" si="2"/>
        <v>TRANSITA</v>
      </c>
      <c r="M38" s="58">
        <v>14</v>
      </c>
      <c r="N38" s="31">
        <v>14</v>
      </c>
      <c r="O38" s="31"/>
      <c r="P38" s="32">
        <v>14</v>
      </c>
      <c r="Q38" s="28"/>
      <c r="R38" s="56">
        <f t="shared" si="3"/>
        <v>14</v>
      </c>
      <c r="S38" s="166" t="str">
        <f t="shared" si="4"/>
        <v>TRANSITA</v>
      </c>
      <c r="T38" s="59"/>
      <c r="U38" s="27"/>
      <c r="V38" s="27"/>
      <c r="W38" s="32" t="e">
        <f t="shared" si="5"/>
        <v>#DIV/0!</v>
      </c>
      <c r="X38" s="28"/>
      <c r="Y38" s="56" t="e">
        <f t="shared" si="6"/>
        <v>#DIV/0!</v>
      </c>
      <c r="Z38" s="48" t="e">
        <f t="shared" si="0"/>
        <v>#DIV/0!</v>
      </c>
      <c r="AA38" s="41" t="e">
        <f t="shared" si="7"/>
        <v>#DIV/0!</v>
      </c>
      <c r="AB38" s="62"/>
      <c r="AC38" s="51">
        <f t="shared" si="8"/>
        <v>0</v>
      </c>
      <c r="AD38" s="65" t="e">
        <f t="shared" si="9"/>
        <v>#DIV/0!</v>
      </c>
      <c r="AE38" s="162" t="e">
        <f t="shared" si="10"/>
        <v>#DIV/0!</v>
      </c>
    </row>
    <row r="39" spans="2:31" ht="15.75" customHeight="1" x14ac:dyDescent="0.3">
      <c r="B39" s="35">
        <v>30</v>
      </c>
      <c r="C39" s="197" t="s">
        <v>127</v>
      </c>
      <c r="D39" s="45"/>
      <c r="E39" s="38"/>
      <c r="F39" s="59">
        <v>16</v>
      </c>
      <c r="G39" s="27">
        <v>20</v>
      </c>
      <c r="H39" s="27"/>
      <c r="I39" s="32">
        <v>10</v>
      </c>
      <c r="J39" s="28"/>
      <c r="K39" s="56">
        <f t="shared" si="1"/>
        <v>15.333333333333334</v>
      </c>
      <c r="L39" s="166" t="str">
        <f t="shared" si="2"/>
        <v>TRANSITA</v>
      </c>
      <c r="M39" s="58">
        <v>14</v>
      </c>
      <c r="N39" s="31">
        <v>14</v>
      </c>
      <c r="O39" s="31"/>
      <c r="P39" s="32">
        <v>14</v>
      </c>
      <c r="Q39" s="28"/>
      <c r="R39" s="56">
        <f t="shared" si="3"/>
        <v>14</v>
      </c>
      <c r="S39" s="166" t="str">
        <f t="shared" si="4"/>
        <v>TRANSITA</v>
      </c>
      <c r="T39" s="59"/>
      <c r="U39" s="27"/>
      <c r="V39" s="27"/>
      <c r="W39" s="32" t="e">
        <f t="shared" si="5"/>
        <v>#DIV/0!</v>
      </c>
      <c r="X39" s="28"/>
      <c r="Y39" s="56" t="e">
        <f t="shared" si="6"/>
        <v>#DIV/0!</v>
      </c>
      <c r="Z39" s="48" t="e">
        <f t="shared" si="0"/>
        <v>#DIV/0!</v>
      </c>
      <c r="AA39" s="41" t="e">
        <f t="shared" si="7"/>
        <v>#DIV/0!</v>
      </c>
      <c r="AB39" s="62"/>
      <c r="AC39" s="51">
        <f t="shared" si="8"/>
        <v>0</v>
      </c>
      <c r="AD39" s="65" t="e">
        <f t="shared" si="9"/>
        <v>#DIV/0!</v>
      </c>
      <c r="AE39" s="162" t="e">
        <f t="shared" si="10"/>
        <v>#DIV/0!</v>
      </c>
    </row>
    <row r="40" spans="2:31" ht="15.75" customHeight="1" x14ac:dyDescent="0.3">
      <c r="B40" s="35">
        <v>31</v>
      </c>
      <c r="C40" s="197" t="s">
        <v>128</v>
      </c>
      <c r="D40" s="45"/>
      <c r="E40" s="38"/>
      <c r="F40" s="59">
        <v>17</v>
      </c>
      <c r="G40" s="27">
        <v>20</v>
      </c>
      <c r="H40" s="27"/>
      <c r="I40" s="32">
        <v>10.5</v>
      </c>
      <c r="J40" s="28"/>
      <c r="K40" s="56">
        <f t="shared" si="1"/>
        <v>15.833333333333334</v>
      </c>
      <c r="L40" s="166" t="str">
        <f t="shared" si="2"/>
        <v>TRANSITA</v>
      </c>
      <c r="M40" s="58">
        <v>14</v>
      </c>
      <c r="N40" s="31">
        <v>14</v>
      </c>
      <c r="O40" s="31"/>
      <c r="P40" s="32">
        <v>14</v>
      </c>
      <c r="Q40" s="28"/>
      <c r="R40" s="56">
        <f t="shared" si="3"/>
        <v>14</v>
      </c>
      <c r="S40" s="166" t="str">
        <f t="shared" si="4"/>
        <v>TRANSITA</v>
      </c>
      <c r="T40" s="59"/>
      <c r="U40" s="27"/>
      <c r="V40" s="27"/>
      <c r="W40" s="32" t="e">
        <f t="shared" si="5"/>
        <v>#DIV/0!</v>
      </c>
      <c r="X40" s="28"/>
      <c r="Y40" s="56" t="e">
        <f t="shared" si="6"/>
        <v>#DIV/0!</v>
      </c>
      <c r="Z40" s="48" t="e">
        <f t="shared" si="0"/>
        <v>#DIV/0!</v>
      </c>
      <c r="AA40" s="41" t="e">
        <f t="shared" si="7"/>
        <v>#DIV/0!</v>
      </c>
      <c r="AB40" s="62"/>
      <c r="AC40" s="51">
        <f t="shared" si="8"/>
        <v>0</v>
      </c>
      <c r="AD40" s="65" t="e">
        <f t="shared" si="9"/>
        <v>#DIV/0!</v>
      </c>
      <c r="AE40" s="162" t="e">
        <f t="shared" si="10"/>
        <v>#DIV/0!</v>
      </c>
    </row>
    <row r="41" spans="2:31" ht="15.75" customHeight="1" x14ac:dyDescent="0.3">
      <c r="B41" s="35">
        <v>32</v>
      </c>
      <c r="C41" s="197" t="s">
        <v>142</v>
      </c>
      <c r="D41" s="45"/>
      <c r="E41" s="38"/>
      <c r="F41" s="59">
        <v>15</v>
      </c>
      <c r="G41" s="27">
        <v>20</v>
      </c>
      <c r="H41" s="27"/>
      <c r="I41" s="32">
        <v>15</v>
      </c>
      <c r="J41" s="28"/>
      <c r="K41" s="56">
        <f t="shared" si="1"/>
        <v>16.666666666666668</v>
      </c>
      <c r="L41" s="166" t="str">
        <f t="shared" si="2"/>
        <v>TRANSITA</v>
      </c>
      <c r="M41" s="58">
        <v>14</v>
      </c>
      <c r="N41" s="31">
        <v>14</v>
      </c>
      <c r="O41" s="31"/>
      <c r="P41" s="32">
        <v>14</v>
      </c>
      <c r="Q41" s="28"/>
      <c r="R41" s="56">
        <f t="shared" ref="R41" si="20">AVERAGE(M41,MAX(N41:O41),MAX(P41:Q41))</f>
        <v>14</v>
      </c>
      <c r="S41" s="166" t="str">
        <f t="shared" ref="S41" si="21">IF(R41&gt;=10,"TRANSITA","N/TRANSITA")</f>
        <v>TRANSITA</v>
      </c>
      <c r="T41" s="59"/>
      <c r="U41" s="27"/>
      <c r="V41" s="27"/>
      <c r="W41" s="32" t="e">
        <f t="shared" ref="W41" si="22">AVERAGE(T41:U41)</f>
        <v>#DIV/0!</v>
      </c>
      <c r="X41" s="28"/>
      <c r="Y41" s="56" t="e">
        <f t="shared" ref="Y41" si="23">AVERAGE(T41,MAX(U41:V41),MAX(W41:X41))</f>
        <v>#DIV/0!</v>
      </c>
      <c r="Z41" s="48" t="e">
        <f t="shared" ref="Z41" si="24">SUM(K41,R41,Y41)/3</f>
        <v>#DIV/0!</v>
      </c>
      <c r="AA41" s="41" t="e">
        <f t="shared" ref="AA41" si="25">Z41*0.4</f>
        <v>#DIV/0!</v>
      </c>
      <c r="AB41" s="62"/>
      <c r="AC41" s="51">
        <f t="shared" ref="AC41" si="26">AB41*0.6</f>
        <v>0</v>
      </c>
      <c r="AD41" s="65" t="e">
        <f t="shared" ref="AD41" si="27">AVERAGE(AA41+AC41)</f>
        <v>#DIV/0!</v>
      </c>
      <c r="AE41" s="162"/>
    </row>
    <row r="42" spans="2:31" ht="15.75" customHeight="1" x14ac:dyDescent="0.3">
      <c r="B42" s="35">
        <v>33</v>
      </c>
      <c r="C42" s="197" t="s">
        <v>129</v>
      </c>
      <c r="D42" s="45"/>
      <c r="E42" s="38"/>
      <c r="F42" s="59">
        <v>17</v>
      </c>
      <c r="G42" s="27">
        <v>20</v>
      </c>
      <c r="H42" s="27"/>
      <c r="I42" s="32">
        <v>20</v>
      </c>
      <c r="J42" s="28"/>
      <c r="K42" s="56">
        <f t="shared" si="1"/>
        <v>19</v>
      </c>
      <c r="L42" s="166" t="str">
        <f t="shared" si="2"/>
        <v>TRANSITA</v>
      </c>
      <c r="M42" s="58">
        <v>14</v>
      </c>
      <c r="N42" s="31">
        <v>14</v>
      </c>
      <c r="O42" s="31"/>
      <c r="P42" s="32">
        <v>14</v>
      </c>
      <c r="Q42" s="28"/>
      <c r="R42" s="56">
        <f t="shared" si="3"/>
        <v>14</v>
      </c>
      <c r="S42" s="166" t="str">
        <f t="shared" si="4"/>
        <v>TRANSITA</v>
      </c>
      <c r="T42" s="59"/>
      <c r="U42" s="27"/>
      <c r="V42" s="27"/>
      <c r="W42" s="32" t="e">
        <f t="shared" si="5"/>
        <v>#DIV/0!</v>
      </c>
      <c r="X42" s="28"/>
      <c r="Y42" s="56" t="e">
        <f t="shared" si="6"/>
        <v>#DIV/0!</v>
      </c>
      <c r="Z42" s="48" t="e">
        <f t="shared" si="0"/>
        <v>#DIV/0!</v>
      </c>
      <c r="AA42" s="41" t="e">
        <f t="shared" si="7"/>
        <v>#DIV/0!</v>
      </c>
      <c r="AB42" s="62"/>
      <c r="AC42" s="51">
        <f t="shared" si="8"/>
        <v>0</v>
      </c>
      <c r="AD42" s="65" t="e">
        <f t="shared" si="9"/>
        <v>#DIV/0!</v>
      </c>
      <c r="AE42" s="162" t="e">
        <f t="shared" si="10"/>
        <v>#DIV/0!</v>
      </c>
    </row>
    <row r="43" spans="2:31" ht="15.75" customHeight="1" x14ac:dyDescent="0.3">
      <c r="B43" s="35">
        <v>34</v>
      </c>
      <c r="C43" s="197" t="s">
        <v>130</v>
      </c>
      <c r="D43" s="45"/>
      <c r="E43" s="38"/>
      <c r="F43" s="59">
        <v>18</v>
      </c>
      <c r="G43" s="27">
        <v>20</v>
      </c>
      <c r="H43" s="27"/>
      <c r="I43" s="32">
        <v>18.5</v>
      </c>
      <c r="J43" s="28"/>
      <c r="K43" s="56">
        <f t="shared" si="1"/>
        <v>18.833333333333332</v>
      </c>
      <c r="L43" s="166" t="str">
        <f t="shared" si="2"/>
        <v>TRANSITA</v>
      </c>
      <c r="M43" s="58">
        <v>14</v>
      </c>
      <c r="N43" s="31">
        <v>14</v>
      </c>
      <c r="O43" s="31"/>
      <c r="P43" s="32">
        <v>14</v>
      </c>
      <c r="Q43" s="28"/>
      <c r="R43" s="56">
        <f t="shared" si="3"/>
        <v>14</v>
      </c>
      <c r="S43" s="166" t="str">
        <f t="shared" si="4"/>
        <v>TRANSITA</v>
      </c>
      <c r="T43" s="59"/>
      <c r="U43" s="27"/>
      <c r="V43" s="27"/>
      <c r="W43" s="32" t="e">
        <f t="shared" si="5"/>
        <v>#DIV/0!</v>
      </c>
      <c r="X43" s="28"/>
      <c r="Y43" s="56" t="e">
        <f t="shared" si="6"/>
        <v>#DIV/0!</v>
      </c>
      <c r="Z43" s="48" t="e">
        <f t="shared" si="0"/>
        <v>#DIV/0!</v>
      </c>
      <c r="AA43" s="41" t="e">
        <f t="shared" si="7"/>
        <v>#DIV/0!</v>
      </c>
      <c r="AB43" s="62"/>
      <c r="AC43" s="51">
        <f t="shared" si="8"/>
        <v>0</v>
      </c>
      <c r="AD43" s="65" t="e">
        <f t="shared" si="9"/>
        <v>#DIV/0!</v>
      </c>
      <c r="AE43" s="162" t="e">
        <f t="shared" si="10"/>
        <v>#DIV/0!</v>
      </c>
    </row>
    <row r="44" spans="2:31" ht="15.75" customHeight="1" x14ac:dyDescent="0.3">
      <c r="B44" s="35">
        <v>35</v>
      </c>
      <c r="C44" s="197" t="s">
        <v>131</v>
      </c>
      <c r="D44" s="45"/>
      <c r="E44" s="38"/>
      <c r="F44" s="59">
        <v>16</v>
      </c>
      <c r="G44" s="27">
        <v>17.5</v>
      </c>
      <c r="H44" s="27"/>
      <c r="I44" s="32">
        <v>20</v>
      </c>
      <c r="J44" s="28"/>
      <c r="K44" s="56">
        <f t="shared" si="1"/>
        <v>17.833333333333332</v>
      </c>
      <c r="L44" s="166" t="str">
        <f t="shared" si="2"/>
        <v>TRANSITA</v>
      </c>
      <c r="M44" s="58">
        <v>14</v>
      </c>
      <c r="N44" s="31">
        <v>14</v>
      </c>
      <c r="O44" s="31"/>
      <c r="P44" s="32">
        <v>14</v>
      </c>
      <c r="Q44" s="28"/>
      <c r="R44" s="56">
        <f t="shared" si="3"/>
        <v>14</v>
      </c>
      <c r="S44" s="166" t="str">
        <f t="shared" si="4"/>
        <v>TRANSITA</v>
      </c>
      <c r="T44" s="59"/>
      <c r="U44" s="27"/>
      <c r="V44" s="27"/>
      <c r="W44" s="32" t="e">
        <f t="shared" si="5"/>
        <v>#DIV/0!</v>
      </c>
      <c r="X44" s="28"/>
      <c r="Y44" s="56" t="e">
        <f t="shared" si="6"/>
        <v>#DIV/0!</v>
      </c>
      <c r="Z44" s="48" t="e">
        <f t="shared" si="0"/>
        <v>#DIV/0!</v>
      </c>
      <c r="AA44" s="41" t="e">
        <f t="shared" si="7"/>
        <v>#DIV/0!</v>
      </c>
      <c r="AB44" s="62"/>
      <c r="AC44" s="51">
        <f t="shared" si="8"/>
        <v>0</v>
      </c>
      <c r="AD44" s="65" t="e">
        <f t="shared" si="9"/>
        <v>#DIV/0!</v>
      </c>
      <c r="AE44" s="162" t="e">
        <f t="shared" si="10"/>
        <v>#DIV/0!</v>
      </c>
    </row>
    <row r="45" spans="2:31" ht="15.75" customHeight="1" x14ac:dyDescent="0.3">
      <c r="B45" s="35">
        <v>36</v>
      </c>
      <c r="C45" s="197" t="s">
        <v>132</v>
      </c>
      <c r="D45" s="45"/>
      <c r="E45" s="38"/>
      <c r="F45" s="59">
        <v>13</v>
      </c>
      <c r="G45" s="27">
        <v>13.5</v>
      </c>
      <c r="H45" s="27"/>
      <c r="I45" s="32">
        <v>15</v>
      </c>
      <c r="J45" s="28"/>
      <c r="K45" s="56">
        <f t="shared" si="1"/>
        <v>13.833333333333334</v>
      </c>
      <c r="L45" s="166" t="str">
        <f t="shared" si="2"/>
        <v>TRANSITA</v>
      </c>
      <c r="M45" s="58">
        <v>14</v>
      </c>
      <c r="N45" s="31">
        <v>14</v>
      </c>
      <c r="O45" s="31"/>
      <c r="P45" s="32">
        <v>14</v>
      </c>
      <c r="Q45" s="28"/>
      <c r="R45" s="56">
        <f t="shared" si="3"/>
        <v>14</v>
      </c>
      <c r="S45" s="166" t="str">
        <f t="shared" si="4"/>
        <v>TRANSITA</v>
      </c>
      <c r="T45" s="59"/>
      <c r="U45" s="27"/>
      <c r="V45" s="27"/>
      <c r="W45" s="32" t="e">
        <f t="shared" si="5"/>
        <v>#DIV/0!</v>
      </c>
      <c r="X45" s="28"/>
      <c r="Y45" s="56" t="e">
        <f t="shared" si="6"/>
        <v>#DIV/0!</v>
      </c>
      <c r="Z45" s="48" t="e">
        <f t="shared" si="0"/>
        <v>#DIV/0!</v>
      </c>
      <c r="AA45" s="41" t="e">
        <f t="shared" si="7"/>
        <v>#DIV/0!</v>
      </c>
      <c r="AB45" s="62"/>
      <c r="AC45" s="51">
        <f t="shared" si="8"/>
        <v>0</v>
      </c>
      <c r="AD45" s="65" t="e">
        <f t="shared" si="9"/>
        <v>#DIV/0!</v>
      </c>
      <c r="AE45" s="162" t="e">
        <f t="shared" si="10"/>
        <v>#DIV/0!</v>
      </c>
    </row>
    <row r="46" spans="2:31" ht="15.75" customHeight="1" x14ac:dyDescent="0.3">
      <c r="B46" s="35">
        <v>37</v>
      </c>
      <c r="C46" s="197" t="s">
        <v>133</v>
      </c>
      <c r="D46" s="45"/>
      <c r="E46" s="38"/>
      <c r="F46" s="59">
        <v>18</v>
      </c>
      <c r="G46" s="27">
        <v>20</v>
      </c>
      <c r="H46" s="27"/>
      <c r="I46" s="32">
        <v>20</v>
      </c>
      <c r="J46" s="28"/>
      <c r="K46" s="56">
        <f t="shared" si="1"/>
        <v>19.333333333333332</v>
      </c>
      <c r="L46" s="166" t="str">
        <f t="shared" si="2"/>
        <v>TRANSITA</v>
      </c>
      <c r="M46" s="58">
        <v>14</v>
      </c>
      <c r="N46" s="31">
        <v>14</v>
      </c>
      <c r="O46" s="31"/>
      <c r="P46" s="32">
        <v>14</v>
      </c>
      <c r="Q46" s="28"/>
      <c r="R46" s="56">
        <f t="shared" si="3"/>
        <v>14</v>
      </c>
      <c r="S46" s="166" t="str">
        <f t="shared" si="4"/>
        <v>TRANSITA</v>
      </c>
      <c r="T46" s="59"/>
      <c r="U46" s="27"/>
      <c r="V46" s="27"/>
      <c r="W46" s="32" t="e">
        <f t="shared" si="5"/>
        <v>#DIV/0!</v>
      </c>
      <c r="X46" s="28"/>
      <c r="Y46" s="56" t="e">
        <f t="shared" si="6"/>
        <v>#DIV/0!</v>
      </c>
      <c r="Z46" s="48" t="e">
        <f t="shared" si="0"/>
        <v>#DIV/0!</v>
      </c>
      <c r="AA46" s="41" t="e">
        <f t="shared" si="7"/>
        <v>#DIV/0!</v>
      </c>
      <c r="AB46" s="62"/>
      <c r="AC46" s="51">
        <f t="shared" si="8"/>
        <v>0</v>
      </c>
      <c r="AD46" s="65" t="e">
        <f t="shared" si="9"/>
        <v>#DIV/0!</v>
      </c>
      <c r="AE46" s="162" t="e">
        <f t="shared" si="10"/>
        <v>#DIV/0!</v>
      </c>
    </row>
    <row r="47" spans="2:31" ht="15.75" customHeight="1" x14ac:dyDescent="0.3">
      <c r="B47" s="35">
        <v>38</v>
      </c>
      <c r="C47" s="197" t="s">
        <v>134</v>
      </c>
      <c r="D47" s="45"/>
      <c r="E47" s="38"/>
      <c r="F47" s="59">
        <v>19</v>
      </c>
      <c r="G47" s="27">
        <v>20</v>
      </c>
      <c r="H47" s="27"/>
      <c r="I47" s="32">
        <v>20</v>
      </c>
      <c r="J47" s="28"/>
      <c r="K47" s="56">
        <f t="shared" si="1"/>
        <v>19.666666666666668</v>
      </c>
      <c r="L47" s="166" t="str">
        <f t="shared" si="2"/>
        <v>TRANSITA</v>
      </c>
      <c r="M47" s="58">
        <v>14</v>
      </c>
      <c r="N47" s="31">
        <v>14</v>
      </c>
      <c r="O47" s="31"/>
      <c r="P47" s="32">
        <v>14</v>
      </c>
      <c r="Q47" s="28"/>
      <c r="R47" s="56">
        <f t="shared" si="3"/>
        <v>14</v>
      </c>
      <c r="S47" s="166" t="str">
        <f t="shared" si="4"/>
        <v>TRANSITA</v>
      </c>
      <c r="T47" s="59"/>
      <c r="U47" s="27"/>
      <c r="V47" s="27"/>
      <c r="W47" s="32" t="e">
        <f t="shared" si="5"/>
        <v>#DIV/0!</v>
      </c>
      <c r="X47" s="28"/>
      <c r="Y47" s="56" t="e">
        <f t="shared" si="6"/>
        <v>#DIV/0!</v>
      </c>
      <c r="Z47" s="48" t="e">
        <f t="shared" si="0"/>
        <v>#DIV/0!</v>
      </c>
      <c r="AA47" s="41" t="e">
        <f t="shared" si="7"/>
        <v>#DIV/0!</v>
      </c>
      <c r="AB47" s="62"/>
      <c r="AC47" s="51">
        <f t="shared" si="8"/>
        <v>0</v>
      </c>
      <c r="AD47" s="65" t="e">
        <f t="shared" si="9"/>
        <v>#DIV/0!</v>
      </c>
      <c r="AE47" s="162" t="e">
        <f t="shared" si="10"/>
        <v>#DIV/0!</v>
      </c>
    </row>
    <row r="48" spans="2:31" ht="15.75" customHeight="1" x14ac:dyDescent="0.3">
      <c r="B48" s="35">
        <v>39</v>
      </c>
      <c r="C48" s="197" t="s">
        <v>135</v>
      </c>
      <c r="D48" s="45"/>
      <c r="E48" s="38"/>
      <c r="F48" s="59">
        <v>17</v>
      </c>
      <c r="G48" s="27">
        <v>20</v>
      </c>
      <c r="H48" s="27"/>
      <c r="I48" s="32">
        <v>10</v>
      </c>
      <c r="J48" s="28"/>
      <c r="K48" s="56">
        <f t="shared" si="1"/>
        <v>15.666666666666666</v>
      </c>
      <c r="L48" s="166" t="str">
        <f t="shared" si="2"/>
        <v>TRANSITA</v>
      </c>
      <c r="M48" s="58">
        <v>14</v>
      </c>
      <c r="N48" s="31">
        <v>14</v>
      </c>
      <c r="O48" s="31"/>
      <c r="P48" s="32">
        <v>14</v>
      </c>
      <c r="Q48" s="28"/>
      <c r="R48" s="56">
        <f t="shared" si="3"/>
        <v>14</v>
      </c>
      <c r="S48" s="166" t="str">
        <f t="shared" si="4"/>
        <v>TRANSITA</v>
      </c>
      <c r="T48" s="59"/>
      <c r="U48" s="27"/>
      <c r="V48" s="27"/>
      <c r="W48" s="32" t="e">
        <f t="shared" si="5"/>
        <v>#DIV/0!</v>
      </c>
      <c r="X48" s="28"/>
      <c r="Y48" s="56" t="e">
        <f t="shared" si="6"/>
        <v>#DIV/0!</v>
      </c>
      <c r="Z48" s="48" t="e">
        <f t="shared" si="0"/>
        <v>#DIV/0!</v>
      </c>
      <c r="AA48" s="41" t="e">
        <f t="shared" si="7"/>
        <v>#DIV/0!</v>
      </c>
      <c r="AB48" s="62"/>
      <c r="AC48" s="51">
        <f t="shared" si="8"/>
        <v>0</v>
      </c>
      <c r="AD48" s="65" t="e">
        <f t="shared" si="9"/>
        <v>#DIV/0!</v>
      </c>
      <c r="AE48" s="162" t="e">
        <f t="shared" si="10"/>
        <v>#DIV/0!</v>
      </c>
    </row>
    <row r="49" spans="1:31" ht="15.75" customHeight="1" x14ac:dyDescent="0.3">
      <c r="B49" s="35">
        <v>40</v>
      </c>
      <c r="C49" s="197" t="s">
        <v>136</v>
      </c>
      <c r="D49" s="45">
        <v>0</v>
      </c>
      <c r="E49" s="38"/>
      <c r="F49" s="59">
        <v>15</v>
      </c>
      <c r="G49" s="27">
        <v>13</v>
      </c>
      <c r="H49" s="27"/>
      <c r="I49" s="32">
        <v>17</v>
      </c>
      <c r="J49" s="28"/>
      <c r="K49" s="56">
        <f t="shared" si="1"/>
        <v>15</v>
      </c>
      <c r="L49" s="166" t="str">
        <f t="shared" si="2"/>
        <v>TRANSITA</v>
      </c>
      <c r="M49" s="58">
        <v>14</v>
      </c>
      <c r="N49" s="31">
        <v>14</v>
      </c>
      <c r="O49" s="31"/>
      <c r="P49" s="32">
        <v>14</v>
      </c>
      <c r="Q49" s="28"/>
      <c r="R49" s="56">
        <f t="shared" si="3"/>
        <v>14</v>
      </c>
      <c r="S49" s="166" t="str">
        <f t="shared" si="4"/>
        <v>TRANSITA</v>
      </c>
      <c r="T49" s="59"/>
      <c r="U49" s="27"/>
      <c r="V49" s="27"/>
      <c r="W49" s="32" t="e">
        <f t="shared" si="5"/>
        <v>#DIV/0!</v>
      </c>
      <c r="X49" s="28"/>
      <c r="Y49" s="56" t="e">
        <f t="shared" si="6"/>
        <v>#DIV/0!</v>
      </c>
      <c r="Z49" s="48" t="e">
        <f t="shared" si="0"/>
        <v>#DIV/0!</v>
      </c>
      <c r="AA49" s="41" t="e">
        <f t="shared" si="7"/>
        <v>#DIV/0!</v>
      </c>
      <c r="AB49" s="62"/>
      <c r="AC49" s="51">
        <f t="shared" si="8"/>
        <v>0</v>
      </c>
      <c r="AD49" s="65" t="e">
        <f t="shared" si="9"/>
        <v>#DIV/0!</v>
      </c>
      <c r="AE49" s="162" t="e">
        <f t="shared" si="10"/>
        <v>#DIV/0!</v>
      </c>
    </row>
    <row r="50" spans="1:31" ht="15.75" customHeight="1" thickBot="1" x14ac:dyDescent="0.35">
      <c r="B50" s="35">
        <v>41</v>
      </c>
      <c r="C50" s="197" t="s">
        <v>137</v>
      </c>
      <c r="D50" s="45"/>
      <c r="E50" s="38"/>
      <c r="F50" s="60">
        <v>15</v>
      </c>
      <c r="G50" s="29">
        <v>20</v>
      </c>
      <c r="H50" s="29"/>
      <c r="I50" s="137">
        <v>15</v>
      </c>
      <c r="J50" s="30"/>
      <c r="K50" s="57">
        <f t="shared" si="1"/>
        <v>16.666666666666668</v>
      </c>
      <c r="L50" s="167" t="str">
        <f t="shared" si="2"/>
        <v>TRANSITA</v>
      </c>
      <c r="M50" s="58">
        <v>14</v>
      </c>
      <c r="N50" s="31">
        <v>14</v>
      </c>
      <c r="O50" s="31"/>
      <c r="P50" s="32">
        <v>14</v>
      </c>
      <c r="Q50" s="30"/>
      <c r="R50" s="56">
        <f t="shared" si="3"/>
        <v>14</v>
      </c>
      <c r="S50" s="166" t="str">
        <f t="shared" si="4"/>
        <v>TRANSITA</v>
      </c>
      <c r="T50" s="59"/>
      <c r="U50" s="27"/>
      <c r="V50" s="27"/>
      <c r="W50" s="32" t="e">
        <f t="shared" si="5"/>
        <v>#DIV/0!</v>
      </c>
      <c r="X50" s="28"/>
      <c r="Y50" s="56" t="e">
        <f t="shared" si="6"/>
        <v>#DIV/0!</v>
      </c>
      <c r="Z50" s="48" t="e">
        <f t="shared" si="0"/>
        <v>#DIV/0!</v>
      </c>
      <c r="AA50" s="41" t="e">
        <f t="shared" si="7"/>
        <v>#DIV/0!</v>
      </c>
      <c r="AB50" s="62"/>
      <c r="AC50" s="51">
        <f t="shared" si="8"/>
        <v>0</v>
      </c>
      <c r="AD50" s="65" t="e">
        <f t="shared" si="9"/>
        <v>#DIV/0!</v>
      </c>
      <c r="AE50" s="162" t="e">
        <f t="shared" si="10"/>
        <v>#DIV/0!</v>
      </c>
    </row>
    <row r="51" spans="1:31" ht="15.75" customHeight="1" thickTop="1" thickBot="1" x14ac:dyDescent="0.35">
      <c r="B51" s="35">
        <v>42</v>
      </c>
      <c r="C51" s="198" t="s">
        <v>138</v>
      </c>
      <c r="D51" s="46"/>
      <c r="E51" s="39"/>
      <c r="F51" s="58">
        <v>12</v>
      </c>
      <c r="G51" s="31">
        <v>12</v>
      </c>
      <c r="H51" s="31"/>
      <c r="I51" s="32">
        <v>12</v>
      </c>
      <c r="J51" s="30"/>
      <c r="K51" s="57">
        <f t="shared" ref="K51" si="28">AVERAGE(F51,MAX(G51:H51),MAX(I51:J51))</f>
        <v>12</v>
      </c>
      <c r="L51" s="167" t="str">
        <f t="shared" ref="L51" si="29">IF(K51&gt;=10,"TRANSITA","N/TRANSITA")</f>
        <v>TRANSITA</v>
      </c>
      <c r="M51" s="58">
        <v>14</v>
      </c>
      <c r="N51" s="31">
        <v>14</v>
      </c>
      <c r="O51" s="31"/>
      <c r="P51" s="32">
        <v>14</v>
      </c>
      <c r="Q51" s="30"/>
      <c r="R51" s="57">
        <f t="shared" si="3"/>
        <v>14</v>
      </c>
      <c r="S51" s="167" t="str">
        <f t="shared" si="4"/>
        <v>TRANSITA</v>
      </c>
      <c r="T51" s="60"/>
      <c r="U51" s="29"/>
      <c r="V51" s="29"/>
      <c r="W51" s="137" t="e">
        <f t="shared" si="5"/>
        <v>#DIV/0!</v>
      </c>
      <c r="X51" s="30"/>
      <c r="Y51" s="57" t="e">
        <f t="shared" si="6"/>
        <v>#DIV/0!</v>
      </c>
      <c r="Z51" s="49" t="e">
        <f t="shared" si="0"/>
        <v>#DIV/0!</v>
      </c>
      <c r="AA51" s="42" t="e">
        <f t="shared" si="7"/>
        <v>#DIV/0!</v>
      </c>
      <c r="AB51" s="63"/>
      <c r="AC51" s="52">
        <f t="shared" si="8"/>
        <v>0</v>
      </c>
      <c r="AD51" s="66" t="e">
        <f t="shared" si="9"/>
        <v>#DIV/0!</v>
      </c>
      <c r="AE51" s="164" t="e">
        <f t="shared" si="10"/>
        <v>#DIV/0!</v>
      </c>
    </row>
    <row r="52" spans="1:31" ht="12" customHeight="1" thickTop="1" x14ac:dyDescent="0.3">
      <c r="B52" s="3"/>
      <c r="C52" s="4"/>
      <c r="D52" s="4"/>
      <c r="E52" s="4"/>
      <c r="F52" s="5"/>
      <c r="G52" s="5"/>
      <c r="H52" s="5"/>
      <c r="I52" s="6"/>
      <c r="J52" s="6"/>
      <c r="K52" s="7"/>
      <c r="L52" s="7"/>
      <c r="M52" s="8"/>
      <c r="N52" s="8"/>
      <c r="O52" s="8"/>
      <c r="P52" s="8"/>
      <c r="Q52" s="8"/>
      <c r="R52" s="7"/>
      <c r="S52" s="7"/>
      <c r="T52" s="9"/>
      <c r="U52" s="9"/>
      <c r="V52" s="9"/>
      <c r="W52" s="10"/>
      <c r="X52" s="10"/>
      <c r="Y52" s="7"/>
      <c r="Z52" s="11"/>
      <c r="AA52" s="12"/>
      <c r="AB52" s="13"/>
      <c r="AC52" s="12"/>
      <c r="AD52" s="12"/>
      <c r="AE52" s="14"/>
    </row>
    <row r="53" spans="1:31" ht="16.5" customHeight="1" x14ac:dyDescent="0.3">
      <c r="A53" s="284" t="s">
        <v>140</v>
      </c>
      <c r="B53" s="284"/>
      <c r="C53" s="284"/>
      <c r="D53" s="284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  <c r="AA53" s="284"/>
      <c r="AB53" s="284"/>
      <c r="AC53" s="284"/>
      <c r="AD53" s="284"/>
      <c r="AE53" s="284"/>
    </row>
    <row r="54" spans="1:31" ht="16.5" customHeight="1" x14ac:dyDescent="0.3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  <c r="AC54" s="179"/>
      <c r="AD54" s="179"/>
      <c r="AE54" s="179"/>
    </row>
    <row r="55" spans="1:31" ht="20.25" customHeight="1" x14ac:dyDescent="0.35">
      <c r="A55" s="309" t="s">
        <v>41</v>
      </c>
      <c r="B55" s="309"/>
      <c r="C55" s="309"/>
      <c r="D55" s="309"/>
      <c r="E55" s="309"/>
      <c r="F55" s="309"/>
      <c r="G55" s="177"/>
      <c r="H55" s="177"/>
      <c r="I55" s="20"/>
      <c r="J55" s="20"/>
      <c r="K55" s="20"/>
      <c r="L55" s="20"/>
      <c r="M55" s="20"/>
      <c r="N55" s="20"/>
      <c r="O55" s="20"/>
      <c r="P55" s="20"/>
      <c r="Q55" s="20"/>
      <c r="R55" s="309" t="s">
        <v>10</v>
      </c>
      <c r="S55" s="309"/>
      <c r="T55" s="309"/>
      <c r="U55" s="309"/>
      <c r="V55" s="309"/>
      <c r="W55" s="309"/>
      <c r="X55" s="309"/>
      <c r="Y55" s="309"/>
      <c r="Z55" s="309"/>
      <c r="AA55" s="309"/>
      <c r="AB55" s="309"/>
      <c r="AC55" s="309"/>
      <c r="AD55" s="309"/>
      <c r="AE55" s="309"/>
    </row>
    <row r="56" spans="1:31" ht="20.399999999999999" x14ac:dyDescent="0.35">
      <c r="A56" s="20"/>
      <c r="B56" s="309" t="s">
        <v>11</v>
      </c>
      <c r="C56" s="309"/>
      <c r="D56" s="309"/>
      <c r="E56" s="309"/>
      <c r="F56" s="309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309"/>
      <c r="S56" s="309"/>
      <c r="T56" s="309"/>
      <c r="U56" s="309"/>
      <c r="V56" s="309"/>
      <c r="W56" s="309"/>
      <c r="X56" s="309"/>
      <c r="Y56" s="309"/>
      <c r="Z56" s="309"/>
      <c r="AA56" s="177"/>
      <c r="AB56" s="177"/>
      <c r="AC56" s="177"/>
      <c r="AD56" s="177"/>
      <c r="AE56" s="20"/>
    </row>
    <row r="57" spans="1:31" ht="21.6" x14ac:dyDescent="0.4">
      <c r="A57" s="20"/>
      <c r="B57" s="310"/>
      <c r="C57" s="310"/>
      <c r="D57" s="310"/>
      <c r="E57" s="310"/>
      <c r="F57" s="31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310" t="s">
        <v>12</v>
      </c>
      <c r="S57" s="310"/>
      <c r="T57" s="310"/>
      <c r="U57" s="310"/>
      <c r="V57" s="310"/>
      <c r="W57" s="310"/>
      <c r="X57" s="310"/>
      <c r="Y57" s="310"/>
      <c r="Z57" s="310"/>
      <c r="AA57" s="310"/>
      <c r="AB57" s="310"/>
      <c r="AC57" s="310"/>
      <c r="AD57" s="310"/>
      <c r="AE57" s="310"/>
    </row>
  </sheetData>
  <mergeCells count="29">
    <mergeCell ref="A55:F55"/>
    <mergeCell ref="R55:AE55"/>
    <mergeCell ref="B56:F56"/>
    <mergeCell ref="R56:Z56"/>
    <mergeCell ref="B57:F57"/>
    <mergeCell ref="R57:AE57"/>
    <mergeCell ref="A53:AE53"/>
    <mergeCell ref="B7:AE7"/>
    <mergeCell ref="B8:B9"/>
    <mergeCell ref="C8:C9"/>
    <mergeCell ref="D8:E8"/>
    <mergeCell ref="F8:K8"/>
    <mergeCell ref="L8:L9"/>
    <mergeCell ref="M8:R8"/>
    <mergeCell ref="S8:S9"/>
    <mergeCell ref="T8:Y8"/>
    <mergeCell ref="Z8:Z9"/>
    <mergeCell ref="AA8:AA9"/>
    <mergeCell ref="AB8:AB9"/>
    <mergeCell ref="AC8:AC9"/>
    <mergeCell ref="AD8:AD9"/>
    <mergeCell ref="AE8:AE9"/>
    <mergeCell ref="B6:C6"/>
    <mergeCell ref="Y6:AE6"/>
    <mergeCell ref="A1:AE1"/>
    <mergeCell ref="B2:AE2"/>
    <mergeCell ref="L3:S3"/>
    <mergeCell ref="B4:C4"/>
    <mergeCell ref="Y4:AE4"/>
  </mergeCells>
  <conditionalFormatting sqref="K52:L52 R52:Y52 T51:V51 X51 F51:J51 Q51 W11:W51">
    <cfRule type="cellIs" dxfId="1914" priority="311" stopIfTrue="1" operator="lessThan">
      <formula>10</formula>
    </cfRule>
    <cfRule type="cellIs" dxfId="1913" priority="312" stopIfTrue="1" operator="greaterThan">
      <formula>9</formula>
    </cfRule>
  </conditionalFormatting>
  <conditionalFormatting sqref="K52:L52 R52:Y52 T51:V51 X51 F51:J51 Q51 W11:W51">
    <cfRule type="cellIs" dxfId="1912" priority="309" stopIfTrue="1" operator="lessThan">
      <formula>10</formula>
    </cfRule>
    <cfRule type="cellIs" dxfId="1911" priority="310" stopIfTrue="1" operator="greaterThan">
      <formula>9</formula>
    </cfRule>
  </conditionalFormatting>
  <conditionalFormatting sqref="Z10:AD52">
    <cfRule type="cellIs" dxfId="1910" priority="307" stopIfTrue="1" operator="greaterThan">
      <formula>9.5</formula>
    </cfRule>
    <cfRule type="cellIs" dxfId="1909" priority="308" stopIfTrue="1" operator="lessThanOrEqual">
      <formula>9.5</formula>
    </cfRule>
  </conditionalFormatting>
  <conditionalFormatting sqref="F52:J52">
    <cfRule type="cellIs" dxfId="1908" priority="305" stopIfTrue="1" operator="lessThan">
      <formula>10</formula>
    </cfRule>
    <cfRule type="cellIs" dxfId="1907" priority="306" stopIfTrue="1" operator="greaterThan">
      <formula>9</formula>
    </cfRule>
  </conditionalFormatting>
  <conditionalFormatting sqref="F52:J52">
    <cfRule type="cellIs" dxfId="1906" priority="303" stopIfTrue="1" operator="lessThan">
      <formula>10</formula>
    </cfRule>
    <cfRule type="cellIs" dxfId="1905" priority="304" stopIfTrue="1" operator="greaterThan">
      <formula>9</formula>
    </cfRule>
  </conditionalFormatting>
  <conditionalFormatting sqref="T52:X52 T51:V51 F51:J51 M52:Q52 W11:X51 Q51">
    <cfRule type="cellIs" dxfId="1904" priority="299" stopIfTrue="1" operator="lessThan">
      <formula>10</formula>
    </cfRule>
    <cfRule type="cellIs" dxfId="1903" priority="300" stopIfTrue="1" operator="greaterThan">
      <formula>9</formula>
    </cfRule>
    <cfRule type="cellIs" dxfId="1902" priority="301" stopIfTrue="1" operator="lessThan">
      <formula>10</formula>
    </cfRule>
    <cfRule type="cellIs" dxfId="1901" priority="302" stopIfTrue="1" operator="greaterThan">
      <formula>9</formula>
    </cfRule>
  </conditionalFormatting>
  <conditionalFormatting sqref="AB10:AB52">
    <cfRule type="cellIs" dxfId="1900" priority="297" stopIfTrue="1" operator="greaterThan">
      <formula>9.5</formula>
    </cfRule>
    <cfRule type="cellIs" dxfId="1899" priority="298" stopIfTrue="1" operator="lessThanOrEqual">
      <formula>9.5</formula>
    </cfRule>
  </conditionalFormatting>
  <conditionalFormatting sqref="T45:U50">
    <cfRule type="cellIs" dxfId="1898" priority="293" stopIfTrue="1" operator="lessThan">
      <formula>10</formula>
    </cfRule>
    <cfRule type="cellIs" dxfId="1897" priority="294" stopIfTrue="1" operator="greaterThan">
      <formula>9</formula>
    </cfRule>
  </conditionalFormatting>
  <conditionalFormatting sqref="T45:U50">
    <cfRule type="cellIs" dxfId="1896" priority="291" stopIfTrue="1" operator="lessThan">
      <formula>10</formula>
    </cfRule>
    <cfRule type="cellIs" dxfId="1895" priority="292" stopIfTrue="1" operator="greaterThan">
      <formula>9</formula>
    </cfRule>
  </conditionalFormatting>
  <conditionalFormatting sqref="T24:U39 V10:X10 V11:V50 X11:X50">
    <cfRule type="cellIs" dxfId="1894" priority="289" stopIfTrue="1" operator="lessThan">
      <formula>10</formula>
    </cfRule>
    <cfRule type="cellIs" dxfId="1893" priority="290" stopIfTrue="1" operator="greaterThan">
      <formula>9</formula>
    </cfRule>
  </conditionalFormatting>
  <conditionalFormatting sqref="T24:U39 V10:X10 V11:V50 X11:X50">
    <cfRule type="cellIs" dxfId="1892" priority="287" stopIfTrue="1" operator="lessThan">
      <formula>10</formula>
    </cfRule>
    <cfRule type="cellIs" dxfId="1891" priority="288" stopIfTrue="1" operator="greaterThan">
      <formula>9</formula>
    </cfRule>
  </conditionalFormatting>
  <conditionalFormatting sqref="T24:U39 T45:U50 V10:X10 V11:V50">
    <cfRule type="cellIs" dxfId="1890" priority="281" stopIfTrue="1" operator="lessThan">
      <formula>10</formula>
    </cfRule>
    <cfRule type="cellIs" dxfId="1889" priority="282" stopIfTrue="1" operator="greaterThan">
      <formula>9</formula>
    </cfRule>
    <cfRule type="cellIs" dxfId="1888" priority="283" stopIfTrue="1" operator="lessThan">
      <formula>10</formula>
    </cfRule>
    <cfRule type="cellIs" dxfId="1887" priority="284" stopIfTrue="1" operator="greaterThan">
      <formula>9</formula>
    </cfRule>
  </conditionalFormatting>
  <conditionalFormatting sqref="R10:R51 Y10:Y51 K51">
    <cfRule type="cellIs" dxfId="1886" priority="279" stopIfTrue="1" operator="lessThan">
      <formula>10</formula>
    </cfRule>
    <cfRule type="cellIs" dxfId="1885" priority="280" stopIfTrue="1" operator="greaterThanOrEqual">
      <formula>10</formula>
    </cfRule>
  </conditionalFormatting>
  <conditionalFormatting sqref="T10:U12">
    <cfRule type="cellIs" dxfId="1884" priority="277" stopIfTrue="1" operator="lessThan">
      <formula>10</formula>
    </cfRule>
    <cfRule type="cellIs" dxfId="1883" priority="278" stopIfTrue="1" operator="greaterThan">
      <formula>9</formula>
    </cfRule>
  </conditionalFormatting>
  <conditionalFormatting sqref="T10:U12">
    <cfRule type="cellIs" dxfId="1882" priority="275" stopIfTrue="1" operator="lessThan">
      <formula>10</formula>
    </cfRule>
    <cfRule type="cellIs" dxfId="1881" priority="276" stopIfTrue="1" operator="greaterThan">
      <formula>9</formula>
    </cfRule>
  </conditionalFormatting>
  <conditionalFormatting sqref="T10:U12">
    <cfRule type="cellIs" dxfId="1880" priority="271" stopIfTrue="1" operator="lessThan">
      <formula>10</formula>
    </cfRule>
    <cfRule type="cellIs" dxfId="1879" priority="272" stopIfTrue="1" operator="greaterThan">
      <formula>9</formula>
    </cfRule>
    <cfRule type="cellIs" dxfId="1878" priority="273" stopIfTrue="1" operator="lessThan">
      <formula>10</formula>
    </cfRule>
    <cfRule type="cellIs" dxfId="1877" priority="274" stopIfTrue="1" operator="greaterThan">
      <formula>9</formula>
    </cfRule>
  </conditionalFormatting>
  <conditionalFormatting sqref="T13:U15">
    <cfRule type="cellIs" dxfId="1876" priority="269" stopIfTrue="1" operator="lessThan">
      <formula>10</formula>
    </cfRule>
    <cfRule type="cellIs" dxfId="1875" priority="270" stopIfTrue="1" operator="greaterThan">
      <formula>9</formula>
    </cfRule>
  </conditionalFormatting>
  <conditionalFormatting sqref="T13:U15">
    <cfRule type="cellIs" dxfId="1874" priority="267" stopIfTrue="1" operator="lessThan">
      <formula>10</formula>
    </cfRule>
    <cfRule type="cellIs" dxfId="1873" priority="268" stopIfTrue="1" operator="greaterThan">
      <formula>9</formula>
    </cfRule>
  </conditionalFormatting>
  <conditionalFormatting sqref="T13:U15">
    <cfRule type="cellIs" dxfId="1872" priority="263" stopIfTrue="1" operator="lessThan">
      <formula>10</formula>
    </cfRule>
    <cfRule type="cellIs" dxfId="1871" priority="264" stopIfTrue="1" operator="greaterThan">
      <formula>9</formula>
    </cfRule>
    <cfRule type="cellIs" dxfId="1870" priority="265" stopIfTrue="1" operator="lessThan">
      <formula>10</formula>
    </cfRule>
    <cfRule type="cellIs" dxfId="1869" priority="266" stopIfTrue="1" operator="greaterThan">
      <formula>9</formula>
    </cfRule>
  </conditionalFormatting>
  <conditionalFormatting sqref="T16:U19">
    <cfRule type="cellIs" dxfId="1868" priority="261" stopIfTrue="1" operator="lessThan">
      <formula>10</formula>
    </cfRule>
    <cfRule type="cellIs" dxfId="1867" priority="262" stopIfTrue="1" operator="greaterThan">
      <formula>9</formula>
    </cfRule>
  </conditionalFormatting>
  <conditionalFormatting sqref="T16:U19">
    <cfRule type="cellIs" dxfId="1866" priority="259" stopIfTrue="1" operator="lessThan">
      <formula>10</formula>
    </cfRule>
    <cfRule type="cellIs" dxfId="1865" priority="260" stopIfTrue="1" operator="greaterThan">
      <formula>9</formula>
    </cfRule>
  </conditionalFormatting>
  <conditionalFormatting sqref="T16:U19">
    <cfRule type="cellIs" dxfId="1864" priority="255" stopIfTrue="1" operator="lessThan">
      <formula>10</formula>
    </cfRule>
    <cfRule type="cellIs" dxfId="1863" priority="256" stopIfTrue="1" operator="greaterThan">
      <formula>9</formula>
    </cfRule>
    <cfRule type="cellIs" dxfId="1862" priority="257" stopIfTrue="1" operator="lessThan">
      <formula>10</formula>
    </cfRule>
    <cfRule type="cellIs" dxfId="1861" priority="258" stopIfTrue="1" operator="greaterThan">
      <formula>9</formula>
    </cfRule>
  </conditionalFormatting>
  <conditionalFormatting sqref="T20:U23">
    <cfRule type="cellIs" dxfId="1860" priority="253" stopIfTrue="1" operator="lessThan">
      <formula>10</formula>
    </cfRule>
    <cfRule type="cellIs" dxfId="1859" priority="254" stopIfTrue="1" operator="greaterThan">
      <formula>9</formula>
    </cfRule>
  </conditionalFormatting>
  <conditionalFormatting sqref="T20:U23">
    <cfRule type="cellIs" dxfId="1858" priority="251" stopIfTrue="1" operator="lessThan">
      <formula>10</formula>
    </cfRule>
    <cfRule type="cellIs" dxfId="1857" priority="252" stopIfTrue="1" operator="greaterThan">
      <formula>9</formula>
    </cfRule>
  </conditionalFormatting>
  <conditionalFormatting sqref="T20:U23">
    <cfRule type="cellIs" dxfId="1856" priority="247" stopIfTrue="1" operator="lessThan">
      <formula>10</formula>
    </cfRule>
    <cfRule type="cellIs" dxfId="1855" priority="248" stopIfTrue="1" operator="greaterThan">
      <formula>9</formula>
    </cfRule>
    <cfRule type="cellIs" dxfId="1854" priority="249" stopIfTrue="1" operator="lessThan">
      <formula>10</formula>
    </cfRule>
    <cfRule type="cellIs" dxfId="1853" priority="250" stopIfTrue="1" operator="greaterThan">
      <formula>9</formula>
    </cfRule>
  </conditionalFormatting>
  <conditionalFormatting sqref="T40:U44">
    <cfRule type="cellIs" dxfId="1852" priority="245" stopIfTrue="1" operator="lessThan">
      <formula>10</formula>
    </cfRule>
    <cfRule type="cellIs" dxfId="1851" priority="246" stopIfTrue="1" operator="greaterThan">
      <formula>9</formula>
    </cfRule>
  </conditionalFormatting>
  <conditionalFormatting sqref="T40:U44">
    <cfRule type="cellIs" dxfId="1850" priority="243" stopIfTrue="1" operator="lessThan">
      <formula>10</formula>
    </cfRule>
    <cfRule type="cellIs" dxfId="1849" priority="244" stopIfTrue="1" operator="greaterThan">
      <formula>9</formula>
    </cfRule>
  </conditionalFormatting>
  <conditionalFormatting sqref="T40:U44">
    <cfRule type="cellIs" dxfId="1848" priority="239" stopIfTrue="1" operator="lessThan">
      <formula>10</formula>
    </cfRule>
    <cfRule type="cellIs" dxfId="1847" priority="240" stopIfTrue="1" operator="greaterThan">
      <formula>9</formula>
    </cfRule>
    <cfRule type="cellIs" dxfId="1846" priority="241" stopIfTrue="1" operator="lessThan">
      <formula>10</formula>
    </cfRule>
    <cfRule type="cellIs" dxfId="1845" priority="242" stopIfTrue="1" operator="greaterThan">
      <formula>9</formula>
    </cfRule>
  </conditionalFormatting>
  <conditionalFormatting sqref="Q10:Q50 J10:J50 F49:I50">
    <cfRule type="cellIs" dxfId="1844" priority="107" stopIfTrue="1" operator="lessThan">
      <formula>10</formula>
    </cfRule>
    <cfRule type="cellIs" dxfId="1843" priority="108" stopIfTrue="1" operator="greaterThan">
      <formula>9</formula>
    </cfRule>
  </conditionalFormatting>
  <conditionalFormatting sqref="Q10:Q50 J10:J50 F49:I50">
    <cfRule type="cellIs" dxfId="1842" priority="105" stopIfTrue="1" operator="lessThan">
      <formula>10</formula>
    </cfRule>
    <cfRule type="cellIs" dxfId="1841" priority="106" stopIfTrue="1" operator="greaterThan">
      <formula>9</formula>
    </cfRule>
  </conditionalFormatting>
  <conditionalFormatting sqref="Q10:Q50 J10:J50 F49:I50">
    <cfRule type="cellIs" dxfId="1840" priority="101" stopIfTrue="1" operator="lessThan">
      <formula>10</formula>
    </cfRule>
    <cfRule type="cellIs" dxfId="1839" priority="102" stopIfTrue="1" operator="greaterThan">
      <formula>9</formula>
    </cfRule>
    <cfRule type="cellIs" dxfId="1838" priority="103" stopIfTrue="1" operator="lessThan">
      <formula>10</formula>
    </cfRule>
    <cfRule type="cellIs" dxfId="1837" priority="104" stopIfTrue="1" operator="greaterThan">
      <formula>9</formula>
    </cfRule>
  </conditionalFormatting>
  <conditionalFormatting sqref="K10:K50">
    <cfRule type="cellIs" dxfId="1836" priority="99" stopIfTrue="1" operator="lessThan">
      <formula>10</formula>
    </cfRule>
    <cfRule type="cellIs" dxfId="1835" priority="100" stopIfTrue="1" operator="greaterThanOrEqual">
      <formula>10</formula>
    </cfRule>
  </conditionalFormatting>
  <conditionalFormatting sqref="O10:P51">
    <cfRule type="cellIs" dxfId="1834" priority="95" stopIfTrue="1" operator="lessThan">
      <formula>10</formula>
    </cfRule>
    <cfRule type="cellIs" dxfId="1833" priority="96" stopIfTrue="1" operator="greaterThan">
      <formula>9</formula>
    </cfRule>
  </conditionalFormatting>
  <conditionalFormatting sqref="O10:P51">
    <cfRule type="cellIs" dxfId="1832" priority="93" stopIfTrue="1" operator="lessThan">
      <formula>10</formula>
    </cfRule>
    <cfRule type="cellIs" dxfId="1831" priority="94" stopIfTrue="1" operator="greaterThan">
      <formula>9</formula>
    </cfRule>
  </conditionalFormatting>
  <conditionalFormatting sqref="O10:P51">
    <cfRule type="cellIs" dxfId="1830" priority="89" stopIfTrue="1" operator="lessThan">
      <formula>10</formula>
    </cfRule>
    <cfRule type="cellIs" dxfId="1829" priority="90" stopIfTrue="1" operator="greaterThan">
      <formula>9</formula>
    </cfRule>
    <cfRule type="cellIs" dxfId="1828" priority="91" stopIfTrue="1" operator="lessThan">
      <formula>10</formula>
    </cfRule>
    <cfRule type="cellIs" dxfId="1827" priority="92" stopIfTrue="1" operator="greaterThan">
      <formula>9</formula>
    </cfRule>
  </conditionalFormatting>
  <conditionalFormatting sqref="M10:N51">
    <cfRule type="cellIs" dxfId="1826" priority="87" stopIfTrue="1" operator="lessThan">
      <formula>10</formula>
    </cfRule>
    <cfRule type="cellIs" dxfId="1825" priority="88" stopIfTrue="1" operator="greaterThan">
      <formula>9</formula>
    </cfRule>
  </conditionalFormatting>
  <conditionalFormatting sqref="M10:N51">
    <cfRule type="cellIs" dxfId="1824" priority="85" stopIfTrue="1" operator="lessThan">
      <formula>10</formula>
    </cfRule>
    <cfRule type="cellIs" dxfId="1823" priority="86" stopIfTrue="1" operator="greaterThan">
      <formula>9</formula>
    </cfRule>
  </conditionalFormatting>
  <conditionalFormatting sqref="M10:N51">
    <cfRule type="cellIs" dxfId="1822" priority="81" stopIfTrue="1" operator="lessThan">
      <formula>10</formula>
    </cfRule>
    <cfRule type="cellIs" dxfId="1821" priority="82" stopIfTrue="1" operator="greaterThan">
      <formula>9</formula>
    </cfRule>
    <cfRule type="cellIs" dxfId="1820" priority="83" stopIfTrue="1" operator="lessThan">
      <formula>10</formula>
    </cfRule>
    <cfRule type="cellIs" dxfId="1819" priority="84" stopIfTrue="1" operator="greaterThan">
      <formula>9</formula>
    </cfRule>
  </conditionalFormatting>
  <conditionalFormatting sqref="F23:G38 F43:G48 H10:I48">
    <cfRule type="cellIs" dxfId="1786" priority="47" stopIfTrue="1" operator="lessThan">
      <formula>10</formula>
    </cfRule>
    <cfRule type="cellIs" dxfId="1785" priority="48" stopIfTrue="1" operator="greaterThan">
      <formula>9</formula>
    </cfRule>
  </conditionalFormatting>
  <conditionalFormatting sqref="F23:G38 F43:G48 H10:I48">
    <cfRule type="cellIs" dxfId="1784" priority="45" stopIfTrue="1" operator="lessThan">
      <formula>10</formula>
    </cfRule>
    <cfRule type="cellIs" dxfId="1783" priority="46" stopIfTrue="1" operator="greaterThan">
      <formula>9</formula>
    </cfRule>
  </conditionalFormatting>
  <conditionalFormatting sqref="F23:G38 F43:G48 H10:I48">
    <cfRule type="cellIs" dxfId="1782" priority="41" stopIfTrue="1" operator="lessThan">
      <formula>10</formula>
    </cfRule>
    <cfRule type="cellIs" dxfId="1781" priority="42" stopIfTrue="1" operator="greaterThan">
      <formula>9</formula>
    </cfRule>
    <cfRule type="cellIs" dxfId="1780" priority="43" stopIfTrue="1" operator="lessThan">
      <formula>10</formula>
    </cfRule>
    <cfRule type="cellIs" dxfId="1779" priority="44" stopIfTrue="1" operator="greaterThan">
      <formula>9</formula>
    </cfRule>
  </conditionalFormatting>
  <conditionalFormatting sqref="F10:G12">
    <cfRule type="cellIs" dxfId="1778" priority="39" stopIfTrue="1" operator="lessThan">
      <formula>10</formula>
    </cfRule>
    <cfRule type="cellIs" dxfId="1777" priority="40" stopIfTrue="1" operator="greaterThan">
      <formula>9</formula>
    </cfRule>
  </conditionalFormatting>
  <conditionalFormatting sqref="F10:G12">
    <cfRule type="cellIs" dxfId="1776" priority="37" stopIfTrue="1" operator="lessThan">
      <formula>10</formula>
    </cfRule>
    <cfRule type="cellIs" dxfId="1775" priority="38" stopIfTrue="1" operator="greaterThan">
      <formula>9</formula>
    </cfRule>
  </conditionalFormatting>
  <conditionalFormatting sqref="F10:G12">
    <cfRule type="cellIs" dxfId="1774" priority="33" stopIfTrue="1" operator="lessThan">
      <formula>10</formula>
    </cfRule>
    <cfRule type="cellIs" dxfId="1773" priority="34" stopIfTrue="1" operator="greaterThan">
      <formula>9</formula>
    </cfRule>
    <cfRule type="cellIs" dxfId="1772" priority="35" stopIfTrue="1" operator="lessThan">
      <formula>10</formula>
    </cfRule>
    <cfRule type="cellIs" dxfId="1771" priority="36" stopIfTrue="1" operator="greaterThan">
      <formula>9</formula>
    </cfRule>
  </conditionalFormatting>
  <conditionalFormatting sqref="F13:G15">
    <cfRule type="cellIs" dxfId="1770" priority="31" stopIfTrue="1" operator="lessThan">
      <formula>10</formula>
    </cfRule>
    <cfRule type="cellIs" dxfId="1769" priority="32" stopIfTrue="1" operator="greaterThan">
      <formula>9</formula>
    </cfRule>
  </conditionalFormatting>
  <conditionalFormatting sqref="F13:G15">
    <cfRule type="cellIs" dxfId="1768" priority="29" stopIfTrue="1" operator="lessThan">
      <formula>10</formula>
    </cfRule>
    <cfRule type="cellIs" dxfId="1767" priority="30" stopIfTrue="1" operator="greaterThan">
      <formula>9</formula>
    </cfRule>
  </conditionalFormatting>
  <conditionalFormatting sqref="F13:G15">
    <cfRule type="cellIs" dxfId="1766" priority="25" stopIfTrue="1" operator="lessThan">
      <formula>10</formula>
    </cfRule>
    <cfRule type="cellIs" dxfId="1765" priority="26" stopIfTrue="1" operator="greaterThan">
      <formula>9</formula>
    </cfRule>
    <cfRule type="cellIs" dxfId="1764" priority="27" stopIfTrue="1" operator="lessThan">
      <formula>10</formula>
    </cfRule>
    <cfRule type="cellIs" dxfId="1763" priority="28" stopIfTrue="1" operator="greaterThan">
      <formula>9</formula>
    </cfRule>
  </conditionalFormatting>
  <conditionalFormatting sqref="F16:G18">
    <cfRule type="cellIs" dxfId="1762" priority="23" stopIfTrue="1" operator="lessThan">
      <formula>10</formula>
    </cfRule>
    <cfRule type="cellIs" dxfId="1761" priority="24" stopIfTrue="1" operator="greaterThan">
      <formula>9</formula>
    </cfRule>
  </conditionalFormatting>
  <conditionalFormatting sqref="F16:G18">
    <cfRule type="cellIs" dxfId="1760" priority="21" stopIfTrue="1" operator="lessThan">
      <formula>10</formula>
    </cfRule>
    <cfRule type="cellIs" dxfId="1759" priority="22" stopIfTrue="1" operator="greaterThan">
      <formula>9</formula>
    </cfRule>
  </conditionalFormatting>
  <conditionalFormatting sqref="F16:G18">
    <cfRule type="cellIs" dxfId="1758" priority="17" stopIfTrue="1" operator="lessThan">
      <formula>10</formula>
    </cfRule>
    <cfRule type="cellIs" dxfId="1757" priority="18" stopIfTrue="1" operator="greaterThan">
      <formula>9</formula>
    </cfRule>
    <cfRule type="cellIs" dxfId="1756" priority="19" stopIfTrue="1" operator="lessThan">
      <formula>10</formula>
    </cfRule>
    <cfRule type="cellIs" dxfId="1755" priority="20" stopIfTrue="1" operator="greaterThan">
      <formula>9</formula>
    </cfRule>
  </conditionalFormatting>
  <conditionalFormatting sqref="F19:G22">
    <cfRule type="cellIs" dxfId="1754" priority="15" stopIfTrue="1" operator="lessThan">
      <formula>10</formula>
    </cfRule>
    <cfRule type="cellIs" dxfId="1753" priority="16" stopIfTrue="1" operator="greaterThan">
      <formula>9</formula>
    </cfRule>
  </conditionalFormatting>
  <conditionalFormatting sqref="F19:G22">
    <cfRule type="cellIs" dxfId="1752" priority="13" stopIfTrue="1" operator="lessThan">
      <formula>10</formula>
    </cfRule>
    <cfRule type="cellIs" dxfId="1751" priority="14" stopIfTrue="1" operator="greaterThan">
      <formula>9</formula>
    </cfRule>
  </conditionalFormatting>
  <conditionalFormatting sqref="F19:G22">
    <cfRule type="cellIs" dxfId="1750" priority="9" stopIfTrue="1" operator="lessThan">
      <formula>10</formula>
    </cfRule>
    <cfRule type="cellIs" dxfId="1749" priority="10" stopIfTrue="1" operator="greaterThan">
      <formula>9</formula>
    </cfRule>
    <cfRule type="cellIs" dxfId="1748" priority="11" stopIfTrue="1" operator="lessThan">
      <formula>10</formula>
    </cfRule>
    <cfRule type="cellIs" dxfId="1747" priority="12" stopIfTrue="1" operator="greaterThan">
      <formula>9</formula>
    </cfRule>
  </conditionalFormatting>
  <conditionalFormatting sqref="F39:G42">
    <cfRule type="cellIs" dxfId="1746" priority="7" stopIfTrue="1" operator="lessThan">
      <formula>10</formula>
    </cfRule>
    <cfRule type="cellIs" dxfId="1745" priority="8" stopIfTrue="1" operator="greaterThan">
      <formula>9</formula>
    </cfRule>
  </conditionalFormatting>
  <conditionalFormatting sqref="F39:G42">
    <cfRule type="cellIs" dxfId="1744" priority="5" stopIfTrue="1" operator="lessThan">
      <formula>10</formula>
    </cfRule>
    <cfRule type="cellIs" dxfId="1743" priority="6" stopIfTrue="1" operator="greaterThan">
      <formula>9</formula>
    </cfRule>
  </conditionalFormatting>
  <conditionalFormatting sqref="F39:G42">
    <cfRule type="cellIs" dxfId="1742" priority="1" stopIfTrue="1" operator="lessThan">
      <formula>10</formula>
    </cfRule>
    <cfRule type="cellIs" dxfId="1741" priority="2" stopIfTrue="1" operator="greaterThan">
      <formula>9</formula>
    </cfRule>
    <cfRule type="cellIs" dxfId="1740" priority="3" stopIfTrue="1" operator="lessThan">
      <formula>10</formula>
    </cfRule>
    <cfRule type="cellIs" dxfId="1739" priority="4" stopIfTrue="1" operator="greaterThan">
      <formula>9</formula>
    </cfRule>
  </conditionalFormatting>
  <dataValidations count="1">
    <dataValidation type="decimal" allowBlank="1" showInputMessage="1" showErrorMessage="1" errorTitle="ATENÇÃO!" error="O valor introduzido não é válido. Grato!" sqref="F10:J51 AB10:AB51 M10:Q51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86" orientation="portrait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95" stopIfTrue="1" operator="containsText" id="{3982C4E6-8D97-4F96-981E-31F4A29C0A4B}">
            <xm:f>NOT(ISERROR(SEARCH("APROVADO/A",AE10)))</xm:f>
            <xm:f>"APROVADO/A"</xm:f>
            <x14:dxf>
              <font>
                <b/>
                <i val="0"/>
                <color rgb="FF0000FF"/>
              </font>
            </x14:dxf>
          </x14:cfRule>
          <x14:cfRule type="containsText" priority="296" stopIfTrue="1" operator="containsText" id="{876685E7-7A69-4842-93B3-38939ABACC4D}">
            <xm:f>NOT(ISERROR(SEARCH("REPROVADO/A",AE10)))</xm:f>
            <xm:f>"REPROVADO/A"</xm:f>
            <x14:dxf>
              <font>
                <b/>
                <i val="0"/>
                <color rgb="FFFF0000"/>
              </font>
            </x14:dxf>
          </x14:cfRule>
          <xm:sqref>AE10:AE51</xm:sqref>
        </x14:conditionalFormatting>
        <x14:conditionalFormatting xmlns:xm="http://schemas.microsoft.com/office/excel/2006/main">
          <x14:cfRule type="containsText" priority="229" stopIfTrue="1" operator="containsText" id="{6A01614D-A84F-47E0-9FB4-CC016E0D2BB6}">
            <xm:f>NOT(ISERROR(SEARCH("N/TRANSITA",L10)))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30" stopIfTrue="1" operator="containsText" id="{700F889B-BB55-43FB-A397-5EC0447622DB}">
            <xm:f>NOT(ISERROR(SEARCH("TRANSITA",L10)))</xm:f>
            <xm:f>"TRANSITA"</xm:f>
            <x14:dxf>
              <font>
                <b/>
                <i val="0"/>
                <color rgb="FF0070C0"/>
              </font>
            </x14:dxf>
          </x14:cfRule>
          <xm:sqref>S10:S51 L51</xm:sqref>
        </x14:conditionalFormatting>
        <x14:conditionalFormatting xmlns:xm="http://schemas.microsoft.com/office/excel/2006/main">
          <x14:cfRule type="containsText" priority="97" stopIfTrue="1" operator="containsText" id="{D100325D-3739-4322-8848-DBE23D1F72C4}">
            <xm:f>NOT(ISERROR(SEARCH("N/TRANSITA",L10)))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98" stopIfTrue="1" operator="containsText" id="{7045726B-7DC1-4175-A2F8-0AC1FA38A4B7}">
            <xm:f>NOT(ISERROR(SEARCH("TRANSITA",L10)))</xm:f>
            <xm:f>"TRANSITA"</xm:f>
            <x14:dxf>
              <font>
                <b/>
                <i val="0"/>
                <color rgb="FF0070C0"/>
              </font>
            </x14:dxf>
          </x14:cfRule>
          <xm:sqref>L10:L50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11">
    <tabColor rgb="FF00B050"/>
  </sheetPr>
  <dimension ref="A1:AE57"/>
  <sheetViews>
    <sheetView showGridLines="0" zoomScale="115" zoomScaleNormal="115" zoomScalePageLayoutView="85" workbookViewId="0">
      <selection activeCell="C26" sqref="C26"/>
    </sheetView>
  </sheetViews>
  <sheetFormatPr defaultRowHeight="14.4" x14ac:dyDescent="0.3"/>
  <cols>
    <col min="1" max="1" width="1.6640625" customWidth="1"/>
    <col min="2" max="2" width="3.6640625" customWidth="1"/>
    <col min="3" max="3" width="36.33203125" customWidth="1"/>
    <col min="4" max="4" width="2.6640625" customWidth="1"/>
    <col min="5" max="5" width="2.88671875" customWidth="1"/>
    <col min="6" max="11" width="4.44140625" customWidth="1"/>
    <col min="12" max="12" width="11" customWidth="1"/>
    <col min="13" max="18" width="4.44140625" customWidth="1"/>
    <col min="19" max="19" width="11.109375" customWidth="1"/>
    <col min="20" max="25" width="4.44140625" customWidth="1"/>
    <col min="26" max="26" width="6.109375" customWidth="1"/>
    <col min="27" max="27" width="4.44140625" customWidth="1"/>
    <col min="28" max="28" width="5.88671875" customWidth="1"/>
    <col min="29" max="29" width="4.44140625" customWidth="1"/>
    <col min="30" max="30" width="6.33203125" customWidth="1"/>
    <col min="31" max="31" width="11.88671875" customWidth="1"/>
    <col min="32" max="32" width="3.44140625" customWidth="1"/>
    <col min="33" max="33" width="5" customWidth="1"/>
    <col min="267" max="267" width="1.6640625" customWidth="1"/>
    <col min="268" max="268" width="3.6640625" customWidth="1"/>
    <col min="269" max="269" width="23.44140625" customWidth="1"/>
    <col min="270" max="281" width="4.44140625" customWidth="1"/>
    <col min="282" max="282" width="6.109375" customWidth="1"/>
    <col min="283" max="283" width="4.44140625" customWidth="1"/>
    <col min="284" max="284" width="7.5546875" customWidth="1"/>
    <col min="285" max="285" width="4.44140625" customWidth="1"/>
    <col min="286" max="286" width="6.33203125" customWidth="1"/>
    <col min="287" max="287" width="7.88671875" customWidth="1"/>
    <col min="288" max="288" width="3.44140625" customWidth="1"/>
    <col min="289" max="289" width="5" customWidth="1"/>
    <col min="523" max="523" width="1.6640625" customWidth="1"/>
    <col min="524" max="524" width="3.6640625" customWidth="1"/>
    <col min="525" max="525" width="23.44140625" customWidth="1"/>
    <col min="526" max="537" width="4.44140625" customWidth="1"/>
    <col min="538" max="538" width="6.109375" customWidth="1"/>
    <col min="539" max="539" width="4.44140625" customWidth="1"/>
    <col min="540" max="540" width="7.5546875" customWidth="1"/>
    <col min="541" max="541" width="4.44140625" customWidth="1"/>
    <col min="542" max="542" width="6.33203125" customWidth="1"/>
    <col min="543" max="543" width="7.88671875" customWidth="1"/>
    <col min="544" max="544" width="3.44140625" customWidth="1"/>
    <col min="545" max="545" width="5" customWidth="1"/>
    <col min="779" max="779" width="1.6640625" customWidth="1"/>
    <col min="780" max="780" width="3.6640625" customWidth="1"/>
    <col min="781" max="781" width="23.44140625" customWidth="1"/>
    <col min="782" max="793" width="4.44140625" customWidth="1"/>
    <col min="794" max="794" width="6.109375" customWidth="1"/>
    <col min="795" max="795" width="4.44140625" customWidth="1"/>
    <col min="796" max="796" width="7.5546875" customWidth="1"/>
    <col min="797" max="797" width="4.44140625" customWidth="1"/>
    <col min="798" max="798" width="6.33203125" customWidth="1"/>
    <col min="799" max="799" width="7.88671875" customWidth="1"/>
    <col min="800" max="800" width="3.44140625" customWidth="1"/>
    <col min="801" max="801" width="5" customWidth="1"/>
    <col min="1035" max="1035" width="1.6640625" customWidth="1"/>
    <col min="1036" max="1036" width="3.6640625" customWidth="1"/>
    <col min="1037" max="1037" width="23.44140625" customWidth="1"/>
    <col min="1038" max="1049" width="4.44140625" customWidth="1"/>
    <col min="1050" max="1050" width="6.109375" customWidth="1"/>
    <col min="1051" max="1051" width="4.44140625" customWidth="1"/>
    <col min="1052" max="1052" width="7.5546875" customWidth="1"/>
    <col min="1053" max="1053" width="4.44140625" customWidth="1"/>
    <col min="1054" max="1054" width="6.33203125" customWidth="1"/>
    <col min="1055" max="1055" width="7.88671875" customWidth="1"/>
    <col min="1056" max="1056" width="3.44140625" customWidth="1"/>
    <col min="1057" max="1057" width="5" customWidth="1"/>
    <col min="1291" max="1291" width="1.6640625" customWidth="1"/>
    <col min="1292" max="1292" width="3.6640625" customWidth="1"/>
    <col min="1293" max="1293" width="23.44140625" customWidth="1"/>
    <col min="1294" max="1305" width="4.44140625" customWidth="1"/>
    <col min="1306" max="1306" width="6.109375" customWidth="1"/>
    <col min="1307" max="1307" width="4.44140625" customWidth="1"/>
    <col min="1308" max="1308" width="7.5546875" customWidth="1"/>
    <col min="1309" max="1309" width="4.44140625" customWidth="1"/>
    <col min="1310" max="1310" width="6.33203125" customWidth="1"/>
    <col min="1311" max="1311" width="7.88671875" customWidth="1"/>
    <col min="1312" max="1312" width="3.44140625" customWidth="1"/>
    <col min="1313" max="1313" width="5" customWidth="1"/>
    <col min="1547" max="1547" width="1.6640625" customWidth="1"/>
    <col min="1548" max="1548" width="3.6640625" customWidth="1"/>
    <col min="1549" max="1549" width="23.44140625" customWidth="1"/>
    <col min="1550" max="1561" width="4.44140625" customWidth="1"/>
    <col min="1562" max="1562" width="6.109375" customWidth="1"/>
    <col min="1563" max="1563" width="4.44140625" customWidth="1"/>
    <col min="1564" max="1564" width="7.5546875" customWidth="1"/>
    <col min="1565" max="1565" width="4.44140625" customWidth="1"/>
    <col min="1566" max="1566" width="6.33203125" customWidth="1"/>
    <col min="1567" max="1567" width="7.88671875" customWidth="1"/>
    <col min="1568" max="1568" width="3.44140625" customWidth="1"/>
    <col min="1569" max="1569" width="5" customWidth="1"/>
    <col min="1803" max="1803" width="1.6640625" customWidth="1"/>
    <col min="1804" max="1804" width="3.6640625" customWidth="1"/>
    <col min="1805" max="1805" width="23.44140625" customWidth="1"/>
    <col min="1806" max="1817" width="4.44140625" customWidth="1"/>
    <col min="1818" max="1818" width="6.109375" customWidth="1"/>
    <col min="1819" max="1819" width="4.44140625" customWidth="1"/>
    <col min="1820" max="1820" width="7.5546875" customWidth="1"/>
    <col min="1821" max="1821" width="4.44140625" customWidth="1"/>
    <col min="1822" max="1822" width="6.33203125" customWidth="1"/>
    <col min="1823" max="1823" width="7.88671875" customWidth="1"/>
    <col min="1824" max="1824" width="3.44140625" customWidth="1"/>
    <col min="1825" max="1825" width="5" customWidth="1"/>
    <col min="2059" max="2059" width="1.6640625" customWidth="1"/>
    <col min="2060" max="2060" width="3.6640625" customWidth="1"/>
    <col min="2061" max="2061" width="23.44140625" customWidth="1"/>
    <col min="2062" max="2073" width="4.44140625" customWidth="1"/>
    <col min="2074" max="2074" width="6.109375" customWidth="1"/>
    <col min="2075" max="2075" width="4.44140625" customWidth="1"/>
    <col min="2076" max="2076" width="7.5546875" customWidth="1"/>
    <col min="2077" max="2077" width="4.44140625" customWidth="1"/>
    <col min="2078" max="2078" width="6.33203125" customWidth="1"/>
    <col min="2079" max="2079" width="7.88671875" customWidth="1"/>
    <col min="2080" max="2080" width="3.44140625" customWidth="1"/>
    <col min="2081" max="2081" width="5" customWidth="1"/>
    <col min="2315" max="2315" width="1.6640625" customWidth="1"/>
    <col min="2316" max="2316" width="3.6640625" customWidth="1"/>
    <col min="2317" max="2317" width="23.44140625" customWidth="1"/>
    <col min="2318" max="2329" width="4.44140625" customWidth="1"/>
    <col min="2330" max="2330" width="6.109375" customWidth="1"/>
    <col min="2331" max="2331" width="4.44140625" customWidth="1"/>
    <col min="2332" max="2332" width="7.5546875" customWidth="1"/>
    <col min="2333" max="2333" width="4.44140625" customWidth="1"/>
    <col min="2334" max="2334" width="6.33203125" customWidth="1"/>
    <col min="2335" max="2335" width="7.88671875" customWidth="1"/>
    <col min="2336" max="2336" width="3.44140625" customWidth="1"/>
    <col min="2337" max="2337" width="5" customWidth="1"/>
    <col min="2571" max="2571" width="1.6640625" customWidth="1"/>
    <col min="2572" max="2572" width="3.6640625" customWidth="1"/>
    <col min="2573" max="2573" width="23.44140625" customWidth="1"/>
    <col min="2574" max="2585" width="4.44140625" customWidth="1"/>
    <col min="2586" max="2586" width="6.109375" customWidth="1"/>
    <col min="2587" max="2587" width="4.44140625" customWidth="1"/>
    <col min="2588" max="2588" width="7.5546875" customWidth="1"/>
    <col min="2589" max="2589" width="4.44140625" customWidth="1"/>
    <col min="2590" max="2590" width="6.33203125" customWidth="1"/>
    <col min="2591" max="2591" width="7.88671875" customWidth="1"/>
    <col min="2592" max="2592" width="3.44140625" customWidth="1"/>
    <col min="2593" max="2593" width="5" customWidth="1"/>
    <col min="2827" max="2827" width="1.6640625" customWidth="1"/>
    <col min="2828" max="2828" width="3.6640625" customWidth="1"/>
    <col min="2829" max="2829" width="23.44140625" customWidth="1"/>
    <col min="2830" max="2841" width="4.44140625" customWidth="1"/>
    <col min="2842" max="2842" width="6.109375" customWidth="1"/>
    <col min="2843" max="2843" width="4.44140625" customWidth="1"/>
    <col min="2844" max="2844" width="7.5546875" customWidth="1"/>
    <col min="2845" max="2845" width="4.44140625" customWidth="1"/>
    <col min="2846" max="2846" width="6.33203125" customWidth="1"/>
    <col min="2847" max="2847" width="7.88671875" customWidth="1"/>
    <col min="2848" max="2848" width="3.44140625" customWidth="1"/>
    <col min="2849" max="2849" width="5" customWidth="1"/>
    <col min="3083" max="3083" width="1.6640625" customWidth="1"/>
    <col min="3084" max="3084" width="3.6640625" customWidth="1"/>
    <col min="3085" max="3085" width="23.44140625" customWidth="1"/>
    <col min="3086" max="3097" width="4.44140625" customWidth="1"/>
    <col min="3098" max="3098" width="6.109375" customWidth="1"/>
    <col min="3099" max="3099" width="4.44140625" customWidth="1"/>
    <col min="3100" max="3100" width="7.5546875" customWidth="1"/>
    <col min="3101" max="3101" width="4.44140625" customWidth="1"/>
    <col min="3102" max="3102" width="6.33203125" customWidth="1"/>
    <col min="3103" max="3103" width="7.88671875" customWidth="1"/>
    <col min="3104" max="3104" width="3.44140625" customWidth="1"/>
    <col min="3105" max="3105" width="5" customWidth="1"/>
    <col min="3339" max="3339" width="1.6640625" customWidth="1"/>
    <col min="3340" max="3340" width="3.6640625" customWidth="1"/>
    <col min="3341" max="3341" width="23.44140625" customWidth="1"/>
    <col min="3342" max="3353" width="4.44140625" customWidth="1"/>
    <col min="3354" max="3354" width="6.109375" customWidth="1"/>
    <col min="3355" max="3355" width="4.44140625" customWidth="1"/>
    <col min="3356" max="3356" width="7.5546875" customWidth="1"/>
    <col min="3357" max="3357" width="4.44140625" customWidth="1"/>
    <col min="3358" max="3358" width="6.33203125" customWidth="1"/>
    <col min="3359" max="3359" width="7.88671875" customWidth="1"/>
    <col min="3360" max="3360" width="3.44140625" customWidth="1"/>
    <col min="3361" max="3361" width="5" customWidth="1"/>
    <col min="3595" max="3595" width="1.6640625" customWidth="1"/>
    <col min="3596" max="3596" width="3.6640625" customWidth="1"/>
    <col min="3597" max="3597" width="23.44140625" customWidth="1"/>
    <col min="3598" max="3609" width="4.44140625" customWidth="1"/>
    <col min="3610" max="3610" width="6.109375" customWidth="1"/>
    <col min="3611" max="3611" width="4.44140625" customWidth="1"/>
    <col min="3612" max="3612" width="7.5546875" customWidth="1"/>
    <col min="3613" max="3613" width="4.44140625" customWidth="1"/>
    <col min="3614" max="3614" width="6.33203125" customWidth="1"/>
    <col min="3615" max="3615" width="7.88671875" customWidth="1"/>
    <col min="3616" max="3616" width="3.44140625" customWidth="1"/>
    <col min="3617" max="3617" width="5" customWidth="1"/>
    <col min="3851" max="3851" width="1.6640625" customWidth="1"/>
    <col min="3852" max="3852" width="3.6640625" customWidth="1"/>
    <col min="3853" max="3853" width="23.44140625" customWidth="1"/>
    <col min="3854" max="3865" width="4.44140625" customWidth="1"/>
    <col min="3866" max="3866" width="6.109375" customWidth="1"/>
    <col min="3867" max="3867" width="4.44140625" customWidth="1"/>
    <col min="3868" max="3868" width="7.5546875" customWidth="1"/>
    <col min="3869" max="3869" width="4.44140625" customWidth="1"/>
    <col min="3870" max="3870" width="6.33203125" customWidth="1"/>
    <col min="3871" max="3871" width="7.88671875" customWidth="1"/>
    <col min="3872" max="3872" width="3.44140625" customWidth="1"/>
    <col min="3873" max="3873" width="5" customWidth="1"/>
    <col min="4107" max="4107" width="1.6640625" customWidth="1"/>
    <col min="4108" max="4108" width="3.6640625" customWidth="1"/>
    <col min="4109" max="4109" width="23.44140625" customWidth="1"/>
    <col min="4110" max="4121" width="4.44140625" customWidth="1"/>
    <col min="4122" max="4122" width="6.109375" customWidth="1"/>
    <col min="4123" max="4123" width="4.44140625" customWidth="1"/>
    <col min="4124" max="4124" width="7.5546875" customWidth="1"/>
    <col min="4125" max="4125" width="4.44140625" customWidth="1"/>
    <col min="4126" max="4126" width="6.33203125" customWidth="1"/>
    <col min="4127" max="4127" width="7.88671875" customWidth="1"/>
    <col min="4128" max="4128" width="3.44140625" customWidth="1"/>
    <col min="4129" max="4129" width="5" customWidth="1"/>
    <col min="4363" max="4363" width="1.6640625" customWidth="1"/>
    <col min="4364" max="4364" width="3.6640625" customWidth="1"/>
    <col min="4365" max="4365" width="23.44140625" customWidth="1"/>
    <col min="4366" max="4377" width="4.44140625" customWidth="1"/>
    <col min="4378" max="4378" width="6.109375" customWidth="1"/>
    <col min="4379" max="4379" width="4.44140625" customWidth="1"/>
    <col min="4380" max="4380" width="7.5546875" customWidth="1"/>
    <col min="4381" max="4381" width="4.44140625" customWidth="1"/>
    <col min="4382" max="4382" width="6.33203125" customWidth="1"/>
    <col min="4383" max="4383" width="7.88671875" customWidth="1"/>
    <col min="4384" max="4384" width="3.44140625" customWidth="1"/>
    <col min="4385" max="4385" width="5" customWidth="1"/>
    <col min="4619" max="4619" width="1.6640625" customWidth="1"/>
    <col min="4620" max="4620" width="3.6640625" customWidth="1"/>
    <col min="4621" max="4621" width="23.44140625" customWidth="1"/>
    <col min="4622" max="4633" width="4.44140625" customWidth="1"/>
    <col min="4634" max="4634" width="6.109375" customWidth="1"/>
    <col min="4635" max="4635" width="4.44140625" customWidth="1"/>
    <col min="4636" max="4636" width="7.5546875" customWidth="1"/>
    <col min="4637" max="4637" width="4.44140625" customWidth="1"/>
    <col min="4638" max="4638" width="6.33203125" customWidth="1"/>
    <col min="4639" max="4639" width="7.88671875" customWidth="1"/>
    <col min="4640" max="4640" width="3.44140625" customWidth="1"/>
    <col min="4641" max="4641" width="5" customWidth="1"/>
    <col min="4875" max="4875" width="1.6640625" customWidth="1"/>
    <col min="4876" max="4876" width="3.6640625" customWidth="1"/>
    <col min="4877" max="4877" width="23.44140625" customWidth="1"/>
    <col min="4878" max="4889" width="4.44140625" customWidth="1"/>
    <col min="4890" max="4890" width="6.109375" customWidth="1"/>
    <col min="4891" max="4891" width="4.44140625" customWidth="1"/>
    <col min="4892" max="4892" width="7.5546875" customWidth="1"/>
    <col min="4893" max="4893" width="4.44140625" customWidth="1"/>
    <col min="4894" max="4894" width="6.33203125" customWidth="1"/>
    <col min="4895" max="4895" width="7.88671875" customWidth="1"/>
    <col min="4896" max="4896" width="3.44140625" customWidth="1"/>
    <col min="4897" max="4897" width="5" customWidth="1"/>
    <col min="5131" max="5131" width="1.6640625" customWidth="1"/>
    <col min="5132" max="5132" width="3.6640625" customWidth="1"/>
    <col min="5133" max="5133" width="23.44140625" customWidth="1"/>
    <col min="5134" max="5145" width="4.44140625" customWidth="1"/>
    <col min="5146" max="5146" width="6.109375" customWidth="1"/>
    <col min="5147" max="5147" width="4.44140625" customWidth="1"/>
    <col min="5148" max="5148" width="7.5546875" customWidth="1"/>
    <col min="5149" max="5149" width="4.44140625" customWidth="1"/>
    <col min="5150" max="5150" width="6.33203125" customWidth="1"/>
    <col min="5151" max="5151" width="7.88671875" customWidth="1"/>
    <col min="5152" max="5152" width="3.44140625" customWidth="1"/>
    <col min="5153" max="5153" width="5" customWidth="1"/>
    <col min="5387" max="5387" width="1.6640625" customWidth="1"/>
    <col min="5388" max="5388" width="3.6640625" customWidth="1"/>
    <col min="5389" max="5389" width="23.44140625" customWidth="1"/>
    <col min="5390" max="5401" width="4.44140625" customWidth="1"/>
    <col min="5402" max="5402" width="6.109375" customWidth="1"/>
    <col min="5403" max="5403" width="4.44140625" customWidth="1"/>
    <col min="5404" max="5404" width="7.5546875" customWidth="1"/>
    <col min="5405" max="5405" width="4.44140625" customWidth="1"/>
    <col min="5406" max="5406" width="6.33203125" customWidth="1"/>
    <col min="5407" max="5407" width="7.88671875" customWidth="1"/>
    <col min="5408" max="5408" width="3.44140625" customWidth="1"/>
    <col min="5409" max="5409" width="5" customWidth="1"/>
    <col min="5643" max="5643" width="1.6640625" customWidth="1"/>
    <col min="5644" max="5644" width="3.6640625" customWidth="1"/>
    <col min="5645" max="5645" width="23.44140625" customWidth="1"/>
    <col min="5646" max="5657" width="4.44140625" customWidth="1"/>
    <col min="5658" max="5658" width="6.109375" customWidth="1"/>
    <col min="5659" max="5659" width="4.44140625" customWidth="1"/>
    <col min="5660" max="5660" width="7.5546875" customWidth="1"/>
    <col min="5661" max="5661" width="4.44140625" customWidth="1"/>
    <col min="5662" max="5662" width="6.33203125" customWidth="1"/>
    <col min="5663" max="5663" width="7.88671875" customWidth="1"/>
    <col min="5664" max="5664" width="3.44140625" customWidth="1"/>
    <col min="5665" max="5665" width="5" customWidth="1"/>
    <col min="5899" max="5899" width="1.6640625" customWidth="1"/>
    <col min="5900" max="5900" width="3.6640625" customWidth="1"/>
    <col min="5901" max="5901" width="23.44140625" customWidth="1"/>
    <col min="5902" max="5913" width="4.44140625" customWidth="1"/>
    <col min="5914" max="5914" width="6.109375" customWidth="1"/>
    <col min="5915" max="5915" width="4.44140625" customWidth="1"/>
    <col min="5916" max="5916" width="7.5546875" customWidth="1"/>
    <col min="5917" max="5917" width="4.44140625" customWidth="1"/>
    <col min="5918" max="5918" width="6.33203125" customWidth="1"/>
    <col min="5919" max="5919" width="7.88671875" customWidth="1"/>
    <col min="5920" max="5920" width="3.44140625" customWidth="1"/>
    <col min="5921" max="5921" width="5" customWidth="1"/>
    <col min="6155" max="6155" width="1.6640625" customWidth="1"/>
    <col min="6156" max="6156" width="3.6640625" customWidth="1"/>
    <col min="6157" max="6157" width="23.44140625" customWidth="1"/>
    <col min="6158" max="6169" width="4.44140625" customWidth="1"/>
    <col min="6170" max="6170" width="6.109375" customWidth="1"/>
    <col min="6171" max="6171" width="4.44140625" customWidth="1"/>
    <col min="6172" max="6172" width="7.5546875" customWidth="1"/>
    <col min="6173" max="6173" width="4.44140625" customWidth="1"/>
    <col min="6174" max="6174" width="6.33203125" customWidth="1"/>
    <col min="6175" max="6175" width="7.88671875" customWidth="1"/>
    <col min="6176" max="6176" width="3.44140625" customWidth="1"/>
    <col min="6177" max="6177" width="5" customWidth="1"/>
    <col min="6411" max="6411" width="1.6640625" customWidth="1"/>
    <col min="6412" max="6412" width="3.6640625" customWidth="1"/>
    <col min="6413" max="6413" width="23.44140625" customWidth="1"/>
    <col min="6414" max="6425" width="4.44140625" customWidth="1"/>
    <col min="6426" max="6426" width="6.109375" customWidth="1"/>
    <col min="6427" max="6427" width="4.44140625" customWidth="1"/>
    <col min="6428" max="6428" width="7.5546875" customWidth="1"/>
    <col min="6429" max="6429" width="4.44140625" customWidth="1"/>
    <col min="6430" max="6430" width="6.33203125" customWidth="1"/>
    <col min="6431" max="6431" width="7.88671875" customWidth="1"/>
    <col min="6432" max="6432" width="3.44140625" customWidth="1"/>
    <col min="6433" max="6433" width="5" customWidth="1"/>
    <col min="6667" max="6667" width="1.6640625" customWidth="1"/>
    <col min="6668" max="6668" width="3.6640625" customWidth="1"/>
    <col min="6669" max="6669" width="23.44140625" customWidth="1"/>
    <col min="6670" max="6681" width="4.44140625" customWidth="1"/>
    <col min="6682" max="6682" width="6.109375" customWidth="1"/>
    <col min="6683" max="6683" width="4.44140625" customWidth="1"/>
    <col min="6684" max="6684" width="7.5546875" customWidth="1"/>
    <col min="6685" max="6685" width="4.44140625" customWidth="1"/>
    <col min="6686" max="6686" width="6.33203125" customWidth="1"/>
    <col min="6687" max="6687" width="7.88671875" customWidth="1"/>
    <col min="6688" max="6688" width="3.44140625" customWidth="1"/>
    <col min="6689" max="6689" width="5" customWidth="1"/>
    <col min="6923" max="6923" width="1.6640625" customWidth="1"/>
    <col min="6924" max="6924" width="3.6640625" customWidth="1"/>
    <col min="6925" max="6925" width="23.44140625" customWidth="1"/>
    <col min="6926" max="6937" width="4.44140625" customWidth="1"/>
    <col min="6938" max="6938" width="6.109375" customWidth="1"/>
    <col min="6939" max="6939" width="4.44140625" customWidth="1"/>
    <col min="6940" max="6940" width="7.5546875" customWidth="1"/>
    <col min="6941" max="6941" width="4.44140625" customWidth="1"/>
    <col min="6942" max="6942" width="6.33203125" customWidth="1"/>
    <col min="6943" max="6943" width="7.88671875" customWidth="1"/>
    <col min="6944" max="6944" width="3.44140625" customWidth="1"/>
    <col min="6945" max="6945" width="5" customWidth="1"/>
    <col min="7179" max="7179" width="1.6640625" customWidth="1"/>
    <col min="7180" max="7180" width="3.6640625" customWidth="1"/>
    <col min="7181" max="7181" width="23.44140625" customWidth="1"/>
    <col min="7182" max="7193" width="4.44140625" customWidth="1"/>
    <col min="7194" max="7194" width="6.109375" customWidth="1"/>
    <col min="7195" max="7195" width="4.44140625" customWidth="1"/>
    <col min="7196" max="7196" width="7.5546875" customWidth="1"/>
    <col min="7197" max="7197" width="4.44140625" customWidth="1"/>
    <col min="7198" max="7198" width="6.33203125" customWidth="1"/>
    <col min="7199" max="7199" width="7.88671875" customWidth="1"/>
    <col min="7200" max="7200" width="3.44140625" customWidth="1"/>
    <col min="7201" max="7201" width="5" customWidth="1"/>
    <col min="7435" max="7435" width="1.6640625" customWidth="1"/>
    <col min="7436" max="7436" width="3.6640625" customWidth="1"/>
    <col min="7437" max="7437" width="23.44140625" customWidth="1"/>
    <col min="7438" max="7449" width="4.44140625" customWidth="1"/>
    <col min="7450" max="7450" width="6.109375" customWidth="1"/>
    <col min="7451" max="7451" width="4.44140625" customWidth="1"/>
    <col min="7452" max="7452" width="7.5546875" customWidth="1"/>
    <col min="7453" max="7453" width="4.44140625" customWidth="1"/>
    <col min="7454" max="7454" width="6.33203125" customWidth="1"/>
    <col min="7455" max="7455" width="7.88671875" customWidth="1"/>
    <col min="7456" max="7456" width="3.44140625" customWidth="1"/>
    <col min="7457" max="7457" width="5" customWidth="1"/>
    <col min="7691" max="7691" width="1.6640625" customWidth="1"/>
    <col min="7692" max="7692" width="3.6640625" customWidth="1"/>
    <col min="7693" max="7693" width="23.44140625" customWidth="1"/>
    <col min="7694" max="7705" width="4.44140625" customWidth="1"/>
    <col min="7706" max="7706" width="6.109375" customWidth="1"/>
    <col min="7707" max="7707" width="4.44140625" customWidth="1"/>
    <col min="7708" max="7708" width="7.5546875" customWidth="1"/>
    <col min="7709" max="7709" width="4.44140625" customWidth="1"/>
    <col min="7710" max="7710" width="6.33203125" customWidth="1"/>
    <col min="7711" max="7711" width="7.88671875" customWidth="1"/>
    <col min="7712" max="7712" width="3.44140625" customWidth="1"/>
    <col min="7713" max="7713" width="5" customWidth="1"/>
    <col min="7947" max="7947" width="1.6640625" customWidth="1"/>
    <col min="7948" max="7948" width="3.6640625" customWidth="1"/>
    <col min="7949" max="7949" width="23.44140625" customWidth="1"/>
    <col min="7950" max="7961" width="4.44140625" customWidth="1"/>
    <col min="7962" max="7962" width="6.109375" customWidth="1"/>
    <col min="7963" max="7963" width="4.44140625" customWidth="1"/>
    <col min="7964" max="7964" width="7.5546875" customWidth="1"/>
    <col min="7965" max="7965" width="4.44140625" customWidth="1"/>
    <col min="7966" max="7966" width="6.33203125" customWidth="1"/>
    <col min="7967" max="7967" width="7.88671875" customWidth="1"/>
    <col min="7968" max="7968" width="3.44140625" customWidth="1"/>
    <col min="7969" max="7969" width="5" customWidth="1"/>
    <col min="8203" max="8203" width="1.6640625" customWidth="1"/>
    <col min="8204" max="8204" width="3.6640625" customWidth="1"/>
    <col min="8205" max="8205" width="23.44140625" customWidth="1"/>
    <col min="8206" max="8217" width="4.44140625" customWidth="1"/>
    <col min="8218" max="8218" width="6.109375" customWidth="1"/>
    <col min="8219" max="8219" width="4.44140625" customWidth="1"/>
    <col min="8220" max="8220" width="7.5546875" customWidth="1"/>
    <col min="8221" max="8221" width="4.44140625" customWidth="1"/>
    <col min="8222" max="8222" width="6.33203125" customWidth="1"/>
    <col min="8223" max="8223" width="7.88671875" customWidth="1"/>
    <col min="8224" max="8224" width="3.44140625" customWidth="1"/>
    <col min="8225" max="8225" width="5" customWidth="1"/>
    <col min="8459" max="8459" width="1.6640625" customWidth="1"/>
    <col min="8460" max="8460" width="3.6640625" customWidth="1"/>
    <col min="8461" max="8461" width="23.44140625" customWidth="1"/>
    <col min="8462" max="8473" width="4.44140625" customWidth="1"/>
    <col min="8474" max="8474" width="6.109375" customWidth="1"/>
    <col min="8475" max="8475" width="4.44140625" customWidth="1"/>
    <col min="8476" max="8476" width="7.5546875" customWidth="1"/>
    <col min="8477" max="8477" width="4.44140625" customWidth="1"/>
    <col min="8478" max="8478" width="6.33203125" customWidth="1"/>
    <col min="8479" max="8479" width="7.88671875" customWidth="1"/>
    <col min="8480" max="8480" width="3.44140625" customWidth="1"/>
    <col min="8481" max="8481" width="5" customWidth="1"/>
    <col min="8715" max="8715" width="1.6640625" customWidth="1"/>
    <col min="8716" max="8716" width="3.6640625" customWidth="1"/>
    <col min="8717" max="8717" width="23.44140625" customWidth="1"/>
    <col min="8718" max="8729" width="4.44140625" customWidth="1"/>
    <col min="8730" max="8730" width="6.109375" customWidth="1"/>
    <col min="8731" max="8731" width="4.44140625" customWidth="1"/>
    <col min="8732" max="8732" width="7.5546875" customWidth="1"/>
    <col min="8733" max="8733" width="4.44140625" customWidth="1"/>
    <col min="8734" max="8734" width="6.33203125" customWidth="1"/>
    <col min="8735" max="8735" width="7.88671875" customWidth="1"/>
    <col min="8736" max="8736" width="3.44140625" customWidth="1"/>
    <col min="8737" max="8737" width="5" customWidth="1"/>
    <col min="8971" max="8971" width="1.6640625" customWidth="1"/>
    <col min="8972" max="8972" width="3.6640625" customWidth="1"/>
    <col min="8973" max="8973" width="23.44140625" customWidth="1"/>
    <col min="8974" max="8985" width="4.44140625" customWidth="1"/>
    <col min="8986" max="8986" width="6.109375" customWidth="1"/>
    <col min="8987" max="8987" width="4.44140625" customWidth="1"/>
    <col min="8988" max="8988" width="7.5546875" customWidth="1"/>
    <col min="8989" max="8989" width="4.44140625" customWidth="1"/>
    <col min="8990" max="8990" width="6.33203125" customWidth="1"/>
    <col min="8991" max="8991" width="7.88671875" customWidth="1"/>
    <col min="8992" max="8992" width="3.44140625" customWidth="1"/>
    <col min="8993" max="8993" width="5" customWidth="1"/>
    <col min="9227" max="9227" width="1.6640625" customWidth="1"/>
    <col min="9228" max="9228" width="3.6640625" customWidth="1"/>
    <col min="9229" max="9229" width="23.44140625" customWidth="1"/>
    <col min="9230" max="9241" width="4.44140625" customWidth="1"/>
    <col min="9242" max="9242" width="6.109375" customWidth="1"/>
    <col min="9243" max="9243" width="4.44140625" customWidth="1"/>
    <col min="9244" max="9244" width="7.5546875" customWidth="1"/>
    <col min="9245" max="9245" width="4.44140625" customWidth="1"/>
    <col min="9246" max="9246" width="6.33203125" customWidth="1"/>
    <col min="9247" max="9247" width="7.88671875" customWidth="1"/>
    <col min="9248" max="9248" width="3.44140625" customWidth="1"/>
    <col min="9249" max="9249" width="5" customWidth="1"/>
    <col min="9483" max="9483" width="1.6640625" customWidth="1"/>
    <col min="9484" max="9484" width="3.6640625" customWidth="1"/>
    <col min="9485" max="9485" width="23.44140625" customWidth="1"/>
    <col min="9486" max="9497" width="4.44140625" customWidth="1"/>
    <col min="9498" max="9498" width="6.109375" customWidth="1"/>
    <col min="9499" max="9499" width="4.44140625" customWidth="1"/>
    <col min="9500" max="9500" width="7.5546875" customWidth="1"/>
    <col min="9501" max="9501" width="4.44140625" customWidth="1"/>
    <col min="9502" max="9502" width="6.33203125" customWidth="1"/>
    <col min="9503" max="9503" width="7.88671875" customWidth="1"/>
    <col min="9504" max="9504" width="3.44140625" customWidth="1"/>
    <col min="9505" max="9505" width="5" customWidth="1"/>
    <col min="9739" max="9739" width="1.6640625" customWidth="1"/>
    <col min="9740" max="9740" width="3.6640625" customWidth="1"/>
    <col min="9741" max="9741" width="23.44140625" customWidth="1"/>
    <col min="9742" max="9753" width="4.44140625" customWidth="1"/>
    <col min="9754" max="9754" width="6.109375" customWidth="1"/>
    <col min="9755" max="9755" width="4.44140625" customWidth="1"/>
    <col min="9756" max="9756" width="7.5546875" customWidth="1"/>
    <col min="9757" max="9757" width="4.44140625" customWidth="1"/>
    <col min="9758" max="9758" width="6.33203125" customWidth="1"/>
    <col min="9759" max="9759" width="7.88671875" customWidth="1"/>
    <col min="9760" max="9760" width="3.44140625" customWidth="1"/>
    <col min="9761" max="9761" width="5" customWidth="1"/>
    <col min="9995" max="9995" width="1.6640625" customWidth="1"/>
    <col min="9996" max="9996" width="3.6640625" customWidth="1"/>
    <col min="9997" max="9997" width="23.44140625" customWidth="1"/>
    <col min="9998" max="10009" width="4.44140625" customWidth="1"/>
    <col min="10010" max="10010" width="6.109375" customWidth="1"/>
    <col min="10011" max="10011" width="4.44140625" customWidth="1"/>
    <col min="10012" max="10012" width="7.5546875" customWidth="1"/>
    <col min="10013" max="10013" width="4.44140625" customWidth="1"/>
    <col min="10014" max="10014" width="6.33203125" customWidth="1"/>
    <col min="10015" max="10015" width="7.88671875" customWidth="1"/>
    <col min="10016" max="10016" width="3.44140625" customWidth="1"/>
    <col min="10017" max="10017" width="5" customWidth="1"/>
    <col min="10251" max="10251" width="1.6640625" customWidth="1"/>
    <col min="10252" max="10252" width="3.6640625" customWidth="1"/>
    <col min="10253" max="10253" width="23.44140625" customWidth="1"/>
    <col min="10254" max="10265" width="4.44140625" customWidth="1"/>
    <col min="10266" max="10266" width="6.109375" customWidth="1"/>
    <col min="10267" max="10267" width="4.44140625" customWidth="1"/>
    <col min="10268" max="10268" width="7.5546875" customWidth="1"/>
    <col min="10269" max="10269" width="4.44140625" customWidth="1"/>
    <col min="10270" max="10270" width="6.33203125" customWidth="1"/>
    <col min="10271" max="10271" width="7.88671875" customWidth="1"/>
    <col min="10272" max="10272" width="3.44140625" customWidth="1"/>
    <col min="10273" max="10273" width="5" customWidth="1"/>
    <col min="10507" max="10507" width="1.6640625" customWidth="1"/>
    <col min="10508" max="10508" width="3.6640625" customWidth="1"/>
    <col min="10509" max="10509" width="23.44140625" customWidth="1"/>
    <col min="10510" max="10521" width="4.44140625" customWidth="1"/>
    <col min="10522" max="10522" width="6.109375" customWidth="1"/>
    <col min="10523" max="10523" width="4.44140625" customWidth="1"/>
    <col min="10524" max="10524" width="7.5546875" customWidth="1"/>
    <col min="10525" max="10525" width="4.44140625" customWidth="1"/>
    <col min="10526" max="10526" width="6.33203125" customWidth="1"/>
    <col min="10527" max="10527" width="7.88671875" customWidth="1"/>
    <col min="10528" max="10528" width="3.44140625" customWidth="1"/>
    <col min="10529" max="10529" width="5" customWidth="1"/>
    <col min="10763" max="10763" width="1.6640625" customWidth="1"/>
    <col min="10764" max="10764" width="3.6640625" customWidth="1"/>
    <col min="10765" max="10765" width="23.44140625" customWidth="1"/>
    <col min="10766" max="10777" width="4.44140625" customWidth="1"/>
    <col min="10778" max="10778" width="6.109375" customWidth="1"/>
    <col min="10779" max="10779" width="4.44140625" customWidth="1"/>
    <col min="10780" max="10780" width="7.5546875" customWidth="1"/>
    <col min="10781" max="10781" width="4.44140625" customWidth="1"/>
    <col min="10782" max="10782" width="6.33203125" customWidth="1"/>
    <col min="10783" max="10783" width="7.88671875" customWidth="1"/>
    <col min="10784" max="10784" width="3.44140625" customWidth="1"/>
    <col min="10785" max="10785" width="5" customWidth="1"/>
    <col min="11019" max="11019" width="1.6640625" customWidth="1"/>
    <col min="11020" max="11020" width="3.6640625" customWidth="1"/>
    <col min="11021" max="11021" width="23.44140625" customWidth="1"/>
    <col min="11022" max="11033" width="4.44140625" customWidth="1"/>
    <col min="11034" max="11034" width="6.109375" customWidth="1"/>
    <col min="11035" max="11035" width="4.44140625" customWidth="1"/>
    <col min="11036" max="11036" width="7.5546875" customWidth="1"/>
    <col min="11037" max="11037" width="4.44140625" customWidth="1"/>
    <col min="11038" max="11038" width="6.33203125" customWidth="1"/>
    <col min="11039" max="11039" width="7.88671875" customWidth="1"/>
    <col min="11040" max="11040" width="3.44140625" customWidth="1"/>
    <col min="11041" max="11041" width="5" customWidth="1"/>
    <col min="11275" max="11275" width="1.6640625" customWidth="1"/>
    <col min="11276" max="11276" width="3.6640625" customWidth="1"/>
    <col min="11277" max="11277" width="23.44140625" customWidth="1"/>
    <col min="11278" max="11289" width="4.44140625" customWidth="1"/>
    <col min="11290" max="11290" width="6.109375" customWidth="1"/>
    <col min="11291" max="11291" width="4.44140625" customWidth="1"/>
    <col min="11292" max="11292" width="7.5546875" customWidth="1"/>
    <col min="11293" max="11293" width="4.44140625" customWidth="1"/>
    <col min="11294" max="11294" width="6.33203125" customWidth="1"/>
    <col min="11295" max="11295" width="7.88671875" customWidth="1"/>
    <col min="11296" max="11296" width="3.44140625" customWidth="1"/>
    <col min="11297" max="11297" width="5" customWidth="1"/>
    <col min="11531" max="11531" width="1.6640625" customWidth="1"/>
    <col min="11532" max="11532" width="3.6640625" customWidth="1"/>
    <col min="11533" max="11533" width="23.44140625" customWidth="1"/>
    <col min="11534" max="11545" width="4.44140625" customWidth="1"/>
    <col min="11546" max="11546" width="6.109375" customWidth="1"/>
    <col min="11547" max="11547" width="4.44140625" customWidth="1"/>
    <col min="11548" max="11548" width="7.5546875" customWidth="1"/>
    <col min="11549" max="11549" width="4.44140625" customWidth="1"/>
    <col min="11550" max="11550" width="6.33203125" customWidth="1"/>
    <col min="11551" max="11551" width="7.88671875" customWidth="1"/>
    <col min="11552" max="11552" width="3.44140625" customWidth="1"/>
    <col min="11553" max="11553" width="5" customWidth="1"/>
    <col min="11787" max="11787" width="1.6640625" customWidth="1"/>
    <col min="11788" max="11788" width="3.6640625" customWidth="1"/>
    <col min="11789" max="11789" width="23.44140625" customWidth="1"/>
    <col min="11790" max="11801" width="4.44140625" customWidth="1"/>
    <col min="11802" max="11802" width="6.109375" customWidth="1"/>
    <col min="11803" max="11803" width="4.44140625" customWidth="1"/>
    <col min="11804" max="11804" width="7.5546875" customWidth="1"/>
    <col min="11805" max="11805" width="4.44140625" customWidth="1"/>
    <col min="11806" max="11806" width="6.33203125" customWidth="1"/>
    <col min="11807" max="11807" width="7.88671875" customWidth="1"/>
    <col min="11808" max="11808" width="3.44140625" customWidth="1"/>
    <col min="11809" max="11809" width="5" customWidth="1"/>
    <col min="12043" max="12043" width="1.6640625" customWidth="1"/>
    <col min="12044" max="12044" width="3.6640625" customWidth="1"/>
    <col min="12045" max="12045" width="23.44140625" customWidth="1"/>
    <col min="12046" max="12057" width="4.44140625" customWidth="1"/>
    <col min="12058" max="12058" width="6.109375" customWidth="1"/>
    <col min="12059" max="12059" width="4.44140625" customWidth="1"/>
    <col min="12060" max="12060" width="7.5546875" customWidth="1"/>
    <col min="12061" max="12061" width="4.44140625" customWidth="1"/>
    <col min="12062" max="12062" width="6.33203125" customWidth="1"/>
    <col min="12063" max="12063" width="7.88671875" customWidth="1"/>
    <col min="12064" max="12064" width="3.44140625" customWidth="1"/>
    <col min="12065" max="12065" width="5" customWidth="1"/>
    <col min="12299" max="12299" width="1.6640625" customWidth="1"/>
    <col min="12300" max="12300" width="3.6640625" customWidth="1"/>
    <col min="12301" max="12301" width="23.44140625" customWidth="1"/>
    <col min="12302" max="12313" width="4.44140625" customWidth="1"/>
    <col min="12314" max="12314" width="6.109375" customWidth="1"/>
    <col min="12315" max="12315" width="4.44140625" customWidth="1"/>
    <col min="12316" max="12316" width="7.5546875" customWidth="1"/>
    <col min="12317" max="12317" width="4.44140625" customWidth="1"/>
    <col min="12318" max="12318" width="6.33203125" customWidth="1"/>
    <col min="12319" max="12319" width="7.88671875" customWidth="1"/>
    <col min="12320" max="12320" width="3.44140625" customWidth="1"/>
    <col min="12321" max="12321" width="5" customWidth="1"/>
    <col min="12555" max="12555" width="1.6640625" customWidth="1"/>
    <col min="12556" max="12556" width="3.6640625" customWidth="1"/>
    <col min="12557" max="12557" width="23.44140625" customWidth="1"/>
    <col min="12558" max="12569" width="4.44140625" customWidth="1"/>
    <col min="12570" max="12570" width="6.109375" customWidth="1"/>
    <col min="12571" max="12571" width="4.44140625" customWidth="1"/>
    <col min="12572" max="12572" width="7.5546875" customWidth="1"/>
    <col min="12573" max="12573" width="4.44140625" customWidth="1"/>
    <col min="12574" max="12574" width="6.33203125" customWidth="1"/>
    <col min="12575" max="12575" width="7.88671875" customWidth="1"/>
    <col min="12576" max="12576" width="3.44140625" customWidth="1"/>
    <col min="12577" max="12577" width="5" customWidth="1"/>
    <col min="12811" max="12811" width="1.6640625" customWidth="1"/>
    <col min="12812" max="12812" width="3.6640625" customWidth="1"/>
    <col min="12813" max="12813" width="23.44140625" customWidth="1"/>
    <col min="12814" max="12825" width="4.44140625" customWidth="1"/>
    <col min="12826" max="12826" width="6.109375" customWidth="1"/>
    <col min="12827" max="12827" width="4.44140625" customWidth="1"/>
    <col min="12828" max="12828" width="7.5546875" customWidth="1"/>
    <col min="12829" max="12829" width="4.44140625" customWidth="1"/>
    <col min="12830" max="12830" width="6.33203125" customWidth="1"/>
    <col min="12831" max="12831" width="7.88671875" customWidth="1"/>
    <col min="12832" max="12832" width="3.44140625" customWidth="1"/>
    <col min="12833" max="12833" width="5" customWidth="1"/>
    <col min="13067" max="13067" width="1.6640625" customWidth="1"/>
    <col min="13068" max="13068" width="3.6640625" customWidth="1"/>
    <col min="13069" max="13069" width="23.44140625" customWidth="1"/>
    <col min="13070" max="13081" width="4.44140625" customWidth="1"/>
    <col min="13082" max="13082" width="6.109375" customWidth="1"/>
    <col min="13083" max="13083" width="4.44140625" customWidth="1"/>
    <col min="13084" max="13084" width="7.5546875" customWidth="1"/>
    <col min="13085" max="13085" width="4.44140625" customWidth="1"/>
    <col min="13086" max="13086" width="6.33203125" customWidth="1"/>
    <col min="13087" max="13087" width="7.88671875" customWidth="1"/>
    <col min="13088" max="13088" width="3.44140625" customWidth="1"/>
    <col min="13089" max="13089" width="5" customWidth="1"/>
    <col min="13323" max="13323" width="1.6640625" customWidth="1"/>
    <col min="13324" max="13324" width="3.6640625" customWidth="1"/>
    <col min="13325" max="13325" width="23.44140625" customWidth="1"/>
    <col min="13326" max="13337" width="4.44140625" customWidth="1"/>
    <col min="13338" max="13338" width="6.109375" customWidth="1"/>
    <col min="13339" max="13339" width="4.44140625" customWidth="1"/>
    <col min="13340" max="13340" width="7.5546875" customWidth="1"/>
    <col min="13341" max="13341" width="4.44140625" customWidth="1"/>
    <col min="13342" max="13342" width="6.33203125" customWidth="1"/>
    <col min="13343" max="13343" width="7.88671875" customWidth="1"/>
    <col min="13344" max="13344" width="3.44140625" customWidth="1"/>
    <col min="13345" max="13345" width="5" customWidth="1"/>
    <col min="13579" max="13579" width="1.6640625" customWidth="1"/>
    <col min="13580" max="13580" width="3.6640625" customWidth="1"/>
    <col min="13581" max="13581" width="23.44140625" customWidth="1"/>
    <col min="13582" max="13593" width="4.44140625" customWidth="1"/>
    <col min="13594" max="13594" width="6.109375" customWidth="1"/>
    <col min="13595" max="13595" width="4.44140625" customWidth="1"/>
    <col min="13596" max="13596" width="7.5546875" customWidth="1"/>
    <col min="13597" max="13597" width="4.44140625" customWidth="1"/>
    <col min="13598" max="13598" width="6.33203125" customWidth="1"/>
    <col min="13599" max="13599" width="7.88671875" customWidth="1"/>
    <col min="13600" max="13600" width="3.44140625" customWidth="1"/>
    <col min="13601" max="13601" width="5" customWidth="1"/>
    <col min="13835" max="13835" width="1.6640625" customWidth="1"/>
    <col min="13836" max="13836" width="3.6640625" customWidth="1"/>
    <col min="13837" max="13837" width="23.44140625" customWidth="1"/>
    <col min="13838" max="13849" width="4.44140625" customWidth="1"/>
    <col min="13850" max="13850" width="6.109375" customWidth="1"/>
    <col min="13851" max="13851" width="4.44140625" customWidth="1"/>
    <col min="13852" max="13852" width="7.5546875" customWidth="1"/>
    <col min="13853" max="13853" width="4.44140625" customWidth="1"/>
    <col min="13854" max="13854" width="6.33203125" customWidth="1"/>
    <col min="13855" max="13855" width="7.88671875" customWidth="1"/>
    <col min="13856" max="13856" width="3.44140625" customWidth="1"/>
    <col min="13857" max="13857" width="5" customWidth="1"/>
    <col min="14091" max="14091" width="1.6640625" customWidth="1"/>
    <col min="14092" max="14092" width="3.6640625" customWidth="1"/>
    <col min="14093" max="14093" width="23.44140625" customWidth="1"/>
    <col min="14094" max="14105" width="4.44140625" customWidth="1"/>
    <col min="14106" max="14106" width="6.109375" customWidth="1"/>
    <col min="14107" max="14107" width="4.44140625" customWidth="1"/>
    <col min="14108" max="14108" width="7.5546875" customWidth="1"/>
    <col min="14109" max="14109" width="4.44140625" customWidth="1"/>
    <col min="14110" max="14110" width="6.33203125" customWidth="1"/>
    <col min="14111" max="14111" width="7.88671875" customWidth="1"/>
    <col min="14112" max="14112" width="3.44140625" customWidth="1"/>
    <col min="14113" max="14113" width="5" customWidth="1"/>
    <col min="14347" max="14347" width="1.6640625" customWidth="1"/>
    <col min="14348" max="14348" width="3.6640625" customWidth="1"/>
    <col min="14349" max="14349" width="23.44140625" customWidth="1"/>
    <col min="14350" max="14361" width="4.44140625" customWidth="1"/>
    <col min="14362" max="14362" width="6.109375" customWidth="1"/>
    <col min="14363" max="14363" width="4.44140625" customWidth="1"/>
    <col min="14364" max="14364" width="7.5546875" customWidth="1"/>
    <col min="14365" max="14365" width="4.44140625" customWidth="1"/>
    <col min="14366" max="14366" width="6.33203125" customWidth="1"/>
    <col min="14367" max="14367" width="7.88671875" customWidth="1"/>
    <col min="14368" max="14368" width="3.44140625" customWidth="1"/>
    <col min="14369" max="14369" width="5" customWidth="1"/>
    <col min="14603" max="14603" width="1.6640625" customWidth="1"/>
    <col min="14604" max="14604" width="3.6640625" customWidth="1"/>
    <col min="14605" max="14605" width="23.44140625" customWidth="1"/>
    <col min="14606" max="14617" width="4.44140625" customWidth="1"/>
    <col min="14618" max="14618" width="6.109375" customWidth="1"/>
    <col min="14619" max="14619" width="4.44140625" customWidth="1"/>
    <col min="14620" max="14620" width="7.5546875" customWidth="1"/>
    <col min="14621" max="14621" width="4.44140625" customWidth="1"/>
    <col min="14622" max="14622" width="6.33203125" customWidth="1"/>
    <col min="14623" max="14623" width="7.88671875" customWidth="1"/>
    <col min="14624" max="14624" width="3.44140625" customWidth="1"/>
    <col min="14625" max="14625" width="5" customWidth="1"/>
    <col min="14859" max="14859" width="1.6640625" customWidth="1"/>
    <col min="14860" max="14860" width="3.6640625" customWidth="1"/>
    <col min="14861" max="14861" width="23.44140625" customWidth="1"/>
    <col min="14862" max="14873" width="4.44140625" customWidth="1"/>
    <col min="14874" max="14874" width="6.109375" customWidth="1"/>
    <col min="14875" max="14875" width="4.44140625" customWidth="1"/>
    <col min="14876" max="14876" width="7.5546875" customWidth="1"/>
    <col min="14877" max="14877" width="4.44140625" customWidth="1"/>
    <col min="14878" max="14878" width="6.33203125" customWidth="1"/>
    <col min="14879" max="14879" width="7.88671875" customWidth="1"/>
    <col min="14880" max="14880" width="3.44140625" customWidth="1"/>
    <col min="14881" max="14881" width="5" customWidth="1"/>
    <col min="15115" max="15115" width="1.6640625" customWidth="1"/>
    <col min="15116" max="15116" width="3.6640625" customWidth="1"/>
    <col min="15117" max="15117" width="23.44140625" customWidth="1"/>
    <col min="15118" max="15129" width="4.44140625" customWidth="1"/>
    <col min="15130" max="15130" width="6.109375" customWidth="1"/>
    <col min="15131" max="15131" width="4.44140625" customWidth="1"/>
    <col min="15132" max="15132" width="7.5546875" customWidth="1"/>
    <col min="15133" max="15133" width="4.44140625" customWidth="1"/>
    <col min="15134" max="15134" width="6.33203125" customWidth="1"/>
    <col min="15135" max="15135" width="7.88671875" customWidth="1"/>
    <col min="15136" max="15136" width="3.44140625" customWidth="1"/>
    <col min="15137" max="15137" width="5" customWidth="1"/>
    <col min="15371" max="15371" width="1.6640625" customWidth="1"/>
    <col min="15372" max="15372" width="3.6640625" customWidth="1"/>
    <col min="15373" max="15373" width="23.44140625" customWidth="1"/>
    <col min="15374" max="15385" width="4.44140625" customWidth="1"/>
    <col min="15386" max="15386" width="6.109375" customWidth="1"/>
    <col min="15387" max="15387" width="4.44140625" customWidth="1"/>
    <col min="15388" max="15388" width="7.5546875" customWidth="1"/>
    <col min="15389" max="15389" width="4.44140625" customWidth="1"/>
    <col min="15390" max="15390" width="6.33203125" customWidth="1"/>
    <col min="15391" max="15391" width="7.88671875" customWidth="1"/>
    <col min="15392" max="15392" width="3.44140625" customWidth="1"/>
    <col min="15393" max="15393" width="5" customWidth="1"/>
    <col min="15627" max="15627" width="1.6640625" customWidth="1"/>
    <col min="15628" max="15628" width="3.6640625" customWidth="1"/>
    <col min="15629" max="15629" width="23.44140625" customWidth="1"/>
    <col min="15630" max="15641" width="4.44140625" customWidth="1"/>
    <col min="15642" max="15642" width="6.109375" customWidth="1"/>
    <col min="15643" max="15643" width="4.44140625" customWidth="1"/>
    <col min="15644" max="15644" width="7.5546875" customWidth="1"/>
    <col min="15645" max="15645" width="4.44140625" customWidth="1"/>
    <col min="15646" max="15646" width="6.33203125" customWidth="1"/>
    <col min="15647" max="15647" width="7.88671875" customWidth="1"/>
    <col min="15648" max="15648" width="3.44140625" customWidth="1"/>
    <col min="15649" max="15649" width="5" customWidth="1"/>
    <col min="15883" max="15883" width="1.6640625" customWidth="1"/>
    <col min="15884" max="15884" width="3.6640625" customWidth="1"/>
    <col min="15885" max="15885" width="23.44140625" customWidth="1"/>
    <col min="15886" max="15897" width="4.44140625" customWidth="1"/>
    <col min="15898" max="15898" width="6.109375" customWidth="1"/>
    <col min="15899" max="15899" width="4.44140625" customWidth="1"/>
    <col min="15900" max="15900" width="7.5546875" customWidth="1"/>
    <col min="15901" max="15901" width="4.44140625" customWidth="1"/>
    <col min="15902" max="15902" width="6.33203125" customWidth="1"/>
    <col min="15903" max="15903" width="7.88671875" customWidth="1"/>
    <col min="15904" max="15904" width="3.44140625" customWidth="1"/>
    <col min="15905" max="15905" width="5" customWidth="1"/>
    <col min="16139" max="16139" width="1.6640625" customWidth="1"/>
    <col min="16140" max="16140" width="3.6640625" customWidth="1"/>
    <col min="16141" max="16141" width="23.44140625" customWidth="1"/>
    <col min="16142" max="16153" width="4.44140625" customWidth="1"/>
    <col min="16154" max="16154" width="6.109375" customWidth="1"/>
    <col min="16155" max="16155" width="4.44140625" customWidth="1"/>
    <col min="16156" max="16156" width="7.5546875" customWidth="1"/>
    <col min="16157" max="16157" width="4.44140625" customWidth="1"/>
    <col min="16158" max="16158" width="6.33203125" customWidth="1"/>
    <col min="16159" max="16159" width="7.88671875" customWidth="1"/>
    <col min="16160" max="16160" width="3.44140625" customWidth="1"/>
    <col min="16161" max="16161" width="5" customWidth="1"/>
  </cols>
  <sheetData>
    <row r="1" spans="1:31" ht="34.5" customHeight="1" x14ac:dyDescent="0.3">
      <c r="A1" s="280" t="s">
        <v>21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</row>
    <row r="2" spans="1:31" ht="26.25" customHeight="1" x14ac:dyDescent="0.3"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2"/>
      <c r="Z2" s="282"/>
      <c r="AA2" s="282"/>
      <c r="AB2" s="282"/>
      <c r="AC2" s="282"/>
      <c r="AD2" s="282"/>
      <c r="AE2" s="282"/>
    </row>
    <row r="3" spans="1:31" ht="13.5" customHeight="1" x14ac:dyDescent="0.3">
      <c r="B3" s="1"/>
      <c r="C3" s="1"/>
      <c r="D3" s="1"/>
      <c r="E3" s="1"/>
      <c r="F3" s="1"/>
      <c r="G3" s="1"/>
      <c r="H3" s="24"/>
      <c r="I3" s="1"/>
      <c r="J3" s="24"/>
      <c r="K3" s="1"/>
      <c r="L3" s="283"/>
      <c r="M3" s="283"/>
      <c r="N3" s="283"/>
      <c r="O3" s="283"/>
      <c r="P3" s="283"/>
      <c r="Q3" s="283"/>
      <c r="R3" s="283"/>
      <c r="S3" s="283"/>
      <c r="T3" s="1"/>
      <c r="U3" s="1"/>
      <c r="V3" s="24"/>
      <c r="W3" s="1"/>
      <c r="X3" s="24"/>
      <c r="Y3" s="1"/>
    </row>
    <row r="4" spans="1:31" ht="15.75" customHeight="1" x14ac:dyDescent="0.3">
      <c r="B4" s="278" t="s">
        <v>13</v>
      </c>
      <c r="C4" s="278"/>
      <c r="D4" s="16"/>
      <c r="E4" s="16"/>
      <c r="G4" s="18"/>
      <c r="H4" s="18"/>
      <c r="I4" s="18"/>
      <c r="J4" s="18"/>
      <c r="K4" s="18"/>
      <c r="L4" s="18" t="s">
        <v>26</v>
      </c>
      <c r="M4" s="18"/>
      <c r="N4" s="18"/>
      <c r="O4" s="18"/>
      <c r="P4" s="18"/>
      <c r="Q4" s="18"/>
      <c r="R4" s="18"/>
      <c r="S4" s="18"/>
      <c r="T4" s="15"/>
      <c r="U4" s="15"/>
      <c r="V4" s="15"/>
      <c r="W4" s="15"/>
      <c r="X4" s="15"/>
      <c r="Y4" s="279" t="s">
        <v>139</v>
      </c>
      <c r="Z4" s="279"/>
      <c r="AA4" s="279"/>
      <c r="AB4" s="279"/>
      <c r="AC4" s="279"/>
      <c r="AD4" s="279"/>
      <c r="AE4" s="279"/>
    </row>
    <row r="5" spans="1:31" ht="6.75" customHeight="1" x14ac:dyDescent="0.3">
      <c r="B5" s="16"/>
      <c r="C5" s="16"/>
      <c r="D5" s="16"/>
      <c r="E5" s="16"/>
      <c r="F5" s="16"/>
      <c r="G5" s="16"/>
      <c r="H5" s="22"/>
      <c r="I5" s="16"/>
      <c r="J5" s="22"/>
      <c r="K5" s="16"/>
      <c r="L5" s="16"/>
      <c r="M5" s="16"/>
      <c r="N5" s="16"/>
      <c r="O5" s="22"/>
      <c r="P5" s="16"/>
      <c r="Q5" s="22"/>
      <c r="R5" s="16"/>
      <c r="S5" s="16"/>
      <c r="T5" s="15"/>
      <c r="U5" s="15"/>
      <c r="V5" s="15"/>
      <c r="W5" s="15"/>
      <c r="X5" s="15"/>
      <c r="Y5" s="17"/>
      <c r="Z5" s="17"/>
      <c r="AA5" s="17"/>
      <c r="AB5" s="17"/>
      <c r="AC5" s="17"/>
      <c r="AD5" s="17"/>
      <c r="AE5" s="17"/>
    </row>
    <row r="6" spans="1:31" ht="16.2" customHeight="1" x14ac:dyDescent="0.3">
      <c r="B6" s="278" t="s">
        <v>19</v>
      </c>
      <c r="C6" s="278"/>
      <c r="D6" s="16"/>
      <c r="E6" s="16"/>
      <c r="L6" s="18" t="s">
        <v>91</v>
      </c>
      <c r="M6" s="18"/>
      <c r="N6" s="18"/>
      <c r="O6" s="18"/>
      <c r="P6" s="18"/>
      <c r="Q6" s="18"/>
      <c r="R6" s="18"/>
      <c r="S6" s="18"/>
      <c r="T6" s="18"/>
      <c r="U6" s="15"/>
      <c r="V6" s="15"/>
      <c r="W6" s="15"/>
      <c r="X6" s="15"/>
      <c r="Y6" s="279" t="s">
        <v>43</v>
      </c>
      <c r="Z6" s="279"/>
      <c r="AA6" s="279"/>
      <c r="AB6" s="279"/>
      <c r="AC6" s="279"/>
      <c r="AD6" s="279"/>
      <c r="AE6" s="279"/>
    </row>
    <row r="7" spans="1:31" ht="28.5" customHeight="1" thickBot="1" x14ac:dyDescent="0.85">
      <c r="B7" s="285" t="s">
        <v>25</v>
      </c>
      <c r="C7" s="285"/>
      <c r="D7" s="285"/>
      <c r="E7" s="285"/>
      <c r="F7" s="285"/>
      <c r="G7" s="285"/>
      <c r="H7" s="285"/>
      <c r="I7" s="285"/>
      <c r="J7" s="285"/>
      <c r="K7" s="285"/>
      <c r="L7" s="285"/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5"/>
      <c r="AB7" s="285"/>
      <c r="AC7" s="285"/>
      <c r="AD7" s="285"/>
      <c r="AE7" s="285"/>
    </row>
    <row r="8" spans="1:31" ht="21" customHeight="1" thickTop="1" x14ac:dyDescent="0.3">
      <c r="B8" s="286" t="s">
        <v>16</v>
      </c>
      <c r="C8" s="288" t="s">
        <v>0</v>
      </c>
      <c r="D8" s="290" t="s">
        <v>15</v>
      </c>
      <c r="E8" s="291"/>
      <c r="F8" s="292" t="s">
        <v>22</v>
      </c>
      <c r="G8" s="293"/>
      <c r="H8" s="293"/>
      <c r="I8" s="293"/>
      <c r="J8" s="293"/>
      <c r="K8" s="294"/>
      <c r="L8" s="295" t="s">
        <v>3</v>
      </c>
      <c r="M8" s="292" t="s">
        <v>23</v>
      </c>
      <c r="N8" s="293"/>
      <c r="O8" s="293"/>
      <c r="P8" s="293"/>
      <c r="Q8" s="293"/>
      <c r="R8" s="294"/>
      <c r="S8" s="295" t="s">
        <v>3</v>
      </c>
      <c r="T8" s="292" t="s">
        <v>24</v>
      </c>
      <c r="U8" s="293"/>
      <c r="V8" s="293"/>
      <c r="W8" s="293"/>
      <c r="X8" s="293"/>
      <c r="Y8" s="294"/>
      <c r="Z8" s="297" t="s">
        <v>1</v>
      </c>
      <c r="AA8" s="299" t="s">
        <v>39</v>
      </c>
      <c r="AB8" s="301" t="s">
        <v>20</v>
      </c>
      <c r="AC8" s="303" t="s">
        <v>40</v>
      </c>
      <c r="AD8" s="305" t="s">
        <v>2</v>
      </c>
      <c r="AE8" s="307" t="s">
        <v>3</v>
      </c>
    </row>
    <row r="9" spans="1:31" ht="16.5" customHeight="1" thickBot="1" x14ac:dyDescent="0.35">
      <c r="B9" s="287"/>
      <c r="C9" s="289"/>
      <c r="D9" s="43" t="s">
        <v>17</v>
      </c>
      <c r="E9" s="36" t="s">
        <v>18</v>
      </c>
      <c r="F9" s="53" t="s">
        <v>4</v>
      </c>
      <c r="G9" s="33" t="s">
        <v>5</v>
      </c>
      <c r="H9" s="33" t="s">
        <v>37</v>
      </c>
      <c r="I9" s="33" t="s">
        <v>6</v>
      </c>
      <c r="J9" s="33" t="s">
        <v>38</v>
      </c>
      <c r="K9" s="54" t="s">
        <v>7</v>
      </c>
      <c r="L9" s="296"/>
      <c r="M9" s="53" t="s">
        <v>4</v>
      </c>
      <c r="N9" s="33" t="s">
        <v>5</v>
      </c>
      <c r="O9" s="33" t="s">
        <v>37</v>
      </c>
      <c r="P9" s="33" t="s">
        <v>6</v>
      </c>
      <c r="Q9" s="33" t="s">
        <v>38</v>
      </c>
      <c r="R9" s="54" t="s">
        <v>8</v>
      </c>
      <c r="S9" s="296"/>
      <c r="T9" s="53" t="s">
        <v>4</v>
      </c>
      <c r="U9" s="33" t="s">
        <v>5</v>
      </c>
      <c r="V9" s="33" t="s">
        <v>37</v>
      </c>
      <c r="W9" s="33" t="s">
        <v>6</v>
      </c>
      <c r="X9" s="33" t="s">
        <v>38</v>
      </c>
      <c r="Y9" s="54" t="s">
        <v>9</v>
      </c>
      <c r="Z9" s="298"/>
      <c r="AA9" s="300"/>
      <c r="AB9" s="302"/>
      <c r="AC9" s="304"/>
      <c r="AD9" s="306"/>
      <c r="AE9" s="308"/>
    </row>
    <row r="10" spans="1:31" ht="15.75" customHeight="1" thickTop="1" x14ac:dyDescent="0.3">
      <c r="B10" s="34">
        <v>1</v>
      </c>
      <c r="C10" s="196" t="s">
        <v>99</v>
      </c>
      <c r="D10" s="44"/>
      <c r="E10" s="37"/>
      <c r="F10" s="58">
        <v>10</v>
      </c>
      <c r="G10" s="31">
        <v>13</v>
      </c>
      <c r="H10" s="31"/>
      <c r="I10" s="32">
        <v>0</v>
      </c>
      <c r="J10" s="32"/>
      <c r="K10" s="55">
        <f>AVERAGE(F10,MAX(G10:H10),MAX(I10:J10))</f>
        <v>7.666666666666667</v>
      </c>
      <c r="L10" s="165" t="str">
        <f>IF(K10&gt;=10,"TRANSITA","N/TRANSITA")</f>
        <v>N/TRANSITA</v>
      </c>
      <c r="M10" s="58">
        <v>6</v>
      </c>
      <c r="N10" s="31">
        <v>11.5</v>
      </c>
      <c r="O10" s="31"/>
      <c r="P10" s="32">
        <v>10</v>
      </c>
      <c r="Q10" s="32"/>
      <c r="R10" s="55">
        <f>AVERAGE(M10,MAX(N10:O10),MAX(P10:Q10))</f>
        <v>9.1666666666666661</v>
      </c>
      <c r="S10" s="165" t="str">
        <f>IF(R10&gt;=10,"TRANSITA","N/TRANSITA")</f>
        <v>N/TRANSITA</v>
      </c>
      <c r="T10" s="58"/>
      <c r="U10" s="31"/>
      <c r="V10" s="31"/>
      <c r="W10" s="32" t="e">
        <f>AVERAGE(T10:U10)</f>
        <v>#DIV/0!</v>
      </c>
      <c r="X10" s="32"/>
      <c r="Y10" s="55" t="e">
        <f>AVERAGE(T10,MAX(U10:V10),MAX(W10:X10))</f>
        <v>#DIV/0!</v>
      </c>
      <c r="Z10" s="47" t="e">
        <f t="shared" ref="Z10:Z51" si="0">SUM(K10,R10,Y10)/3</f>
        <v>#DIV/0!</v>
      </c>
      <c r="AA10" s="40" t="e">
        <f>Z10*0.4</f>
        <v>#DIV/0!</v>
      </c>
      <c r="AB10" s="61"/>
      <c r="AC10" s="50">
        <f>AB10*0.6</f>
        <v>0</v>
      </c>
      <c r="AD10" s="64" t="e">
        <f>AVERAGE(AA10+AC10)</f>
        <v>#DIV/0!</v>
      </c>
      <c r="AE10" s="163" t="e">
        <f>IF(AD10&gt;=10,"APROVADO/A","REPROVADO/A")</f>
        <v>#DIV/0!</v>
      </c>
    </row>
    <row r="11" spans="1:31" ht="15.75" customHeight="1" x14ac:dyDescent="0.3">
      <c r="B11" s="35">
        <v>2</v>
      </c>
      <c r="C11" s="197" t="s">
        <v>100</v>
      </c>
      <c r="D11" s="45"/>
      <c r="E11" s="38"/>
      <c r="F11" s="58">
        <v>15</v>
      </c>
      <c r="G11" s="27">
        <v>16</v>
      </c>
      <c r="H11" s="27"/>
      <c r="I11" s="32">
        <v>17</v>
      </c>
      <c r="J11" s="28"/>
      <c r="K11" s="56">
        <f t="shared" ref="K11:K51" si="1">AVERAGE(F11,MAX(G11:H11),MAX(I11:J11))</f>
        <v>16</v>
      </c>
      <c r="L11" s="166" t="str">
        <f t="shared" ref="L11:L51" si="2">IF(K11&gt;=10,"TRANSITA","N/TRANSITA")</f>
        <v>TRANSITA</v>
      </c>
      <c r="M11" s="59">
        <v>5</v>
      </c>
      <c r="N11" s="27">
        <v>18.5</v>
      </c>
      <c r="O11" s="27"/>
      <c r="P11" s="32">
        <v>13</v>
      </c>
      <c r="Q11" s="28"/>
      <c r="R11" s="56">
        <f t="shared" ref="R11:R51" si="3">AVERAGE(M11,MAX(N11:O11),MAX(P11:Q11))</f>
        <v>12.166666666666666</v>
      </c>
      <c r="S11" s="166" t="str">
        <f t="shared" ref="S11:S51" si="4">IF(R11&gt;=10,"TRANSITA","N/TRANSITA")</f>
        <v>TRANSITA</v>
      </c>
      <c r="T11" s="59"/>
      <c r="U11" s="27"/>
      <c r="V11" s="27"/>
      <c r="W11" s="32" t="e">
        <f t="shared" ref="W11:W51" si="5">AVERAGE(T11:U11)</f>
        <v>#DIV/0!</v>
      </c>
      <c r="X11" s="28"/>
      <c r="Y11" s="56" t="e">
        <f t="shared" ref="Y11:Y51" si="6">AVERAGE(T11,MAX(U11:V11),MAX(W11:X11))</f>
        <v>#DIV/0!</v>
      </c>
      <c r="Z11" s="48" t="e">
        <f t="shared" si="0"/>
        <v>#DIV/0!</v>
      </c>
      <c r="AA11" s="41" t="e">
        <f t="shared" ref="AA11:AA51" si="7">Z11*0.4</f>
        <v>#DIV/0!</v>
      </c>
      <c r="AB11" s="62"/>
      <c r="AC11" s="51">
        <f t="shared" ref="AC11" si="8">AB11*0.6</f>
        <v>0</v>
      </c>
      <c r="AD11" s="65" t="e">
        <f t="shared" ref="AD11" si="9">AVERAGE(AA11+AC11)</f>
        <v>#DIV/0!</v>
      </c>
      <c r="AE11" s="162" t="e">
        <f t="shared" ref="AE11:AE51" si="10">IF(AD11&gt;=10,"APROVADO/A","REPROVADO/A")</f>
        <v>#DIV/0!</v>
      </c>
    </row>
    <row r="12" spans="1:31" ht="15.75" customHeight="1" x14ac:dyDescent="0.3">
      <c r="B12" s="35">
        <v>3</v>
      </c>
      <c r="C12" s="197" t="s">
        <v>101</v>
      </c>
      <c r="D12" s="45"/>
      <c r="E12" s="38"/>
      <c r="F12" s="58">
        <v>12</v>
      </c>
      <c r="G12" s="27">
        <v>16</v>
      </c>
      <c r="H12" s="27"/>
      <c r="I12" s="32">
        <v>17</v>
      </c>
      <c r="J12" s="28"/>
      <c r="K12" s="56">
        <f t="shared" si="1"/>
        <v>15</v>
      </c>
      <c r="L12" s="166" t="str">
        <f t="shared" si="2"/>
        <v>TRANSITA</v>
      </c>
      <c r="M12" s="59">
        <v>15</v>
      </c>
      <c r="N12" s="27">
        <v>17.5</v>
      </c>
      <c r="O12" s="27"/>
      <c r="P12" s="32">
        <v>15</v>
      </c>
      <c r="Q12" s="28"/>
      <c r="R12" s="56">
        <f t="shared" si="3"/>
        <v>15.833333333333334</v>
      </c>
      <c r="S12" s="166" t="str">
        <f t="shared" si="4"/>
        <v>TRANSITA</v>
      </c>
      <c r="T12" s="59"/>
      <c r="U12" s="27"/>
      <c r="V12" s="27"/>
      <c r="W12" s="32" t="e">
        <f t="shared" si="5"/>
        <v>#DIV/0!</v>
      </c>
      <c r="X12" s="28"/>
      <c r="Y12" s="56" t="e">
        <f t="shared" si="6"/>
        <v>#DIV/0!</v>
      </c>
      <c r="Z12" s="48" t="e">
        <f t="shared" si="0"/>
        <v>#DIV/0!</v>
      </c>
      <c r="AA12" s="41" t="e">
        <f t="shared" si="7"/>
        <v>#DIV/0!</v>
      </c>
      <c r="AB12" s="62"/>
      <c r="AC12" s="51">
        <f t="shared" ref="AC12:AC45" si="11">AB12*0.6</f>
        <v>0</v>
      </c>
      <c r="AD12" s="65" t="e">
        <f t="shared" ref="AD12:AD45" si="12">AVERAGE(AA12+AC12)</f>
        <v>#DIV/0!</v>
      </c>
      <c r="AE12" s="162" t="e">
        <f t="shared" si="10"/>
        <v>#DIV/0!</v>
      </c>
    </row>
    <row r="13" spans="1:31" ht="15.75" customHeight="1" x14ac:dyDescent="0.3">
      <c r="B13" s="35">
        <v>4</v>
      </c>
      <c r="C13" s="197" t="s">
        <v>102</v>
      </c>
      <c r="D13" s="45"/>
      <c r="E13" s="38"/>
      <c r="F13" s="58">
        <v>12</v>
      </c>
      <c r="G13" s="27">
        <v>14</v>
      </c>
      <c r="H13" s="27"/>
      <c r="I13" s="32">
        <v>17.5</v>
      </c>
      <c r="J13" s="28"/>
      <c r="K13" s="56">
        <f t="shared" si="1"/>
        <v>14.5</v>
      </c>
      <c r="L13" s="166" t="str">
        <f t="shared" si="2"/>
        <v>TRANSITA</v>
      </c>
      <c r="M13" s="59">
        <v>8</v>
      </c>
      <c r="N13" s="27">
        <v>19.5</v>
      </c>
      <c r="O13" s="27"/>
      <c r="P13" s="32">
        <v>17</v>
      </c>
      <c r="Q13" s="28"/>
      <c r="R13" s="56">
        <f t="shared" si="3"/>
        <v>14.833333333333334</v>
      </c>
      <c r="S13" s="166" t="str">
        <f t="shared" si="4"/>
        <v>TRANSITA</v>
      </c>
      <c r="T13" s="59"/>
      <c r="U13" s="27"/>
      <c r="V13" s="27"/>
      <c r="W13" s="32" t="e">
        <f t="shared" si="5"/>
        <v>#DIV/0!</v>
      </c>
      <c r="X13" s="28"/>
      <c r="Y13" s="56" t="e">
        <f t="shared" si="6"/>
        <v>#DIV/0!</v>
      </c>
      <c r="Z13" s="48" t="e">
        <f t="shared" si="0"/>
        <v>#DIV/0!</v>
      </c>
      <c r="AA13" s="41" t="e">
        <f t="shared" si="7"/>
        <v>#DIV/0!</v>
      </c>
      <c r="AB13" s="62"/>
      <c r="AC13" s="51">
        <f t="shared" si="11"/>
        <v>0</v>
      </c>
      <c r="AD13" s="65" t="e">
        <f t="shared" si="12"/>
        <v>#DIV/0!</v>
      </c>
      <c r="AE13" s="162" t="e">
        <f t="shared" si="10"/>
        <v>#DIV/0!</v>
      </c>
    </row>
    <row r="14" spans="1:31" ht="15.75" customHeight="1" x14ac:dyDescent="0.3">
      <c r="B14" s="35">
        <v>5</v>
      </c>
      <c r="C14" s="197" t="s">
        <v>103</v>
      </c>
      <c r="D14" s="45"/>
      <c r="E14" s="38"/>
      <c r="F14" s="58">
        <v>16</v>
      </c>
      <c r="G14" s="27">
        <v>14</v>
      </c>
      <c r="H14" s="27"/>
      <c r="I14" s="32">
        <v>19</v>
      </c>
      <c r="J14" s="28"/>
      <c r="K14" s="56">
        <f t="shared" si="1"/>
        <v>16.333333333333332</v>
      </c>
      <c r="L14" s="166" t="str">
        <f t="shared" si="2"/>
        <v>TRANSITA</v>
      </c>
      <c r="M14" s="59">
        <v>20</v>
      </c>
      <c r="N14" s="27">
        <v>20</v>
      </c>
      <c r="O14" s="27"/>
      <c r="P14" s="32">
        <v>20</v>
      </c>
      <c r="Q14" s="28"/>
      <c r="R14" s="56">
        <f t="shared" si="3"/>
        <v>20</v>
      </c>
      <c r="S14" s="166" t="str">
        <f t="shared" si="4"/>
        <v>TRANSITA</v>
      </c>
      <c r="T14" s="59"/>
      <c r="U14" s="27"/>
      <c r="V14" s="27"/>
      <c r="W14" s="32" t="e">
        <f t="shared" si="5"/>
        <v>#DIV/0!</v>
      </c>
      <c r="X14" s="28"/>
      <c r="Y14" s="56" t="e">
        <f t="shared" si="6"/>
        <v>#DIV/0!</v>
      </c>
      <c r="Z14" s="48" t="e">
        <f t="shared" si="0"/>
        <v>#DIV/0!</v>
      </c>
      <c r="AA14" s="41" t="e">
        <f t="shared" si="7"/>
        <v>#DIV/0!</v>
      </c>
      <c r="AB14" s="62"/>
      <c r="AC14" s="51">
        <f t="shared" si="11"/>
        <v>0</v>
      </c>
      <c r="AD14" s="65" t="e">
        <f t="shared" si="12"/>
        <v>#DIV/0!</v>
      </c>
      <c r="AE14" s="162" t="e">
        <f t="shared" si="10"/>
        <v>#DIV/0!</v>
      </c>
    </row>
    <row r="15" spans="1:31" ht="15.75" customHeight="1" x14ac:dyDescent="0.3">
      <c r="B15" s="35">
        <v>6</v>
      </c>
      <c r="C15" s="197" t="s">
        <v>104</v>
      </c>
      <c r="D15" s="45"/>
      <c r="E15" s="38"/>
      <c r="F15" s="58">
        <v>12</v>
      </c>
      <c r="G15" s="148">
        <v>16</v>
      </c>
      <c r="H15" s="148"/>
      <c r="I15" s="150">
        <v>15</v>
      </c>
      <c r="J15" s="151"/>
      <c r="K15" s="147">
        <f t="shared" si="1"/>
        <v>14.333333333333334</v>
      </c>
      <c r="L15" s="166" t="str">
        <f t="shared" si="2"/>
        <v>TRANSITA</v>
      </c>
      <c r="M15" s="149">
        <v>5</v>
      </c>
      <c r="N15" s="148">
        <v>16</v>
      </c>
      <c r="O15" s="148"/>
      <c r="P15" s="150">
        <v>19</v>
      </c>
      <c r="Q15" s="151"/>
      <c r="R15" s="147">
        <f t="shared" si="3"/>
        <v>13.333333333333334</v>
      </c>
      <c r="S15" s="166" t="str">
        <f t="shared" si="4"/>
        <v>TRANSITA</v>
      </c>
      <c r="T15" s="149"/>
      <c r="U15" s="148"/>
      <c r="V15" s="148"/>
      <c r="W15" s="32" t="e">
        <f t="shared" si="5"/>
        <v>#DIV/0!</v>
      </c>
      <c r="X15" s="151"/>
      <c r="Y15" s="147" t="e">
        <f t="shared" si="6"/>
        <v>#DIV/0!</v>
      </c>
      <c r="Z15" s="152" t="e">
        <f t="shared" si="0"/>
        <v>#DIV/0!</v>
      </c>
      <c r="AA15" s="153" t="e">
        <f t="shared" si="7"/>
        <v>#DIV/0!</v>
      </c>
      <c r="AB15" s="62"/>
      <c r="AC15" s="51">
        <f t="shared" si="11"/>
        <v>0</v>
      </c>
      <c r="AD15" s="65" t="e">
        <f t="shared" si="12"/>
        <v>#DIV/0!</v>
      </c>
      <c r="AE15" s="162" t="e">
        <f t="shared" si="10"/>
        <v>#DIV/0!</v>
      </c>
    </row>
    <row r="16" spans="1:31" ht="15.75" customHeight="1" x14ac:dyDescent="0.3">
      <c r="B16" s="35">
        <v>7</v>
      </c>
      <c r="C16" s="197" t="s">
        <v>105</v>
      </c>
      <c r="D16" s="45"/>
      <c r="E16" s="38"/>
      <c r="F16" s="58">
        <v>12</v>
      </c>
      <c r="G16" s="27">
        <v>14</v>
      </c>
      <c r="H16" s="27"/>
      <c r="I16" s="32">
        <v>17.5</v>
      </c>
      <c r="J16" s="28"/>
      <c r="K16" s="56">
        <f t="shared" si="1"/>
        <v>14.5</v>
      </c>
      <c r="L16" s="166" t="str">
        <f t="shared" si="2"/>
        <v>TRANSITA</v>
      </c>
      <c r="M16" s="59">
        <v>12</v>
      </c>
      <c r="N16" s="27">
        <v>16.5</v>
      </c>
      <c r="O16" s="27"/>
      <c r="P16" s="32">
        <v>17</v>
      </c>
      <c r="Q16" s="28"/>
      <c r="R16" s="56">
        <f t="shared" si="3"/>
        <v>15.166666666666666</v>
      </c>
      <c r="S16" s="166" t="str">
        <f t="shared" si="4"/>
        <v>TRANSITA</v>
      </c>
      <c r="T16" s="59"/>
      <c r="U16" s="27"/>
      <c r="V16" s="27"/>
      <c r="W16" s="32" t="e">
        <f t="shared" si="5"/>
        <v>#DIV/0!</v>
      </c>
      <c r="X16" s="28"/>
      <c r="Y16" s="56" t="e">
        <f t="shared" si="6"/>
        <v>#DIV/0!</v>
      </c>
      <c r="Z16" s="48" t="e">
        <f t="shared" si="0"/>
        <v>#DIV/0!</v>
      </c>
      <c r="AA16" s="41" t="e">
        <f t="shared" si="7"/>
        <v>#DIV/0!</v>
      </c>
      <c r="AB16" s="62"/>
      <c r="AC16" s="51">
        <f t="shared" si="11"/>
        <v>0</v>
      </c>
      <c r="AD16" s="65" t="e">
        <f t="shared" si="12"/>
        <v>#DIV/0!</v>
      </c>
      <c r="AE16" s="162" t="e">
        <f t="shared" si="10"/>
        <v>#DIV/0!</v>
      </c>
    </row>
    <row r="17" spans="2:31" ht="15.75" customHeight="1" x14ac:dyDescent="0.3">
      <c r="B17" s="35">
        <v>8</v>
      </c>
      <c r="C17" s="197" t="s">
        <v>106</v>
      </c>
      <c r="D17" s="45"/>
      <c r="E17" s="38"/>
      <c r="F17" s="58">
        <v>12</v>
      </c>
      <c r="G17" s="27">
        <v>13</v>
      </c>
      <c r="H17" s="27"/>
      <c r="I17" s="32">
        <v>11</v>
      </c>
      <c r="J17" s="28"/>
      <c r="K17" s="56">
        <f t="shared" si="1"/>
        <v>12</v>
      </c>
      <c r="L17" s="166" t="str">
        <f t="shared" si="2"/>
        <v>TRANSITA</v>
      </c>
      <c r="M17" s="59">
        <v>7</v>
      </c>
      <c r="N17" s="27">
        <v>15</v>
      </c>
      <c r="O17" s="27"/>
      <c r="P17" s="32">
        <v>14</v>
      </c>
      <c r="Q17" s="28"/>
      <c r="R17" s="56">
        <f t="shared" si="3"/>
        <v>12</v>
      </c>
      <c r="S17" s="166" t="str">
        <f t="shared" si="4"/>
        <v>TRANSITA</v>
      </c>
      <c r="T17" s="59"/>
      <c r="U17" s="27"/>
      <c r="V17" s="27"/>
      <c r="W17" s="32" t="e">
        <f t="shared" si="5"/>
        <v>#DIV/0!</v>
      </c>
      <c r="X17" s="28"/>
      <c r="Y17" s="56" t="e">
        <f t="shared" si="6"/>
        <v>#DIV/0!</v>
      </c>
      <c r="Z17" s="48" t="e">
        <f t="shared" si="0"/>
        <v>#DIV/0!</v>
      </c>
      <c r="AA17" s="41" t="e">
        <f t="shared" si="7"/>
        <v>#DIV/0!</v>
      </c>
      <c r="AB17" s="62"/>
      <c r="AC17" s="51">
        <f t="shared" si="11"/>
        <v>0</v>
      </c>
      <c r="AD17" s="65" t="e">
        <f t="shared" si="12"/>
        <v>#DIV/0!</v>
      </c>
      <c r="AE17" s="162" t="e">
        <f t="shared" si="10"/>
        <v>#DIV/0!</v>
      </c>
    </row>
    <row r="18" spans="2:31" ht="15.75" customHeight="1" x14ac:dyDescent="0.3">
      <c r="B18" s="35">
        <v>9</v>
      </c>
      <c r="C18" s="197" t="s">
        <v>144</v>
      </c>
      <c r="D18" s="45"/>
      <c r="E18" s="38"/>
      <c r="F18" s="58">
        <v>10</v>
      </c>
      <c r="G18" s="27">
        <v>8</v>
      </c>
      <c r="H18" s="27"/>
      <c r="I18" s="32">
        <v>4</v>
      </c>
      <c r="J18" s="28"/>
      <c r="K18" s="56">
        <f t="shared" si="1"/>
        <v>7.333333333333333</v>
      </c>
      <c r="L18" s="166" t="str">
        <f t="shared" si="2"/>
        <v>N/TRANSITA</v>
      </c>
      <c r="M18" s="59">
        <v>8</v>
      </c>
      <c r="N18" s="27">
        <v>7</v>
      </c>
      <c r="O18" s="27"/>
      <c r="P18" s="32">
        <v>10</v>
      </c>
      <c r="Q18" s="28"/>
      <c r="R18" s="56">
        <f t="shared" ref="R18" si="13">AVERAGE(M18,MAX(N18:O18),MAX(P18:Q18))</f>
        <v>8.3333333333333339</v>
      </c>
      <c r="S18" s="166" t="str">
        <f t="shared" ref="S18" si="14">IF(R18&gt;=10,"TRANSITA","N/TRANSITA")</f>
        <v>N/TRANSITA</v>
      </c>
      <c r="T18" s="59"/>
      <c r="U18" s="27"/>
      <c r="V18" s="27"/>
      <c r="W18" s="32" t="e">
        <f t="shared" ref="W18" si="15">AVERAGE(T18:U18)</f>
        <v>#DIV/0!</v>
      </c>
      <c r="X18" s="28"/>
      <c r="Y18" s="56" t="e">
        <f t="shared" ref="Y18" si="16">AVERAGE(T18,MAX(U18:V18),MAX(W18:X18))</f>
        <v>#DIV/0!</v>
      </c>
      <c r="Z18" s="48" t="e">
        <f t="shared" ref="Z18" si="17">SUM(K18,R18,Y18)/3</f>
        <v>#DIV/0!</v>
      </c>
      <c r="AA18" s="41" t="e">
        <f t="shared" ref="AA18" si="18">Z18*0.4</f>
        <v>#DIV/0!</v>
      </c>
      <c r="AB18" s="62"/>
      <c r="AC18" s="51">
        <f t="shared" ref="AC18" si="19">AB18*0.6</f>
        <v>0</v>
      </c>
      <c r="AD18" s="65" t="e">
        <f t="shared" ref="AD18" si="20">AVERAGE(AA18+AC18)</f>
        <v>#DIV/0!</v>
      </c>
      <c r="AE18" s="162" t="e">
        <f t="shared" ref="AE18" si="21">IF(AD18&gt;=10,"APROVADO/A","REPROVADO/A")</f>
        <v>#DIV/0!</v>
      </c>
    </row>
    <row r="19" spans="2:31" ht="15.75" customHeight="1" x14ac:dyDescent="0.3">
      <c r="B19" s="35">
        <v>10</v>
      </c>
      <c r="C19" s="197" t="s">
        <v>107</v>
      </c>
      <c r="D19" s="45"/>
      <c r="E19" s="38"/>
      <c r="F19" s="58">
        <v>12</v>
      </c>
      <c r="G19" s="27">
        <v>16</v>
      </c>
      <c r="H19" s="27"/>
      <c r="I19" s="32">
        <v>16.5</v>
      </c>
      <c r="J19" s="28"/>
      <c r="K19" s="56">
        <f t="shared" si="1"/>
        <v>14.833333333333334</v>
      </c>
      <c r="L19" s="166" t="str">
        <f t="shared" si="2"/>
        <v>TRANSITA</v>
      </c>
      <c r="M19" s="59">
        <v>4</v>
      </c>
      <c r="N19" s="27">
        <v>19</v>
      </c>
      <c r="O19" s="27"/>
      <c r="P19" s="32">
        <v>15</v>
      </c>
      <c r="Q19" s="28"/>
      <c r="R19" s="56">
        <f t="shared" si="3"/>
        <v>12.666666666666666</v>
      </c>
      <c r="S19" s="166" t="str">
        <f t="shared" si="4"/>
        <v>TRANSITA</v>
      </c>
      <c r="T19" s="59"/>
      <c r="U19" s="27"/>
      <c r="V19" s="27"/>
      <c r="W19" s="32" t="e">
        <f t="shared" si="5"/>
        <v>#DIV/0!</v>
      </c>
      <c r="X19" s="28"/>
      <c r="Y19" s="56" t="e">
        <f t="shared" si="6"/>
        <v>#DIV/0!</v>
      </c>
      <c r="Z19" s="48" t="e">
        <f t="shared" si="0"/>
        <v>#DIV/0!</v>
      </c>
      <c r="AA19" s="41" t="e">
        <f t="shared" si="7"/>
        <v>#DIV/0!</v>
      </c>
      <c r="AB19" s="62"/>
      <c r="AC19" s="51">
        <f t="shared" si="11"/>
        <v>0</v>
      </c>
      <c r="AD19" s="65" t="e">
        <f t="shared" si="12"/>
        <v>#DIV/0!</v>
      </c>
      <c r="AE19" s="162" t="e">
        <f t="shared" si="10"/>
        <v>#DIV/0!</v>
      </c>
    </row>
    <row r="20" spans="2:31" ht="15.75" customHeight="1" x14ac:dyDescent="0.3">
      <c r="B20" s="35">
        <v>11</v>
      </c>
      <c r="C20" s="197" t="s">
        <v>108</v>
      </c>
      <c r="D20" s="45"/>
      <c r="E20" s="38"/>
      <c r="F20" s="58">
        <v>12</v>
      </c>
      <c r="G20" s="27">
        <v>15</v>
      </c>
      <c r="H20" s="27"/>
      <c r="I20" s="32">
        <v>15</v>
      </c>
      <c r="J20" s="28"/>
      <c r="K20" s="56">
        <f t="shared" si="1"/>
        <v>14</v>
      </c>
      <c r="L20" s="166" t="str">
        <f t="shared" si="2"/>
        <v>TRANSITA</v>
      </c>
      <c r="M20" s="59">
        <v>15</v>
      </c>
      <c r="N20" s="27">
        <v>19</v>
      </c>
      <c r="O20" s="27"/>
      <c r="P20" s="32">
        <v>18</v>
      </c>
      <c r="Q20" s="28"/>
      <c r="R20" s="56">
        <f t="shared" si="3"/>
        <v>17.333333333333332</v>
      </c>
      <c r="S20" s="166" t="str">
        <f t="shared" si="4"/>
        <v>TRANSITA</v>
      </c>
      <c r="T20" s="59"/>
      <c r="U20" s="27"/>
      <c r="V20" s="27"/>
      <c r="W20" s="32" t="e">
        <f t="shared" si="5"/>
        <v>#DIV/0!</v>
      </c>
      <c r="X20" s="28"/>
      <c r="Y20" s="56" t="e">
        <f t="shared" si="6"/>
        <v>#DIV/0!</v>
      </c>
      <c r="Z20" s="48" t="e">
        <f t="shared" si="0"/>
        <v>#DIV/0!</v>
      </c>
      <c r="AA20" s="41" t="e">
        <f t="shared" si="7"/>
        <v>#DIV/0!</v>
      </c>
      <c r="AB20" s="62"/>
      <c r="AC20" s="51">
        <f t="shared" ref="AC20" si="22">AB20*0.6</f>
        <v>0</v>
      </c>
      <c r="AD20" s="65" t="e">
        <f t="shared" ref="AD20" si="23">AVERAGE(AA20+AC20)</f>
        <v>#DIV/0!</v>
      </c>
      <c r="AE20" s="162" t="e">
        <f t="shared" si="10"/>
        <v>#DIV/0!</v>
      </c>
    </row>
    <row r="21" spans="2:31" ht="15.75" customHeight="1" x14ac:dyDescent="0.3">
      <c r="B21" s="35">
        <v>12</v>
      </c>
      <c r="C21" s="197" t="s">
        <v>109</v>
      </c>
      <c r="D21" s="45"/>
      <c r="E21" s="38"/>
      <c r="F21" s="58">
        <v>12</v>
      </c>
      <c r="G21" s="148">
        <v>16</v>
      </c>
      <c r="H21" s="148"/>
      <c r="I21" s="150">
        <v>18</v>
      </c>
      <c r="J21" s="151"/>
      <c r="K21" s="147">
        <f t="shared" si="1"/>
        <v>15.333333333333334</v>
      </c>
      <c r="L21" s="166" t="str">
        <f t="shared" si="2"/>
        <v>TRANSITA</v>
      </c>
      <c r="M21" s="149">
        <v>6</v>
      </c>
      <c r="N21" s="148">
        <v>17.5</v>
      </c>
      <c r="O21" s="148"/>
      <c r="P21" s="150">
        <v>20</v>
      </c>
      <c r="Q21" s="151"/>
      <c r="R21" s="147">
        <f t="shared" si="3"/>
        <v>14.5</v>
      </c>
      <c r="S21" s="166" t="str">
        <f t="shared" si="4"/>
        <v>TRANSITA</v>
      </c>
      <c r="T21" s="149"/>
      <c r="U21" s="148"/>
      <c r="V21" s="148"/>
      <c r="W21" s="32" t="e">
        <f t="shared" si="5"/>
        <v>#DIV/0!</v>
      </c>
      <c r="X21" s="151"/>
      <c r="Y21" s="147" t="e">
        <f t="shared" si="6"/>
        <v>#DIV/0!</v>
      </c>
      <c r="Z21" s="152" t="e">
        <f t="shared" si="0"/>
        <v>#DIV/0!</v>
      </c>
      <c r="AA21" s="153" t="e">
        <f t="shared" si="7"/>
        <v>#DIV/0!</v>
      </c>
      <c r="AB21" s="62"/>
      <c r="AC21" s="51">
        <f t="shared" ref="AC21" si="24">AB21*0.6</f>
        <v>0</v>
      </c>
      <c r="AD21" s="65" t="e">
        <f t="shared" ref="AD21" si="25">AVERAGE(AA21+AC21)</f>
        <v>#DIV/0!</v>
      </c>
      <c r="AE21" s="162" t="e">
        <f t="shared" si="10"/>
        <v>#DIV/0!</v>
      </c>
    </row>
    <row r="22" spans="2:31" ht="15.75" customHeight="1" x14ac:dyDescent="0.3">
      <c r="B22" s="35">
        <v>13</v>
      </c>
      <c r="C22" s="197" t="s">
        <v>110</v>
      </c>
      <c r="D22" s="45"/>
      <c r="E22" s="38"/>
      <c r="F22" s="58">
        <v>12</v>
      </c>
      <c r="G22" s="27">
        <v>8</v>
      </c>
      <c r="H22" s="27"/>
      <c r="I22" s="32">
        <v>14.5</v>
      </c>
      <c r="J22" s="28"/>
      <c r="K22" s="56">
        <f t="shared" si="1"/>
        <v>11.5</v>
      </c>
      <c r="L22" s="166" t="str">
        <f t="shared" si="2"/>
        <v>TRANSITA</v>
      </c>
      <c r="M22" s="59">
        <v>11</v>
      </c>
      <c r="N22" s="27">
        <v>19.5</v>
      </c>
      <c r="O22" s="27"/>
      <c r="P22" s="32">
        <v>12</v>
      </c>
      <c r="Q22" s="28"/>
      <c r="R22" s="56">
        <f t="shared" si="3"/>
        <v>14.166666666666666</v>
      </c>
      <c r="S22" s="166" t="str">
        <f t="shared" si="4"/>
        <v>TRANSITA</v>
      </c>
      <c r="T22" s="59"/>
      <c r="U22" s="27"/>
      <c r="V22" s="27"/>
      <c r="W22" s="32" t="e">
        <f t="shared" si="5"/>
        <v>#DIV/0!</v>
      </c>
      <c r="X22" s="28"/>
      <c r="Y22" s="56" t="e">
        <f t="shared" si="6"/>
        <v>#DIV/0!</v>
      </c>
      <c r="Z22" s="48" t="e">
        <f t="shared" si="0"/>
        <v>#DIV/0!</v>
      </c>
      <c r="AA22" s="41" t="e">
        <f t="shared" si="7"/>
        <v>#DIV/0!</v>
      </c>
      <c r="AB22" s="62"/>
      <c r="AC22" s="51">
        <f t="shared" si="11"/>
        <v>0</v>
      </c>
      <c r="AD22" s="65" t="e">
        <f t="shared" si="12"/>
        <v>#DIV/0!</v>
      </c>
      <c r="AE22" s="162" t="e">
        <f t="shared" si="10"/>
        <v>#DIV/0!</v>
      </c>
    </row>
    <row r="23" spans="2:31" ht="15.75" customHeight="1" x14ac:dyDescent="0.3">
      <c r="B23" s="35">
        <v>14</v>
      </c>
      <c r="C23" s="197" t="s">
        <v>111</v>
      </c>
      <c r="D23" s="45"/>
      <c r="E23" s="38"/>
      <c r="F23" s="58">
        <v>12</v>
      </c>
      <c r="G23" s="27">
        <v>15</v>
      </c>
      <c r="H23" s="27"/>
      <c r="I23" s="32">
        <v>14.5</v>
      </c>
      <c r="J23" s="28"/>
      <c r="K23" s="56">
        <f t="shared" si="1"/>
        <v>13.833333333333334</v>
      </c>
      <c r="L23" s="166" t="str">
        <f t="shared" si="2"/>
        <v>TRANSITA</v>
      </c>
      <c r="M23" s="59">
        <v>9</v>
      </c>
      <c r="N23" s="27">
        <v>16</v>
      </c>
      <c r="O23" s="27"/>
      <c r="P23" s="32">
        <v>19</v>
      </c>
      <c r="Q23" s="28"/>
      <c r="R23" s="56">
        <f t="shared" si="3"/>
        <v>14.666666666666666</v>
      </c>
      <c r="S23" s="166" t="str">
        <f t="shared" si="4"/>
        <v>TRANSITA</v>
      </c>
      <c r="T23" s="59"/>
      <c r="U23" s="27"/>
      <c r="V23" s="27"/>
      <c r="W23" s="32" t="e">
        <f t="shared" si="5"/>
        <v>#DIV/0!</v>
      </c>
      <c r="X23" s="28"/>
      <c r="Y23" s="56" t="e">
        <f t="shared" si="6"/>
        <v>#DIV/0!</v>
      </c>
      <c r="Z23" s="48" t="e">
        <f t="shared" si="0"/>
        <v>#DIV/0!</v>
      </c>
      <c r="AA23" s="41" t="e">
        <f t="shared" si="7"/>
        <v>#DIV/0!</v>
      </c>
      <c r="AB23" s="62"/>
      <c r="AC23" s="51">
        <f t="shared" si="11"/>
        <v>0</v>
      </c>
      <c r="AD23" s="65" t="e">
        <f t="shared" si="12"/>
        <v>#DIV/0!</v>
      </c>
      <c r="AE23" s="162" t="e">
        <f t="shared" si="10"/>
        <v>#DIV/0!</v>
      </c>
    </row>
    <row r="24" spans="2:31" ht="15.75" customHeight="1" x14ac:dyDescent="0.3">
      <c r="B24" s="35">
        <v>15</v>
      </c>
      <c r="C24" s="197" t="s">
        <v>112</v>
      </c>
      <c r="D24" s="45"/>
      <c r="E24" s="38"/>
      <c r="F24" s="58">
        <v>14</v>
      </c>
      <c r="G24" s="27">
        <v>15</v>
      </c>
      <c r="H24" s="27"/>
      <c r="I24" s="32">
        <v>16</v>
      </c>
      <c r="J24" s="28"/>
      <c r="K24" s="56">
        <f t="shared" si="1"/>
        <v>15</v>
      </c>
      <c r="L24" s="166" t="str">
        <f t="shared" si="2"/>
        <v>TRANSITA</v>
      </c>
      <c r="M24" s="59">
        <v>15</v>
      </c>
      <c r="N24" s="27">
        <v>17.5</v>
      </c>
      <c r="O24" s="27"/>
      <c r="P24" s="32">
        <v>15</v>
      </c>
      <c r="Q24" s="28"/>
      <c r="R24" s="56">
        <f t="shared" si="3"/>
        <v>15.833333333333334</v>
      </c>
      <c r="S24" s="166" t="str">
        <f t="shared" si="4"/>
        <v>TRANSITA</v>
      </c>
      <c r="T24" s="59"/>
      <c r="U24" s="27"/>
      <c r="V24" s="27"/>
      <c r="W24" s="32" t="e">
        <f t="shared" si="5"/>
        <v>#DIV/0!</v>
      </c>
      <c r="X24" s="28"/>
      <c r="Y24" s="56" t="e">
        <f t="shared" si="6"/>
        <v>#DIV/0!</v>
      </c>
      <c r="Z24" s="48" t="e">
        <f t="shared" si="0"/>
        <v>#DIV/0!</v>
      </c>
      <c r="AA24" s="41" t="e">
        <f t="shared" si="7"/>
        <v>#DIV/0!</v>
      </c>
      <c r="AB24" s="62"/>
      <c r="AC24" s="51">
        <f t="shared" si="11"/>
        <v>0</v>
      </c>
      <c r="AD24" s="65" t="e">
        <f t="shared" si="12"/>
        <v>#DIV/0!</v>
      </c>
      <c r="AE24" s="162" t="e">
        <f t="shared" si="10"/>
        <v>#DIV/0!</v>
      </c>
    </row>
    <row r="25" spans="2:31" ht="15.75" customHeight="1" x14ac:dyDescent="0.3">
      <c r="B25" s="35">
        <v>16</v>
      </c>
      <c r="C25" s="197" t="s">
        <v>113</v>
      </c>
      <c r="D25" s="45"/>
      <c r="E25" s="38"/>
      <c r="F25" s="58">
        <v>12</v>
      </c>
      <c r="G25" s="27">
        <v>14</v>
      </c>
      <c r="H25" s="27"/>
      <c r="I25" s="32">
        <v>15</v>
      </c>
      <c r="J25" s="28"/>
      <c r="K25" s="56">
        <f t="shared" si="1"/>
        <v>13.666666666666666</v>
      </c>
      <c r="L25" s="166" t="str">
        <f t="shared" si="2"/>
        <v>TRANSITA</v>
      </c>
      <c r="M25" s="59">
        <v>14</v>
      </c>
      <c r="N25" s="27">
        <v>15.5</v>
      </c>
      <c r="O25" s="27"/>
      <c r="P25" s="32">
        <v>12</v>
      </c>
      <c r="Q25" s="28"/>
      <c r="R25" s="56">
        <f t="shared" si="3"/>
        <v>13.833333333333334</v>
      </c>
      <c r="S25" s="166" t="str">
        <f t="shared" si="4"/>
        <v>TRANSITA</v>
      </c>
      <c r="T25" s="59"/>
      <c r="U25" s="27"/>
      <c r="V25" s="27"/>
      <c r="W25" s="32" t="e">
        <f t="shared" si="5"/>
        <v>#DIV/0!</v>
      </c>
      <c r="X25" s="28"/>
      <c r="Y25" s="56" t="e">
        <f t="shared" si="6"/>
        <v>#DIV/0!</v>
      </c>
      <c r="Z25" s="48" t="e">
        <f t="shared" si="0"/>
        <v>#DIV/0!</v>
      </c>
      <c r="AA25" s="41" t="e">
        <f t="shared" si="7"/>
        <v>#DIV/0!</v>
      </c>
      <c r="AB25" s="62"/>
      <c r="AC25" s="51">
        <f t="shared" si="11"/>
        <v>0</v>
      </c>
      <c r="AD25" s="65" t="e">
        <f t="shared" si="12"/>
        <v>#DIV/0!</v>
      </c>
      <c r="AE25" s="162" t="e">
        <f t="shared" si="10"/>
        <v>#DIV/0!</v>
      </c>
    </row>
    <row r="26" spans="2:31" ht="15.75" customHeight="1" x14ac:dyDescent="0.3">
      <c r="B26" s="35">
        <v>17</v>
      </c>
      <c r="C26" s="197" t="s">
        <v>114</v>
      </c>
      <c r="D26" s="45"/>
      <c r="E26" s="38"/>
      <c r="F26" s="58">
        <v>14</v>
      </c>
      <c r="G26" s="27">
        <v>13</v>
      </c>
      <c r="H26" s="27"/>
      <c r="I26" s="32">
        <v>19</v>
      </c>
      <c r="J26" s="28"/>
      <c r="K26" s="56">
        <f t="shared" si="1"/>
        <v>15.333333333333334</v>
      </c>
      <c r="L26" s="166" t="str">
        <f t="shared" si="2"/>
        <v>TRANSITA</v>
      </c>
      <c r="M26" s="59">
        <v>10</v>
      </c>
      <c r="N26" s="27">
        <v>19</v>
      </c>
      <c r="O26" s="27"/>
      <c r="P26" s="32">
        <v>15</v>
      </c>
      <c r="Q26" s="28"/>
      <c r="R26" s="56">
        <f t="shared" si="3"/>
        <v>14.666666666666666</v>
      </c>
      <c r="S26" s="166" t="str">
        <f t="shared" si="4"/>
        <v>TRANSITA</v>
      </c>
      <c r="T26" s="59"/>
      <c r="U26" s="27"/>
      <c r="V26" s="27"/>
      <c r="W26" s="32" t="e">
        <f t="shared" si="5"/>
        <v>#DIV/0!</v>
      </c>
      <c r="X26" s="28"/>
      <c r="Y26" s="56" t="e">
        <f t="shared" si="6"/>
        <v>#DIV/0!</v>
      </c>
      <c r="Z26" s="48" t="e">
        <f t="shared" si="0"/>
        <v>#DIV/0!</v>
      </c>
      <c r="AA26" s="41" t="e">
        <f t="shared" si="7"/>
        <v>#DIV/0!</v>
      </c>
      <c r="AB26" s="62"/>
      <c r="AC26" s="51">
        <f t="shared" ref="AC26:AC39" si="26">AB26*0.6</f>
        <v>0</v>
      </c>
      <c r="AD26" s="65" t="e">
        <f t="shared" ref="AD26:AD39" si="27">AVERAGE(AA26+AC26)</f>
        <v>#DIV/0!</v>
      </c>
      <c r="AE26" s="162" t="e">
        <f t="shared" si="10"/>
        <v>#DIV/0!</v>
      </c>
    </row>
    <row r="27" spans="2:31" ht="15.75" customHeight="1" x14ac:dyDescent="0.3">
      <c r="B27" s="35">
        <v>18</v>
      </c>
      <c r="C27" s="197" t="s">
        <v>115</v>
      </c>
      <c r="D27" s="45"/>
      <c r="E27" s="38"/>
      <c r="F27" s="58">
        <v>12</v>
      </c>
      <c r="G27" s="27">
        <v>13</v>
      </c>
      <c r="H27" s="27"/>
      <c r="I27" s="32">
        <v>17.5</v>
      </c>
      <c r="J27" s="28"/>
      <c r="K27" s="56">
        <f t="shared" si="1"/>
        <v>14.166666666666666</v>
      </c>
      <c r="L27" s="166" t="str">
        <f t="shared" si="2"/>
        <v>TRANSITA</v>
      </c>
      <c r="M27" s="59">
        <v>20</v>
      </c>
      <c r="N27" s="27">
        <v>17.5</v>
      </c>
      <c r="O27" s="27"/>
      <c r="P27" s="32">
        <v>19</v>
      </c>
      <c r="Q27" s="28"/>
      <c r="R27" s="56">
        <f t="shared" si="3"/>
        <v>18.833333333333332</v>
      </c>
      <c r="S27" s="166" t="str">
        <f t="shared" si="4"/>
        <v>TRANSITA</v>
      </c>
      <c r="T27" s="59"/>
      <c r="U27" s="27"/>
      <c r="V27" s="27"/>
      <c r="W27" s="32" t="e">
        <f t="shared" si="5"/>
        <v>#DIV/0!</v>
      </c>
      <c r="X27" s="28"/>
      <c r="Y27" s="56" t="e">
        <f t="shared" si="6"/>
        <v>#DIV/0!</v>
      </c>
      <c r="Z27" s="48" t="e">
        <f t="shared" si="0"/>
        <v>#DIV/0!</v>
      </c>
      <c r="AA27" s="41" t="e">
        <f t="shared" si="7"/>
        <v>#DIV/0!</v>
      </c>
      <c r="AB27" s="62"/>
      <c r="AC27" s="51">
        <f t="shared" si="26"/>
        <v>0</v>
      </c>
      <c r="AD27" s="65" t="e">
        <f t="shared" si="27"/>
        <v>#DIV/0!</v>
      </c>
      <c r="AE27" s="162" t="e">
        <f t="shared" si="10"/>
        <v>#DIV/0!</v>
      </c>
    </row>
    <row r="28" spans="2:31" ht="15.75" customHeight="1" x14ac:dyDescent="0.3">
      <c r="B28" s="35">
        <v>19</v>
      </c>
      <c r="C28" s="197" t="s">
        <v>116</v>
      </c>
      <c r="D28" s="45"/>
      <c r="E28" s="38"/>
      <c r="F28" s="58">
        <v>12</v>
      </c>
      <c r="G28" s="27">
        <v>14</v>
      </c>
      <c r="H28" s="27"/>
      <c r="I28" s="32">
        <v>17</v>
      </c>
      <c r="J28" s="28"/>
      <c r="K28" s="56">
        <f t="shared" si="1"/>
        <v>14.333333333333334</v>
      </c>
      <c r="L28" s="166" t="str">
        <f t="shared" si="2"/>
        <v>TRANSITA</v>
      </c>
      <c r="M28" s="59">
        <v>14</v>
      </c>
      <c r="N28" s="27">
        <v>18</v>
      </c>
      <c r="O28" s="27"/>
      <c r="P28" s="32">
        <v>13</v>
      </c>
      <c r="Q28" s="28"/>
      <c r="R28" s="56">
        <f t="shared" si="3"/>
        <v>15</v>
      </c>
      <c r="S28" s="166" t="str">
        <f t="shared" si="4"/>
        <v>TRANSITA</v>
      </c>
      <c r="T28" s="59"/>
      <c r="U28" s="27"/>
      <c r="V28" s="27"/>
      <c r="W28" s="32" t="e">
        <f t="shared" si="5"/>
        <v>#DIV/0!</v>
      </c>
      <c r="X28" s="28"/>
      <c r="Y28" s="56" t="e">
        <f t="shared" si="6"/>
        <v>#DIV/0!</v>
      </c>
      <c r="Z28" s="48" t="e">
        <f t="shared" si="0"/>
        <v>#DIV/0!</v>
      </c>
      <c r="AA28" s="41" t="e">
        <f t="shared" si="7"/>
        <v>#DIV/0!</v>
      </c>
      <c r="AB28" s="62"/>
      <c r="AC28" s="51">
        <f t="shared" ref="AC28:AC29" si="28">AB28*0.6</f>
        <v>0</v>
      </c>
      <c r="AD28" s="65" t="e">
        <f t="shared" ref="AD28:AD29" si="29">AVERAGE(AA28+AC28)</f>
        <v>#DIV/0!</v>
      </c>
      <c r="AE28" s="162" t="e">
        <f t="shared" si="10"/>
        <v>#DIV/0!</v>
      </c>
    </row>
    <row r="29" spans="2:31" ht="15.75" customHeight="1" x14ac:dyDescent="0.3">
      <c r="B29" s="35">
        <v>20</v>
      </c>
      <c r="C29" s="197" t="s">
        <v>117</v>
      </c>
      <c r="D29" s="45"/>
      <c r="E29" s="38"/>
      <c r="F29" s="58">
        <v>12</v>
      </c>
      <c r="G29" s="27">
        <v>15</v>
      </c>
      <c r="H29" s="27"/>
      <c r="I29" s="32">
        <v>17</v>
      </c>
      <c r="J29" s="28"/>
      <c r="K29" s="56">
        <f t="shared" si="1"/>
        <v>14.666666666666666</v>
      </c>
      <c r="L29" s="166" t="str">
        <f t="shared" si="2"/>
        <v>TRANSITA</v>
      </c>
      <c r="M29" s="59">
        <v>10</v>
      </c>
      <c r="N29" s="27">
        <v>20</v>
      </c>
      <c r="O29" s="27"/>
      <c r="P29" s="32">
        <v>0</v>
      </c>
      <c r="Q29" s="28"/>
      <c r="R29" s="56">
        <f t="shared" si="3"/>
        <v>10</v>
      </c>
      <c r="S29" s="166" t="str">
        <f t="shared" si="4"/>
        <v>TRANSITA</v>
      </c>
      <c r="T29" s="59"/>
      <c r="U29" s="27"/>
      <c r="V29" s="27"/>
      <c r="W29" s="32" t="e">
        <f t="shared" si="5"/>
        <v>#DIV/0!</v>
      </c>
      <c r="X29" s="28"/>
      <c r="Y29" s="56" t="e">
        <f t="shared" si="6"/>
        <v>#DIV/0!</v>
      </c>
      <c r="Z29" s="48" t="e">
        <f t="shared" si="0"/>
        <v>#DIV/0!</v>
      </c>
      <c r="AA29" s="41" t="e">
        <f t="shared" si="7"/>
        <v>#DIV/0!</v>
      </c>
      <c r="AB29" s="62"/>
      <c r="AC29" s="51">
        <f t="shared" si="28"/>
        <v>0</v>
      </c>
      <c r="AD29" s="65" t="e">
        <f t="shared" si="29"/>
        <v>#DIV/0!</v>
      </c>
      <c r="AE29" s="162" t="e">
        <f t="shared" si="10"/>
        <v>#DIV/0!</v>
      </c>
    </row>
    <row r="30" spans="2:31" ht="15.75" customHeight="1" x14ac:dyDescent="0.3">
      <c r="B30" s="35">
        <v>21</v>
      </c>
      <c r="C30" s="197" t="s">
        <v>118</v>
      </c>
      <c r="D30" s="45"/>
      <c r="E30" s="38"/>
      <c r="F30" s="58">
        <v>13</v>
      </c>
      <c r="G30" s="155">
        <v>15</v>
      </c>
      <c r="H30" s="155"/>
      <c r="I30" s="157">
        <v>17</v>
      </c>
      <c r="J30" s="158"/>
      <c r="K30" s="154">
        <f t="shared" si="1"/>
        <v>15</v>
      </c>
      <c r="L30" s="166" t="str">
        <f t="shared" si="2"/>
        <v>TRANSITA</v>
      </c>
      <c r="M30" s="156">
        <v>15</v>
      </c>
      <c r="N30" s="155">
        <v>19.5</v>
      </c>
      <c r="O30" s="155"/>
      <c r="P30" s="157">
        <v>14</v>
      </c>
      <c r="Q30" s="158"/>
      <c r="R30" s="154">
        <f t="shared" si="3"/>
        <v>16.166666666666668</v>
      </c>
      <c r="S30" s="166" t="str">
        <f t="shared" si="4"/>
        <v>TRANSITA</v>
      </c>
      <c r="T30" s="156"/>
      <c r="U30" s="155"/>
      <c r="V30" s="155"/>
      <c r="W30" s="32" t="e">
        <f t="shared" si="5"/>
        <v>#DIV/0!</v>
      </c>
      <c r="X30" s="158"/>
      <c r="Y30" s="154" t="e">
        <f t="shared" si="6"/>
        <v>#DIV/0!</v>
      </c>
      <c r="Z30" s="159" t="e">
        <f t="shared" si="0"/>
        <v>#DIV/0!</v>
      </c>
      <c r="AA30" s="160" t="e">
        <f t="shared" si="7"/>
        <v>#DIV/0!</v>
      </c>
      <c r="AB30" s="62"/>
      <c r="AC30" s="51">
        <f t="shared" ref="AC30" si="30">AB30*0.6</f>
        <v>0</v>
      </c>
      <c r="AD30" s="65" t="e">
        <f t="shared" ref="AD30" si="31">AVERAGE(AA30+AC30)</f>
        <v>#DIV/0!</v>
      </c>
      <c r="AE30" s="162" t="e">
        <f t="shared" si="10"/>
        <v>#DIV/0!</v>
      </c>
    </row>
    <row r="31" spans="2:31" ht="15.75" customHeight="1" x14ac:dyDescent="0.3">
      <c r="B31" s="35">
        <v>22</v>
      </c>
      <c r="C31" s="197" t="s">
        <v>119</v>
      </c>
      <c r="D31" s="45"/>
      <c r="E31" s="38"/>
      <c r="F31" s="58">
        <v>12</v>
      </c>
      <c r="G31" s="27">
        <v>14</v>
      </c>
      <c r="H31" s="27"/>
      <c r="I31" s="32">
        <v>14</v>
      </c>
      <c r="J31" s="28"/>
      <c r="K31" s="56">
        <f t="shared" si="1"/>
        <v>13.333333333333334</v>
      </c>
      <c r="L31" s="166" t="str">
        <f t="shared" si="2"/>
        <v>TRANSITA</v>
      </c>
      <c r="M31" s="59">
        <v>6</v>
      </c>
      <c r="N31" s="27">
        <v>18</v>
      </c>
      <c r="O31" s="27"/>
      <c r="P31" s="32">
        <v>16</v>
      </c>
      <c r="Q31" s="28"/>
      <c r="R31" s="56">
        <f t="shared" si="3"/>
        <v>13.333333333333334</v>
      </c>
      <c r="S31" s="166" t="str">
        <f t="shared" si="4"/>
        <v>TRANSITA</v>
      </c>
      <c r="T31" s="59"/>
      <c r="U31" s="27"/>
      <c r="V31" s="27"/>
      <c r="W31" s="32" t="e">
        <f t="shared" si="5"/>
        <v>#DIV/0!</v>
      </c>
      <c r="X31" s="28"/>
      <c r="Y31" s="56" t="e">
        <f t="shared" si="6"/>
        <v>#DIV/0!</v>
      </c>
      <c r="Z31" s="48" t="e">
        <f t="shared" si="0"/>
        <v>#DIV/0!</v>
      </c>
      <c r="AA31" s="41" t="e">
        <f t="shared" si="7"/>
        <v>#DIV/0!</v>
      </c>
      <c r="AB31" s="62"/>
      <c r="AC31" s="51">
        <f t="shared" si="26"/>
        <v>0</v>
      </c>
      <c r="AD31" s="65" t="e">
        <f t="shared" si="27"/>
        <v>#DIV/0!</v>
      </c>
      <c r="AE31" s="162" t="e">
        <f t="shared" si="10"/>
        <v>#DIV/0!</v>
      </c>
    </row>
    <row r="32" spans="2:31" ht="15.75" customHeight="1" x14ac:dyDescent="0.3">
      <c r="B32" s="35">
        <v>23</v>
      </c>
      <c r="C32" s="197" t="s">
        <v>120</v>
      </c>
      <c r="D32" s="45"/>
      <c r="E32" s="38"/>
      <c r="F32" s="58">
        <v>12</v>
      </c>
      <c r="G32" s="27">
        <v>15</v>
      </c>
      <c r="H32" s="27"/>
      <c r="I32" s="32">
        <v>14</v>
      </c>
      <c r="J32" s="28"/>
      <c r="K32" s="56">
        <f t="shared" si="1"/>
        <v>13.666666666666666</v>
      </c>
      <c r="L32" s="166" t="str">
        <f t="shared" si="2"/>
        <v>TRANSITA</v>
      </c>
      <c r="M32" s="59">
        <v>5</v>
      </c>
      <c r="N32" s="27">
        <v>14.5</v>
      </c>
      <c r="O32" s="27"/>
      <c r="P32" s="32">
        <v>18</v>
      </c>
      <c r="Q32" s="28"/>
      <c r="R32" s="56">
        <f t="shared" si="3"/>
        <v>12.5</v>
      </c>
      <c r="S32" s="166" t="str">
        <f t="shared" si="4"/>
        <v>TRANSITA</v>
      </c>
      <c r="T32" s="59"/>
      <c r="U32" s="27"/>
      <c r="V32" s="27"/>
      <c r="W32" s="32" t="e">
        <f t="shared" si="5"/>
        <v>#DIV/0!</v>
      </c>
      <c r="X32" s="28"/>
      <c r="Y32" s="56" t="e">
        <f t="shared" si="6"/>
        <v>#DIV/0!</v>
      </c>
      <c r="Z32" s="48" t="e">
        <f t="shared" si="0"/>
        <v>#DIV/0!</v>
      </c>
      <c r="AA32" s="41" t="e">
        <f t="shared" si="7"/>
        <v>#DIV/0!</v>
      </c>
      <c r="AB32" s="62"/>
      <c r="AC32" s="51">
        <f t="shared" si="26"/>
        <v>0</v>
      </c>
      <c r="AD32" s="65" t="e">
        <f t="shared" si="27"/>
        <v>#DIV/0!</v>
      </c>
      <c r="AE32" s="162" t="e">
        <f t="shared" si="10"/>
        <v>#DIV/0!</v>
      </c>
    </row>
    <row r="33" spans="2:31" ht="15.75" customHeight="1" x14ac:dyDescent="0.3">
      <c r="B33" s="35">
        <v>24</v>
      </c>
      <c r="C33" s="197" t="s">
        <v>121</v>
      </c>
      <c r="D33" s="45"/>
      <c r="E33" s="38"/>
      <c r="F33" s="58">
        <v>12</v>
      </c>
      <c r="G33" s="27">
        <v>8</v>
      </c>
      <c r="H33" s="27"/>
      <c r="I33" s="32">
        <v>6.5</v>
      </c>
      <c r="J33" s="28"/>
      <c r="K33" s="56">
        <f t="shared" si="1"/>
        <v>8.8333333333333339</v>
      </c>
      <c r="L33" s="166" t="str">
        <f t="shared" si="2"/>
        <v>N/TRANSITA</v>
      </c>
      <c r="M33" s="59">
        <v>5</v>
      </c>
      <c r="N33" s="27">
        <v>8</v>
      </c>
      <c r="O33" s="27"/>
      <c r="P33" s="32">
        <v>14</v>
      </c>
      <c r="Q33" s="28"/>
      <c r="R33" s="56">
        <f t="shared" si="3"/>
        <v>9</v>
      </c>
      <c r="S33" s="166" t="str">
        <f t="shared" si="4"/>
        <v>N/TRANSITA</v>
      </c>
      <c r="T33" s="59"/>
      <c r="U33" s="27"/>
      <c r="V33" s="27"/>
      <c r="W33" s="32" t="e">
        <f t="shared" si="5"/>
        <v>#DIV/0!</v>
      </c>
      <c r="X33" s="28"/>
      <c r="Y33" s="56" t="e">
        <f t="shared" si="6"/>
        <v>#DIV/0!</v>
      </c>
      <c r="Z33" s="48" t="e">
        <f t="shared" si="0"/>
        <v>#DIV/0!</v>
      </c>
      <c r="AA33" s="41" t="e">
        <f t="shared" si="7"/>
        <v>#DIV/0!</v>
      </c>
      <c r="AB33" s="62"/>
      <c r="AC33" s="51">
        <f t="shared" si="26"/>
        <v>0</v>
      </c>
      <c r="AD33" s="65" t="e">
        <f t="shared" si="27"/>
        <v>#DIV/0!</v>
      </c>
      <c r="AE33" s="162" t="e">
        <f t="shared" si="10"/>
        <v>#DIV/0!</v>
      </c>
    </row>
    <row r="34" spans="2:31" ht="15.75" customHeight="1" x14ac:dyDescent="0.3">
      <c r="B34" s="35">
        <v>25</v>
      </c>
      <c r="C34" s="197" t="s">
        <v>122</v>
      </c>
      <c r="D34" s="45"/>
      <c r="E34" s="38"/>
      <c r="F34" s="58">
        <v>15</v>
      </c>
      <c r="G34" s="27">
        <v>16</v>
      </c>
      <c r="H34" s="27"/>
      <c r="I34" s="32">
        <v>19</v>
      </c>
      <c r="J34" s="28"/>
      <c r="K34" s="56">
        <f t="shared" si="1"/>
        <v>16.666666666666668</v>
      </c>
      <c r="L34" s="166" t="str">
        <f t="shared" si="2"/>
        <v>TRANSITA</v>
      </c>
      <c r="M34" s="59">
        <v>12</v>
      </c>
      <c r="N34" s="27">
        <v>19</v>
      </c>
      <c r="O34" s="27"/>
      <c r="P34" s="32">
        <v>20</v>
      </c>
      <c r="Q34" s="28"/>
      <c r="R34" s="56">
        <f t="shared" si="3"/>
        <v>17</v>
      </c>
      <c r="S34" s="166" t="str">
        <f t="shared" si="4"/>
        <v>TRANSITA</v>
      </c>
      <c r="T34" s="59"/>
      <c r="U34" s="27"/>
      <c r="V34" s="27"/>
      <c r="W34" s="32" t="e">
        <f t="shared" si="5"/>
        <v>#DIV/0!</v>
      </c>
      <c r="X34" s="28"/>
      <c r="Y34" s="56" t="e">
        <f t="shared" si="6"/>
        <v>#DIV/0!</v>
      </c>
      <c r="Z34" s="48" t="e">
        <f t="shared" si="0"/>
        <v>#DIV/0!</v>
      </c>
      <c r="AA34" s="41" t="e">
        <f t="shared" si="7"/>
        <v>#DIV/0!</v>
      </c>
      <c r="AB34" s="62"/>
      <c r="AC34" s="51">
        <f t="shared" si="26"/>
        <v>0</v>
      </c>
      <c r="AD34" s="65" t="e">
        <f t="shared" si="27"/>
        <v>#DIV/0!</v>
      </c>
      <c r="AE34" s="162" t="e">
        <f t="shared" si="10"/>
        <v>#DIV/0!</v>
      </c>
    </row>
    <row r="35" spans="2:31" ht="15.75" customHeight="1" x14ac:dyDescent="0.3">
      <c r="B35" s="35">
        <v>26</v>
      </c>
      <c r="C35" s="197" t="s">
        <v>123</v>
      </c>
      <c r="D35" s="45"/>
      <c r="E35" s="38"/>
      <c r="F35" s="58">
        <v>12</v>
      </c>
      <c r="G35" s="27">
        <v>16</v>
      </c>
      <c r="H35" s="27"/>
      <c r="I35" s="32">
        <v>10</v>
      </c>
      <c r="J35" s="28"/>
      <c r="K35" s="56">
        <f t="shared" si="1"/>
        <v>12.666666666666666</v>
      </c>
      <c r="L35" s="166" t="str">
        <f t="shared" si="2"/>
        <v>TRANSITA</v>
      </c>
      <c r="M35" s="59">
        <v>10</v>
      </c>
      <c r="N35" s="27">
        <v>17</v>
      </c>
      <c r="O35" s="27"/>
      <c r="P35" s="32">
        <v>18</v>
      </c>
      <c r="Q35" s="28"/>
      <c r="R35" s="56">
        <f t="shared" si="3"/>
        <v>15</v>
      </c>
      <c r="S35" s="166" t="str">
        <f t="shared" si="4"/>
        <v>TRANSITA</v>
      </c>
      <c r="T35" s="59"/>
      <c r="U35" s="27"/>
      <c r="V35" s="27"/>
      <c r="W35" s="32" t="e">
        <f t="shared" si="5"/>
        <v>#DIV/0!</v>
      </c>
      <c r="X35" s="28"/>
      <c r="Y35" s="56" t="e">
        <f t="shared" si="6"/>
        <v>#DIV/0!</v>
      </c>
      <c r="Z35" s="48" t="e">
        <f t="shared" si="0"/>
        <v>#DIV/0!</v>
      </c>
      <c r="AA35" s="41" t="e">
        <f t="shared" si="7"/>
        <v>#DIV/0!</v>
      </c>
      <c r="AB35" s="62"/>
      <c r="AC35" s="51">
        <f t="shared" si="26"/>
        <v>0</v>
      </c>
      <c r="AD35" s="65" t="e">
        <f t="shared" si="27"/>
        <v>#DIV/0!</v>
      </c>
      <c r="AE35" s="162" t="e">
        <f t="shared" si="10"/>
        <v>#DIV/0!</v>
      </c>
    </row>
    <row r="36" spans="2:31" ht="15.75" customHeight="1" x14ac:dyDescent="0.3">
      <c r="B36" s="35">
        <v>27</v>
      </c>
      <c r="C36" s="197" t="s">
        <v>124</v>
      </c>
      <c r="D36" s="45"/>
      <c r="E36" s="38"/>
      <c r="F36" s="58">
        <v>15</v>
      </c>
      <c r="G36" s="27">
        <v>17</v>
      </c>
      <c r="H36" s="27"/>
      <c r="I36" s="32">
        <v>19</v>
      </c>
      <c r="J36" s="28"/>
      <c r="K36" s="56">
        <f t="shared" si="1"/>
        <v>17</v>
      </c>
      <c r="L36" s="166" t="str">
        <f t="shared" si="2"/>
        <v>TRANSITA</v>
      </c>
      <c r="M36" s="59">
        <v>6</v>
      </c>
      <c r="N36" s="27">
        <v>17.5</v>
      </c>
      <c r="O36" s="27"/>
      <c r="P36" s="32">
        <v>13</v>
      </c>
      <c r="Q36" s="28"/>
      <c r="R36" s="56">
        <f t="shared" si="3"/>
        <v>12.166666666666666</v>
      </c>
      <c r="S36" s="166" t="str">
        <f t="shared" si="4"/>
        <v>TRANSITA</v>
      </c>
      <c r="T36" s="59"/>
      <c r="U36" s="27"/>
      <c r="V36" s="27"/>
      <c r="W36" s="32" t="e">
        <f t="shared" si="5"/>
        <v>#DIV/0!</v>
      </c>
      <c r="X36" s="28"/>
      <c r="Y36" s="56" t="e">
        <f t="shared" si="6"/>
        <v>#DIV/0!</v>
      </c>
      <c r="Z36" s="48" t="e">
        <f t="shared" si="0"/>
        <v>#DIV/0!</v>
      </c>
      <c r="AA36" s="41" t="e">
        <f t="shared" si="7"/>
        <v>#DIV/0!</v>
      </c>
      <c r="AB36" s="62"/>
      <c r="AC36" s="51">
        <f t="shared" si="26"/>
        <v>0</v>
      </c>
      <c r="AD36" s="65" t="e">
        <f t="shared" si="27"/>
        <v>#DIV/0!</v>
      </c>
      <c r="AE36" s="162" t="e">
        <f t="shared" si="10"/>
        <v>#DIV/0!</v>
      </c>
    </row>
    <row r="37" spans="2:31" ht="15.75" customHeight="1" x14ac:dyDescent="0.3">
      <c r="B37" s="35">
        <v>28</v>
      </c>
      <c r="C37" s="197" t="s">
        <v>125</v>
      </c>
      <c r="D37" s="45"/>
      <c r="E37" s="38"/>
      <c r="F37" s="58">
        <v>14</v>
      </c>
      <c r="G37" s="148">
        <v>17</v>
      </c>
      <c r="H37" s="148"/>
      <c r="I37" s="150">
        <v>14</v>
      </c>
      <c r="J37" s="151"/>
      <c r="K37" s="147">
        <f t="shared" si="1"/>
        <v>15</v>
      </c>
      <c r="L37" s="166" t="str">
        <f t="shared" si="2"/>
        <v>TRANSITA</v>
      </c>
      <c r="M37" s="149">
        <v>10</v>
      </c>
      <c r="N37" s="148">
        <v>16.5</v>
      </c>
      <c r="O37" s="148"/>
      <c r="P37" s="150">
        <v>14</v>
      </c>
      <c r="Q37" s="151"/>
      <c r="R37" s="147">
        <f t="shared" si="3"/>
        <v>13.5</v>
      </c>
      <c r="S37" s="166" t="str">
        <f t="shared" si="4"/>
        <v>TRANSITA</v>
      </c>
      <c r="T37" s="149"/>
      <c r="U37" s="148"/>
      <c r="V37" s="148"/>
      <c r="W37" s="32" t="e">
        <f t="shared" si="5"/>
        <v>#DIV/0!</v>
      </c>
      <c r="X37" s="151"/>
      <c r="Y37" s="147" t="e">
        <f t="shared" si="6"/>
        <v>#DIV/0!</v>
      </c>
      <c r="Z37" s="152" t="e">
        <f t="shared" si="0"/>
        <v>#DIV/0!</v>
      </c>
      <c r="AA37" s="153" t="e">
        <f t="shared" si="7"/>
        <v>#DIV/0!</v>
      </c>
      <c r="AB37" s="62"/>
      <c r="AC37" s="51">
        <f t="shared" si="26"/>
        <v>0</v>
      </c>
      <c r="AD37" s="65" t="e">
        <f t="shared" si="27"/>
        <v>#DIV/0!</v>
      </c>
      <c r="AE37" s="162" t="e">
        <f t="shared" si="10"/>
        <v>#DIV/0!</v>
      </c>
    </row>
    <row r="38" spans="2:31" ht="15.75" customHeight="1" x14ac:dyDescent="0.3">
      <c r="B38" s="35">
        <v>29</v>
      </c>
      <c r="C38" s="197" t="s">
        <v>126</v>
      </c>
      <c r="D38" s="45"/>
      <c r="E38" s="38"/>
      <c r="F38" s="58">
        <v>12</v>
      </c>
      <c r="G38" s="27">
        <v>8</v>
      </c>
      <c r="H38" s="27"/>
      <c r="I38" s="32">
        <v>13.5</v>
      </c>
      <c r="J38" s="28"/>
      <c r="K38" s="56">
        <f t="shared" si="1"/>
        <v>11.166666666666666</v>
      </c>
      <c r="L38" s="166" t="str">
        <f t="shared" si="2"/>
        <v>TRANSITA</v>
      </c>
      <c r="M38" s="59">
        <v>5</v>
      </c>
      <c r="N38" s="27">
        <v>16</v>
      </c>
      <c r="O38" s="27"/>
      <c r="P38" s="32">
        <v>15</v>
      </c>
      <c r="Q38" s="28"/>
      <c r="R38" s="56">
        <f t="shared" si="3"/>
        <v>12</v>
      </c>
      <c r="S38" s="166" t="str">
        <f t="shared" si="4"/>
        <v>TRANSITA</v>
      </c>
      <c r="T38" s="59"/>
      <c r="U38" s="27"/>
      <c r="V38" s="27"/>
      <c r="W38" s="32" t="e">
        <f t="shared" si="5"/>
        <v>#DIV/0!</v>
      </c>
      <c r="X38" s="28"/>
      <c r="Y38" s="56" t="e">
        <f t="shared" si="6"/>
        <v>#DIV/0!</v>
      </c>
      <c r="Z38" s="48" t="e">
        <f t="shared" si="0"/>
        <v>#DIV/0!</v>
      </c>
      <c r="AA38" s="41" t="e">
        <f t="shared" si="7"/>
        <v>#DIV/0!</v>
      </c>
      <c r="AB38" s="62"/>
      <c r="AC38" s="51">
        <f t="shared" si="26"/>
        <v>0</v>
      </c>
      <c r="AD38" s="65" t="e">
        <f t="shared" si="27"/>
        <v>#DIV/0!</v>
      </c>
      <c r="AE38" s="162" t="e">
        <f t="shared" si="10"/>
        <v>#DIV/0!</v>
      </c>
    </row>
    <row r="39" spans="2:31" ht="15.75" customHeight="1" x14ac:dyDescent="0.3">
      <c r="B39" s="35">
        <v>30</v>
      </c>
      <c r="C39" s="197" t="s">
        <v>127</v>
      </c>
      <c r="D39" s="45"/>
      <c r="E39" s="38"/>
      <c r="F39" s="58">
        <v>16</v>
      </c>
      <c r="G39" s="27">
        <v>15</v>
      </c>
      <c r="H39" s="27"/>
      <c r="I39" s="32">
        <v>20</v>
      </c>
      <c r="J39" s="28"/>
      <c r="K39" s="56">
        <f t="shared" si="1"/>
        <v>17</v>
      </c>
      <c r="L39" s="166" t="str">
        <f t="shared" si="2"/>
        <v>TRANSITA</v>
      </c>
      <c r="M39" s="59">
        <v>20</v>
      </c>
      <c r="N39" s="27">
        <v>20</v>
      </c>
      <c r="O39" s="27"/>
      <c r="P39" s="32">
        <v>20</v>
      </c>
      <c r="Q39" s="28"/>
      <c r="R39" s="56">
        <f t="shared" si="3"/>
        <v>20</v>
      </c>
      <c r="S39" s="166" t="str">
        <f t="shared" si="4"/>
        <v>TRANSITA</v>
      </c>
      <c r="T39" s="59"/>
      <c r="U39" s="27"/>
      <c r="V39" s="27"/>
      <c r="W39" s="32" t="e">
        <f t="shared" si="5"/>
        <v>#DIV/0!</v>
      </c>
      <c r="X39" s="28"/>
      <c r="Y39" s="56" t="e">
        <f t="shared" si="6"/>
        <v>#DIV/0!</v>
      </c>
      <c r="Z39" s="48" t="e">
        <f t="shared" si="0"/>
        <v>#DIV/0!</v>
      </c>
      <c r="AA39" s="41" t="e">
        <f t="shared" si="7"/>
        <v>#DIV/0!</v>
      </c>
      <c r="AB39" s="62"/>
      <c r="AC39" s="51">
        <f t="shared" si="26"/>
        <v>0</v>
      </c>
      <c r="AD39" s="65" t="e">
        <f t="shared" si="27"/>
        <v>#DIV/0!</v>
      </c>
      <c r="AE39" s="162" t="e">
        <f t="shared" si="10"/>
        <v>#DIV/0!</v>
      </c>
    </row>
    <row r="40" spans="2:31" ht="15.75" customHeight="1" x14ac:dyDescent="0.3">
      <c r="B40" s="35">
        <v>31</v>
      </c>
      <c r="C40" s="197" t="s">
        <v>128</v>
      </c>
      <c r="D40" s="45"/>
      <c r="E40" s="38"/>
      <c r="F40" s="58">
        <v>12</v>
      </c>
      <c r="G40" s="27">
        <v>14</v>
      </c>
      <c r="H40" s="27"/>
      <c r="I40" s="32">
        <v>17.5</v>
      </c>
      <c r="J40" s="28"/>
      <c r="K40" s="56">
        <f t="shared" si="1"/>
        <v>14.5</v>
      </c>
      <c r="L40" s="166" t="str">
        <f t="shared" si="2"/>
        <v>TRANSITA</v>
      </c>
      <c r="M40" s="59">
        <v>14</v>
      </c>
      <c r="N40" s="27">
        <v>20</v>
      </c>
      <c r="O40" s="27"/>
      <c r="P40" s="32">
        <v>14</v>
      </c>
      <c r="Q40" s="28"/>
      <c r="R40" s="56">
        <f t="shared" si="3"/>
        <v>16</v>
      </c>
      <c r="S40" s="166" t="str">
        <f t="shared" si="4"/>
        <v>TRANSITA</v>
      </c>
      <c r="T40" s="59"/>
      <c r="U40" s="27"/>
      <c r="V40" s="27"/>
      <c r="W40" s="32" t="e">
        <f t="shared" si="5"/>
        <v>#DIV/0!</v>
      </c>
      <c r="X40" s="28"/>
      <c r="Y40" s="56" t="e">
        <f t="shared" si="6"/>
        <v>#DIV/0!</v>
      </c>
      <c r="Z40" s="48" t="e">
        <f t="shared" si="0"/>
        <v>#DIV/0!</v>
      </c>
      <c r="AA40" s="41" t="e">
        <f t="shared" si="7"/>
        <v>#DIV/0!</v>
      </c>
      <c r="AB40" s="62"/>
      <c r="AC40" s="51">
        <f t="shared" si="11"/>
        <v>0</v>
      </c>
      <c r="AD40" s="65" t="e">
        <f t="shared" si="12"/>
        <v>#DIV/0!</v>
      </c>
      <c r="AE40" s="162" t="e">
        <f t="shared" si="10"/>
        <v>#DIV/0!</v>
      </c>
    </row>
    <row r="41" spans="2:31" ht="15.75" customHeight="1" x14ac:dyDescent="0.3">
      <c r="B41" s="35">
        <v>32</v>
      </c>
      <c r="C41" s="197" t="s">
        <v>142</v>
      </c>
      <c r="D41" s="45"/>
      <c r="E41" s="38"/>
      <c r="F41" s="58">
        <v>14</v>
      </c>
      <c r="G41" s="27">
        <v>16</v>
      </c>
      <c r="H41" s="27"/>
      <c r="I41" s="32">
        <v>18</v>
      </c>
      <c r="J41" s="28"/>
      <c r="K41" s="56">
        <f t="shared" si="1"/>
        <v>16</v>
      </c>
      <c r="L41" s="166" t="str">
        <f t="shared" si="2"/>
        <v>TRANSITA</v>
      </c>
      <c r="M41" s="59">
        <v>12</v>
      </c>
      <c r="N41" s="27">
        <v>18</v>
      </c>
      <c r="O41" s="27"/>
      <c r="P41" s="32">
        <v>16</v>
      </c>
      <c r="Q41" s="28"/>
      <c r="R41" s="56">
        <f t="shared" ref="R41" si="32">AVERAGE(M41,MAX(N41:O41),MAX(P41:Q41))</f>
        <v>15.333333333333334</v>
      </c>
      <c r="S41" s="166" t="str">
        <f t="shared" ref="S41" si="33">IF(R41&gt;=10,"TRANSITA","N/TRANSITA")</f>
        <v>TRANSITA</v>
      </c>
      <c r="T41" s="59"/>
      <c r="U41" s="27"/>
      <c r="V41" s="27"/>
      <c r="W41" s="32" t="e">
        <f t="shared" ref="W41" si="34">AVERAGE(T41:U41)</f>
        <v>#DIV/0!</v>
      </c>
      <c r="X41" s="28"/>
      <c r="Y41" s="56" t="e">
        <f t="shared" ref="Y41" si="35">AVERAGE(T41,MAX(U41:V41),MAX(W41:X41))</f>
        <v>#DIV/0!</v>
      </c>
      <c r="Z41" s="48" t="e">
        <f t="shared" ref="Z41" si="36">SUM(K41,R41,Y41)/3</f>
        <v>#DIV/0!</v>
      </c>
      <c r="AA41" s="41" t="e">
        <f t="shared" ref="AA41" si="37">Z41*0.4</f>
        <v>#DIV/0!</v>
      </c>
      <c r="AB41" s="62"/>
      <c r="AC41" s="51">
        <f t="shared" ref="AC41" si="38">AB41*0.6</f>
        <v>0</v>
      </c>
      <c r="AD41" s="65" t="e">
        <f t="shared" ref="AD41" si="39">AVERAGE(AA41+AC41)</f>
        <v>#DIV/0!</v>
      </c>
      <c r="AE41" s="162"/>
    </row>
    <row r="42" spans="2:31" ht="15.75" customHeight="1" x14ac:dyDescent="0.3">
      <c r="B42" s="35">
        <v>33</v>
      </c>
      <c r="C42" s="197" t="s">
        <v>129</v>
      </c>
      <c r="D42" s="45"/>
      <c r="E42" s="38"/>
      <c r="F42" s="58">
        <v>12</v>
      </c>
      <c r="G42" s="27">
        <v>9</v>
      </c>
      <c r="H42" s="27"/>
      <c r="I42" s="32">
        <v>17</v>
      </c>
      <c r="J42" s="28"/>
      <c r="K42" s="56">
        <f t="shared" si="1"/>
        <v>12.666666666666666</v>
      </c>
      <c r="L42" s="166" t="str">
        <f t="shared" si="2"/>
        <v>TRANSITA</v>
      </c>
      <c r="M42" s="59">
        <v>8</v>
      </c>
      <c r="N42" s="27">
        <v>16</v>
      </c>
      <c r="O42" s="27"/>
      <c r="P42" s="32">
        <v>16</v>
      </c>
      <c r="Q42" s="28"/>
      <c r="R42" s="56">
        <f t="shared" si="3"/>
        <v>13.333333333333334</v>
      </c>
      <c r="S42" s="166" t="str">
        <f t="shared" si="4"/>
        <v>TRANSITA</v>
      </c>
      <c r="T42" s="59"/>
      <c r="U42" s="27"/>
      <c r="V42" s="27"/>
      <c r="W42" s="32" t="e">
        <f t="shared" si="5"/>
        <v>#DIV/0!</v>
      </c>
      <c r="X42" s="28"/>
      <c r="Y42" s="56" t="e">
        <f t="shared" si="6"/>
        <v>#DIV/0!</v>
      </c>
      <c r="Z42" s="48" t="e">
        <f t="shared" si="0"/>
        <v>#DIV/0!</v>
      </c>
      <c r="AA42" s="41" t="e">
        <f t="shared" si="7"/>
        <v>#DIV/0!</v>
      </c>
      <c r="AB42" s="62"/>
      <c r="AC42" s="51">
        <f t="shared" si="11"/>
        <v>0</v>
      </c>
      <c r="AD42" s="65" t="e">
        <f t="shared" si="12"/>
        <v>#DIV/0!</v>
      </c>
      <c r="AE42" s="162" t="e">
        <f t="shared" si="10"/>
        <v>#DIV/0!</v>
      </c>
    </row>
    <row r="43" spans="2:31" ht="15.75" customHeight="1" x14ac:dyDescent="0.3">
      <c r="B43" s="35">
        <v>34</v>
      </c>
      <c r="C43" s="197" t="s">
        <v>130</v>
      </c>
      <c r="D43" s="45"/>
      <c r="E43" s="38"/>
      <c r="F43" s="58">
        <v>12</v>
      </c>
      <c r="G43" s="27">
        <v>14</v>
      </c>
      <c r="H43" s="27"/>
      <c r="I43" s="32">
        <v>18</v>
      </c>
      <c r="J43" s="28"/>
      <c r="K43" s="56">
        <f t="shared" si="1"/>
        <v>14.666666666666666</v>
      </c>
      <c r="L43" s="166" t="str">
        <f t="shared" si="2"/>
        <v>TRANSITA</v>
      </c>
      <c r="M43" s="59">
        <v>5</v>
      </c>
      <c r="N43" s="27">
        <v>19</v>
      </c>
      <c r="O43" s="27"/>
      <c r="P43" s="32">
        <v>13</v>
      </c>
      <c r="Q43" s="28"/>
      <c r="R43" s="56">
        <f t="shared" si="3"/>
        <v>12.333333333333334</v>
      </c>
      <c r="S43" s="166" t="str">
        <f t="shared" si="4"/>
        <v>TRANSITA</v>
      </c>
      <c r="T43" s="59"/>
      <c r="U43" s="27"/>
      <c r="V43" s="27"/>
      <c r="W43" s="32" t="e">
        <f t="shared" si="5"/>
        <v>#DIV/0!</v>
      </c>
      <c r="X43" s="28"/>
      <c r="Y43" s="56" t="e">
        <f t="shared" si="6"/>
        <v>#DIV/0!</v>
      </c>
      <c r="Z43" s="48" t="e">
        <f t="shared" si="0"/>
        <v>#DIV/0!</v>
      </c>
      <c r="AA43" s="41" t="e">
        <f t="shared" si="7"/>
        <v>#DIV/0!</v>
      </c>
      <c r="AB43" s="62"/>
      <c r="AC43" s="51">
        <f t="shared" ref="AC43:AC44" si="40">AB43*0.6</f>
        <v>0</v>
      </c>
      <c r="AD43" s="65" t="e">
        <f t="shared" ref="AD43:AD44" si="41">AVERAGE(AA43+AC43)</f>
        <v>#DIV/0!</v>
      </c>
      <c r="AE43" s="162" t="e">
        <f t="shared" si="10"/>
        <v>#DIV/0!</v>
      </c>
    </row>
    <row r="44" spans="2:31" ht="15.75" customHeight="1" x14ac:dyDescent="0.3">
      <c r="B44" s="35">
        <v>35</v>
      </c>
      <c r="C44" s="197" t="s">
        <v>131</v>
      </c>
      <c r="D44" s="45"/>
      <c r="E44" s="38"/>
      <c r="F44" s="58">
        <v>12</v>
      </c>
      <c r="G44" s="27">
        <v>15</v>
      </c>
      <c r="H44" s="27"/>
      <c r="I44" s="32">
        <v>18</v>
      </c>
      <c r="J44" s="28"/>
      <c r="K44" s="56">
        <f t="shared" si="1"/>
        <v>15</v>
      </c>
      <c r="L44" s="166" t="str">
        <f t="shared" si="2"/>
        <v>TRANSITA</v>
      </c>
      <c r="M44" s="59">
        <v>12</v>
      </c>
      <c r="N44" s="27">
        <v>20</v>
      </c>
      <c r="O44" s="27"/>
      <c r="P44" s="32">
        <v>18</v>
      </c>
      <c r="Q44" s="28"/>
      <c r="R44" s="56">
        <f t="shared" si="3"/>
        <v>16.666666666666668</v>
      </c>
      <c r="S44" s="166" t="str">
        <f t="shared" si="4"/>
        <v>TRANSITA</v>
      </c>
      <c r="T44" s="59"/>
      <c r="U44" s="27"/>
      <c r="V44" s="27"/>
      <c r="W44" s="32" t="e">
        <f t="shared" si="5"/>
        <v>#DIV/0!</v>
      </c>
      <c r="X44" s="28"/>
      <c r="Y44" s="56" t="e">
        <f t="shared" si="6"/>
        <v>#DIV/0!</v>
      </c>
      <c r="Z44" s="48" t="e">
        <f t="shared" si="0"/>
        <v>#DIV/0!</v>
      </c>
      <c r="AA44" s="41" t="e">
        <f t="shared" si="7"/>
        <v>#DIV/0!</v>
      </c>
      <c r="AB44" s="62"/>
      <c r="AC44" s="51">
        <f t="shared" si="40"/>
        <v>0</v>
      </c>
      <c r="AD44" s="65" t="e">
        <f t="shared" si="41"/>
        <v>#DIV/0!</v>
      </c>
      <c r="AE44" s="162" t="e">
        <f t="shared" si="10"/>
        <v>#DIV/0!</v>
      </c>
    </row>
    <row r="45" spans="2:31" ht="15.75" customHeight="1" x14ac:dyDescent="0.3">
      <c r="B45" s="35">
        <v>36</v>
      </c>
      <c r="C45" s="197" t="s">
        <v>132</v>
      </c>
      <c r="D45" s="45"/>
      <c r="E45" s="38"/>
      <c r="F45" s="58">
        <v>12</v>
      </c>
      <c r="G45" s="27">
        <v>16</v>
      </c>
      <c r="H45" s="27"/>
      <c r="I45" s="32">
        <v>19</v>
      </c>
      <c r="J45" s="28"/>
      <c r="K45" s="56">
        <f t="shared" si="1"/>
        <v>15.666666666666666</v>
      </c>
      <c r="L45" s="166" t="str">
        <f t="shared" si="2"/>
        <v>TRANSITA</v>
      </c>
      <c r="M45" s="59">
        <v>12</v>
      </c>
      <c r="N45" s="27">
        <v>18.5</v>
      </c>
      <c r="O45" s="27"/>
      <c r="P45" s="32">
        <v>13</v>
      </c>
      <c r="Q45" s="28"/>
      <c r="R45" s="56">
        <f t="shared" si="3"/>
        <v>14.5</v>
      </c>
      <c r="S45" s="166" t="str">
        <f t="shared" si="4"/>
        <v>TRANSITA</v>
      </c>
      <c r="T45" s="59"/>
      <c r="U45" s="27"/>
      <c r="V45" s="27"/>
      <c r="W45" s="32" t="e">
        <f t="shared" si="5"/>
        <v>#DIV/0!</v>
      </c>
      <c r="X45" s="28"/>
      <c r="Y45" s="56" t="e">
        <f t="shared" si="6"/>
        <v>#DIV/0!</v>
      </c>
      <c r="Z45" s="48" t="e">
        <f t="shared" si="0"/>
        <v>#DIV/0!</v>
      </c>
      <c r="AA45" s="41" t="e">
        <f t="shared" si="7"/>
        <v>#DIV/0!</v>
      </c>
      <c r="AB45" s="62"/>
      <c r="AC45" s="51">
        <f t="shared" si="11"/>
        <v>0</v>
      </c>
      <c r="AD45" s="65" t="e">
        <f t="shared" si="12"/>
        <v>#DIV/0!</v>
      </c>
      <c r="AE45" s="162" t="e">
        <f t="shared" si="10"/>
        <v>#DIV/0!</v>
      </c>
    </row>
    <row r="46" spans="2:31" ht="15.75" customHeight="1" x14ac:dyDescent="0.3">
      <c r="B46" s="35">
        <v>37</v>
      </c>
      <c r="C46" s="197" t="s">
        <v>133</v>
      </c>
      <c r="D46" s="45"/>
      <c r="E46" s="38"/>
      <c r="F46" s="58">
        <v>15</v>
      </c>
      <c r="G46" s="27">
        <v>15</v>
      </c>
      <c r="H46" s="27"/>
      <c r="I46" s="32">
        <v>18</v>
      </c>
      <c r="J46" s="28"/>
      <c r="K46" s="56">
        <f t="shared" si="1"/>
        <v>16</v>
      </c>
      <c r="L46" s="166" t="str">
        <f t="shared" si="2"/>
        <v>TRANSITA</v>
      </c>
      <c r="M46" s="59">
        <v>19</v>
      </c>
      <c r="N46" s="27">
        <v>20</v>
      </c>
      <c r="O46" s="27"/>
      <c r="P46" s="32">
        <v>18</v>
      </c>
      <c r="Q46" s="28"/>
      <c r="R46" s="56">
        <f t="shared" si="3"/>
        <v>19</v>
      </c>
      <c r="S46" s="166" t="str">
        <f t="shared" si="4"/>
        <v>TRANSITA</v>
      </c>
      <c r="T46" s="59"/>
      <c r="U46" s="27"/>
      <c r="V46" s="27"/>
      <c r="W46" s="32" t="e">
        <f t="shared" si="5"/>
        <v>#DIV/0!</v>
      </c>
      <c r="X46" s="28"/>
      <c r="Y46" s="56" t="e">
        <f t="shared" si="6"/>
        <v>#DIV/0!</v>
      </c>
      <c r="Z46" s="48" t="e">
        <f t="shared" si="0"/>
        <v>#DIV/0!</v>
      </c>
      <c r="AA46" s="41" t="e">
        <f t="shared" si="7"/>
        <v>#DIV/0!</v>
      </c>
      <c r="AB46" s="62"/>
      <c r="AC46" s="51">
        <f t="shared" ref="AC46:AC51" si="42">AB46*0.6</f>
        <v>0</v>
      </c>
      <c r="AD46" s="65" t="e">
        <f t="shared" ref="AD46:AD51" si="43">AVERAGE(AA46+AC46)</f>
        <v>#DIV/0!</v>
      </c>
      <c r="AE46" s="162" t="e">
        <f t="shared" si="10"/>
        <v>#DIV/0!</v>
      </c>
    </row>
    <row r="47" spans="2:31" ht="15.75" customHeight="1" x14ac:dyDescent="0.3">
      <c r="B47" s="35">
        <v>38</v>
      </c>
      <c r="C47" s="197" t="s">
        <v>134</v>
      </c>
      <c r="D47" s="45"/>
      <c r="E47" s="38"/>
      <c r="F47" s="58">
        <v>12</v>
      </c>
      <c r="G47" s="27">
        <v>13</v>
      </c>
      <c r="H47" s="27"/>
      <c r="I47" s="32">
        <v>4</v>
      </c>
      <c r="J47" s="28"/>
      <c r="K47" s="56">
        <f t="shared" si="1"/>
        <v>9.6666666666666661</v>
      </c>
      <c r="L47" s="166" t="str">
        <f t="shared" si="2"/>
        <v>N/TRANSITA</v>
      </c>
      <c r="M47" s="59">
        <v>5</v>
      </c>
      <c r="N47" s="27">
        <v>1</v>
      </c>
      <c r="O47" s="27"/>
      <c r="P47" s="32">
        <v>9</v>
      </c>
      <c r="Q47" s="28"/>
      <c r="R47" s="56">
        <f t="shared" si="3"/>
        <v>5</v>
      </c>
      <c r="S47" s="166" t="str">
        <f t="shared" si="4"/>
        <v>N/TRANSITA</v>
      </c>
      <c r="T47" s="59"/>
      <c r="U47" s="27"/>
      <c r="V47" s="27"/>
      <c r="W47" s="32" t="e">
        <f t="shared" si="5"/>
        <v>#DIV/0!</v>
      </c>
      <c r="X47" s="28"/>
      <c r="Y47" s="56" t="e">
        <f t="shared" si="6"/>
        <v>#DIV/0!</v>
      </c>
      <c r="Z47" s="48" t="e">
        <f t="shared" si="0"/>
        <v>#DIV/0!</v>
      </c>
      <c r="AA47" s="41" t="e">
        <f t="shared" si="7"/>
        <v>#DIV/0!</v>
      </c>
      <c r="AB47" s="62"/>
      <c r="AC47" s="51">
        <f t="shared" si="42"/>
        <v>0</v>
      </c>
      <c r="AD47" s="65" t="e">
        <f t="shared" si="43"/>
        <v>#DIV/0!</v>
      </c>
      <c r="AE47" s="162" t="e">
        <f t="shared" si="10"/>
        <v>#DIV/0!</v>
      </c>
    </row>
    <row r="48" spans="2:31" ht="15.75" customHeight="1" x14ac:dyDescent="0.3">
      <c r="B48" s="35">
        <v>39</v>
      </c>
      <c r="C48" s="197" t="s">
        <v>135</v>
      </c>
      <c r="D48" s="45"/>
      <c r="E48" s="38"/>
      <c r="F48" s="58">
        <v>12</v>
      </c>
      <c r="G48" s="27">
        <v>16</v>
      </c>
      <c r="H48" s="27"/>
      <c r="I48" s="32">
        <v>17.5</v>
      </c>
      <c r="J48" s="28"/>
      <c r="K48" s="56">
        <f t="shared" si="1"/>
        <v>15.166666666666666</v>
      </c>
      <c r="L48" s="166" t="str">
        <f t="shared" si="2"/>
        <v>TRANSITA</v>
      </c>
      <c r="M48" s="59">
        <v>12</v>
      </c>
      <c r="N48" s="27">
        <v>18.5</v>
      </c>
      <c r="O48" s="27"/>
      <c r="P48" s="32">
        <v>12</v>
      </c>
      <c r="Q48" s="28"/>
      <c r="R48" s="56">
        <f t="shared" si="3"/>
        <v>14.166666666666666</v>
      </c>
      <c r="S48" s="166" t="str">
        <f t="shared" si="4"/>
        <v>TRANSITA</v>
      </c>
      <c r="T48" s="59"/>
      <c r="U48" s="27"/>
      <c r="V48" s="27"/>
      <c r="W48" s="32" t="e">
        <f t="shared" si="5"/>
        <v>#DIV/0!</v>
      </c>
      <c r="X48" s="28"/>
      <c r="Y48" s="56" t="e">
        <f t="shared" si="6"/>
        <v>#DIV/0!</v>
      </c>
      <c r="Z48" s="48" t="e">
        <f t="shared" si="0"/>
        <v>#DIV/0!</v>
      </c>
      <c r="AA48" s="41" t="e">
        <f t="shared" si="7"/>
        <v>#DIV/0!</v>
      </c>
      <c r="AB48" s="62"/>
      <c r="AC48" s="51">
        <f t="shared" si="42"/>
        <v>0</v>
      </c>
      <c r="AD48" s="65" t="e">
        <f t="shared" si="43"/>
        <v>#DIV/0!</v>
      </c>
      <c r="AE48" s="162" t="e">
        <f t="shared" si="10"/>
        <v>#DIV/0!</v>
      </c>
    </row>
    <row r="49" spans="1:31" ht="15.75" customHeight="1" x14ac:dyDescent="0.3">
      <c r="B49" s="35">
        <v>40</v>
      </c>
      <c r="C49" s="197" t="s">
        <v>136</v>
      </c>
      <c r="D49" s="45">
        <v>0</v>
      </c>
      <c r="E49" s="38"/>
      <c r="F49" s="58">
        <v>17</v>
      </c>
      <c r="G49" s="27">
        <v>16</v>
      </c>
      <c r="H49" s="27"/>
      <c r="I49" s="32">
        <v>18</v>
      </c>
      <c r="J49" s="28"/>
      <c r="K49" s="56">
        <f t="shared" si="1"/>
        <v>17</v>
      </c>
      <c r="L49" s="166" t="str">
        <f t="shared" si="2"/>
        <v>TRANSITA</v>
      </c>
      <c r="M49" s="59">
        <v>20</v>
      </c>
      <c r="N49" s="27">
        <v>20</v>
      </c>
      <c r="O49" s="27"/>
      <c r="P49" s="32">
        <v>20</v>
      </c>
      <c r="Q49" s="28"/>
      <c r="R49" s="56">
        <f t="shared" si="3"/>
        <v>20</v>
      </c>
      <c r="S49" s="166" t="str">
        <f t="shared" si="4"/>
        <v>TRANSITA</v>
      </c>
      <c r="T49" s="59"/>
      <c r="U49" s="27"/>
      <c r="V49" s="27"/>
      <c r="W49" s="32" t="e">
        <f t="shared" si="5"/>
        <v>#DIV/0!</v>
      </c>
      <c r="X49" s="28"/>
      <c r="Y49" s="56" t="e">
        <f t="shared" si="6"/>
        <v>#DIV/0!</v>
      </c>
      <c r="Z49" s="48" t="e">
        <f t="shared" si="0"/>
        <v>#DIV/0!</v>
      </c>
      <c r="AA49" s="41" t="e">
        <f t="shared" si="7"/>
        <v>#DIV/0!</v>
      </c>
      <c r="AB49" s="62"/>
      <c r="AC49" s="51">
        <f t="shared" ref="AC49:AC50" si="44">AB49*0.6</f>
        <v>0</v>
      </c>
      <c r="AD49" s="65" t="e">
        <f t="shared" ref="AD49:AD50" si="45">AVERAGE(AA49+AC49)</f>
        <v>#DIV/0!</v>
      </c>
      <c r="AE49" s="162" t="e">
        <f t="shared" si="10"/>
        <v>#DIV/0!</v>
      </c>
    </row>
    <row r="50" spans="1:31" ht="15.75" customHeight="1" x14ac:dyDescent="0.3">
      <c r="B50" s="35">
        <v>41</v>
      </c>
      <c r="C50" s="197" t="s">
        <v>137</v>
      </c>
      <c r="D50" s="45"/>
      <c r="E50" s="38"/>
      <c r="F50" s="58">
        <v>15</v>
      </c>
      <c r="G50" s="27">
        <v>15</v>
      </c>
      <c r="H50" s="27"/>
      <c r="I50" s="32">
        <v>18</v>
      </c>
      <c r="J50" s="28"/>
      <c r="K50" s="56">
        <f t="shared" si="1"/>
        <v>16</v>
      </c>
      <c r="L50" s="166" t="str">
        <f t="shared" si="2"/>
        <v>TRANSITA</v>
      </c>
      <c r="M50" s="59">
        <v>10</v>
      </c>
      <c r="N50" s="27">
        <v>15</v>
      </c>
      <c r="O50" s="27"/>
      <c r="P50" s="32">
        <v>18</v>
      </c>
      <c r="Q50" s="28"/>
      <c r="R50" s="56">
        <f t="shared" si="3"/>
        <v>14.333333333333334</v>
      </c>
      <c r="S50" s="166" t="str">
        <f t="shared" si="4"/>
        <v>TRANSITA</v>
      </c>
      <c r="T50" s="59"/>
      <c r="U50" s="27"/>
      <c r="V50" s="27"/>
      <c r="W50" s="32" t="e">
        <f t="shared" si="5"/>
        <v>#DIV/0!</v>
      </c>
      <c r="X50" s="28"/>
      <c r="Y50" s="56" t="e">
        <f t="shared" si="6"/>
        <v>#DIV/0!</v>
      </c>
      <c r="Z50" s="48" t="e">
        <f t="shared" si="0"/>
        <v>#DIV/0!</v>
      </c>
      <c r="AA50" s="41" t="e">
        <f t="shared" si="7"/>
        <v>#DIV/0!</v>
      </c>
      <c r="AB50" s="62"/>
      <c r="AC50" s="51">
        <f t="shared" si="44"/>
        <v>0</v>
      </c>
      <c r="AD50" s="65" t="e">
        <f t="shared" si="45"/>
        <v>#DIV/0!</v>
      </c>
      <c r="AE50" s="162" t="e">
        <f t="shared" si="10"/>
        <v>#DIV/0!</v>
      </c>
    </row>
    <row r="51" spans="1:31" ht="15.75" customHeight="1" thickBot="1" x14ac:dyDescent="0.35">
      <c r="B51" s="35">
        <v>42</v>
      </c>
      <c r="C51" s="198" t="s">
        <v>138</v>
      </c>
      <c r="D51" s="46"/>
      <c r="E51" s="39"/>
      <c r="F51" s="58">
        <v>14</v>
      </c>
      <c r="G51" s="29">
        <v>15</v>
      </c>
      <c r="H51" s="29"/>
      <c r="I51" s="137">
        <v>16.5</v>
      </c>
      <c r="J51" s="30"/>
      <c r="K51" s="57">
        <f t="shared" si="1"/>
        <v>15.166666666666666</v>
      </c>
      <c r="L51" s="167" t="str">
        <f t="shared" si="2"/>
        <v>TRANSITA</v>
      </c>
      <c r="M51" s="60">
        <v>12</v>
      </c>
      <c r="N51" s="29">
        <v>18</v>
      </c>
      <c r="O51" s="29"/>
      <c r="P51" s="137">
        <v>15</v>
      </c>
      <c r="Q51" s="30"/>
      <c r="R51" s="57">
        <f t="shared" si="3"/>
        <v>15</v>
      </c>
      <c r="S51" s="167" t="str">
        <f t="shared" si="4"/>
        <v>TRANSITA</v>
      </c>
      <c r="T51" s="60"/>
      <c r="U51" s="29"/>
      <c r="V51" s="29"/>
      <c r="W51" s="137" t="e">
        <f t="shared" si="5"/>
        <v>#DIV/0!</v>
      </c>
      <c r="X51" s="30"/>
      <c r="Y51" s="57" t="e">
        <f t="shared" si="6"/>
        <v>#DIV/0!</v>
      </c>
      <c r="Z51" s="49" t="e">
        <f t="shared" si="0"/>
        <v>#DIV/0!</v>
      </c>
      <c r="AA51" s="42" t="e">
        <f t="shared" si="7"/>
        <v>#DIV/0!</v>
      </c>
      <c r="AB51" s="63"/>
      <c r="AC51" s="52">
        <f t="shared" si="42"/>
        <v>0</v>
      </c>
      <c r="AD51" s="66" t="e">
        <f t="shared" si="43"/>
        <v>#DIV/0!</v>
      </c>
      <c r="AE51" s="164" t="e">
        <f t="shared" si="10"/>
        <v>#DIV/0!</v>
      </c>
    </row>
    <row r="52" spans="1:31" ht="12" customHeight="1" thickTop="1" x14ac:dyDescent="0.3">
      <c r="B52" s="3"/>
      <c r="C52" s="4"/>
      <c r="D52" s="4"/>
      <c r="E52" s="4"/>
      <c r="F52" s="5"/>
      <c r="G52" s="5"/>
      <c r="H52" s="5"/>
      <c r="I52" s="6"/>
      <c r="J52" s="6"/>
      <c r="K52" s="7"/>
      <c r="L52" s="7"/>
      <c r="M52" s="8"/>
      <c r="N52" s="8"/>
      <c r="O52" s="8"/>
      <c r="P52" s="8"/>
      <c r="Q52" s="8"/>
      <c r="R52" s="7"/>
      <c r="S52" s="7"/>
      <c r="T52" s="9"/>
      <c r="U52" s="9"/>
      <c r="V52" s="9"/>
      <c r="W52" s="10"/>
      <c r="X52" s="10"/>
      <c r="Y52" s="7"/>
      <c r="Z52" s="11"/>
      <c r="AA52" s="12"/>
      <c r="AB52" s="13"/>
      <c r="AC52" s="12"/>
      <c r="AD52" s="12"/>
      <c r="AE52" s="14"/>
    </row>
    <row r="53" spans="1:31" ht="16.5" customHeight="1" x14ac:dyDescent="0.3">
      <c r="A53" s="284" t="s">
        <v>140</v>
      </c>
      <c r="B53" s="284"/>
      <c r="C53" s="284"/>
      <c r="D53" s="284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  <c r="AA53" s="284"/>
      <c r="AB53" s="284"/>
      <c r="AC53" s="284"/>
      <c r="AD53" s="284"/>
      <c r="AE53" s="284"/>
    </row>
    <row r="54" spans="1:31" ht="16.5" customHeight="1" x14ac:dyDescent="0.3">
      <c r="A54" s="21"/>
      <c r="B54" s="21"/>
      <c r="C54" s="21"/>
      <c r="D54" s="21"/>
      <c r="E54" s="21"/>
      <c r="F54" s="21"/>
      <c r="G54" s="21"/>
      <c r="H54" s="25"/>
      <c r="I54" s="21"/>
      <c r="J54" s="25"/>
      <c r="K54" s="21"/>
      <c r="L54" s="21"/>
      <c r="M54" s="21"/>
      <c r="N54" s="21"/>
      <c r="O54" s="25"/>
      <c r="P54" s="21"/>
      <c r="Q54" s="25"/>
      <c r="R54" s="21"/>
      <c r="S54" s="21"/>
      <c r="T54" s="21"/>
      <c r="U54" s="21"/>
      <c r="V54" s="25"/>
      <c r="W54" s="21"/>
      <c r="X54" s="25"/>
      <c r="Y54" s="21"/>
      <c r="Z54" s="21"/>
      <c r="AA54" s="21"/>
      <c r="AB54" s="21"/>
      <c r="AC54" s="21"/>
      <c r="AD54" s="21"/>
      <c r="AE54" s="21"/>
    </row>
    <row r="55" spans="1:31" ht="20.25" customHeight="1" x14ac:dyDescent="0.35">
      <c r="A55" s="309" t="s">
        <v>41</v>
      </c>
      <c r="B55" s="309"/>
      <c r="C55" s="309"/>
      <c r="D55" s="309"/>
      <c r="E55" s="309"/>
      <c r="F55" s="309"/>
      <c r="G55" s="19"/>
      <c r="H55" s="23"/>
      <c r="I55" s="20"/>
      <c r="J55" s="20"/>
      <c r="K55" s="20"/>
      <c r="L55" s="20"/>
      <c r="M55" s="20"/>
      <c r="N55" s="20"/>
      <c r="O55" s="20"/>
      <c r="P55" s="20"/>
      <c r="Q55" s="20"/>
      <c r="R55" s="309" t="s">
        <v>10</v>
      </c>
      <c r="S55" s="309"/>
      <c r="T55" s="309"/>
      <c r="U55" s="309"/>
      <c r="V55" s="309"/>
      <c r="W55" s="309"/>
      <c r="X55" s="309"/>
      <c r="Y55" s="309"/>
      <c r="Z55" s="309"/>
      <c r="AA55" s="309"/>
      <c r="AB55" s="309"/>
      <c r="AC55" s="309"/>
      <c r="AD55" s="309"/>
      <c r="AE55" s="309"/>
    </row>
    <row r="56" spans="1:31" ht="20.399999999999999" x14ac:dyDescent="0.35">
      <c r="A56" s="20"/>
      <c r="B56" s="309" t="s">
        <v>11</v>
      </c>
      <c r="C56" s="309"/>
      <c r="D56" s="309"/>
      <c r="E56" s="309"/>
      <c r="F56" s="309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309"/>
      <c r="S56" s="309"/>
      <c r="T56" s="309"/>
      <c r="U56" s="309"/>
      <c r="V56" s="309"/>
      <c r="W56" s="309"/>
      <c r="X56" s="309"/>
      <c r="Y56" s="309"/>
      <c r="Z56" s="309"/>
      <c r="AA56" s="19"/>
      <c r="AB56" s="19"/>
      <c r="AC56" s="19"/>
      <c r="AD56" s="19"/>
      <c r="AE56" s="20"/>
    </row>
    <row r="57" spans="1:31" ht="21.6" x14ac:dyDescent="0.4">
      <c r="A57" s="20"/>
      <c r="B57" s="310"/>
      <c r="C57" s="310"/>
      <c r="D57" s="310"/>
      <c r="E57" s="310"/>
      <c r="F57" s="31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310" t="s">
        <v>12</v>
      </c>
      <c r="S57" s="310"/>
      <c r="T57" s="310"/>
      <c r="U57" s="310"/>
      <c r="V57" s="310"/>
      <c r="W57" s="310"/>
      <c r="X57" s="310"/>
      <c r="Y57" s="310"/>
      <c r="Z57" s="310"/>
      <c r="AA57" s="310"/>
      <c r="AB57" s="310"/>
      <c r="AC57" s="310"/>
      <c r="AD57" s="310"/>
      <c r="AE57" s="310"/>
    </row>
  </sheetData>
  <mergeCells count="29">
    <mergeCell ref="B7:AE7"/>
    <mergeCell ref="B8:B9"/>
    <mergeCell ref="C8:C9"/>
    <mergeCell ref="D8:E8"/>
    <mergeCell ref="F8:K8"/>
    <mergeCell ref="L8:L9"/>
    <mergeCell ref="S8:S9"/>
    <mergeCell ref="A1:AE1"/>
    <mergeCell ref="B4:C4"/>
    <mergeCell ref="Y4:AE4"/>
    <mergeCell ref="B6:C6"/>
    <mergeCell ref="Y6:AE6"/>
    <mergeCell ref="L3:S3"/>
    <mergeCell ref="B56:F56"/>
    <mergeCell ref="R56:Z56"/>
    <mergeCell ref="B57:F57"/>
    <mergeCell ref="R57:AE57"/>
    <mergeCell ref="B2:AE2"/>
    <mergeCell ref="A53:AE53"/>
    <mergeCell ref="AD8:AD9"/>
    <mergeCell ref="AE8:AE9"/>
    <mergeCell ref="A55:F55"/>
    <mergeCell ref="R55:AE55"/>
    <mergeCell ref="T8:Y8"/>
    <mergeCell ref="Z8:Z9"/>
    <mergeCell ref="AA8:AA9"/>
    <mergeCell ref="AB8:AB9"/>
    <mergeCell ref="AC8:AC9"/>
    <mergeCell ref="M8:R8"/>
  </mergeCells>
  <conditionalFormatting sqref="K52:L52 R52:Y52 T51:V51 X51 W11:W51 Q10:Q51">
    <cfRule type="cellIs" dxfId="1732" priority="918" stopIfTrue="1" operator="lessThan">
      <formula>10</formula>
    </cfRule>
    <cfRule type="cellIs" dxfId="1731" priority="919" stopIfTrue="1" operator="greaterThan">
      <formula>9</formula>
    </cfRule>
  </conditionalFormatting>
  <conditionalFormatting sqref="K52:L52 R52:Y52 T51:V51 X51 W11:W51 Q10:Q51">
    <cfRule type="cellIs" dxfId="1730" priority="916" stopIfTrue="1" operator="lessThan">
      <formula>10</formula>
    </cfRule>
    <cfRule type="cellIs" dxfId="1729" priority="917" stopIfTrue="1" operator="greaterThan">
      <formula>9</formula>
    </cfRule>
  </conditionalFormatting>
  <conditionalFormatting sqref="Z10:AD52">
    <cfRule type="cellIs" dxfId="1728" priority="914" stopIfTrue="1" operator="greaterThan">
      <formula>9.5</formula>
    </cfRule>
    <cfRule type="cellIs" dxfId="1727" priority="915" stopIfTrue="1" operator="lessThanOrEqual">
      <formula>9.5</formula>
    </cfRule>
  </conditionalFormatting>
  <conditionalFormatting sqref="F52:J52">
    <cfRule type="cellIs" dxfId="1726" priority="912" stopIfTrue="1" operator="lessThan">
      <formula>10</formula>
    </cfRule>
    <cfRule type="cellIs" dxfId="1725" priority="913" stopIfTrue="1" operator="greaterThan">
      <formula>9</formula>
    </cfRule>
  </conditionalFormatting>
  <conditionalFormatting sqref="F52:J52">
    <cfRule type="cellIs" dxfId="1724" priority="910" stopIfTrue="1" operator="lessThan">
      <formula>10</formula>
    </cfRule>
    <cfRule type="cellIs" dxfId="1723" priority="911" stopIfTrue="1" operator="greaterThan">
      <formula>9</formula>
    </cfRule>
  </conditionalFormatting>
  <conditionalFormatting sqref="T52:X52 T51:V51 M52:Q52 W11:X51 Q10:Q51">
    <cfRule type="cellIs" dxfId="1722" priority="906" stopIfTrue="1" operator="lessThan">
      <formula>10</formula>
    </cfRule>
    <cfRule type="cellIs" dxfId="1721" priority="907" stopIfTrue="1" operator="greaterThan">
      <formula>9</formula>
    </cfRule>
    <cfRule type="cellIs" dxfId="1720" priority="908" stopIfTrue="1" operator="lessThan">
      <formula>10</formula>
    </cfRule>
    <cfRule type="cellIs" dxfId="1719" priority="909" stopIfTrue="1" operator="greaterThan">
      <formula>9</formula>
    </cfRule>
  </conditionalFormatting>
  <conditionalFormatting sqref="AB10:AB52">
    <cfRule type="cellIs" dxfId="1718" priority="904" stopIfTrue="1" operator="greaterThan">
      <formula>9.5</formula>
    </cfRule>
    <cfRule type="cellIs" dxfId="1717" priority="905" stopIfTrue="1" operator="lessThanOrEqual">
      <formula>9.5</formula>
    </cfRule>
  </conditionalFormatting>
  <conditionalFormatting sqref="T45:U50">
    <cfRule type="cellIs" dxfId="1716" priority="330" stopIfTrue="1" operator="lessThan">
      <formula>10</formula>
    </cfRule>
    <cfRule type="cellIs" dxfId="1715" priority="331" stopIfTrue="1" operator="greaterThan">
      <formula>9</formula>
    </cfRule>
  </conditionalFormatting>
  <conditionalFormatting sqref="T45:U50">
    <cfRule type="cellIs" dxfId="1714" priority="328" stopIfTrue="1" operator="lessThan">
      <formula>10</formula>
    </cfRule>
    <cfRule type="cellIs" dxfId="1713" priority="329" stopIfTrue="1" operator="greaterThan">
      <formula>9</formula>
    </cfRule>
  </conditionalFormatting>
  <conditionalFormatting sqref="T24:U39 V10:X10 V11:V50 X11:X50">
    <cfRule type="cellIs" dxfId="1712" priority="326" stopIfTrue="1" operator="lessThan">
      <formula>10</formula>
    </cfRule>
    <cfRule type="cellIs" dxfId="1711" priority="327" stopIfTrue="1" operator="greaterThan">
      <formula>9</formula>
    </cfRule>
  </conditionalFormatting>
  <conditionalFormatting sqref="T24:U39 V10:X10 V11:V50 X11:X50">
    <cfRule type="cellIs" dxfId="1710" priority="324" stopIfTrue="1" operator="lessThan">
      <formula>10</formula>
    </cfRule>
    <cfRule type="cellIs" dxfId="1709" priority="325" stopIfTrue="1" operator="greaterThan">
      <formula>9</formula>
    </cfRule>
  </conditionalFormatting>
  <conditionalFormatting sqref="T24:U39 T45:U50 V10:X10 V11:V50">
    <cfRule type="cellIs" dxfId="1708" priority="318" stopIfTrue="1" operator="lessThan">
      <formula>10</formula>
    </cfRule>
    <cfRule type="cellIs" dxfId="1707" priority="319" stopIfTrue="1" operator="greaterThan">
      <formula>9</formula>
    </cfRule>
    <cfRule type="cellIs" dxfId="1706" priority="320" stopIfTrue="1" operator="lessThan">
      <formula>10</formula>
    </cfRule>
    <cfRule type="cellIs" dxfId="1705" priority="321" stopIfTrue="1" operator="greaterThan">
      <formula>9</formula>
    </cfRule>
  </conditionalFormatting>
  <conditionalFormatting sqref="R10:R51 Y10:Y51">
    <cfRule type="cellIs" dxfId="1704" priority="316" stopIfTrue="1" operator="lessThan">
      <formula>10</formula>
    </cfRule>
    <cfRule type="cellIs" dxfId="1703" priority="317" stopIfTrue="1" operator="greaterThanOrEqual">
      <formula>10</formula>
    </cfRule>
  </conditionalFormatting>
  <conditionalFormatting sqref="T10:U12">
    <cfRule type="cellIs" dxfId="1702" priority="314" stopIfTrue="1" operator="lessThan">
      <formula>10</formula>
    </cfRule>
    <cfRule type="cellIs" dxfId="1701" priority="315" stopIfTrue="1" operator="greaterThan">
      <formula>9</formula>
    </cfRule>
  </conditionalFormatting>
  <conditionalFormatting sqref="T10:U12">
    <cfRule type="cellIs" dxfId="1700" priority="312" stopIfTrue="1" operator="lessThan">
      <formula>10</formula>
    </cfRule>
    <cfRule type="cellIs" dxfId="1699" priority="313" stopIfTrue="1" operator="greaterThan">
      <formula>9</formula>
    </cfRule>
  </conditionalFormatting>
  <conditionalFormatting sqref="T10:U12">
    <cfRule type="cellIs" dxfId="1698" priority="308" stopIfTrue="1" operator="lessThan">
      <formula>10</formula>
    </cfRule>
    <cfRule type="cellIs" dxfId="1697" priority="309" stopIfTrue="1" operator="greaterThan">
      <formula>9</formula>
    </cfRule>
    <cfRule type="cellIs" dxfId="1696" priority="310" stopIfTrue="1" operator="lessThan">
      <formula>10</formula>
    </cfRule>
    <cfRule type="cellIs" dxfId="1695" priority="311" stopIfTrue="1" operator="greaterThan">
      <formula>9</formula>
    </cfRule>
  </conditionalFormatting>
  <conditionalFormatting sqref="T13:U15">
    <cfRule type="cellIs" dxfId="1694" priority="306" stopIfTrue="1" operator="lessThan">
      <formula>10</formula>
    </cfRule>
    <cfRule type="cellIs" dxfId="1693" priority="307" stopIfTrue="1" operator="greaterThan">
      <formula>9</formula>
    </cfRule>
  </conditionalFormatting>
  <conditionalFormatting sqref="T13:U15">
    <cfRule type="cellIs" dxfId="1692" priority="304" stopIfTrue="1" operator="lessThan">
      <formula>10</formula>
    </cfRule>
    <cfRule type="cellIs" dxfId="1691" priority="305" stopIfTrue="1" operator="greaterThan">
      <formula>9</formula>
    </cfRule>
  </conditionalFormatting>
  <conditionalFormatting sqref="T13:U15">
    <cfRule type="cellIs" dxfId="1690" priority="300" stopIfTrue="1" operator="lessThan">
      <formula>10</formula>
    </cfRule>
    <cfRule type="cellIs" dxfId="1689" priority="301" stopIfTrue="1" operator="greaterThan">
      <formula>9</formula>
    </cfRule>
    <cfRule type="cellIs" dxfId="1688" priority="302" stopIfTrue="1" operator="lessThan">
      <formula>10</formula>
    </cfRule>
    <cfRule type="cellIs" dxfId="1687" priority="303" stopIfTrue="1" operator="greaterThan">
      <formula>9</formula>
    </cfRule>
  </conditionalFormatting>
  <conditionalFormatting sqref="T16:U19">
    <cfRule type="cellIs" dxfId="1686" priority="298" stopIfTrue="1" operator="lessThan">
      <formula>10</formula>
    </cfRule>
    <cfRule type="cellIs" dxfId="1685" priority="299" stopIfTrue="1" operator="greaterThan">
      <formula>9</formula>
    </cfRule>
  </conditionalFormatting>
  <conditionalFormatting sqref="T16:U19">
    <cfRule type="cellIs" dxfId="1684" priority="296" stopIfTrue="1" operator="lessThan">
      <formula>10</formula>
    </cfRule>
    <cfRule type="cellIs" dxfId="1683" priority="297" stopIfTrue="1" operator="greaterThan">
      <formula>9</formula>
    </cfRule>
  </conditionalFormatting>
  <conditionalFormatting sqref="T16:U19">
    <cfRule type="cellIs" dxfId="1682" priority="292" stopIfTrue="1" operator="lessThan">
      <formula>10</formula>
    </cfRule>
    <cfRule type="cellIs" dxfId="1681" priority="293" stopIfTrue="1" operator="greaterThan">
      <formula>9</formula>
    </cfRule>
    <cfRule type="cellIs" dxfId="1680" priority="294" stopIfTrue="1" operator="lessThan">
      <formula>10</formula>
    </cfRule>
    <cfRule type="cellIs" dxfId="1679" priority="295" stopIfTrue="1" operator="greaterThan">
      <formula>9</formula>
    </cfRule>
  </conditionalFormatting>
  <conditionalFormatting sqref="T20:U23">
    <cfRule type="cellIs" dxfId="1678" priority="290" stopIfTrue="1" operator="lessThan">
      <formula>10</formula>
    </cfRule>
    <cfRule type="cellIs" dxfId="1677" priority="291" stopIfTrue="1" operator="greaterThan">
      <formula>9</formula>
    </cfRule>
  </conditionalFormatting>
  <conditionalFormatting sqref="T20:U23">
    <cfRule type="cellIs" dxfId="1676" priority="288" stopIfTrue="1" operator="lessThan">
      <formula>10</formula>
    </cfRule>
    <cfRule type="cellIs" dxfId="1675" priority="289" stopIfTrue="1" operator="greaterThan">
      <formula>9</formula>
    </cfRule>
  </conditionalFormatting>
  <conditionalFormatting sqref="T20:U23">
    <cfRule type="cellIs" dxfId="1674" priority="284" stopIfTrue="1" operator="lessThan">
      <formula>10</formula>
    </cfRule>
    <cfRule type="cellIs" dxfId="1673" priority="285" stopIfTrue="1" operator="greaterThan">
      <formula>9</formula>
    </cfRule>
    <cfRule type="cellIs" dxfId="1672" priority="286" stopIfTrue="1" operator="lessThan">
      <formula>10</formula>
    </cfRule>
    <cfRule type="cellIs" dxfId="1671" priority="287" stopIfTrue="1" operator="greaterThan">
      <formula>9</formula>
    </cfRule>
  </conditionalFormatting>
  <conditionalFormatting sqref="T40:U44">
    <cfRule type="cellIs" dxfId="1670" priority="282" stopIfTrue="1" operator="lessThan">
      <formula>10</formula>
    </cfRule>
    <cfRule type="cellIs" dxfId="1669" priority="283" stopIfTrue="1" operator="greaterThan">
      <formula>9</formula>
    </cfRule>
  </conditionalFormatting>
  <conditionalFormatting sqref="T40:U44">
    <cfRule type="cellIs" dxfId="1668" priority="280" stopIfTrue="1" operator="lessThan">
      <formula>10</formula>
    </cfRule>
    <cfRule type="cellIs" dxfId="1667" priority="281" stopIfTrue="1" operator="greaterThan">
      <formula>9</formula>
    </cfRule>
  </conditionalFormatting>
  <conditionalFormatting sqref="T40:U44">
    <cfRule type="cellIs" dxfId="1666" priority="276" stopIfTrue="1" operator="lessThan">
      <formula>10</formula>
    </cfRule>
    <cfRule type="cellIs" dxfId="1665" priority="277" stopIfTrue="1" operator="greaterThan">
      <formula>9</formula>
    </cfRule>
    <cfRule type="cellIs" dxfId="1664" priority="278" stopIfTrue="1" operator="lessThan">
      <formula>10</formula>
    </cfRule>
    <cfRule type="cellIs" dxfId="1663" priority="279" stopIfTrue="1" operator="greaterThan">
      <formula>9</formula>
    </cfRule>
  </conditionalFormatting>
  <conditionalFormatting sqref="F10:G10 G11:G12 F11:F51">
    <cfRule type="cellIs" dxfId="1662" priority="27" stopIfTrue="1" operator="greaterThan">
      <formula>9</formula>
    </cfRule>
    <cfRule type="cellIs" dxfId="1661" priority="28" stopIfTrue="1" operator="lessThan">
      <formula>10</formula>
    </cfRule>
    <cfRule type="cellIs" dxfId="1660" priority="29" stopIfTrue="1" operator="greaterThan">
      <formula>9</formula>
    </cfRule>
    <cfRule type="cellIs" dxfId="1659" priority="30" stopIfTrue="1" operator="lessThan">
      <formula>10</formula>
    </cfRule>
    <cfRule type="cellIs" dxfId="1658" priority="31" stopIfTrue="1" operator="greaterThan">
      <formula>9</formula>
    </cfRule>
  </conditionalFormatting>
  <conditionalFormatting sqref="F10:G10 G11:G15 F11:F51">
    <cfRule type="cellIs" dxfId="1657" priority="24" stopIfTrue="1" operator="greaterThan">
      <formula>9</formula>
    </cfRule>
    <cfRule type="cellIs" dxfId="1656" priority="25" stopIfTrue="1" operator="lessThan">
      <formula>10</formula>
    </cfRule>
  </conditionalFormatting>
  <conditionalFormatting sqref="G11:G15 F10:G10 F11:F51">
    <cfRule type="cellIs" dxfId="1655" priority="23" stopIfTrue="1" operator="lessThan">
      <formula>10</formula>
    </cfRule>
  </conditionalFormatting>
  <conditionalFormatting sqref="G13:G15">
    <cfRule type="cellIs" dxfId="1654" priority="22" stopIfTrue="1" operator="greaterThan">
      <formula>9</formula>
    </cfRule>
    <cfRule type="cellIs" dxfId="1653" priority="26" stopIfTrue="1" operator="greaterThan">
      <formula>9</formula>
    </cfRule>
  </conditionalFormatting>
  <conditionalFormatting sqref="G13:G19">
    <cfRule type="cellIs" dxfId="1652" priority="18" stopIfTrue="1" operator="lessThan">
      <formula>10</formula>
    </cfRule>
    <cfRule type="cellIs" dxfId="1651" priority="19" stopIfTrue="1" operator="greaterThan">
      <formula>9</formula>
    </cfRule>
    <cfRule type="cellIs" dxfId="1650" priority="20" stopIfTrue="1" operator="lessThan">
      <formula>10</formula>
    </cfRule>
  </conditionalFormatting>
  <conditionalFormatting sqref="G16:G19">
    <cfRule type="cellIs" dxfId="1649" priority="17" stopIfTrue="1" operator="greaterThan">
      <formula>9</formula>
    </cfRule>
    <cfRule type="cellIs" dxfId="1648" priority="21" stopIfTrue="1" operator="greaterThan">
      <formula>9</formula>
    </cfRule>
  </conditionalFormatting>
  <conditionalFormatting sqref="G16:G39">
    <cfRule type="cellIs" dxfId="1647" priority="13" stopIfTrue="1" operator="lessThan">
      <formula>10</formula>
    </cfRule>
    <cfRule type="cellIs" dxfId="1646" priority="14" stopIfTrue="1" operator="greaterThan">
      <formula>9</formula>
    </cfRule>
    <cfRule type="cellIs" dxfId="1645" priority="15" stopIfTrue="1" operator="lessThan">
      <formula>10</formula>
    </cfRule>
  </conditionalFormatting>
  <conditionalFormatting sqref="G20:G23">
    <cfRule type="cellIs" dxfId="1644" priority="9" stopIfTrue="1" operator="lessThan">
      <formula>10</formula>
    </cfRule>
    <cfRule type="cellIs" dxfId="1643" priority="10" stopIfTrue="1" operator="greaterThan">
      <formula>9</formula>
    </cfRule>
    <cfRule type="cellIs" dxfId="1642" priority="11" stopIfTrue="1" operator="lessThan">
      <formula>10</formula>
    </cfRule>
    <cfRule type="cellIs" dxfId="1641" priority="12" stopIfTrue="1" operator="greaterThan">
      <formula>9</formula>
    </cfRule>
    <cfRule type="cellIs" dxfId="1640" priority="16" stopIfTrue="1" operator="greaterThan">
      <formula>9</formula>
    </cfRule>
  </conditionalFormatting>
  <conditionalFormatting sqref="G40:G44">
    <cfRule type="cellIs" dxfId="1639" priority="1" stopIfTrue="1" operator="lessThan">
      <formula>10</formula>
    </cfRule>
    <cfRule type="cellIs" dxfId="1638" priority="2" stopIfTrue="1" operator="greaterThan">
      <formula>9</formula>
    </cfRule>
    <cfRule type="cellIs" dxfId="1637" priority="3" stopIfTrue="1" operator="lessThan">
      <formula>10</formula>
    </cfRule>
    <cfRule type="cellIs" dxfId="1636" priority="4" stopIfTrue="1" operator="greaterThan">
      <formula>9</formula>
    </cfRule>
    <cfRule type="cellIs" dxfId="1635" priority="8" stopIfTrue="1" operator="greaterThan">
      <formula>9</formula>
    </cfRule>
  </conditionalFormatting>
  <conditionalFormatting sqref="G40:G50">
    <cfRule type="cellIs" dxfId="1634" priority="5" stopIfTrue="1" operator="lessThan">
      <formula>10</formula>
    </cfRule>
    <cfRule type="cellIs" dxfId="1633" priority="6" stopIfTrue="1" operator="greaterThan">
      <formula>9</formula>
    </cfRule>
    <cfRule type="cellIs" dxfId="1632" priority="7" stopIfTrue="1" operator="lessThan">
      <formula>10</formula>
    </cfRule>
  </conditionalFormatting>
  <conditionalFormatting sqref="G51:I51">
    <cfRule type="cellIs" dxfId="1631" priority="40" stopIfTrue="1" operator="lessThan">
      <formula>10</formula>
    </cfRule>
    <cfRule type="cellIs" dxfId="1630" priority="41" stopIfTrue="1" operator="greaterThan">
      <formula>9</formula>
    </cfRule>
    <cfRule type="cellIs" dxfId="1629" priority="42" stopIfTrue="1" operator="lessThan">
      <formula>10</formula>
    </cfRule>
    <cfRule type="cellIs" dxfId="1628" priority="43" stopIfTrue="1" operator="greaterThan">
      <formula>9</formula>
    </cfRule>
    <cfRule type="cellIs" dxfId="1627" priority="44" stopIfTrue="1" operator="lessThan">
      <formula>10</formula>
    </cfRule>
    <cfRule type="cellIs" dxfId="1626" priority="45" stopIfTrue="1" operator="greaterThan">
      <formula>9</formula>
    </cfRule>
    <cfRule type="cellIs" dxfId="1625" priority="46" stopIfTrue="1" operator="lessThan">
      <formula>10</formula>
    </cfRule>
    <cfRule type="cellIs" dxfId="1624" priority="47" stopIfTrue="1" operator="greaterThan">
      <formula>9</formula>
    </cfRule>
  </conditionalFormatting>
  <conditionalFormatting sqref="H10:I50 G24:G39 G45:G50">
    <cfRule type="cellIs" dxfId="1623" priority="35" stopIfTrue="1" operator="greaterThan">
      <formula>9</formula>
    </cfRule>
    <cfRule type="cellIs" dxfId="1622" priority="36" stopIfTrue="1" operator="lessThan">
      <formula>10</formula>
    </cfRule>
    <cfRule type="cellIs" dxfId="1621" priority="37" stopIfTrue="1" operator="greaterThan">
      <formula>9</formula>
    </cfRule>
    <cfRule type="cellIs" dxfId="1620" priority="38" stopIfTrue="1" operator="lessThan">
      <formula>10</formula>
    </cfRule>
    <cfRule type="cellIs" dxfId="1619" priority="39" stopIfTrue="1" operator="greaterThan">
      <formula>9</formula>
    </cfRule>
  </conditionalFormatting>
  <conditionalFormatting sqref="H10:I50">
    <cfRule type="cellIs" dxfId="1618" priority="32" stopIfTrue="1" operator="lessThan">
      <formula>10</formula>
    </cfRule>
    <cfRule type="cellIs" dxfId="1617" priority="33" stopIfTrue="1" operator="greaterThan">
      <formula>9</formula>
    </cfRule>
    <cfRule type="cellIs" dxfId="1616" priority="34" stopIfTrue="1" operator="lessThan">
      <formula>10</formula>
    </cfRule>
  </conditionalFormatting>
  <conditionalFormatting sqref="J10:J51 M51:P51">
    <cfRule type="cellIs" dxfId="1615" priority="94" stopIfTrue="1" operator="greaterThan">
      <formula>9</formula>
    </cfRule>
  </conditionalFormatting>
  <conditionalFormatting sqref="J10:J51 M51:P51">
    <cfRule type="cellIs" dxfId="1614" priority="93" stopIfTrue="1" operator="lessThan">
      <formula>10</formula>
    </cfRule>
  </conditionalFormatting>
  <conditionalFormatting sqref="J10:K51">
    <cfRule type="cellIs" dxfId="1613" priority="89" stopIfTrue="1" operator="lessThan">
      <formula>10</formula>
    </cfRule>
  </conditionalFormatting>
  <conditionalFormatting sqref="K10:K51">
    <cfRule type="cellIs" dxfId="1612" priority="90" stopIfTrue="1" operator="greaterThanOrEqual">
      <formula>10</formula>
    </cfRule>
  </conditionalFormatting>
  <conditionalFormatting sqref="M10:N12">
    <cfRule type="cellIs" dxfId="1611" priority="74" stopIfTrue="1" operator="greaterThan">
      <formula>9</formula>
    </cfRule>
    <cfRule type="cellIs" dxfId="1610" priority="75" stopIfTrue="1" operator="lessThan">
      <formula>10</formula>
    </cfRule>
    <cfRule type="cellIs" dxfId="1609" priority="76" stopIfTrue="1" operator="greaterThan">
      <formula>9</formula>
    </cfRule>
    <cfRule type="cellIs" dxfId="1608" priority="77" stopIfTrue="1" operator="lessThan">
      <formula>10</formula>
    </cfRule>
    <cfRule type="cellIs" dxfId="1607" priority="78" stopIfTrue="1" operator="greaterThan">
      <formula>9</formula>
    </cfRule>
  </conditionalFormatting>
  <conditionalFormatting sqref="M10:N15">
    <cfRule type="cellIs" dxfId="1606" priority="70" stopIfTrue="1" operator="lessThan">
      <formula>10</formula>
    </cfRule>
    <cfRule type="cellIs" dxfId="1605" priority="71" stopIfTrue="1" operator="greaterThan">
      <formula>9</formula>
    </cfRule>
    <cfRule type="cellIs" dxfId="1604" priority="72" stopIfTrue="1" operator="lessThan">
      <formula>10</formula>
    </cfRule>
  </conditionalFormatting>
  <conditionalFormatting sqref="M13:N15">
    <cfRule type="cellIs" dxfId="1603" priority="69" stopIfTrue="1" operator="greaterThan">
      <formula>9</formula>
    </cfRule>
    <cfRule type="cellIs" dxfId="1602" priority="73" stopIfTrue="1" operator="greaterThan">
      <formula>9</formula>
    </cfRule>
  </conditionalFormatting>
  <conditionalFormatting sqref="M13:N19">
    <cfRule type="cellIs" dxfId="1601" priority="65" stopIfTrue="1" operator="lessThan">
      <formula>10</formula>
    </cfRule>
    <cfRule type="cellIs" dxfId="1600" priority="66" stopIfTrue="1" operator="greaterThan">
      <formula>9</formula>
    </cfRule>
    <cfRule type="cellIs" dxfId="1599" priority="67" stopIfTrue="1" operator="lessThan">
      <formula>10</formula>
    </cfRule>
  </conditionalFormatting>
  <conditionalFormatting sqref="M16:N19">
    <cfRule type="cellIs" dxfId="1598" priority="64" stopIfTrue="1" operator="greaterThan">
      <formula>9</formula>
    </cfRule>
    <cfRule type="cellIs" dxfId="1597" priority="68" stopIfTrue="1" operator="greaterThan">
      <formula>9</formula>
    </cfRule>
  </conditionalFormatting>
  <conditionalFormatting sqref="M16:N39">
    <cfRule type="cellIs" dxfId="1596" priority="60" stopIfTrue="1" operator="lessThan">
      <formula>10</formula>
    </cfRule>
    <cfRule type="cellIs" dxfId="1595" priority="61" stopIfTrue="1" operator="greaterThan">
      <formula>9</formula>
    </cfRule>
    <cfRule type="cellIs" dxfId="1594" priority="62" stopIfTrue="1" operator="lessThan">
      <formula>10</formula>
    </cfRule>
  </conditionalFormatting>
  <conditionalFormatting sqref="M20:N23">
    <cfRule type="cellIs" dxfId="1593" priority="56" stopIfTrue="1" operator="lessThan">
      <formula>10</formula>
    </cfRule>
    <cfRule type="cellIs" dxfId="1592" priority="57" stopIfTrue="1" operator="greaterThan">
      <formula>9</formula>
    </cfRule>
    <cfRule type="cellIs" dxfId="1591" priority="58" stopIfTrue="1" operator="lessThan">
      <formula>10</formula>
    </cfRule>
    <cfRule type="cellIs" dxfId="1590" priority="59" stopIfTrue="1" operator="greaterThan">
      <formula>9</formula>
    </cfRule>
    <cfRule type="cellIs" dxfId="1589" priority="63" stopIfTrue="1" operator="greaterThan">
      <formula>9</formula>
    </cfRule>
  </conditionalFormatting>
  <conditionalFormatting sqref="M40:N44">
    <cfRule type="cellIs" dxfId="1588" priority="48" stopIfTrue="1" operator="lessThan">
      <formula>10</formula>
    </cfRule>
    <cfRule type="cellIs" dxfId="1587" priority="49" stopIfTrue="1" operator="greaterThan">
      <formula>9</formula>
    </cfRule>
    <cfRule type="cellIs" dxfId="1586" priority="50" stopIfTrue="1" operator="lessThan">
      <formula>10</formula>
    </cfRule>
    <cfRule type="cellIs" dxfId="1585" priority="51" stopIfTrue="1" operator="greaterThan">
      <formula>9</formula>
    </cfRule>
    <cfRule type="cellIs" dxfId="1584" priority="55" stopIfTrue="1" operator="greaterThan">
      <formula>9</formula>
    </cfRule>
  </conditionalFormatting>
  <conditionalFormatting sqref="M40:N50">
    <cfRule type="cellIs" dxfId="1583" priority="52" stopIfTrue="1" operator="lessThan">
      <formula>10</formula>
    </cfRule>
    <cfRule type="cellIs" dxfId="1582" priority="53" stopIfTrue="1" operator="greaterThan">
      <formula>9</formula>
    </cfRule>
    <cfRule type="cellIs" dxfId="1581" priority="54" stopIfTrue="1" operator="lessThan">
      <formula>10</formula>
    </cfRule>
  </conditionalFormatting>
  <conditionalFormatting sqref="O10:P50 M24:N39 M45:N50">
    <cfRule type="cellIs" dxfId="1580" priority="82" stopIfTrue="1" operator="greaterThan">
      <formula>9</formula>
    </cfRule>
    <cfRule type="cellIs" dxfId="1579" priority="86" stopIfTrue="1" operator="greaterThan">
      <formula>9</formula>
    </cfRule>
  </conditionalFormatting>
  <conditionalFormatting sqref="O10:P50">
    <cfRule type="cellIs" dxfId="1578" priority="79" stopIfTrue="1" operator="lessThan">
      <formula>10</formula>
    </cfRule>
    <cfRule type="cellIs" dxfId="1577" priority="80" stopIfTrue="1" operator="greaterThan">
      <formula>9</formula>
    </cfRule>
    <cfRule type="cellIs" dxfId="1576" priority="81" stopIfTrue="1" operator="lessThan">
      <formula>10</formula>
    </cfRule>
  </conditionalFormatting>
  <conditionalFormatting sqref="O10:P50 M24:N39 M45:N50">
    <cfRule type="cellIs" dxfId="1575" priority="83" stopIfTrue="1" operator="lessThan">
      <formula>10</formula>
    </cfRule>
    <cfRule type="cellIs" dxfId="1574" priority="84" stopIfTrue="1" operator="greaterThan">
      <formula>9</formula>
    </cfRule>
    <cfRule type="cellIs" dxfId="1573" priority="85" stopIfTrue="1" operator="lessThan">
      <formula>10</formula>
    </cfRule>
  </conditionalFormatting>
  <conditionalFormatting sqref="J10:J51 M51:P51">
    <cfRule type="cellIs" dxfId="1572" priority="95" stopIfTrue="1" operator="lessThan">
      <formula>10</formula>
    </cfRule>
    <cfRule type="cellIs" dxfId="1571" priority="96" stopIfTrue="1" operator="greaterThan">
      <formula>9</formula>
    </cfRule>
    <cfRule type="cellIs" dxfId="1570" priority="97" stopIfTrue="1" operator="lessThan">
      <formula>10</formula>
    </cfRule>
    <cfRule type="cellIs" dxfId="1569" priority="98" stopIfTrue="1" operator="greaterThan">
      <formula>9</formula>
    </cfRule>
  </conditionalFormatting>
  <conditionalFormatting sqref="M51:P51 J10:J51">
    <cfRule type="cellIs" dxfId="1568" priority="92" stopIfTrue="1" operator="greaterThan">
      <formula>9</formula>
    </cfRule>
  </conditionalFormatting>
  <conditionalFormatting sqref="M51:P51">
    <cfRule type="cellIs" dxfId="1567" priority="91" stopIfTrue="1" operator="lessThan">
      <formula>10</formula>
    </cfRule>
  </conditionalFormatting>
  <dataValidations count="1">
    <dataValidation type="decimal" allowBlank="1" showInputMessage="1" showErrorMessage="1" errorTitle="ATENÇÃO!" error="O valor introduzido não é válido. Grato!" sqref="M10:Q51 AB10:AB51 F10:J51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86" orientation="portrait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04" stopIfTrue="1" operator="containsText" id="{52F463F1-0FA7-40AC-8186-A05F76DE183D}">
            <xm:f>NOT(ISERROR(SEARCH("APROVADO/A",AE10)))</xm:f>
            <xm:f>"APROVADO/A"</xm:f>
            <x14:dxf>
              <font>
                <b/>
                <i val="0"/>
                <color rgb="FF0000FF"/>
              </font>
            </x14:dxf>
          </x14:cfRule>
          <x14:cfRule type="containsText" priority="505" stopIfTrue="1" operator="containsText" id="{6A09B628-BAD1-4A94-BDE0-0180FCE4FC3D}">
            <xm:f>NOT(ISERROR(SEARCH("REPROVADO/A",AE10)))</xm:f>
            <xm:f>"REPROVADO/A"</xm:f>
            <x14:dxf>
              <font>
                <b/>
                <i val="0"/>
                <color rgb="FFFF0000"/>
              </font>
            </x14:dxf>
          </x14:cfRule>
          <xm:sqref>AE10:AE51</xm:sqref>
        </x14:conditionalFormatting>
        <x14:conditionalFormatting xmlns:xm="http://schemas.microsoft.com/office/excel/2006/main">
          <x14:cfRule type="containsText" priority="266" stopIfTrue="1" operator="containsText" id="{33616024-1E16-47BD-A03D-91B03522C610}">
            <xm:f>NOT(ISERROR(SEARCH("N/TRANSITA",S10)))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67" stopIfTrue="1" operator="containsText" id="{A818E13F-875C-4C58-B0C2-5EF8524D8982}">
            <xm:f>NOT(ISERROR(SEARCH("TRANSITA",S10)))</xm:f>
            <xm:f>"TRANSITA"</xm:f>
            <x14:dxf>
              <font>
                <b/>
                <i val="0"/>
                <color rgb="FF0070C0"/>
              </font>
            </x14:dxf>
          </x14:cfRule>
          <xm:sqref>S10:S51</xm:sqref>
        </x14:conditionalFormatting>
        <x14:conditionalFormatting xmlns:xm="http://schemas.microsoft.com/office/excel/2006/main">
          <x14:cfRule type="containsText" priority="87" stopIfTrue="1" operator="containsText" id="{6220AD56-62A8-4619-8EED-20D46EBA0107}">
            <xm:f>NOT(ISERROR(SEARCH("N/TRANSITA",L10)))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88" stopIfTrue="1" operator="containsText" id="{45179FC2-95C9-44E1-BD0C-5CBCA5339791}">
            <xm:f>NOT(ISERROR(SEARCH("TRANSITA",L10)))</xm:f>
            <xm:f>"TRANSITA"</xm:f>
            <x14:dxf>
              <font>
                <b/>
                <i val="0"/>
                <color rgb="FF0070C0"/>
              </font>
            </x14:dxf>
          </x14:cfRule>
          <xm:sqref>L10:L51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10">
    <tabColor rgb="FF00B050"/>
  </sheetPr>
  <dimension ref="A1:AE57"/>
  <sheetViews>
    <sheetView showGridLines="0" topLeftCell="C1" zoomScaleNormal="100" zoomScalePageLayoutView="85" workbookViewId="0">
      <selection activeCell="I17" sqref="I17"/>
    </sheetView>
  </sheetViews>
  <sheetFormatPr defaultRowHeight="14.4" x14ac:dyDescent="0.3"/>
  <cols>
    <col min="1" max="1" width="1.6640625" customWidth="1"/>
    <col min="2" max="2" width="3.6640625" customWidth="1"/>
    <col min="3" max="3" width="36.33203125" customWidth="1"/>
    <col min="4" max="4" width="2.6640625" customWidth="1"/>
    <col min="5" max="5" width="2.88671875" customWidth="1"/>
    <col min="6" max="11" width="4.44140625" customWidth="1"/>
    <col min="12" max="12" width="11.88671875" customWidth="1"/>
    <col min="13" max="18" width="4.44140625" customWidth="1"/>
    <col min="19" max="19" width="11.44140625" customWidth="1"/>
    <col min="20" max="25" width="4.44140625" customWidth="1"/>
    <col min="26" max="26" width="6.109375" customWidth="1"/>
    <col min="27" max="27" width="4.44140625" customWidth="1"/>
    <col min="28" max="28" width="5.88671875" customWidth="1"/>
    <col min="29" max="29" width="4.44140625" customWidth="1"/>
    <col min="30" max="30" width="6.33203125" customWidth="1"/>
    <col min="31" max="31" width="13.109375" customWidth="1"/>
    <col min="32" max="32" width="3.44140625" customWidth="1"/>
    <col min="33" max="33" width="5" customWidth="1"/>
    <col min="267" max="267" width="1.6640625" customWidth="1"/>
    <col min="268" max="268" width="3.6640625" customWidth="1"/>
    <col min="269" max="269" width="23.44140625" customWidth="1"/>
    <col min="270" max="281" width="4.44140625" customWidth="1"/>
    <col min="282" max="282" width="6.109375" customWidth="1"/>
    <col min="283" max="283" width="4.44140625" customWidth="1"/>
    <col min="284" max="284" width="7.5546875" customWidth="1"/>
    <col min="285" max="285" width="4.44140625" customWidth="1"/>
    <col min="286" max="286" width="6.33203125" customWidth="1"/>
    <col min="287" max="287" width="7.88671875" customWidth="1"/>
    <col min="288" max="288" width="3.44140625" customWidth="1"/>
    <col min="289" max="289" width="5" customWidth="1"/>
    <col min="523" max="523" width="1.6640625" customWidth="1"/>
    <col min="524" max="524" width="3.6640625" customWidth="1"/>
    <col min="525" max="525" width="23.44140625" customWidth="1"/>
    <col min="526" max="537" width="4.44140625" customWidth="1"/>
    <col min="538" max="538" width="6.109375" customWidth="1"/>
    <col min="539" max="539" width="4.44140625" customWidth="1"/>
    <col min="540" max="540" width="7.5546875" customWidth="1"/>
    <col min="541" max="541" width="4.44140625" customWidth="1"/>
    <col min="542" max="542" width="6.33203125" customWidth="1"/>
    <col min="543" max="543" width="7.88671875" customWidth="1"/>
    <col min="544" max="544" width="3.44140625" customWidth="1"/>
    <col min="545" max="545" width="5" customWidth="1"/>
    <col min="779" max="779" width="1.6640625" customWidth="1"/>
    <col min="780" max="780" width="3.6640625" customWidth="1"/>
    <col min="781" max="781" width="23.44140625" customWidth="1"/>
    <col min="782" max="793" width="4.44140625" customWidth="1"/>
    <col min="794" max="794" width="6.109375" customWidth="1"/>
    <col min="795" max="795" width="4.44140625" customWidth="1"/>
    <col min="796" max="796" width="7.5546875" customWidth="1"/>
    <col min="797" max="797" width="4.44140625" customWidth="1"/>
    <col min="798" max="798" width="6.33203125" customWidth="1"/>
    <col min="799" max="799" width="7.88671875" customWidth="1"/>
    <col min="800" max="800" width="3.44140625" customWidth="1"/>
    <col min="801" max="801" width="5" customWidth="1"/>
    <col min="1035" max="1035" width="1.6640625" customWidth="1"/>
    <col min="1036" max="1036" width="3.6640625" customWidth="1"/>
    <col min="1037" max="1037" width="23.44140625" customWidth="1"/>
    <col min="1038" max="1049" width="4.44140625" customWidth="1"/>
    <col min="1050" max="1050" width="6.109375" customWidth="1"/>
    <col min="1051" max="1051" width="4.44140625" customWidth="1"/>
    <col min="1052" max="1052" width="7.5546875" customWidth="1"/>
    <col min="1053" max="1053" width="4.44140625" customWidth="1"/>
    <col min="1054" max="1054" width="6.33203125" customWidth="1"/>
    <col min="1055" max="1055" width="7.88671875" customWidth="1"/>
    <col min="1056" max="1056" width="3.44140625" customWidth="1"/>
    <col min="1057" max="1057" width="5" customWidth="1"/>
    <col min="1291" max="1291" width="1.6640625" customWidth="1"/>
    <col min="1292" max="1292" width="3.6640625" customWidth="1"/>
    <col min="1293" max="1293" width="23.44140625" customWidth="1"/>
    <col min="1294" max="1305" width="4.44140625" customWidth="1"/>
    <col min="1306" max="1306" width="6.109375" customWidth="1"/>
    <col min="1307" max="1307" width="4.44140625" customWidth="1"/>
    <col min="1308" max="1308" width="7.5546875" customWidth="1"/>
    <col min="1309" max="1309" width="4.44140625" customWidth="1"/>
    <col min="1310" max="1310" width="6.33203125" customWidth="1"/>
    <col min="1311" max="1311" width="7.88671875" customWidth="1"/>
    <col min="1312" max="1312" width="3.44140625" customWidth="1"/>
    <col min="1313" max="1313" width="5" customWidth="1"/>
    <col min="1547" max="1547" width="1.6640625" customWidth="1"/>
    <col min="1548" max="1548" width="3.6640625" customWidth="1"/>
    <col min="1549" max="1549" width="23.44140625" customWidth="1"/>
    <col min="1550" max="1561" width="4.44140625" customWidth="1"/>
    <col min="1562" max="1562" width="6.109375" customWidth="1"/>
    <col min="1563" max="1563" width="4.44140625" customWidth="1"/>
    <col min="1564" max="1564" width="7.5546875" customWidth="1"/>
    <col min="1565" max="1565" width="4.44140625" customWidth="1"/>
    <col min="1566" max="1566" width="6.33203125" customWidth="1"/>
    <col min="1567" max="1567" width="7.88671875" customWidth="1"/>
    <col min="1568" max="1568" width="3.44140625" customWidth="1"/>
    <col min="1569" max="1569" width="5" customWidth="1"/>
    <col min="1803" max="1803" width="1.6640625" customWidth="1"/>
    <col min="1804" max="1804" width="3.6640625" customWidth="1"/>
    <col min="1805" max="1805" width="23.44140625" customWidth="1"/>
    <col min="1806" max="1817" width="4.44140625" customWidth="1"/>
    <col min="1818" max="1818" width="6.109375" customWidth="1"/>
    <col min="1819" max="1819" width="4.44140625" customWidth="1"/>
    <col min="1820" max="1820" width="7.5546875" customWidth="1"/>
    <col min="1821" max="1821" width="4.44140625" customWidth="1"/>
    <col min="1822" max="1822" width="6.33203125" customWidth="1"/>
    <col min="1823" max="1823" width="7.88671875" customWidth="1"/>
    <col min="1824" max="1824" width="3.44140625" customWidth="1"/>
    <col min="1825" max="1825" width="5" customWidth="1"/>
    <col min="2059" max="2059" width="1.6640625" customWidth="1"/>
    <col min="2060" max="2060" width="3.6640625" customWidth="1"/>
    <col min="2061" max="2061" width="23.44140625" customWidth="1"/>
    <col min="2062" max="2073" width="4.44140625" customWidth="1"/>
    <col min="2074" max="2074" width="6.109375" customWidth="1"/>
    <col min="2075" max="2075" width="4.44140625" customWidth="1"/>
    <col min="2076" max="2076" width="7.5546875" customWidth="1"/>
    <col min="2077" max="2077" width="4.44140625" customWidth="1"/>
    <col min="2078" max="2078" width="6.33203125" customWidth="1"/>
    <col min="2079" max="2079" width="7.88671875" customWidth="1"/>
    <col min="2080" max="2080" width="3.44140625" customWidth="1"/>
    <col min="2081" max="2081" width="5" customWidth="1"/>
    <col min="2315" max="2315" width="1.6640625" customWidth="1"/>
    <col min="2316" max="2316" width="3.6640625" customWidth="1"/>
    <col min="2317" max="2317" width="23.44140625" customWidth="1"/>
    <col min="2318" max="2329" width="4.44140625" customWidth="1"/>
    <col min="2330" max="2330" width="6.109375" customWidth="1"/>
    <col min="2331" max="2331" width="4.44140625" customWidth="1"/>
    <col min="2332" max="2332" width="7.5546875" customWidth="1"/>
    <col min="2333" max="2333" width="4.44140625" customWidth="1"/>
    <col min="2334" max="2334" width="6.33203125" customWidth="1"/>
    <col min="2335" max="2335" width="7.88671875" customWidth="1"/>
    <col min="2336" max="2336" width="3.44140625" customWidth="1"/>
    <col min="2337" max="2337" width="5" customWidth="1"/>
    <col min="2571" max="2571" width="1.6640625" customWidth="1"/>
    <col min="2572" max="2572" width="3.6640625" customWidth="1"/>
    <col min="2573" max="2573" width="23.44140625" customWidth="1"/>
    <col min="2574" max="2585" width="4.44140625" customWidth="1"/>
    <col min="2586" max="2586" width="6.109375" customWidth="1"/>
    <col min="2587" max="2587" width="4.44140625" customWidth="1"/>
    <col min="2588" max="2588" width="7.5546875" customWidth="1"/>
    <col min="2589" max="2589" width="4.44140625" customWidth="1"/>
    <col min="2590" max="2590" width="6.33203125" customWidth="1"/>
    <col min="2591" max="2591" width="7.88671875" customWidth="1"/>
    <col min="2592" max="2592" width="3.44140625" customWidth="1"/>
    <col min="2593" max="2593" width="5" customWidth="1"/>
    <col min="2827" max="2827" width="1.6640625" customWidth="1"/>
    <col min="2828" max="2828" width="3.6640625" customWidth="1"/>
    <col min="2829" max="2829" width="23.44140625" customWidth="1"/>
    <col min="2830" max="2841" width="4.44140625" customWidth="1"/>
    <col min="2842" max="2842" width="6.109375" customWidth="1"/>
    <col min="2843" max="2843" width="4.44140625" customWidth="1"/>
    <col min="2844" max="2844" width="7.5546875" customWidth="1"/>
    <col min="2845" max="2845" width="4.44140625" customWidth="1"/>
    <col min="2846" max="2846" width="6.33203125" customWidth="1"/>
    <col min="2847" max="2847" width="7.88671875" customWidth="1"/>
    <col min="2848" max="2848" width="3.44140625" customWidth="1"/>
    <col min="2849" max="2849" width="5" customWidth="1"/>
    <col min="3083" max="3083" width="1.6640625" customWidth="1"/>
    <col min="3084" max="3084" width="3.6640625" customWidth="1"/>
    <col min="3085" max="3085" width="23.44140625" customWidth="1"/>
    <col min="3086" max="3097" width="4.44140625" customWidth="1"/>
    <col min="3098" max="3098" width="6.109375" customWidth="1"/>
    <col min="3099" max="3099" width="4.44140625" customWidth="1"/>
    <col min="3100" max="3100" width="7.5546875" customWidth="1"/>
    <col min="3101" max="3101" width="4.44140625" customWidth="1"/>
    <col min="3102" max="3102" width="6.33203125" customWidth="1"/>
    <col min="3103" max="3103" width="7.88671875" customWidth="1"/>
    <col min="3104" max="3104" width="3.44140625" customWidth="1"/>
    <col min="3105" max="3105" width="5" customWidth="1"/>
    <col min="3339" max="3339" width="1.6640625" customWidth="1"/>
    <col min="3340" max="3340" width="3.6640625" customWidth="1"/>
    <col min="3341" max="3341" width="23.44140625" customWidth="1"/>
    <col min="3342" max="3353" width="4.44140625" customWidth="1"/>
    <col min="3354" max="3354" width="6.109375" customWidth="1"/>
    <col min="3355" max="3355" width="4.44140625" customWidth="1"/>
    <col min="3356" max="3356" width="7.5546875" customWidth="1"/>
    <col min="3357" max="3357" width="4.44140625" customWidth="1"/>
    <col min="3358" max="3358" width="6.33203125" customWidth="1"/>
    <col min="3359" max="3359" width="7.88671875" customWidth="1"/>
    <col min="3360" max="3360" width="3.44140625" customWidth="1"/>
    <col min="3361" max="3361" width="5" customWidth="1"/>
    <col min="3595" max="3595" width="1.6640625" customWidth="1"/>
    <col min="3596" max="3596" width="3.6640625" customWidth="1"/>
    <col min="3597" max="3597" width="23.44140625" customWidth="1"/>
    <col min="3598" max="3609" width="4.44140625" customWidth="1"/>
    <col min="3610" max="3610" width="6.109375" customWidth="1"/>
    <col min="3611" max="3611" width="4.44140625" customWidth="1"/>
    <col min="3612" max="3612" width="7.5546875" customWidth="1"/>
    <col min="3613" max="3613" width="4.44140625" customWidth="1"/>
    <col min="3614" max="3614" width="6.33203125" customWidth="1"/>
    <col min="3615" max="3615" width="7.88671875" customWidth="1"/>
    <col min="3616" max="3616" width="3.44140625" customWidth="1"/>
    <col min="3617" max="3617" width="5" customWidth="1"/>
    <col min="3851" max="3851" width="1.6640625" customWidth="1"/>
    <col min="3852" max="3852" width="3.6640625" customWidth="1"/>
    <col min="3853" max="3853" width="23.44140625" customWidth="1"/>
    <col min="3854" max="3865" width="4.44140625" customWidth="1"/>
    <col min="3866" max="3866" width="6.109375" customWidth="1"/>
    <col min="3867" max="3867" width="4.44140625" customWidth="1"/>
    <col min="3868" max="3868" width="7.5546875" customWidth="1"/>
    <col min="3869" max="3869" width="4.44140625" customWidth="1"/>
    <col min="3870" max="3870" width="6.33203125" customWidth="1"/>
    <col min="3871" max="3871" width="7.88671875" customWidth="1"/>
    <col min="3872" max="3872" width="3.44140625" customWidth="1"/>
    <col min="3873" max="3873" width="5" customWidth="1"/>
    <col min="4107" max="4107" width="1.6640625" customWidth="1"/>
    <col min="4108" max="4108" width="3.6640625" customWidth="1"/>
    <col min="4109" max="4109" width="23.44140625" customWidth="1"/>
    <col min="4110" max="4121" width="4.44140625" customWidth="1"/>
    <col min="4122" max="4122" width="6.109375" customWidth="1"/>
    <col min="4123" max="4123" width="4.44140625" customWidth="1"/>
    <col min="4124" max="4124" width="7.5546875" customWidth="1"/>
    <col min="4125" max="4125" width="4.44140625" customWidth="1"/>
    <col min="4126" max="4126" width="6.33203125" customWidth="1"/>
    <col min="4127" max="4127" width="7.88671875" customWidth="1"/>
    <col min="4128" max="4128" width="3.44140625" customWidth="1"/>
    <col min="4129" max="4129" width="5" customWidth="1"/>
    <col min="4363" max="4363" width="1.6640625" customWidth="1"/>
    <col min="4364" max="4364" width="3.6640625" customWidth="1"/>
    <col min="4365" max="4365" width="23.44140625" customWidth="1"/>
    <col min="4366" max="4377" width="4.44140625" customWidth="1"/>
    <col min="4378" max="4378" width="6.109375" customWidth="1"/>
    <col min="4379" max="4379" width="4.44140625" customWidth="1"/>
    <col min="4380" max="4380" width="7.5546875" customWidth="1"/>
    <col min="4381" max="4381" width="4.44140625" customWidth="1"/>
    <col min="4382" max="4382" width="6.33203125" customWidth="1"/>
    <col min="4383" max="4383" width="7.88671875" customWidth="1"/>
    <col min="4384" max="4384" width="3.44140625" customWidth="1"/>
    <col min="4385" max="4385" width="5" customWidth="1"/>
    <col min="4619" max="4619" width="1.6640625" customWidth="1"/>
    <col min="4620" max="4620" width="3.6640625" customWidth="1"/>
    <col min="4621" max="4621" width="23.44140625" customWidth="1"/>
    <col min="4622" max="4633" width="4.44140625" customWidth="1"/>
    <col min="4634" max="4634" width="6.109375" customWidth="1"/>
    <col min="4635" max="4635" width="4.44140625" customWidth="1"/>
    <col min="4636" max="4636" width="7.5546875" customWidth="1"/>
    <col min="4637" max="4637" width="4.44140625" customWidth="1"/>
    <col min="4638" max="4638" width="6.33203125" customWidth="1"/>
    <col min="4639" max="4639" width="7.88671875" customWidth="1"/>
    <col min="4640" max="4640" width="3.44140625" customWidth="1"/>
    <col min="4641" max="4641" width="5" customWidth="1"/>
    <col min="4875" max="4875" width="1.6640625" customWidth="1"/>
    <col min="4876" max="4876" width="3.6640625" customWidth="1"/>
    <col min="4877" max="4877" width="23.44140625" customWidth="1"/>
    <col min="4878" max="4889" width="4.44140625" customWidth="1"/>
    <col min="4890" max="4890" width="6.109375" customWidth="1"/>
    <col min="4891" max="4891" width="4.44140625" customWidth="1"/>
    <col min="4892" max="4892" width="7.5546875" customWidth="1"/>
    <col min="4893" max="4893" width="4.44140625" customWidth="1"/>
    <col min="4894" max="4894" width="6.33203125" customWidth="1"/>
    <col min="4895" max="4895" width="7.88671875" customWidth="1"/>
    <col min="4896" max="4896" width="3.44140625" customWidth="1"/>
    <col min="4897" max="4897" width="5" customWidth="1"/>
    <col min="5131" max="5131" width="1.6640625" customWidth="1"/>
    <col min="5132" max="5132" width="3.6640625" customWidth="1"/>
    <col min="5133" max="5133" width="23.44140625" customWidth="1"/>
    <col min="5134" max="5145" width="4.44140625" customWidth="1"/>
    <col min="5146" max="5146" width="6.109375" customWidth="1"/>
    <col min="5147" max="5147" width="4.44140625" customWidth="1"/>
    <col min="5148" max="5148" width="7.5546875" customWidth="1"/>
    <col min="5149" max="5149" width="4.44140625" customWidth="1"/>
    <col min="5150" max="5150" width="6.33203125" customWidth="1"/>
    <col min="5151" max="5151" width="7.88671875" customWidth="1"/>
    <col min="5152" max="5152" width="3.44140625" customWidth="1"/>
    <col min="5153" max="5153" width="5" customWidth="1"/>
    <col min="5387" max="5387" width="1.6640625" customWidth="1"/>
    <col min="5388" max="5388" width="3.6640625" customWidth="1"/>
    <col min="5389" max="5389" width="23.44140625" customWidth="1"/>
    <col min="5390" max="5401" width="4.44140625" customWidth="1"/>
    <col min="5402" max="5402" width="6.109375" customWidth="1"/>
    <col min="5403" max="5403" width="4.44140625" customWidth="1"/>
    <col min="5404" max="5404" width="7.5546875" customWidth="1"/>
    <col min="5405" max="5405" width="4.44140625" customWidth="1"/>
    <col min="5406" max="5406" width="6.33203125" customWidth="1"/>
    <col min="5407" max="5407" width="7.88671875" customWidth="1"/>
    <col min="5408" max="5408" width="3.44140625" customWidth="1"/>
    <col min="5409" max="5409" width="5" customWidth="1"/>
    <col min="5643" max="5643" width="1.6640625" customWidth="1"/>
    <col min="5644" max="5644" width="3.6640625" customWidth="1"/>
    <col min="5645" max="5645" width="23.44140625" customWidth="1"/>
    <col min="5646" max="5657" width="4.44140625" customWidth="1"/>
    <col min="5658" max="5658" width="6.109375" customWidth="1"/>
    <col min="5659" max="5659" width="4.44140625" customWidth="1"/>
    <col min="5660" max="5660" width="7.5546875" customWidth="1"/>
    <col min="5661" max="5661" width="4.44140625" customWidth="1"/>
    <col min="5662" max="5662" width="6.33203125" customWidth="1"/>
    <col min="5663" max="5663" width="7.88671875" customWidth="1"/>
    <col min="5664" max="5664" width="3.44140625" customWidth="1"/>
    <col min="5665" max="5665" width="5" customWidth="1"/>
    <col min="5899" max="5899" width="1.6640625" customWidth="1"/>
    <col min="5900" max="5900" width="3.6640625" customWidth="1"/>
    <col min="5901" max="5901" width="23.44140625" customWidth="1"/>
    <col min="5902" max="5913" width="4.44140625" customWidth="1"/>
    <col min="5914" max="5914" width="6.109375" customWidth="1"/>
    <col min="5915" max="5915" width="4.44140625" customWidth="1"/>
    <col min="5916" max="5916" width="7.5546875" customWidth="1"/>
    <col min="5917" max="5917" width="4.44140625" customWidth="1"/>
    <col min="5918" max="5918" width="6.33203125" customWidth="1"/>
    <col min="5919" max="5919" width="7.88671875" customWidth="1"/>
    <col min="5920" max="5920" width="3.44140625" customWidth="1"/>
    <col min="5921" max="5921" width="5" customWidth="1"/>
    <col min="6155" max="6155" width="1.6640625" customWidth="1"/>
    <col min="6156" max="6156" width="3.6640625" customWidth="1"/>
    <col min="6157" max="6157" width="23.44140625" customWidth="1"/>
    <col min="6158" max="6169" width="4.44140625" customWidth="1"/>
    <col min="6170" max="6170" width="6.109375" customWidth="1"/>
    <col min="6171" max="6171" width="4.44140625" customWidth="1"/>
    <col min="6172" max="6172" width="7.5546875" customWidth="1"/>
    <col min="6173" max="6173" width="4.44140625" customWidth="1"/>
    <col min="6174" max="6174" width="6.33203125" customWidth="1"/>
    <col min="6175" max="6175" width="7.88671875" customWidth="1"/>
    <col min="6176" max="6176" width="3.44140625" customWidth="1"/>
    <col min="6177" max="6177" width="5" customWidth="1"/>
    <col min="6411" max="6411" width="1.6640625" customWidth="1"/>
    <col min="6412" max="6412" width="3.6640625" customWidth="1"/>
    <col min="6413" max="6413" width="23.44140625" customWidth="1"/>
    <col min="6414" max="6425" width="4.44140625" customWidth="1"/>
    <col min="6426" max="6426" width="6.109375" customWidth="1"/>
    <col min="6427" max="6427" width="4.44140625" customWidth="1"/>
    <col min="6428" max="6428" width="7.5546875" customWidth="1"/>
    <col min="6429" max="6429" width="4.44140625" customWidth="1"/>
    <col min="6430" max="6430" width="6.33203125" customWidth="1"/>
    <col min="6431" max="6431" width="7.88671875" customWidth="1"/>
    <col min="6432" max="6432" width="3.44140625" customWidth="1"/>
    <col min="6433" max="6433" width="5" customWidth="1"/>
    <col min="6667" max="6667" width="1.6640625" customWidth="1"/>
    <col min="6668" max="6668" width="3.6640625" customWidth="1"/>
    <col min="6669" max="6669" width="23.44140625" customWidth="1"/>
    <col min="6670" max="6681" width="4.44140625" customWidth="1"/>
    <col min="6682" max="6682" width="6.109375" customWidth="1"/>
    <col min="6683" max="6683" width="4.44140625" customWidth="1"/>
    <col min="6684" max="6684" width="7.5546875" customWidth="1"/>
    <col min="6685" max="6685" width="4.44140625" customWidth="1"/>
    <col min="6686" max="6686" width="6.33203125" customWidth="1"/>
    <col min="6687" max="6687" width="7.88671875" customWidth="1"/>
    <col min="6688" max="6688" width="3.44140625" customWidth="1"/>
    <col min="6689" max="6689" width="5" customWidth="1"/>
    <col min="6923" max="6923" width="1.6640625" customWidth="1"/>
    <col min="6924" max="6924" width="3.6640625" customWidth="1"/>
    <col min="6925" max="6925" width="23.44140625" customWidth="1"/>
    <col min="6926" max="6937" width="4.44140625" customWidth="1"/>
    <col min="6938" max="6938" width="6.109375" customWidth="1"/>
    <col min="6939" max="6939" width="4.44140625" customWidth="1"/>
    <col min="6940" max="6940" width="7.5546875" customWidth="1"/>
    <col min="6941" max="6941" width="4.44140625" customWidth="1"/>
    <col min="6942" max="6942" width="6.33203125" customWidth="1"/>
    <col min="6943" max="6943" width="7.88671875" customWidth="1"/>
    <col min="6944" max="6944" width="3.44140625" customWidth="1"/>
    <col min="6945" max="6945" width="5" customWidth="1"/>
    <col min="7179" max="7179" width="1.6640625" customWidth="1"/>
    <col min="7180" max="7180" width="3.6640625" customWidth="1"/>
    <col min="7181" max="7181" width="23.44140625" customWidth="1"/>
    <col min="7182" max="7193" width="4.44140625" customWidth="1"/>
    <col min="7194" max="7194" width="6.109375" customWidth="1"/>
    <col min="7195" max="7195" width="4.44140625" customWidth="1"/>
    <col min="7196" max="7196" width="7.5546875" customWidth="1"/>
    <col min="7197" max="7197" width="4.44140625" customWidth="1"/>
    <col min="7198" max="7198" width="6.33203125" customWidth="1"/>
    <col min="7199" max="7199" width="7.88671875" customWidth="1"/>
    <col min="7200" max="7200" width="3.44140625" customWidth="1"/>
    <col min="7201" max="7201" width="5" customWidth="1"/>
    <col min="7435" max="7435" width="1.6640625" customWidth="1"/>
    <col min="7436" max="7436" width="3.6640625" customWidth="1"/>
    <col min="7437" max="7437" width="23.44140625" customWidth="1"/>
    <col min="7438" max="7449" width="4.44140625" customWidth="1"/>
    <col min="7450" max="7450" width="6.109375" customWidth="1"/>
    <col min="7451" max="7451" width="4.44140625" customWidth="1"/>
    <col min="7452" max="7452" width="7.5546875" customWidth="1"/>
    <col min="7453" max="7453" width="4.44140625" customWidth="1"/>
    <col min="7454" max="7454" width="6.33203125" customWidth="1"/>
    <col min="7455" max="7455" width="7.88671875" customWidth="1"/>
    <col min="7456" max="7456" width="3.44140625" customWidth="1"/>
    <col min="7457" max="7457" width="5" customWidth="1"/>
    <col min="7691" max="7691" width="1.6640625" customWidth="1"/>
    <col min="7692" max="7692" width="3.6640625" customWidth="1"/>
    <col min="7693" max="7693" width="23.44140625" customWidth="1"/>
    <col min="7694" max="7705" width="4.44140625" customWidth="1"/>
    <col min="7706" max="7706" width="6.109375" customWidth="1"/>
    <col min="7707" max="7707" width="4.44140625" customWidth="1"/>
    <col min="7708" max="7708" width="7.5546875" customWidth="1"/>
    <col min="7709" max="7709" width="4.44140625" customWidth="1"/>
    <col min="7710" max="7710" width="6.33203125" customWidth="1"/>
    <col min="7711" max="7711" width="7.88671875" customWidth="1"/>
    <col min="7712" max="7712" width="3.44140625" customWidth="1"/>
    <col min="7713" max="7713" width="5" customWidth="1"/>
    <col min="7947" max="7947" width="1.6640625" customWidth="1"/>
    <col min="7948" max="7948" width="3.6640625" customWidth="1"/>
    <col min="7949" max="7949" width="23.44140625" customWidth="1"/>
    <col min="7950" max="7961" width="4.44140625" customWidth="1"/>
    <col min="7962" max="7962" width="6.109375" customWidth="1"/>
    <col min="7963" max="7963" width="4.44140625" customWidth="1"/>
    <col min="7964" max="7964" width="7.5546875" customWidth="1"/>
    <col min="7965" max="7965" width="4.44140625" customWidth="1"/>
    <col min="7966" max="7966" width="6.33203125" customWidth="1"/>
    <col min="7967" max="7967" width="7.88671875" customWidth="1"/>
    <col min="7968" max="7968" width="3.44140625" customWidth="1"/>
    <col min="7969" max="7969" width="5" customWidth="1"/>
    <col min="8203" max="8203" width="1.6640625" customWidth="1"/>
    <col min="8204" max="8204" width="3.6640625" customWidth="1"/>
    <col min="8205" max="8205" width="23.44140625" customWidth="1"/>
    <col min="8206" max="8217" width="4.44140625" customWidth="1"/>
    <col min="8218" max="8218" width="6.109375" customWidth="1"/>
    <col min="8219" max="8219" width="4.44140625" customWidth="1"/>
    <col min="8220" max="8220" width="7.5546875" customWidth="1"/>
    <col min="8221" max="8221" width="4.44140625" customWidth="1"/>
    <col min="8222" max="8222" width="6.33203125" customWidth="1"/>
    <col min="8223" max="8223" width="7.88671875" customWidth="1"/>
    <col min="8224" max="8224" width="3.44140625" customWidth="1"/>
    <col min="8225" max="8225" width="5" customWidth="1"/>
    <col min="8459" max="8459" width="1.6640625" customWidth="1"/>
    <col min="8460" max="8460" width="3.6640625" customWidth="1"/>
    <col min="8461" max="8461" width="23.44140625" customWidth="1"/>
    <col min="8462" max="8473" width="4.44140625" customWidth="1"/>
    <col min="8474" max="8474" width="6.109375" customWidth="1"/>
    <col min="8475" max="8475" width="4.44140625" customWidth="1"/>
    <col min="8476" max="8476" width="7.5546875" customWidth="1"/>
    <col min="8477" max="8477" width="4.44140625" customWidth="1"/>
    <col min="8478" max="8478" width="6.33203125" customWidth="1"/>
    <col min="8479" max="8479" width="7.88671875" customWidth="1"/>
    <col min="8480" max="8480" width="3.44140625" customWidth="1"/>
    <col min="8481" max="8481" width="5" customWidth="1"/>
    <col min="8715" max="8715" width="1.6640625" customWidth="1"/>
    <col min="8716" max="8716" width="3.6640625" customWidth="1"/>
    <col min="8717" max="8717" width="23.44140625" customWidth="1"/>
    <col min="8718" max="8729" width="4.44140625" customWidth="1"/>
    <col min="8730" max="8730" width="6.109375" customWidth="1"/>
    <col min="8731" max="8731" width="4.44140625" customWidth="1"/>
    <col min="8732" max="8732" width="7.5546875" customWidth="1"/>
    <col min="8733" max="8733" width="4.44140625" customWidth="1"/>
    <col min="8734" max="8734" width="6.33203125" customWidth="1"/>
    <col min="8735" max="8735" width="7.88671875" customWidth="1"/>
    <col min="8736" max="8736" width="3.44140625" customWidth="1"/>
    <col min="8737" max="8737" width="5" customWidth="1"/>
    <col min="8971" max="8971" width="1.6640625" customWidth="1"/>
    <col min="8972" max="8972" width="3.6640625" customWidth="1"/>
    <col min="8973" max="8973" width="23.44140625" customWidth="1"/>
    <col min="8974" max="8985" width="4.44140625" customWidth="1"/>
    <col min="8986" max="8986" width="6.109375" customWidth="1"/>
    <col min="8987" max="8987" width="4.44140625" customWidth="1"/>
    <col min="8988" max="8988" width="7.5546875" customWidth="1"/>
    <col min="8989" max="8989" width="4.44140625" customWidth="1"/>
    <col min="8990" max="8990" width="6.33203125" customWidth="1"/>
    <col min="8991" max="8991" width="7.88671875" customWidth="1"/>
    <col min="8992" max="8992" width="3.44140625" customWidth="1"/>
    <col min="8993" max="8993" width="5" customWidth="1"/>
    <col min="9227" max="9227" width="1.6640625" customWidth="1"/>
    <col min="9228" max="9228" width="3.6640625" customWidth="1"/>
    <col min="9229" max="9229" width="23.44140625" customWidth="1"/>
    <col min="9230" max="9241" width="4.44140625" customWidth="1"/>
    <col min="9242" max="9242" width="6.109375" customWidth="1"/>
    <col min="9243" max="9243" width="4.44140625" customWidth="1"/>
    <col min="9244" max="9244" width="7.5546875" customWidth="1"/>
    <col min="9245" max="9245" width="4.44140625" customWidth="1"/>
    <col min="9246" max="9246" width="6.33203125" customWidth="1"/>
    <col min="9247" max="9247" width="7.88671875" customWidth="1"/>
    <col min="9248" max="9248" width="3.44140625" customWidth="1"/>
    <col min="9249" max="9249" width="5" customWidth="1"/>
    <col min="9483" max="9483" width="1.6640625" customWidth="1"/>
    <col min="9484" max="9484" width="3.6640625" customWidth="1"/>
    <col min="9485" max="9485" width="23.44140625" customWidth="1"/>
    <col min="9486" max="9497" width="4.44140625" customWidth="1"/>
    <col min="9498" max="9498" width="6.109375" customWidth="1"/>
    <col min="9499" max="9499" width="4.44140625" customWidth="1"/>
    <col min="9500" max="9500" width="7.5546875" customWidth="1"/>
    <col min="9501" max="9501" width="4.44140625" customWidth="1"/>
    <col min="9502" max="9502" width="6.33203125" customWidth="1"/>
    <col min="9503" max="9503" width="7.88671875" customWidth="1"/>
    <col min="9504" max="9504" width="3.44140625" customWidth="1"/>
    <col min="9505" max="9505" width="5" customWidth="1"/>
    <col min="9739" max="9739" width="1.6640625" customWidth="1"/>
    <col min="9740" max="9740" width="3.6640625" customWidth="1"/>
    <col min="9741" max="9741" width="23.44140625" customWidth="1"/>
    <col min="9742" max="9753" width="4.44140625" customWidth="1"/>
    <col min="9754" max="9754" width="6.109375" customWidth="1"/>
    <col min="9755" max="9755" width="4.44140625" customWidth="1"/>
    <col min="9756" max="9756" width="7.5546875" customWidth="1"/>
    <col min="9757" max="9757" width="4.44140625" customWidth="1"/>
    <col min="9758" max="9758" width="6.33203125" customWidth="1"/>
    <col min="9759" max="9759" width="7.88671875" customWidth="1"/>
    <col min="9760" max="9760" width="3.44140625" customWidth="1"/>
    <col min="9761" max="9761" width="5" customWidth="1"/>
    <col min="9995" max="9995" width="1.6640625" customWidth="1"/>
    <col min="9996" max="9996" width="3.6640625" customWidth="1"/>
    <col min="9997" max="9997" width="23.44140625" customWidth="1"/>
    <col min="9998" max="10009" width="4.44140625" customWidth="1"/>
    <col min="10010" max="10010" width="6.109375" customWidth="1"/>
    <col min="10011" max="10011" width="4.44140625" customWidth="1"/>
    <col min="10012" max="10012" width="7.5546875" customWidth="1"/>
    <col min="10013" max="10013" width="4.44140625" customWidth="1"/>
    <col min="10014" max="10014" width="6.33203125" customWidth="1"/>
    <col min="10015" max="10015" width="7.88671875" customWidth="1"/>
    <col min="10016" max="10016" width="3.44140625" customWidth="1"/>
    <col min="10017" max="10017" width="5" customWidth="1"/>
    <col min="10251" max="10251" width="1.6640625" customWidth="1"/>
    <col min="10252" max="10252" width="3.6640625" customWidth="1"/>
    <col min="10253" max="10253" width="23.44140625" customWidth="1"/>
    <col min="10254" max="10265" width="4.44140625" customWidth="1"/>
    <col min="10266" max="10266" width="6.109375" customWidth="1"/>
    <col min="10267" max="10267" width="4.44140625" customWidth="1"/>
    <col min="10268" max="10268" width="7.5546875" customWidth="1"/>
    <col min="10269" max="10269" width="4.44140625" customWidth="1"/>
    <col min="10270" max="10270" width="6.33203125" customWidth="1"/>
    <col min="10271" max="10271" width="7.88671875" customWidth="1"/>
    <col min="10272" max="10272" width="3.44140625" customWidth="1"/>
    <col min="10273" max="10273" width="5" customWidth="1"/>
    <col min="10507" max="10507" width="1.6640625" customWidth="1"/>
    <col min="10508" max="10508" width="3.6640625" customWidth="1"/>
    <col min="10509" max="10509" width="23.44140625" customWidth="1"/>
    <col min="10510" max="10521" width="4.44140625" customWidth="1"/>
    <col min="10522" max="10522" width="6.109375" customWidth="1"/>
    <col min="10523" max="10523" width="4.44140625" customWidth="1"/>
    <col min="10524" max="10524" width="7.5546875" customWidth="1"/>
    <col min="10525" max="10525" width="4.44140625" customWidth="1"/>
    <col min="10526" max="10526" width="6.33203125" customWidth="1"/>
    <col min="10527" max="10527" width="7.88671875" customWidth="1"/>
    <col min="10528" max="10528" width="3.44140625" customWidth="1"/>
    <col min="10529" max="10529" width="5" customWidth="1"/>
    <col min="10763" max="10763" width="1.6640625" customWidth="1"/>
    <col min="10764" max="10764" width="3.6640625" customWidth="1"/>
    <col min="10765" max="10765" width="23.44140625" customWidth="1"/>
    <col min="10766" max="10777" width="4.44140625" customWidth="1"/>
    <col min="10778" max="10778" width="6.109375" customWidth="1"/>
    <col min="10779" max="10779" width="4.44140625" customWidth="1"/>
    <col min="10780" max="10780" width="7.5546875" customWidth="1"/>
    <col min="10781" max="10781" width="4.44140625" customWidth="1"/>
    <col min="10782" max="10782" width="6.33203125" customWidth="1"/>
    <col min="10783" max="10783" width="7.88671875" customWidth="1"/>
    <col min="10784" max="10784" width="3.44140625" customWidth="1"/>
    <col min="10785" max="10785" width="5" customWidth="1"/>
    <col min="11019" max="11019" width="1.6640625" customWidth="1"/>
    <col min="11020" max="11020" width="3.6640625" customWidth="1"/>
    <col min="11021" max="11021" width="23.44140625" customWidth="1"/>
    <col min="11022" max="11033" width="4.44140625" customWidth="1"/>
    <col min="11034" max="11034" width="6.109375" customWidth="1"/>
    <col min="11035" max="11035" width="4.44140625" customWidth="1"/>
    <col min="11036" max="11036" width="7.5546875" customWidth="1"/>
    <col min="11037" max="11037" width="4.44140625" customWidth="1"/>
    <col min="11038" max="11038" width="6.33203125" customWidth="1"/>
    <col min="11039" max="11039" width="7.88671875" customWidth="1"/>
    <col min="11040" max="11040" width="3.44140625" customWidth="1"/>
    <col min="11041" max="11041" width="5" customWidth="1"/>
    <col min="11275" max="11275" width="1.6640625" customWidth="1"/>
    <col min="11276" max="11276" width="3.6640625" customWidth="1"/>
    <col min="11277" max="11277" width="23.44140625" customWidth="1"/>
    <col min="11278" max="11289" width="4.44140625" customWidth="1"/>
    <col min="11290" max="11290" width="6.109375" customWidth="1"/>
    <col min="11291" max="11291" width="4.44140625" customWidth="1"/>
    <col min="11292" max="11292" width="7.5546875" customWidth="1"/>
    <col min="11293" max="11293" width="4.44140625" customWidth="1"/>
    <col min="11294" max="11294" width="6.33203125" customWidth="1"/>
    <col min="11295" max="11295" width="7.88671875" customWidth="1"/>
    <col min="11296" max="11296" width="3.44140625" customWidth="1"/>
    <col min="11297" max="11297" width="5" customWidth="1"/>
    <col min="11531" max="11531" width="1.6640625" customWidth="1"/>
    <col min="11532" max="11532" width="3.6640625" customWidth="1"/>
    <col min="11533" max="11533" width="23.44140625" customWidth="1"/>
    <col min="11534" max="11545" width="4.44140625" customWidth="1"/>
    <col min="11546" max="11546" width="6.109375" customWidth="1"/>
    <col min="11547" max="11547" width="4.44140625" customWidth="1"/>
    <col min="11548" max="11548" width="7.5546875" customWidth="1"/>
    <col min="11549" max="11549" width="4.44140625" customWidth="1"/>
    <col min="11550" max="11550" width="6.33203125" customWidth="1"/>
    <col min="11551" max="11551" width="7.88671875" customWidth="1"/>
    <col min="11552" max="11552" width="3.44140625" customWidth="1"/>
    <col min="11553" max="11553" width="5" customWidth="1"/>
    <col min="11787" max="11787" width="1.6640625" customWidth="1"/>
    <col min="11788" max="11788" width="3.6640625" customWidth="1"/>
    <col min="11789" max="11789" width="23.44140625" customWidth="1"/>
    <col min="11790" max="11801" width="4.44140625" customWidth="1"/>
    <col min="11802" max="11802" width="6.109375" customWidth="1"/>
    <col min="11803" max="11803" width="4.44140625" customWidth="1"/>
    <col min="11804" max="11804" width="7.5546875" customWidth="1"/>
    <col min="11805" max="11805" width="4.44140625" customWidth="1"/>
    <col min="11806" max="11806" width="6.33203125" customWidth="1"/>
    <col min="11807" max="11807" width="7.88671875" customWidth="1"/>
    <col min="11808" max="11808" width="3.44140625" customWidth="1"/>
    <col min="11809" max="11809" width="5" customWidth="1"/>
    <col min="12043" max="12043" width="1.6640625" customWidth="1"/>
    <col min="12044" max="12044" width="3.6640625" customWidth="1"/>
    <col min="12045" max="12045" width="23.44140625" customWidth="1"/>
    <col min="12046" max="12057" width="4.44140625" customWidth="1"/>
    <col min="12058" max="12058" width="6.109375" customWidth="1"/>
    <col min="12059" max="12059" width="4.44140625" customWidth="1"/>
    <col min="12060" max="12060" width="7.5546875" customWidth="1"/>
    <col min="12061" max="12061" width="4.44140625" customWidth="1"/>
    <col min="12062" max="12062" width="6.33203125" customWidth="1"/>
    <col min="12063" max="12063" width="7.88671875" customWidth="1"/>
    <col min="12064" max="12064" width="3.44140625" customWidth="1"/>
    <col min="12065" max="12065" width="5" customWidth="1"/>
    <col min="12299" max="12299" width="1.6640625" customWidth="1"/>
    <col min="12300" max="12300" width="3.6640625" customWidth="1"/>
    <col min="12301" max="12301" width="23.44140625" customWidth="1"/>
    <col min="12302" max="12313" width="4.44140625" customWidth="1"/>
    <col min="12314" max="12314" width="6.109375" customWidth="1"/>
    <col min="12315" max="12315" width="4.44140625" customWidth="1"/>
    <col min="12316" max="12316" width="7.5546875" customWidth="1"/>
    <col min="12317" max="12317" width="4.44140625" customWidth="1"/>
    <col min="12318" max="12318" width="6.33203125" customWidth="1"/>
    <col min="12319" max="12319" width="7.88671875" customWidth="1"/>
    <col min="12320" max="12320" width="3.44140625" customWidth="1"/>
    <col min="12321" max="12321" width="5" customWidth="1"/>
    <col min="12555" max="12555" width="1.6640625" customWidth="1"/>
    <col min="12556" max="12556" width="3.6640625" customWidth="1"/>
    <col min="12557" max="12557" width="23.44140625" customWidth="1"/>
    <col min="12558" max="12569" width="4.44140625" customWidth="1"/>
    <col min="12570" max="12570" width="6.109375" customWidth="1"/>
    <col min="12571" max="12571" width="4.44140625" customWidth="1"/>
    <col min="12572" max="12572" width="7.5546875" customWidth="1"/>
    <col min="12573" max="12573" width="4.44140625" customWidth="1"/>
    <col min="12574" max="12574" width="6.33203125" customWidth="1"/>
    <col min="12575" max="12575" width="7.88671875" customWidth="1"/>
    <col min="12576" max="12576" width="3.44140625" customWidth="1"/>
    <col min="12577" max="12577" width="5" customWidth="1"/>
    <col min="12811" max="12811" width="1.6640625" customWidth="1"/>
    <col min="12812" max="12812" width="3.6640625" customWidth="1"/>
    <col min="12813" max="12813" width="23.44140625" customWidth="1"/>
    <col min="12814" max="12825" width="4.44140625" customWidth="1"/>
    <col min="12826" max="12826" width="6.109375" customWidth="1"/>
    <col min="12827" max="12827" width="4.44140625" customWidth="1"/>
    <col min="12828" max="12828" width="7.5546875" customWidth="1"/>
    <col min="12829" max="12829" width="4.44140625" customWidth="1"/>
    <col min="12830" max="12830" width="6.33203125" customWidth="1"/>
    <col min="12831" max="12831" width="7.88671875" customWidth="1"/>
    <col min="12832" max="12832" width="3.44140625" customWidth="1"/>
    <col min="12833" max="12833" width="5" customWidth="1"/>
    <col min="13067" max="13067" width="1.6640625" customWidth="1"/>
    <col min="13068" max="13068" width="3.6640625" customWidth="1"/>
    <col min="13069" max="13069" width="23.44140625" customWidth="1"/>
    <col min="13070" max="13081" width="4.44140625" customWidth="1"/>
    <col min="13082" max="13082" width="6.109375" customWidth="1"/>
    <col min="13083" max="13083" width="4.44140625" customWidth="1"/>
    <col min="13084" max="13084" width="7.5546875" customWidth="1"/>
    <col min="13085" max="13085" width="4.44140625" customWidth="1"/>
    <col min="13086" max="13086" width="6.33203125" customWidth="1"/>
    <col min="13087" max="13087" width="7.88671875" customWidth="1"/>
    <col min="13088" max="13088" width="3.44140625" customWidth="1"/>
    <col min="13089" max="13089" width="5" customWidth="1"/>
    <col min="13323" max="13323" width="1.6640625" customWidth="1"/>
    <col min="13324" max="13324" width="3.6640625" customWidth="1"/>
    <col min="13325" max="13325" width="23.44140625" customWidth="1"/>
    <col min="13326" max="13337" width="4.44140625" customWidth="1"/>
    <col min="13338" max="13338" width="6.109375" customWidth="1"/>
    <col min="13339" max="13339" width="4.44140625" customWidth="1"/>
    <col min="13340" max="13340" width="7.5546875" customWidth="1"/>
    <col min="13341" max="13341" width="4.44140625" customWidth="1"/>
    <col min="13342" max="13342" width="6.33203125" customWidth="1"/>
    <col min="13343" max="13343" width="7.88671875" customWidth="1"/>
    <col min="13344" max="13344" width="3.44140625" customWidth="1"/>
    <col min="13345" max="13345" width="5" customWidth="1"/>
    <col min="13579" max="13579" width="1.6640625" customWidth="1"/>
    <col min="13580" max="13580" width="3.6640625" customWidth="1"/>
    <col min="13581" max="13581" width="23.44140625" customWidth="1"/>
    <col min="13582" max="13593" width="4.44140625" customWidth="1"/>
    <col min="13594" max="13594" width="6.109375" customWidth="1"/>
    <col min="13595" max="13595" width="4.44140625" customWidth="1"/>
    <col min="13596" max="13596" width="7.5546875" customWidth="1"/>
    <col min="13597" max="13597" width="4.44140625" customWidth="1"/>
    <col min="13598" max="13598" width="6.33203125" customWidth="1"/>
    <col min="13599" max="13599" width="7.88671875" customWidth="1"/>
    <col min="13600" max="13600" width="3.44140625" customWidth="1"/>
    <col min="13601" max="13601" width="5" customWidth="1"/>
    <col min="13835" max="13835" width="1.6640625" customWidth="1"/>
    <col min="13836" max="13836" width="3.6640625" customWidth="1"/>
    <col min="13837" max="13837" width="23.44140625" customWidth="1"/>
    <col min="13838" max="13849" width="4.44140625" customWidth="1"/>
    <col min="13850" max="13850" width="6.109375" customWidth="1"/>
    <col min="13851" max="13851" width="4.44140625" customWidth="1"/>
    <col min="13852" max="13852" width="7.5546875" customWidth="1"/>
    <col min="13853" max="13853" width="4.44140625" customWidth="1"/>
    <col min="13854" max="13854" width="6.33203125" customWidth="1"/>
    <col min="13855" max="13855" width="7.88671875" customWidth="1"/>
    <col min="13856" max="13856" width="3.44140625" customWidth="1"/>
    <col min="13857" max="13857" width="5" customWidth="1"/>
    <col min="14091" max="14091" width="1.6640625" customWidth="1"/>
    <col min="14092" max="14092" width="3.6640625" customWidth="1"/>
    <col min="14093" max="14093" width="23.44140625" customWidth="1"/>
    <col min="14094" max="14105" width="4.44140625" customWidth="1"/>
    <col min="14106" max="14106" width="6.109375" customWidth="1"/>
    <col min="14107" max="14107" width="4.44140625" customWidth="1"/>
    <col min="14108" max="14108" width="7.5546875" customWidth="1"/>
    <col min="14109" max="14109" width="4.44140625" customWidth="1"/>
    <col min="14110" max="14110" width="6.33203125" customWidth="1"/>
    <col min="14111" max="14111" width="7.88671875" customWidth="1"/>
    <col min="14112" max="14112" width="3.44140625" customWidth="1"/>
    <col min="14113" max="14113" width="5" customWidth="1"/>
    <col min="14347" max="14347" width="1.6640625" customWidth="1"/>
    <col min="14348" max="14348" width="3.6640625" customWidth="1"/>
    <col min="14349" max="14349" width="23.44140625" customWidth="1"/>
    <col min="14350" max="14361" width="4.44140625" customWidth="1"/>
    <col min="14362" max="14362" width="6.109375" customWidth="1"/>
    <col min="14363" max="14363" width="4.44140625" customWidth="1"/>
    <col min="14364" max="14364" width="7.5546875" customWidth="1"/>
    <col min="14365" max="14365" width="4.44140625" customWidth="1"/>
    <col min="14366" max="14366" width="6.33203125" customWidth="1"/>
    <col min="14367" max="14367" width="7.88671875" customWidth="1"/>
    <col min="14368" max="14368" width="3.44140625" customWidth="1"/>
    <col min="14369" max="14369" width="5" customWidth="1"/>
    <col min="14603" max="14603" width="1.6640625" customWidth="1"/>
    <col min="14604" max="14604" width="3.6640625" customWidth="1"/>
    <col min="14605" max="14605" width="23.44140625" customWidth="1"/>
    <col min="14606" max="14617" width="4.44140625" customWidth="1"/>
    <col min="14618" max="14618" width="6.109375" customWidth="1"/>
    <col min="14619" max="14619" width="4.44140625" customWidth="1"/>
    <col min="14620" max="14620" width="7.5546875" customWidth="1"/>
    <col min="14621" max="14621" width="4.44140625" customWidth="1"/>
    <col min="14622" max="14622" width="6.33203125" customWidth="1"/>
    <col min="14623" max="14623" width="7.88671875" customWidth="1"/>
    <col min="14624" max="14624" width="3.44140625" customWidth="1"/>
    <col min="14625" max="14625" width="5" customWidth="1"/>
    <col min="14859" max="14859" width="1.6640625" customWidth="1"/>
    <col min="14860" max="14860" width="3.6640625" customWidth="1"/>
    <col min="14861" max="14861" width="23.44140625" customWidth="1"/>
    <col min="14862" max="14873" width="4.44140625" customWidth="1"/>
    <col min="14874" max="14874" width="6.109375" customWidth="1"/>
    <col min="14875" max="14875" width="4.44140625" customWidth="1"/>
    <col min="14876" max="14876" width="7.5546875" customWidth="1"/>
    <col min="14877" max="14877" width="4.44140625" customWidth="1"/>
    <col min="14878" max="14878" width="6.33203125" customWidth="1"/>
    <col min="14879" max="14879" width="7.88671875" customWidth="1"/>
    <col min="14880" max="14880" width="3.44140625" customWidth="1"/>
    <col min="14881" max="14881" width="5" customWidth="1"/>
    <col min="15115" max="15115" width="1.6640625" customWidth="1"/>
    <col min="15116" max="15116" width="3.6640625" customWidth="1"/>
    <col min="15117" max="15117" width="23.44140625" customWidth="1"/>
    <col min="15118" max="15129" width="4.44140625" customWidth="1"/>
    <col min="15130" max="15130" width="6.109375" customWidth="1"/>
    <col min="15131" max="15131" width="4.44140625" customWidth="1"/>
    <col min="15132" max="15132" width="7.5546875" customWidth="1"/>
    <col min="15133" max="15133" width="4.44140625" customWidth="1"/>
    <col min="15134" max="15134" width="6.33203125" customWidth="1"/>
    <col min="15135" max="15135" width="7.88671875" customWidth="1"/>
    <col min="15136" max="15136" width="3.44140625" customWidth="1"/>
    <col min="15137" max="15137" width="5" customWidth="1"/>
    <col min="15371" max="15371" width="1.6640625" customWidth="1"/>
    <col min="15372" max="15372" width="3.6640625" customWidth="1"/>
    <col min="15373" max="15373" width="23.44140625" customWidth="1"/>
    <col min="15374" max="15385" width="4.44140625" customWidth="1"/>
    <col min="15386" max="15386" width="6.109375" customWidth="1"/>
    <col min="15387" max="15387" width="4.44140625" customWidth="1"/>
    <col min="15388" max="15388" width="7.5546875" customWidth="1"/>
    <col min="15389" max="15389" width="4.44140625" customWidth="1"/>
    <col min="15390" max="15390" width="6.33203125" customWidth="1"/>
    <col min="15391" max="15391" width="7.88671875" customWidth="1"/>
    <col min="15392" max="15392" width="3.44140625" customWidth="1"/>
    <col min="15393" max="15393" width="5" customWidth="1"/>
    <col min="15627" max="15627" width="1.6640625" customWidth="1"/>
    <col min="15628" max="15628" width="3.6640625" customWidth="1"/>
    <col min="15629" max="15629" width="23.44140625" customWidth="1"/>
    <col min="15630" max="15641" width="4.44140625" customWidth="1"/>
    <col min="15642" max="15642" width="6.109375" customWidth="1"/>
    <col min="15643" max="15643" width="4.44140625" customWidth="1"/>
    <col min="15644" max="15644" width="7.5546875" customWidth="1"/>
    <col min="15645" max="15645" width="4.44140625" customWidth="1"/>
    <col min="15646" max="15646" width="6.33203125" customWidth="1"/>
    <col min="15647" max="15647" width="7.88671875" customWidth="1"/>
    <col min="15648" max="15648" width="3.44140625" customWidth="1"/>
    <col min="15649" max="15649" width="5" customWidth="1"/>
    <col min="15883" max="15883" width="1.6640625" customWidth="1"/>
    <col min="15884" max="15884" width="3.6640625" customWidth="1"/>
    <col min="15885" max="15885" width="23.44140625" customWidth="1"/>
    <col min="15886" max="15897" width="4.44140625" customWidth="1"/>
    <col min="15898" max="15898" width="6.109375" customWidth="1"/>
    <col min="15899" max="15899" width="4.44140625" customWidth="1"/>
    <col min="15900" max="15900" width="7.5546875" customWidth="1"/>
    <col min="15901" max="15901" width="4.44140625" customWidth="1"/>
    <col min="15902" max="15902" width="6.33203125" customWidth="1"/>
    <col min="15903" max="15903" width="7.88671875" customWidth="1"/>
    <col min="15904" max="15904" width="3.44140625" customWidth="1"/>
    <col min="15905" max="15905" width="5" customWidth="1"/>
    <col min="16139" max="16139" width="1.6640625" customWidth="1"/>
    <col min="16140" max="16140" width="3.6640625" customWidth="1"/>
    <col min="16141" max="16141" width="23.44140625" customWidth="1"/>
    <col min="16142" max="16153" width="4.44140625" customWidth="1"/>
    <col min="16154" max="16154" width="6.109375" customWidth="1"/>
    <col min="16155" max="16155" width="4.44140625" customWidth="1"/>
    <col min="16156" max="16156" width="7.5546875" customWidth="1"/>
    <col min="16157" max="16157" width="4.44140625" customWidth="1"/>
    <col min="16158" max="16158" width="6.33203125" customWidth="1"/>
    <col min="16159" max="16159" width="7.88671875" customWidth="1"/>
    <col min="16160" max="16160" width="3.44140625" customWidth="1"/>
    <col min="16161" max="16161" width="5" customWidth="1"/>
  </cols>
  <sheetData>
    <row r="1" spans="1:31" ht="34.5" customHeight="1" x14ac:dyDescent="0.3">
      <c r="A1" s="280" t="s">
        <v>21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</row>
    <row r="2" spans="1:31" ht="26.25" customHeight="1" x14ac:dyDescent="0.3">
      <c r="B2" s="1"/>
      <c r="C2" s="1"/>
      <c r="D2" s="1"/>
      <c r="E2" s="1"/>
      <c r="F2" s="1"/>
      <c r="G2" s="1"/>
      <c r="H2" s="24"/>
      <c r="I2" s="1"/>
      <c r="J2" s="24"/>
      <c r="K2" s="1"/>
      <c r="L2" s="1"/>
      <c r="M2" s="1"/>
      <c r="N2" s="1"/>
      <c r="O2" s="24"/>
      <c r="P2" s="1"/>
      <c r="Q2" s="24"/>
      <c r="R2" s="1"/>
      <c r="S2" s="1"/>
      <c r="T2" s="1"/>
      <c r="U2" s="1"/>
      <c r="V2" s="24"/>
      <c r="W2" s="1"/>
      <c r="X2" s="24"/>
      <c r="Y2" s="1"/>
    </row>
    <row r="3" spans="1:31" ht="3.6" customHeight="1" x14ac:dyDescent="0.3">
      <c r="B3" s="1"/>
      <c r="C3" s="1"/>
      <c r="D3" s="1"/>
      <c r="E3" s="1"/>
      <c r="F3" s="1"/>
      <c r="G3" s="1"/>
      <c r="H3" s="24"/>
      <c r="I3" s="1"/>
      <c r="J3" s="24"/>
      <c r="K3" s="1"/>
      <c r="L3" s="1"/>
      <c r="M3" s="1"/>
      <c r="N3" s="1"/>
      <c r="O3" s="24"/>
      <c r="P3" s="1"/>
      <c r="Q3" s="24"/>
      <c r="R3" s="1"/>
      <c r="S3" s="1"/>
      <c r="T3" s="1"/>
      <c r="U3" s="1"/>
      <c r="V3" s="24"/>
      <c r="W3" s="1"/>
      <c r="X3" s="24"/>
      <c r="Y3" s="1"/>
    </row>
    <row r="4" spans="1:31" ht="13.5" customHeight="1" x14ac:dyDescent="0.3">
      <c r="B4" s="26"/>
      <c r="C4" s="26"/>
      <c r="D4" s="26"/>
      <c r="E4" s="26"/>
      <c r="F4" s="26"/>
      <c r="G4" s="26"/>
      <c r="H4" s="26"/>
      <c r="I4" s="26"/>
      <c r="J4" s="26"/>
      <c r="K4" s="26"/>
      <c r="L4" s="283" t="s">
        <v>42</v>
      </c>
      <c r="M4" s="283"/>
      <c r="N4" s="283"/>
      <c r="O4" s="283"/>
      <c r="P4" s="283"/>
      <c r="Q4" s="283"/>
      <c r="R4" s="283"/>
      <c r="S4" s="283"/>
      <c r="T4" s="26"/>
      <c r="U4" s="26"/>
      <c r="V4" s="26"/>
      <c r="W4" s="26"/>
      <c r="X4" s="26"/>
      <c r="Y4" s="136" t="s">
        <v>139</v>
      </c>
    </row>
    <row r="5" spans="1:31" ht="15.75" customHeight="1" x14ac:dyDescent="0.3">
      <c r="B5" s="278" t="s">
        <v>13</v>
      </c>
      <c r="C5" s="278"/>
      <c r="D5" s="16"/>
      <c r="E5" s="16"/>
      <c r="G5" s="18"/>
      <c r="H5" s="18"/>
      <c r="I5" s="18"/>
      <c r="J5" s="18"/>
      <c r="K5" s="18"/>
      <c r="L5" s="18" t="s">
        <v>28</v>
      </c>
      <c r="M5" s="18"/>
      <c r="N5" s="18"/>
      <c r="O5" s="18"/>
      <c r="P5" s="18"/>
      <c r="Q5" s="18"/>
      <c r="R5" s="18"/>
      <c r="S5" s="18"/>
      <c r="T5" s="15"/>
      <c r="U5" s="15"/>
      <c r="V5" s="15"/>
      <c r="W5" s="15"/>
      <c r="X5" s="15"/>
      <c r="Y5" s="279" t="s">
        <v>14</v>
      </c>
      <c r="Z5" s="279"/>
      <c r="AA5" s="279"/>
      <c r="AB5" s="279"/>
      <c r="AC5" s="279"/>
      <c r="AD5" s="279"/>
      <c r="AE5" s="279"/>
    </row>
    <row r="6" spans="1:31" ht="16.2" customHeight="1" thickBot="1" x14ac:dyDescent="0.35">
      <c r="B6" s="314" t="s">
        <v>19</v>
      </c>
      <c r="C6" s="314"/>
      <c r="D6" s="67"/>
      <c r="E6" s="67"/>
      <c r="F6" s="68"/>
      <c r="G6" s="68"/>
      <c r="H6" s="68"/>
      <c r="I6" s="68"/>
      <c r="J6" s="68"/>
      <c r="K6" s="68"/>
      <c r="L6" s="69" t="s">
        <v>91</v>
      </c>
      <c r="M6" s="69"/>
      <c r="N6" s="69"/>
      <c r="O6" s="69"/>
      <c r="P6" s="69"/>
      <c r="Q6" s="69"/>
      <c r="R6" s="69"/>
      <c r="S6" s="69"/>
      <c r="T6" s="69"/>
      <c r="U6" s="70"/>
      <c r="V6" s="70"/>
      <c r="W6" s="70"/>
      <c r="X6" s="70"/>
      <c r="Y6" s="315" t="s">
        <v>44</v>
      </c>
      <c r="Z6" s="315"/>
      <c r="AA6" s="315"/>
      <c r="AB6" s="315"/>
      <c r="AC6" s="315"/>
      <c r="AD6" s="315"/>
      <c r="AE6" s="315"/>
    </row>
    <row r="7" spans="1:31" ht="28.5" customHeight="1" thickTop="1" thickBot="1" x14ac:dyDescent="0.85">
      <c r="B7" s="311" t="s">
        <v>25</v>
      </c>
      <c r="C7" s="312"/>
      <c r="D7" s="312"/>
      <c r="E7" s="312"/>
      <c r="F7" s="312"/>
      <c r="G7" s="312"/>
      <c r="H7" s="312"/>
      <c r="I7" s="312"/>
      <c r="J7" s="312"/>
      <c r="K7" s="312"/>
      <c r="L7" s="312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  <c r="AA7" s="312"/>
      <c r="AB7" s="312"/>
      <c r="AC7" s="312"/>
      <c r="AD7" s="312"/>
      <c r="AE7" s="313"/>
    </row>
    <row r="8" spans="1:31" ht="21" customHeight="1" thickTop="1" x14ac:dyDescent="0.3">
      <c r="B8" s="286" t="s">
        <v>16</v>
      </c>
      <c r="C8" s="288" t="s">
        <v>0</v>
      </c>
      <c r="D8" s="290" t="s">
        <v>15</v>
      </c>
      <c r="E8" s="291"/>
      <c r="F8" s="292" t="s">
        <v>22</v>
      </c>
      <c r="G8" s="293"/>
      <c r="H8" s="293"/>
      <c r="I8" s="293"/>
      <c r="J8" s="293"/>
      <c r="K8" s="294"/>
      <c r="L8" s="295" t="s">
        <v>3</v>
      </c>
      <c r="M8" s="292" t="s">
        <v>23</v>
      </c>
      <c r="N8" s="293"/>
      <c r="O8" s="293"/>
      <c r="P8" s="293"/>
      <c r="Q8" s="293"/>
      <c r="R8" s="294"/>
      <c r="S8" s="295" t="s">
        <v>3</v>
      </c>
      <c r="T8" s="292" t="s">
        <v>24</v>
      </c>
      <c r="U8" s="293"/>
      <c r="V8" s="293"/>
      <c r="W8" s="293"/>
      <c r="X8" s="293"/>
      <c r="Y8" s="294"/>
      <c r="Z8" s="297" t="s">
        <v>1</v>
      </c>
      <c r="AA8" s="299" t="s">
        <v>39</v>
      </c>
      <c r="AB8" s="301" t="s">
        <v>20</v>
      </c>
      <c r="AC8" s="303" t="s">
        <v>40</v>
      </c>
      <c r="AD8" s="305" t="s">
        <v>2</v>
      </c>
      <c r="AE8" s="307" t="s">
        <v>3</v>
      </c>
    </row>
    <row r="9" spans="1:31" ht="16.5" customHeight="1" thickBot="1" x14ac:dyDescent="0.35">
      <c r="B9" s="287"/>
      <c r="C9" s="289"/>
      <c r="D9" s="43" t="s">
        <v>17</v>
      </c>
      <c r="E9" s="36" t="s">
        <v>18</v>
      </c>
      <c r="F9" s="53" t="s">
        <v>4</v>
      </c>
      <c r="G9" s="33" t="s">
        <v>5</v>
      </c>
      <c r="H9" s="33" t="s">
        <v>37</v>
      </c>
      <c r="I9" s="33" t="s">
        <v>6</v>
      </c>
      <c r="J9" s="33" t="s">
        <v>38</v>
      </c>
      <c r="K9" s="54" t="s">
        <v>7</v>
      </c>
      <c r="L9" s="296"/>
      <c r="M9" s="53" t="s">
        <v>4</v>
      </c>
      <c r="N9" s="33" t="s">
        <v>5</v>
      </c>
      <c r="O9" s="33" t="s">
        <v>37</v>
      </c>
      <c r="P9" s="33" t="s">
        <v>6</v>
      </c>
      <c r="Q9" s="33" t="s">
        <v>38</v>
      </c>
      <c r="R9" s="54" t="s">
        <v>8</v>
      </c>
      <c r="S9" s="296"/>
      <c r="T9" s="53" t="s">
        <v>4</v>
      </c>
      <c r="U9" s="33" t="s">
        <v>5</v>
      </c>
      <c r="V9" s="33" t="s">
        <v>37</v>
      </c>
      <c r="W9" s="33" t="s">
        <v>6</v>
      </c>
      <c r="X9" s="33" t="s">
        <v>38</v>
      </c>
      <c r="Y9" s="54" t="s">
        <v>9</v>
      </c>
      <c r="Z9" s="298"/>
      <c r="AA9" s="300"/>
      <c r="AB9" s="302"/>
      <c r="AC9" s="304"/>
      <c r="AD9" s="306"/>
      <c r="AE9" s="308"/>
    </row>
    <row r="10" spans="1:31" ht="15.75" customHeight="1" thickTop="1" x14ac:dyDescent="0.3">
      <c r="B10" s="34">
        <v>1</v>
      </c>
      <c r="C10" s="196" t="s">
        <v>99</v>
      </c>
      <c r="D10" s="44"/>
      <c r="E10" s="37"/>
      <c r="F10" s="58">
        <v>12</v>
      </c>
      <c r="G10" s="31">
        <v>5</v>
      </c>
      <c r="H10" s="31"/>
      <c r="I10" s="32">
        <v>16</v>
      </c>
      <c r="J10" s="32"/>
      <c r="K10" s="55">
        <f>AVERAGE(F10,MAX(G10:H10),MAX(I10:J10))</f>
        <v>11</v>
      </c>
      <c r="L10" s="165" t="str">
        <f>IF(K10&gt;=10,"TRANSITA","N/TRANSITA")</f>
        <v>TRANSITA</v>
      </c>
      <c r="M10" s="58">
        <v>17</v>
      </c>
      <c r="N10" s="31">
        <v>16</v>
      </c>
      <c r="O10" s="31"/>
      <c r="P10" s="32">
        <v>15</v>
      </c>
      <c r="Q10" s="32"/>
      <c r="R10" s="55">
        <f>AVERAGE(M10,MAX(N10:O10),MAX(P10:Q10))</f>
        <v>16</v>
      </c>
      <c r="S10" s="165" t="str">
        <f>IF(R10&gt;=10,"TRANSITA","N/TRANSITA")</f>
        <v>TRANSITA</v>
      </c>
      <c r="T10" s="58"/>
      <c r="U10" s="31"/>
      <c r="V10" s="31"/>
      <c r="W10" s="32" t="e">
        <f>AVERAGE(T10:U10)</f>
        <v>#DIV/0!</v>
      </c>
      <c r="X10" s="32"/>
      <c r="Y10" s="55" t="e">
        <f>AVERAGE(T10,MAX(U10:V10),MAX(W10:X10))</f>
        <v>#DIV/0!</v>
      </c>
      <c r="Z10" s="47"/>
      <c r="AA10" s="40">
        <f>Z10*0.4</f>
        <v>0</v>
      </c>
      <c r="AB10" s="61"/>
      <c r="AC10" s="50">
        <f>AB10*0.6</f>
        <v>0</v>
      </c>
      <c r="AD10" s="64">
        <f>AVERAGE(AA10+AC10)</f>
        <v>0</v>
      </c>
      <c r="AE10" s="163" t="str">
        <f>IF(AD10&gt;=10,"APROVADO/A","REPROVADO/A")</f>
        <v>REPROVADO/A</v>
      </c>
    </row>
    <row r="11" spans="1:31" ht="15.75" customHeight="1" x14ac:dyDescent="0.3">
      <c r="B11" s="35">
        <v>2</v>
      </c>
      <c r="C11" s="197" t="s">
        <v>100</v>
      </c>
      <c r="D11" s="45"/>
      <c r="E11" s="38"/>
      <c r="F11" s="59">
        <v>14</v>
      </c>
      <c r="G11" s="27">
        <v>12</v>
      </c>
      <c r="H11" s="27"/>
      <c r="I11" s="32">
        <v>15</v>
      </c>
      <c r="J11" s="28"/>
      <c r="K11" s="56">
        <f t="shared" ref="K11:K51" si="0">AVERAGE(F11,MAX(G11:H11),MAX(I11:J11))</f>
        <v>13.666666666666666</v>
      </c>
      <c r="L11" s="166" t="str">
        <f t="shared" ref="L11:L51" si="1">IF(K11&gt;=10,"TRANSITA","N/TRANSITA")</f>
        <v>TRANSITA</v>
      </c>
      <c r="M11" s="59">
        <v>5</v>
      </c>
      <c r="N11" s="27">
        <v>0</v>
      </c>
      <c r="O11" s="27"/>
      <c r="P11" s="32">
        <v>8</v>
      </c>
      <c r="Q11" s="28"/>
      <c r="R11" s="56">
        <f t="shared" ref="R11:R51" si="2">AVERAGE(M11,MAX(N11:O11),MAX(P11:Q11))</f>
        <v>4.333333333333333</v>
      </c>
      <c r="S11" s="166" t="str">
        <f t="shared" ref="S11:S51" si="3">IF(R11&gt;=10,"TRANSITA","N/TRANSITA")</f>
        <v>N/TRANSITA</v>
      </c>
      <c r="T11" s="59"/>
      <c r="U11" s="27"/>
      <c r="V11" s="27"/>
      <c r="W11" s="32" t="e">
        <f t="shared" ref="W11:W51" si="4">AVERAGE(T11:U11)</f>
        <v>#DIV/0!</v>
      </c>
      <c r="X11" s="28"/>
      <c r="Y11" s="56" t="e">
        <f t="shared" ref="Y11:Y51" si="5">AVERAGE(T11,MAX(U11:V11),MAX(W11:X11))</f>
        <v>#DIV/0!</v>
      </c>
      <c r="Z11" s="48" t="e">
        <f t="shared" ref="Z11:Z51" si="6">SUM(K11,R11,Y11)/3</f>
        <v>#DIV/0!</v>
      </c>
      <c r="AA11" s="41" t="e">
        <f t="shared" ref="AA11:AA51" si="7">Z11*0.4</f>
        <v>#DIV/0!</v>
      </c>
      <c r="AB11" s="62"/>
      <c r="AC11" s="51">
        <f t="shared" ref="AC11" si="8">AB11*0.6</f>
        <v>0</v>
      </c>
      <c r="AD11" s="65" t="e">
        <f t="shared" ref="AD11" si="9">AVERAGE(AA11+AC11)</f>
        <v>#DIV/0!</v>
      </c>
      <c r="AE11" s="162" t="e">
        <f t="shared" ref="AE11:AE51" si="10">IF(AD11&gt;=10,"APROVADO/A","REPROVADO/A")</f>
        <v>#DIV/0!</v>
      </c>
    </row>
    <row r="12" spans="1:31" ht="15.75" customHeight="1" x14ac:dyDescent="0.3">
      <c r="B12" s="35">
        <v>3</v>
      </c>
      <c r="C12" s="197" t="s">
        <v>101</v>
      </c>
      <c r="D12" s="45"/>
      <c r="E12" s="38"/>
      <c r="F12" s="59">
        <v>16</v>
      </c>
      <c r="G12" s="27">
        <v>0</v>
      </c>
      <c r="H12" s="27"/>
      <c r="I12" s="32"/>
      <c r="J12" s="28"/>
      <c r="K12" s="56">
        <f t="shared" si="0"/>
        <v>5.333333333333333</v>
      </c>
      <c r="L12" s="166" t="str">
        <f t="shared" si="1"/>
        <v>N/TRANSITA</v>
      </c>
      <c r="M12" s="59">
        <v>17</v>
      </c>
      <c r="N12" s="27">
        <v>14</v>
      </c>
      <c r="O12" s="27"/>
      <c r="P12" s="32">
        <v>14</v>
      </c>
      <c r="Q12" s="28"/>
      <c r="R12" s="56">
        <f t="shared" si="2"/>
        <v>15</v>
      </c>
      <c r="S12" s="166" t="str">
        <f t="shared" si="3"/>
        <v>TRANSITA</v>
      </c>
      <c r="T12" s="59"/>
      <c r="U12" s="27"/>
      <c r="V12" s="27"/>
      <c r="W12" s="32" t="e">
        <f t="shared" si="4"/>
        <v>#DIV/0!</v>
      </c>
      <c r="X12" s="28"/>
      <c r="Y12" s="56" t="e">
        <f t="shared" si="5"/>
        <v>#DIV/0!</v>
      </c>
      <c r="Z12" s="48" t="e">
        <f t="shared" si="6"/>
        <v>#DIV/0!</v>
      </c>
      <c r="AA12" s="41" t="e">
        <f t="shared" si="7"/>
        <v>#DIV/0!</v>
      </c>
      <c r="AB12" s="62"/>
      <c r="AC12" s="51">
        <f t="shared" ref="AC12:AC45" si="11">AB12*0.6</f>
        <v>0</v>
      </c>
      <c r="AD12" s="65" t="e">
        <f t="shared" ref="AD12:AD45" si="12">AVERAGE(AA12+AC12)</f>
        <v>#DIV/0!</v>
      </c>
      <c r="AE12" s="162" t="e">
        <f t="shared" si="10"/>
        <v>#DIV/0!</v>
      </c>
    </row>
    <row r="13" spans="1:31" ht="15.75" customHeight="1" x14ac:dyDescent="0.3">
      <c r="B13" s="35">
        <v>4</v>
      </c>
      <c r="C13" s="197" t="s">
        <v>102</v>
      </c>
      <c r="D13" s="45"/>
      <c r="E13" s="38"/>
      <c r="F13" s="59">
        <v>16</v>
      </c>
      <c r="G13" s="27">
        <v>16</v>
      </c>
      <c r="H13" s="27"/>
      <c r="I13" s="32">
        <v>16</v>
      </c>
      <c r="J13" s="28"/>
      <c r="K13" s="56">
        <f t="shared" si="0"/>
        <v>16</v>
      </c>
      <c r="L13" s="166" t="str">
        <f t="shared" si="1"/>
        <v>TRANSITA</v>
      </c>
      <c r="M13" s="59">
        <v>8</v>
      </c>
      <c r="N13" s="27">
        <v>14</v>
      </c>
      <c r="O13" s="27"/>
      <c r="P13" s="32">
        <v>9</v>
      </c>
      <c r="Q13" s="28"/>
      <c r="R13" s="56">
        <f t="shared" si="2"/>
        <v>10.333333333333334</v>
      </c>
      <c r="S13" s="166" t="str">
        <f t="shared" si="3"/>
        <v>TRANSITA</v>
      </c>
      <c r="T13" s="59"/>
      <c r="U13" s="27"/>
      <c r="V13" s="27"/>
      <c r="W13" s="32" t="e">
        <f t="shared" si="4"/>
        <v>#DIV/0!</v>
      </c>
      <c r="X13" s="28"/>
      <c r="Y13" s="56" t="e">
        <f t="shared" si="5"/>
        <v>#DIV/0!</v>
      </c>
      <c r="Z13" s="48" t="e">
        <f t="shared" si="6"/>
        <v>#DIV/0!</v>
      </c>
      <c r="AA13" s="41" t="e">
        <f t="shared" si="7"/>
        <v>#DIV/0!</v>
      </c>
      <c r="AB13" s="62"/>
      <c r="AC13" s="51">
        <f t="shared" si="11"/>
        <v>0</v>
      </c>
      <c r="AD13" s="65" t="e">
        <f t="shared" si="12"/>
        <v>#DIV/0!</v>
      </c>
      <c r="AE13" s="162" t="e">
        <f t="shared" si="10"/>
        <v>#DIV/0!</v>
      </c>
    </row>
    <row r="14" spans="1:31" ht="15.75" customHeight="1" x14ac:dyDescent="0.3">
      <c r="B14" s="35">
        <v>5</v>
      </c>
      <c r="C14" s="197" t="s">
        <v>103</v>
      </c>
      <c r="D14" s="45"/>
      <c r="E14" s="38"/>
      <c r="F14" s="59">
        <v>16</v>
      </c>
      <c r="G14" s="27">
        <v>20</v>
      </c>
      <c r="H14" s="27"/>
      <c r="I14" s="32">
        <v>16</v>
      </c>
      <c r="J14" s="28"/>
      <c r="K14" s="56">
        <f t="shared" si="0"/>
        <v>17.333333333333332</v>
      </c>
      <c r="L14" s="166" t="str">
        <f t="shared" si="1"/>
        <v>TRANSITA</v>
      </c>
      <c r="M14" s="59">
        <v>17</v>
      </c>
      <c r="N14" s="27">
        <v>17</v>
      </c>
      <c r="O14" s="27"/>
      <c r="P14" s="32">
        <v>18</v>
      </c>
      <c r="Q14" s="28"/>
      <c r="R14" s="56">
        <f t="shared" si="2"/>
        <v>17.333333333333332</v>
      </c>
      <c r="S14" s="166" t="s">
        <v>93</v>
      </c>
      <c r="T14" s="59"/>
      <c r="U14" s="27"/>
      <c r="V14" s="27"/>
      <c r="W14" s="32" t="e">
        <f t="shared" si="4"/>
        <v>#DIV/0!</v>
      </c>
      <c r="X14" s="28"/>
      <c r="Y14" s="56" t="e">
        <f t="shared" si="5"/>
        <v>#DIV/0!</v>
      </c>
      <c r="Z14" s="48"/>
      <c r="AA14" s="41">
        <f t="shared" si="7"/>
        <v>0</v>
      </c>
      <c r="AB14" s="62"/>
      <c r="AC14" s="51">
        <f t="shared" si="11"/>
        <v>0</v>
      </c>
      <c r="AD14" s="65">
        <f t="shared" si="12"/>
        <v>0</v>
      </c>
      <c r="AE14" s="162" t="str">
        <f t="shared" si="10"/>
        <v>REPROVADO/A</v>
      </c>
    </row>
    <row r="15" spans="1:31" ht="15.75" customHeight="1" x14ac:dyDescent="0.3">
      <c r="B15" s="35">
        <v>6</v>
      </c>
      <c r="C15" s="197" t="s">
        <v>104</v>
      </c>
      <c r="D15" s="45"/>
      <c r="E15" s="38"/>
      <c r="F15" s="149">
        <v>16</v>
      </c>
      <c r="G15" s="148">
        <v>12</v>
      </c>
      <c r="H15" s="148"/>
      <c r="I15" s="150">
        <v>16</v>
      </c>
      <c r="J15" s="151"/>
      <c r="K15" s="56">
        <f t="shared" si="0"/>
        <v>14.666666666666666</v>
      </c>
      <c r="L15" s="166" t="str">
        <f t="shared" si="1"/>
        <v>TRANSITA</v>
      </c>
      <c r="M15" s="149">
        <v>12</v>
      </c>
      <c r="N15" s="148">
        <v>13</v>
      </c>
      <c r="O15" s="148"/>
      <c r="P15" s="150">
        <v>13</v>
      </c>
      <c r="Q15" s="151"/>
      <c r="R15" s="56">
        <f t="shared" si="2"/>
        <v>12.666666666666666</v>
      </c>
      <c r="S15" s="166" t="str">
        <f t="shared" si="3"/>
        <v>TRANSITA</v>
      </c>
      <c r="T15" s="149"/>
      <c r="U15" s="148"/>
      <c r="V15" s="148"/>
      <c r="W15" s="32" t="e">
        <f t="shared" si="4"/>
        <v>#DIV/0!</v>
      </c>
      <c r="X15" s="151"/>
      <c r="Y15" s="56" t="e">
        <f t="shared" si="5"/>
        <v>#DIV/0!</v>
      </c>
      <c r="Z15" s="48" t="e">
        <f t="shared" si="6"/>
        <v>#DIV/0!</v>
      </c>
      <c r="AA15" s="41" t="e">
        <f t="shared" si="7"/>
        <v>#DIV/0!</v>
      </c>
      <c r="AB15" s="62"/>
      <c r="AC15" s="51">
        <f t="shared" si="11"/>
        <v>0</v>
      </c>
      <c r="AD15" s="65" t="e">
        <f t="shared" si="12"/>
        <v>#DIV/0!</v>
      </c>
      <c r="AE15" s="162" t="e">
        <f t="shared" si="10"/>
        <v>#DIV/0!</v>
      </c>
    </row>
    <row r="16" spans="1:31" ht="15.75" customHeight="1" x14ac:dyDescent="0.3">
      <c r="B16" s="35">
        <v>7</v>
      </c>
      <c r="C16" s="197" t="s">
        <v>105</v>
      </c>
      <c r="D16" s="45"/>
      <c r="E16" s="38"/>
      <c r="F16" s="59">
        <v>16</v>
      </c>
      <c r="G16" s="27">
        <v>18</v>
      </c>
      <c r="H16" s="27"/>
      <c r="I16" s="32">
        <v>16</v>
      </c>
      <c r="J16" s="28"/>
      <c r="K16" s="56">
        <f t="shared" si="0"/>
        <v>16.666666666666668</v>
      </c>
      <c r="L16" s="166" t="str">
        <f t="shared" si="1"/>
        <v>TRANSITA</v>
      </c>
      <c r="M16" s="59">
        <v>14</v>
      </c>
      <c r="N16" s="27">
        <v>3</v>
      </c>
      <c r="O16" s="27"/>
      <c r="P16" s="32">
        <v>17</v>
      </c>
      <c r="Q16" s="28"/>
      <c r="R16" s="56">
        <f t="shared" si="2"/>
        <v>11.333333333333334</v>
      </c>
      <c r="S16" s="166" t="str">
        <f t="shared" si="3"/>
        <v>TRANSITA</v>
      </c>
      <c r="T16" s="59"/>
      <c r="U16" s="27"/>
      <c r="V16" s="27"/>
      <c r="W16" s="32" t="e">
        <f t="shared" si="4"/>
        <v>#DIV/0!</v>
      </c>
      <c r="X16" s="28"/>
      <c r="Y16" s="56" t="e">
        <f t="shared" si="5"/>
        <v>#DIV/0!</v>
      </c>
      <c r="Z16" s="48" t="e">
        <f t="shared" si="6"/>
        <v>#DIV/0!</v>
      </c>
      <c r="AA16" s="41" t="e">
        <f t="shared" si="7"/>
        <v>#DIV/0!</v>
      </c>
      <c r="AB16" s="62"/>
      <c r="AC16" s="51">
        <f t="shared" si="11"/>
        <v>0</v>
      </c>
      <c r="AD16" s="65" t="e">
        <f t="shared" si="12"/>
        <v>#DIV/0!</v>
      </c>
      <c r="AE16" s="162" t="e">
        <f t="shared" si="10"/>
        <v>#DIV/0!</v>
      </c>
    </row>
    <row r="17" spans="2:31" ht="15.75" customHeight="1" x14ac:dyDescent="0.3">
      <c r="B17" s="35">
        <v>8</v>
      </c>
      <c r="C17" s="197" t="s">
        <v>106</v>
      </c>
      <c r="D17" s="45"/>
      <c r="E17" s="38"/>
      <c r="F17" s="59">
        <v>12</v>
      </c>
      <c r="G17" s="27">
        <v>5</v>
      </c>
      <c r="H17" s="27"/>
      <c r="I17" s="32">
        <v>11</v>
      </c>
      <c r="J17" s="28"/>
      <c r="K17" s="56">
        <f t="shared" si="0"/>
        <v>9.3333333333333339</v>
      </c>
      <c r="L17" s="166" t="str">
        <f t="shared" si="1"/>
        <v>N/TRANSITA</v>
      </c>
      <c r="M17" s="59">
        <v>5</v>
      </c>
      <c r="N17" s="27">
        <v>10</v>
      </c>
      <c r="O17" s="27"/>
      <c r="P17" s="32">
        <v>16</v>
      </c>
      <c r="Q17" s="28"/>
      <c r="R17" s="56">
        <f t="shared" si="2"/>
        <v>10.333333333333334</v>
      </c>
      <c r="S17" s="166" t="str">
        <f t="shared" si="3"/>
        <v>TRANSITA</v>
      </c>
      <c r="T17" s="59"/>
      <c r="U17" s="27"/>
      <c r="V17" s="27"/>
      <c r="W17" s="32" t="e">
        <f t="shared" si="4"/>
        <v>#DIV/0!</v>
      </c>
      <c r="X17" s="28"/>
      <c r="Y17" s="56" t="e">
        <f t="shared" si="5"/>
        <v>#DIV/0!</v>
      </c>
      <c r="Z17" s="48" t="e">
        <f t="shared" si="6"/>
        <v>#DIV/0!</v>
      </c>
      <c r="AA17" s="41" t="e">
        <f t="shared" si="7"/>
        <v>#DIV/0!</v>
      </c>
      <c r="AB17" s="62"/>
      <c r="AC17" s="51">
        <f t="shared" si="11"/>
        <v>0</v>
      </c>
      <c r="AD17" s="65" t="e">
        <f t="shared" si="12"/>
        <v>#DIV/0!</v>
      </c>
      <c r="AE17" s="162" t="e">
        <f t="shared" si="10"/>
        <v>#DIV/0!</v>
      </c>
    </row>
    <row r="18" spans="2:31" ht="15.75" customHeight="1" x14ac:dyDescent="0.3">
      <c r="B18" s="35">
        <v>9</v>
      </c>
      <c r="C18" s="197" t="s">
        <v>144</v>
      </c>
      <c r="D18" s="45"/>
      <c r="E18" s="38"/>
      <c r="F18" s="59">
        <v>12</v>
      </c>
      <c r="G18" s="27">
        <v>10</v>
      </c>
      <c r="H18" s="27"/>
      <c r="I18" s="32">
        <v>8</v>
      </c>
      <c r="J18" s="28"/>
      <c r="K18" s="56">
        <f t="shared" si="0"/>
        <v>10</v>
      </c>
      <c r="L18" s="166" t="str">
        <f t="shared" si="1"/>
        <v>TRANSITA</v>
      </c>
      <c r="M18" s="59">
        <v>17</v>
      </c>
      <c r="N18" s="27">
        <v>12</v>
      </c>
      <c r="O18" s="27"/>
      <c r="P18" s="32">
        <v>14</v>
      </c>
      <c r="Q18" s="28"/>
      <c r="R18" s="56">
        <f t="shared" ref="R18" si="13">AVERAGE(M18,MAX(N18:O18),MAX(P18:Q18))</f>
        <v>14.333333333333334</v>
      </c>
      <c r="S18" s="166" t="str">
        <f t="shared" ref="S18" si="14">IF(R18&gt;=10,"TRANSITA","N/TRANSITA")</f>
        <v>TRANSITA</v>
      </c>
      <c r="T18" s="59"/>
      <c r="U18" s="27"/>
      <c r="V18" s="27"/>
      <c r="W18" s="32" t="e">
        <f t="shared" ref="W18" si="15">AVERAGE(T18:U18)</f>
        <v>#DIV/0!</v>
      </c>
      <c r="X18" s="28"/>
      <c r="Y18" s="56" t="e">
        <f t="shared" ref="Y18" si="16">AVERAGE(T18,MAX(U18:V18),MAX(W18:X18))</f>
        <v>#DIV/0!</v>
      </c>
      <c r="Z18" s="48" t="e">
        <f t="shared" ref="Z18" si="17">SUM(K18,R18,Y18)/3</f>
        <v>#DIV/0!</v>
      </c>
      <c r="AA18" s="41" t="e">
        <f t="shared" ref="AA18" si="18">Z18*0.4</f>
        <v>#DIV/0!</v>
      </c>
      <c r="AB18" s="62"/>
      <c r="AC18" s="51">
        <f t="shared" ref="AC18" si="19">AB18*0.6</f>
        <v>0</v>
      </c>
      <c r="AD18" s="65" t="e">
        <f t="shared" ref="AD18" si="20">AVERAGE(AA18+AC18)</f>
        <v>#DIV/0!</v>
      </c>
      <c r="AE18" s="162" t="e">
        <f t="shared" ref="AE18" si="21">IF(AD18&gt;=10,"APROVADO/A","REPROVADO/A")</f>
        <v>#DIV/0!</v>
      </c>
    </row>
    <row r="19" spans="2:31" ht="15.75" customHeight="1" x14ac:dyDescent="0.3">
      <c r="B19" s="35">
        <v>10</v>
      </c>
      <c r="C19" s="197" t="s">
        <v>107</v>
      </c>
      <c r="D19" s="45"/>
      <c r="E19" s="38"/>
      <c r="F19" s="59">
        <v>14</v>
      </c>
      <c r="G19" s="27">
        <v>12</v>
      </c>
      <c r="H19" s="27"/>
      <c r="I19" s="32">
        <v>13</v>
      </c>
      <c r="J19" s="28"/>
      <c r="K19" s="56">
        <f t="shared" si="0"/>
        <v>13</v>
      </c>
      <c r="L19" s="166" t="str">
        <f t="shared" si="1"/>
        <v>TRANSITA</v>
      </c>
      <c r="M19" s="59">
        <v>14</v>
      </c>
      <c r="N19" s="27">
        <v>15</v>
      </c>
      <c r="O19" s="27"/>
      <c r="P19" s="32">
        <v>11</v>
      </c>
      <c r="Q19" s="28"/>
      <c r="R19" s="56">
        <f t="shared" si="2"/>
        <v>13.333333333333334</v>
      </c>
      <c r="S19" s="166" t="str">
        <f t="shared" si="3"/>
        <v>TRANSITA</v>
      </c>
      <c r="T19" s="59"/>
      <c r="U19" s="27"/>
      <c r="V19" s="27"/>
      <c r="W19" s="32" t="e">
        <f t="shared" si="4"/>
        <v>#DIV/0!</v>
      </c>
      <c r="X19" s="28"/>
      <c r="Y19" s="56" t="e">
        <f t="shared" si="5"/>
        <v>#DIV/0!</v>
      </c>
      <c r="Z19" s="48" t="e">
        <f t="shared" si="6"/>
        <v>#DIV/0!</v>
      </c>
      <c r="AA19" s="41" t="e">
        <f t="shared" si="7"/>
        <v>#DIV/0!</v>
      </c>
      <c r="AB19" s="62"/>
      <c r="AC19" s="51">
        <f t="shared" si="11"/>
        <v>0</v>
      </c>
      <c r="AD19" s="65" t="e">
        <f t="shared" si="12"/>
        <v>#DIV/0!</v>
      </c>
      <c r="AE19" s="162" t="e">
        <f t="shared" si="10"/>
        <v>#DIV/0!</v>
      </c>
    </row>
    <row r="20" spans="2:31" ht="15.75" customHeight="1" x14ac:dyDescent="0.3">
      <c r="B20" s="35">
        <v>11</v>
      </c>
      <c r="C20" s="197" t="s">
        <v>108</v>
      </c>
      <c r="D20" s="45"/>
      <c r="E20" s="38"/>
      <c r="F20" s="59">
        <v>16</v>
      </c>
      <c r="G20" s="27">
        <v>20</v>
      </c>
      <c r="H20" s="27"/>
      <c r="I20" s="32">
        <v>16</v>
      </c>
      <c r="J20" s="28"/>
      <c r="K20" s="56">
        <f t="shared" si="0"/>
        <v>17.333333333333332</v>
      </c>
      <c r="L20" s="166" t="str">
        <f t="shared" si="1"/>
        <v>TRANSITA</v>
      </c>
      <c r="M20" s="59">
        <v>17</v>
      </c>
      <c r="N20" s="27">
        <v>11</v>
      </c>
      <c r="O20" s="27"/>
      <c r="P20" s="32">
        <v>10</v>
      </c>
      <c r="Q20" s="28"/>
      <c r="R20" s="56">
        <f t="shared" si="2"/>
        <v>12.666666666666666</v>
      </c>
      <c r="S20" s="166" t="str">
        <f t="shared" si="3"/>
        <v>TRANSITA</v>
      </c>
      <c r="T20" s="59"/>
      <c r="U20" s="27"/>
      <c r="V20" s="27"/>
      <c r="W20" s="32" t="e">
        <f t="shared" si="4"/>
        <v>#DIV/0!</v>
      </c>
      <c r="X20" s="28"/>
      <c r="Y20" s="56" t="e">
        <f t="shared" si="5"/>
        <v>#DIV/0!</v>
      </c>
      <c r="Z20" s="48" t="e">
        <f t="shared" si="6"/>
        <v>#DIV/0!</v>
      </c>
      <c r="AA20" s="41" t="e">
        <f t="shared" si="7"/>
        <v>#DIV/0!</v>
      </c>
      <c r="AB20" s="62"/>
      <c r="AC20" s="51">
        <f t="shared" ref="AC20" si="22">AB20*0.6</f>
        <v>0</v>
      </c>
      <c r="AD20" s="65" t="e">
        <f t="shared" ref="AD20" si="23">AVERAGE(AA20+AC20)</f>
        <v>#DIV/0!</v>
      </c>
      <c r="AE20" s="162" t="e">
        <f t="shared" si="10"/>
        <v>#DIV/0!</v>
      </c>
    </row>
    <row r="21" spans="2:31" ht="15.75" customHeight="1" x14ac:dyDescent="0.3">
      <c r="B21" s="35">
        <v>12</v>
      </c>
      <c r="C21" s="197" t="s">
        <v>109</v>
      </c>
      <c r="D21" s="45"/>
      <c r="E21" s="38"/>
      <c r="F21" s="149">
        <v>16</v>
      </c>
      <c r="G21" s="148">
        <v>19</v>
      </c>
      <c r="H21" s="148"/>
      <c r="I21" s="150">
        <v>16</v>
      </c>
      <c r="J21" s="151"/>
      <c r="K21" s="56">
        <f t="shared" si="0"/>
        <v>17</v>
      </c>
      <c r="L21" s="166" t="str">
        <f t="shared" si="1"/>
        <v>TRANSITA</v>
      </c>
      <c r="M21" s="149">
        <v>17</v>
      </c>
      <c r="N21" s="148">
        <v>11</v>
      </c>
      <c r="O21" s="148"/>
      <c r="P21" s="150">
        <v>18</v>
      </c>
      <c r="Q21" s="151"/>
      <c r="R21" s="56">
        <f t="shared" si="2"/>
        <v>15.333333333333334</v>
      </c>
      <c r="S21" s="166" t="str">
        <f t="shared" si="3"/>
        <v>TRANSITA</v>
      </c>
      <c r="T21" s="149"/>
      <c r="U21" s="148"/>
      <c r="V21" s="148"/>
      <c r="W21" s="32" t="e">
        <f t="shared" si="4"/>
        <v>#DIV/0!</v>
      </c>
      <c r="X21" s="151"/>
      <c r="Y21" s="56" t="e">
        <f t="shared" si="5"/>
        <v>#DIV/0!</v>
      </c>
      <c r="Z21" s="48" t="e">
        <f t="shared" si="6"/>
        <v>#DIV/0!</v>
      </c>
      <c r="AA21" s="41" t="e">
        <f t="shared" si="7"/>
        <v>#DIV/0!</v>
      </c>
      <c r="AB21" s="62"/>
      <c r="AC21" s="51">
        <f t="shared" ref="AC21" si="24">AB21*0.6</f>
        <v>0</v>
      </c>
      <c r="AD21" s="65" t="e">
        <f t="shared" ref="AD21" si="25">AVERAGE(AA21+AC21)</f>
        <v>#DIV/0!</v>
      </c>
      <c r="AE21" s="162" t="e">
        <f t="shared" si="10"/>
        <v>#DIV/0!</v>
      </c>
    </row>
    <row r="22" spans="2:31" ht="15.75" customHeight="1" x14ac:dyDescent="0.3">
      <c r="B22" s="35">
        <v>13</v>
      </c>
      <c r="C22" s="197" t="s">
        <v>110</v>
      </c>
      <c r="D22" s="45"/>
      <c r="E22" s="38"/>
      <c r="F22" s="59">
        <v>14</v>
      </c>
      <c r="G22" s="27">
        <v>10</v>
      </c>
      <c r="H22" s="27"/>
      <c r="I22" s="32">
        <v>16</v>
      </c>
      <c r="J22" s="28"/>
      <c r="K22" s="56">
        <f t="shared" si="0"/>
        <v>13.333333333333334</v>
      </c>
      <c r="L22" s="166" t="str">
        <f t="shared" si="1"/>
        <v>TRANSITA</v>
      </c>
      <c r="M22" s="59">
        <v>14</v>
      </c>
      <c r="N22" s="27">
        <v>9</v>
      </c>
      <c r="O22" s="27"/>
      <c r="P22" s="32">
        <v>14</v>
      </c>
      <c r="Q22" s="28"/>
      <c r="R22" s="56">
        <f t="shared" si="2"/>
        <v>12.333333333333334</v>
      </c>
      <c r="S22" s="166" t="str">
        <f t="shared" si="3"/>
        <v>TRANSITA</v>
      </c>
      <c r="T22" s="59"/>
      <c r="U22" s="27"/>
      <c r="V22" s="27"/>
      <c r="W22" s="32" t="e">
        <f t="shared" si="4"/>
        <v>#DIV/0!</v>
      </c>
      <c r="X22" s="28"/>
      <c r="Y22" s="56" t="e">
        <f t="shared" si="5"/>
        <v>#DIV/0!</v>
      </c>
      <c r="Z22" s="48" t="e">
        <f t="shared" si="6"/>
        <v>#DIV/0!</v>
      </c>
      <c r="AA22" s="41" t="e">
        <f t="shared" si="7"/>
        <v>#DIV/0!</v>
      </c>
      <c r="AB22" s="62"/>
      <c r="AC22" s="51">
        <f t="shared" si="11"/>
        <v>0</v>
      </c>
      <c r="AD22" s="65" t="e">
        <f t="shared" si="12"/>
        <v>#DIV/0!</v>
      </c>
      <c r="AE22" s="162" t="e">
        <f t="shared" si="10"/>
        <v>#DIV/0!</v>
      </c>
    </row>
    <row r="23" spans="2:31" ht="15.75" customHeight="1" x14ac:dyDescent="0.3">
      <c r="B23" s="35">
        <v>14</v>
      </c>
      <c r="C23" s="197" t="s">
        <v>111</v>
      </c>
      <c r="D23" s="45"/>
      <c r="E23" s="38"/>
      <c r="F23" s="59">
        <v>14</v>
      </c>
      <c r="G23" s="27">
        <v>14</v>
      </c>
      <c r="H23" s="27"/>
      <c r="I23" s="32">
        <v>13</v>
      </c>
      <c r="J23" s="28"/>
      <c r="K23" s="56">
        <f t="shared" si="0"/>
        <v>13.666666666666666</v>
      </c>
      <c r="L23" s="166" t="str">
        <f t="shared" si="1"/>
        <v>TRANSITA</v>
      </c>
      <c r="M23" s="59">
        <v>14</v>
      </c>
      <c r="N23" s="27">
        <v>7</v>
      </c>
      <c r="O23" s="27"/>
      <c r="P23" s="32">
        <v>14</v>
      </c>
      <c r="Q23" s="28"/>
      <c r="R23" s="56">
        <f t="shared" si="2"/>
        <v>11.666666666666666</v>
      </c>
      <c r="S23" s="166" t="str">
        <f t="shared" si="3"/>
        <v>TRANSITA</v>
      </c>
      <c r="T23" s="59"/>
      <c r="U23" s="27"/>
      <c r="V23" s="27"/>
      <c r="W23" s="32" t="e">
        <f t="shared" si="4"/>
        <v>#DIV/0!</v>
      </c>
      <c r="X23" s="28"/>
      <c r="Y23" s="56" t="e">
        <f t="shared" si="5"/>
        <v>#DIV/0!</v>
      </c>
      <c r="Z23" s="48" t="e">
        <f t="shared" si="6"/>
        <v>#DIV/0!</v>
      </c>
      <c r="AA23" s="41" t="e">
        <f t="shared" si="7"/>
        <v>#DIV/0!</v>
      </c>
      <c r="AB23" s="62"/>
      <c r="AC23" s="51">
        <f t="shared" si="11"/>
        <v>0</v>
      </c>
      <c r="AD23" s="65" t="e">
        <f t="shared" si="12"/>
        <v>#DIV/0!</v>
      </c>
      <c r="AE23" s="162" t="e">
        <f t="shared" si="10"/>
        <v>#DIV/0!</v>
      </c>
    </row>
    <row r="24" spans="2:31" ht="15.75" customHeight="1" x14ac:dyDescent="0.3">
      <c r="B24" s="35">
        <v>15</v>
      </c>
      <c r="C24" s="197" t="s">
        <v>112</v>
      </c>
      <c r="D24" s="45"/>
      <c r="E24" s="38"/>
      <c r="F24" s="59">
        <v>16</v>
      </c>
      <c r="G24" s="27">
        <v>18</v>
      </c>
      <c r="H24" s="27"/>
      <c r="I24" s="32">
        <v>16</v>
      </c>
      <c r="J24" s="28"/>
      <c r="K24" s="56">
        <f t="shared" si="0"/>
        <v>16.666666666666668</v>
      </c>
      <c r="L24" s="166" t="str">
        <f t="shared" si="1"/>
        <v>TRANSITA</v>
      </c>
      <c r="M24" s="59">
        <v>5</v>
      </c>
      <c r="N24" s="27">
        <v>0</v>
      </c>
      <c r="O24" s="27"/>
      <c r="P24" s="32">
        <v>7</v>
      </c>
      <c r="Q24" s="28"/>
      <c r="R24" s="56">
        <f t="shared" si="2"/>
        <v>4</v>
      </c>
      <c r="S24" s="166" t="str">
        <f t="shared" si="3"/>
        <v>N/TRANSITA</v>
      </c>
      <c r="T24" s="59"/>
      <c r="U24" s="27"/>
      <c r="V24" s="27"/>
      <c r="W24" s="32" t="e">
        <f t="shared" si="4"/>
        <v>#DIV/0!</v>
      </c>
      <c r="X24" s="28"/>
      <c r="Y24" s="56" t="e">
        <f t="shared" si="5"/>
        <v>#DIV/0!</v>
      </c>
      <c r="Z24" s="48" t="e">
        <f t="shared" si="6"/>
        <v>#DIV/0!</v>
      </c>
      <c r="AA24" s="41" t="e">
        <f t="shared" si="7"/>
        <v>#DIV/0!</v>
      </c>
      <c r="AB24" s="62"/>
      <c r="AC24" s="51">
        <f t="shared" si="11"/>
        <v>0</v>
      </c>
      <c r="AD24" s="65" t="e">
        <f t="shared" si="12"/>
        <v>#DIV/0!</v>
      </c>
      <c r="AE24" s="162" t="e">
        <f t="shared" si="10"/>
        <v>#DIV/0!</v>
      </c>
    </row>
    <row r="25" spans="2:31" ht="15.75" customHeight="1" x14ac:dyDescent="0.3">
      <c r="B25" s="35">
        <v>16</v>
      </c>
      <c r="C25" s="197" t="s">
        <v>113</v>
      </c>
      <c r="D25" s="45"/>
      <c r="E25" s="38"/>
      <c r="F25" s="59">
        <v>12</v>
      </c>
      <c r="G25" s="27">
        <v>10</v>
      </c>
      <c r="H25" s="27"/>
      <c r="I25" s="32">
        <v>13</v>
      </c>
      <c r="J25" s="28"/>
      <c r="K25" s="56">
        <f t="shared" si="0"/>
        <v>11.666666666666666</v>
      </c>
      <c r="L25" s="166" t="str">
        <f t="shared" si="1"/>
        <v>TRANSITA</v>
      </c>
      <c r="M25" s="59">
        <v>14</v>
      </c>
      <c r="N25" s="27">
        <v>8</v>
      </c>
      <c r="O25" s="27"/>
      <c r="P25" s="32">
        <v>15</v>
      </c>
      <c r="Q25" s="28"/>
      <c r="R25" s="56">
        <f t="shared" si="2"/>
        <v>12.333333333333334</v>
      </c>
      <c r="S25" s="166" t="str">
        <f t="shared" si="3"/>
        <v>TRANSITA</v>
      </c>
      <c r="T25" s="59"/>
      <c r="U25" s="27"/>
      <c r="V25" s="27"/>
      <c r="W25" s="32" t="e">
        <f t="shared" si="4"/>
        <v>#DIV/0!</v>
      </c>
      <c r="X25" s="28"/>
      <c r="Y25" s="56" t="e">
        <f t="shared" si="5"/>
        <v>#DIV/0!</v>
      </c>
      <c r="Z25" s="48" t="e">
        <f t="shared" si="6"/>
        <v>#DIV/0!</v>
      </c>
      <c r="AA25" s="41" t="e">
        <f t="shared" si="7"/>
        <v>#DIV/0!</v>
      </c>
      <c r="AB25" s="62"/>
      <c r="AC25" s="51">
        <f t="shared" si="11"/>
        <v>0</v>
      </c>
      <c r="AD25" s="65" t="e">
        <f t="shared" si="12"/>
        <v>#DIV/0!</v>
      </c>
      <c r="AE25" s="162" t="e">
        <f t="shared" si="10"/>
        <v>#DIV/0!</v>
      </c>
    </row>
    <row r="26" spans="2:31" ht="15.75" customHeight="1" x14ac:dyDescent="0.3">
      <c r="B26" s="35">
        <v>17</v>
      </c>
      <c r="C26" s="197" t="s">
        <v>114</v>
      </c>
      <c r="D26" s="45"/>
      <c r="E26" s="38"/>
      <c r="F26" s="59">
        <v>12</v>
      </c>
      <c r="G26" s="27">
        <v>14</v>
      </c>
      <c r="H26" s="27"/>
      <c r="I26" s="32">
        <v>11</v>
      </c>
      <c r="J26" s="28"/>
      <c r="K26" s="56">
        <f t="shared" si="0"/>
        <v>12.333333333333334</v>
      </c>
      <c r="L26" s="166" t="str">
        <f t="shared" si="1"/>
        <v>TRANSITA</v>
      </c>
      <c r="M26" s="59">
        <v>14</v>
      </c>
      <c r="N26" s="27">
        <v>0</v>
      </c>
      <c r="O26" s="27"/>
      <c r="P26" s="32">
        <v>10</v>
      </c>
      <c r="Q26" s="28"/>
      <c r="R26" s="56">
        <f t="shared" si="2"/>
        <v>8</v>
      </c>
      <c r="S26" s="166" t="str">
        <f t="shared" si="3"/>
        <v>N/TRANSITA</v>
      </c>
      <c r="T26" s="59"/>
      <c r="U26" s="27"/>
      <c r="V26" s="27"/>
      <c r="W26" s="32" t="e">
        <f t="shared" si="4"/>
        <v>#DIV/0!</v>
      </c>
      <c r="X26" s="28"/>
      <c r="Y26" s="56" t="e">
        <f t="shared" si="5"/>
        <v>#DIV/0!</v>
      </c>
      <c r="Z26" s="48" t="e">
        <f t="shared" si="6"/>
        <v>#DIV/0!</v>
      </c>
      <c r="AA26" s="41" t="e">
        <f t="shared" si="7"/>
        <v>#DIV/0!</v>
      </c>
      <c r="AB26" s="62"/>
      <c r="AC26" s="51">
        <f t="shared" ref="AC26:AC39" si="26">AB26*0.6</f>
        <v>0</v>
      </c>
      <c r="AD26" s="65" t="e">
        <f t="shared" ref="AD26:AD39" si="27">AVERAGE(AA26+AC26)</f>
        <v>#DIV/0!</v>
      </c>
      <c r="AE26" s="162" t="e">
        <f t="shared" si="10"/>
        <v>#DIV/0!</v>
      </c>
    </row>
    <row r="27" spans="2:31" ht="15.75" customHeight="1" x14ac:dyDescent="0.3">
      <c r="B27" s="35">
        <v>18</v>
      </c>
      <c r="C27" s="197" t="s">
        <v>115</v>
      </c>
      <c r="D27" s="45"/>
      <c r="E27" s="38"/>
      <c r="F27" s="59">
        <v>12</v>
      </c>
      <c r="G27" s="27">
        <v>10</v>
      </c>
      <c r="H27" s="27"/>
      <c r="I27" s="32">
        <v>13</v>
      </c>
      <c r="J27" s="28"/>
      <c r="K27" s="56">
        <f t="shared" si="0"/>
        <v>11.666666666666666</v>
      </c>
      <c r="L27" s="166" t="str">
        <f t="shared" si="1"/>
        <v>TRANSITA</v>
      </c>
      <c r="M27" s="59">
        <v>17</v>
      </c>
      <c r="N27" s="27">
        <v>12</v>
      </c>
      <c r="O27" s="27"/>
      <c r="P27" s="32">
        <v>12</v>
      </c>
      <c r="Q27" s="28"/>
      <c r="R27" s="56">
        <f t="shared" si="2"/>
        <v>13.666666666666666</v>
      </c>
      <c r="S27" s="166" t="str">
        <f t="shared" si="3"/>
        <v>TRANSITA</v>
      </c>
      <c r="T27" s="59"/>
      <c r="U27" s="27"/>
      <c r="V27" s="27"/>
      <c r="W27" s="32" t="e">
        <f t="shared" si="4"/>
        <v>#DIV/0!</v>
      </c>
      <c r="X27" s="28"/>
      <c r="Y27" s="56" t="e">
        <f t="shared" si="5"/>
        <v>#DIV/0!</v>
      </c>
      <c r="Z27" s="48" t="e">
        <f t="shared" si="6"/>
        <v>#DIV/0!</v>
      </c>
      <c r="AA27" s="41" t="e">
        <f t="shared" si="7"/>
        <v>#DIV/0!</v>
      </c>
      <c r="AB27" s="62"/>
      <c r="AC27" s="51">
        <f t="shared" si="26"/>
        <v>0</v>
      </c>
      <c r="AD27" s="65" t="e">
        <f t="shared" si="27"/>
        <v>#DIV/0!</v>
      </c>
      <c r="AE27" s="162" t="e">
        <f t="shared" si="10"/>
        <v>#DIV/0!</v>
      </c>
    </row>
    <row r="28" spans="2:31" ht="15.75" customHeight="1" x14ac:dyDescent="0.3">
      <c r="B28" s="35">
        <v>19</v>
      </c>
      <c r="C28" s="197" t="s">
        <v>116</v>
      </c>
      <c r="D28" s="45"/>
      <c r="E28" s="38"/>
      <c r="F28" s="59">
        <v>14</v>
      </c>
      <c r="G28" s="27">
        <v>14</v>
      </c>
      <c r="H28" s="27"/>
      <c r="I28" s="32">
        <v>7</v>
      </c>
      <c r="J28" s="28"/>
      <c r="K28" s="56">
        <f t="shared" si="0"/>
        <v>11.666666666666666</v>
      </c>
      <c r="L28" s="166" t="str">
        <f t="shared" si="1"/>
        <v>TRANSITA</v>
      </c>
      <c r="M28" s="59">
        <v>17</v>
      </c>
      <c r="N28" s="27">
        <v>14</v>
      </c>
      <c r="O28" s="27"/>
      <c r="P28" s="32">
        <v>17</v>
      </c>
      <c r="Q28" s="28"/>
      <c r="R28" s="56">
        <f t="shared" si="2"/>
        <v>16</v>
      </c>
      <c r="S28" s="166" t="str">
        <f t="shared" si="3"/>
        <v>TRANSITA</v>
      </c>
      <c r="T28" s="59"/>
      <c r="U28" s="27"/>
      <c r="V28" s="27"/>
      <c r="W28" s="32" t="e">
        <f t="shared" si="4"/>
        <v>#DIV/0!</v>
      </c>
      <c r="X28" s="28"/>
      <c r="Y28" s="56" t="e">
        <f t="shared" si="5"/>
        <v>#DIV/0!</v>
      </c>
      <c r="Z28" s="48" t="e">
        <f t="shared" si="6"/>
        <v>#DIV/0!</v>
      </c>
      <c r="AA28" s="41" t="e">
        <f t="shared" si="7"/>
        <v>#DIV/0!</v>
      </c>
      <c r="AB28" s="62"/>
      <c r="AC28" s="51">
        <f t="shared" ref="AC28:AC29" si="28">AB28*0.6</f>
        <v>0</v>
      </c>
      <c r="AD28" s="65" t="e">
        <f t="shared" ref="AD28:AD29" si="29">AVERAGE(AA28+AC28)</f>
        <v>#DIV/0!</v>
      </c>
      <c r="AE28" s="162" t="e">
        <f t="shared" si="10"/>
        <v>#DIV/0!</v>
      </c>
    </row>
    <row r="29" spans="2:31" ht="15.75" customHeight="1" x14ac:dyDescent="0.3">
      <c r="B29" s="35">
        <v>20</v>
      </c>
      <c r="C29" s="197" t="s">
        <v>117</v>
      </c>
      <c r="D29" s="45"/>
      <c r="E29" s="38"/>
      <c r="F29" s="59">
        <v>14</v>
      </c>
      <c r="G29" s="27">
        <v>14</v>
      </c>
      <c r="H29" s="27"/>
      <c r="I29" s="32">
        <v>18</v>
      </c>
      <c r="J29" s="28"/>
      <c r="K29" s="56">
        <f t="shared" si="0"/>
        <v>15.333333333333334</v>
      </c>
      <c r="L29" s="166" t="str">
        <f t="shared" si="1"/>
        <v>TRANSITA</v>
      </c>
      <c r="M29" s="59">
        <v>17</v>
      </c>
      <c r="N29" s="27">
        <v>14</v>
      </c>
      <c r="O29" s="27"/>
      <c r="P29" s="32">
        <v>8</v>
      </c>
      <c r="Q29" s="28"/>
      <c r="R29" s="56">
        <f t="shared" si="2"/>
        <v>13</v>
      </c>
      <c r="S29" s="166" t="str">
        <f t="shared" si="3"/>
        <v>TRANSITA</v>
      </c>
      <c r="T29" s="59"/>
      <c r="U29" s="27"/>
      <c r="V29" s="27"/>
      <c r="W29" s="32" t="e">
        <f t="shared" si="4"/>
        <v>#DIV/0!</v>
      </c>
      <c r="X29" s="28"/>
      <c r="Y29" s="56" t="e">
        <f t="shared" si="5"/>
        <v>#DIV/0!</v>
      </c>
      <c r="Z29" s="48" t="e">
        <f t="shared" si="6"/>
        <v>#DIV/0!</v>
      </c>
      <c r="AA29" s="41" t="e">
        <f t="shared" si="7"/>
        <v>#DIV/0!</v>
      </c>
      <c r="AB29" s="62"/>
      <c r="AC29" s="51">
        <f t="shared" si="28"/>
        <v>0</v>
      </c>
      <c r="AD29" s="65" t="e">
        <f t="shared" si="29"/>
        <v>#DIV/0!</v>
      </c>
      <c r="AE29" s="162" t="e">
        <f t="shared" si="10"/>
        <v>#DIV/0!</v>
      </c>
    </row>
    <row r="30" spans="2:31" ht="15.75" customHeight="1" x14ac:dyDescent="0.3">
      <c r="B30" s="35">
        <v>21</v>
      </c>
      <c r="C30" s="197" t="s">
        <v>118</v>
      </c>
      <c r="D30" s="45"/>
      <c r="E30" s="38"/>
      <c r="F30" s="59">
        <v>16</v>
      </c>
      <c r="G30" s="27">
        <v>20</v>
      </c>
      <c r="H30" s="27"/>
      <c r="I30" s="32">
        <v>16</v>
      </c>
      <c r="J30" s="28"/>
      <c r="K30" s="56">
        <f t="shared" si="0"/>
        <v>17.333333333333332</v>
      </c>
      <c r="L30" s="166" t="str">
        <f t="shared" si="1"/>
        <v>TRANSITA</v>
      </c>
      <c r="M30" s="59">
        <v>17</v>
      </c>
      <c r="N30" s="27">
        <v>12</v>
      </c>
      <c r="O30" s="27"/>
      <c r="P30" s="32">
        <v>9</v>
      </c>
      <c r="Q30" s="158"/>
      <c r="R30" s="56">
        <f t="shared" si="2"/>
        <v>12.666666666666666</v>
      </c>
      <c r="S30" s="166" t="str">
        <f t="shared" si="3"/>
        <v>TRANSITA</v>
      </c>
      <c r="T30" s="156"/>
      <c r="U30" s="155"/>
      <c r="V30" s="155"/>
      <c r="W30" s="32" t="e">
        <f t="shared" si="4"/>
        <v>#DIV/0!</v>
      </c>
      <c r="X30" s="158"/>
      <c r="Y30" s="56" t="e">
        <f t="shared" si="5"/>
        <v>#DIV/0!</v>
      </c>
      <c r="Z30" s="48" t="e">
        <f t="shared" si="6"/>
        <v>#DIV/0!</v>
      </c>
      <c r="AA30" s="41" t="e">
        <f t="shared" si="7"/>
        <v>#DIV/0!</v>
      </c>
      <c r="AB30" s="62"/>
      <c r="AC30" s="51">
        <f t="shared" ref="AC30" si="30">AB30*0.6</f>
        <v>0</v>
      </c>
      <c r="AD30" s="65" t="e">
        <f t="shared" ref="AD30" si="31">AVERAGE(AA30+AC30)</f>
        <v>#DIV/0!</v>
      </c>
      <c r="AE30" s="162" t="e">
        <f t="shared" si="10"/>
        <v>#DIV/0!</v>
      </c>
    </row>
    <row r="31" spans="2:31" ht="15.75" customHeight="1" x14ac:dyDescent="0.3">
      <c r="B31" s="35">
        <v>22</v>
      </c>
      <c r="C31" s="197" t="s">
        <v>119</v>
      </c>
      <c r="D31" s="45"/>
      <c r="E31" s="38"/>
      <c r="F31" s="59">
        <v>14</v>
      </c>
      <c r="G31" s="27">
        <v>10</v>
      </c>
      <c r="H31" s="27"/>
      <c r="I31" s="32">
        <v>18</v>
      </c>
      <c r="J31" s="28"/>
      <c r="K31" s="56">
        <f t="shared" si="0"/>
        <v>14</v>
      </c>
      <c r="L31" s="166" t="str">
        <f t="shared" si="1"/>
        <v>TRANSITA</v>
      </c>
      <c r="M31" s="59">
        <v>14</v>
      </c>
      <c r="N31" s="27">
        <v>3</v>
      </c>
      <c r="O31" s="27"/>
      <c r="P31" s="32">
        <v>9</v>
      </c>
      <c r="Q31" s="28"/>
      <c r="R31" s="56">
        <f t="shared" si="2"/>
        <v>8.6666666666666661</v>
      </c>
      <c r="S31" s="166" t="str">
        <f t="shared" si="3"/>
        <v>N/TRANSITA</v>
      </c>
      <c r="T31" s="59"/>
      <c r="U31" s="27"/>
      <c r="V31" s="27"/>
      <c r="W31" s="32" t="e">
        <f t="shared" si="4"/>
        <v>#DIV/0!</v>
      </c>
      <c r="X31" s="28"/>
      <c r="Y31" s="56" t="e">
        <f t="shared" si="5"/>
        <v>#DIV/0!</v>
      </c>
      <c r="Z31" s="48" t="e">
        <f t="shared" si="6"/>
        <v>#DIV/0!</v>
      </c>
      <c r="AA31" s="41" t="e">
        <f t="shared" si="7"/>
        <v>#DIV/0!</v>
      </c>
      <c r="AB31" s="62"/>
      <c r="AC31" s="51">
        <f t="shared" si="26"/>
        <v>0</v>
      </c>
      <c r="AD31" s="65" t="e">
        <f t="shared" si="27"/>
        <v>#DIV/0!</v>
      </c>
      <c r="AE31" s="162" t="e">
        <f t="shared" si="10"/>
        <v>#DIV/0!</v>
      </c>
    </row>
    <row r="32" spans="2:31" ht="15.75" customHeight="1" x14ac:dyDescent="0.3">
      <c r="B32" s="35">
        <v>23</v>
      </c>
      <c r="C32" s="197" t="s">
        <v>120</v>
      </c>
      <c r="D32" s="45"/>
      <c r="E32" s="38"/>
      <c r="F32" s="59">
        <v>16</v>
      </c>
      <c r="G32" s="27">
        <v>20</v>
      </c>
      <c r="H32" s="27"/>
      <c r="I32" s="32">
        <v>16</v>
      </c>
      <c r="J32" s="28"/>
      <c r="K32" s="56">
        <f t="shared" si="0"/>
        <v>17.333333333333332</v>
      </c>
      <c r="L32" s="166" t="str">
        <f t="shared" si="1"/>
        <v>TRANSITA</v>
      </c>
      <c r="M32" s="59">
        <v>8</v>
      </c>
      <c r="N32" s="27">
        <v>17</v>
      </c>
      <c r="O32" s="27"/>
      <c r="P32" s="32">
        <v>14</v>
      </c>
      <c r="Q32" s="28"/>
      <c r="R32" s="56">
        <f t="shared" si="2"/>
        <v>13</v>
      </c>
      <c r="S32" s="166" t="str">
        <f t="shared" si="3"/>
        <v>TRANSITA</v>
      </c>
      <c r="T32" s="59"/>
      <c r="U32" s="27"/>
      <c r="V32" s="27"/>
      <c r="W32" s="32" t="e">
        <f t="shared" si="4"/>
        <v>#DIV/0!</v>
      </c>
      <c r="X32" s="28"/>
      <c r="Y32" s="56" t="e">
        <f t="shared" si="5"/>
        <v>#DIV/0!</v>
      </c>
      <c r="Z32" s="48" t="e">
        <f t="shared" si="6"/>
        <v>#DIV/0!</v>
      </c>
      <c r="AA32" s="41" t="e">
        <f t="shared" si="7"/>
        <v>#DIV/0!</v>
      </c>
      <c r="AB32" s="62"/>
      <c r="AC32" s="51">
        <f t="shared" si="26"/>
        <v>0</v>
      </c>
      <c r="AD32" s="65" t="e">
        <f t="shared" si="27"/>
        <v>#DIV/0!</v>
      </c>
      <c r="AE32" s="162" t="e">
        <f t="shared" si="10"/>
        <v>#DIV/0!</v>
      </c>
    </row>
    <row r="33" spans="2:31" ht="15.75" customHeight="1" x14ac:dyDescent="0.3">
      <c r="B33" s="35">
        <v>24</v>
      </c>
      <c r="C33" s="197" t="s">
        <v>121</v>
      </c>
      <c r="D33" s="45"/>
      <c r="E33" s="38"/>
      <c r="F33" s="59">
        <v>12</v>
      </c>
      <c r="G33" s="27">
        <v>8</v>
      </c>
      <c r="H33" s="27"/>
      <c r="I33" s="32">
        <v>12</v>
      </c>
      <c r="J33" s="28"/>
      <c r="K33" s="56">
        <f t="shared" si="0"/>
        <v>10.666666666666666</v>
      </c>
      <c r="L33" s="166" t="str">
        <f t="shared" si="1"/>
        <v>TRANSITA</v>
      </c>
      <c r="M33" s="59">
        <v>14</v>
      </c>
      <c r="N33" s="27">
        <v>19</v>
      </c>
      <c r="O33" s="27"/>
      <c r="P33" s="32">
        <v>19</v>
      </c>
      <c r="Q33" s="28"/>
      <c r="R33" s="56">
        <f t="shared" si="2"/>
        <v>17.333333333333332</v>
      </c>
      <c r="S33" s="166" t="str">
        <f t="shared" si="3"/>
        <v>TRANSITA</v>
      </c>
      <c r="T33" s="59"/>
      <c r="U33" s="27"/>
      <c r="V33" s="27"/>
      <c r="W33" s="32" t="e">
        <f t="shared" si="4"/>
        <v>#DIV/0!</v>
      </c>
      <c r="X33" s="28"/>
      <c r="Y33" s="56" t="e">
        <f t="shared" si="5"/>
        <v>#DIV/0!</v>
      </c>
      <c r="Z33" s="48" t="e">
        <f t="shared" si="6"/>
        <v>#DIV/0!</v>
      </c>
      <c r="AA33" s="41" t="e">
        <f t="shared" si="7"/>
        <v>#DIV/0!</v>
      </c>
      <c r="AB33" s="62"/>
      <c r="AC33" s="51">
        <f t="shared" si="26"/>
        <v>0</v>
      </c>
      <c r="AD33" s="65" t="e">
        <f t="shared" si="27"/>
        <v>#DIV/0!</v>
      </c>
      <c r="AE33" s="162" t="e">
        <f t="shared" si="10"/>
        <v>#DIV/0!</v>
      </c>
    </row>
    <row r="34" spans="2:31" ht="15.75" customHeight="1" x14ac:dyDescent="0.3">
      <c r="B34" s="35">
        <v>25</v>
      </c>
      <c r="C34" s="197" t="s">
        <v>122</v>
      </c>
      <c r="D34" s="45"/>
      <c r="E34" s="38"/>
      <c r="F34" s="59">
        <v>16</v>
      </c>
      <c r="G34" s="27">
        <v>20</v>
      </c>
      <c r="H34" s="27"/>
      <c r="I34" s="32">
        <v>16</v>
      </c>
      <c r="J34" s="28"/>
      <c r="K34" s="56">
        <f t="shared" si="0"/>
        <v>17.333333333333332</v>
      </c>
      <c r="L34" s="166" t="str">
        <f t="shared" si="1"/>
        <v>TRANSITA</v>
      </c>
      <c r="M34" s="59">
        <v>14</v>
      </c>
      <c r="N34" s="27">
        <v>8</v>
      </c>
      <c r="O34" s="27"/>
      <c r="P34" s="32">
        <v>6</v>
      </c>
      <c r="Q34" s="28"/>
      <c r="R34" s="56">
        <f t="shared" si="2"/>
        <v>9.3333333333333339</v>
      </c>
      <c r="S34" s="166" t="str">
        <f t="shared" si="3"/>
        <v>N/TRANSITA</v>
      </c>
      <c r="T34" s="59"/>
      <c r="U34" s="27"/>
      <c r="V34" s="27"/>
      <c r="W34" s="32" t="e">
        <f t="shared" si="4"/>
        <v>#DIV/0!</v>
      </c>
      <c r="X34" s="28"/>
      <c r="Y34" s="56" t="e">
        <f t="shared" si="5"/>
        <v>#DIV/0!</v>
      </c>
      <c r="Z34" s="48" t="e">
        <f t="shared" si="6"/>
        <v>#DIV/0!</v>
      </c>
      <c r="AA34" s="41" t="e">
        <f t="shared" si="7"/>
        <v>#DIV/0!</v>
      </c>
      <c r="AB34" s="62"/>
      <c r="AC34" s="51">
        <f t="shared" si="26"/>
        <v>0</v>
      </c>
      <c r="AD34" s="65" t="e">
        <f t="shared" si="27"/>
        <v>#DIV/0!</v>
      </c>
      <c r="AE34" s="162" t="e">
        <f t="shared" si="10"/>
        <v>#DIV/0!</v>
      </c>
    </row>
    <row r="35" spans="2:31" ht="15.75" customHeight="1" x14ac:dyDescent="0.3">
      <c r="B35" s="35">
        <v>26</v>
      </c>
      <c r="C35" s="197" t="s">
        <v>123</v>
      </c>
      <c r="D35" s="45"/>
      <c r="E35" s="38"/>
      <c r="F35" s="59">
        <v>14</v>
      </c>
      <c r="G35" s="27">
        <v>14</v>
      </c>
      <c r="H35" s="27"/>
      <c r="I35" s="32">
        <v>16</v>
      </c>
      <c r="J35" s="28"/>
      <c r="K35" s="56">
        <f t="shared" si="0"/>
        <v>14.666666666666666</v>
      </c>
      <c r="L35" s="166" t="str">
        <f t="shared" si="1"/>
        <v>TRANSITA</v>
      </c>
      <c r="M35" s="59">
        <v>17</v>
      </c>
      <c r="N35" s="27">
        <v>4</v>
      </c>
      <c r="O35" s="27"/>
      <c r="P35" s="32">
        <v>18</v>
      </c>
      <c r="Q35" s="28"/>
      <c r="R35" s="56">
        <f t="shared" si="2"/>
        <v>13</v>
      </c>
      <c r="S35" s="166" t="str">
        <f t="shared" si="3"/>
        <v>TRANSITA</v>
      </c>
      <c r="T35" s="59"/>
      <c r="U35" s="27"/>
      <c r="V35" s="27"/>
      <c r="W35" s="32" t="e">
        <f t="shared" si="4"/>
        <v>#DIV/0!</v>
      </c>
      <c r="X35" s="28"/>
      <c r="Y35" s="56" t="e">
        <f t="shared" si="5"/>
        <v>#DIV/0!</v>
      </c>
      <c r="Z35" s="48" t="e">
        <f t="shared" si="6"/>
        <v>#DIV/0!</v>
      </c>
      <c r="AA35" s="41" t="e">
        <f t="shared" si="7"/>
        <v>#DIV/0!</v>
      </c>
      <c r="AB35" s="62"/>
      <c r="AC35" s="51">
        <f t="shared" si="26"/>
        <v>0</v>
      </c>
      <c r="AD35" s="65" t="e">
        <f t="shared" si="27"/>
        <v>#DIV/0!</v>
      </c>
      <c r="AE35" s="162" t="e">
        <f t="shared" si="10"/>
        <v>#DIV/0!</v>
      </c>
    </row>
    <row r="36" spans="2:31" ht="15.75" customHeight="1" x14ac:dyDescent="0.3">
      <c r="B36" s="35">
        <v>27</v>
      </c>
      <c r="C36" s="197" t="s">
        <v>124</v>
      </c>
      <c r="D36" s="45"/>
      <c r="E36" s="38"/>
      <c r="F36" s="59">
        <v>12</v>
      </c>
      <c r="G36" s="27">
        <v>14</v>
      </c>
      <c r="H36" s="27"/>
      <c r="I36" s="32">
        <v>15</v>
      </c>
      <c r="J36" s="28"/>
      <c r="K36" s="56">
        <f t="shared" si="0"/>
        <v>13.666666666666666</v>
      </c>
      <c r="L36" s="166" t="str">
        <f t="shared" si="1"/>
        <v>TRANSITA</v>
      </c>
      <c r="M36" s="59">
        <v>5</v>
      </c>
      <c r="N36" s="27">
        <v>0</v>
      </c>
      <c r="O36" s="27"/>
      <c r="P36" s="32">
        <v>10</v>
      </c>
      <c r="Q36" s="28"/>
      <c r="R36" s="56">
        <f t="shared" si="2"/>
        <v>5</v>
      </c>
      <c r="S36" s="166" t="str">
        <f t="shared" si="3"/>
        <v>N/TRANSITA</v>
      </c>
      <c r="T36" s="59"/>
      <c r="U36" s="27"/>
      <c r="V36" s="27"/>
      <c r="W36" s="32" t="e">
        <f t="shared" si="4"/>
        <v>#DIV/0!</v>
      </c>
      <c r="X36" s="28"/>
      <c r="Y36" s="56" t="e">
        <f t="shared" si="5"/>
        <v>#DIV/0!</v>
      </c>
      <c r="Z36" s="48" t="e">
        <f t="shared" si="6"/>
        <v>#DIV/0!</v>
      </c>
      <c r="AA36" s="41" t="e">
        <f t="shared" si="7"/>
        <v>#DIV/0!</v>
      </c>
      <c r="AB36" s="62"/>
      <c r="AC36" s="51">
        <f t="shared" si="26"/>
        <v>0</v>
      </c>
      <c r="AD36" s="65" t="e">
        <f t="shared" si="27"/>
        <v>#DIV/0!</v>
      </c>
      <c r="AE36" s="162" t="e">
        <f t="shared" si="10"/>
        <v>#DIV/0!</v>
      </c>
    </row>
    <row r="37" spans="2:31" ht="15.75" customHeight="1" x14ac:dyDescent="0.3">
      <c r="B37" s="35">
        <v>28</v>
      </c>
      <c r="C37" s="197" t="s">
        <v>125</v>
      </c>
      <c r="D37" s="45"/>
      <c r="E37" s="38"/>
      <c r="F37" s="149">
        <v>16</v>
      </c>
      <c r="G37" s="148">
        <v>15</v>
      </c>
      <c r="H37" s="148"/>
      <c r="I37" s="150">
        <v>16</v>
      </c>
      <c r="J37" s="151"/>
      <c r="K37" s="56">
        <f t="shared" si="0"/>
        <v>15.666666666666666</v>
      </c>
      <c r="L37" s="166" t="str">
        <f t="shared" si="1"/>
        <v>TRANSITA</v>
      </c>
      <c r="M37" s="149">
        <v>5</v>
      </c>
      <c r="N37" s="148">
        <v>0</v>
      </c>
      <c r="O37" s="148"/>
      <c r="P37" s="150">
        <v>15</v>
      </c>
      <c r="Q37" s="151"/>
      <c r="R37" s="56">
        <f t="shared" si="2"/>
        <v>6.666666666666667</v>
      </c>
      <c r="S37" s="166" t="str">
        <f t="shared" si="3"/>
        <v>N/TRANSITA</v>
      </c>
      <c r="T37" s="149"/>
      <c r="U37" s="148"/>
      <c r="V37" s="148"/>
      <c r="W37" s="32" t="e">
        <f t="shared" si="4"/>
        <v>#DIV/0!</v>
      </c>
      <c r="X37" s="151"/>
      <c r="Y37" s="56" t="e">
        <f t="shared" si="5"/>
        <v>#DIV/0!</v>
      </c>
      <c r="Z37" s="48" t="e">
        <f t="shared" si="6"/>
        <v>#DIV/0!</v>
      </c>
      <c r="AA37" s="41" t="e">
        <f t="shared" si="7"/>
        <v>#DIV/0!</v>
      </c>
      <c r="AB37" s="62"/>
      <c r="AC37" s="51">
        <f t="shared" si="26"/>
        <v>0</v>
      </c>
      <c r="AD37" s="65" t="e">
        <f t="shared" si="27"/>
        <v>#DIV/0!</v>
      </c>
      <c r="AE37" s="162" t="e">
        <f t="shared" si="10"/>
        <v>#DIV/0!</v>
      </c>
    </row>
    <row r="38" spans="2:31" ht="15.75" customHeight="1" x14ac:dyDescent="0.3">
      <c r="B38" s="35">
        <v>29</v>
      </c>
      <c r="C38" s="197" t="s">
        <v>126</v>
      </c>
      <c r="D38" s="45"/>
      <c r="E38" s="38"/>
      <c r="F38" s="59">
        <v>16</v>
      </c>
      <c r="G38" s="27">
        <v>18</v>
      </c>
      <c r="H38" s="27"/>
      <c r="I38" s="32">
        <v>16</v>
      </c>
      <c r="J38" s="28"/>
      <c r="K38" s="56">
        <f t="shared" si="0"/>
        <v>16.666666666666668</v>
      </c>
      <c r="L38" s="166" t="str">
        <f t="shared" si="1"/>
        <v>TRANSITA</v>
      </c>
      <c r="M38" s="59">
        <v>14</v>
      </c>
      <c r="N38" s="27">
        <v>0</v>
      </c>
      <c r="O38" s="27"/>
      <c r="P38" s="32">
        <v>7</v>
      </c>
      <c r="Q38" s="28"/>
      <c r="R38" s="56">
        <f t="shared" si="2"/>
        <v>7</v>
      </c>
      <c r="S38" s="166" t="str">
        <f t="shared" si="3"/>
        <v>N/TRANSITA</v>
      </c>
      <c r="T38" s="59"/>
      <c r="U38" s="27"/>
      <c r="V38" s="27"/>
      <c r="W38" s="32" t="e">
        <f t="shared" si="4"/>
        <v>#DIV/0!</v>
      </c>
      <c r="X38" s="28"/>
      <c r="Y38" s="56" t="e">
        <f t="shared" si="5"/>
        <v>#DIV/0!</v>
      </c>
      <c r="Z38" s="48" t="e">
        <f t="shared" si="6"/>
        <v>#DIV/0!</v>
      </c>
      <c r="AA38" s="41" t="e">
        <f t="shared" si="7"/>
        <v>#DIV/0!</v>
      </c>
      <c r="AB38" s="62"/>
      <c r="AC38" s="51">
        <f t="shared" si="26"/>
        <v>0</v>
      </c>
      <c r="AD38" s="65" t="e">
        <f t="shared" si="27"/>
        <v>#DIV/0!</v>
      </c>
      <c r="AE38" s="162" t="e">
        <f t="shared" si="10"/>
        <v>#DIV/0!</v>
      </c>
    </row>
    <row r="39" spans="2:31" ht="15.75" customHeight="1" x14ac:dyDescent="0.3">
      <c r="B39" s="35">
        <v>30</v>
      </c>
      <c r="C39" s="197" t="s">
        <v>127</v>
      </c>
      <c r="D39" s="45"/>
      <c r="E39" s="38"/>
      <c r="F39" s="59">
        <v>16</v>
      </c>
      <c r="G39" s="27">
        <v>20</v>
      </c>
      <c r="H39" s="27"/>
      <c r="I39" s="32">
        <v>16</v>
      </c>
      <c r="J39" s="28"/>
      <c r="K39" s="56">
        <f t="shared" si="0"/>
        <v>17.333333333333332</v>
      </c>
      <c r="L39" s="166" t="str">
        <f t="shared" si="1"/>
        <v>TRANSITA</v>
      </c>
      <c r="M39" s="59">
        <v>17</v>
      </c>
      <c r="N39" s="27">
        <v>0</v>
      </c>
      <c r="O39" s="27"/>
      <c r="P39" s="32">
        <v>15</v>
      </c>
      <c r="Q39" s="28"/>
      <c r="R39" s="56">
        <f t="shared" si="2"/>
        <v>10.666666666666666</v>
      </c>
      <c r="S39" s="166" t="str">
        <f t="shared" si="3"/>
        <v>TRANSITA</v>
      </c>
      <c r="T39" s="59"/>
      <c r="U39" s="27"/>
      <c r="V39" s="27"/>
      <c r="W39" s="32" t="e">
        <f t="shared" si="4"/>
        <v>#DIV/0!</v>
      </c>
      <c r="X39" s="28"/>
      <c r="Y39" s="56" t="e">
        <f t="shared" si="5"/>
        <v>#DIV/0!</v>
      </c>
      <c r="Z39" s="48" t="e">
        <f t="shared" si="6"/>
        <v>#DIV/0!</v>
      </c>
      <c r="AA39" s="41" t="e">
        <f t="shared" si="7"/>
        <v>#DIV/0!</v>
      </c>
      <c r="AB39" s="62"/>
      <c r="AC39" s="51">
        <f t="shared" si="26"/>
        <v>0</v>
      </c>
      <c r="AD39" s="65" t="e">
        <f t="shared" si="27"/>
        <v>#DIV/0!</v>
      </c>
      <c r="AE39" s="162" t="e">
        <f t="shared" si="10"/>
        <v>#DIV/0!</v>
      </c>
    </row>
    <row r="40" spans="2:31" ht="15.75" customHeight="1" x14ac:dyDescent="0.3">
      <c r="B40" s="35">
        <v>31</v>
      </c>
      <c r="C40" s="197" t="s">
        <v>128</v>
      </c>
      <c r="D40" s="45"/>
      <c r="E40" s="38"/>
      <c r="F40" s="59">
        <v>14</v>
      </c>
      <c r="G40" s="27">
        <v>10</v>
      </c>
      <c r="H40" s="27"/>
      <c r="I40" s="32">
        <v>16</v>
      </c>
      <c r="J40" s="28"/>
      <c r="K40" s="56">
        <f t="shared" si="0"/>
        <v>13.333333333333334</v>
      </c>
      <c r="L40" s="166" t="str">
        <f t="shared" si="1"/>
        <v>TRANSITA</v>
      </c>
      <c r="M40" s="59">
        <v>14</v>
      </c>
      <c r="N40" s="27">
        <v>4</v>
      </c>
      <c r="O40" s="27"/>
      <c r="P40" s="32">
        <v>18</v>
      </c>
      <c r="Q40" s="28"/>
      <c r="R40" s="56">
        <f t="shared" si="2"/>
        <v>12</v>
      </c>
      <c r="S40" s="166" t="str">
        <f t="shared" si="3"/>
        <v>TRANSITA</v>
      </c>
      <c r="T40" s="59"/>
      <c r="U40" s="27"/>
      <c r="V40" s="27"/>
      <c r="W40" s="32" t="e">
        <f t="shared" si="4"/>
        <v>#DIV/0!</v>
      </c>
      <c r="X40" s="28"/>
      <c r="Y40" s="56" t="e">
        <f t="shared" si="5"/>
        <v>#DIV/0!</v>
      </c>
      <c r="Z40" s="48" t="e">
        <f t="shared" si="6"/>
        <v>#DIV/0!</v>
      </c>
      <c r="AA40" s="41" t="e">
        <f t="shared" si="7"/>
        <v>#DIV/0!</v>
      </c>
      <c r="AB40" s="62"/>
      <c r="AC40" s="51">
        <f t="shared" si="11"/>
        <v>0</v>
      </c>
      <c r="AD40" s="65" t="e">
        <f t="shared" si="12"/>
        <v>#DIV/0!</v>
      </c>
      <c r="AE40" s="162" t="e">
        <f t="shared" si="10"/>
        <v>#DIV/0!</v>
      </c>
    </row>
    <row r="41" spans="2:31" ht="15.75" customHeight="1" x14ac:dyDescent="0.3">
      <c r="B41" s="35">
        <v>32</v>
      </c>
      <c r="C41" s="197" t="s">
        <v>142</v>
      </c>
      <c r="D41" s="45"/>
      <c r="E41" s="38"/>
      <c r="F41" s="59">
        <v>16</v>
      </c>
      <c r="G41" s="27">
        <v>16</v>
      </c>
      <c r="H41" s="27"/>
      <c r="I41" s="32">
        <v>16</v>
      </c>
      <c r="J41" s="28"/>
      <c r="K41" s="56">
        <f t="shared" si="0"/>
        <v>16</v>
      </c>
      <c r="L41" s="166" t="str">
        <f t="shared" si="1"/>
        <v>TRANSITA</v>
      </c>
      <c r="M41" s="59">
        <v>14</v>
      </c>
      <c r="N41" s="27">
        <v>19</v>
      </c>
      <c r="O41" s="27"/>
      <c r="P41" s="32">
        <v>16</v>
      </c>
      <c r="Q41" s="28"/>
      <c r="R41" s="56">
        <f t="shared" ref="R41" si="32">AVERAGE(M41,MAX(N41:O41),MAX(P41:Q41))</f>
        <v>16.333333333333332</v>
      </c>
      <c r="S41" s="166" t="str">
        <f t="shared" ref="S41" si="33">IF(R41&gt;=10,"TRANSITA","N/TRANSITA")</f>
        <v>TRANSITA</v>
      </c>
      <c r="T41" s="59"/>
      <c r="U41" s="27"/>
      <c r="V41" s="27"/>
      <c r="W41" s="32" t="e">
        <f t="shared" ref="W41" si="34">AVERAGE(T41:U41)</f>
        <v>#DIV/0!</v>
      </c>
      <c r="X41" s="28"/>
      <c r="Y41" s="56" t="e">
        <f t="shared" ref="Y41" si="35">AVERAGE(T41,MAX(U41:V41),MAX(W41:X41))</f>
        <v>#DIV/0!</v>
      </c>
      <c r="Z41" s="48" t="e">
        <f t="shared" ref="Z41" si="36">SUM(K41,R41,Y41)/3</f>
        <v>#DIV/0!</v>
      </c>
      <c r="AA41" s="41" t="e">
        <f t="shared" ref="AA41" si="37">Z41*0.4</f>
        <v>#DIV/0!</v>
      </c>
      <c r="AB41" s="62"/>
      <c r="AC41" s="51">
        <f t="shared" ref="AC41" si="38">AB41*0.6</f>
        <v>0</v>
      </c>
      <c r="AD41" s="65" t="e">
        <f t="shared" ref="AD41" si="39">AVERAGE(AA41+AC41)</f>
        <v>#DIV/0!</v>
      </c>
      <c r="AE41" s="162"/>
    </row>
    <row r="42" spans="2:31" ht="15.75" customHeight="1" x14ac:dyDescent="0.3">
      <c r="B42" s="35">
        <v>33</v>
      </c>
      <c r="C42" s="197" t="s">
        <v>129</v>
      </c>
      <c r="D42" s="45"/>
      <c r="E42" s="38"/>
      <c r="F42" s="59">
        <v>14</v>
      </c>
      <c r="G42" s="27">
        <v>10</v>
      </c>
      <c r="H42" s="27"/>
      <c r="I42" s="32">
        <v>10</v>
      </c>
      <c r="J42" s="28"/>
      <c r="K42" s="56">
        <f t="shared" si="0"/>
        <v>11.333333333333334</v>
      </c>
      <c r="L42" s="166" t="str">
        <f t="shared" si="1"/>
        <v>TRANSITA</v>
      </c>
      <c r="M42" s="59">
        <v>14</v>
      </c>
      <c r="N42" s="27">
        <v>12</v>
      </c>
      <c r="O42" s="27"/>
      <c r="P42" s="32">
        <v>16</v>
      </c>
      <c r="Q42" s="28"/>
      <c r="R42" s="56">
        <f t="shared" si="2"/>
        <v>14</v>
      </c>
      <c r="S42" s="166" t="str">
        <f t="shared" si="3"/>
        <v>TRANSITA</v>
      </c>
      <c r="T42" s="59"/>
      <c r="U42" s="27"/>
      <c r="V42" s="27"/>
      <c r="W42" s="32" t="e">
        <f t="shared" si="4"/>
        <v>#DIV/0!</v>
      </c>
      <c r="X42" s="28"/>
      <c r="Y42" s="56" t="e">
        <f t="shared" si="5"/>
        <v>#DIV/0!</v>
      </c>
      <c r="Z42" s="48" t="e">
        <f t="shared" si="6"/>
        <v>#DIV/0!</v>
      </c>
      <c r="AA42" s="41">
        <v>1</v>
      </c>
      <c r="AB42" s="62"/>
      <c r="AC42" s="51">
        <f t="shared" si="11"/>
        <v>0</v>
      </c>
      <c r="AD42" s="65">
        <f t="shared" si="12"/>
        <v>1</v>
      </c>
      <c r="AE42" s="162" t="str">
        <f t="shared" si="10"/>
        <v>REPROVADO/A</v>
      </c>
    </row>
    <row r="43" spans="2:31" ht="15.75" customHeight="1" x14ac:dyDescent="0.3">
      <c r="B43" s="35">
        <v>34</v>
      </c>
      <c r="C43" s="197" t="s">
        <v>130</v>
      </c>
      <c r="D43" s="45"/>
      <c r="E43" s="38"/>
      <c r="F43" s="59">
        <v>14</v>
      </c>
      <c r="G43" s="27">
        <v>10</v>
      </c>
      <c r="H43" s="27"/>
      <c r="I43" s="32">
        <v>11</v>
      </c>
      <c r="J43" s="28"/>
      <c r="K43" s="56">
        <f t="shared" si="0"/>
        <v>11.666666666666666</v>
      </c>
      <c r="L43" s="166" t="str">
        <f t="shared" si="1"/>
        <v>TRANSITA</v>
      </c>
      <c r="M43" s="59">
        <v>14</v>
      </c>
      <c r="N43" s="27">
        <v>13</v>
      </c>
      <c r="O43" s="27"/>
      <c r="P43" s="32">
        <v>16</v>
      </c>
      <c r="Q43" s="28"/>
      <c r="R43" s="56">
        <f t="shared" si="2"/>
        <v>14.333333333333334</v>
      </c>
      <c r="S43" s="166" t="str">
        <f t="shared" si="3"/>
        <v>TRANSITA</v>
      </c>
      <c r="T43" s="59"/>
      <c r="U43" s="27"/>
      <c r="V43" s="27"/>
      <c r="W43" s="32" t="e">
        <f t="shared" si="4"/>
        <v>#DIV/0!</v>
      </c>
      <c r="X43" s="28"/>
      <c r="Y43" s="56" t="e">
        <f t="shared" si="5"/>
        <v>#DIV/0!</v>
      </c>
      <c r="Z43" s="48" t="e">
        <f t="shared" si="6"/>
        <v>#DIV/0!</v>
      </c>
      <c r="AA43" s="41" t="e">
        <f t="shared" si="7"/>
        <v>#DIV/0!</v>
      </c>
      <c r="AB43" s="62"/>
      <c r="AC43" s="51">
        <f t="shared" ref="AC43:AC44" si="40">AB43*0.6</f>
        <v>0</v>
      </c>
      <c r="AD43" s="65" t="e">
        <f t="shared" ref="AD43:AD44" si="41">AVERAGE(AA43+AC43)</f>
        <v>#DIV/0!</v>
      </c>
      <c r="AE43" s="162" t="e">
        <f t="shared" si="10"/>
        <v>#DIV/0!</v>
      </c>
    </row>
    <row r="44" spans="2:31" ht="15.75" customHeight="1" x14ac:dyDescent="0.3">
      <c r="B44" s="35">
        <v>35</v>
      </c>
      <c r="C44" s="197" t="s">
        <v>131</v>
      </c>
      <c r="D44" s="45"/>
      <c r="E44" s="38"/>
      <c r="F44" s="59">
        <v>16</v>
      </c>
      <c r="G44" s="27">
        <v>17</v>
      </c>
      <c r="H44" s="27"/>
      <c r="I44" s="32">
        <v>16</v>
      </c>
      <c r="J44" s="28"/>
      <c r="K44" s="56">
        <f t="shared" si="0"/>
        <v>16.333333333333332</v>
      </c>
      <c r="L44" s="166" t="str">
        <f t="shared" si="1"/>
        <v>TRANSITA</v>
      </c>
      <c r="M44" s="59">
        <v>12</v>
      </c>
      <c r="N44" s="27">
        <v>8</v>
      </c>
      <c r="O44" s="27"/>
      <c r="P44" s="32">
        <v>8</v>
      </c>
      <c r="Q44" s="28"/>
      <c r="R44" s="56">
        <f t="shared" si="2"/>
        <v>9.3333333333333339</v>
      </c>
      <c r="S44" s="166" t="str">
        <f t="shared" si="3"/>
        <v>N/TRANSITA</v>
      </c>
      <c r="T44" s="59"/>
      <c r="U44" s="27"/>
      <c r="V44" s="27"/>
      <c r="W44" s="32" t="e">
        <f t="shared" si="4"/>
        <v>#DIV/0!</v>
      </c>
      <c r="X44" s="28"/>
      <c r="Y44" s="56" t="e">
        <f t="shared" si="5"/>
        <v>#DIV/0!</v>
      </c>
      <c r="Z44" s="48" t="e">
        <f t="shared" si="6"/>
        <v>#DIV/0!</v>
      </c>
      <c r="AA44" s="41" t="e">
        <f t="shared" si="7"/>
        <v>#DIV/0!</v>
      </c>
      <c r="AB44" s="62"/>
      <c r="AC44" s="51">
        <f t="shared" si="40"/>
        <v>0</v>
      </c>
      <c r="AD44" s="65" t="e">
        <f t="shared" si="41"/>
        <v>#DIV/0!</v>
      </c>
      <c r="AE44" s="162" t="e">
        <f t="shared" si="10"/>
        <v>#DIV/0!</v>
      </c>
    </row>
    <row r="45" spans="2:31" ht="15.75" customHeight="1" x14ac:dyDescent="0.3">
      <c r="B45" s="35">
        <v>36</v>
      </c>
      <c r="C45" s="197" t="s">
        <v>132</v>
      </c>
      <c r="D45" s="45"/>
      <c r="E45" s="38"/>
      <c r="F45" s="59">
        <v>12</v>
      </c>
      <c r="G45" s="27">
        <v>14</v>
      </c>
      <c r="H45" s="27"/>
      <c r="I45" s="32">
        <v>6</v>
      </c>
      <c r="J45" s="28"/>
      <c r="K45" s="56">
        <f t="shared" si="0"/>
        <v>10.666666666666666</v>
      </c>
      <c r="L45" s="166" t="str">
        <f t="shared" si="1"/>
        <v>TRANSITA</v>
      </c>
      <c r="M45" s="59">
        <v>14</v>
      </c>
      <c r="N45" s="27">
        <v>17</v>
      </c>
      <c r="O45" s="27"/>
      <c r="P45" s="32">
        <v>10</v>
      </c>
      <c r="Q45" s="28"/>
      <c r="R45" s="56">
        <f t="shared" si="2"/>
        <v>13.666666666666666</v>
      </c>
      <c r="S45" s="166" t="str">
        <f t="shared" si="3"/>
        <v>TRANSITA</v>
      </c>
      <c r="T45" s="59"/>
      <c r="U45" s="27"/>
      <c r="V45" s="27"/>
      <c r="W45" s="32" t="e">
        <f t="shared" si="4"/>
        <v>#DIV/0!</v>
      </c>
      <c r="X45" s="28"/>
      <c r="Y45" s="56" t="e">
        <f t="shared" si="5"/>
        <v>#DIV/0!</v>
      </c>
      <c r="Z45" s="48" t="e">
        <f t="shared" si="6"/>
        <v>#DIV/0!</v>
      </c>
      <c r="AA45" s="41" t="e">
        <f t="shared" si="7"/>
        <v>#DIV/0!</v>
      </c>
      <c r="AB45" s="62"/>
      <c r="AC45" s="51">
        <f t="shared" si="11"/>
        <v>0</v>
      </c>
      <c r="AD45" s="65" t="e">
        <f t="shared" si="12"/>
        <v>#DIV/0!</v>
      </c>
      <c r="AE45" s="162" t="e">
        <f t="shared" si="10"/>
        <v>#DIV/0!</v>
      </c>
    </row>
    <row r="46" spans="2:31" ht="15.75" customHeight="1" x14ac:dyDescent="0.3">
      <c r="B46" s="35">
        <v>37</v>
      </c>
      <c r="C46" s="197" t="s">
        <v>133</v>
      </c>
      <c r="D46" s="45"/>
      <c r="E46" s="38"/>
      <c r="F46" s="59"/>
      <c r="G46" s="27">
        <v>20</v>
      </c>
      <c r="H46" s="27"/>
      <c r="I46" s="32">
        <v>16</v>
      </c>
      <c r="J46" s="28"/>
      <c r="K46" s="56">
        <f t="shared" si="0"/>
        <v>18</v>
      </c>
      <c r="L46" s="166" t="str">
        <f t="shared" si="1"/>
        <v>TRANSITA</v>
      </c>
      <c r="M46" s="59">
        <v>5</v>
      </c>
      <c r="N46" s="27">
        <v>18</v>
      </c>
      <c r="O46" s="27"/>
      <c r="P46" s="32">
        <v>16</v>
      </c>
      <c r="Q46" s="28"/>
      <c r="R46" s="56">
        <f t="shared" si="2"/>
        <v>13</v>
      </c>
      <c r="S46" s="166" t="str">
        <f t="shared" si="3"/>
        <v>TRANSITA</v>
      </c>
      <c r="T46" s="59"/>
      <c r="U46" s="27"/>
      <c r="V46" s="27"/>
      <c r="W46" s="32" t="e">
        <f t="shared" si="4"/>
        <v>#DIV/0!</v>
      </c>
      <c r="X46" s="28"/>
      <c r="Y46" s="56" t="e">
        <f t="shared" si="5"/>
        <v>#DIV/0!</v>
      </c>
      <c r="Z46" s="48" t="e">
        <f t="shared" si="6"/>
        <v>#DIV/0!</v>
      </c>
      <c r="AA46" s="41" t="e">
        <f t="shared" si="7"/>
        <v>#DIV/0!</v>
      </c>
      <c r="AB46" s="62"/>
      <c r="AC46" s="51">
        <f t="shared" ref="AC46:AC51" si="42">AB46*0.6</f>
        <v>0</v>
      </c>
      <c r="AD46" s="65" t="e">
        <f t="shared" ref="AD46:AD51" si="43">AVERAGE(AA46+AC46)</f>
        <v>#DIV/0!</v>
      </c>
      <c r="AE46" s="162" t="e">
        <f t="shared" si="10"/>
        <v>#DIV/0!</v>
      </c>
    </row>
    <row r="47" spans="2:31" ht="15.75" customHeight="1" x14ac:dyDescent="0.3">
      <c r="B47" s="35">
        <v>38</v>
      </c>
      <c r="C47" s="197" t="s">
        <v>134</v>
      </c>
      <c r="D47" s="45"/>
      <c r="E47" s="38"/>
      <c r="F47" s="59">
        <v>12</v>
      </c>
      <c r="G47" s="27">
        <v>0</v>
      </c>
      <c r="H47" s="27"/>
      <c r="I47" s="32">
        <v>10</v>
      </c>
      <c r="J47" s="28"/>
      <c r="K47" s="56">
        <f t="shared" si="0"/>
        <v>7.333333333333333</v>
      </c>
      <c r="L47" s="166" t="str">
        <f t="shared" si="1"/>
        <v>N/TRANSITA</v>
      </c>
      <c r="M47" s="59">
        <v>12</v>
      </c>
      <c r="N47" s="27">
        <v>2</v>
      </c>
      <c r="O47" s="27"/>
      <c r="P47" s="32">
        <v>18</v>
      </c>
      <c r="Q47" s="28"/>
      <c r="R47" s="56">
        <f t="shared" si="2"/>
        <v>10.666666666666666</v>
      </c>
      <c r="S47" s="166" t="str">
        <f t="shared" si="3"/>
        <v>TRANSITA</v>
      </c>
      <c r="T47" s="59"/>
      <c r="U47" s="27"/>
      <c r="V47" s="27"/>
      <c r="W47" s="32" t="e">
        <f t="shared" si="4"/>
        <v>#DIV/0!</v>
      </c>
      <c r="X47" s="28"/>
      <c r="Y47" s="56" t="e">
        <f t="shared" si="5"/>
        <v>#DIV/0!</v>
      </c>
      <c r="Z47" s="48" t="e">
        <f t="shared" si="6"/>
        <v>#DIV/0!</v>
      </c>
      <c r="AA47" s="41" t="e">
        <f t="shared" si="7"/>
        <v>#DIV/0!</v>
      </c>
      <c r="AB47" s="62"/>
      <c r="AC47" s="51">
        <f t="shared" si="42"/>
        <v>0</v>
      </c>
      <c r="AD47" s="65" t="e">
        <f t="shared" si="43"/>
        <v>#DIV/0!</v>
      </c>
      <c r="AE47" s="162" t="e">
        <f t="shared" si="10"/>
        <v>#DIV/0!</v>
      </c>
    </row>
    <row r="48" spans="2:31" ht="15.75" customHeight="1" x14ac:dyDescent="0.3">
      <c r="B48" s="35">
        <v>39</v>
      </c>
      <c r="C48" s="197" t="s">
        <v>135</v>
      </c>
      <c r="D48" s="45"/>
      <c r="E48" s="38"/>
      <c r="F48" s="59">
        <v>12</v>
      </c>
      <c r="G48" s="27">
        <v>11</v>
      </c>
      <c r="H48" s="27"/>
      <c r="I48" s="32"/>
      <c r="J48" s="28"/>
      <c r="K48" s="56">
        <f t="shared" si="0"/>
        <v>7.666666666666667</v>
      </c>
      <c r="L48" s="166" t="str">
        <f t="shared" si="1"/>
        <v>N/TRANSITA</v>
      </c>
      <c r="M48" s="59">
        <v>5</v>
      </c>
      <c r="N48" s="27">
        <v>0</v>
      </c>
      <c r="O48" s="27"/>
      <c r="P48" s="32">
        <v>7</v>
      </c>
      <c r="Q48" s="28"/>
      <c r="R48" s="56">
        <f t="shared" si="2"/>
        <v>4</v>
      </c>
      <c r="S48" s="166" t="str">
        <f t="shared" si="3"/>
        <v>N/TRANSITA</v>
      </c>
      <c r="T48" s="59"/>
      <c r="U48" s="27"/>
      <c r="V48" s="27"/>
      <c r="W48" s="32" t="e">
        <f t="shared" si="4"/>
        <v>#DIV/0!</v>
      </c>
      <c r="X48" s="28"/>
      <c r="Y48" s="56" t="e">
        <f t="shared" si="5"/>
        <v>#DIV/0!</v>
      </c>
      <c r="Z48" s="48" t="e">
        <f t="shared" si="6"/>
        <v>#DIV/0!</v>
      </c>
      <c r="AA48" s="41" t="e">
        <f t="shared" si="7"/>
        <v>#DIV/0!</v>
      </c>
      <c r="AB48" s="62"/>
      <c r="AC48" s="51">
        <f t="shared" si="42"/>
        <v>0</v>
      </c>
      <c r="AD48" s="65" t="e">
        <f t="shared" si="43"/>
        <v>#DIV/0!</v>
      </c>
      <c r="AE48" s="162" t="e">
        <f t="shared" si="10"/>
        <v>#DIV/0!</v>
      </c>
    </row>
    <row r="49" spans="1:31" ht="15.75" customHeight="1" x14ac:dyDescent="0.3">
      <c r="B49" s="35">
        <v>40</v>
      </c>
      <c r="C49" s="197" t="s">
        <v>136</v>
      </c>
      <c r="D49" s="45">
        <v>0</v>
      </c>
      <c r="E49" s="38"/>
      <c r="F49" s="59">
        <v>16</v>
      </c>
      <c r="G49" s="27">
        <v>20</v>
      </c>
      <c r="H49" s="27"/>
      <c r="I49" s="32">
        <v>16</v>
      </c>
      <c r="J49" s="28"/>
      <c r="K49" s="56">
        <f t="shared" si="0"/>
        <v>17.333333333333332</v>
      </c>
      <c r="L49" s="166" t="str">
        <f t="shared" si="1"/>
        <v>TRANSITA</v>
      </c>
      <c r="M49" s="59">
        <v>12</v>
      </c>
      <c r="N49" s="27">
        <v>2</v>
      </c>
      <c r="O49" s="27"/>
      <c r="P49" s="32">
        <v>12</v>
      </c>
      <c r="Q49" s="28"/>
      <c r="R49" s="56">
        <f t="shared" si="2"/>
        <v>8.6666666666666661</v>
      </c>
      <c r="S49" s="166" t="str">
        <f t="shared" si="3"/>
        <v>N/TRANSITA</v>
      </c>
      <c r="T49" s="59"/>
      <c r="U49" s="27"/>
      <c r="V49" s="27"/>
      <c r="W49" s="32" t="e">
        <f t="shared" si="4"/>
        <v>#DIV/0!</v>
      </c>
      <c r="X49" s="28"/>
      <c r="Y49" s="56" t="e">
        <f t="shared" si="5"/>
        <v>#DIV/0!</v>
      </c>
      <c r="Z49" s="48" t="e">
        <f t="shared" si="6"/>
        <v>#DIV/0!</v>
      </c>
      <c r="AA49" s="41" t="e">
        <f t="shared" si="7"/>
        <v>#DIV/0!</v>
      </c>
      <c r="AB49" s="62"/>
      <c r="AC49" s="51">
        <f t="shared" ref="AC49:AC50" si="44">AB49*0.6</f>
        <v>0</v>
      </c>
      <c r="AD49" s="65" t="e">
        <f t="shared" ref="AD49:AD50" si="45">AVERAGE(AA49+AC49)</f>
        <v>#DIV/0!</v>
      </c>
      <c r="AE49" s="162" t="e">
        <f t="shared" si="10"/>
        <v>#DIV/0!</v>
      </c>
    </row>
    <row r="50" spans="1:31" ht="15.75" customHeight="1" x14ac:dyDescent="0.3">
      <c r="B50" s="35">
        <v>41</v>
      </c>
      <c r="C50" s="197" t="s">
        <v>137</v>
      </c>
      <c r="D50" s="45"/>
      <c r="E50" s="38"/>
      <c r="F50" s="59">
        <v>12</v>
      </c>
      <c r="G50" s="27">
        <v>12</v>
      </c>
      <c r="H50" s="27"/>
      <c r="I50" s="32">
        <v>13</v>
      </c>
      <c r="J50" s="28"/>
      <c r="K50" s="56">
        <f t="shared" si="0"/>
        <v>12.333333333333334</v>
      </c>
      <c r="L50" s="166" t="str">
        <f t="shared" si="1"/>
        <v>TRANSITA</v>
      </c>
      <c r="M50" s="59">
        <v>17</v>
      </c>
      <c r="N50" s="27">
        <v>9</v>
      </c>
      <c r="O50" s="27"/>
      <c r="P50" s="32">
        <v>12</v>
      </c>
      <c r="Q50" s="28"/>
      <c r="R50" s="56">
        <f t="shared" si="2"/>
        <v>12.666666666666666</v>
      </c>
      <c r="S50" s="166" t="str">
        <f t="shared" si="3"/>
        <v>TRANSITA</v>
      </c>
      <c r="T50" s="59"/>
      <c r="U50" s="27"/>
      <c r="V50" s="27"/>
      <c r="W50" s="32" t="e">
        <f t="shared" si="4"/>
        <v>#DIV/0!</v>
      </c>
      <c r="X50" s="28"/>
      <c r="Y50" s="56" t="e">
        <f t="shared" si="5"/>
        <v>#DIV/0!</v>
      </c>
      <c r="Z50" s="48" t="e">
        <f t="shared" si="6"/>
        <v>#DIV/0!</v>
      </c>
      <c r="AA50" s="41" t="e">
        <f t="shared" si="7"/>
        <v>#DIV/0!</v>
      </c>
      <c r="AB50" s="62"/>
      <c r="AC50" s="51">
        <f t="shared" si="44"/>
        <v>0</v>
      </c>
      <c r="AD50" s="65" t="e">
        <f t="shared" si="45"/>
        <v>#DIV/0!</v>
      </c>
      <c r="AE50" s="162" t="e">
        <f t="shared" si="10"/>
        <v>#DIV/0!</v>
      </c>
    </row>
    <row r="51" spans="1:31" ht="15.75" customHeight="1" thickBot="1" x14ac:dyDescent="0.35">
      <c r="B51" s="35">
        <v>42</v>
      </c>
      <c r="C51" s="198" t="s">
        <v>138</v>
      </c>
      <c r="D51" s="46"/>
      <c r="E51" s="39"/>
      <c r="F51" s="60">
        <v>12</v>
      </c>
      <c r="G51" s="29">
        <v>10</v>
      </c>
      <c r="H51" s="29"/>
      <c r="I51" s="137">
        <v>11</v>
      </c>
      <c r="J51" s="30"/>
      <c r="K51" s="57">
        <f t="shared" si="0"/>
        <v>11</v>
      </c>
      <c r="L51" s="167" t="str">
        <f t="shared" si="1"/>
        <v>TRANSITA</v>
      </c>
      <c r="M51" s="60">
        <v>5</v>
      </c>
      <c r="N51" s="29">
        <v>15</v>
      </c>
      <c r="O51" s="29"/>
      <c r="P51" s="137">
        <v>12</v>
      </c>
      <c r="Q51" s="30"/>
      <c r="R51" s="57">
        <f t="shared" si="2"/>
        <v>10.666666666666666</v>
      </c>
      <c r="S51" s="167" t="str">
        <f t="shared" si="3"/>
        <v>TRANSITA</v>
      </c>
      <c r="T51" s="60"/>
      <c r="U51" s="29"/>
      <c r="V51" s="29"/>
      <c r="W51" s="137" t="e">
        <f t="shared" si="4"/>
        <v>#DIV/0!</v>
      </c>
      <c r="X51" s="30"/>
      <c r="Y51" s="57" t="e">
        <f t="shared" si="5"/>
        <v>#DIV/0!</v>
      </c>
      <c r="Z51" s="49" t="e">
        <f t="shared" si="6"/>
        <v>#DIV/0!</v>
      </c>
      <c r="AA51" s="42" t="e">
        <f t="shared" si="7"/>
        <v>#DIV/0!</v>
      </c>
      <c r="AB51" s="63"/>
      <c r="AC51" s="52">
        <f t="shared" si="42"/>
        <v>0</v>
      </c>
      <c r="AD51" s="66" t="e">
        <f t="shared" si="43"/>
        <v>#DIV/0!</v>
      </c>
      <c r="AE51" s="164" t="e">
        <f t="shared" si="10"/>
        <v>#DIV/0!</v>
      </c>
    </row>
    <row r="52" spans="1:31" ht="12" customHeight="1" thickTop="1" x14ac:dyDescent="0.3">
      <c r="B52" s="3"/>
      <c r="C52" s="4"/>
      <c r="D52" s="4"/>
      <c r="E52" s="4"/>
      <c r="F52" s="5"/>
      <c r="G52" s="5"/>
      <c r="H52" s="5"/>
      <c r="I52" s="6"/>
      <c r="J52" s="6"/>
      <c r="K52" s="7"/>
      <c r="L52" s="7"/>
      <c r="M52" s="8"/>
      <c r="N52" s="8"/>
      <c r="O52" s="8"/>
      <c r="P52" s="8"/>
      <c r="Q52" s="8"/>
      <c r="R52" s="7"/>
      <c r="S52" s="7"/>
      <c r="T52" s="9"/>
      <c r="U52" s="9"/>
      <c r="V52" s="9"/>
      <c r="W52" s="10"/>
      <c r="X52" s="10"/>
      <c r="Y52" s="7"/>
      <c r="Z52" s="11"/>
      <c r="AA52" s="12"/>
      <c r="AB52" s="13"/>
      <c r="AC52" s="12"/>
      <c r="AD52" s="12"/>
      <c r="AE52" s="14"/>
    </row>
    <row r="53" spans="1:31" ht="16.5" customHeight="1" x14ac:dyDescent="0.3">
      <c r="A53" s="284" t="s">
        <v>140</v>
      </c>
      <c r="B53" s="284"/>
      <c r="C53" s="284"/>
      <c r="D53" s="284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  <c r="AA53" s="284"/>
      <c r="AB53" s="284"/>
      <c r="AC53" s="284"/>
      <c r="AD53" s="284"/>
      <c r="AE53" s="284"/>
    </row>
    <row r="54" spans="1:31" ht="16.5" customHeight="1" x14ac:dyDescent="0.3">
      <c r="A54" s="21"/>
      <c r="B54" s="21"/>
      <c r="C54" s="21"/>
      <c r="D54" s="21"/>
      <c r="E54" s="21"/>
      <c r="F54" s="21"/>
      <c r="G54" s="21"/>
      <c r="H54" s="25"/>
      <c r="I54" s="21"/>
      <c r="J54" s="25"/>
      <c r="K54" s="21"/>
      <c r="L54" s="21"/>
      <c r="M54" s="21"/>
      <c r="N54" s="21"/>
      <c r="O54" s="25"/>
      <c r="P54" s="21"/>
      <c r="Q54" s="25"/>
      <c r="R54" s="21"/>
      <c r="S54" s="21"/>
      <c r="T54" s="21"/>
      <c r="U54" s="21"/>
      <c r="V54" s="25"/>
      <c r="W54" s="21"/>
      <c r="X54" s="25"/>
      <c r="Y54" s="21"/>
      <c r="Z54" s="21"/>
      <c r="AA54" s="21"/>
      <c r="AB54" s="21"/>
      <c r="AC54" s="21"/>
      <c r="AD54" s="21"/>
      <c r="AE54" s="21"/>
    </row>
    <row r="55" spans="1:31" ht="20.25" customHeight="1" x14ac:dyDescent="0.35">
      <c r="A55" s="309" t="s">
        <v>41</v>
      </c>
      <c r="B55" s="309"/>
      <c r="C55" s="309"/>
      <c r="D55" s="309"/>
      <c r="E55" s="309"/>
      <c r="F55" s="309"/>
      <c r="G55" s="19"/>
      <c r="H55" s="23"/>
      <c r="I55" s="20"/>
      <c r="J55" s="20"/>
      <c r="K55" s="20"/>
      <c r="L55" s="20"/>
      <c r="M55" s="20"/>
      <c r="N55" s="20"/>
      <c r="O55" s="20"/>
      <c r="P55" s="20"/>
      <c r="Q55" s="20"/>
      <c r="R55" s="309" t="s">
        <v>10</v>
      </c>
      <c r="S55" s="309"/>
      <c r="T55" s="309"/>
      <c r="U55" s="309"/>
      <c r="V55" s="309"/>
      <c r="W55" s="309"/>
      <c r="X55" s="309"/>
      <c r="Y55" s="309"/>
      <c r="Z55" s="309"/>
      <c r="AA55" s="309"/>
      <c r="AB55" s="309"/>
      <c r="AC55" s="309"/>
      <c r="AD55" s="309"/>
      <c r="AE55" s="309"/>
    </row>
    <row r="56" spans="1:31" ht="20.399999999999999" x14ac:dyDescent="0.35">
      <c r="A56" s="20"/>
      <c r="B56" s="309" t="s">
        <v>11</v>
      </c>
      <c r="C56" s="309"/>
      <c r="D56" s="309"/>
      <c r="E56" s="309"/>
      <c r="F56" s="309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309"/>
      <c r="S56" s="309"/>
      <c r="T56" s="309"/>
      <c r="U56" s="309"/>
      <c r="V56" s="309"/>
      <c r="W56" s="309"/>
      <c r="X56" s="309"/>
      <c r="Y56" s="309"/>
      <c r="Z56" s="309"/>
      <c r="AA56" s="19"/>
      <c r="AB56" s="19"/>
      <c r="AC56" s="19"/>
      <c r="AD56" s="19"/>
      <c r="AE56" s="20"/>
    </row>
    <row r="57" spans="1:31" ht="21.6" x14ac:dyDescent="0.4">
      <c r="A57" s="20"/>
      <c r="B57" s="310"/>
      <c r="C57" s="310"/>
      <c r="D57" s="310"/>
      <c r="E57" s="310"/>
      <c r="F57" s="31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310" t="s">
        <v>12</v>
      </c>
      <c r="S57" s="310"/>
      <c r="T57" s="310"/>
      <c r="U57" s="310"/>
      <c r="V57" s="310"/>
      <c r="W57" s="310"/>
      <c r="X57" s="310"/>
      <c r="Y57" s="310"/>
      <c r="Z57" s="310"/>
      <c r="AA57" s="310"/>
      <c r="AB57" s="310"/>
      <c r="AC57" s="310"/>
      <c r="AD57" s="310"/>
      <c r="AE57" s="310"/>
    </row>
  </sheetData>
  <mergeCells count="28">
    <mergeCell ref="B7:AE7"/>
    <mergeCell ref="A1:AE1"/>
    <mergeCell ref="B5:C5"/>
    <mergeCell ref="Y5:AE5"/>
    <mergeCell ref="B6:C6"/>
    <mergeCell ref="Y6:AE6"/>
    <mergeCell ref="L4:S4"/>
    <mergeCell ref="C8:C9"/>
    <mergeCell ref="D8:E8"/>
    <mergeCell ref="F8:K8"/>
    <mergeCell ref="M8:R8"/>
    <mergeCell ref="L8:L9"/>
    <mergeCell ref="S8:S9"/>
    <mergeCell ref="B56:F56"/>
    <mergeCell ref="R56:Z56"/>
    <mergeCell ref="B57:F57"/>
    <mergeCell ref="R57:AE57"/>
    <mergeCell ref="A53:AE53"/>
    <mergeCell ref="AD8:AD9"/>
    <mergeCell ref="AE8:AE9"/>
    <mergeCell ref="A55:F55"/>
    <mergeCell ref="R55:AE55"/>
    <mergeCell ref="T8:Y8"/>
    <mergeCell ref="Z8:Z9"/>
    <mergeCell ref="AA8:AA9"/>
    <mergeCell ref="AB8:AB9"/>
    <mergeCell ref="AC8:AC9"/>
    <mergeCell ref="B8:B9"/>
  </mergeCells>
  <conditionalFormatting sqref="K52:L52 R52:Y52 T51:V51 Q10:Q51 W11:X51">
    <cfRule type="cellIs" dxfId="1560" priority="829" stopIfTrue="1" operator="lessThan">
      <formula>10</formula>
    </cfRule>
    <cfRule type="cellIs" dxfId="1559" priority="830" stopIfTrue="1" operator="greaterThan">
      <formula>9</formula>
    </cfRule>
  </conditionalFormatting>
  <conditionalFormatting sqref="K52:L52 R52:Y52 T51:V51 Q10:Q51 W11:X51">
    <cfRule type="cellIs" dxfId="1558" priority="827" stopIfTrue="1" operator="lessThan">
      <formula>10</formula>
    </cfRule>
    <cfRule type="cellIs" dxfId="1557" priority="828" stopIfTrue="1" operator="greaterThan">
      <formula>9</formula>
    </cfRule>
  </conditionalFormatting>
  <conditionalFormatting sqref="Z10:AD52">
    <cfRule type="cellIs" dxfId="1556" priority="825" stopIfTrue="1" operator="greaterThan">
      <formula>9.5</formula>
    </cfRule>
    <cfRule type="cellIs" dxfId="1555" priority="826" stopIfTrue="1" operator="lessThanOrEqual">
      <formula>9.5</formula>
    </cfRule>
  </conditionalFormatting>
  <conditionalFormatting sqref="F52:J52">
    <cfRule type="cellIs" dxfId="1554" priority="823" stopIfTrue="1" operator="lessThan">
      <formula>10</formula>
    </cfRule>
    <cfRule type="cellIs" dxfId="1553" priority="824" stopIfTrue="1" operator="greaterThan">
      <formula>9</formula>
    </cfRule>
  </conditionalFormatting>
  <conditionalFormatting sqref="F52:J52">
    <cfRule type="cellIs" dxfId="1552" priority="821" stopIfTrue="1" operator="lessThan">
      <formula>10</formula>
    </cfRule>
    <cfRule type="cellIs" dxfId="1551" priority="822" stopIfTrue="1" operator="greaterThan">
      <formula>9</formula>
    </cfRule>
  </conditionalFormatting>
  <conditionalFormatting sqref="T52:X52 T51:V51 M52:Q52 W11:X51 Q10:Q51">
    <cfRule type="cellIs" dxfId="1550" priority="817" stopIfTrue="1" operator="lessThan">
      <formula>10</formula>
    </cfRule>
    <cfRule type="cellIs" dxfId="1549" priority="818" stopIfTrue="1" operator="greaterThan">
      <formula>9</formula>
    </cfRule>
    <cfRule type="cellIs" dxfId="1548" priority="819" stopIfTrue="1" operator="lessThan">
      <formula>10</formula>
    </cfRule>
    <cfRule type="cellIs" dxfId="1547" priority="820" stopIfTrue="1" operator="greaterThan">
      <formula>9</formula>
    </cfRule>
  </conditionalFormatting>
  <conditionalFormatting sqref="AB10:AB52">
    <cfRule type="cellIs" dxfId="1546" priority="815" stopIfTrue="1" operator="greaterThan">
      <formula>9.5</formula>
    </cfRule>
    <cfRule type="cellIs" dxfId="1545" priority="816" stopIfTrue="1" operator="lessThanOrEqual">
      <formula>9.5</formula>
    </cfRule>
  </conditionalFormatting>
  <conditionalFormatting sqref="R10:R51 Y10:Y51">
    <cfRule type="cellIs" dxfId="1544" priority="407" stopIfTrue="1" operator="lessThan">
      <formula>10</formula>
    </cfRule>
    <cfRule type="cellIs" dxfId="1543" priority="408" stopIfTrue="1" operator="greaterThanOrEqual">
      <formula>10</formula>
    </cfRule>
  </conditionalFormatting>
  <conditionalFormatting sqref="T24:U39 T45:U50 V10:X10 V11:V50">
    <cfRule type="cellIs" dxfId="1542" priority="397" stopIfTrue="1" operator="lessThan">
      <formula>10</formula>
    </cfRule>
    <cfRule type="cellIs" dxfId="1541" priority="398" stopIfTrue="1" operator="greaterThan">
      <formula>9</formula>
    </cfRule>
  </conditionalFormatting>
  <conditionalFormatting sqref="T24:U39 T45:U50 V10:X10 V11:V50">
    <cfRule type="cellIs" dxfId="1540" priority="395" stopIfTrue="1" operator="lessThan">
      <formula>10</formula>
    </cfRule>
    <cfRule type="cellIs" dxfId="1539" priority="396" stopIfTrue="1" operator="greaterThan">
      <formula>9</formula>
    </cfRule>
  </conditionalFormatting>
  <conditionalFormatting sqref="T24:U39 T45:U50 V10:X10 V11:V50">
    <cfRule type="cellIs" dxfId="1538" priority="391" stopIfTrue="1" operator="lessThan">
      <formula>10</formula>
    </cfRule>
    <cfRule type="cellIs" dxfId="1537" priority="392" stopIfTrue="1" operator="greaterThan">
      <formula>9</formula>
    </cfRule>
    <cfRule type="cellIs" dxfId="1536" priority="393" stopIfTrue="1" operator="lessThan">
      <formula>10</formula>
    </cfRule>
    <cfRule type="cellIs" dxfId="1535" priority="394" stopIfTrue="1" operator="greaterThan">
      <formula>9</formula>
    </cfRule>
  </conditionalFormatting>
  <conditionalFormatting sqref="T10:U12">
    <cfRule type="cellIs" dxfId="1534" priority="389" stopIfTrue="1" operator="lessThan">
      <formula>10</formula>
    </cfRule>
    <cfRule type="cellIs" dxfId="1533" priority="390" stopIfTrue="1" operator="greaterThan">
      <formula>9</formula>
    </cfRule>
  </conditionalFormatting>
  <conditionalFormatting sqref="T10:U12">
    <cfRule type="cellIs" dxfId="1532" priority="387" stopIfTrue="1" operator="lessThan">
      <formula>10</formula>
    </cfRule>
    <cfRule type="cellIs" dxfId="1531" priority="388" stopIfTrue="1" operator="greaterThan">
      <formula>9</formula>
    </cfRule>
  </conditionalFormatting>
  <conditionalFormatting sqref="T10:U12">
    <cfRule type="cellIs" dxfId="1530" priority="383" stopIfTrue="1" operator="lessThan">
      <formula>10</formula>
    </cfRule>
    <cfRule type="cellIs" dxfId="1529" priority="384" stopIfTrue="1" operator="greaterThan">
      <formula>9</formula>
    </cfRule>
    <cfRule type="cellIs" dxfId="1528" priority="385" stopIfTrue="1" operator="lessThan">
      <formula>10</formula>
    </cfRule>
    <cfRule type="cellIs" dxfId="1527" priority="386" stopIfTrue="1" operator="greaterThan">
      <formula>9</formula>
    </cfRule>
  </conditionalFormatting>
  <conditionalFormatting sqref="T13:U15">
    <cfRule type="cellIs" dxfId="1526" priority="381" stopIfTrue="1" operator="lessThan">
      <formula>10</formula>
    </cfRule>
    <cfRule type="cellIs" dxfId="1525" priority="382" stopIfTrue="1" operator="greaterThan">
      <formula>9</formula>
    </cfRule>
  </conditionalFormatting>
  <conditionalFormatting sqref="T13:U15">
    <cfRule type="cellIs" dxfId="1524" priority="379" stopIfTrue="1" operator="lessThan">
      <formula>10</formula>
    </cfRule>
    <cfRule type="cellIs" dxfId="1523" priority="380" stopIfTrue="1" operator="greaterThan">
      <formula>9</formula>
    </cfRule>
  </conditionalFormatting>
  <conditionalFormatting sqref="T13:U15">
    <cfRule type="cellIs" dxfId="1522" priority="375" stopIfTrue="1" operator="lessThan">
      <formula>10</formula>
    </cfRule>
    <cfRule type="cellIs" dxfId="1521" priority="376" stopIfTrue="1" operator="greaterThan">
      <formula>9</formula>
    </cfRule>
    <cfRule type="cellIs" dxfId="1520" priority="377" stopIfTrue="1" operator="lessThan">
      <formula>10</formula>
    </cfRule>
    <cfRule type="cellIs" dxfId="1519" priority="378" stopIfTrue="1" operator="greaterThan">
      <formula>9</formula>
    </cfRule>
  </conditionalFormatting>
  <conditionalFormatting sqref="T16:U19">
    <cfRule type="cellIs" dxfId="1518" priority="373" stopIfTrue="1" operator="lessThan">
      <formula>10</formula>
    </cfRule>
    <cfRule type="cellIs" dxfId="1517" priority="374" stopIfTrue="1" operator="greaterThan">
      <formula>9</formula>
    </cfRule>
  </conditionalFormatting>
  <conditionalFormatting sqref="T16:U19">
    <cfRule type="cellIs" dxfId="1516" priority="371" stopIfTrue="1" operator="lessThan">
      <formula>10</formula>
    </cfRule>
    <cfRule type="cellIs" dxfId="1515" priority="372" stopIfTrue="1" operator="greaterThan">
      <formula>9</formula>
    </cfRule>
  </conditionalFormatting>
  <conditionalFormatting sqref="T16:U19">
    <cfRule type="cellIs" dxfId="1514" priority="367" stopIfTrue="1" operator="lessThan">
      <formula>10</formula>
    </cfRule>
    <cfRule type="cellIs" dxfId="1513" priority="368" stopIfTrue="1" operator="greaterThan">
      <formula>9</formula>
    </cfRule>
    <cfRule type="cellIs" dxfId="1512" priority="369" stopIfTrue="1" operator="lessThan">
      <formula>10</formula>
    </cfRule>
    <cfRule type="cellIs" dxfId="1511" priority="370" stopIfTrue="1" operator="greaterThan">
      <formula>9</formula>
    </cfRule>
  </conditionalFormatting>
  <conditionalFormatting sqref="T20:U23">
    <cfRule type="cellIs" dxfId="1510" priority="365" stopIfTrue="1" operator="lessThan">
      <formula>10</formula>
    </cfRule>
    <cfRule type="cellIs" dxfId="1509" priority="366" stopIfTrue="1" operator="greaterThan">
      <formula>9</formula>
    </cfRule>
  </conditionalFormatting>
  <conditionalFormatting sqref="T20:U23">
    <cfRule type="cellIs" dxfId="1508" priority="363" stopIfTrue="1" operator="lessThan">
      <formula>10</formula>
    </cfRule>
    <cfRule type="cellIs" dxfId="1507" priority="364" stopIfTrue="1" operator="greaterThan">
      <formula>9</formula>
    </cfRule>
  </conditionalFormatting>
  <conditionalFormatting sqref="T20:U23">
    <cfRule type="cellIs" dxfId="1506" priority="359" stopIfTrue="1" operator="lessThan">
      <formula>10</formula>
    </cfRule>
    <cfRule type="cellIs" dxfId="1505" priority="360" stopIfTrue="1" operator="greaterThan">
      <formula>9</formula>
    </cfRule>
    <cfRule type="cellIs" dxfId="1504" priority="361" stopIfTrue="1" operator="lessThan">
      <formula>10</formula>
    </cfRule>
    <cfRule type="cellIs" dxfId="1503" priority="362" stopIfTrue="1" operator="greaterThan">
      <formula>9</formula>
    </cfRule>
  </conditionalFormatting>
  <conditionalFormatting sqref="T40:U44">
    <cfRule type="cellIs" dxfId="1502" priority="357" stopIfTrue="1" operator="lessThan">
      <formula>10</formula>
    </cfRule>
    <cfRule type="cellIs" dxfId="1501" priority="358" stopIfTrue="1" operator="greaterThan">
      <formula>9</formula>
    </cfRule>
  </conditionalFormatting>
  <conditionalFormatting sqref="T40:U44">
    <cfRule type="cellIs" dxfId="1500" priority="355" stopIfTrue="1" operator="lessThan">
      <formula>10</formula>
    </cfRule>
    <cfRule type="cellIs" dxfId="1499" priority="356" stopIfTrue="1" operator="greaterThan">
      <formula>9</formula>
    </cfRule>
  </conditionalFormatting>
  <conditionalFormatting sqref="T40:U44">
    <cfRule type="cellIs" dxfId="1498" priority="351" stopIfTrue="1" operator="lessThan">
      <formula>10</formula>
    </cfRule>
    <cfRule type="cellIs" dxfId="1497" priority="352" stopIfTrue="1" operator="greaterThan">
      <formula>9</formula>
    </cfRule>
    <cfRule type="cellIs" dxfId="1496" priority="353" stopIfTrue="1" operator="lessThan">
      <formula>10</formula>
    </cfRule>
    <cfRule type="cellIs" dxfId="1495" priority="354" stopIfTrue="1" operator="greaterThan">
      <formula>9</formula>
    </cfRule>
  </conditionalFormatting>
  <conditionalFormatting sqref="J10:J51 M51:P51">
    <cfRule type="cellIs" dxfId="1494" priority="98" stopIfTrue="1" operator="lessThan">
      <formula>10</formula>
    </cfRule>
    <cfRule type="cellIs" dxfId="1493" priority="99" stopIfTrue="1" operator="greaterThan">
      <formula>9</formula>
    </cfRule>
  </conditionalFormatting>
  <conditionalFormatting sqref="J10:J51 M51:P51">
    <cfRule type="cellIs" dxfId="1492" priority="96" stopIfTrue="1" operator="lessThan">
      <formula>10</formula>
    </cfRule>
    <cfRule type="cellIs" dxfId="1491" priority="97" stopIfTrue="1" operator="greaterThan">
      <formula>9</formula>
    </cfRule>
  </conditionalFormatting>
  <conditionalFormatting sqref="J10:J51 M51:P51">
    <cfRule type="cellIs" dxfId="1490" priority="92" stopIfTrue="1" operator="lessThan">
      <formula>10</formula>
    </cfRule>
    <cfRule type="cellIs" dxfId="1489" priority="93" stopIfTrue="1" operator="greaterThan">
      <formula>9</formula>
    </cfRule>
    <cfRule type="cellIs" dxfId="1488" priority="94" stopIfTrue="1" operator="lessThan">
      <formula>10</formula>
    </cfRule>
    <cfRule type="cellIs" dxfId="1487" priority="95" stopIfTrue="1" operator="greaterThan">
      <formula>9</formula>
    </cfRule>
  </conditionalFormatting>
  <conditionalFormatting sqref="K10:K51">
    <cfRule type="cellIs" dxfId="1486" priority="90" stopIfTrue="1" operator="lessThan">
      <formula>10</formula>
    </cfRule>
    <cfRule type="cellIs" dxfId="1485" priority="91" stopIfTrue="1" operator="greaterThanOrEqual">
      <formula>10</formula>
    </cfRule>
  </conditionalFormatting>
  <conditionalFormatting sqref="M24:N39 M45:N50 O10:P50">
    <cfRule type="cellIs" dxfId="1484" priority="86" stopIfTrue="1" operator="lessThan">
      <formula>10</formula>
    </cfRule>
    <cfRule type="cellIs" dxfId="1483" priority="87" stopIfTrue="1" operator="greaterThan">
      <formula>9</formula>
    </cfRule>
  </conditionalFormatting>
  <conditionalFormatting sqref="M24:N39 M45:N50 O10:P50">
    <cfRule type="cellIs" dxfId="1482" priority="84" stopIfTrue="1" operator="lessThan">
      <formula>10</formula>
    </cfRule>
    <cfRule type="cellIs" dxfId="1481" priority="85" stopIfTrue="1" operator="greaterThan">
      <formula>9</formula>
    </cfRule>
  </conditionalFormatting>
  <conditionalFormatting sqref="M24:N39 M45:N50 O10:P50">
    <cfRule type="cellIs" dxfId="1480" priority="80" stopIfTrue="1" operator="lessThan">
      <formula>10</formula>
    </cfRule>
    <cfRule type="cellIs" dxfId="1479" priority="81" stopIfTrue="1" operator="greaterThan">
      <formula>9</formula>
    </cfRule>
    <cfRule type="cellIs" dxfId="1478" priority="82" stopIfTrue="1" operator="lessThan">
      <formula>10</formula>
    </cfRule>
    <cfRule type="cellIs" dxfId="1477" priority="83" stopIfTrue="1" operator="greaterThan">
      <formula>9</formula>
    </cfRule>
  </conditionalFormatting>
  <conditionalFormatting sqref="M10:N12">
    <cfRule type="cellIs" dxfId="1476" priority="78" stopIfTrue="1" operator="lessThan">
      <formula>10</formula>
    </cfRule>
    <cfRule type="cellIs" dxfId="1475" priority="79" stopIfTrue="1" operator="greaterThan">
      <formula>9</formula>
    </cfRule>
  </conditionalFormatting>
  <conditionalFormatting sqref="M10:N12">
    <cfRule type="cellIs" dxfId="1474" priority="76" stopIfTrue="1" operator="lessThan">
      <formula>10</formula>
    </cfRule>
    <cfRule type="cellIs" dxfId="1473" priority="77" stopIfTrue="1" operator="greaterThan">
      <formula>9</formula>
    </cfRule>
  </conditionalFormatting>
  <conditionalFormatting sqref="M10:N12">
    <cfRule type="cellIs" dxfId="1472" priority="72" stopIfTrue="1" operator="lessThan">
      <formula>10</formula>
    </cfRule>
    <cfRule type="cellIs" dxfId="1471" priority="73" stopIfTrue="1" operator="greaterThan">
      <formula>9</formula>
    </cfRule>
    <cfRule type="cellIs" dxfId="1470" priority="74" stopIfTrue="1" operator="lessThan">
      <formula>10</formula>
    </cfRule>
    <cfRule type="cellIs" dxfId="1469" priority="75" stopIfTrue="1" operator="greaterThan">
      <formula>9</formula>
    </cfRule>
  </conditionalFormatting>
  <conditionalFormatting sqref="M13:N15">
    <cfRule type="cellIs" dxfId="1468" priority="70" stopIfTrue="1" operator="lessThan">
      <formula>10</formula>
    </cfRule>
    <cfRule type="cellIs" dxfId="1467" priority="71" stopIfTrue="1" operator="greaterThan">
      <formula>9</formula>
    </cfRule>
  </conditionalFormatting>
  <conditionalFormatting sqref="M13:N15">
    <cfRule type="cellIs" dxfId="1466" priority="68" stopIfTrue="1" operator="lessThan">
      <formula>10</formula>
    </cfRule>
    <cfRule type="cellIs" dxfId="1465" priority="69" stopIfTrue="1" operator="greaterThan">
      <formula>9</formula>
    </cfRule>
  </conditionalFormatting>
  <conditionalFormatting sqref="M13:N15">
    <cfRule type="cellIs" dxfId="1464" priority="64" stopIfTrue="1" operator="lessThan">
      <formula>10</formula>
    </cfRule>
    <cfRule type="cellIs" dxfId="1463" priority="65" stopIfTrue="1" operator="greaterThan">
      <formula>9</formula>
    </cfRule>
    <cfRule type="cellIs" dxfId="1462" priority="66" stopIfTrue="1" operator="lessThan">
      <formula>10</formula>
    </cfRule>
    <cfRule type="cellIs" dxfId="1461" priority="67" stopIfTrue="1" operator="greaterThan">
      <formula>9</formula>
    </cfRule>
  </conditionalFormatting>
  <conditionalFormatting sqref="M16:N19">
    <cfRule type="cellIs" dxfId="1460" priority="62" stopIfTrue="1" operator="lessThan">
      <formula>10</formula>
    </cfRule>
    <cfRule type="cellIs" dxfId="1459" priority="63" stopIfTrue="1" operator="greaterThan">
      <formula>9</formula>
    </cfRule>
  </conditionalFormatting>
  <conditionalFormatting sqref="M16:N19">
    <cfRule type="cellIs" dxfId="1458" priority="60" stopIfTrue="1" operator="lessThan">
      <formula>10</formula>
    </cfRule>
    <cfRule type="cellIs" dxfId="1457" priority="61" stopIfTrue="1" operator="greaterThan">
      <formula>9</formula>
    </cfRule>
  </conditionalFormatting>
  <conditionalFormatting sqref="M16:N19">
    <cfRule type="cellIs" dxfId="1456" priority="56" stopIfTrue="1" operator="lessThan">
      <formula>10</formula>
    </cfRule>
    <cfRule type="cellIs" dxfId="1455" priority="57" stopIfTrue="1" operator="greaterThan">
      <formula>9</formula>
    </cfRule>
    <cfRule type="cellIs" dxfId="1454" priority="58" stopIfTrue="1" operator="lessThan">
      <formula>10</formula>
    </cfRule>
    <cfRule type="cellIs" dxfId="1453" priority="59" stopIfTrue="1" operator="greaterThan">
      <formula>9</formula>
    </cfRule>
  </conditionalFormatting>
  <conditionalFormatting sqref="M20:N23">
    <cfRule type="cellIs" dxfId="1452" priority="54" stopIfTrue="1" operator="lessThan">
      <formula>10</formula>
    </cfRule>
    <cfRule type="cellIs" dxfId="1451" priority="55" stopIfTrue="1" operator="greaterThan">
      <formula>9</formula>
    </cfRule>
  </conditionalFormatting>
  <conditionalFormatting sqref="M20:N23">
    <cfRule type="cellIs" dxfId="1450" priority="52" stopIfTrue="1" operator="lessThan">
      <formula>10</formula>
    </cfRule>
    <cfRule type="cellIs" dxfId="1449" priority="53" stopIfTrue="1" operator="greaterThan">
      <formula>9</formula>
    </cfRule>
  </conditionalFormatting>
  <conditionalFormatting sqref="M20:N23">
    <cfRule type="cellIs" dxfId="1448" priority="48" stopIfTrue="1" operator="lessThan">
      <formula>10</formula>
    </cfRule>
    <cfRule type="cellIs" dxfId="1447" priority="49" stopIfTrue="1" operator="greaterThan">
      <formula>9</formula>
    </cfRule>
    <cfRule type="cellIs" dxfId="1446" priority="50" stopIfTrue="1" operator="lessThan">
      <formula>10</formula>
    </cfRule>
    <cfRule type="cellIs" dxfId="1445" priority="51" stopIfTrue="1" operator="greaterThan">
      <formula>9</formula>
    </cfRule>
  </conditionalFormatting>
  <conditionalFormatting sqref="M40:N44">
    <cfRule type="cellIs" dxfId="1444" priority="46" stopIfTrue="1" operator="lessThan">
      <formula>10</formula>
    </cfRule>
    <cfRule type="cellIs" dxfId="1443" priority="47" stopIfTrue="1" operator="greaterThan">
      <formula>9</formula>
    </cfRule>
  </conditionalFormatting>
  <conditionalFormatting sqref="M40:N44">
    <cfRule type="cellIs" dxfId="1442" priority="44" stopIfTrue="1" operator="lessThan">
      <formula>10</formula>
    </cfRule>
    <cfRule type="cellIs" dxfId="1441" priority="45" stopIfTrue="1" operator="greaterThan">
      <formula>9</formula>
    </cfRule>
  </conditionalFormatting>
  <conditionalFormatting sqref="M40:N44">
    <cfRule type="cellIs" dxfId="1440" priority="40" stopIfTrue="1" operator="lessThan">
      <formula>10</formula>
    </cfRule>
    <cfRule type="cellIs" dxfId="1439" priority="41" stopIfTrue="1" operator="greaterThan">
      <formula>9</formula>
    </cfRule>
    <cfRule type="cellIs" dxfId="1438" priority="42" stopIfTrue="1" operator="lessThan">
      <formula>10</formula>
    </cfRule>
    <cfRule type="cellIs" dxfId="1437" priority="43" stopIfTrue="1" operator="greaterThan">
      <formula>9</formula>
    </cfRule>
  </conditionalFormatting>
  <conditionalFormatting sqref="F10:G12">
    <cfRule type="cellIs" dxfId="1436" priority="27" stopIfTrue="1" operator="greaterThan">
      <formula>9</formula>
    </cfRule>
    <cfRule type="cellIs" dxfId="1435" priority="28" stopIfTrue="1" operator="lessThan">
      <formula>10</formula>
    </cfRule>
    <cfRule type="cellIs" dxfId="1434" priority="29" stopIfTrue="1" operator="greaterThan">
      <formula>9</formula>
    </cfRule>
    <cfRule type="cellIs" dxfId="1433" priority="30" stopIfTrue="1" operator="lessThan">
      <formula>10</formula>
    </cfRule>
    <cfRule type="cellIs" dxfId="1432" priority="31" stopIfTrue="1" operator="greaterThan">
      <formula>9</formula>
    </cfRule>
  </conditionalFormatting>
  <conditionalFormatting sqref="F10:G15 F51:I51">
    <cfRule type="cellIs" dxfId="1431" priority="23" stopIfTrue="1" operator="lessThan">
      <formula>10</formula>
    </cfRule>
    <cfRule type="cellIs" dxfId="1430" priority="24" stopIfTrue="1" operator="greaterThan">
      <formula>9</formula>
    </cfRule>
    <cfRule type="cellIs" dxfId="1429" priority="25" stopIfTrue="1" operator="lessThan">
      <formula>10</formula>
    </cfRule>
  </conditionalFormatting>
  <conditionalFormatting sqref="F13:G15">
    <cfRule type="cellIs" dxfId="1428" priority="22" stopIfTrue="1" operator="greaterThan">
      <formula>9</formula>
    </cfRule>
    <cfRule type="cellIs" dxfId="1427" priority="26" stopIfTrue="1" operator="greaterThan">
      <formula>9</formula>
    </cfRule>
  </conditionalFormatting>
  <conditionalFormatting sqref="F13:G19">
    <cfRule type="cellIs" dxfId="1426" priority="18" stopIfTrue="1" operator="lessThan">
      <formula>10</formula>
    </cfRule>
    <cfRule type="cellIs" dxfId="1425" priority="19" stopIfTrue="1" operator="greaterThan">
      <formula>9</formula>
    </cfRule>
    <cfRule type="cellIs" dxfId="1424" priority="20" stopIfTrue="1" operator="lessThan">
      <formula>10</formula>
    </cfRule>
  </conditionalFormatting>
  <conditionalFormatting sqref="F16:G19">
    <cfRule type="cellIs" dxfId="1423" priority="17" stopIfTrue="1" operator="greaterThan">
      <formula>9</formula>
    </cfRule>
    <cfRule type="cellIs" dxfId="1422" priority="21" stopIfTrue="1" operator="greaterThan">
      <formula>9</formula>
    </cfRule>
  </conditionalFormatting>
  <conditionalFormatting sqref="F16:G39">
    <cfRule type="cellIs" dxfId="1421" priority="13" stopIfTrue="1" operator="lessThan">
      <formula>10</formula>
    </cfRule>
    <cfRule type="cellIs" dxfId="1420" priority="14" stopIfTrue="1" operator="greaterThan">
      <formula>9</formula>
    </cfRule>
    <cfRule type="cellIs" dxfId="1419" priority="15" stopIfTrue="1" operator="lessThan">
      <formula>10</formula>
    </cfRule>
  </conditionalFormatting>
  <conditionalFormatting sqref="F20:G23">
    <cfRule type="cellIs" dxfId="1418" priority="9" stopIfTrue="1" operator="lessThan">
      <formula>10</formula>
    </cfRule>
    <cfRule type="cellIs" dxfId="1417" priority="10" stopIfTrue="1" operator="greaterThan">
      <formula>9</formula>
    </cfRule>
    <cfRule type="cellIs" dxfId="1416" priority="11" stopIfTrue="1" operator="lessThan">
      <formula>10</formula>
    </cfRule>
    <cfRule type="cellIs" dxfId="1415" priority="12" stopIfTrue="1" operator="greaterThan">
      <formula>9</formula>
    </cfRule>
    <cfRule type="cellIs" dxfId="1414" priority="16" stopIfTrue="1" operator="greaterThan">
      <formula>9</formula>
    </cfRule>
  </conditionalFormatting>
  <conditionalFormatting sqref="F40:G44">
    <cfRule type="cellIs" dxfId="1413" priority="1" stopIfTrue="1" operator="lessThan">
      <formula>10</formula>
    </cfRule>
    <cfRule type="cellIs" dxfId="1412" priority="2" stopIfTrue="1" operator="greaterThan">
      <formula>9</formula>
    </cfRule>
    <cfRule type="cellIs" dxfId="1411" priority="3" stopIfTrue="1" operator="lessThan">
      <formula>10</formula>
    </cfRule>
    <cfRule type="cellIs" dxfId="1410" priority="4" stopIfTrue="1" operator="greaterThan">
      <formula>9</formula>
    </cfRule>
    <cfRule type="cellIs" dxfId="1409" priority="8" stopIfTrue="1" operator="greaterThan">
      <formula>9</formula>
    </cfRule>
  </conditionalFormatting>
  <conditionalFormatting sqref="F40:G50">
    <cfRule type="cellIs" dxfId="1408" priority="5" stopIfTrue="1" operator="lessThan">
      <formula>10</formula>
    </cfRule>
    <cfRule type="cellIs" dxfId="1407" priority="6" stopIfTrue="1" operator="greaterThan">
      <formula>9</formula>
    </cfRule>
    <cfRule type="cellIs" dxfId="1406" priority="7" stopIfTrue="1" operator="lessThan">
      <formula>10</formula>
    </cfRule>
  </conditionalFormatting>
  <conditionalFormatting sqref="H10:I50 F24:G39 F45:G50 F51:I51">
    <cfRule type="cellIs" dxfId="1405" priority="36" stopIfTrue="1" operator="lessThan">
      <formula>10</formula>
    </cfRule>
    <cfRule type="cellIs" dxfId="1404" priority="37" stopIfTrue="1" operator="greaterThan">
      <formula>9</formula>
    </cfRule>
    <cfRule type="cellIs" dxfId="1403" priority="38" stopIfTrue="1" operator="lessThan">
      <formula>10</formula>
    </cfRule>
    <cfRule type="cellIs" dxfId="1402" priority="39" stopIfTrue="1" operator="greaterThan">
      <formula>9</formula>
    </cfRule>
  </conditionalFormatting>
  <conditionalFormatting sqref="H10:I50 F24:G39 F45:G50 F51:I51">
    <cfRule type="cellIs" dxfId="1401" priority="35" stopIfTrue="1" operator="greaterThan">
      <formula>9</formula>
    </cfRule>
  </conditionalFormatting>
  <conditionalFormatting sqref="H10:I50">
    <cfRule type="cellIs" dxfId="1400" priority="32" stopIfTrue="1" operator="lessThan">
      <formula>10</formula>
    </cfRule>
    <cfRule type="cellIs" dxfId="1399" priority="33" stopIfTrue="1" operator="greaterThan">
      <formula>9</formula>
    </cfRule>
    <cfRule type="cellIs" dxfId="1398" priority="34" stopIfTrue="1" operator="lessThan">
      <formula>10</formula>
    </cfRule>
  </conditionalFormatting>
  <dataValidations count="1">
    <dataValidation type="decimal" allowBlank="1" showInputMessage="1" showErrorMessage="1" errorTitle="ATENÇÃO!" error="O valor introduzido não é válido. Grato!" sqref="AB10:AB51 M10:Q51 F10:J51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86" orientation="portrait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61" stopIfTrue="1" operator="containsText" id="{56DF2462-A9EA-4DF4-A041-BDC5F293FA75}">
            <xm:f>NOT(ISERROR(SEARCH("APROVADO/A",AE10)))</xm:f>
            <xm:f>"APROVADO/A"</xm:f>
            <x14:dxf>
              <font>
                <b/>
                <i val="0"/>
                <color rgb="FF0000FF"/>
              </font>
            </x14:dxf>
          </x14:cfRule>
          <x14:cfRule type="containsText" priority="562" stopIfTrue="1" operator="containsText" id="{0627D27F-535C-4EA3-A74C-943B96E5E5D1}">
            <xm:f>NOT(ISERROR(SEARCH("REPROVADO/A",AE10)))</xm:f>
            <xm:f>"REPROVADO/A"</xm:f>
            <x14:dxf>
              <font>
                <b/>
                <i val="0"/>
                <color rgb="FFFF0000"/>
              </font>
            </x14:dxf>
          </x14:cfRule>
          <xm:sqref>AE10:AE51</xm:sqref>
        </x14:conditionalFormatting>
        <x14:conditionalFormatting xmlns:xm="http://schemas.microsoft.com/office/excel/2006/main">
          <x14:cfRule type="containsText" priority="349" stopIfTrue="1" operator="containsText" id="{6A8CB537-62D0-41AC-AF96-E4480D4E47D5}">
            <xm:f>NOT(ISERROR(SEARCH("N/TRANSITA",S10)))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350" stopIfTrue="1" operator="containsText" id="{159E34AC-A378-4ECC-A292-BFC82C4D572D}">
            <xm:f>NOT(ISERROR(SEARCH("TRANSITA",S10)))</xm:f>
            <xm:f>"TRANSITA"</xm:f>
            <x14:dxf>
              <font>
                <b/>
                <i val="0"/>
                <color rgb="FF0070C0"/>
              </font>
            </x14:dxf>
          </x14:cfRule>
          <xm:sqref>S10:S51</xm:sqref>
        </x14:conditionalFormatting>
        <x14:conditionalFormatting xmlns:xm="http://schemas.microsoft.com/office/excel/2006/main">
          <x14:cfRule type="containsText" priority="88" stopIfTrue="1" operator="containsText" id="{E8357D59-157D-45AB-96CA-B42E63A2BA82}">
            <xm:f>NOT(ISERROR(SEARCH("N/TRANSITA",L10)))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89" stopIfTrue="1" operator="containsText" id="{CEAA37BA-C415-4994-B842-56ADFB1B922B}">
            <xm:f>NOT(ISERROR(SEARCH("TRANSITA",L10)))</xm:f>
            <xm:f>"TRANSITA"</xm:f>
            <x14:dxf>
              <font>
                <b/>
                <i val="0"/>
                <color rgb="FF0070C0"/>
              </font>
            </x14:dxf>
          </x14:cfRule>
          <xm:sqref>L10:L51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9">
    <tabColor rgb="FF00B050"/>
  </sheetPr>
  <dimension ref="A1:AE57"/>
  <sheetViews>
    <sheetView showGridLines="0" zoomScaleNormal="100" zoomScalePageLayoutView="85" workbookViewId="0">
      <selection activeCell="I21" sqref="I21"/>
    </sheetView>
  </sheetViews>
  <sheetFormatPr defaultRowHeight="14.4" x14ac:dyDescent="0.3"/>
  <cols>
    <col min="1" max="1" width="1.6640625" customWidth="1"/>
    <col min="2" max="2" width="3.6640625" customWidth="1"/>
    <col min="3" max="3" width="36.33203125" customWidth="1"/>
    <col min="4" max="4" width="2.6640625" customWidth="1"/>
    <col min="5" max="5" width="2.88671875" customWidth="1"/>
    <col min="6" max="11" width="4.44140625" customWidth="1"/>
    <col min="12" max="12" width="11.88671875" customWidth="1"/>
    <col min="13" max="18" width="4.44140625" customWidth="1"/>
    <col min="19" max="19" width="11.44140625" customWidth="1"/>
    <col min="20" max="25" width="4.44140625" customWidth="1"/>
    <col min="26" max="26" width="6.109375" customWidth="1"/>
    <col min="27" max="27" width="4.44140625" customWidth="1"/>
    <col min="28" max="28" width="5.88671875" customWidth="1"/>
    <col min="29" max="29" width="4.44140625" customWidth="1"/>
    <col min="30" max="30" width="6.33203125" customWidth="1"/>
    <col min="31" max="31" width="13.109375" customWidth="1"/>
    <col min="32" max="32" width="3.44140625" customWidth="1"/>
    <col min="33" max="33" width="5" customWidth="1"/>
    <col min="267" max="267" width="1.6640625" customWidth="1"/>
    <col min="268" max="268" width="3.6640625" customWidth="1"/>
    <col min="269" max="269" width="23.44140625" customWidth="1"/>
    <col min="270" max="281" width="4.44140625" customWidth="1"/>
    <col min="282" max="282" width="6.109375" customWidth="1"/>
    <col min="283" max="283" width="4.44140625" customWidth="1"/>
    <col min="284" max="284" width="7.5546875" customWidth="1"/>
    <col min="285" max="285" width="4.44140625" customWidth="1"/>
    <col min="286" max="286" width="6.33203125" customWidth="1"/>
    <col min="287" max="287" width="7.88671875" customWidth="1"/>
    <col min="288" max="288" width="3.44140625" customWidth="1"/>
    <col min="289" max="289" width="5" customWidth="1"/>
    <col min="523" max="523" width="1.6640625" customWidth="1"/>
    <col min="524" max="524" width="3.6640625" customWidth="1"/>
    <col min="525" max="525" width="23.44140625" customWidth="1"/>
    <col min="526" max="537" width="4.44140625" customWidth="1"/>
    <col min="538" max="538" width="6.109375" customWidth="1"/>
    <col min="539" max="539" width="4.44140625" customWidth="1"/>
    <col min="540" max="540" width="7.5546875" customWidth="1"/>
    <col min="541" max="541" width="4.44140625" customWidth="1"/>
    <col min="542" max="542" width="6.33203125" customWidth="1"/>
    <col min="543" max="543" width="7.88671875" customWidth="1"/>
    <col min="544" max="544" width="3.44140625" customWidth="1"/>
    <col min="545" max="545" width="5" customWidth="1"/>
    <col min="779" max="779" width="1.6640625" customWidth="1"/>
    <col min="780" max="780" width="3.6640625" customWidth="1"/>
    <col min="781" max="781" width="23.44140625" customWidth="1"/>
    <col min="782" max="793" width="4.44140625" customWidth="1"/>
    <col min="794" max="794" width="6.109375" customWidth="1"/>
    <col min="795" max="795" width="4.44140625" customWidth="1"/>
    <col min="796" max="796" width="7.5546875" customWidth="1"/>
    <col min="797" max="797" width="4.44140625" customWidth="1"/>
    <col min="798" max="798" width="6.33203125" customWidth="1"/>
    <col min="799" max="799" width="7.88671875" customWidth="1"/>
    <col min="800" max="800" width="3.44140625" customWidth="1"/>
    <col min="801" max="801" width="5" customWidth="1"/>
    <col min="1035" max="1035" width="1.6640625" customWidth="1"/>
    <col min="1036" max="1036" width="3.6640625" customWidth="1"/>
    <col min="1037" max="1037" width="23.44140625" customWidth="1"/>
    <col min="1038" max="1049" width="4.44140625" customWidth="1"/>
    <col min="1050" max="1050" width="6.109375" customWidth="1"/>
    <col min="1051" max="1051" width="4.44140625" customWidth="1"/>
    <col min="1052" max="1052" width="7.5546875" customWidth="1"/>
    <col min="1053" max="1053" width="4.44140625" customWidth="1"/>
    <col min="1054" max="1054" width="6.33203125" customWidth="1"/>
    <col min="1055" max="1055" width="7.88671875" customWidth="1"/>
    <col min="1056" max="1056" width="3.44140625" customWidth="1"/>
    <col min="1057" max="1057" width="5" customWidth="1"/>
    <col min="1291" max="1291" width="1.6640625" customWidth="1"/>
    <col min="1292" max="1292" width="3.6640625" customWidth="1"/>
    <col min="1293" max="1293" width="23.44140625" customWidth="1"/>
    <col min="1294" max="1305" width="4.44140625" customWidth="1"/>
    <col min="1306" max="1306" width="6.109375" customWidth="1"/>
    <col min="1307" max="1307" width="4.44140625" customWidth="1"/>
    <col min="1308" max="1308" width="7.5546875" customWidth="1"/>
    <col min="1309" max="1309" width="4.44140625" customWidth="1"/>
    <col min="1310" max="1310" width="6.33203125" customWidth="1"/>
    <col min="1311" max="1311" width="7.88671875" customWidth="1"/>
    <col min="1312" max="1312" width="3.44140625" customWidth="1"/>
    <col min="1313" max="1313" width="5" customWidth="1"/>
    <col min="1547" max="1547" width="1.6640625" customWidth="1"/>
    <col min="1548" max="1548" width="3.6640625" customWidth="1"/>
    <col min="1549" max="1549" width="23.44140625" customWidth="1"/>
    <col min="1550" max="1561" width="4.44140625" customWidth="1"/>
    <col min="1562" max="1562" width="6.109375" customWidth="1"/>
    <col min="1563" max="1563" width="4.44140625" customWidth="1"/>
    <col min="1564" max="1564" width="7.5546875" customWidth="1"/>
    <col min="1565" max="1565" width="4.44140625" customWidth="1"/>
    <col min="1566" max="1566" width="6.33203125" customWidth="1"/>
    <col min="1567" max="1567" width="7.88671875" customWidth="1"/>
    <col min="1568" max="1568" width="3.44140625" customWidth="1"/>
    <col min="1569" max="1569" width="5" customWidth="1"/>
    <col min="1803" max="1803" width="1.6640625" customWidth="1"/>
    <col min="1804" max="1804" width="3.6640625" customWidth="1"/>
    <col min="1805" max="1805" width="23.44140625" customWidth="1"/>
    <col min="1806" max="1817" width="4.44140625" customWidth="1"/>
    <col min="1818" max="1818" width="6.109375" customWidth="1"/>
    <col min="1819" max="1819" width="4.44140625" customWidth="1"/>
    <col min="1820" max="1820" width="7.5546875" customWidth="1"/>
    <col min="1821" max="1821" width="4.44140625" customWidth="1"/>
    <col min="1822" max="1822" width="6.33203125" customWidth="1"/>
    <col min="1823" max="1823" width="7.88671875" customWidth="1"/>
    <col min="1824" max="1824" width="3.44140625" customWidth="1"/>
    <col min="1825" max="1825" width="5" customWidth="1"/>
    <col min="2059" max="2059" width="1.6640625" customWidth="1"/>
    <col min="2060" max="2060" width="3.6640625" customWidth="1"/>
    <col min="2061" max="2061" width="23.44140625" customWidth="1"/>
    <col min="2062" max="2073" width="4.44140625" customWidth="1"/>
    <col min="2074" max="2074" width="6.109375" customWidth="1"/>
    <col min="2075" max="2075" width="4.44140625" customWidth="1"/>
    <col min="2076" max="2076" width="7.5546875" customWidth="1"/>
    <col min="2077" max="2077" width="4.44140625" customWidth="1"/>
    <col min="2078" max="2078" width="6.33203125" customWidth="1"/>
    <col min="2079" max="2079" width="7.88671875" customWidth="1"/>
    <col min="2080" max="2080" width="3.44140625" customWidth="1"/>
    <col min="2081" max="2081" width="5" customWidth="1"/>
    <col min="2315" max="2315" width="1.6640625" customWidth="1"/>
    <col min="2316" max="2316" width="3.6640625" customWidth="1"/>
    <col min="2317" max="2317" width="23.44140625" customWidth="1"/>
    <col min="2318" max="2329" width="4.44140625" customWidth="1"/>
    <col min="2330" max="2330" width="6.109375" customWidth="1"/>
    <col min="2331" max="2331" width="4.44140625" customWidth="1"/>
    <col min="2332" max="2332" width="7.5546875" customWidth="1"/>
    <col min="2333" max="2333" width="4.44140625" customWidth="1"/>
    <col min="2334" max="2334" width="6.33203125" customWidth="1"/>
    <col min="2335" max="2335" width="7.88671875" customWidth="1"/>
    <col min="2336" max="2336" width="3.44140625" customWidth="1"/>
    <col min="2337" max="2337" width="5" customWidth="1"/>
    <col min="2571" max="2571" width="1.6640625" customWidth="1"/>
    <col min="2572" max="2572" width="3.6640625" customWidth="1"/>
    <col min="2573" max="2573" width="23.44140625" customWidth="1"/>
    <col min="2574" max="2585" width="4.44140625" customWidth="1"/>
    <col min="2586" max="2586" width="6.109375" customWidth="1"/>
    <col min="2587" max="2587" width="4.44140625" customWidth="1"/>
    <col min="2588" max="2588" width="7.5546875" customWidth="1"/>
    <col min="2589" max="2589" width="4.44140625" customWidth="1"/>
    <col min="2590" max="2590" width="6.33203125" customWidth="1"/>
    <col min="2591" max="2591" width="7.88671875" customWidth="1"/>
    <col min="2592" max="2592" width="3.44140625" customWidth="1"/>
    <col min="2593" max="2593" width="5" customWidth="1"/>
    <col min="2827" max="2827" width="1.6640625" customWidth="1"/>
    <col min="2828" max="2828" width="3.6640625" customWidth="1"/>
    <col min="2829" max="2829" width="23.44140625" customWidth="1"/>
    <col min="2830" max="2841" width="4.44140625" customWidth="1"/>
    <col min="2842" max="2842" width="6.109375" customWidth="1"/>
    <col min="2843" max="2843" width="4.44140625" customWidth="1"/>
    <col min="2844" max="2844" width="7.5546875" customWidth="1"/>
    <col min="2845" max="2845" width="4.44140625" customWidth="1"/>
    <col min="2846" max="2846" width="6.33203125" customWidth="1"/>
    <col min="2847" max="2847" width="7.88671875" customWidth="1"/>
    <col min="2848" max="2848" width="3.44140625" customWidth="1"/>
    <col min="2849" max="2849" width="5" customWidth="1"/>
    <col min="3083" max="3083" width="1.6640625" customWidth="1"/>
    <col min="3084" max="3084" width="3.6640625" customWidth="1"/>
    <col min="3085" max="3085" width="23.44140625" customWidth="1"/>
    <col min="3086" max="3097" width="4.44140625" customWidth="1"/>
    <col min="3098" max="3098" width="6.109375" customWidth="1"/>
    <col min="3099" max="3099" width="4.44140625" customWidth="1"/>
    <col min="3100" max="3100" width="7.5546875" customWidth="1"/>
    <col min="3101" max="3101" width="4.44140625" customWidth="1"/>
    <col min="3102" max="3102" width="6.33203125" customWidth="1"/>
    <col min="3103" max="3103" width="7.88671875" customWidth="1"/>
    <col min="3104" max="3104" width="3.44140625" customWidth="1"/>
    <col min="3105" max="3105" width="5" customWidth="1"/>
    <col min="3339" max="3339" width="1.6640625" customWidth="1"/>
    <col min="3340" max="3340" width="3.6640625" customWidth="1"/>
    <col min="3341" max="3341" width="23.44140625" customWidth="1"/>
    <col min="3342" max="3353" width="4.44140625" customWidth="1"/>
    <col min="3354" max="3354" width="6.109375" customWidth="1"/>
    <col min="3355" max="3355" width="4.44140625" customWidth="1"/>
    <col min="3356" max="3356" width="7.5546875" customWidth="1"/>
    <col min="3357" max="3357" width="4.44140625" customWidth="1"/>
    <col min="3358" max="3358" width="6.33203125" customWidth="1"/>
    <col min="3359" max="3359" width="7.88671875" customWidth="1"/>
    <col min="3360" max="3360" width="3.44140625" customWidth="1"/>
    <col min="3361" max="3361" width="5" customWidth="1"/>
    <col min="3595" max="3595" width="1.6640625" customWidth="1"/>
    <col min="3596" max="3596" width="3.6640625" customWidth="1"/>
    <col min="3597" max="3597" width="23.44140625" customWidth="1"/>
    <col min="3598" max="3609" width="4.44140625" customWidth="1"/>
    <col min="3610" max="3610" width="6.109375" customWidth="1"/>
    <col min="3611" max="3611" width="4.44140625" customWidth="1"/>
    <col min="3612" max="3612" width="7.5546875" customWidth="1"/>
    <col min="3613" max="3613" width="4.44140625" customWidth="1"/>
    <col min="3614" max="3614" width="6.33203125" customWidth="1"/>
    <col min="3615" max="3615" width="7.88671875" customWidth="1"/>
    <col min="3616" max="3616" width="3.44140625" customWidth="1"/>
    <col min="3617" max="3617" width="5" customWidth="1"/>
    <col min="3851" max="3851" width="1.6640625" customWidth="1"/>
    <col min="3852" max="3852" width="3.6640625" customWidth="1"/>
    <col min="3853" max="3853" width="23.44140625" customWidth="1"/>
    <col min="3854" max="3865" width="4.44140625" customWidth="1"/>
    <col min="3866" max="3866" width="6.109375" customWidth="1"/>
    <col min="3867" max="3867" width="4.44140625" customWidth="1"/>
    <col min="3868" max="3868" width="7.5546875" customWidth="1"/>
    <col min="3869" max="3869" width="4.44140625" customWidth="1"/>
    <col min="3870" max="3870" width="6.33203125" customWidth="1"/>
    <col min="3871" max="3871" width="7.88671875" customWidth="1"/>
    <col min="3872" max="3872" width="3.44140625" customWidth="1"/>
    <col min="3873" max="3873" width="5" customWidth="1"/>
    <col min="4107" max="4107" width="1.6640625" customWidth="1"/>
    <col min="4108" max="4108" width="3.6640625" customWidth="1"/>
    <col min="4109" max="4109" width="23.44140625" customWidth="1"/>
    <col min="4110" max="4121" width="4.44140625" customWidth="1"/>
    <col min="4122" max="4122" width="6.109375" customWidth="1"/>
    <col min="4123" max="4123" width="4.44140625" customWidth="1"/>
    <col min="4124" max="4124" width="7.5546875" customWidth="1"/>
    <col min="4125" max="4125" width="4.44140625" customWidth="1"/>
    <col min="4126" max="4126" width="6.33203125" customWidth="1"/>
    <col min="4127" max="4127" width="7.88671875" customWidth="1"/>
    <col min="4128" max="4128" width="3.44140625" customWidth="1"/>
    <col min="4129" max="4129" width="5" customWidth="1"/>
    <col min="4363" max="4363" width="1.6640625" customWidth="1"/>
    <col min="4364" max="4364" width="3.6640625" customWidth="1"/>
    <col min="4365" max="4365" width="23.44140625" customWidth="1"/>
    <col min="4366" max="4377" width="4.44140625" customWidth="1"/>
    <col min="4378" max="4378" width="6.109375" customWidth="1"/>
    <col min="4379" max="4379" width="4.44140625" customWidth="1"/>
    <col min="4380" max="4380" width="7.5546875" customWidth="1"/>
    <col min="4381" max="4381" width="4.44140625" customWidth="1"/>
    <col min="4382" max="4382" width="6.33203125" customWidth="1"/>
    <col min="4383" max="4383" width="7.88671875" customWidth="1"/>
    <col min="4384" max="4384" width="3.44140625" customWidth="1"/>
    <col min="4385" max="4385" width="5" customWidth="1"/>
    <col min="4619" max="4619" width="1.6640625" customWidth="1"/>
    <col min="4620" max="4620" width="3.6640625" customWidth="1"/>
    <col min="4621" max="4621" width="23.44140625" customWidth="1"/>
    <col min="4622" max="4633" width="4.44140625" customWidth="1"/>
    <col min="4634" max="4634" width="6.109375" customWidth="1"/>
    <col min="4635" max="4635" width="4.44140625" customWidth="1"/>
    <col min="4636" max="4636" width="7.5546875" customWidth="1"/>
    <col min="4637" max="4637" width="4.44140625" customWidth="1"/>
    <col min="4638" max="4638" width="6.33203125" customWidth="1"/>
    <col min="4639" max="4639" width="7.88671875" customWidth="1"/>
    <col min="4640" max="4640" width="3.44140625" customWidth="1"/>
    <col min="4641" max="4641" width="5" customWidth="1"/>
    <col min="4875" max="4875" width="1.6640625" customWidth="1"/>
    <col min="4876" max="4876" width="3.6640625" customWidth="1"/>
    <col min="4877" max="4877" width="23.44140625" customWidth="1"/>
    <col min="4878" max="4889" width="4.44140625" customWidth="1"/>
    <col min="4890" max="4890" width="6.109375" customWidth="1"/>
    <col min="4891" max="4891" width="4.44140625" customWidth="1"/>
    <col min="4892" max="4892" width="7.5546875" customWidth="1"/>
    <col min="4893" max="4893" width="4.44140625" customWidth="1"/>
    <col min="4894" max="4894" width="6.33203125" customWidth="1"/>
    <col min="4895" max="4895" width="7.88671875" customWidth="1"/>
    <col min="4896" max="4896" width="3.44140625" customWidth="1"/>
    <col min="4897" max="4897" width="5" customWidth="1"/>
    <col min="5131" max="5131" width="1.6640625" customWidth="1"/>
    <col min="5132" max="5132" width="3.6640625" customWidth="1"/>
    <col min="5133" max="5133" width="23.44140625" customWidth="1"/>
    <col min="5134" max="5145" width="4.44140625" customWidth="1"/>
    <col min="5146" max="5146" width="6.109375" customWidth="1"/>
    <col min="5147" max="5147" width="4.44140625" customWidth="1"/>
    <col min="5148" max="5148" width="7.5546875" customWidth="1"/>
    <col min="5149" max="5149" width="4.44140625" customWidth="1"/>
    <col min="5150" max="5150" width="6.33203125" customWidth="1"/>
    <col min="5151" max="5151" width="7.88671875" customWidth="1"/>
    <col min="5152" max="5152" width="3.44140625" customWidth="1"/>
    <col min="5153" max="5153" width="5" customWidth="1"/>
    <col min="5387" max="5387" width="1.6640625" customWidth="1"/>
    <col min="5388" max="5388" width="3.6640625" customWidth="1"/>
    <col min="5389" max="5389" width="23.44140625" customWidth="1"/>
    <col min="5390" max="5401" width="4.44140625" customWidth="1"/>
    <col min="5402" max="5402" width="6.109375" customWidth="1"/>
    <col min="5403" max="5403" width="4.44140625" customWidth="1"/>
    <col min="5404" max="5404" width="7.5546875" customWidth="1"/>
    <col min="5405" max="5405" width="4.44140625" customWidth="1"/>
    <col min="5406" max="5406" width="6.33203125" customWidth="1"/>
    <col min="5407" max="5407" width="7.88671875" customWidth="1"/>
    <col min="5408" max="5408" width="3.44140625" customWidth="1"/>
    <col min="5409" max="5409" width="5" customWidth="1"/>
    <col min="5643" max="5643" width="1.6640625" customWidth="1"/>
    <col min="5644" max="5644" width="3.6640625" customWidth="1"/>
    <col min="5645" max="5645" width="23.44140625" customWidth="1"/>
    <col min="5646" max="5657" width="4.44140625" customWidth="1"/>
    <col min="5658" max="5658" width="6.109375" customWidth="1"/>
    <col min="5659" max="5659" width="4.44140625" customWidth="1"/>
    <col min="5660" max="5660" width="7.5546875" customWidth="1"/>
    <col min="5661" max="5661" width="4.44140625" customWidth="1"/>
    <col min="5662" max="5662" width="6.33203125" customWidth="1"/>
    <col min="5663" max="5663" width="7.88671875" customWidth="1"/>
    <col min="5664" max="5664" width="3.44140625" customWidth="1"/>
    <col min="5665" max="5665" width="5" customWidth="1"/>
    <col min="5899" max="5899" width="1.6640625" customWidth="1"/>
    <col min="5900" max="5900" width="3.6640625" customWidth="1"/>
    <col min="5901" max="5901" width="23.44140625" customWidth="1"/>
    <col min="5902" max="5913" width="4.44140625" customWidth="1"/>
    <col min="5914" max="5914" width="6.109375" customWidth="1"/>
    <col min="5915" max="5915" width="4.44140625" customWidth="1"/>
    <col min="5916" max="5916" width="7.5546875" customWidth="1"/>
    <col min="5917" max="5917" width="4.44140625" customWidth="1"/>
    <col min="5918" max="5918" width="6.33203125" customWidth="1"/>
    <col min="5919" max="5919" width="7.88671875" customWidth="1"/>
    <col min="5920" max="5920" width="3.44140625" customWidth="1"/>
    <col min="5921" max="5921" width="5" customWidth="1"/>
    <col min="6155" max="6155" width="1.6640625" customWidth="1"/>
    <col min="6156" max="6156" width="3.6640625" customWidth="1"/>
    <col min="6157" max="6157" width="23.44140625" customWidth="1"/>
    <col min="6158" max="6169" width="4.44140625" customWidth="1"/>
    <col min="6170" max="6170" width="6.109375" customWidth="1"/>
    <col min="6171" max="6171" width="4.44140625" customWidth="1"/>
    <col min="6172" max="6172" width="7.5546875" customWidth="1"/>
    <col min="6173" max="6173" width="4.44140625" customWidth="1"/>
    <col min="6174" max="6174" width="6.33203125" customWidth="1"/>
    <col min="6175" max="6175" width="7.88671875" customWidth="1"/>
    <col min="6176" max="6176" width="3.44140625" customWidth="1"/>
    <col min="6177" max="6177" width="5" customWidth="1"/>
    <col min="6411" max="6411" width="1.6640625" customWidth="1"/>
    <col min="6412" max="6412" width="3.6640625" customWidth="1"/>
    <col min="6413" max="6413" width="23.44140625" customWidth="1"/>
    <col min="6414" max="6425" width="4.44140625" customWidth="1"/>
    <col min="6426" max="6426" width="6.109375" customWidth="1"/>
    <col min="6427" max="6427" width="4.44140625" customWidth="1"/>
    <col min="6428" max="6428" width="7.5546875" customWidth="1"/>
    <col min="6429" max="6429" width="4.44140625" customWidth="1"/>
    <col min="6430" max="6430" width="6.33203125" customWidth="1"/>
    <col min="6431" max="6431" width="7.88671875" customWidth="1"/>
    <col min="6432" max="6432" width="3.44140625" customWidth="1"/>
    <col min="6433" max="6433" width="5" customWidth="1"/>
    <col min="6667" max="6667" width="1.6640625" customWidth="1"/>
    <col min="6668" max="6668" width="3.6640625" customWidth="1"/>
    <col min="6669" max="6669" width="23.44140625" customWidth="1"/>
    <col min="6670" max="6681" width="4.44140625" customWidth="1"/>
    <col min="6682" max="6682" width="6.109375" customWidth="1"/>
    <col min="6683" max="6683" width="4.44140625" customWidth="1"/>
    <col min="6684" max="6684" width="7.5546875" customWidth="1"/>
    <col min="6685" max="6685" width="4.44140625" customWidth="1"/>
    <col min="6686" max="6686" width="6.33203125" customWidth="1"/>
    <col min="6687" max="6687" width="7.88671875" customWidth="1"/>
    <col min="6688" max="6688" width="3.44140625" customWidth="1"/>
    <col min="6689" max="6689" width="5" customWidth="1"/>
    <col min="6923" max="6923" width="1.6640625" customWidth="1"/>
    <col min="6924" max="6924" width="3.6640625" customWidth="1"/>
    <col min="6925" max="6925" width="23.44140625" customWidth="1"/>
    <col min="6926" max="6937" width="4.44140625" customWidth="1"/>
    <col min="6938" max="6938" width="6.109375" customWidth="1"/>
    <col min="6939" max="6939" width="4.44140625" customWidth="1"/>
    <col min="6940" max="6940" width="7.5546875" customWidth="1"/>
    <col min="6941" max="6941" width="4.44140625" customWidth="1"/>
    <col min="6942" max="6942" width="6.33203125" customWidth="1"/>
    <col min="6943" max="6943" width="7.88671875" customWidth="1"/>
    <col min="6944" max="6944" width="3.44140625" customWidth="1"/>
    <col min="6945" max="6945" width="5" customWidth="1"/>
    <col min="7179" max="7179" width="1.6640625" customWidth="1"/>
    <col min="7180" max="7180" width="3.6640625" customWidth="1"/>
    <col min="7181" max="7181" width="23.44140625" customWidth="1"/>
    <col min="7182" max="7193" width="4.44140625" customWidth="1"/>
    <col min="7194" max="7194" width="6.109375" customWidth="1"/>
    <col min="7195" max="7195" width="4.44140625" customWidth="1"/>
    <col min="7196" max="7196" width="7.5546875" customWidth="1"/>
    <col min="7197" max="7197" width="4.44140625" customWidth="1"/>
    <col min="7198" max="7198" width="6.33203125" customWidth="1"/>
    <col min="7199" max="7199" width="7.88671875" customWidth="1"/>
    <col min="7200" max="7200" width="3.44140625" customWidth="1"/>
    <col min="7201" max="7201" width="5" customWidth="1"/>
    <col min="7435" max="7435" width="1.6640625" customWidth="1"/>
    <col min="7436" max="7436" width="3.6640625" customWidth="1"/>
    <col min="7437" max="7437" width="23.44140625" customWidth="1"/>
    <col min="7438" max="7449" width="4.44140625" customWidth="1"/>
    <col min="7450" max="7450" width="6.109375" customWidth="1"/>
    <col min="7451" max="7451" width="4.44140625" customWidth="1"/>
    <col min="7452" max="7452" width="7.5546875" customWidth="1"/>
    <col min="7453" max="7453" width="4.44140625" customWidth="1"/>
    <col min="7454" max="7454" width="6.33203125" customWidth="1"/>
    <col min="7455" max="7455" width="7.88671875" customWidth="1"/>
    <col min="7456" max="7456" width="3.44140625" customWidth="1"/>
    <col min="7457" max="7457" width="5" customWidth="1"/>
    <col min="7691" max="7691" width="1.6640625" customWidth="1"/>
    <col min="7692" max="7692" width="3.6640625" customWidth="1"/>
    <col min="7693" max="7693" width="23.44140625" customWidth="1"/>
    <col min="7694" max="7705" width="4.44140625" customWidth="1"/>
    <col min="7706" max="7706" width="6.109375" customWidth="1"/>
    <col min="7707" max="7707" width="4.44140625" customWidth="1"/>
    <col min="7708" max="7708" width="7.5546875" customWidth="1"/>
    <col min="7709" max="7709" width="4.44140625" customWidth="1"/>
    <col min="7710" max="7710" width="6.33203125" customWidth="1"/>
    <col min="7711" max="7711" width="7.88671875" customWidth="1"/>
    <col min="7712" max="7712" width="3.44140625" customWidth="1"/>
    <col min="7713" max="7713" width="5" customWidth="1"/>
    <col min="7947" max="7947" width="1.6640625" customWidth="1"/>
    <col min="7948" max="7948" width="3.6640625" customWidth="1"/>
    <col min="7949" max="7949" width="23.44140625" customWidth="1"/>
    <col min="7950" max="7961" width="4.44140625" customWidth="1"/>
    <col min="7962" max="7962" width="6.109375" customWidth="1"/>
    <col min="7963" max="7963" width="4.44140625" customWidth="1"/>
    <col min="7964" max="7964" width="7.5546875" customWidth="1"/>
    <col min="7965" max="7965" width="4.44140625" customWidth="1"/>
    <col min="7966" max="7966" width="6.33203125" customWidth="1"/>
    <col min="7967" max="7967" width="7.88671875" customWidth="1"/>
    <col min="7968" max="7968" width="3.44140625" customWidth="1"/>
    <col min="7969" max="7969" width="5" customWidth="1"/>
    <col min="8203" max="8203" width="1.6640625" customWidth="1"/>
    <col min="8204" max="8204" width="3.6640625" customWidth="1"/>
    <col min="8205" max="8205" width="23.44140625" customWidth="1"/>
    <col min="8206" max="8217" width="4.44140625" customWidth="1"/>
    <col min="8218" max="8218" width="6.109375" customWidth="1"/>
    <col min="8219" max="8219" width="4.44140625" customWidth="1"/>
    <col min="8220" max="8220" width="7.5546875" customWidth="1"/>
    <col min="8221" max="8221" width="4.44140625" customWidth="1"/>
    <col min="8222" max="8222" width="6.33203125" customWidth="1"/>
    <col min="8223" max="8223" width="7.88671875" customWidth="1"/>
    <col min="8224" max="8224" width="3.44140625" customWidth="1"/>
    <col min="8225" max="8225" width="5" customWidth="1"/>
    <col min="8459" max="8459" width="1.6640625" customWidth="1"/>
    <col min="8460" max="8460" width="3.6640625" customWidth="1"/>
    <col min="8461" max="8461" width="23.44140625" customWidth="1"/>
    <col min="8462" max="8473" width="4.44140625" customWidth="1"/>
    <col min="8474" max="8474" width="6.109375" customWidth="1"/>
    <col min="8475" max="8475" width="4.44140625" customWidth="1"/>
    <col min="8476" max="8476" width="7.5546875" customWidth="1"/>
    <col min="8477" max="8477" width="4.44140625" customWidth="1"/>
    <col min="8478" max="8478" width="6.33203125" customWidth="1"/>
    <col min="8479" max="8479" width="7.88671875" customWidth="1"/>
    <col min="8480" max="8480" width="3.44140625" customWidth="1"/>
    <col min="8481" max="8481" width="5" customWidth="1"/>
    <col min="8715" max="8715" width="1.6640625" customWidth="1"/>
    <col min="8716" max="8716" width="3.6640625" customWidth="1"/>
    <col min="8717" max="8717" width="23.44140625" customWidth="1"/>
    <col min="8718" max="8729" width="4.44140625" customWidth="1"/>
    <col min="8730" max="8730" width="6.109375" customWidth="1"/>
    <col min="8731" max="8731" width="4.44140625" customWidth="1"/>
    <col min="8732" max="8732" width="7.5546875" customWidth="1"/>
    <col min="8733" max="8733" width="4.44140625" customWidth="1"/>
    <col min="8734" max="8734" width="6.33203125" customWidth="1"/>
    <col min="8735" max="8735" width="7.88671875" customWidth="1"/>
    <col min="8736" max="8736" width="3.44140625" customWidth="1"/>
    <col min="8737" max="8737" width="5" customWidth="1"/>
    <col min="8971" max="8971" width="1.6640625" customWidth="1"/>
    <col min="8972" max="8972" width="3.6640625" customWidth="1"/>
    <col min="8973" max="8973" width="23.44140625" customWidth="1"/>
    <col min="8974" max="8985" width="4.44140625" customWidth="1"/>
    <col min="8986" max="8986" width="6.109375" customWidth="1"/>
    <col min="8987" max="8987" width="4.44140625" customWidth="1"/>
    <col min="8988" max="8988" width="7.5546875" customWidth="1"/>
    <col min="8989" max="8989" width="4.44140625" customWidth="1"/>
    <col min="8990" max="8990" width="6.33203125" customWidth="1"/>
    <col min="8991" max="8991" width="7.88671875" customWidth="1"/>
    <col min="8992" max="8992" width="3.44140625" customWidth="1"/>
    <col min="8993" max="8993" width="5" customWidth="1"/>
    <col min="9227" max="9227" width="1.6640625" customWidth="1"/>
    <col min="9228" max="9228" width="3.6640625" customWidth="1"/>
    <col min="9229" max="9229" width="23.44140625" customWidth="1"/>
    <col min="9230" max="9241" width="4.44140625" customWidth="1"/>
    <col min="9242" max="9242" width="6.109375" customWidth="1"/>
    <col min="9243" max="9243" width="4.44140625" customWidth="1"/>
    <col min="9244" max="9244" width="7.5546875" customWidth="1"/>
    <col min="9245" max="9245" width="4.44140625" customWidth="1"/>
    <col min="9246" max="9246" width="6.33203125" customWidth="1"/>
    <col min="9247" max="9247" width="7.88671875" customWidth="1"/>
    <col min="9248" max="9248" width="3.44140625" customWidth="1"/>
    <col min="9249" max="9249" width="5" customWidth="1"/>
    <col min="9483" max="9483" width="1.6640625" customWidth="1"/>
    <col min="9484" max="9484" width="3.6640625" customWidth="1"/>
    <col min="9485" max="9485" width="23.44140625" customWidth="1"/>
    <col min="9486" max="9497" width="4.44140625" customWidth="1"/>
    <col min="9498" max="9498" width="6.109375" customWidth="1"/>
    <col min="9499" max="9499" width="4.44140625" customWidth="1"/>
    <col min="9500" max="9500" width="7.5546875" customWidth="1"/>
    <col min="9501" max="9501" width="4.44140625" customWidth="1"/>
    <col min="9502" max="9502" width="6.33203125" customWidth="1"/>
    <col min="9503" max="9503" width="7.88671875" customWidth="1"/>
    <col min="9504" max="9504" width="3.44140625" customWidth="1"/>
    <col min="9505" max="9505" width="5" customWidth="1"/>
    <col min="9739" max="9739" width="1.6640625" customWidth="1"/>
    <col min="9740" max="9740" width="3.6640625" customWidth="1"/>
    <col min="9741" max="9741" width="23.44140625" customWidth="1"/>
    <col min="9742" max="9753" width="4.44140625" customWidth="1"/>
    <col min="9754" max="9754" width="6.109375" customWidth="1"/>
    <col min="9755" max="9755" width="4.44140625" customWidth="1"/>
    <col min="9756" max="9756" width="7.5546875" customWidth="1"/>
    <col min="9757" max="9757" width="4.44140625" customWidth="1"/>
    <col min="9758" max="9758" width="6.33203125" customWidth="1"/>
    <col min="9759" max="9759" width="7.88671875" customWidth="1"/>
    <col min="9760" max="9760" width="3.44140625" customWidth="1"/>
    <col min="9761" max="9761" width="5" customWidth="1"/>
    <col min="9995" max="9995" width="1.6640625" customWidth="1"/>
    <col min="9996" max="9996" width="3.6640625" customWidth="1"/>
    <col min="9997" max="9997" width="23.44140625" customWidth="1"/>
    <col min="9998" max="10009" width="4.44140625" customWidth="1"/>
    <col min="10010" max="10010" width="6.109375" customWidth="1"/>
    <col min="10011" max="10011" width="4.44140625" customWidth="1"/>
    <col min="10012" max="10012" width="7.5546875" customWidth="1"/>
    <col min="10013" max="10013" width="4.44140625" customWidth="1"/>
    <col min="10014" max="10014" width="6.33203125" customWidth="1"/>
    <col min="10015" max="10015" width="7.88671875" customWidth="1"/>
    <col min="10016" max="10016" width="3.44140625" customWidth="1"/>
    <col min="10017" max="10017" width="5" customWidth="1"/>
    <col min="10251" max="10251" width="1.6640625" customWidth="1"/>
    <col min="10252" max="10252" width="3.6640625" customWidth="1"/>
    <col min="10253" max="10253" width="23.44140625" customWidth="1"/>
    <col min="10254" max="10265" width="4.44140625" customWidth="1"/>
    <col min="10266" max="10266" width="6.109375" customWidth="1"/>
    <col min="10267" max="10267" width="4.44140625" customWidth="1"/>
    <col min="10268" max="10268" width="7.5546875" customWidth="1"/>
    <col min="10269" max="10269" width="4.44140625" customWidth="1"/>
    <col min="10270" max="10270" width="6.33203125" customWidth="1"/>
    <col min="10271" max="10271" width="7.88671875" customWidth="1"/>
    <col min="10272" max="10272" width="3.44140625" customWidth="1"/>
    <col min="10273" max="10273" width="5" customWidth="1"/>
    <col min="10507" max="10507" width="1.6640625" customWidth="1"/>
    <col min="10508" max="10508" width="3.6640625" customWidth="1"/>
    <col min="10509" max="10509" width="23.44140625" customWidth="1"/>
    <col min="10510" max="10521" width="4.44140625" customWidth="1"/>
    <col min="10522" max="10522" width="6.109375" customWidth="1"/>
    <col min="10523" max="10523" width="4.44140625" customWidth="1"/>
    <col min="10524" max="10524" width="7.5546875" customWidth="1"/>
    <col min="10525" max="10525" width="4.44140625" customWidth="1"/>
    <col min="10526" max="10526" width="6.33203125" customWidth="1"/>
    <col min="10527" max="10527" width="7.88671875" customWidth="1"/>
    <col min="10528" max="10528" width="3.44140625" customWidth="1"/>
    <col min="10529" max="10529" width="5" customWidth="1"/>
    <col min="10763" max="10763" width="1.6640625" customWidth="1"/>
    <col min="10764" max="10764" width="3.6640625" customWidth="1"/>
    <col min="10765" max="10765" width="23.44140625" customWidth="1"/>
    <col min="10766" max="10777" width="4.44140625" customWidth="1"/>
    <col min="10778" max="10778" width="6.109375" customWidth="1"/>
    <col min="10779" max="10779" width="4.44140625" customWidth="1"/>
    <col min="10780" max="10780" width="7.5546875" customWidth="1"/>
    <col min="10781" max="10781" width="4.44140625" customWidth="1"/>
    <col min="10782" max="10782" width="6.33203125" customWidth="1"/>
    <col min="10783" max="10783" width="7.88671875" customWidth="1"/>
    <col min="10784" max="10784" width="3.44140625" customWidth="1"/>
    <col min="10785" max="10785" width="5" customWidth="1"/>
    <col min="11019" max="11019" width="1.6640625" customWidth="1"/>
    <col min="11020" max="11020" width="3.6640625" customWidth="1"/>
    <col min="11021" max="11021" width="23.44140625" customWidth="1"/>
    <col min="11022" max="11033" width="4.44140625" customWidth="1"/>
    <col min="11034" max="11034" width="6.109375" customWidth="1"/>
    <col min="11035" max="11035" width="4.44140625" customWidth="1"/>
    <col min="11036" max="11036" width="7.5546875" customWidth="1"/>
    <col min="11037" max="11037" width="4.44140625" customWidth="1"/>
    <col min="11038" max="11038" width="6.33203125" customWidth="1"/>
    <col min="11039" max="11039" width="7.88671875" customWidth="1"/>
    <col min="11040" max="11040" width="3.44140625" customWidth="1"/>
    <col min="11041" max="11041" width="5" customWidth="1"/>
    <col min="11275" max="11275" width="1.6640625" customWidth="1"/>
    <col min="11276" max="11276" width="3.6640625" customWidth="1"/>
    <col min="11277" max="11277" width="23.44140625" customWidth="1"/>
    <col min="11278" max="11289" width="4.44140625" customWidth="1"/>
    <col min="11290" max="11290" width="6.109375" customWidth="1"/>
    <col min="11291" max="11291" width="4.44140625" customWidth="1"/>
    <col min="11292" max="11292" width="7.5546875" customWidth="1"/>
    <col min="11293" max="11293" width="4.44140625" customWidth="1"/>
    <col min="11294" max="11294" width="6.33203125" customWidth="1"/>
    <col min="11295" max="11295" width="7.88671875" customWidth="1"/>
    <col min="11296" max="11296" width="3.44140625" customWidth="1"/>
    <col min="11297" max="11297" width="5" customWidth="1"/>
    <col min="11531" max="11531" width="1.6640625" customWidth="1"/>
    <col min="11532" max="11532" width="3.6640625" customWidth="1"/>
    <col min="11533" max="11533" width="23.44140625" customWidth="1"/>
    <col min="11534" max="11545" width="4.44140625" customWidth="1"/>
    <col min="11546" max="11546" width="6.109375" customWidth="1"/>
    <col min="11547" max="11547" width="4.44140625" customWidth="1"/>
    <col min="11548" max="11548" width="7.5546875" customWidth="1"/>
    <col min="11549" max="11549" width="4.44140625" customWidth="1"/>
    <col min="11550" max="11550" width="6.33203125" customWidth="1"/>
    <col min="11551" max="11551" width="7.88671875" customWidth="1"/>
    <col min="11552" max="11552" width="3.44140625" customWidth="1"/>
    <col min="11553" max="11553" width="5" customWidth="1"/>
    <col min="11787" max="11787" width="1.6640625" customWidth="1"/>
    <col min="11788" max="11788" width="3.6640625" customWidth="1"/>
    <col min="11789" max="11789" width="23.44140625" customWidth="1"/>
    <col min="11790" max="11801" width="4.44140625" customWidth="1"/>
    <col min="11802" max="11802" width="6.109375" customWidth="1"/>
    <col min="11803" max="11803" width="4.44140625" customWidth="1"/>
    <col min="11804" max="11804" width="7.5546875" customWidth="1"/>
    <col min="11805" max="11805" width="4.44140625" customWidth="1"/>
    <col min="11806" max="11806" width="6.33203125" customWidth="1"/>
    <col min="11807" max="11807" width="7.88671875" customWidth="1"/>
    <col min="11808" max="11808" width="3.44140625" customWidth="1"/>
    <col min="11809" max="11809" width="5" customWidth="1"/>
    <col min="12043" max="12043" width="1.6640625" customWidth="1"/>
    <col min="12044" max="12044" width="3.6640625" customWidth="1"/>
    <col min="12045" max="12045" width="23.44140625" customWidth="1"/>
    <col min="12046" max="12057" width="4.44140625" customWidth="1"/>
    <col min="12058" max="12058" width="6.109375" customWidth="1"/>
    <col min="12059" max="12059" width="4.44140625" customWidth="1"/>
    <col min="12060" max="12060" width="7.5546875" customWidth="1"/>
    <col min="12061" max="12061" width="4.44140625" customWidth="1"/>
    <col min="12062" max="12062" width="6.33203125" customWidth="1"/>
    <col min="12063" max="12063" width="7.88671875" customWidth="1"/>
    <col min="12064" max="12064" width="3.44140625" customWidth="1"/>
    <col min="12065" max="12065" width="5" customWidth="1"/>
    <col min="12299" max="12299" width="1.6640625" customWidth="1"/>
    <col min="12300" max="12300" width="3.6640625" customWidth="1"/>
    <col min="12301" max="12301" width="23.44140625" customWidth="1"/>
    <col min="12302" max="12313" width="4.44140625" customWidth="1"/>
    <col min="12314" max="12314" width="6.109375" customWidth="1"/>
    <col min="12315" max="12315" width="4.44140625" customWidth="1"/>
    <col min="12316" max="12316" width="7.5546875" customWidth="1"/>
    <col min="12317" max="12317" width="4.44140625" customWidth="1"/>
    <col min="12318" max="12318" width="6.33203125" customWidth="1"/>
    <col min="12319" max="12319" width="7.88671875" customWidth="1"/>
    <col min="12320" max="12320" width="3.44140625" customWidth="1"/>
    <col min="12321" max="12321" width="5" customWidth="1"/>
    <col min="12555" max="12555" width="1.6640625" customWidth="1"/>
    <col min="12556" max="12556" width="3.6640625" customWidth="1"/>
    <col min="12557" max="12557" width="23.44140625" customWidth="1"/>
    <col min="12558" max="12569" width="4.44140625" customWidth="1"/>
    <col min="12570" max="12570" width="6.109375" customWidth="1"/>
    <col min="12571" max="12571" width="4.44140625" customWidth="1"/>
    <col min="12572" max="12572" width="7.5546875" customWidth="1"/>
    <col min="12573" max="12573" width="4.44140625" customWidth="1"/>
    <col min="12574" max="12574" width="6.33203125" customWidth="1"/>
    <col min="12575" max="12575" width="7.88671875" customWidth="1"/>
    <col min="12576" max="12576" width="3.44140625" customWidth="1"/>
    <col min="12577" max="12577" width="5" customWidth="1"/>
    <col min="12811" max="12811" width="1.6640625" customWidth="1"/>
    <col min="12812" max="12812" width="3.6640625" customWidth="1"/>
    <col min="12813" max="12813" width="23.44140625" customWidth="1"/>
    <col min="12814" max="12825" width="4.44140625" customWidth="1"/>
    <col min="12826" max="12826" width="6.109375" customWidth="1"/>
    <col min="12827" max="12827" width="4.44140625" customWidth="1"/>
    <col min="12828" max="12828" width="7.5546875" customWidth="1"/>
    <col min="12829" max="12829" width="4.44140625" customWidth="1"/>
    <col min="12830" max="12830" width="6.33203125" customWidth="1"/>
    <col min="12831" max="12831" width="7.88671875" customWidth="1"/>
    <col min="12832" max="12832" width="3.44140625" customWidth="1"/>
    <col min="12833" max="12833" width="5" customWidth="1"/>
    <col min="13067" max="13067" width="1.6640625" customWidth="1"/>
    <col min="13068" max="13068" width="3.6640625" customWidth="1"/>
    <col min="13069" max="13069" width="23.44140625" customWidth="1"/>
    <col min="13070" max="13081" width="4.44140625" customWidth="1"/>
    <col min="13082" max="13082" width="6.109375" customWidth="1"/>
    <col min="13083" max="13083" width="4.44140625" customWidth="1"/>
    <col min="13084" max="13084" width="7.5546875" customWidth="1"/>
    <col min="13085" max="13085" width="4.44140625" customWidth="1"/>
    <col min="13086" max="13086" width="6.33203125" customWidth="1"/>
    <col min="13087" max="13087" width="7.88671875" customWidth="1"/>
    <col min="13088" max="13088" width="3.44140625" customWidth="1"/>
    <col min="13089" max="13089" width="5" customWidth="1"/>
    <col min="13323" max="13323" width="1.6640625" customWidth="1"/>
    <col min="13324" max="13324" width="3.6640625" customWidth="1"/>
    <col min="13325" max="13325" width="23.44140625" customWidth="1"/>
    <col min="13326" max="13337" width="4.44140625" customWidth="1"/>
    <col min="13338" max="13338" width="6.109375" customWidth="1"/>
    <col min="13339" max="13339" width="4.44140625" customWidth="1"/>
    <col min="13340" max="13340" width="7.5546875" customWidth="1"/>
    <col min="13341" max="13341" width="4.44140625" customWidth="1"/>
    <col min="13342" max="13342" width="6.33203125" customWidth="1"/>
    <col min="13343" max="13343" width="7.88671875" customWidth="1"/>
    <col min="13344" max="13344" width="3.44140625" customWidth="1"/>
    <col min="13345" max="13345" width="5" customWidth="1"/>
    <col min="13579" max="13579" width="1.6640625" customWidth="1"/>
    <col min="13580" max="13580" width="3.6640625" customWidth="1"/>
    <col min="13581" max="13581" width="23.44140625" customWidth="1"/>
    <col min="13582" max="13593" width="4.44140625" customWidth="1"/>
    <col min="13594" max="13594" width="6.109375" customWidth="1"/>
    <col min="13595" max="13595" width="4.44140625" customWidth="1"/>
    <col min="13596" max="13596" width="7.5546875" customWidth="1"/>
    <col min="13597" max="13597" width="4.44140625" customWidth="1"/>
    <col min="13598" max="13598" width="6.33203125" customWidth="1"/>
    <col min="13599" max="13599" width="7.88671875" customWidth="1"/>
    <col min="13600" max="13600" width="3.44140625" customWidth="1"/>
    <col min="13601" max="13601" width="5" customWidth="1"/>
    <col min="13835" max="13835" width="1.6640625" customWidth="1"/>
    <col min="13836" max="13836" width="3.6640625" customWidth="1"/>
    <col min="13837" max="13837" width="23.44140625" customWidth="1"/>
    <col min="13838" max="13849" width="4.44140625" customWidth="1"/>
    <col min="13850" max="13850" width="6.109375" customWidth="1"/>
    <col min="13851" max="13851" width="4.44140625" customWidth="1"/>
    <col min="13852" max="13852" width="7.5546875" customWidth="1"/>
    <col min="13853" max="13853" width="4.44140625" customWidth="1"/>
    <col min="13854" max="13854" width="6.33203125" customWidth="1"/>
    <col min="13855" max="13855" width="7.88671875" customWidth="1"/>
    <col min="13856" max="13856" width="3.44140625" customWidth="1"/>
    <col min="13857" max="13857" width="5" customWidth="1"/>
    <col min="14091" max="14091" width="1.6640625" customWidth="1"/>
    <col min="14092" max="14092" width="3.6640625" customWidth="1"/>
    <col min="14093" max="14093" width="23.44140625" customWidth="1"/>
    <col min="14094" max="14105" width="4.44140625" customWidth="1"/>
    <col min="14106" max="14106" width="6.109375" customWidth="1"/>
    <col min="14107" max="14107" width="4.44140625" customWidth="1"/>
    <col min="14108" max="14108" width="7.5546875" customWidth="1"/>
    <col min="14109" max="14109" width="4.44140625" customWidth="1"/>
    <col min="14110" max="14110" width="6.33203125" customWidth="1"/>
    <col min="14111" max="14111" width="7.88671875" customWidth="1"/>
    <col min="14112" max="14112" width="3.44140625" customWidth="1"/>
    <col min="14113" max="14113" width="5" customWidth="1"/>
    <col min="14347" max="14347" width="1.6640625" customWidth="1"/>
    <col min="14348" max="14348" width="3.6640625" customWidth="1"/>
    <col min="14349" max="14349" width="23.44140625" customWidth="1"/>
    <col min="14350" max="14361" width="4.44140625" customWidth="1"/>
    <col min="14362" max="14362" width="6.109375" customWidth="1"/>
    <col min="14363" max="14363" width="4.44140625" customWidth="1"/>
    <col min="14364" max="14364" width="7.5546875" customWidth="1"/>
    <col min="14365" max="14365" width="4.44140625" customWidth="1"/>
    <col min="14366" max="14366" width="6.33203125" customWidth="1"/>
    <col min="14367" max="14367" width="7.88671875" customWidth="1"/>
    <col min="14368" max="14368" width="3.44140625" customWidth="1"/>
    <col min="14369" max="14369" width="5" customWidth="1"/>
    <col min="14603" max="14603" width="1.6640625" customWidth="1"/>
    <col min="14604" max="14604" width="3.6640625" customWidth="1"/>
    <col min="14605" max="14605" width="23.44140625" customWidth="1"/>
    <col min="14606" max="14617" width="4.44140625" customWidth="1"/>
    <col min="14618" max="14618" width="6.109375" customWidth="1"/>
    <col min="14619" max="14619" width="4.44140625" customWidth="1"/>
    <col min="14620" max="14620" width="7.5546875" customWidth="1"/>
    <col min="14621" max="14621" width="4.44140625" customWidth="1"/>
    <col min="14622" max="14622" width="6.33203125" customWidth="1"/>
    <col min="14623" max="14623" width="7.88671875" customWidth="1"/>
    <col min="14624" max="14624" width="3.44140625" customWidth="1"/>
    <col min="14625" max="14625" width="5" customWidth="1"/>
    <col min="14859" max="14859" width="1.6640625" customWidth="1"/>
    <col min="14860" max="14860" width="3.6640625" customWidth="1"/>
    <col min="14861" max="14861" width="23.44140625" customWidth="1"/>
    <col min="14862" max="14873" width="4.44140625" customWidth="1"/>
    <col min="14874" max="14874" width="6.109375" customWidth="1"/>
    <col min="14875" max="14875" width="4.44140625" customWidth="1"/>
    <col min="14876" max="14876" width="7.5546875" customWidth="1"/>
    <col min="14877" max="14877" width="4.44140625" customWidth="1"/>
    <col min="14878" max="14878" width="6.33203125" customWidth="1"/>
    <col min="14879" max="14879" width="7.88671875" customWidth="1"/>
    <col min="14880" max="14880" width="3.44140625" customWidth="1"/>
    <col min="14881" max="14881" width="5" customWidth="1"/>
    <col min="15115" max="15115" width="1.6640625" customWidth="1"/>
    <col min="15116" max="15116" width="3.6640625" customWidth="1"/>
    <col min="15117" max="15117" width="23.44140625" customWidth="1"/>
    <col min="15118" max="15129" width="4.44140625" customWidth="1"/>
    <col min="15130" max="15130" width="6.109375" customWidth="1"/>
    <col min="15131" max="15131" width="4.44140625" customWidth="1"/>
    <col min="15132" max="15132" width="7.5546875" customWidth="1"/>
    <col min="15133" max="15133" width="4.44140625" customWidth="1"/>
    <col min="15134" max="15134" width="6.33203125" customWidth="1"/>
    <col min="15135" max="15135" width="7.88671875" customWidth="1"/>
    <col min="15136" max="15136" width="3.44140625" customWidth="1"/>
    <col min="15137" max="15137" width="5" customWidth="1"/>
    <col min="15371" max="15371" width="1.6640625" customWidth="1"/>
    <col min="15372" max="15372" width="3.6640625" customWidth="1"/>
    <col min="15373" max="15373" width="23.44140625" customWidth="1"/>
    <col min="15374" max="15385" width="4.44140625" customWidth="1"/>
    <col min="15386" max="15386" width="6.109375" customWidth="1"/>
    <col min="15387" max="15387" width="4.44140625" customWidth="1"/>
    <col min="15388" max="15388" width="7.5546875" customWidth="1"/>
    <col min="15389" max="15389" width="4.44140625" customWidth="1"/>
    <col min="15390" max="15390" width="6.33203125" customWidth="1"/>
    <col min="15391" max="15391" width="7.88671875" customWidth="1"/>
    <col min="15392" max="15392" width="3.44140625" customWidth="1"/>
    <col min="15393" max="15393" width="5" customWidth="1"/>
    <col min="15627" max="15627" width="1.6640625" customWidth="1"/>
    <col min="15628" max="15628" width="3.6640625" customWidth="1"/>
    <col min="15629" max="15629" width="23.44140625" customWidth="1"/>
    <col min="15630" max="15641" width="4.44140625" customWidth="1"/>
    <col min="15642" max="15642" width="6.109375" customWidth="1"/>
    <col min="15643" max="15643" width="4.44140625" customWidth="1"/>
    <col min="15644" max="15644" width="7.5546875" customWidth="1"/>
    <col min="15645" max="15645" width="4.44140625" customWidth="1"/>
    <col min="15646" max="15646" width="6.33203125" customWidth="1"/>
    <col min="15647" max="15647" width="7.88671875" customWidth="1"/>
    <col min="15648" max="15648" width="3.44140625" customWidth="1"/>
    <col min="15649" max="15649" width="5" customWidth="1"/>
    <col min="15883" max="15883" width="1.6640625" customWidth="1"/>
    <col min="15884" max="15884" width="3.6640625" customWidth="1"/>
    <col min="15885" max="15885" width="23.44140625" customWidth="1"/>
    <col min="15886" max="15897" width="4.44140625" customWidth="1"/>
    <col min="15898" max="15898" width="6.109375" customWidth="1"/>
    <col min="15899" max="15899" width="4.44140625" customWidth="1"/>
    <col min="15900" max="15900" width="7.5546875" customWidth="1"/>
    <col min="15901" max="15901" width="4.44140625" customWidth="1"/>
    <col min="15902" max="15902" width="6.33203125" customWidth="1"/>
    <col min="15903" max="15903" width="7.88671875" customWidth="1"/>
    <col min="15904" max="15904" width="3.44140625" customWidth="1"/>
    <col min="15905" max="15905" width="5" customWidth="1"/>
    <col min="16139" max="16139" width="1.6640625" customWidth="1"/>
    <col min="16140" max="16140" width="3.6640625" customWidth="1"/>
    <col min="16141" max="16141" width="23.44140625" customWidth="1"/>
    <col min="16142" max="16153" width="4.44140625" customWidth="1"/>
    <col min="16154" max="16154" width="6.109375" customWidth="1"/>
    <col min="16155" max="16155" width="4.44140625" customWidth="1"/>
    <col min="16156" max="16156" width="7.5546875" customWidth="1"/>
    <col min="16157" max="16157" width="4.44140625" customWidth="1"/>
    <col min="16158" max="16158" width="6.33203125" customWidth="1"/>
    <col min="16159" max="16159" width="7.88671875" customWidth="1"/>
    <col min="16160" max="16160" width="3.44140625" customWidth="1"/>
    <col min="16161" max="16161" width="5" customWidth="1"/>
  </cols>
  <sheetData>
    <row r="1" spans="1:31" ht="34.5" customHeight="1" x14ac:dyDescent="0.3">
      <c r="A1" s="280" t="s">
        <v>21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</row>
    <row r="2" spans="1:31" ht="26.25" customHeight="1" x14ac:dyDescent="0.3">
      <c r="B2" s="1"/>
      <c r="C2" s="1"/>
      <c r="D2" s="1"/>
      <c r="E2" s="1"/>
      <c r="F2" s="1"/>
      <c r="G2" s="1"/>
      <c r="H2" s="24"/>
      <c r="I2" s="1"/>
      <c r="J2" s="24"/>
      <c r="K2" s="1"/>
      <c r="L2" s="1"/>
      <c r="M2" s="1"/>
      <c r="N2" s="1"/>
      <c r="O2" s="24"/>
      <c r="P2" s="1"/>
      <c r="Q2" s="24"/>
      <c r="R2" s="1"/>
      <c r="S2" s="1"/>
      <c r="T2" s="1"/>
      <c r="U2" s="1"/>
      <c r="V2" s="24"/>
      <c r="W2" s="1"/>
      <c r="X2" s="24"/>
      <c r="Y2" s="1"/>
    </row>
    <row r="3" spans="1:31" ht="13.5" customHeight="1" x14ac:dyDescent="0.3">
      <c r="B3" s="1"/>
      <c r="C3" s="1"/>
      <c r="D3" s="1"/>
      <c r="E3" s="1"/>
      <c r="F3" s="1"/>
      <c r="G3" s="1"/>
      <c r="H3" s="24"/>
      <c r="I3" s="1"/>
      <c r="J3" s="24"/>
      <c r="K3" s="1"/>
      <c r="L3" s="283"/>
      <c r="M3" s="283"/>
      <c r="N3" s="283"/>
      <c r="O3" s="283"/>
      <c r="P3" s="283"/>
      <c r="Q3" s="283"/>
      <c r="R3" s="283"/>
      <c r="S3" s="283"/>
      <c r="T3" s="1"/>
      <c r="U3" s="1"/>
      <c r="V3" s="24"/>
      <c r="W3" s="1"/>
      <c r="X3" s="24"/>
      <c r="Y3" s="1"/>
    </row>
    <row r="4" spans="1:31" ht="15.75" customHeight="1" x14ac:dyDescent="0.3">
      <c r="B4" s="278" t="s">
        <v>13</v>
      </c>
      <c r="C4" s="278"/>
      <c r="D4" s="16"/>
      <c r="E4" s="16"/>
      <c r="G4" s="18"/>
      <c r="H4" s="18"/>
      <c r="I4" s="18"/>
      <c r="J4" s="18"/>
      <c r="K4" s="18"/>
      <c r="L4" s="18" t="s">
        <v>27</v>
      </c>
      <c r="M4" s="18"/>
      <c r="N4" s="18"/>
      <c r="O4" s="18"/>
      <c r="P4" s="18"/>
      <c r="Q4" s="18"/>
      <c r="R4" s="18"/>
      <c r="S4" s="18"/>
      <c r="T4" s="15"/>
      <c r="U4" s="15"/>
      <c r="V4" s="15"/>
      <c r="W4" s="15"/>
      <c r="X4" s="15"/>
      <c r="Y4" s="279" t="s">
        <v>139</v>
      </c>
      <c r="Z4" s="279"/>
      <c r="AA4" s="279"/>
      <c r="AB4" s="279"/>
      <c r="AC4" s="279"/>
      <c r="AD4" s="279"/>
      <c r="AE4" s="279"/>
    </row>
    <row r="5" spans="1:31" ht="6.75" customHeight="1" x14ac:dyDescent="0.3">
      <c r="B5" s="16"/>
      <c r="C5" s="16"/>
      <c r="D5" s="16"/>
      <c r="E5" s="16"/>
      <c r="F5" s="16"/>
      <c r="G5" s="16"/>
      <c r="H5" s="22"/>
      <c r="I5" s="16"/>
      <c r="J5" s="22"/>
      <c r="K5" s="16"/>
      <c r="L5" s="16"/>
      <c r="M5" s="16"/>
      <c r="N5" s="16"/>
      <c r="O5" s="22"/>
      <c r="P5" s="16"/>
      <c r="Q5" s="22"/>
      <c r="R5" s="16"/>
      <c r="S5" s="16"/>
      <c r="T5" s="15"/>
      <c r="U5" s="15"/>
      <c r="V5" s="15"/>
      <c r="W5" s="15"/>
      <c r="X5" s="15"/>
      <c r="Y5" s="17"/>
      <c r="Z5" s="17"/>
      <c r="AA5" s="17"/>
      <c r="AB5" s="17"/>
      <c r="AC5" s="17"/>
      <c r="AD5" s="17"/>
      <c r="AE5" s="17"/>
    </row>
    <row r="6" spans="1:31" ht="16.2" customHeight="1" x14ac:dyDescent="0.3">
      <c r="B6" s="278" t="s">
        <v>19</v>
      </c>
      <c r="C6" s="278"/>
      <c r="D6" s="16"/>
      <c r="E6" s="16"/>
      <c r="L6" s="18" t="s">
        <v>91</v>
      </c>
      <c r="M6" s="18"/>
      <c r="N6" s="18"/>
      <c r="O6" s="18"/>
      <c r="P6" s="18"/>
      <c r="Q6" s="18"/>
      <c r="R6" s="18"/>
      <c r="S6" s="18"/>
      <c r="T6" s="18"/>
      <c r="U6" s="15"/>
      <c r="V6" s="15"/>
      <c r="W6" s="15"/>
      <c r="X6" s="15"/>
      <c r="Y6" s="279" t="s">
        <v>43</v>
      </c>
      <c r="Z6" s="279"/>
      <c r="AA6" s="279"/>
      <c r="AB6" s="279"/>
      <c r="AC6" s="279"/>
      <c r="AD6" s="279"/>
      <c r="AE6" s="279"/>
    </row>
    <row r="7" spans="1:31" ht="28.5" customHeight="1" thickBot="1" x14ac:dyDescent="0.85">
      <c r="B7" s="285" t="s">
        <v>25</v>
      </c>
      <c r="C7" s="285"/>
      <c r="D7" s="285"/>
      <c r="E7" s="285"/>
      <c r="F7" s="285"/>
      <c r="G7" s="285"/>
      <c r="H7" s="285"/>
      <c r="I7" s="285"/>
      <c r="J7" s="285"/>
      <c r="K7" s="285"/>
      <c r="L7" s="285"/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5"/>
      <c r="AB7" s="285"/>
      <c r="AC7" s="285"/>
      <c r="AD7" s="285"/>
      <c r="AE7" s="285"/>
    </row>
    <row r="8" spans="1:31" ht="21" customHeight="1" thickTop="1" x14ac:dyDescent="0.3">
      <c r="B8" s="286" t="s">
        <v>16</v>
      </c>
      <c r="C8" s="288" t="s">
        <v>0</v>
      </c>
      <c r="D8" s="290" t="s">
        <v>15</v>
      </c>
      <c r="E8" s="291"/>
      <c r="F8" s="292" t="s">
        <v>22</v>
      </c>
      <c r="G8" s="293"/>
      <c r="H8" s="293"/>
      <c r="I8" s="293"/>
      <c r="J8" s="293"/>
      <c r="K8" s="294"/>
      <c r="L8" s="295" t="s">
        <v>3</v>
      </c>
      <c r="M8" s="292" t="s">
        <v>23</v>
      </c>
      <c r="N8" s="293"/>
      <c r="O8" s="293"/>
      <c r="P8" s="293"/>
      <c r="Q8" s="293"/>
      <c r="R8" s="294"/>
      <c r="S8" s="295" t="s">
        <v>3</v>
      </c>
      <c r="T8" s="292" t="s">
        <v>24</v>
      </c>
      <c r="U8" s="293"/>
      <c r="V8" s="293"/>
      <c r="W8" s="293"/>
      <c r="X8" s="293"/>
      <c r="Y8" s="294"/>
      <c r="Z8" s="297" t="s">
        <v>1</v>
      </c>
      <c r="AA8" s="299" t="s">
        <v>39</v>
      </c>
      <c r="AB8" s="301" t="s">
        <v>20</v>
      </c>
      <c r="AC8" s="303" t="s">
        <v>40</v>
      </c>
      <c r="AD8" s="305" t="s">
        <v>2</v>
      </c>
      <c r="AE8" s="307" t="s">
        <v>3</v>
      </c>
    </row>
    <row r="9" spans="1:31" ht="16.5" customHeight="1" thickBot="1" x14ac:dyDescent="0.35">
      <c r="B9" s="287"/>
      <c r="C9" s="289"/>
      <c r="D9" s="43" t="s">
        <v>17</v>
      </c>
      <c r="E9" s="36" t="s">
        <v>18</v>
      </c>
      <c r="F9" s="53" t="s">
        <v>4</v>
      </c>
      <c r="G9" s="33" t="s">
        <v>5</v>
      </c>
      <c r="H9" s="33" t="s">
        <v>37</v>
      </c>
      <c r="I9" s="33" t="s">
        <v>6</v>
      </c>
      <c r="J9" s="33" t="s">
        <v>38</v>
      </c>
      <c r="K9" s="54" t="s">
        <v>7</v>
      </c>
      <c r="L9" s="296"/>
      <c r="M9" s="53" t="s">
        <v>4</v>
      </c>
      <c r="N9" s="33" t="s">
        <v>5</v>
      </c>
      <c r="O9" s="33" t="s">
        <v>37</v>
      </c>
      <c r="P9" s="33" t="s">
        <v>6</v>
      </c>
      <c r="Q9" s="33" t="s">
        <v>38</v>
      </c>
      <c r="R9" s="54" t="s">
        <v>8</v>
      </c>
      <c r="S9" s="296"/>
      <c r="T9" s="53" t="s">
        <v>4</v>
      </c>
      <c r="U9" s="33" t="s">
        <v>5</v>
      </c>
      <c r="V9" s="33" t="s">
        <v>37</v>
      </c>
      <c r="W9" s="33" t="s">
        <v>6</v>
      </c>
      <c r="X9" s="33" t="s">
        <v>38</v>
      </c>
      <c r="Y9" s="54" t="s">
        <v>9</v>
      </c>
      <c r="Z9" s="298"/>
      <c r="AA9" s="300"/>
      <c r="AB9" s="302"/>
      <c r="AC9" s="304"/>
      <c r="AD9" s="306"/>
      <c r="AE9" s="308"/>
    </row>
    <row r="10" spans="1:31" ht="15.75" customHeight="1" thickTop="1" x14ac:dyDescent="0.3">
      <c r="B10" s="34">
        <v>1</v>
      </c>
      <c r="C10" s="196" t="s">
        <v>99</v>
      </c>
      <c r="D10" s="44"/>
      <c r="E10" s="37"/>
      <c r="F10" s="58">
        <v>0</v>
      </c>
      <c r="G10" s="31">
        <v>0</v>
      </c>
      <c r="H10" s="31"/>
      <c r="I10" s="32">
        <v>5</v>
      </c>
      <c r="J10" s="32"/>
      <c r="K10" s="55">
        <f>AVERAGE(F10,MAX(G10:H10),MAX(I10:J10))</f>
        <v>1.6666666666666667</v>
      </c>
      <c r="L10" s="165" t="str">
        <f>IF(K10&gt;=10,"TRANSITA","N/TRANSITA")</f>
        <v>N/TRANSITA</v>
      </c>
      <c r="M10" s="58"/>
      <c r="N10" s="31">
        <v>2</v>
      </c>
      <c r="O10" s="31"/>
      <c r="P10" s="32">
        <v>3</v>
      </c>
      <c r="Q10" s="32"/>
      <c r="R10" s="55">
        <f>AVERAGE(M10,MAX(N10:O10),MAX(P10:Q10))</f>
        <v>2.5</v>
      </c>
      <c r="S10" s="165" t="str">
        <f>IF(R10&gt;=10,"TRANSITA","N/TRANSITA")</f>
        <v>N/TRANSITA</v>
      </c>
      <c r="T10" s="58"/>
      <c r="U10" s="31"/>
      <c r="V10" s="31"/>
      <c r="W10" s="32" t="e">
        <f>AVERAGE(T10:U10)</f>
        <v>#DIV/0!</v>
      </c>
      <c r="X10" s="32"/>
      <c r="Y10" s="55" t="e">
        <f>AVERAGE(T10,MAX(U10:V10),MAX(W10:X10))</f>
        <v>#DIV/0!</v>
      </c>
      <c r="Z10" s="47" t="e">
        <f t="shared" ref="Z10:Z51" si="0">SUM(K10,R10,Y10)/3</f>
        <v>#DIV/0!</v>
      </c>
      <c r="AA10" s="40" t="e">
        <f>Z10*0.4</f>
        <v>#DIV/0!</v>
      </c>
      <c r="AB10" s="61"/>
      <c r="AC10" s="50">
        <f>AB10*0.6</f>
        <v>0</v>
      </c>
      <c r="AD10" s="64" t="e">
        <f>AVERAGE(AA10+AC10)</f>
        <v>#DIV/0!</v>
      </c>
      <c r="AE10" s="163" t="e">
        <f>IF(AD10&gt;=10,"APROVADO/A","REPROVADO/A")</f>
        <v>#DIV/0!</v>
      </c>
    </row>
    <row r="11" spans="1:31" ht="15.75" customHeight="1" x14ac:dyDescent="0.3">
      <c r="B11" s="35">
        <v>2</v>
      </c>
      <c r="C11" s="197" t="s">
        <v>100</v>
      </c>
      <c r="D11" s="45"/>
      <c r="E11" s="38"/>
      <c r="F11" s="59">
        <v>14</v>
      </c>
      <c r="G11" s="27">
        <v>6</v>
      </c>
      <c r="H11" s="27"/>
      <c r="I11" s="32">
        <v>10</v>
      </c>
      <c r="J11" s="28"/>
      <c r="K11" s="56">
        <f t="shared" ref="K11:K51" si="1">AVERAGE(F11,MAX(G11:H11),MAX(I11:J11))</f>
        <v>10</v>
      </c>
      <c r="L11" s="166" t="str">
        <f t="shared" ref="L11:L51" si="2">IF(K11&gt;=10,"TRANSITA","N/TRANSITA")</f>
        <v>TRANSITA</v>
      </c>
      <c r="M11" s="59">
        <v>16</v>
      </c>
      <c r="N11" s="27">
        <v>6</v>
      </c>
      <c r="O11" s="27"/>
      <c r="P11" s="32">
        <v>8</v>
      </c>
      <c r="Q11" s="28"/>
      <c r="R11" s="56">
        <f t="shared" ref="R11:R51" si="3">AVERAGE(M11,MAX(N11:O11),MAX(P11:Q11))</f>
        <v>10</v>
      </c>
      <c r="S11" s="166" t="str">
        <f t="shared" ref="S11:S51" si="4">IF(R11&gt;=10,"TRANSITA","N/TRANSITA")</f>
        <v>TRANSITA</v>
      </c>
      <c r="T11" s="58"/>
      <c r="U11" s="31"/>
      <c r="V11" s="27"/>
      <c r="W11" s="32" t="e">
        <f t="shared" ref="W11:W51" si="5">AVERAGE(T11:U11)</f>
        <v>#DIV/0!</v>
      </c>
      <c r="X11" s="28"/>
      <c r="Y11" s="56" t="e">
        <f t="shared" ref="Y11:Y51" si="6">AVERAGE(T11,MAX(U11:V11),MAX(W11:X11))</f>
        <v>#DIV/0!</v>
      </c>
      <c r="Z11" s="48" t="e">
        <f t="shared" si="0"/>
        <v>#DIV/0!</v>
      </c>
      <c r="AA11" s="41" t="e">
        <f t="shared" ref="AA11:AA51" si="7">Z11*0.4</f>
        <v>#DIV/0!</v>
      </c>
      <c r="AB11" s="61"/>
      <c r="AC11" s="51">
        <f t="shared" ref="AC11" si="8">AB11*0.6</f>
        <v>0</v>
      </c>
      <c r="AD11" s="65" t="e">
        <f t="shared" ref="AD11" si="9">AVERAGE(AA11+AC11)</f>
        <v>#DIV/0!</v>
      </c>
      <c r="AE11" s="162" t="e">
        <f t="shared" ref="AE11:AE51" si="10">IF(AD11&gt;=10,"APROVADO/A","REPROVADO/A")</f>
        <v>#DIV/0!</v>
      </c>
    </row>
    <row r="12" spans="1:31" ht="15.75" customHeight="1" x14ac:dyDescent="0.3">
      <c r="B12" s="35">
        <v>3</v>
      </c>
      <c r="C12" s="197" t="s">
        <v>101</v>
      </c>
      <c r="D12" s="45"/>
      <c r="E12" s="38"/>
      <c r="F12" s="59">
        <v>14</v>
      </c>
      <c r="G12" s="27">
        <v>7</v>
      </c>
      <c r="H12" s="27"/>
      <c r="I12" s="32">
        <v>15</v>
      </c>
      <c r="J12" s="28"/>
      <c r="K12" s="56">
        <f t="shared" si="1"/>
        <v>12</v>
      </c>
      <c r="L12" s="166" t="str">
        <f t="shared" si="2"/>
        <v>TRANSITA</v>
      </c>
      <c r="M12" s="59">
        <v>16</v>
      </c>
      <c r="N12" s="27">
        <v>2</v>
      </c>
      <c r="O12" s="27"/>
      <c r="P12" s="32">
        <v>7</v>
      </c>
      <c r="Q12" s="28"/>
      <c r="R12" s="56">
        <f t="shared" si="3"/>
        <v>8.3333333333333339</v>
      </c>
      <c r="S12" s="166" t="str">
        <f t="shared" si="4"/>
        <v>N/TRANSITA</v>
      </c>
      <c r="T12" s="58"/>
      <c r="U12" s="31"/>
      <c r="V12" s="27"/>
      <c r="W12" s="32" t="e">
        <f t="shared" si="5"/>
        <v>#DIV/0!</v>
      </c>
      <c r="X12" s="28"/>
      <c r="Y12" s="56" t="e">
        <f t="shared" si="6"/>
        <v>#DIV/0!</v>
      </c>
      <c r="Z12" s="48" t="e">
        <f t="shared" si="0"/>
        <v>#DIV/0!</v>
      </c>
      <c r="AA12" s="41" t="e">
        <f t="shared" si="7"/>
        <v>#DIV/0!</v>
      </c>
      <c r="AB12" s="61"/>
      <c r="AC12" s="51">
        <f t="shared" ref="AC12:AC45" si="11">AB12*0.6</f>
        <v>0</v>
      </c>
      <c r="AD12" s="65" t="e">
        <f t="shared" ref="AD12:AD45" si="12">AVERAGE(AA12+AC12)</f>
        <v>#DIV/0!</v>
      </c>
      <c r="AE12" s="162" t="e">
        <f t="shared" si="10"/>
        <v>#DIV/0!</v>
      </c>
    </row>
    <row r="13" spans="1:31" ht="15.75" customHeight="1" x14ac:dyDescent="0.3">
      <c r="B13" s="35">
        <v>4</v>
      </c>
      <c r="C13" s="197" t="s">
        <v>102</v>
      </c>
      <c r="D13" s="45"/>
      <c r="E13" s="38"/>
      <c r="F13" s="59">
        <v>14</v>
      </c>
      <c r="G13" s="27">
        <v>9</v>
      </c>
      <c r="H13" s="27"/>
      <c r="I13" s="32">
        <v>15</v>
      </c>
      <c r="J13" s="28"/>
      <c r="K13" s="56">
        <f t="shared" si="1"/>
        <v>12.666666666666666</v>
      </c>
      <c r="L13" s="166" t="str">
        <f t="shared" si="2"/>
        <v>TRANSITA</v>
      </c>
      <c r="M13" s="59">
        <v>16</v>
      </c>
      <c r="N13" s="27">
        <v>5</v>
      </c>
      <c r="O13" s="27"/>
      <c r="P13" s="32">
        <v>13</v>
      </c>
      <c r="Q13" s="28"/>
      <c r="R13" s="56">
        <f t="shared" si="3"/>
        <v>11.333333333333334</v>
      </c>
      <c r="S13" s="166" t="str">
        <f t="shared" si="4"/>
        <v>TRANSITA</v>
      </c>
      <c r="T13" s="58"/>
      <c r="U13" s="31"/>
      <c r="V13" s="27"/>
      <c r="W13" s="32" t="e">
        <f t="shared" si="5"/>
        <v>#DIV/0!</v>
      </c>
      <c r="X13" s="28"/>
      <c r="Y13" s="56" t="e">
        <f t="shared" si="6"/>
        <v>#DIV/0!</v>
      </c>
      <c r="Z13" s="48" t="e">
        <f t="shared" si="0"/>
        <v>#DIV/0!</v>
      </c>
      <c r="AA13" s="41" t="e">
        <f t="shared" si="7"/>
        <v>#DIV/0!</v>
      </c>
      <c r="AB13" s="61"/>
      <c r="AC13" s="51">
        <f t="shared" si="11"/>
        <v>0</v>
      </c>
      <c r="AD13" s="65" t="e">
        <f t="shared" si="12"/>
        <v>#DIV/0!</v>
      </c>
      <c r="AE13" s="162" t="e">
        <f t="shared" si="10"/>
        <v>#DIV/0!</v>
      </c>
    </row>
    <row r="14" spans="1:31" ht="15.75" customHeight="1" x14ac:dyDescent="0.3">
      <c r="B14" s="35">
        <v>5</v>
      </c>
      <c r="C14" s="197" t="s">
        <v>103</v>
      </c>
      <c r="D14" s="45"/>
      <c r="E14" s="38"/>
      <c r="F14" s="58">
        <v>14</v>
      </c>
      <c r="G14" s="31">
        <v>11</v>
      </c>
      <c r="H14" s="31"/>
      <c r="I14" s="32">
        <v>11</v>
      </c>
      <c r="J14" s="28"/>
      <c r="K14" s="56">
        <f t="shared" si="1"/>
        <v>12</v>
      </c>
      <c r="L14" s="166" t="str">
        <f t="shared" si="2"/>
        <v>TRANSITA</v>
      </c>
      <c r="M14" s="59">
        <v>16</v>
      </c>
      <c r="N14" s="27">
        <v>14</v>
      </c>
      <c r="O14" s="27"/>
      <c r="P14" s="32">
        <v>8</v>
      </c>
      <c r="Q14" s="28"/>
      <c r="R14" s="56">
        <f t="shared" si="3"/>
        <v>12.666666666666666</v>
      </c>
      <c r="S14" s="166" t="str">
        <f t="shared" si="4"/>
        <v>TRANSITA</v>
      </c>
      <c r="T14" s="58"/>
      <c r="U14" s="31"/>
      <c r="V14" s="27"/>
      <c r="W14" s="32" t="e">
        <f t="shared" si="5"/>
        <v>#DIV/0!</v>
      </c>
      <c r="X14" s="28"/>
      <c r="Y14" s="56" t="e">
        <f t="shared" si="6"/>
        <v>#DIV/0!</v>
      </c>
      <c r="Z14" s="48" t="e">
        <f t="shared" si="0"/>
        <v>#DIV/0!</v>
      </c>
      <c r="AA14" s="41" t="e">
        <f t="shared" si="7"/>
        <v>#DIV/0!</v>
      </c>
      <c r="AB14" s="61"/>
      <c r="AC14" s="51">
        <f t="shared" si="11"/>
        <v>0</v>
      </c>
      <c r="AD14" s="65" t="e">
        <f t="shared" si="12"/>
        <v>#DIV/0!</v>
      </c>
      <c r="AE14" s="162" t="e">
        <f t="shared" si="10"/>
        <v>#DIV/0!</v>
      </c>
    </row>
    <row r="15" spans="1:31" ht="15.75" customHeight="1" x14ac:dyDescent="0.3">
      <c r="B15" s="35">
        <v>6</v>
      </c>
      <c r="C15" s="197" t="s">
        <v>104</v>
      </c>
      <c r="D15" s="45"/>
      <c r="E15" s="38"/>
      <c r="F15" s="149">
        <v>0</v>
      </c>
      <c r="G15" s="148">
        <v>0</v>
      </c>
      <c r="H15" s="148"/>
      <c r="I15" s="150">
        <v>8</v>
      </c>
      <c r="J15" s="151"/>
      <c r="K15" s="56">
        <f t="shared" si="1"/>
        <v>2.6666666666666665</v>
      </c>
      <c r="L15" s="166" t="str">
        <f t="shared" si="2"/>
        <v>N/TRANSITA</v>
      </c>
      <c r="M15" s="149">
        <v>16</v>
      </c>
      <c r="N15" s="148">
        <v>6</v>
      </c>
      <c r="O15" s="148"/>
      <c r="P15" s="150">
        <v>9</v>
      </c>
      <c r="Q15" s="151"/>
      <c r="R15" s="56">
        <f t="shared" si="3"/>
        <v>10.333333333333334</v>
      </c>
      <c r="S15" s="166" t="str">
        <f t="shared" si="4"/>
        <v>TRANSITA</v>
      </c>
      <c r="T15" s="58"/>
      <c r="U15" s="31"/>
      <c r="V15" s="148"/>
      <c r="W15" s="32" t="e">
        <f t="shared" si="5"/>
        <v>#DIV/0!</v>
      </c>
      <c r="X15" s="151"/>
      <c r="Y15" s="56" t="e">
        <f t="shared" si="6"/>
        <v>#DIV/0!</v>
      </c>
      <c r="Z15" s="48" t="e">
        <f t="shared" si="0"/>
        <v>#DIV/0!</v>
      </c>
      <c r="AA15" s="41" t="e">
        <f t="shared" si="7"/>
        <v>#DIV/0!</v>
      </c>
      <c r="AB15" s="61"/>
      <c r="AC15" s="51">
        <f t="shared" si="11"/>
        <v>0</v>
      </c>
      <c r="AD15" s="65" t="e">
        <f t="shared" si="12"/>
        <v>#DIV/0!</v>
      </c>
      <c r="AE15" s="162" t="e">
        <f t="shared" si="10"/>
        <v>#DIV/0!</v>
      </c>
    </row>
    <row r="16" spans="1:31" ht="15.75" customHeight="1" x14ac:dyDescent="0.3">
      <c r="B16" s="35">
        <v>7</v>
      </c>
      <c r="C16" s="197" t="s">
        <v>105</v>
      </c>
      <c r="D16" s="45"/>
      <c r="E16" s="38"/>
      <c r="F16" s="59">
        <v>14</v>
      </c>
      <c r="G16" s="27">
        <v>9</v>
      </c>
      <c r="H16" s="27"/>
      <c r="I16" s="32">
        <v>15</v>
      </c>
      <c r="J16" s="28"/>
      <c r="K16" s="56">
        <f t="shared" si="1"/>
        <v>12.666666666666666</v>
      </c>
      <c r="L16" s="166" t="str">
        <f t="shared" si="2"/>
        <v>TRANSITA</v>
      </c>
      <c r="M16" s="59">
        <v>16</v>
      </c>
      <c r="N16" s="27">
        <v>6</v>
      </c>
      <c r="O16" s="27"/>
      <c r="P16" s="32">
        <v>10</v>
      </c>
      <c r="Q16" s="28"/>
      <c r="R16" s="56">
        <f t="shared" si="3"/>
        <v>10.666666666666666</v>
      </c>
      <c r="S16" s="166" t="str">
        <f t="shared" si="4"/>
        <v>TRANSITA</v>
      </c>
      <c r="T16" s="58"/>
      <c r="U16" s="31"/>
      <c r="V16" s="27"/>
      <c r="W16" s="32" t="e">
        <f t="shared" si="5"/>
        <v>#DIV/0!</v>
      </c>
      <c r="X16" s="28"/>
      <c r="Y16" s="56" t="e">
        <f t="shared" si="6"/>
        <v>#DIV/0!</v>
      </c>
      <c r="Z16" s="48" t="e">
        <f t="shared" si="0"/>
        <v>#DIV/0!</v>
      </c>
      <c r="AA16" s="41" t="e">
        <f t="shared" si="7"/>
        <v>#DIV/0!</v>
      </c>
      <c r="AB16" s="61"/>
      <c r="AC16" s="51">
        <f t="shared" si="11"/>
        <v>0</v>
      </c>
      <c r="AD16" s="65" t="e">
        <f t="shared" si="12"/>
        <v>#DIV/0!</v>
      </c>
      <c r="AE16" s="162" t="e">
        <f t="shared" si="10"/>
        <v>#DIV/0!</v>
      </c>
    </row>
    <row r="17" spans="2:31" ht="15.75" customHeight="1" x14ac:dyDescent="0.3">
      <c r="B17" s="35">
        <v>8</v>
      </c>
      <c r="C17" s="197" t="s">
        <v>106</v>
      </c>
      <c r="D17" s="45"/>
      <c r="E17" s="38"/>
      <c r="F17" s="59">
        <v>14</v>
      </c>
      <c r="G17" s="27">
        <v>9</v>
      </c>
      <c r="H17" s="27"/>
      <c r="I17" s="32">
        <v>10</v>
      </c>
      <c r="J17" s="28"/>
      <c r="K17" s="56">
        <f t="shared" si="1"/>
        <v>11</v>
      </c>
      <c r="L17" s="166" t="str">
        <f t="shared" si="2"/>
        <v>TRANSITA</v>
      </c>
      <c r="M17" s="59">
        <v>16</v>
      </c>
      <c r="N17" s="27"/>
      <c r="O17" s="27"/>
      <c r="P17" s="32">
        <v>4</v>
      </c>
      <c r="Q17" s="28"/>
      <c r="R17" s="56">
        <f t="shared" si="3"/>
        <v>6.666666666666667</v>
      </c>
      <c r="S17" s="166" t="str">
        <f t="shared" si="4"/>
        <v>N/TRANSITA</v>
      </c>
      <c r="T17" s="58"/>
      <c r="U17" s="31"/>
      <c r="V17" s="27"/>
      <c r="W17" s="32" t="e">
        <f t="shared" si="5"/>
        <v>#DIV/0!</v>
      </c>
      <c r="X17" s="28"/>
      <c r="Y17" s="56" t="e">
        <f t="shared" si="6"/>
        <v>#DIV/0!</v>
      </c>
      <c r="Z17" s="48" t="e">
        <f t="shared" si="0"/>
        <v>#DIV/0!</v>
      </c>
      <c r="AA17" s="41" t="e">
        <f t="shared" si="7"/>
        <v>#DIV/0!</v>
      </c>
      <c r="AB17" s="61"/>
      <c r="AC17" s="51">
        <f t="shared" si="11"/>
        <v>0</v>
      </c>
      <c r="AD17" s="65" t="e">
        <f t="shared" si="12"/>
        <v>#DIV/0!</v>
      </c>
      <c r="AE17" s="162" t="e">
        <f t="shared" si="10"/>
        <v>#DIV/0!</v>
      </c>
    </row>
    <row r="18" spans="2:31" ht="15.75" customHeight="1" x14ac:dyDescent="0.3">
      <c r="B18" s="35">
        <v>9</v>
      </c>
      <c r="C18" s="197" t="s">
        <v>144</v>
      </c>
      <c r="D18" s="45"/>
      <c r="E18" s="38"/>
      <c r="F18" s="59"/>
      <c r="G18" s="27"/>
      <c r="H18" s="27"/>
      <c r="I18" s="32">
        <v>4</v>
      </c>
      <c r="J18" s="28"/>
      <c r="K18" s="56">
        <f t="shared" si="1"/>
        <v>2</v>
      </c>
      <c r="L18" s="166" t="str">
        <f t="shared" si="2"/>
        <v>N/TRANSITA</v>
      </c>
      <c r="M18" s="59"/>
      <c r="N18" s="27"/>
      <c r="O18" s="27"/>
      <c r="P18" s="32">
        <v>2</v>
      </c>
      <c r="Q18" s="28"/>
      <c r="R18" s="56">
        <f t="shared" ref="R18" si="13">AVERAGE(M18,MAX(N18:O18),MAX(P18:Q18))</f>
        <v>1</v>
      </c>
      <c r="S18" s="166" t="str">
        <f t="shared" ref="S18" si="14">IF(R18&gt;=10,"TRANSITA","N/TRANSITA")</f>
        <v>N/TRANSITA</v>
      </c>
      <c r="T18" s="58"/>
      <c r="U18" s="31"/>
      <c r="V18" s="27"/>
      <c r="W18" s="32" t="e">
        <f t="shared" ref="W18" si="15">AVERAGE(T18:U18)</f>
        <v>#DIV/0!</v>
      </c>
      <c r="X18" s="28"/>
      <c r="Y18" s="56" t="e">
        <f t="shared" ref="Y18" si="16">AVERAGE(T18,MAX(U18:V18),MAX(W18:X18))</f>
        <v>#DIV/0!</v>
      </c>
      <c r="Z18" s="48" t="e">
        <f t="shared" ref="Z18" si="17">SUM(K18,R18,Y18)/3</f>
        <v>#DIV/0!</v>
      </c>
      <c r="AA18" s="41" t="e">
        <f t="shared" ref="AA18" si="18">Z18*0.4</f>
        <v>#DIV/0!</v>
      </c>
      <c r="AB18" s="61"/>
      <c r="AC18" s="51">
        <f t="shared" ref="AC18" si="19">AB18*0.6</f>
        <v>0</v>
      </c>
      <c r="AD18" s="65" t="e">
        <f t="shared" ref="AD18" si="20">AVERAGE(AA18+AC18)</f>
        <v>#DIV/0!</v>
      </c>
      <c r="AE18" s="162" t="e">
        <f t="shared" ref="AE18" si="21">IF(AD18&gt;=10,"APROVADO/A","REPROVADO/A")</f>
        <v>#DIV/0!</v>
      </c>
    </row>
    <row r="19" spans="2:31" ht="15.75" customHeight="1" x14ac:dyDescent="0.3">
      <c r="B19" s="35">
        <v>10</v>
      </c>
      <c r="C19" s="197" t="s">
        <v>107</v>
      </c>
      <c r="D19" s="45"/>
      <c r="E19" s="38"/>
      <c r="F19" s="59">
        <v>14</v>
      </c>
      <c r="G19" s="27">
        <v>9</v>
      </c>
      <c r="H19" s="27"/>
      <c r="I19" s="32">
        <v>10</v>
      </c>
      <c r="J19" s="28"/>
      <c r="K19" s="56">
        <f t="shared" si="1"/>
        <v>11</v>
      </c>
      <c r="L19" s="166" t="str">
        <f t="shared" si="2"/>
        <v>TRANSITA</v>
      </c>
      <c r="M19" s="59">
        <v>16</v>
      </c>
      <c r="N19" s="27">
        <v>7</v>
      </c>
      <c r="O19" s="27"/>
      <c r="P19" s="32">
        <v>9</v>
      </c>
      <c r="Q19" s="28"/>
      <c r="R19" s="56">
        <f t="shared" si="3"/>
        <v>10.666666666666666</v>
      </c>
      <c r="S19" s="166" t="str">
        <f t="shared" si="4"/>
        <v>TRANSITA</v>
      </c>
      <c r="T19" s="58"/>
      <c r="U19" s="31"/>
      <c r="V19" s="27"/>
      <c r="W19" s="32" t="e">
        <f t="shared" si="5"/>
        <v>#DIV/0!</v>
      </c>
      <c r="X19" s="28"/>
      <c r="Y19" s="56" t="e">
        <f t="shared" si="6"/>
        <v>#DIV/0!</v>
      </c>
      <c r="Z19" s="48" t="e">
        <f t="shared" si="0"/>
        <v>#DIV/0!</v>
      </c>
      <c r="AA19" s="41" t="e">
        <f t="shared" si="7"/>
        <v>#DIV/0!</v>
      </c>
      <c r="AB19" s="61"/>
      <c r="AC19" s="51">
        <f t="shared" si="11"/>
        <v>0</v>
      </c>
      <c r="AD19" s="65" t="e">
        <f t="shared" si="12"/>
        <v>#DIV/0!</v>
      </c>
      <c r="AE19" s="162" t="e">
        <f t="shared" si="10"/>
        <v>#DIV/0!</v>
      </c>
    </row>
    <row r="20" spans="2:31" ht="15.75" customHeight="1" x14ac:dyDescent="0.3">
      <c r="B20" s="35">
        <v>11</v>
      </c>
      <c r="C20" s="197" t="s">
        <v>108</v>
      </c>
      <c r="D20" s="45"/>
      <c r="E20" s="38"/>
      <c r="F20" s="59">
        <v>14</v>
      </c>
      <c r="G20" s="27">
        <v>9</v>
      </c>
      <c r="H20" s="27"/>
      <c r="I20" s="32">
        <v>8</v>
      </c>
      <c r="J20" s="28"/>
      <c r="K20" s="56">
        <f t="shared" si="1"/>
        <v>10.333333333333334</v>
      </c>
      <c r="L20" s="166" t="str">
        <f t="shared" si="2"/>
        <v>TRANSITA</v>
      </c>
      <c r="M20" s="59">
        <v>16</v>
      </c>
      <c r="N20" s="27">
        <v>5</v>
      </c>
      <c r="O20" s="27"/>
      <c r="P20" s="32">
        <v>11</v>
      </c>
      <c r="Q20" s="28"/>
      <c r="R20" s="56">
        <f t="shared" si="3"/>
        <v>10.666666666666666</v>
      </c>
      <c r="S20" s="166" t="str">
        <f t="shared" si="4"/>
        <v>TRANSITA</v>
      </c>
      <c r="T20" s="58"/>
      <c r="U20" s="31"/>
      <c r="V20" s="27"/>
      <c r="W20" s="32" t="e">
        <f t="shared" si="5"/>
        <v>#DIV/0!</v>
      </c>
      <c r="X20" s="28"/>
      <c r="Y20" s="56" t="e">
        <f t="shared" si="6"/>
        <v>#DIV/0!</v>
      </c>
      <c r="Z20" s="48" t="e">
        <f t="shared" si="0"/>
        <v>#DIV/0!</v>
      </c>
      <c r="AA20" s="41" t="e">
        <f t="shared" si="7"/>
        <v>#DIV/0!</v>
      </c>
      <c r="AB20" s="61"/>
      <c r="AC20" s="51">
        <f t="shared" ref="AC20" si="22">AB20*0.6</f>
        <v>0</v>
      </c>
      <c r="AD20" s="65" t="e">
        <f t="shared" ref="AD20" si="23">AVERAGE(AA20+AC20)</f>
        <v>#DIV/0!</v>
      </c>
      <c r="AE20" s="162" t="e">
        <f t="shared" si="10"/>
        <v>#DIV/0!</v>
      </c>
    </row>
    <row r="21" spans="2:31" ht="15.75" customHeight="1" x14ac:dyDescent="0.3">
      <c r="B21" s="35">
        <v>12</v>
      </c>
      <c r="C21" s="197" t="s">
        <v>109</v>
      </c>
      <c r="D21" s="45"/>
      <c r="E21" s="38"/>
      <c r="F21" s="149">
        <v>14</v>
      </c>
      <c r="G21" s="148">
        <v>6</v>
      </c>
      <c r="H21" s="148"/>
      <c r="I21" s="150">
        <v>11</v>
      </c>
      <c r="J21" s="151"/>
      <c r="K21" s="56">
        <f t="shared" si="1"/>
        <v>10.333333333333334</v>
      </c>
      <c r="L21" s="166" t="str">
        <f t="shared" si="2"/>
        <v>TRANSITA</v>
      </c>
      <c r="M21" s="149">
        <v>16</v>
      </c>
      <c r="N21" s="148">
        <v>6</v>
      </c>
      <c r="O21" s="148"/>
      <c r="P21" s="150">
        <v>10</v>
      </c>
      <c r="Q21" s="151"/>
      <c r="R21" s="56">
        <f t="shared" si="3"/>
        <v>10.666666666666666</v>
      </c>
      <c r="S21" s="166" t="str">
        <f t="shared" si="4"/>
        <v>TRANSITA</v>
      </c>
      <c r="T21" s="58"/>
      <c r="U21" s="31"/>
      <c r="V21" s="148"/>
      <c r="W21" s="32" t="e">
        <f t="shared" si="5"/>
        <v>#DIV/0!</v>
      </c>
      <c r="X21" s="151"/>
      <c r="Y21" s="56" t="e">
        <f t="shared" si="6"/>
        <v>#DIV/0!</v>
      </c>
      <c r="Z21" s="48" t="e">
        <f t="shared" si="0"/>
        <v>#DIV/0!</v>
      </c>
      <c r="AA21" s="41" t="e">
        <f t="shared" si="7"/>
        <v>#DIV/0!</v>
      </c>
      <c r="AB21" s="61"/>
      <c r="AC21" s="51">
        <f t="shared" ref="AC21" si="24">AB21*0.6</f>
        <v>0</v>
      </c>
      <c r="AD21" s="65" t="e">
        <f t="shared" ref="AD21" si="25">AVERAGE(AA21+AC21)</f>
        <v>#DIV/0!</v>
      </c>
      <c r="AE21" s="162" t="e">
        <f t="shared" si="10"/>
        <v>#DIV/0!</v>
      </c>
    </row>
    <row r="22" spans="2:31" ht="15.75" customHeight="1" x14ac:dyDescent="0.3">
      <c r="B22" s="35">
        <v>13</v>
      </c>
      <c r="C22" s="197" t="s">
        <v>110</v>
      </c>
      <c r="D22" s="45"/>
      <c r="E22" s="38"/>
      <c r="F22" s="59">
        <v>8</v>
      </c>
      <c r="G22" s="27">
        <v>9</v>
      </c>
      <c r="H22" s="27"/>
      <c r="I22" s="32">
        <v>8</v>
      </c>
      <c r="J22" s="28"/>
      <c r="K22" s="56">
        <f t="shared" si="1"/>
        <v>8.3333333333333339</v>
      </c>
      <c r="L22" s="166" t="str">
        <f t="shared" si="2"/>
        <v>N/TRANSITA</v>
      </c>
      <c r="M22" s="59"/>
      <c r="N22" s="27">
        <v>6</v>
      </c>
      <c r="O22" s="27"/>
      <c r="P22" s="32">
        <v>8.3000000000000007</v>
      </c>
      <c r="Q22" s="28"/>
      <c r="R22" s="56">
        <f t="shared" si="3"/>
        <v>7.15</v>
      </c>
      <c r="S22" s="166" t="str">
        <f t="shared" si="4"/>
        <v>N/TRANSITA</v>
      </c>
      <c r="T22" s="58"/>
      <c r="U22" s="31"/>
      <c r="V22" s="27"/>
      <c r="W22" s="32" t="e">
        <f t="shared" si="5"/>
        <v>#DIV/0!</v>
      </c>
      <c r="X22" s="28"/>
      <c r="Y22" s="56" t="e">
        <f t="shared" si="6"/>
        <v>#DIV/0!</v>
      </c>
      <c r="Z22" s="48" t="e">
        <f t="shared" si="0"/>
        <v>#DIV/0!</v>
      </c>
      <c r="AA22" s="41" t="e">
        <f t="shared" si="7"/>
        <v>#DIV/0!</v>
      </c>
      <c r="AB22" s="61"/>
      <c r="AC22" s="51">
        <f t="shared" si="11"/>
        <v>0</v>
      </c>
      <c r="AD22" s="65" t="e">
        <f t="shared" si="12"/>
        <v>#DIV/0!</v>
      </c>
      <c r="AE22" s="162" t="e">
        <f t="shared" si="10"/>
        <v>#DIV/0!</v>
      </c>
    </row>
    <row r="23" spans="2:31" ht="15.75" customHeight="1" x14ac:dyDescent="0.3">
      <c r="B23" s="35">
        <v>14</v>
      </c>
      <c r="C23" s="197" t="s">
        <v>111</v>
      </c>
      <c r="D23" s="45"/>
      <c r="E23" s="38"/>
      <c r="F23" s="59">
        <v>8</v>
      </c>
      <c r="G23" s="27">
        <v>11</v>
      </c>
      <c r="H23" s="27"/>
      <c r="I23" s="32">
        <v>11</v>
      </c>
      <c r="J23" s="28"/>
      <c r="K23" s="56">
        <f t="shared" si="1"/>
        <v>10</v>
      </c>
      <c r="L23" s="166" t="str">
        <f t="shared" si="2"/>
        <v>TRANSITA</v>
      </c>
      <c r="M23" s="59">
        <v>16</v>
      </c>
      <c r="N23" s="27">
        <v>3</v>
      </c>
      <c r="O23" s="27"/>
      <c r="P23" s="32">
        <v>7</v>
      </c>
      <c r="Q23" s="28"/>
      <c r="R23" s="56">
        <f t="shared" si="3"/>
        <v>8.6666666666666661</v>
      </c>
      <c r="S23" s="166" t="str">
        <f t="shared" si="4"/>
        <v>N/TRANSITA</v>
      </c>
      <c r="T23" s="58"/>
      <c r="U23" s="31"/>
      <c r="V23" s="27"/>
      <c r="W23" s="32" t="e">
        <f t="shared" si="5"/>
        <v>#DIV/0!</v>
      </c>
      <c r="X23" s="28"/>
      <c r="Y23" s="56" t="e">
        <f t="shared" si="6"/>
        <v>#DIV/0!</v>
      </c>
      <c r="Z23" s="48" t="e">
        <f t="shared" si="0"/>
        <v>#DIV/0!</v>
      </c>
      <c r="AA23" s="41" t="e">
        <f t="shared" si="7"/>
        <v>#DIV/0!</v>
      </c>
      <c r="AB23" s="61"/>
      <c r="AC23" s="51">
        <f t="shared" si="11"/>
        <v>0</v>
      </c>
      <c r="AD23" s="65" t="e">
        <f t="shared" si="12"/>
        <v>#DIV/0!</v>
      </c>
      <c r="AE23" s="162" t="e">
        <f t="shared" si="10"/>
        <v>#DIV/0!</v>
      </c>
    </row>
    <row r="24" spans="2:31" ht="15.75" customHeight="1" x14ac:dyDescent="0.3">
      <c r="B24" s="35">
        <v>15</v>
      </c>
      <c r="C24" s="197" t="s">
        <v>112</v>
      </c>
      <c r="D24" s="45"/>
      <c r="E24" s="38"/>
      <c r="F24" s="59">
        <v>14</v>
      </c>
      <c r="G24" s="27">
        <v>8</v>
      </c>
      <c r="H24" s="27"/>
      <c r="I24" s="32">
        <v>11</v>
      </c>
      <c r="J24" s="28"/>
      <c r="K24" s="56">
        <f t="shared" si="1"/>
        <v>11</v>
      </c>
      <c r="L24" s="166" t="str">
        <f t="shared" si="2"/>
        <v>TRANSITA</v>
      </c>
      <c r="M24" s="59">
        <v>16</v>
      </c>
      <c r="N24" s="27">
        <v>8</v>
      </c>
      <c r="O24" s="27"/>
      <c r="P24" s="32">
        <v>11</v>
      </c>
      <c r="Q24" s="28"/>
      <c r="R24" s="56">
        <f t="shared" si="3"/>
        <v>11.666666666666666</v>
      </c>
      <c r="S24" s="166" t="str">
        <f t="shared" si="4"/>
        <v>TRANSITA</v>
      </c>
      <c r="T24" s="58"/>
      <c r="U24" s="31"/>
      <c r="V24" s="27"/>
      <c r="W24" s="32" t="e">
        <f t="shared" si="5"/>
        <v>#DIV/0!</v>
      </c>
      <c r="X24" s="28"/>
      <c r="Y24" s="56" t="e">
        <f t="shared" si="6"/>
        <v>#DIV/0!</v>
      </c>
      <c r="Z24" s="48" t="e">
        <f t="shared" si="0"/>
        <v>#DIV/0!</v>
      </c>
      <c r="AA24" s="41" t="e">
        <f t="shared" si="7"/>
        <v>#DIV/0!</v>
      </c>
      <c r="AB24" s="61"/>
      <c r="AC24" s="51">
        <f t="shared" si="11"/>
        <v>0</v>
      </c>
      <c r="AD24" s="65" t="e">
        <f t="shared" si="12"/>
        <v>#DIV/0!</v>
      </c>
      <c r="AE24" s="162" t="e">
        <f t="shared" si="10"/>
        <v>#DIV/0!</v>
      </c>
    </row>
    <row r="25" spans="2:31" ht="15.75" customHeight="1" x14ac:dyDescent="0.3">
      <c r="B25" s="35">
        <v>16</v>
      </c>
      <c r="C25" s="197" t="s">
        <v>113</v>
      </c>
      <c r="D25" s="45"/>
      <c r="E25" s="38"/>
      <c r="F25" s="59">
        <v>12</v>
      </c>
      <c r="G25" s="27">
        <v>7</v>
      </c>
      <c r="H25" s="27"/>
      <c r="I25" s="32">
        <v>13</v>
      </c>
      <c r="J25" s="28"/>
      <c r="K25" s="56">
        <f t="shared" si="1"/>
        <v>10.666666666666666</v>
      </c>
      <c r="L25" s="166" t="str">
        <f t="shared" si="2"/>
        <v>TRANSITA</v>
      </c>
      <c r="M25" s="59">
        <v>16</v>
      </c>
      <c r="N25" s="27">
        <v>3</v>
      </c>
      <c r="O25" s="27"/>
      <c r="P25" s="32">
        <v>6</v>
      </c>
      <c r="Q25" s="28"/>
      <c r="R25" s="56">
        <f t="shared" si="3"/>
        <v>8.3333333333333339</v>
      </c>
      <c r="S25" s="166" t="str">
        <f t="shared" si="4"/>
        <v>N/TRANSITA</v>
      </c>
      <c r="T25" s="58"/>
      <c r="U25" s="31"/>
      <c r="V25" s="27"/>
      <c r="W25" s="32" t="e">
        <f t="shared" si="5"/>
        <v>#DIV/0!</v>
      </c>
      <c r="X25" s="28"/>
      <c r="Y25" s="56" t="e">
        <f t="shared" si="6"/>
        <v>#DIV/0!</v>
      </c>
      <c r="Z25" s="48" t="e">
        <f t="shared" si="0"/>
        <v>#DIV/0!</v>
      </c>
      <c r="AA25" s="41" t="e">
        <f t="shared" si="7"/>
        <v>#DIV/0!</v>
      </c>
      <c r="AB25" s="61"/>
      <c r="AC25" s="51">
        <f t="shared" si="11"/>
        <v>0</v>
      </c>
      <c r="AD25" s="65" t="e">
        <f t="shared" si="12"/>
        <v>#DIV/0!</v>
      </c>
      <c r="AE25" s="162" t="e">
        <f t="shared" si="10"/>
        <v>#DIV/0!</v>
      </c>
    </row>
    <row r="26" spans="2:31" ht="15.75" customHeight="1" x14ac:dyDescent="0.3">
      <c r="B26" s="35">
        <v>17</v>
      </c>
      <c r="C26" s="197" t="s">
        <v>114</v>
      </c>
      <c r="D26" s="45"/>
      <c r="E26" s="38"/>
      <c r="F26" s="59">
        <v>14</v>
      </c>
      <c r="G26" s="27">
        <v>9</v>
      </c>
      <c r="H26" s="27"/>
      <c r="I26" s="32">
        <v>15</v>
      </c>
      <c r="J26" s="28"/>
      <c r="K26" s="56">
        <f t="shared" si="1"/>
        <v>12.666666666666666</v>
      </c>
      <c r="L26" s="166" t="str">
        <f t="shared" si="2"/>
        <v>TRANSITA</v>
      </c>
      <c r="M26" s="59">
        <v>16</v>
      </c>
      <c r="N26" s="27">
        <v>8</v>
      </c>
      <c r="O26" s="27"/>
      <c r="P26" s="32">
        <v>6</v>
      </c>
      <c r="Q26" s="28"/>
      <c r="R26" s="56">
        <f t="shared" si="3"/>
        <v>10</v>
      </c>
      <c r="S26" s="166" t="str">
        <f t="shared" si="4"/>
        <v>TRANSITA</v>
      </c>
      <c r="T26" s="58"/>
      <c r="U26" s="31"/>
      <c r="V26" s="27"/>
      <c r="W26" s="32" t="e">
        <f t="shared" si="5"/>
        <v>#DIV/0!</v>
      </c>
      <c r="X26" s="28"/>
      <c r="Y26" s="56" t="e">
        <f t="shared" si="6"/>
        <v>#DIV/0!</v>
      </c>
      <c r="Z26" s="48" t="e">
        <f t="shared" si="0"/>
        <v>#DIV/0!</v>
      </c>
      <c r="AA26" s="41" t="e">
        <f t="shared" si="7"/>
        <v>#DIV/0!</v>
      </c>
      <c r="AB26" s="61"/>
      <c r="AC26" s="51">
        <f t="shared" ref="AC26:AC39" si="26">AB26*0.6</f>
        <v>0</v>
      </c>
      <c r="AD26" s="65" t="e">
        <f t="shared" ref="AD26:AD39" si="27">AVERAGE(AA26+AC26)</f>
        <v>#DIV/0!</v>
      </c>
      <c r="AE26" s="162" t="e">
        <f t="shared" si="10"/>
        <v>#DIV/0!</v>
      </c>
    </row>
    <row r="27" spans="2:31" ht="15.75" customHeight="1" x14ac:dyDescent="0.3">
      <c r="B27" s="35">
        <v>18</v>
      </c>
      <c r="C27" s="197" t="s">
        <v>115</v>
      </c>
      <c r="D27" s="45"/>
      <c r="E27" s="38"/>
      <c r="F27" s="59">
        <v>12</v>
      </c>
      <c r="G27" s="27">
        <v>7</v>
      </c>
      <c r="H27" s="27"/>
      <c r="I27" s="32">
        <v>13</v>
      </c>
      <c r="J27" s="28"/>
      <c r="K27" s="56">
        <f t="shared" si="1"/>
        <v>10.666666666666666</v>
      </c>
      <c r="L27" s="166" t="str">
        <f t="shared" si="2"/>
        <v>TRANSITA</v>
      </c>
      <c r="M27" s="59">
        <v>16</v>
      </c>
      <c r="N27" s="27">
        <v>2</v>
      </c>
      <c r="O27" s="27"/>
      <c r="P27" s="32">
        <v>8</v>
      </c>
      <c r="Q27" s="28"/>
      <c r="R27" s="56">
        <f t="shared" si="3"/>
        <v>8.6666666666666661</v>
      </c>
      <c r="S27" s="166" t="str">
        <f t="shared" si="4"/>
        <v>N/TRANSITA</v>
      </c>
      <c r="T27" s="58"/>
      <c r="U27" s="31"/>
      <c r="V27" s="27"/>
      <c r="W27" s="32" t="e">
        <f t="shared" si="5"/>
        <v>#DIV/0!</v>
      </c>
      <c r="X27" s="28"/>
      <c r="Y27" s="56" t="e">
        <f t="shared" si="6"/>
        <v>#DIV/0!</v>
      </c>
      <c r="Z27" s="48" t="e">
        <f t="shared" si="0"/>
        <v>#DIV/0!</v>
      </c>
      <c r="AA27" s="41" t="e">
        <f t="shared" si="7"/>
        <v>#DIV/0!</v>
      </c>
      <c r="AB27" s="61"/>
      <c r="AC27" s="51">
        <f t="shared" si="26"/>
        <v>0</v>
      </c>
      <c r="AD27" s="65" t="e">
        <f t="shared" si="27"/>
        <v>#DIV/0!</v>
      </c>
      <c r="AE27" s="162" t="e">
        <f t="shared" si="10"/>
        <v>#DIV/0!</v>
      </c>
    </row>
    <row r="28" spans="2:31" ht="15.75" customHeight="1" x14ac:dyDescent="0.3">
      <c r="B28" s="35">
        <v>19</v>
      </c>
      <c r="C28" s="197" t="s">
        <v>116</v>
      </c>
      <c r="D28" s="45"/>
      <c r="E28" s="38"/>
      <c r="F28" s="59">
        <v>14</v>
      </c>
      <c r="G28" s="27">
        <v>9</v>
      </c>
      <c r="H28" s="27"/>
      <c r="I28" s="32">
        <v>15</v>
      </c>
      <c r="J28" s="28"/>
      <c r="K28" s="56">
        <f t="shared" si="1"/>
        <v>12.666666666666666</v>
      </c>
      <c r="L28" s="166" t="str">
        <f t="shared" si="2"/>
        <v>TRANSITA</v>
      </c>
      <c r="M28" s="59">
        <v>16</v>
      </c>
      <c r="N28" s="27">
        <v>6</v>
      </c>
      <c r="O28" s="27"/>
      <c r="P28" s="32">
        <v>8</v>
      </c>
      <c r="Q28" s="28"/>
      <c r="R28" s="56">
        <f t="shared" si="3"/>
        <v>10</v>
      </c>
      <c r="S28" s="166" t="str">
        <f t="shared" si="4"/>
        <v>TRANSITA</v>
      </c>
      <c r="T28" s="58"/>
      <c r="U28" s="31"/>
      <c r="V28" s="27"/>
      <c r="W28" s="32" t="e">
        <f t="shared" si="5"/>
        <v>#DIV/0!</v>
      </c>
      <c r="X28" s="28"/>
      <c r="Y28" s="56" t="e">
        <f t="shared" si="6"/>
        <v>#DIV/0!</v>
      </c>
      <c r="Z28" s="48" t="e">
        <f t="shared" si="0"/>
        <v>#DIV/0!</v>
      </c>
      <c r="AA28" s="41" t="e">
        <f t="shared" si="7"/>
        <v>#DIV/0!</v>
      </c>
      <c r="AB28" s="61"/>
      <c r="AC28" s="51">
        <f t="shared" ref="AC28:AC29" si="28">AB28*0.6</f>
        <v>0</v>
      </c>
      <c r="AD28" s="65" t="e">
        <f t="shared" ref="AD28:AD29" si="29">AVERAGE(AA28+AC28)</f>
        <v>#DIV/0!</v>
      </c>
      <c r="AE28" s="162" t="e">
        <f t="shared" si="10"/>
        <v>#DIV/0!</v>
      </c>
    </row>
    <row r="29" spans="2:31" ht="15.75" customHeight="1" x14ac:dyDescent="0.3">
      <c r="B29" s="35">
        <v>20</v>
      </c>
      <c r="C29" s="197" t="s">
        <v>117</v>
      </c>
      <c r="D29" s="45"/>
      <c r="E29" s="38"/>
      <c r="F29" s="59">
        <v>0</v>
      </c>
      <c r="G29" s="27">
        <v>0</v>
      </c>
      <c r="H29" s="27"/>
      <c r="I29" s="32">
        <v>0</v>
      </c>
      <c r="J29" s="28"/>
      <c r="K29" s="56">
        <f t="shared" si="1"/>
        <v>0</v>
      </c>
      <c r="L29" s="166" t="str">
        <f t="shared" si="2"/>
        <v>N/TRANSITA</v>
      </c>
      <c r="M29" s="59">
        <v>0</v>
      </c>
      <c r="N29" s="27">
        <v>0</v>
      </c>
      <c r="O29" s="27"/>
      <c r="P29" s="32">
        <v>0</v>
      </c>
      <c r="Q29" s="28"/>
      <c r="R29" s="56">
        <f t="shared" si="3"/>
        <v>0</v>
      </c>
      <c r="S29" s="166" t="str">
        <f t="shared" si="4"/>
        <v>N/TRANSITA</v>
      </c>
      <c r="T29" s="58"/>
      <c r="U29" s="31"/>
      <c r="V29" s="27"/>
      <c r="W29" s="32" t="e">
        <f t="shared" si="5"/>
        <v>#DIV/0!</v>
      </c>
      <c r="X29" s="28"/>
      <c r="Y29" s="56" t="e">
        <f t="shared" si="6"/>
        <v>#DIV/0!</v>
      </c>
      <c r="Z29" s="48" t="e">
        <f t="shared" si="0"/>
        <v>#DIV/0!</v>
      </c>
      <c r="AA29" s="41" t="e">
        <f t="shared" si="7"/>
        <v>#DIV/0!</v>
      </c>
      <c r="AB29" s="61"/>
      <c r="AC29" s="51">
        <f t="shared" si="28"/>
        <v>0</v>
      </c>
      <c r="AD29" s="65" t="e">
        <f t="shared" si="29"/>
        <v>#DIV/0!</v>
      </c>
      <c r="AE29" s="162" t="e">
        <f t="shared" si="10"/>
        <v>#DIV/0!</v>
      </c>
    </row>
    <row r="30" spans="2:31" ht="15.75" customHeight="1" x14ac:dyDescent="0.3">
      <c r="B30" s="35">
        <v>21</v>
      </c>
      <c r="C30" s="197" t="s">
        <v>118</v>
      </c>
      <c r="D30" s="45"/>
      <c r="E30" s="38"/>
      <c r="F30" s="156">
        <v>14</v>
      </c>
      <c r="G30" s="155">
        <v>9</v>
      </c>
      <c r="H30" s="155"/>
      <c r="I30" s="157">
        <v>10</v>
      </c>
      <c r="J30" s="158"/>
      <c r="K30" s="56">
        <f t="shared" si="1"/>
        <v>11</v>
      </c>
      <c r="L30" s="166" t="str">
        <f t="shared" si="2"/>
        <v>TRANSITA</v>
      </c>
      <c r="M30" s="156">
        <v>16</v>
      </c>
      <c r="N30" s="155">
        <v>4</v>
      </c>
      <c r="O30" s="155"/>
      <c r="P30" s="157">
        <v>10</v>
      </c>
      <c r="Q30" s="158"/>
      <c r="R30" s="56">
        <f t="shared" si="3"/>
        <v>10</v>
      </c>
      <c r="S30" s="166" t="str">
        <f t="shared" si="4"/>
        <v>TRANSITA</v>
      </c>
      <c r="T30" s="58"/>
      <c r="U30" s="31"/>
      <c r="V30" s="155"/>
      <c r="W30" s="32" t="e">
        <f t="shared" si="5"/>
        <v>#DIV/0!</v>
      </c>
      <c r="X30" s="158"/>
      <c r="Y30" s="56" t="e">
        <f t="shared" si="6"/>
        <v>#DIV/0!</v>
      </c>
      <c r="Z30" s="48" t="e">
        <f t="shared" si="0"/>
        <v>#DIV/0!</v>
      </c>
      <c r="AA30" s="41" t="e">
        <f t="shared" si="7"/>
        <v>#DIV/0!</v>
      </c>
      <c r="AB30" s="61"/>
      <c r="AC30" s="51">
        <f t="shared" ref="AC30" si="30">AB30*0.6</f>
        <v>0</v>
      </c>
      <c r="AD30" s="65" t="e">
        <f t="shared" ref="AD30" si="31">AVERAGE(AA30+AC30)</f>
        <v>#DIV/0!</v>
      </c>
      <c r="AE30" s="162" t="e">
        <f t="shared" si="10"/>
        <v>#DIV/0!</v>
      </c>
    </row>
    <row r="31" spans="2:31" ht="15.75" customHeight="1" x14ac:dyDescent="0.3">
      <c r="B31" s="35">
        <v>22</v>
      </c>
      <c r="C31" s="197" t="s">
        <v>119</v>
      </c>
      <c r="D31" s="45"/>
      <c r="E31" s="38"/>
      <c r="F31" s="59">
        <v>14</v>
      </c>
      <c r="G31" s="27">
        <v>8</v>
      </c>
      <c r="H31" s="27"/>
      <c r="I31" s="32">
        <v>8</v>
      </c>
      <c r="J31" s="28"/>
      <c r="K31" s="56">
        <f t="shared" si="1"/>
        <v>10</v>
      </c>
      <c r="L31" s="166" t="str">
        <f t="shared" si="2"/>
        <v>TRANSITA</v>
      </c>
      <c r="M31" s="59">
        <v>16</v>
      </c>
      <c r="N31" s="27">
        <v>6</v>
      </c>
      <c r="O31" s="27"/>
      <c r="P31" s="32">
        <v>10</v>
      </c>
      <c r="Q31" s="28"/>
      <c r="R31" s="56">
        <f t="shared" si="3"/>
        <v>10.666666666666666</v>
      </c>
      <c r="S31" s="166" t="str">
        <f t="shared" si="4"/>
        <v>TRANSITA</v>
      </c>
      <c r="T31" s="58"/>
      <c r="U31" s="31"/>
      <c r="V31" s="27"/>
      <c r="W31" s="32" t="e">
        <f t="shared" si="5"/>
        <v>#DIV/0!</v>
      </c>
      <c r="X31" s="28"/>
      <c r="Y31" s="56" t="e">
        <f t="shared" si="6"/>
        <v>#DIV/0!</v>
      </c>
      <c r="Z31" s="48" t="e">
        <f t="shared" si="0"/>
        <v>#DIV/0!</v>
      </c>
      <c r="AA31" s="41" t="e">
        <f t="shared" si="7"/>
        <v>#DIV/0!</v>
      </c>
      <c r="AB31" s="61"/>
      <c r="AC31" s="51">
        <f t="shared" si="26"/>
        <v>0</v>
      </c>
      <c r="AD31" s="65" t="e">
        <f t="shared" si="27"/>
        <v>#DIV/0!</v>
      </c>
      <c r="AE31" s="162" t="e">
        <f t="shared" si="10"/>
        <v>#DIV/0!</v>
      </c>
    </row>
    <row r="32" spans="2:31" ht="15.75" customHeight="1" x14ac:dyDescent="0.3">
      <c r="B32" s="35">
        <v>23</v>
      </c>
      <c r="C32" s="197" t="s">
        <v>120</v>
      </c>
      <c r="D32" s="45"/>
      <c r="E32" s="38"/>
      <c r="F32" s="59">
        <v>14</v>
      </c>
      <c r="G32" s="27">
        <v>9</v>
      </c>
      <c r="H32" s="27"/>
      <c r="I32" s="32">
        <v>15</v>
      </c>
      <c r="J32" s="28"/>
      <c r="K32" s="56">
        <f t="shared" si="1"/>
        <v>12.666666666666666</v>
      </c>
      <c r="L32" s="166" t="str">
        <f t="shared" si="2"/>
        <v>TRANSITA</v>
      </c>
      <c r="M32" s="59"/>
      <c r="N32" s="27">
        <v>9</v>
      </c>
      <c r="O32" s="27"/>
      <c r="P32" s="32">
        <v>12</v>
      </c>
      <c r="Q32" s="28"/>
      <c r="R32" s="56">
        <f t="shared" si="3"/>
        <v>10.5</v>
      </c>
      <c r="S32" s="166" t="str">
        <f t="shared" si="4"/>
        <v>TRANSITA</v>
      </c>
      <c r="T32" s="58"/>
      <c r="U32" s="31"/>
      <c r="V32" s="27"/>
      <c r="W32" s="32" t="e">
        <f t="shared" si="5"/>
        <v>#DIV/0!</v>
      </c>
      <c r="X32" s="28"/>
      <c r="Y32" s="56" t="e">
        <f t="shared" si="6"/>
        <v>#DIV/0!</v>
      </c>
      <c r="Z32" s="48" t="e">
        <f t="shared" si="0"/>
        <v>#DIV/0!</v>
      </c>
      <c r="AA32" s="41" t="e">
        <f t="shared" si="7"/>
        <v>#DIV/0!</v>
      </c>
      <c r="AB32" s="61"/>
      <c r="AC32" s="51">
        <f t="shared" si="26"/>
        <v>0</v>
      </c>
      <c r="AD32" s="65" t="e">
        <f t="shared" si="27"/>
        <v>#DIV/0!</v>
      </c>
      <c r="AE32" s="162" t="e">
        <f t="shared" si="10"/>
        <v>#DIV/0!</v>
      </c>
    </row>
    <row r="33" spans="2:31" ht="15.75" customHeight="1" x14ac:dyDescent="0.3">
      <c r="B33" s="35">
        <v>24</v>
      </c>
      <c r="C33" s="197" t="s">
        <v>121</v>
      </c>
      <c r="D33" s="45"/>
      <c r="E33" s="38"/>
      <c r="F33" s="59"/>
      <c r="G33" s="27">
        <v>0</v>
      </c>
      <c r="H33" s="27"/>
      <c r="I33" s="32">
        <v>6</v>
      </c>
      <c r="J33" s="28"/>
      <c r="K33" s="56">
        <f t="shared" si="1"/>
        <v>3</v>
      </c>
      <c r="L33" s="166" t="str">
        <f t="shared" si="2"/>
        <v>N/TRANSITA</v>
      </c>
      <c r="M33" s="59"/>
      <c r="N33" s="27">
        <v>2</v>
      </c>
      <c r="O33" s="27"/>
      <c r="P33" s="32">
        <v>6</v>
      </c>
      <c r="Q33" s="28"/>
      <c r="R33" s="56">
        <f t="shared" si="3"/>
        <v>4</v>
      </c>
      <c r="S33" s="166" t="str">
        <f t="shared" si="4"/>
        <v>N/TRANSITA</v>
      </c>
      <c r="T33" s="58"/>
      <c r="U33" s="31"/>
      <c r="V33" s="27"/>
      <c r="W33" s="32" t="e">
        <f t="shared" si="5"/>
        <v>#DIV/0!</v>
      </c>
      <c r="X33" s="28"/>
      <c r="Y33" s="56" t="e">
        <f t="shared" si="6"/>
        <v>#DIV/0!</v>
      </c>
      <c r="Z33" s="48" t="e">
        <f t="shared" si="0"/>
        <v>#DIV/0!</v>
      </c>
      <c r="AA33" s="41" t="e">
        <f t="shared" si="7"/>
        <v>#DIV/0!</v>
      </c>
      <c r="AB33" s="61"/>
      <c r="AC33" s="51">
        <f t="shared" si="26"/>
        <v>0</v>
      </c>
      <c r="AD33" s="65" t="e">
        <f t="shared" si="27"/>
        <v>#DIV/0!</v>
      </c>
      <c r="AE33" s="162" t="e">
        <f t="shared" si="10"/>
        <v>#DIV/0!</v>
      </c>
    </row>
    <row r="34" spans="2:31" ht="15.75" customHeight="1" x14ac:dyDescent="0.3">
      <c r="B34" s="35">
        <v>25</v>
      </c>
      <c r="C34" s="197" t="s">
        <v>122</v>
      </c>
      <c r="D34" s="45"/>
      <c r="E34" s="38"/>
      <c r="F34" s="59">
        <v>14</v>
      </c>
      <c r="G34" s="27">
        <v>9</v>
      </c>
      <c r="H34" s="27"/>
      <c r="I34" s="32">
        <v>10</v>
      </c>
      <c r="J34" s="28"/>
      <c r="K34" s="56">
        <f t="shared" si="1"/>
        <v>11</v>
      </c>
      <c r="L34" s="166" t="str">
        <f t="shared" si="2"/>
        <v>TRANSITA</v>
      </c>
      <c r="M34" s="59">
        <v>16</v>
      </c>
      <c r="N34" s="27">
        <v>14</v>
      </c>
      <c r="O34" s="27"/>
      <c r="P34" s="32">
        <v>10</v>
      </c>
      <c r="Q34" s="28"/>
      <c r="R34" s="56">
        <f t="shared" si="3"/>
        <v>13.333333333333334</v>
      </c>
      <c r="S34" s="166" t="str">
        <f t="shared" si="4"/>
        <v>TRANSITA</v>
      </c>
      <c r="T34" s="58"/>
      <c r="U34" s="31"/>
      <c r="V34" s="27"/>
      <c r="W34" s="32" t="e">
        <f t="shared" si="5"/>
        <v>#DIV/0!</v>
      </c>
      <c r="X34" s="28"/>
      <c r="Y34" s="56" t="e">
        <f t="shared" si="6"/>
        <v>#DIV/0!</v>
      </c>
      <c r="Z34" s="48" t="e">
        <f t="shared" si="0"/>
        <v>#DIV/0!</v>
      </c>
      <c r="AA34" s="41" t="e">
        <f t="shared" si="7"/>
        <v>#DIV/0!</v>
      </c>
      <c r="AB34" s="61"/>
      <c r="AC34" s="51">
        <f t="shared" si="26"/>
        <v>0</v>
      </c>
      <c r="AD34" s="65" t="e">
        <f t="shared" si="27"/>
        <v>#DIV/0!</v>
      </c>
      <c r="AE34" s="162" t="e">
        <f t="shared" si="10"/>
        <v>#DIV/0!</v>
      </c>
    </row>
    <row r="35" spans="2:31" ht="15.75" customHeight="1" x14ac:dyDescent="0.3">
      <c r="B35" s="35">
        <v>26</v>
      </c>
      <c r="C35" s="197" t="s">
        <v>123</v>
      </c>
      <c r="D35" s="45"/>
      <c r="E35" s="38"/>
      <c r="F35" s="59">
        <v>14</v>
      </c>
      <c r="G35" s="27">
        <v>0</v>
      </c>
      <c r="H35" s="27"/>
      <c r="I35" s="32">
        <v>0</v>
      </c>
      <c r="J35" s="28"/>
      <c r="K35" s="56">
        <f t="shared" si="1"/>
        <v>4.666666666666667</v>
      </c>
      <c r="L35" s="166" t="str">
        <f t="shared" si="2"/>
        <v>N/TRANSITA</v>
      </c>
      <c r="M35" s="59">
        <v>16</v>
      </c>
      <c r="N35" s="27">
        <v>3</v>
      </c>
      <c r="O35" s="27"/>
      <c r="P35" s="32">
        <v>6</v>
      </c>
      <c r="Q35" s="28"/>
      <c r="R35" s="56">
        <f t="shared" si="3"/>
        <v>8.3333333333333339</v>
      </c>
      <c r="S35" s="166" t="str">
        <f t="shared" si="4"/>
        <v>N/TRANSITA</v>
      </c>
      <c r="T35" s="58"/>
      <c r="U35" s="31"/>
      <c r="V35" s="27"/>
      <c r="W35" s="32" t="e">
        <f t="shared" si="5"/>
        <v>#DIV/0!</v>
      </c>
      <c r="X35" s="28"/>
      <c r="Y35" s="56" t="e">
        <f t="shared" si="6"/>
        <v>#DIV/0!</v>
      </c>
      <c r="Z35" s="48" t="e">
        <f t="shared" si="0"/>
        <v>#DIV/0!</v>
      </c>
      <c r="AA35" s="41" t="e">
        <f t="shared" si="7"/>
        <v>#DIV/0!</v>
      </c>
      <c r="AB35" s="61"/>
      <c r="AC35" s="51">
        <f t="shared" si="26"/>
        <v>0</v>
      </c>
      <c r="AD35" s="65" t="e">
        <f t="shared" si="27"/>
        <v>#DIV/0!</v>
      </c>
      <c r="AE35" s="162" t="e">
        <f t="shared" si="10"/>
        <v>#DIV/0!</v>
      </c>
    </row>
    <row r="36" spans="2:31" ht="15.75" customHeight="1" x14ac:dyDescent="0.3">
      <c r="B36" s="35">
        <v>27</v>
      </c>
      <c r="C36" s="197" t="s">
        <v>124</v>
      </c>
      <c r="D36" s="45"/>
      <c r="E36" s="38"/>
      <c r="F36" s="59">
        <v>0</v>
      </c>
      <c r="G36" s="27">
        <v>0</v>
      </c>
      <c r="H36" s="27"/>
      <c r="I36" s="32">
        <v>11</v>
      </c>
      <c r="J36" s="28"/>
      <c r="K36" s="56">
        <f t="shared" si="1"/>
        <v>3.6666666666666665</v>
      </c>
      <c r="L36" s="166" t="str">
        <f t="shared" si="2"/>
        <v>N/TRANSITA</v>
      </c>
      <c r="M36" s="59">
        <v>16</v>
      </c>
      <c r="N36" s="27">
        <v>2</v>
      </c>
      <c r="O36" s="27"/>
      <c r="P36" s="32">
        <v>7</v>
      </c>
      <c r="Q36" s="28"/>
      <c r="R36" s="56">
        <f t="shared" si="3"/>
        <v>8.3333333333333339</v>
      </c>
      <c r="S36" s="166" t="str">
        <f t="shared" si="4"/>
        <v>N/TRANSITA</v>
      </c>
      <c r="T36" s="58"/>
      <c r="U36" s="31"/>
      <c r="V36" s="27"/>
      <c r="W36" s="32" t="e">
        <f t="shared" si="5"/>
        <v>#DIV/0!</v>
      </c>
      <c r="X36" s="28"/>
      <c r="Y36" s="56" t="e">
        <f t="shared" si="6"/>
        <v>#DIV/0!</v>
      </c>
      <c r="Z36" s="48" t="e">
        <f t="shared" si="0"/>
        <v>#DIV/0!</v>
      </c>
      <c r="AA36" s="41" t="e">
        <f t="shared" si="7"/>
        <v>#DIV/0!</v>
      </c>
      <c r="AB36" s="61"/>
      <c r="AC36" s="51">
        <f t="shared" si="26"/>
        <v>0</v>
      </c>
      <c r="AD36" s="65" t="e">
        <f t="shared" si="27"/>
        <v>#DIV/0!</v>
      </c>
      <c r="AE36" s="162" t="e">
        <f t="shared" si="10"/>
        <v>#DIV/0!</v>
      </c>
    </row>
    <row r="37" spans="2:31" ht="15.75" customHeight="1" x14ac:dyDescent="0.3">
      <c r="B37" s="35">
        <v>28</v>
      </c>
      <c r="C37" s="197" t="s">
        <v>125</v>
      </c>
      <c r="D37" s="45"/>
      <c r="E37" s="38"/>
      <c r="F37" s="149">
        <v>14</v>
      </c>
      <c r="G37" s="148">
        <v>7</v>
      </c>
      <c r="H37" s="148"/>
      <c r="I37" s="150">
        <v>11</v>
      </c>
      <c r="J37" s="151"/>
      <c r="K37" s="56">
        <f t="shared" si="1"/>
        <v>10.666666666666666</v>
      </c>
      <c r="L37" s="166" t="str">
        <f t="shared" si="2"/>
        <v>TRANSITA</v>
      </c>
      <c r="M37" s="149">
        <v>16</v>
      </c>
      <c r="N37" s="148">
        <v>2</v>
      </c>
      <c r="O37" s="148"/>
      <c r="P37" s="150">
        <v>12</v>
      </c>
      <c r="Q37" s="151"/>
      <c r="R37" s="56">
        <f t="shared" si="3"/>
        <v>10</v>
      </c>
      <c r="S37" s="166" t="str">
        <f t="shared" si="4"/>
        <v>TRANSITA</v>
      </c>
      <c r="T37" s="58"/>
      <c r="U37" s="31"/>
      <c r="V37" s="148"/>
      <c r="W37" s="32" t="e">
        <f t="shared" si="5"/>
        <v>#DIV/0!</v>
      </c>
      <c r="X37" s="151"/>
      <c r="Y37" s="56" t="e">
        <f t="shared" si="6"/>
        <v>#DIV/0!</v>
      </c>
      <c r="Z37" s="48" t="e">
        <f t="shared" si="0"/>
        <v>#DIV/0!</v>
      </c>
      <c r="AA37" s="41" t="e">
        <f t="shared" si="7"/>
        <v>#DIV/0!</v>
      </c>
      <c r="AB37" s="61"/>
      <c r="AC37" s="51">
        <f t="shared" si="26"/>
        <v>0</v>
      </c>
      <c r="AD37" s="65" t="e">
        <f t="shared" si="27"/>
        <v>#DIV/0!</v>
      </c>
      <c r="AE37" s="162" t="e">
        <f t="shared" si="10"/>
        <v>#DIV/0!</v>
      </c>
    </row>
    <row r="38" spans="2:31" ht="15.75" customHeight="1" x14ac:dyDescent="0.3">
      <c r="B38" s="35">
        <v>29</v>
      </c>
      <c r="C38" s="197" t="s">
        <v>126</v>
      </c>
      <c r="D38" s="45"/>
      <c r="E38" s="38"/>
      <c r="F38" s="59"/>
      <c r="G38" s="27">
        <v>6</v>
      </c>
      <c r="H38" s="27"/>
      <c r="I38" s="32">
        <v>6</v>
      </c>
      <c r="J38" s="28"/>
      <c r="K38" s="56">
        <f t="shared" si="1"/>
        <v>6</v>
      </c>
      <c r="L38" s="166" t="str">
        <f t="shared" si="2"/>
        <v>N/TRANSITA</v>
      </c>
      <c r="M38" s="59"/>
      <c r="N38" s="27">
        <v>2</v>
      </c>
      <c r="O38" s="27"/>
      <c r="P38" s="32">
        <v>10</v>
      </c>
      <c r="Q38" s="28"/>
      <c r="R38" s="56">
        <f t="shared" si="3"/>
        <v>6</v>
      </c>
      <c r="S38" s="166" t="str">
        <f t="shared" si="4"/>
        <v>N/TRANSITA</v>
      </c>
      <c r="T38" s="58"/>
      <c r="U38" s="31"/>
      <c r="V38" s="27"/>
      <c r="W38" s="32" t="e">
        <f t="shared" si="5"/>
        <v>#DIV/0!</v>
      </c>
      <c r="X38" s="28"/>
      <c r="Y38" s="56" t="e">
        <f t="shared" si="6"/>
        <v>#DIV/0!</v>
      </c>
      <c r="Z38" s="48" t="e">
        <f t="shared" si="0"/>
        <v>#DIV/0!</v>
      </c>
      <c r="AA38" s="41" t="e">
        <f t="shared" si="7"/>
        <v>#DIV/0!</v>
      </c>
      <c r="AB38" s="61"/>
      <c r="AC38" s="51">
        <f t="shared" si="26"/>
        <v>0</v>
      </c>
      <c r="AD38" s="65" t="e">
        <f t="shared" si="27"/>
        <v>#DIV/0!</v>
      </c>
      <c r="AE38" s="162" t="e">
        <f t="shared" si="10"/>
        <v>#DIV/0!</v>
      </c>
    </row>
    <row r="39" spans="2:31" ht="15.75" customHeight="1" x14ac:dyDescent="0.3">
      <c r="B39" s="35">
        <v>30</v>
      </c>
      <c r="C39" s="197" t="s">
        <v>127</v>
      </c>
      <c r="D39" s="45"/>
      <c r="E39" s="38"/>
      <c r="F39" s="59">
        <v>14</v>
      </c>
      <c r="G39" s="27">
        <v>9</v>
      </c>
      <c r="H39" s="27"/>
      <c r="I39" s="32">
        <v>10</v>
      </c>
      <c r="J39" s="28"/>
      <c r="K39" s="56">
        <f t="shared" si="1"/>
        <v>11</v>
      </c>
      <c r="L39" s="166" t="str">
        <f t="shared" si="2"/>
        <v>TRANSITA</v>
      </c>
      <c r="M39" s="59">
        <v>16</v>
      </c>
      <c r="N39" s="27">
        <v>6</v>
      </c>
      <c r="O39" s="27"/>
      <c r="P39" s="32">
        <v>11</v>
      </c>
      <c r="Q39" s="28"/>
      <c r="R39" s="56">
        <f t="shared" si="3"/>
        <v>11</v>
      </c>
      <c r="S39" s="166" t="str">
        <f t="shared" si="4"/>
        <v>TRANSITA</v>
      </c>
      <c r="T39" s="58"/>
      <c r="U39" s="31"/>
      <c r="V39" s="27"/>
      <c r="W39" s="32" t="e">
        <f t="shared" si="5"/>
        <v>#DIV/0!</v>
      </c>
      <c r="X39" s="28"/>
      <c r="Y39" s="56" t="e">
        <f t="shared" si="6"/>
        <v>#DIV/0!</v>
      </c>
      <c r="Z39" s="48" t="e">
        <f t="shared" si="0"/>
        <v>#DIV/0!</v>
      </c>
      <c r="AA39" s="41" t="e">
        <f t="shared" si="7"/>
        <v>#DIV/0!</v>
      </c>
      <c r="AB39" s="61"/>
      <c r="AC39" s="51">
        <f t="shared" si="26"/>
        <v>0</v>
      </c>
      <c r="AD39" s="65" t="e">
        <f t="shared" si="27"/>
        <v>#DIV/0!</v>
      </c>
      <c r="AE39" s="162" t="e">
        <f t="shared" si="10"/>
        <v>#DIV/0!</v>
      </c>
    </row>
    <row r="40" spans="2:31" ht="15.75" customHeight="1" x14ac:dyDescent="0.3">
      <c r="B40" s="35">
        <v>31</v>
      </c>
      <c r="C40" s="197" t="s">
        <v>128</v>
      </c>
      <c r="D40" s="45"/>
      <c r="E40" s="38"/>
      <c r="F40" s="59">
        <v>14</v>
      </c>
      <c r="G40" s="27">
        <v>9</v>
      </c>
      <c r="H40" s="27"/>
      <c r="I40" s="32">
        <v>15</v>
      </c>
      <c r="J40" s="28"/>
      <c r="K40" s="56">
        <f t="shared" si="1"/>
        <v>12.666666666666666</v>
      </c>
      <c r="L40" s="166" t="str">
        <f t="shared" si="2"/>
        <v>TRANSITA</v>
      </c>
      <c r="M40" s="59">
        <v>16</v>
      </c>
      <c r="N40" s="27">
        <v>2</v>
      </c>
      <c r="O40" s="27"/>
      <c r="P40" s="32">
        <v>8</v>
      </c>
      <c r="Q40" s="28"/>
      <c r="R40" s="56">
        <f t="shared" si="3"/>
        <v>8.6666666666666661</v>
      </c>
      <c r="S40" s="166" t="str">
        <f t="shared" si="4"/>
        <v>N/TRANSITA</v>
      </c>
      <c r="T40" s="58"/>
      <c r="U40" s="31"/>
      <c r="V40" s="27"/>
      <c r="W40" s="32" t="e">
        <f t="shared" si="5"/>
        <v>#DIV/0!</v>
      </c>
      <c r="X40" s="28"/>
      <c r="Y40" s="56" t="e">
        <f t="shared" si="6"/>
        <v>#DIV/0!</v>
      </c>
      <c r="Z40" s="48" t="e">
        <f t="shared" si="0"/>
        <v>#DIV/0!</v>
      </c>
      <c r="AA40" s="41" t="e">
        <f t="shared" si="7"/>
        <v>#DIV/0!</v>
      </c>
      <c r="AB40" s="61"/>
      <c r="AC40" s="51">
        <f t="shared" si="11"/>
        <v>0</v>
      </c>
      <c r="AD40" s="65" t="e">
        <f t="shared" si="12"/>
        <v>#DIV/0!</v>
      </c>
      <c r="AE40" s="162" t="e">
        <f t="shared" si="10"/>
        <v>#DIV/0!</v>
      </c>
    </row>
    <row r="41" spans="2:31" ht="15.75" customHeight="1" x14ac:dyDescent="0.3">
      <c r="B41" s="35">
        <v>32</v>
      </c>
      <c r="C41" s="197" t="s">
        <v>142</v>
      </c>
      <c r="D41" s="45"/>
      <c r="E41" s="38"/>
      <c r="F41" s="59">
        <v>14</v>
      </c>
      <c r="G41" s="27">
        <v>9</v>
      </c>
      <c r="H41" s="27"/>
      <c r="I41" s="32">
        <v>13</v>
      </c>
      <c r="J41" s="28"/>
      <c r="K41" s="56">
        <f t="shared" si="1"/>
        <v>12</v>
      </c>
      <c r="L41" s="166" t="str">
        <f t="shared" si="2"/>
        <v>TRANSITA</v>
      </c>
      <c r="M41" s="59">
        <v>16</v>
      </c>
      <c r="N41" s="27">
        <v>10</v>
      </c>
      <c r="O41" s="27"/>
      <c r="P41" s="32">
        <v>7</v>
      </c>
      <c r="Q41" s="28"/>
      <c r="R41" s="56">
        <f t="shared" ref="R41" si="32">AVERAGE(M41,MAX(N41:O41),MAX(P41:Q41))</f>
        <v>11</v>
      </c>
      <c r="S41" s="166" t="str">
        <f t="shared" ref="S41" si="33">IF(R41&gt;=10,"TRANSITA","N/TRANSITA")</f>
        <v>TRANSITA</v>
      </c>
      <c r="T41" s="58"/>
      <c r="U41" s="31"/>
      <c r="V41" s="27"/>
      <c r="W41" s="32" t="e">
        <f t="shared" ref="W41" si="34">AVERAGE(T41:U41)</f>
        <v>#DIV/0!</v>
      </c>
      <c r="X41" s="28"/>
      <c r="Y41" s="56" t="e">
        <f t="shared" ref="Y41" si="35">AVERAGE(T41,MAX(U41:V41),MAX(W41:X41))</f>
        <v>#DIV/0!</v>
      </c>
      <c r="Z41" s="48" t="e">
        <f t="shared" ref="Z41" si="36">SUM(K41,R41,Y41)/3</f>
        <v>#DIV/0!</v>
      </c>
      <c r="AA41" s="41" t="e">
        <f t="shared" ref="AA41" si="37">Z41*0.4</f>
        <v>#DIV/0!</v>
      </c>
      <c r="AB41" s="61"/>
      <c r="AC41" s="51">
        <f t="shared" ref="AC41" si="38">AB41*0.6</f>
        <v>0</v>
      </c>
      <c r="AD41" s="65" t="e">
        <f t="shared" ref="AD41" si="39">AVERAGE(AA41+AC41)</f>
        <v>#DIV/0!</v>
      </c>
      <c r="AE41" s="162"/>
    </row>
    <row r="42" spans="2:31" ht="15.75" customHeight="1" x14ac:dyDescent="0.3">
      <c r="B42" s="35">
        <v>33</v>
      </c>
      <c r="C42" s="197" t="s">
        <v>129</v>
      </c>
      <c r="D42" s="45"/>
      <c r="E42" s="38"/>
      <c r="F42" s="59">
        <v>14</v>
      </c>
      <c r="G42" s="27">
        <v>8</v>
      </c>
      <c r="H42" s="27"/>
      <c r="I42" s="32">
        <v>9.25</v>
      </c>
      <c r="J42" s="28"/>
      <c r="K42" s="56">
        <f t="shared" si="1"/>
        <v>10.416666666666666</v>
      </c>
      <c r="L42" s="166" t="str">
        <f t="shared" si="2"/>
        <v>TRANSITA</v>
      </c>
      <c r="M42" s="59">
        <v>16</v>
      </c>
      <c r="N42" s="27">
        <v>2</v>
      </c>
      <c r="O42" s="27"/>
      <c r="P42" s="32">
        <v>7</v>
      </c>
      <c r="Q42" s="28"/>
      <c r="R42" s="56">
        <f t="shared" si="3"/>
        <v>8.3333333333333339</v>
      </c>
      <c r="S42" s="166" t="str">
        <f t="shared" si="4"/>
        <v>N/TRANSITA</v>
      </c>
      <c r="T42" s="58"/>
      <c r="U42" s="31"/>
      <c r="V42" s="27"/>
      <c r="W42" s="32" t="e">
        <f t="shared" si="5"/>
        <v>#DIV/0!</v>
      </c>
      <c r="X42" s="28"/>
      <c r="Y42" s="56" t="e">
        <f t="shared" si="6"/>
        <v>#DIV/0!</v>
      </c>
      <c r="Z42" s="48" t="e">
        <f t="shared" si="0"/>
        <v>#DIV/0!</v>
      </c>
      <c r="AA42" s="41" t="e">
        <f t="shared" si="7"/>
        <v>#DIV/0!</v>
      </c>
      <c r="AB42" s="61"/>
      <c r="AC42" s="51">
        <f t="shared" si="11"/>
        <v>0</v>
      </c>
      <c r="AD42" s="65" t="e">
        <f t="shared" si="12"/>
        <v>#DIV/0!</v>
      </c>
      <c r="AE42" s="162" t="e">
        <f t="shared" si="10"/>
        <v>#DIV/0!</v>
      </c>
    </row>
    <row r="43" spans="2:31" ht="15.75" customHeight="1" x14ac:dyDescent="0.3">
      <c r="B43" s="35">
        <v>34</v>
      </c>
      <c r="C43" s="197" t="s">
        <v>130</v>
      </c>
      <c r="D43" s="45"/>
      <c r="E43" s="38"/>
      <c r="F43" s="59">
        <v>14</v>
      </c>
      <c r="G43" s="27">
        <v>9</v>
      </c>
      <c r="H43" s="27"/>
      <c r="I43" s="32">
        <v>11</v>
      </c>
      <c r="J43" s="28"/>
      <c r="K43" s="56">
        <f t="shared" si="1"/>
        <v>11.333333333333334</v>
      </c>
      <c r="L43" s="166" t="str">
        <f t="shared" si="2"/>
        <v>TRANSITA</v>
      </c>
      <c r="M43" s="59">
        <v>16</v>
      </c>
      <c r="N43" s="27">
        <v>2</v>
      </c>
      <c r="O43" s="27"/>
      <c r="P43" s="32">
        <v>7</v>
      </c>
      <c r="Q43" s="28"/>
      <c r="R43" s="56">
        <f t="shared" si="3"/>
        <v>8.3333333333333339</v>
      </c>
      <c r="S43" s="166" t="str">
        <f t="shared" si="4"/>
        <v>N/TRANSITA</v>
      </c>
      <c r="T43" s="58"/>
      <c r="U43" s="31"/>
      <c r="V43" s="27"/>
      <c r="W43" s="32" t="e">
        <f t="shared" si="5"/>
        <v>#DIV/0!</v>
      </c>
      <c r="X43" s="28"/>
      <c r="Y43" s="56" t="e">
        <f t="shared" si="6"/>
        <v>#DIV/0!</v>
      </c>
      <c r="Z43" s="48" t="e">
        <f t="shared" si="0"/>
        <v>#DIV/0!</v>
      </c>
      <c r="AA43" s="41" t="e">
        <f t="shared" si="7"/>
        <v>#DIV/0!</v>
      </c>
      <c r="AB43" s="61"/>
      <c r="AC43" s="51">
        <f t="shared" ref="AC43:AC44" si="40">AB43*0.6</f>
        <v>0</v>
      </c>
      <c r="AD43" s="65" t="e">
        <f t="shared" ref="AD43:AD44" si="41">AVERAGE(AA43+AC43)</f>
        <v>#DIV/0!</v>
      </c>
      <c r="AE43" s="162" t="e">
        <f t="shared" si="10"/>
        <v>#DIV/0!</v>
      </c>
    </row>
    <row r="44" spans="2:31" ht="15.75" customHeight="1" x14ac:dyDescent="0.3">
      <c r="B44" s="35">
        <v>35</v>
      </c>
      <c r="C44" s="197" t="s">
        <v>131</v>
      </c>
      <c r="D44" s="45"/>
      <c r="E44" s="38"/>
      <c r="F44" s="59">
        <v>14</v>
      </c>
      <c r="G44" s="27">
        <v>9</v>
      </c>
      <c r="H44" s="27"/>
      <c r="I44" s="32">
        <v>15.5</v>
      </c>
      <c r="J44" s="28"/>
      <c r="K44" s="56">
        <f t="shared" si="1"/>
        <v>12.833333333333334</v>
      </c>
      <c r="L44" s="166" t="str">
        <f t="shared" si="2"/>
        <v>TRANSITA</v>
      </c>
      <c r="M44" s="59">
        <v>16</v>
      </c>
      <c r="N44" s="27">
        <v>8</v>
      </c>
      <c r="O44" s="27"/>
      <c r="P44" s="32">
        <v>7</v>
      </c>
      <c r="Q44" s="28"/>
      <c r="R44" s="56">
        <f t="shared" si="3"/>
        <v>10.333333333333334</v>
      </c>
      <c r="S44" s="166" t="str">
        <f t="shared" si="4"/>
        <v>TRANSITA</v>
      </c>
      <c r="T44" s="58"/>
      <c r="U44" s="31"/>
      <c r="V44" s="27"/>
      <c r="W44" s="32" t="e">
        <f t="shared" si="5"/>
        <v>#DIV/0!</v>
      </c>
      <c r="X44" s="28"/>
      <c r="Y44" s="56" t="e">
        <f t="shared" si="6"/>
        <v>#DIV/0!</v>
      </c>
      <c r="Z44" s="48" t="e">
        <f t="shared" si="0"/>
        <v>#DIV/0!</v>
      </c>
      <c r="AA44" s="41" t="e">
        <f t="shared" si="7"/>
        <v>#DIV/0!</v>
      </c>
      <c r="AB44" s="61"/>
      <c r="AC44" s="51">
        <f t="shared" si="40"/>
        <v>0</v>
      </c>
      <c r="AD44" s="65" t="e">
        <f t="shared" si="41"/>
        <v>#DIV/0!</v>
      </c>
      <c r="AE44" s="162" t="e">
        <f t="shared" si="10"/>
        <v>#DIV/0!</v>
      </c>
    </row>
    <row r="45" spans="2:31" ht="15.75" customHeight="1" x14ac:dyDescent="0.3">
      <c r="B45" s="35">
        <v>36</v>
      </c>
      <c r="C45" s="197" t="s">
        <v>132</v>
      </c>
      <c r="D45" s="45"/>
      <c r="E45" s="38"/>
      <c r="F45" s="59">
        <v>14</v>
      </c>
      <c r="G45" s="27">
        <v>7</v>
      </c>
      <c r="H45" s="27"/>
      <c r="I45" s="32">
        <v>13</v>
      </c>
      <c r="J45" s="28"/>
      <c r="K45" s="56">
        <f t="shared" si="1"/>
        <v>11.333333333333334</v>
      </c>
      <c r="L45" s="166" t="str">
        <f t="shared" si="2"/>
        <v>TRANSITA</v>
      </c>
      <c r="M45" s="59">
        <v>16</v>
      </c>
      <c r="N45" s="27">
        <v>13</v>
      </c>
      <c r="O45" s="27"/>
      <c r="P45" s="32">
        <v>9</v>
      </c>
      <c r="Q45" s="28"/>
      <c r="R45" s="56">
        <f t="shared" si="3"/>
        <v>12.666666666666666</v>
      </c>
      <c r="S45" s="166" t="str">
        <f t="shared" si="4"/>
        <v>TRANSITA</v>
      </c>
      <c r="T45" s="58"/>
      <c r="U45" s="31"/>
      <c r="V45" s="27"/>
      <c r="W45" s="32" t="e">
        <f t="shared" si="5"/>
        <v>#DIV/0!</v>
      </c>
      <c r="X45" s="28"/>
      <c r="Y45" s="56" t="e">
        <f t="shared" si="6"/>
        <v>#DIV/0!</v>
      </c>
      <c r="Z45" s="48" t="e">
        <f t="shared" si="0"/>
        <v>#DIV/0!</v>
      </c>
      <c r="AA45" s="41" t="e">
        <f t="shared" si="7"/>
        <v>#DIV/0!</v>
      </c>
      <c r="AB45" s="61"/>
      <c r="AC45" s="51">
        <f t="shared" si="11"/>
        <v>0</v>
      </c>
      <c r="AD45" s="65" t="e">
        <f t="shared" si="12"/>
        <v>#DIV/0!</v>
      </c>
      <c r="AE45" s="162" t="e">
        <f t="shared" si="10"/>
        <v>#DIV/0!</v>
      </c>
    </row>
    <row r="46" spans="2:31" ht="15.75" customHeight="1" x14ac:dyDescent="0.3">
      <c r="B46" s="35">
        <v>37</v>
      </c>
      <c r="C46" s="197" t="s">
        <v>133</v>
      </c>
      <c r="D46" s="45"/>
      <c r="E46" s="38"/>
      <c r="F46" s="59">
        <v>14</v>
      </c>
      <c r="G46" s="27">
        <v>9</v>
      </c>
      <c r="H46" s="27"/>
      <c r="I46" s="32">
        <v>12</v>
      </c>
      <c r="J46" s="28"/>
      <c r="K46" s="56">
        <f t="shared" si="1"/>
        <v>11.666666666666666</v>
      </c>
      <c r="L46" s="166" t="str">
        <f t="shared" si="2"/>
        <v>TRANSITA</v>
      </c>
      <c r="M46" s="59">
        <v>16</v>
      </c>
      <c r="N46" s="27">
        <v>8</v>
      </c>
      <c r="O46" s="27"/>
      <c r="P46" s="32">
        <v>8</v>
      </c>
      <c r="Q46" s="28"/>
      <c r="R46" s="56">
        <f t="shared" si="3"/>
        <v>10.666666666666666</v>
      </c>
      <c r="S46" s="166" t="str">
        <f t="shared" si="4"/>
        <v>TRANSITA</v>
      </c>
      <c r="T46" s="58"/>
      <c r="U46" s="31"/>
      <c r="V46" s="27"/>
      <c r="W46" s="32" t="e">
        <f t="shared" si="5"/>
        <v>#DIV/0!</v>
      </c>
      <c r="X46" s="28"/>
      <c r="Y46" s="56" t="e">
        <f t="shared" si="6"/>
        <v>#DIV/0!</v>
      </c>
      <c r="Z46" s="48" t="e">
        <f t="shared" si="0"/>
        <v>#DIV/0!</v>
      </c>
      <c r="AA46" s="41" t="e">
        <f t="shared" si="7"/>
        <v>#DIV/0!</v>
      </c>
      <c r="AB46" s="61"/>
      <c r="AC46" s="51">
        <f t="shared" ref="AC46:AC51" si="42">AB46*0.6</f>
        <v>0</v>
      </c>
      <c r="AD46" s="65" t="e">
        <f t="shared" ref="AD46:AD51" si="43">AVERAGE(AA46+AC46)</f>
        <v>#DIV/0!</v>
      </c>
      <c r="AE46" s="162" t="e">
        <f t="shared" si="10"/>
        <v>#DIV/0!</v>
      </c>
    </row>
    <row r="47" spans="2:31" ht="15.75" customHeight="1" x14ac:dyDescent="0.3">
      <c r="B47" s="35">
        <v>38</v>
      </c>
      <c r="C47" s="197" t="s">
        <v>134</v>
      </c>
      <c r="D47" s="45"/>
      <c r="E47" s="38"/>
      <c r="F47" s="59">
        <v>14</v>
      </c>
      <c r="G47" s="27">
        <v>9</v>
      </c>
      <c r="H47" s="27"/>
      <c r="I47" s="32">
        <v>4</v>
      </c>
      <c r="J47" s="28"/>
      <c r="K47" s="56">
        <f t="shared" si="1"/>
        <v>9</v>
      </c>
      <c r="L47" s="166" t="str">
        <f t="shared" si="2"/>
        <v>N/TRANSITA</v>
      </c>
      <c r="M47" s="59"/>
      <c r="N47" s="27"/>
      <c r="O47" s="27"/>
      <c r="P47" s="32">
        <v>2</v>
      </c>
      <c r="Q47" s="28"/>
      <c r="R47" s="56">
        <f t="shared" si="3"/>
        <v>1</v>
      </c>
      <c r="S47" s="166" t="str">
        <f t="shared" si="4"/>
        <v>N/TRANSITA</v>
      </c>
      <c r="T47" s="58"/>
      <c r="U47" s="31"/>
      <c r="V47" s="27"/>
      <c r="W47" s="32" t="e">
        <f t="shared" si="5"/>
        <v>#DIV/0!</v>
      </c>
      <c r="X47" s="28"/>
      <c r="Y47" s="56" t="e">
        <f t="shared" si="6"/>
        <v>#DIV/0!</v>
      </c>
      <c r="Z47" s="48" t="e">
        <f t="shared" si="0"/>
        <v>#DIV/0!</v>
      </c>
      <c r="AA47" s="41" t="e">
        <f t="shared" si="7"/>
        <v>#DIV/0!</v>
      </c>
      <c r="AB47" s="61"/>
      <c r="AC47" s="51">
        <f t="shared" si="42"/>
        <v>0</v>
      </c>
      <c r="AD47" s="65" t="e">
        <f t="shared" si="43"/>
        <v>#DIV/0!</v>
      </c>
      <c r="AE47" s="162" t="e">
        <f t="shared" si="10"/>
        <v>#DIV/0!</v>
      </c>
    </row>
    <row r="48" spans="2:31" ht="15.75" customHeight="1" x14ac:dyDescent="0.3">
      <c r="B48" s="35">
        <v>39</v>
      </c>
      <c r="C48" s="197" t="s">
        <v>135</v>
      </c>
      <c r="D48" s="45"/>
      <c r="E48" s="38"/>
      <c r="F48" s="59">
        <v>14</v>
      </c>
      <c r="G48" s="27">
        <v>7</v>
      </c>
      <c r="H48" s="27"/>
      <c r="I48" s="32">
        <v>13</v>
      </c>
      <c r="J48" s="28"/>
      <c r="K48" s="56">
        <f t="shared" si="1"/>
        <v>11.333333333333334</v>
      </c>
      <c r="L48" s="166" t="str">
        <f t="shared" si="2"/>
        <v>TRANSITA</v>
      </c>
      <c r="M48" s="59">
        <v>16</v>
      </c>
      <c r="N48" s="27"/>
      <c r="O48" s="27"/>
      <c r="P48" s="32">
        <v>8</v>
      </c>
      <c r="Q48" s="28"/>
      <c r="R48" s="56">
        <f t="shared" si="3"/>
        <v>8</v>
      </c>
      <c r="S48" s="166" t="str">
        <f t="shared" si="4"/>
        <v>N/TRANSITA</v>
      </c>
      <c r="T48" s="58"/>
      <c r="U48" s="31"/>
      <c r="V48" s="27"/>
      <c r="W48" s="32" t="e">
        <f t="shared" si="5"/>
        <v>#DIV/0!</v>
      </c>
      <c r="X48" s="28"/>
      <c r="Y48" s="56" t="e">
        <f t="shared" si="6"/>
        <v>#DIV/0!</v>
      </c>
      <c r="Z48" s="48" t="e">
        <f t="shared" si="0"/>
        <v>#DIV/0!</v>
      </c>
      <c r="AA48" s="41" t="e">
        <f t="shared" si="7"/>
        <v>#DIV/0!</v>
      </c>
      <c r="AB48" s="61"/>
      <c r="AC48" s="51">
        <f t="shared" si="42"/>
        <v>0</v>
      </c>
      <c r="AD48" s="65" t="e">
        <f t="shared" si="43"/>
        <v>#DIV/0!</v>
      </c>
      <c r="AE48" s="162" t="e">
        <f t="shared" si="10"/>
        <v>#DIV/0!</v>
      </c>
    </row>
    <row r="49" spans="1:31" ht="15.75" customHeight="1" x14ac:dyDescent="0.3">
      <c r="B49" s="35">
        <v>40</v>
      </c>
      <c r="C49" s="197" t="s">
        <v>136</v>
      </c>
      <c r="D49" s="45">
        <v>0</v>
      </c>
      <c r="E49" s="38"/>
      <c r="F49" s="59">
        <v>14</v>
      </c>
      <c r="G49" s="27">
        <v>9</v>
      </c>
      <c r="H49" s="27"/>
      <c r="I49" s="32">
        <v>12</v>
      </c>
      <c r="J49" s="28"/>
      <c r="K49" s="56">
        <f t="shared" si="1"/>
        <v>11.666666666666666</v>
      </c>
      <c r="L49" s="166" t="str">
        <f t="shared" si="2"/>
        <v>TRANSITA</v>
      </c>
      <c r="M49" s="59">
        <v>16</v>
      </c>
      <c r="N49" s="27">
        <v>6</v>
      </c>
      <c r="O49" s="27"/>
      <c r="P49" s="32">
        <v>10</v>
      </c>
      <c r="Q49" s="28"/>
      <c r="R49" s="56">
        <f t="shared" si="3"/>
        <v>10.666666666666666</v>
      </c>
      <c r="S49" s="166" t="str">
        <f t="shared" si="4"/>
        <v>TRANSITA</v>
      </c>
      <c r="T49" s="58"/>
      <c r="U49" s="31"/>
      <c r="V49" s="27"/>
      <c r="W49" s="32" t="e">
        <f t="shared" si="5"/>
        <v>#DIV/0!</v>
      </c>
      <c r="X49" s="28"/>
      <c r="Y49" s="56" t="e">
        <f t="shared" si="6"/>
        <v>#DIV/0!</v>
      </c>
      <c r="Z49" s="48" t="e">
        <f t="shared" si="0"/>
        <v>#DIV/0!</v>
      </c>
      <c r="AA49" s="41" t="e">
        <f t="shared" si="7"/>
        <v>#DIV/0!</v>
      </c>
      <c r="AB49" s="61"/>
      <c r="AC49" s="51">
        <f t="shared" ref="AC49:AC50" si="44">AB49*0.6</f>
        <v>0</v>
      </c>
      <c r="AD49" s="65" t="e">
        <f t="shared" ref="AD49:AD50" si="45">AVERAGE(AA49+AC49)</f>
        <v>#DIV/0!</v>
      </c>
      <c r="AE49" s="162" t="e">
        <f t="shared" si="10"/>
        <v>#DIV/0!</v>
      </c>
    </row>
    <row r="50" spans="1:31" ht="15.75" customHeight="1" x14ac:dyDescent="0.3">
      <c r="B50" s="35">
        <v>41</v>
      </c>
      <c r="C50" s="197" t="s">
        <v>137</v>
      </c>
      <c r="D50" s="45"/>
      <c r="E50" s="38"/>
      <c r="F50" s="59">
        <v>14</v>
      </c>
      <c r="G50" s="27">
        <v>9</v>
      </c>
      <c r="H50" s="27"/>
      <c r="I50" s="32">
        <v>11</v>
      </c>
      <c r="J50" s="28"/>
      <c r="K50" s="56">
        <f t="shared" si="1"/>
        <v>11.333333333333334</v>
      </c>
      <c r="L50" s="166" t="str">
        <f t="shared" si="2"/>
        <v>TRANSITA</v>
      </c>
      <c r="M50" s="59">
        <v>16</v>
      </c>
      <c r="N50" s="27">
        <v>12</v>
      </c>
      <c r="O50" s="27"/>
      <c r="P50" s="32">
        <v>8</v>
      </c>
      <c r="Q50" s="28"/>
      <c r="R50" s="56">
        <f t="shared" si="3"/>
        <v>12</v>
      </c>
      <c r="S50" s="166" t="str">
        <f t="shared" si="4"/>
        <v>TRANSITA</v>
      </c>
      <c r="T50" s="58"/>
      <c r="U50" s="31"/>
      <c r="V50" s="27"/>
      <c r="W50" s="32" t="e">
        <f t="shared" si="5"/>
        <v>#DIV/0!</v>
      </c>
      <c r="X50" s="28"/>
      <c r="Y50" s="56" t="e">
        <f t="shared" si="6"/>
        <v>#DIV/0!</v>
      </c>
      <c r="Z50" s="48" t="e">
        <f t="shared" si="0"/>
        <v>#DIV/0!</v>
      </c>
      <c r="AA50" s="41" t="e">
        <f t="shared" si="7"/>
        <v>#DIV/0!</v>
      </c>
      <c r="AB50" s="61"/>
      <c r="AC50" s="51">
        <f t="shared" si="44"/>
        <v>0</v>
      </c>
      <c r="AD50" s="65" t="e">
        <f t="shared" si="45"/>
        <v>#DIV/0!</v>
      </c>
      <c r="AE50" s="162" t="e">
        <f t="shared" si="10"/>
        <v>#DIV/0!</v>
      </c>
    </row>
    <row r="51" spans="1:31" ht="15.75" customHeight="1" thickBot="1" x14ac:dyDescent="0.35">
      <c r="B51" s="35">
        <v>42</v>
      </c>
      <c r="C51" s="198" t="s">
        <v>138</v>
      </c>
      <c r="D51" s="46"/>
      <c r="E51" s="39"/>
      <c r="F51" s="60">
        <v>14</v>
      </c>
      <c r="G51" s="29">
        <v>9</v>
      </c>
      <c r="H51" s="29"/>
      <c r="I51" s="137">
        <v>12</v>
      </c>
      <c r="J51" s="30"/>
      <c r="K51" s="57">
        <f t="shared" si="1"/>
        <v>11.666666666666666</v>
      </c>
      <c r="L51" s="167" t="str">
        <f t="shared" si="2"/>
        <v>TRANSITA</v>
      </c>
      <c r="M51" s="60">
        <v>16</v>
      </c>
      <c r="N51" s="29">
        <v>3</v>
      </c>
      <c r="O51" s="29"/>
      <c r="P51" s="137">
        <v>6</v>
      </c>
      <c r="Q51" s="30"/>
      <c r="R51" s="57">
        <f t="shared" si="3"/>
        <v>8.3333333333333339</v>
      </c>
      <c r="S51" s="167" t="str">
        <f t="shared" si="4"/>
        <v>N/TRANSITA</v>
      </c>
      <c r="T51" s="193"/>
      <c r="U51" s="194"/>
      <c r="V51" s="29"/>
      <c r="W51" s="137" t="e">
        <f t="shared" si="5"/>
        <v>#DIV/0!</v>
      </c>
      <c r="X51" s="30"/>
      <c r="Y51" s="57" t="e">
        <f t="shared" si="6"/>
        <v>#DIV/0!</v>
      </c>
      <c r="Z51" s="49" t="e">
        <f t="shared" si="0"/>
        <v>#DIV/0!</v>
      </c>
      <c r="AA51" s="42" t="e">
        <f t="shared" si="7"/>
        <v>#DIV/0!</v>
      </c>
      <c r="AB51" s="195"/>
      <c r="AC51" s="52">
        <f t="shared" si="42"/>
        <v>0</v>
      </c>
      <c r="AD51" s="66" t="e">
        <f t="shared" si="43"/>
        <v>#DIV/0!</v>
      </c>
      <c r="AE51" s="164" t="e">
        <f t="shared" si="10"/>
        <v>#DIV/0!</v>
      </c>
    </row>
    <row r="52" spans="1:31" ht="12" customHeight="1" thickTop="1" x14ac:dyDescent="0.3">
      <c r="B52" s="3"/>
      <c r="C52" s="4"/>
      <c r="D52" s="4"/>
      <c r="E52" s="4"/>
      <c r="F52" s="5"/>
      <c r="G52" s="5"/>
      <c r="H52" s="5"/>
      <c r="I52" s="6"/>
      <c r="J52" s="6"/>
      <c r="K52" s="7"/>
      <c r="L52" s="7"/>
      <c r="M52" s="8"/>
      <c r="N52" s="8"/>
      <c r="O52" s="8"/>
      <c r="P52" s="8"/>
      <c r="Q52" s="8"/>
      <c r="R52" s="7"/>
      <c r="S52" s="7"/>
      <c r="T52" s="9"/>
      <c r="U52" s="9"/>
      <c r="V52" s="9"/>
      <c r="W52" s="10"/>
      <c r="X52" s="10"/>
      <c r="Y52" s="7"/>
      <c r="Z52" s="11"/>
      <c r="AA52" s="12"/>
      <c r="AB52" s="61"/>
      <c r="AC52" s="12"/>
      <c r="AD52" s="12"/>
      <c r="AE52" s="14"/>
    </row>
    <row r="53" spans="1:31" ht="16.5" customHeight="1" x14ac:dyDescent="0.3">
      <c r="A53" s="284" t="s">
        <v>140</v>
      </c>
      <c r="B53" s="284"/>
      <c r="C53" s="284"/>
      <c r="D53" s="284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  <c r="AA53" s="284"/>
      <c r="AB53" s="284"/>
      <c r="AC53" s="284"/>
      <c r="AD53" s="284"/>
      <c r="AE53" s="284"/>
    </row>
    <row r="54" spans="1:31" ht="16.5" customHeight="1" x14ac:dyDescent="0.3">
      <c r="A54" s="21"/>
      <c r="B54" s="21"/>
      <c r="C54" s="21"/>
      <c r="D54" s="21"/>
      <c r="E54" s="21"/>
      <c r="F54" s="21"/>
      <c r="G54" s="21"/>
      <c r="H54" s="25"/>
      <c r="I54" s="21"/>
      <c r="J54" s="25"/>
      <c r="K54" s="21"/>
      <c r="L54" s="21"/>
      <c r="M54" s="21"/>
      <c r="N54" s="21"/>
      <c r="O54" s="25"/>
      <c r="P54" s="21"/>
      <c r="Q54" s="25"/>
      <c r="R54" s="21"/>
      <c r="S54" s="21"/>
      <c r="T54" s="21"/>
      <c r="U54" s="21"/>
      <c r="V54" s="25"/>
      <c r="W54" s="21"/>
      <c r="X54" s="25"/>
      <c r="Y54" s="21"/>
      <c r="Z54" s="21"/>
      <c r="AA54" s="21"/>
      <c r="AB54" s="21"/>
      <c r="AC54" s="21"/>
      <c r="AD54" s="21"/>
      <c r="AE54" s="21"/>
    </row>
    <row r="55" spans="1:31" ht="20.25" customHeight="1" x14ac:dyDescent="0.35">
      <c r="A55" s="309" t="s">
        <v>41</v>
      </c>
      <c r="B55" s="309"/>
      <c r="C55" s="309"/>
      <c r="D55" s="309"/>
      <c r="E55" s="309"/>
      <c r="F55" s="309"/>
      <c r="G55" s="19"/>
      <c r="H55" s="23"/>
      <c r="I55" s="20"/>
      <c r="J55" s="20"/>
      <c r="K55" s="20"/>
      <c r="L55" s="20"/>
      <c r="M55" s="20"/>
      <c r="N55" s="20"/>
      <c r="O55" s="20"/>
      <c r="P55" s="20"/>
      <c r="Q55" s="20"/>
      <c r="R55" s="309" t="s">
        <v>10</v>
      </c>
      <c r="S55" s="309"/>
      <c r="T55" s="309"/>
      <c r="U55" s="309"/>
      <c r="V55" s="309"/>
      <c r="W55" s="309"/>
      <c r="X55" s="309"/>
      <c r="Y55" s="309"/>
      <c r="Z55" s="309"/>
      <c r="AA55" s="309"/>
      <c r="AB55" s="309"/>
      <c r="AC55" s="309"/>
      <c r="AD55" s="309"/>
      <c r="AE55" s="309"/>
    </row>
    <row r="56" spans="1:31" ht="20.399999999999999" x14ac:dyDescent="0.35">
      <c r="A56" s="20"/>
      <c r="B56" s="309" t="s">
        <v>11</v>
      </c>
      <c r="C56" s="309"/>
      <c r="D56" s="309"/>
      <c r="E56" s="309"/>
      <c r="F56" s="309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309"/>
      <c r="S56" s="309"/>
      <c r="T56" s="309"/>
      <c r="U56" s="309"/>
      <c r="V56" s="309"/>
      <c r="W56" s="309"/>
      <c r="X56" s="309"/>
      <c r="Y56" s="309"/>
      <c r="Z56" s="309"/>
      <c r="AA56" s="19"/>
      <c r="AB56" s="19"/>
      <c r="AC56" s="19"/>
      <c r="AD56" s="19"/>
      <c r="AE56" s="20"/>
    </row>
    <row r="57" spans="1:31" ht="21.6" x14ac:dyDescent="0.4">
      <c r="A57" s="20"/>
      <c r="B57" s="310"/>
      <c r="C57" s="310"/>
      <c r="D57" s="310"/>
      <c r="E57" s="310"/>
      <c r="F57" s="31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310" t="s">
        <v>12</v>
      </c>
      <c r="S57" s="310"/>
      <c r="T57" s="310"/>
      <c r="U57" s="310"/>
      <c r="V57" s="310"/>
      <c r="W57" s="310"/>
      <c r="X57" s="310"/>
      <c r="Y57" s="310"/>
      <c r="Z57" s="310"/>
      <c r="AA57" s="310"/>
      <c r="AB57" s="310"/>
      <c r="AC57" s="310"/>
      <c r="AD57" s="310"/>
      <c r="AE57" s="310"/>
    </row>
  </sheetData>
  <mergeCells count="28">
    <mergeCell ref="B7:AE7"/>
    <mergeCell ref="A1:AE1"/>
    <mergeCell ref="B4:C4"/>
    <mergeCell ref="Y4:AE4"/>
    <mergeCell ref="B6:C6"/>
    <mergeCell ref="Y6:AE6"/>
    <mergeCell ref="L3:S3"/>
    <mergeCell ref="C8:C9"/>
    <mergeCell ref="D8:E8"/>
    <mergeCell ref="F8:K8"/>
    <mergeCell ref="M8:R8"/>
    <mergeCell ref="L8:L9"/>
    <mergeCell ref="S8:S9"/>
    <mergeCell ref="B56:F56"/>
    <mergeCell ref="R56:Z56"/>
    <mergeCell ref="B57:F57"/>
    <mergeCell ref="R57:AE57"/>
    <mergeCell ref="A53:AE53"/>
    <mergeCell ref="AD8:AD9"/>
    <mergeCell ref="AE8:AE9"/>
    <mergeCell ref="A55:F55"/>
    <mergeCell ref="R55:AE55"/>
    <mergeCell ref="T8:Y8"/>
    <mergeCell ref="Z8:Z9"/>
    <mergeCell ref="AA8:AA9"/>
    <mergeCell ref="AB8:AB9"/>
    <mergeCell ref="AC8:AC9"/>
    <mergeCell ref="B8:B9"/>
  </mergeCells>
  <conditionalFormatting sqref="K52:L52 R52:Y52 Q10:Q51 T10:X51">
    <cfRule type="cellIs" dxfId="1391" priority="620" stopIfTrue="1" operator="lessThan">
      <formula>10</formula>
    </cfRule>
    <cfRule type="cellIs" dxfId="1390" priority="621" stopIfTrue="1" operator="greaterThan">
      <formula>9</formula>
    </cfRule>
  </conditionalFormatting>
  <conditionalFormatting sqref="K52:L52 R52:Y52 Q10:Q51 T10:X51">
    <cfRule type="cellIs" dxfId="1389" priority="618" stopIfTrue="1" operator="lessThan">
      <formula>10</formula>
    </cfRule>
    <cfRule type="cellIs" dxfId="1388" priority="619" stopIfTrue="1" operator="greaterThan">
      <formula>9</formula>
    </cfRule>
  </conditionalFormatting>
  <conditionalFormatting sqref="Z10:AD52">
    <cfRule type="cellIs" dxfId="1387" priority="616" stopIfTrue="1" operator="greaterThan">
      <formula>9.5</formula>
    </cfRule>
    <cfRule type="cellIs" dxfId="1386" priority="617" stopIfTrue="1" operator="lessThanOrEqual">
      <formula>9.5</formula>
    </cfRule>
  </conditionalFormatting>
  <conditionalFormatting sqref="F52:J52">
    <cfRule type="cellIs" dxfId="1385" priority="614" stopIfTrue="1" operator="lessThan">
      <formula>10</formula>
    </cfRule>
    <cfRule type="cellIs" dxfId="1384" priority="615" stopIfTrue="1" operator="greaterThan">
      <formula>9</formula>
    </cfRule>
  </conditionalFormatting>
  <conditionalFormatting sqref="F52:J52">
    <cfRule type="cellIs" dxfId="1383" priority="612" stopIfTrue="1" operator="lessThan">
      <formula>10</formula>
    </cfRule>
    <cfRule type="cellIs" dxfId="1382" priority="613" stopIfTrue="1" operator="greaterThan">
      <formula>9</formula>
    </cfRule>
  </conditionalFormatting>
  <conditionalFormatting sqref="M52:Q52 T10:X52 Q10:Q51">
    <cfRule type="cellIs" dxfId="1381" priority="608" stopIfTrue="1" operator="lessThan">
      <formula>10</formula>
    </cfRule>
    <cfRule type="cellIs" dxfId="1380" priority="609" stopIfTrue="1" operator="greaterThan">
      <formula>9</formula>
    </cfRule>
    <cfRule type="cellIs" dxfId="1379" priority="610" stopIfTrue="1" operator="lessThan">
      <formula>10</formula>
    </cfRule>
    <cfRule type="cellIs" dxfId="1378" priority="611" stopIfTrue="1" operator="greaterThan">
      <formula>9</formula>
    </cfRule>
  </conditionalFormatting>
  <conditionalFormatting sqref="R10:R51 Y10:Y51">
    <cfRule type="cellIs" dxfId="1377" priority="552" stopIfTrue="1" operator="lessThan">
      <formula>10</formula>
    </cfRule>
    <cfRule type="cellIs" dxfId="1376" priority="553" stopIfTrue="1" operator="greaterThanOrEqual">
      <formula>10</formula>
    </cfRule>
  </conditionalFormatting>
  <conditionalFormatting sqref="AB10:AB52">
    <cfRule type="cellIs" dxfId="1375" priority="393" stopIfTrue="1" operator="greaterThan">
      <formula>9.5</formula>
    </cfRule>
    <cfRule type="cellIs" dxfId="1374" priority="394" stopIfTrue="1" operator="lessThanOrEqual">
      <formula>9.5</formula>
    </cfRule>
  </conditionalFormatting>
  <conditionalFormatting sqref="J10:J50 M51:P51 F51:J51">
    <cfRule type="cellIs" dxfId="1373" priority="139" stopIfTrue="1" operator="lessThan">
      <formula>10</formula>
    </cfRule>
    <cfRule type="cellIs" dxfId="1372" priority="140" stopIfTrue="1" operator="greaterThan">
      <formula>9</formula>
    </cfRule>
  </conditionalFormatting>
  <conditionalFormatting sqref="J10:J50 M51:P51 F51:J51">
    <cfRule type="cellIs" dxfId="1371" priority="137" stopIfTrue="1" operator="lessThan">
      <formula>10</formula>
    </cfRule>
    <cfRule type="cellIs" dxfId="1370" priority="138" stopIfTrue="1" operator="greaterThan">
      <formula>9</formula>
    </cfRule>
  </conditionalFormatting>
  <conditionalFormatting sqref="J10:J50 M51:P51 F51:J51">
    <cfRule type="cellIs" dxfId="1369" priority="133" stopIfTrue="1" operator="lessThan">
      <formula>10</formula>
    </cfRule>
    <cfRule type="cellIs" dxfId="1368" priority="134" stopIfTrue="1" operator="greaterThan">
      <formula>9</formula>
    </cfRule>
    <cfRule type="cellIs" dxfId="1367" priority="135" stopIfTrue="1" operator="lessThan">
      <formula>10</formula>
    </cfRule>
    <cfRule type="cellIs" dxfId="1366" priority="136" stopIfTrue="1" operator="greaterThan">
      <formula>9</formula>
    </cfRule>
  </conditionalFormatting>
  <conditionalFormatting sqref="K10:K51">
    <cfRule type="cellIs" dxfId="1365" priority="131" stopIfTrue="1" operator="lessThan">
      <formula>10</formula>
    </cfRule>
    <cfRule type="cellIs" dxfId="1364" priority="132" stopIfTrue="1" operator="greaterThanOrEqual">
      <formula>10</formula>
    </cfRule>
  </conditionalFormatting>
  <conditionalFormatting sqref="M24:N39 M45:N50 O10:P50">
    <cfRule type="cellIs" dxfId="1363" priority="127" stopIfTrue="1" operator="lessThan">
      <formula>10</formula>
    </cfRule>
    <cfRule type="cellIs" dxfId="1362" priority="128" stopIfTrue="1" operator="greaterThan">
      <formula>9</formula>
    </cfRule>
  </conditionalFormatting>
  <conditionalFormatting sqref="M24:N39 M45:N50 O10:P50">
    <cfRule type="cellIs" dxfId="1361" priority="125" stopIfTrue="1" operator="lessThan">
      <formula>10</formula>
    </cfRule>
    <cfRule type="cellIs" dxfId="1360" priority="126" stopIfTrue="1" operator="greaterThan">
      <formula>9</formula>
    </cfRule>
  </conditionalFormatting>
  <conditionalFormatting sqref="M24:N39 M45:N50 O10:P50">
    <cfRule type="cellIs" dxfId="1359" priority="121" stopIfTrue="1" operator="lessThan">
      <formula>10</formula>
    </cfRule>
    <cfRule type="cellIs" dxfId="1358" priority="122" stopIfTrue="1" operator="greaterThan">
      <formula>9</formula>
    </cfRule>
    <cfRule type="cellIs" dxfId="1357" priority="123" stopIfTrue="1" operator="lessThan">
      <formula>10</formula>
    </cfRule>
    <cfRule type="cellIs" dxfId="1356" priority="124" stopIfTrue="1" operator="greaterThan">
      <formula>9</formula>
    </cfRule>
  </conditionalFormatting>
  <conditionalFormatting sqref="M10:N12">
    <cfRule type="cellIs" dxfId="1355" priority="119" stopIfTrue="1" operator="lessThan">
      <formula>10</formula>
    </cfRule>
    <cfRule type="cellIs" dxfId="1354" priority="120" stopIfTrue="1" operator="greaterThan">
      <formula>9</formula>
    </cfRule>
  </conditionalFormatting>
  <conditionalFormatting sqref="M10:N12">
    <cfRule type="cellIs" dxfId="1353" priority="117" stopIfTrue="1" operator="lessThan">
      <formula>10</formula>
    </cfRule>
    <cfRule type="cellIs" dxfId="1352" priority="118" stopIfTrue="1" operator="greaterThan">
      <formula>9</formula>
    </cfRule>
  </conditionalFormatting>
  <conditionalFormatting sqref="M10:N12">
    <cfRule type="cellIs" dxfId="1351" priority="113" stopIfTrue="1" operator="lessThan">
      <formula>10</formula>
    </cfRule>
    <cfRule type="cellIs" dxfId="1350" priority="114" stopIfTrue="1" operator="greaterThan">
      <formula>9</formula>
    </cfRule>
    <cfRule type="cellIs" dxfId="1349" priority="115" stopIfTrue="1" operator="lessThan">
      <formula>10</formula>
    </cfRule>
    <cfRule type="cellIs" dxfId="1348" priority="116" stopIfTrue="1" operator="greaterThan">
      <formula>9</formula>
    </cfRule>
  </conditionalFormatting>
  <conditionalFormatting sqref="M13:N15">
    <cfRule type="cellIs" dxfId="1347" priority="111" stopIfTrue="1" operator="lessThan">
      <formula>10</formula>
    </cfRule>
    <cfRule type="cellIs" dxfId="1346" priority="112" stopIfTrue="1" operator="greaterThan">
      <formula>9</formula>
    </cfRule>
  </conditionalFormatting>
  <conditionalFormatting sqref="M13:N15">
    <cfRule type="cellIs" dxfId="1345" priority="109" stopIfTrue="1" operator="lessThan">
      <formula>10</formula>
    </cfRule>
    <cfRule type="cellIs" dxfId="1344" priority="110" stopIfTrue="1" operator="greaterThan">
      <formula>9</formula>
    </cfRule>
  </conditionalFormatting>
  <conditionalFormatting sqref="M13:N15">
    <cfRule type="cellIs" dxfId="1343" priority="105" stopIfTrue="1" operator="lessThan">
      <formula>10</formula>
    </cfRule>
    <cfRule type="cellIs" dxfId="1342" priority="106" stopIfTrue="1" operator="greaterThan">
      <formula>9</formula>
    </cfRule>
    <cfRule type="cellIs" dxfId="1341" priority="107" stopIfTrue="1" operator="lessThan">
      <formula>10</formula>
    </cfRule>
    <cfRule type="cellIs" dxfId="1340" priority="108" stopIfTrue="1" operator="greaterThan">
      <formula>9</formula>
    </cfRule>
  </conditionalFormatting>
  <conditionalFormatting sqref="M16:N19">
    <cfRule type="cellIs" dxfId="1339" priority="103" stopIfTrue="1" operator="lessThan">
      <formula>10</formula>
    </cfRule>
    <cfRule type="cellIs" dxfId="1338" priority="104" stopIfTrue="1" operator="greaterThan">
      <formula>9</formula>
    </cfRule>
  </conditionalFormatting>
  <conditionalFormatting sqref="M16:N19">
    <cfRule type="cellIs" dxfId="1337" priority="101" stopIfTrue="1" operator="lessThan">
      <formula>10</formula>
    </cfRule>
    <cfRule type="cellIs" dxfId="1336" priority="102" stopIfTrue="1" operator="greaterThan">
      <formula>9</formula>
    </cfRule>
  </conditionalFormatting>
  <conditionalFormatting sqref="M16:N19">
    <cfRule type="cellIs" dxfId="1335" priority="97" stopIfTrue="1" operator="lessThan">
      <formula>10</formula>
    </cfRule>
    <cfRule type="cellIs" dxfId="1334" priority="98" stopIfTrue="1" operator="greaterThan">
      <formula>9</formula>
    </cfRule>
    <cfRule type="cellIs" dxfId="1333" priority="99" stopIfTrue="1" operator="lessThan">
      <formula>10</formula>
    </cfRule>
    <cfRule type="cellIs" dxfId="1332" priority="100" stopIfTrue="1" operator="greaterThan">
      <formula>9</formula>
    </cfRule>
  </conditionalFormatting>
  <conditionalFormatting sqref="M20:N23">
    <cfRule type="cellIs" dxfId="1331" priority="95" stopIfTrue="1" operator="lessThan">
      <formula>10</formula>
    </cfRule>
    <cfRule type="cellIs" dxfId="1330" priority="96" stopIfTrue="1" operator="greaterThan">
      <formula>9</formula>
    </cfRule>
  </conditionalFormatting>
  <conditionalFormatting sqref="M20:N23">
    <cfRule type="cellIs" dxfId="1329" priority="93" stopIfTrue="1" operator="lessThan">
      <formula>10</formula>
    </cfRule>
    <cfRule type="cellIs" dxfId="1328" priority="94" stopIfTrue="1" operator="greaterThan">
      <formula>9</formula>
    </cfRule>
  </conditionalFormatting>
  <conditionalFormatting sqref="M20:N23">
    <cfRule type="cellIs" dxfId="1327" priority="89" stopIfTrue="1" operator="lessThan">
      <formula>10</formula>
    </cfRule>
    <cfRule type="cellIs" dxfId="1326" priority="90" stopIfTrue="1" operator="greaterThan">
      <formula>9</formula>
    </cfRule>
    <cfRule type="cellIs" dxfId="1325" priority="91" stopIfTrue="1" operator="lessThan">
      <formula>10</formula>
    </cfRule>
    <cfRule type="cellIs" dxfId="1324" priority="92" stopIfTrue="1" operator="greaterThan">
      <formula>9</formula>
    </cfRule>
  </conditionalFormatting>
  <conditionalFormatting sqref="M40:N44">
    <cfRule type="cellIs" dxfId="1323" priority="87" stopIfTrue="1" operator="lessThan">
      <formula>10</formula>
    </cfRule>
    <cfRule type="cellIs" dxfId="1322" priority="88" stopIfTrue="1" operator="greaterThan">
      <formula>9</formula>
    </cfRule>
  </conditionalFormatting>
  <conditionalFormatting sqref="M40:N44">
    <cfRule type="cellIs" dxfId="1321" priority="85" stopIfTrue="1" operator="lessThan">
      <formula>10</formula>
    </cfRule>
    <cfRule type="cellIs" dxfId="1320" priority="86" stopIfTrue="1" operator="greaterThan">
      <formula>9</formula>
    </cfRule>
  </conditionalFormatting>
  <conditionalFormatting sqref="M40:N44">
    <cfRule type="cellIs" dxfId="1319" priority="81" stopIfTrue="1" operator="lessThan">
      <formula>10</formula>
    </cfRule>
    <cfRule type="cellIs" dxfId="1318" priority="82" stopIfTrue="1" operator="greaterThan">
      <formula>9</formula>
    </cfRule>
    <cfRule type="cellIs" dxfId="1317" priority="83" stopIfTrue="1" operator="lessThan">
      <formula>10</formula>
    </cfRule>
    <cfRule type="cellIs" dxfId="1316" priority="84" stopIfTrue="1" operator="greaterThan">
      <formula>9</formula>
    </cfRule>
  </conditionalFormatting>
  <conditionalFormatting sqref="F24:G39 F45:G50 H10:I12 H15:I50">
    <cfRule type="cellIs" dxfId="1315" priority="79" stopIfTrue="1" operator="lessThan">
      <formula>10</formula>
    </cfRule>
    <cfRule type="cellIs" dxfId="1314" priority="80" stopIfTrue="1" operator="greaterThan">
      <formula>9</formula>
    </cfRule>
  </conditionalFormatting>
  <conditionalFormatting sqref="F24:G39 F45:G50 H10:I12 H15:I50">
    <cfRule type="cellIs" dxfId="1313" priority="77" stopIfTrue="1" operator="lessThan">
      <formula>10</formula>
    </cfRule>
    <cfRule type="cellIs" dxfId="1312" priority="78" stopIfTrue="1" operator="greaterThan">
      <formula>9</formula>
    </cfRule>
  </conditionalFormatting>
  <conditionalFormatting sqref="F24:G39 F45:G50 H10:I12 H15:I50">
    <cfRule type="cellIs" dxfId="1311" priority="73" stopIfTrue="1" operator="lessThan">
      <formula>10</formula>
    </cfRule>
    <cfRule type="cellIs" dxfId="1310" priority="74" stopIfTrue="1" operator="greaterThan">
      <formula>9</formula>
    </cfRule>
    <cfRule type="cellIs" dxfId="1309" priority="75" stopIfTrue="1" operator="lessThan">
      <formula>10</formula>
    </cfRule>
    <cfRule type="cellIs" dxfId="1308" priority="76" stopIfTrue="1" operator="greaterThan">
      <formula>9</formula>
    </cfRule>
  </conditionalFormatting>
  <conditionalFormatting sqref="F10:G12">
    <cfRule type="cellIs" dxfId="1307" priority="71" stopIfTrue="1" operator="lessThan">
      <formula>10</formula>
    </cfRule>
    <cfRule type="cellIs" dxfId="1306" priority="72" stopIfTrue="1" operator="greaterThan">
      <formula>9</formula>
    </cfRule>
  </conditionalFormatting>
  <conditionalFormatting sqref="F10:G12">
    <cfRule type="cellIs" dxfId="1305" priority="69" stopIfTrue="1" operator="lessThan">
      <formula>10</formula>
    </cfRule>
    <cfRule type="cellIs" dxfId="1304" priority="70" stopIfTrue="1" operator="greaterThan">
      <formula>9</formula>
    </cfRule>
  </conditionalFormatting>
  <conditionalFormatting sqref="F10:G12">
    <cfRule type="cellIs" dxfId="1303" priority="65" stopIfTrue="1" operator="lessThan">
      <formula>10</formula>
    </cfRule>
    <cfRule type="cellIs" dxfId="1302" priority="66" stopIfTrue="1" operator="greaterThan">
      <formula>9</formula>
    </cfRule>
    <cfRule type="cellIs" dxfId="1301" priority="67" stopIfTrue="1" operator="lessThan">
      <formula>10</formula>
    </cfRule>
    <cfRule type="cellIs" dxfId="1300" priority="68" stopIfTrue="1" operator="greaterThan">
      <formula>9</formula>
    </cfRule>
  </conditionalFormatting>
  <conditionalFormatting sqref="F15:G15">
    <cfRule type="cellIs" dxfId="1299" priority="63" stopIfTrue="1" operator="lessThan">
      <formula>10</formula>
    </cfRule>
    <cfRule type="cellIs" dxfId="1298" priority="64" stopIfTrue="1" operator="greaterThan">
      <formula>9</formula>
    </cfRule>
  </conditionalFormatting>
  <conditionalFormatting sqref="F15:G15">
    <cfRule type="cellIs" dxfId="1297" priority="61" stopIfTrue="1" operator="lessThan">
      <formula>10</formula>
    </cfRule>
    <cfRule type="cellIs" dxfId="1296" priority="62" stopIfTrue="1" operator="greaterThan">
      <formula>9</formula>
    </cfRule>
  </conditionalFormatting>
  <conditionalFormatting sqref="F15:G15">
    <cfRule type="cellIs" dxfId="1295" priority="57" stopIfTrue="1" operator="lessThan">
      <formula>10</formula>
    </cfRule>
    <cfRule type="cellIs" dxfId="1294" priority="58" stopIfTrue="1" operator="greaterThan">
      <formula>9</formula>
    </cfRule>
    <cfRule type="cellIs" dxfId="1293" priority="59" stopIfTrue="1" operator="lessThan">
      <formula>10</formula>
    </cfRule>
    <cfRule type="cellIs" dxfId="1292" priority="60" stopIfTrue="1" operator="greaterThan">
      <formula>9</formula>
    </cfRule>
  </conditionalFormatting>
  <conditionalFormatting sqref="F16:G19">
    <cfRule type="cellIs" dxfId="1291" priority="55" stopIfTrue="1" operator="lessThan">
      <formula>10</formula>
    </cfRule>
    <cfRule type="cellIs" dxfId="1290" priority="56" stopIfTrue="1" operator="greaterThan">
      <formula>9</formula>
    </cfRule>
  </conditionalFormatting>
  <conditionalFormatting sqref="F16:G19">
    <cfRule type="cellIs" dxfId="1289" priority="53" stopIfTrue="1" operator="lessThan">
      <formula>10</formula>
    </cfRule>
    <cfRule type="cellIs" dxfId="1288" priority="54" stopIfTrue="1" operator="greaterThan">
      <formula>9</formula>
    </cfRule>
  </conditionalFormatting>
  <conditionalFormatting sqref="F16:G19">
    <cfRule type="cellIs" dxfId="1287" priority="49" stopIfTrue="1" operator="lessThan">
      <formula>10</formula>
    </cfRule>
    <cfRule type="cellIs" dxfId="1286" priority="50" stopIfTrue="1" operator="greaterThan">
      <formula>9</formula>
    </cfRule>
    <cfRule type="cellIs" dxfId="1285" priority="51" stopIfTrue="1" operator="lessThan">
      <formula>10</formula>
    </cfRule>
    <cfRule type="cellIs" dxfId="1284" priority="52" stopIfTrue="1" operator="greaterThan">
      <formula>9</formula>
    </cfRule>
  </conditionalFormatting>
  <conditionalFormatting sqref="F20:G23">
    <cfRule type="cellIs" dxfId="1283" priority="47" stopIfTrue="1" operator="lessThan">
      <formula>10</formula>
    </cfRule>
    <cfRule type="cellIs" dxfId="1282" priority="48" stopIfTrue="1" operator="greaterThan">
      <formula>9</formula>
    </cfRule>
  </conditionalFormatting>
  <conditionalFormatting sqref="F20:G23">
    <cfRule type="cellIs" dxfId="1281" priority="45" stopIfTrue="1" operator="lessThan">
      <formula>10</formula>
    </cfRule>
    <cfRule type="cellIs" dxfId="1280" priority="46" stopIfTrue="1" operator="greaterThan">
      <formula>9</formula>
    </cfRule>
  </conditionalFormatting>
  <conditionalFormatting sqref="F20:G23">
    <cfRule type="cellIs" dxfId="1279" priority="41" stopIfTrue="1" operator="lessThan">
      <formula>10</formula>
    </cfRule>
    <cfRule type="cellIs" dxfId="1278" priority="42" stopIfTrue="1" operator="greaterThan">
      <formula>9</formula>
    </cfRule>
    <cfRule type="cellIs" dxfId="1277" priority="43" stopIfTrue="1" operator="lessThan">
      <formula>10</formula>
    </cfRule>
    <cfRule type="cellIs" dxfId="1276" priority="44" stopIfTrue="1" operator="greaterThan">
      <formula>9</formula>
    </cfRule>
  </conditionalFormatting>
  <conditionalFormatting sqref="F40:G44">
    <cfRule type="cellIs" dxfId="1275" priority="39" stopIfTrue="1" operator="lessThan">
      <formula>10</formula>
    </cfRule>
    <cfRule type="cellIs" dxfId="1274" priority="40" stopIfTrue="1" operator="greaterThan">
      <formula>9</formula>
    </cfRule>
  </conditionalFormatting>
  <conditionalFormatting sqref="F40:G44">
    <cfRule type="cellIs" dxfId="1273" priority="37" stopIfTrue="1" operator="lessThan">
      <formula>10</formula>
    </cfRule>
    <cfRule type="cellIs" dxfId="1272" priority="38" stopIfTrue="1" operator="greaterThan">
      <formula>9</formula>
    </cfRule>
  </conditionalFormatting>
  <conditionalFormatting sqref="F40:G44">
    <cfRule type="cellIs" dxfId="1271" priority="33" stopIfTrue="1" operator="lessThan">
      <formula>10</formula>
    </cfRule>
    <cfRule type="cellIs" dxfId="1270" priority="34" stopIfTrue="1" operator="greaterThan">
      <formula>9</formula>
    </cfRule>
    <cfRule type="cellIs" dxfId="1269" priority="35" stopIfTrue="1" operator="lessThan">
      <formula>10</formula>
    </cfRule>
    <cfRule type="cellIs" dxfId="1268" priority="36" stopIfTrue="1" operator="greaterThan">
      <formula>9</formula>
    </cfRule>
  </conditionalFormatting>
  <conditionalFormatting sqref="H13:I13">
    <cfRule type="cellIs" dxfId="1267" priority="31" stopIfTrue="1" operator="lessThan">
      <formula>10</formula>
    </cfRule>
    <cfRule type="cellIs" dxfId="1266" priority="32" stopIfTrue="1" operator="greaterThan">
      <formula>9</formula>
    </cfRule>
  </conditionalFormatting>
  <conditionalFormatting sqref="H13:I13">
    <cfRule type="cellIs" dxfId="1265" priority="29" stopIfTrue="1" operator="lessThan">
      <formula>10</formula>
    </cfRule>
    <cfRule type="cellIs" dxfId="1264" priority="30" stopIfTrue="1" operator="greaterThan">
      <formula>9</formula>
    </cfRule>
  </conditionalFormatting>
  <conditionalFormatting sqref="H13:I13">
    <cfRule type="cellIs" dxfId="1263" priority="25" stopIfTrue="1" operator="lessThan">
      <formula>10</formula>
    </cfRule>
    <cfRule type="cellIs" dxfId="1262" priority="26" stopIfTrue="1" operator="greaterThan">
      <formula>9</formula>
    </cfRule>
    <cfRule type="cellIs" dxfId="1261" priority="27" stopIfTrue="1" operator="lessThan">
      <formula>10</formula>
    </cfRule>
    <cfRule type="cellIs" dxfId="1260" priority="28" stopIfTrue="1" operator="greaterThan">
      <formula>9</formula>
    </cfRule>
  </conditionalFormatting>
  <conditionalFormatting sqref="F13:G13">
    <cfRule type="cellIs" dxfId="1259" priority="23" stopIfTrue="1" operator="lessThan">
      <formula>10</formula>
    </cfRule>
    <cfRule type="cellIs" dxfId="1258" priority="24" stopIfTrue="1" operator="greaterThan">
      <formula>9</formula>
    </cfRule>
  </conditionalFormatting>
  <conditionalFormatting sqref="F13:G13">
    <cfRule type="cellIs" dxfId="1257" priority="21" stopIfTrue="1" operator="lessThan">
      <formula>10</formula>
    </cfRule>
    <cfRule type="cellIs" dxfId="1256" priority="22" stopIfTrue="1" operator="greaterThan">
      <formula>9</formula>
    </cfRule>
  </conditionalFormatting>
  <conditionalFormatting sqref="F13:G13">
    <cfRule type="cellIs" dxfId="1255" priority="17" stopIfTrue="1" operator="lessThan">
      <formula>10</formula>
    </cfRule>
    <cfRule type="cellIs" dxfId="1254" priority="18" stopIfTrue="1" operator="greaterThan">
      <formula>9</formula>
    </cfRule>
    <cfRule type="cellIs" dxfId="1253" priority="19" stopIfTrue="1" operator="lessThan">
      <formula>10</formula>
    </cfRule>
    <cfRule type="cellIs" dxfId="1252" priority="20" stopIfTrue="1" operator="greaterThan">
      <formula>9</formula>
    </cfRule>
  </conditionalFormatting>
  <conditionalFormatting sqref="H14:I14">
    <cfRule type="cellIs" dxfId="1251" priority="15" stopIfTrue="1" operator="lessThan">
      <formula>10</formula>
    </cfRule>
    <cfRule type="cellIs" dxfId="1250" priority="16" stopIfTrue="1" operator="greaterThan">
      <formula>9</formula>
    </cfRule>
  </conditionalFormatting>
  <conditionalFormatting sqref="H14:I14">
    <cfRule type="cellIs" dxfId="1249" priority="13" stopIfTrue="1" operator="lessThan">
      <formula>10</formula>
    </cfRule>
    <cfRule type="cellIs" dxfId="1248" priority="14" stopIfTrue="1" operator="greaterThan">
      <formula>9</formula>
    </cfRule>
  </conditionalFormatting>
  <conditionalFormatting sqref="H14:I14">
    <cfRule type="cellIs" dxfId="1247" priority="9" stopIfTrue="1" operator="lessThan">
      <formula>10</formula>
    </cfRule>
    <cfRule type="cellIs" dxfId="1246" priority="10" stopIfTrue="1" operator="greaterThan">
      <formula>9</formula>
    </cfRule>
    <cfRule type="cellIs" dxfId="1245" priority="11" stopIfTrue="1" operator="lessThan">
      <formula>10</formula>
    </cfRule>
    <cfRule type="cellIs" dxfId="1244" priority="12" stopIfTrue="1" operator="greaterThan">
      <formula>9</formula>
    </cfRule>
  </conditionalFormatting>
  <conditionalFormatting sqref="F14:G14">
    <cfRule type="cellIs" dxfId="1243" priority="7" stopIfTrue="1" operator="lessThan">
      <formula>10</formula>
    </cfRule>
    <cfRule type="cellIs" dxfId="1242" priority="8" stopIfTrue="1" operator="greaterThan">
      <formula>9</formula>
    </cfRule>
  </conditionalFormatting>
  <conditionalFormatting sqref="F14:G14">
    <cfRule type="cellIs" dxfId="1241" priority="5" stopIfTrue="1" operator="lessThan">
      <formula>10</formula>
    </cfRule>
    <cfRule type="cellIs" dxfId="1240" priority="6" stopIfTrue="1" operator="greaterThan">
      <formula>9</formula>
    </cfRule>
  </conditionalFormatting>
  <conditionalFormatting sqref="F14:G14">
    <cfRule type="cellIs" dxfId="1239" priority="1" stopIfTrue="1" operator="lessThan">
      <formula>10</formula>
    </cfRule>
    <cfRule type="cellIs" dxfId="1238" priority="2" stopIfTrue="1" operator="greaterThan">
      <formula>9</formula>
    </cfRule>
    <cfRule type="cellIs" dxfId="1237" priority="3" stopIfTrue="1" operator="lessThan">
      <formula>10</formula>
    </cfRule>
    <cfRule type="cellIs" dxfId="1236" priority="4" stopIfTrue="1" operator="greaterThan">
      <formula>9</formula>
    </cfRule>
  </conditionalFormatting>
  <dataValidations count="1">
    <dataValidation type="decimal" allowBlank="1" showInputMessage="1" showErrorMessage="1" errorTitle="ATENÇÃO!" error="O valor introduzido não é válido. Grato!" sqref="M10:Q51 AB10:AB52 F10:J51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86" orientation="portrait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99" stopIfTrue="1" operator="containsText" id="{CB127A0A-EB11-442C-944E-E05DDB1E544D}">
            <xm:f>NOT(ISERROR(SEARCH("N/TRANSITA",S10)))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400" stopIfTrue="1" operator="containsText" id="{5987F603-B942-4CCA-84C6-8C142CD936C7}">
            <xm:f>NOT(ISERROR(SEARCH("TRANSITA",S10)))</xm:f>
            <xm:f>"TRANSITA"</xm:f>
            <x14:dxf>
              <font>
                <b/>
                <i val="0"/>
                <color rgb="FF0070C0"/>
              </font>
            </x14:dxf>
          </x14:cfRule>
          <xm:sqref>S10:S51</xm:sqref>
        </x14:conditionalFormatting>
        <x14:conditionalFormatting xmlns:xm="http://schemas.microsoft.com/office/excel/2006/main">
          <x14:cfRule type="containsText" priority="397" stopIfTrue="1" operator="containsText" id="{CBF7C7E9-1740-4D26-A4E6-FB76359E560B}">
            <xm:f>NOT(ISERROR(SEARCH("APROVADO/A",AE10)))</xm:f>
            <xm:f>"APROVADO/A"</xm:f>
            <x14:dxf>
              <font>
                <b/>
                <i val="0"/>
                <color rgb="FF0000FF"/>
              </font>
            </x14:dxf>
          </x14:cfRule>
          <x14:cfRule type="containsText" priority="398" stopIfTrue="1" operator="containsText" id="{B95C0BE6-D2C7-4EC3-8B38-AA1842D23C14}">
            <xm:f>NOT(ISERROR(SEARCH("REPROVADO/A",AE10)))</xm:f>
            <xm:f>"REPROVADO/A"</xm:f>
            <x14:dxf>
              <font>
                <b/>
                <i val="0"/>
                <color rgb="FFFF0000"/>
              </font>
            </x14:dxf>
          </x14:cfRule>
          <xm:sqref>AE10:AE51</xm:sqref>
        </x14:conditionalFormatting>
        <x14:conditionalFormatting xmlns:xm="http://schemas.microsoft.com/office/excel/2006/main">
          <x14:cfRule type="containsText" priority="129" stopIfTrue="1" operator="containsText" id="{FF7B55FC-2680-4823-90C4-4C2937E7B8E8}">
            <xm:f>NOT(ISERROR(SEARCH("N/TRANSITA",L10)))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30" stopIfTrue="1" operator="containsText" id="{3ED5ACBD-9637-4CAC-814F-941BF35B2275}">
            <xm:f>NOT(ISERROR(SEARCH("TRANSITA",L10)))</xm:f>
            <xm:f>"TRANSITA"</xm:f>
            <x14:dxf>
              <font>
                <b/>
                <i val="0"/>
                <color rgb="FF0070C0"/>
              </font>
            </x14:dxf>
          </x14:cfRule>
          <xm:sqref>L10:L51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5">
    <tabColor rgb="FF00B050"/>
  </sheetPr>
  <dimension ref="A1:AE57"/>
  <sheetViews>
    <sheetView showGridLines="0" zoomScaleNormal="100" zoomScalePageLayoutView="85" workbookViewId="0">
      <selection activeCell="I18" sqref="I18"/>
    </sheetView>
  </sheetViews>
  <sheetFormatPr defaultRowHeight="14.4" x14ac:dyDescent="0.3"/>
  <cols>
    <col min="1" max="1" width="1.6640625" customWidth="1"/>
    <col min="2" max="2" width="3.6640625" customWidth="1"/>
    <col min="3" max="3" width="36.33203125" customWidth="1"/>
    <col min="4" max="4" width="2.6640625" customWidth="1"/>
    <col min="5" max="5" width="2.88671875" customWidth="1"/>
    <col min="6" max="11" width="4.44140625" customWidth="1"/>
    <col min="12" max="12" width="11.88671875" customWidth="1"/>
    <col min="13" max="18" width="4.44140625" customWidth="1"/>
    <col min="19" max="19" width="11.44140625" customWidth="1"/>
    <col min="20" max="25" width="4.44140625" customWidth="1"/>
    <col min="26" max="26" width="6.109375" customWidth="1"/>
    <col min="27" max="27" width="4.44140625" customWidth="1"/>
    <col min="28" max="28" width="5.88671875" customWidth="1"/>
    <col min="29" max="29" width="4.44140625" customWidth="1"/>
    <col min="30" max="30" width="6.33203125" customWidth="1"/>
    <col min="31" max="31" width="13.109375" customWidth="1"/>
    <col min="32" max="32" width="3.44140625" customWidth="1"/>
    <col min="33" max="33" width="5" customWidth="1"/>
    <col min="267" max="267" width="1.6640625" customWidth="1"/>
    <col min="268" max="268" width="3.6640625" customWidth="1"/>
    <col min="269" max="269" width="23.44140625" customWidth="1"/>
    <col min="270" max="281" width="4.44140625" customWidth="1"/>
    <col min="282" max="282" width="6.109375" customWidth="1"/>
    <col min="283" max="283" width="4.44140625" customWidth="1"/>
    <col min="284" max="284" width="7.5546875" customWidth="1"/>
    <col min="285" max="285" width="4.44140625" customWidth="1"/>
    <col min="286" max="286" width="6.33203125" customWidth="1"/>
    <col min="287" max="287" width="7.88671875" customWidth="1"/>
    <col min="288" max="288" width="3.44140625" customWidth="1"/>
    <col min="289" max="289" width="5" customWidth="1"/>
    <col min="523" max="523" width="1.6640625" customWidth="1"/>
    <col min="524" max="524" width="3.6640625" customWidth="1"/>
    <col min="525" max="525" width="23.44140625" customWidth="1"/>
    <col min="526" max="537" width="4.44140625" customWidth="1"/>
    <col min="538" max="538" width="6.109375" customWidth="1"/>
    <col min="539" max="539" width="4.44140625" customWidth="1"/>
    <col min="540" max="540" width="7.5546875" customWidth="1"/>
    <col min="541" max="541" width="4.44140625" customWidth="1"/>
    <col min="542" max="542" width="6.33203125" customWidth="1"/>
    <col min="543" max="543" width="7.88671875" customWidth="1"/>
    <col min="544" max="544" width="3.44140625" customWidth="1"/>
    <col min="545" max="545" width="5" customWidth="1"/>
    <col min="779" max="779" width="1.6640625" customWidth="1"/>
    <col min="780" max="780" width="3.6640625" customWidth="1"/>
    <col min="781" max="781" width="23.44140625" customWidth="1"/>
    <col min="782" max="793" width="4.44140625" customWidth="1"/>
    <col min="794" max="794" width="6.109375" customWidth="1"/>
    <col min="795" max="795" width="4.44140625" customWidth="1"/>
    <col min="796" max="796" width="7.5546875" customWidth="1"/>
    <col min="797" max="797" width="4.44140625" customWidth="1"/>
    <col min="798" max="798" width="6.33203125" customWidth="1"/>
    <col min="799" max="799" width="7.88671875" customWidth="1"/>
    <col min="800" max="800" width="3.44140625" customWidth="1"/>
    <col min="801" max="801" width="5" customWidth="1"/>
    <col min="1035" max="1035" width="1.6640625" customWidth="1"/>
    <col min="1036" max="1036" width="3.6640625" customWidth="1"/>
    <col min="1037" max="1037" width="23.44140625" customWidth="1"/>
    <col min="1038" max="1049" width="4.44140625" customWidth="1"/>
    <col min="1050" max="1050" width="6.109375" customWidth="1"/>
    <col min="1051" max="1051" width="4.44140625" customWidth="1"/>
    <col min="1052" max="1052" width="7.5546875" customWidth="1"/>
    <col min="1053" max="1053" width="4.44140625" customWidth="1"/>
    <col min="1054" max="1054" width="6.33203125" customWidth="1"/>
    <col min="1055" max="1055" width="7.88671875" customWidth="1"/>
    <col min="1056" max="1056" width="3.44140625" customWidth="1"/>
    <col min="1057" max="1057" width="5" customWidth="1"/>
    <col min="1291" max="1291" width="1.6640625" customWidth="1"/>
    <col min="1292" max="1292" width="3.6640625" customWidth="1"/>
    <col min="1293" max="1293" width="23.44140625" customWidth="1"/>
    <col min="1294" max="1305" width="4.44140625" customWidth="1"/>
    <col min="1306" max="1306" width="6.109375" customWidth="1"/>
    <col min="1307" max="1307" width="4.44140625" customWidth="1"/>
    <col min="1308" max="1308" width="7.5546875" customWidth="1"/>
    <col min="1309" max="1309" width="4.44140625" customWidth="1"/>
    <col min="1310" max="1310" width="6.33203125" customWidth="1"/>
    <col min="1311" max="1311" width="7.88671875" customWidth="1"/>
    <col min="1312" max="1312" width="3.44140625" customWidth="1"/>
    <col min="1313" max="1313" width="5" customWidth="1"/>
    <col min="1547" max="1547" width="1.6640625" customWidth="1"/>
    <col min="1548" max="1548" width="3.6640625" customWidth="1"/>
    <col min="1549" max="1549" width="23.44140625" customWidth="1"/>
    <col min="1550" max="1561" width="4.44140625" customWidth="1"/>
    <col min="1562" max="1562" width="6.109375" customWidth="1"/>
    <col min="1563" max="1563" width="4.44140625" customWidth="1"/>
    <col min="1564" max="1564" width="7.5546875" customWidth="1"/>
    <col min="1565" max="1565" width="4.44140625" customWidth="1"/>
    <col min="1566" max="1566" width="6.33203125" customWidth="1"/>
    <col min="1567" max="1567" width="7.88671875" customWidth="1"/>
    <col min="1568" max="1568" width="3.44140625" customWidth="1"/>
    <col min="1569" max="1569" width="5" customWidth="1"/>
    <col min="1803" max="1803" width="1.6640625" customWidth="1"/>
    <col min="1804" max="1804" width="3.6640625" customWidth="1"/>
    <col min="1805" max="1805" width="23.44140625" customWidth="1"/>
    <col min="1806" max="1817" width="4.44140625" customWidth="1"/>
    <col min="1818" max="1818" width="6.109375" customWidth="1"/>
    <col min="1819" max="1819" width="4.44140625" customWidth="1"/>
    <col min="1820" max="1820" width="7.5546875" customWidth="1"/>
    <col min="1821" max="1821" width="4.44140625" customWidth="1"/>
    <col min="1822" max="1822" width="6.33203125" customWidth="1"/>
    <col min="1823" max="1823" width="7.88671875" customWidth="1"/>
    <col min="1824" max="1824" width="3.44140625" customWidth="1"/>
    <col min="1825" max="1825" width="5" customWidth="1"/>
    <col min="2059" max="2059" width="1.6640625" customWidth="1"/>
    <col min="2060" max="2060" width="3.6640625" customWidth="1"/>
    <col min="2061" max="2061" width="23.44140625" customWidth="1"/>
    <col min="2062" max="2073" width="4.44140625" customWidth="1"/>
    <col min="2074" max="2074" width="6.109375" customWidth="1"/>
    <col min="2075" max="2075" width="4.44140625" customWidth="1"/>
    <col min="2076" max="2076" width="7.5546875" customWidth="1"/>
    <col min="2077" max="2077" width="4.44140625" customWidth="1"/>
    <col min="2078" max="2078" width="6.33203125" customWidth="1"/>
    <col min="2079" max="2079" width="7.88671875" customWidth="1"/>
    <col min="2080" max="2080" width="3.44140625" customWidth="1"/>
    <col min="2081" max="2081" width="5" customWidth="1"/>
    <col min="2315" max="2315" width="1.6640625" customWidth="1"/>
    <col min="2316" max="2316" width="3.6640625" customWidth="1"/>
    <col min="2317" max="2317" width="23.44140625" customWidth="1"/>
    <col min="2318" max="2329" width="4.44140625" customWidth="1"/>
    <col min="2330" max="2330" width="6.109375" customWidth="1"/>
    <col min="2331" max="2331" width="4.44140625" customWidth="1"/>
    <col min="2332" max="2332" width="7.5546875" customWidth="1"/>
    <col min="2333" max="2333" width="4.44140625" customWidth="1"/>
    <col min="2334" max="2334" width="6.33203125" customWidth="1"/>
    <col min="2335" max="2335" width="7.88671875" customWidth="1"/>
    <col min="2336" max="2336" width="3.44140625" customWidth="1"/>
    <col min="2337" max="2337" width="5" customWidth="1"/>
    <col min="2571" max="2571" width="1.6640625" customWidth="1"/>
    <col min="2572" max="2572" width="3.6640625" customWidth="1"/>
    <col min="2573" max="2573" width="23.44140625" customWidth="1"/>
    <col min="2574" max="2585" width="4.44140625" customWidth="1"/>
    <col min="2586" max="2586" width="6.109375" customWidth="1"/>
    <col min="2587" max="2587" width="4.44140625" customWidth="1"/>
    <col min="2588" max="2588" width="7.5546875" customWidth="1"/>
    <col min="2589" max="2589" width="4.44140625" customWidth="1"/>
    <col min="2590" max="2590" width="6.33203125" customWidth="1"/>
    <col min="2591" max="2591" width="7.88671875" customWidth="1"/>
    <col min="2592" max="2592" width="3.44140625" customWidth="1"/>
    <col min="2593" max="2593" width="5" customWidth="1"/>
    <col min="2827" max="2827" width="1.6640625" customWidth="1"/>
    <col min="2828" max="2828" width="3.6640625" customWidth="1"/>
    <col min="2829" max="2829" width="23.44140625" customWidth="1"/>
    <col min="2830" max="2841" width="4.44140625" customWidth="1"/>
    <col min="2842" max="2842" width="6.109375" customWidth="1"/>
    <col min="2843" max="2843" width="4.44140625" customWidth="1"/>
    <col min="2844" max="2844" width="7.5546875" customWidth="1"/>
    <col min="2845" max="2845" width="4.44140625" customWidth="1"/>
    <col min="2846" max="2846" width="6.33203125" customWidth="1"/>
    <col min="2847" max="2847" width="7.88671875" customWidth="1"/>
    <col min="2848" max="2848" width="3.44140625" customWidth="1"/>
    <col min="2849" max="2849" width="5" customWidth="1"/>
    <col min="3083" max="3083" width="1.6640625" customWidth="1"/>
    <col min="3084" max="3084" width="3.6640625" customWidth="1"/>
    <col min="3085" max="3085" width="23.44140625" customWidth="1"/>
    <col min="3086" max="3097" width="4.44140625" customWidth="1"/>
    <col min="3098" max="3098" width="6.109375" customWidth="1"/>
    <col min="3099" max="3099" width="4.44140625" customWidth="1"/>
    <col min="3100" max="3100" width="7.5546875" customWidth="1"/>
    <col min="3101" max="3101" width="4.44140625" customWidth="1"/>
    <col min="3102" max="3102" width="6.33203125" customWidth="1"/>
    <col min="3103" max="3103" width="7.88671875" customWidth="1"/>
    <col min="3104" max="3104" width="3.44140625" customWidth="1"/>
    <col min="3105" max="3105" width="5" customWidth="1"/>
    <col min="3339" max="3339" width="1.6640625" customWidth="1"/>
    <col min="3340" max="3340" width="3.6640625" customWidth="1"/>
    <col min="3341" max="3341" width="23.44140625" customWidth="1"/>
    <col min="3342" max="3353" width="4.44140625" customWidth="1"/>
    <col min="3354" max="3354" width="6.109375" customWidth="1"/>
    <col min="3355" max="3355" width="4.44140625" customWidth="1"/>
    <col min="3356" max="3356" width="7.5546875" customWidth="1"/>
    <col min="3357" max="3357" width="4.44140625" customWidth="1"/>
    <col min="3358" max="3358" width="6.33203125" customWidth="1"/>
    <col min="3359" max="3359" width="7.88671875" customWidth="1"/>
    <col min="3360" max="3360" width="3.44140625" customWidth="1"/>
    <col min="3361" max="3361" width="5" customWidth="1"/>
    <col min="3595" max="3595" width="1.6640625" customWidth="1"/>
    <col min="3596" max="3596" width="3.6640625" customWidth="1"/>
    <col min="3597" max="3597" width="23.44140625" customWidth="1"/>
    <col min="3598" max="3609" width="4.44140625" customWidth="1"/>
    <col min="3610" max="3610" width="6.109375" customWidth="1"/>
    <col min="3611" max="3611" width="4.44140625" customWidth="1"/>
    <col min="3612" max="3612" width="7.5546875" customWidth="1"/>
    <col min="3613" max="3613" width="4.44140625" customWidth="1"/>
    <col min="3614" max="3614" width="6.33203125" customWidth="1"/>
    <col min="3615" max="3615" width="7.88671875" customWidth="1"/>
    <col min="3616" max="3616" width="3.44140625" customWidth="1"/>
    <col min="3617" max="3617" width="5" customWidth="1"/>
    <col min="3851" max="3851" width="1.6640625" customWidth="1"/>
    <col min="3852" max="3852" width="3.6640625" customWidth="1"/>
    <col min="3853" max="3853" width="23.44140625" customWidth="1"/>
    <col min="3854" max="3865" width="4.44140625" customWidth="1"/>
    <col min="3866" max="3866" width="6.109375" customWidth="1"/>
    <col min="3867" max="3867" width="4.44140625" customWidth="1"/>
    <col min="3868" max="3868" width="7.5546875" customWidth="1"/>
    <col min="3869" max="3869" width="4.44140625" customWidth="1"/>
    <col min="3870" max="3870" width="6.33203125" customWidth="1"/>
    <col min="3871" max="3871" width="7.88671875" customWidth="1"/>
    <col min="3872" max="3872" width="3.44140625" customWidth="1"/>
    <col min="3873" max="3873" width="5" customWidth="1"/>
    <col min="4107" max="4107" width="1.6640625" customWidth="1"/>
    <col min="4108" max="4108" width="3.6640625" customWidth="1"/>
    <col min="4109" max="4109" width="23.44140625" customWidth="1"/>
    <col min="4110" max="4121" width="4.44140625" customWidth="1"/>
    <col min="4122" max="4122" width="6.109375" customWidth="1"/>
    <col min="4123" max="4123" width="4.44140625" customWidth="1"/>
    <col min="4124" max="4124" width="7.5546875" customWidth="1"/>
    <col min="4125" max="4125" width="4.44140625" customWidth="1"/>
    <col min="4126" max="4126" width="6.33203125" customWidth="1"/>
    <col min="4127" max="4127" width="7.88671875" customWidth="1"/>
    <col min="4128" max="4128" width="3.44140625" customWidth="1"/>
    <col min="4129" max="4129" width="5" customWidth="1"/>
    <col min="4363" max="4363" width="1.6640625" customWidth="1"/>
    <col min="4364" max="4364" width="3.6640625" customWidth="1"/>
    <col min="4365" max="4365" width="23.44140625" customWidth="1"/>
    <col min="4366" max="4377" width="4.44140625" customWidth="1"/>
    <col min="4378" max="4378" width="6.109375" customWidth="1"/>
    <col min="4379" max="4379" width="4.44140625" customWidth="1"/>
    <col min="4380" max="4380" width="7.5546875" customWidth="1"/>
    <col min="4381" max="4381" width="4.44140625" customWidth="1"/>
    <col min="4382" max="4382" width="6.33203125" customWidth="1"/>
    <col min="4383" max="4383" width="7.88671875" customWidth="1"/>
    <col min="4384" max="4384" width="3.44140625" customWidth="1"/>
    <col min="4385" max="4385" width="5" customWidth="1"/>
    <col min="4619" max="4619" width="1.6640625" customWidth="1"/>
    <col min="4620" max="4620" width="3.6640625" customWidth="1"/>
    <col min="4621" max="4621" width="23.44140625" customWidth="1"/>
    <col min="4622" max="4633" width="4.44140625" customWidth="1"/>
    <col min="4634" max="4634" width="6.109375" customWidth="1"/>
    <col min="4635" max="4635" width="4.44140625" customWidth="1"/>
    <col min="4636" max="4636" width="7.5546875" customWidth="1"/>
    <col min="4637" max="4637" width="4.44140625" customWidth="1"/>
    <col min="4638" max="4638" width="6.33203125" customWidth="1"/>
    <col min="4639" max="4639" width="7.88671875" customWidth="1"/>
    <col min="4640" max="4640" width="3.44140625" customWidth="1"/>
    <col min="4641" max="4641" width="5" customWidth="1"/>
    <col min="4875" max="4875" width="1.6640625" customWidth="1"/>
    <col min="4876" max="4876" width="3.6640625" customWidth="1"/>
    <col min="4877" max="4877" width="23.44140625" customWidth="1"/>
    <col min="4878" max="4889" width="4.44140625" customWidth="1"/>
    <col min="4890" max="4890" width="6.109375" customWidth="1"/>
    <col min="4891" max="4891" width="4.44140625" customWidth="1"/>
    <col min="4892" max="4892" width="7.5546875" customWidth="1"/>
    <col min="4893" max="4893" width="4.44140625" customWidth="1"/>
    <col min="4894" max="4894" width="6.33203125" customWidth="1"/>
    <col min="4895" max="4895" width="7.88671875" customWidth="1"/>
    <col min="4896" max="4896" width="3.44140625" customWidth="1"/>
    <col min="4897" max="4897" width="5" customWidth="1"/>
    <col min="5131" max="5131" width="1.6640625" customWidth="1"/>
    <col min="5132" max="5132" width="3.6640625" customWidth="1"/>
    <col min="5133" max="5133" width="23.44140625" customWidth="1"/>
    <col min="5134" max="5145" width="4.44140625" customWidth="1"/>
    <col min="5146" max="5146" width="6.109375" customWidth="1"/>
    <col min="5147" max="5147" width="4.44140625" customWidth="1"/>
    <col min="5148" max="5148" width="7.5546875" customWidth="1"/>
    <col min="5149" max="5149" width="4.44140625" customWidth="1"/>
    <col min="5150" max="5150" width="6.33203125" customWidth="1"/>
    <col min="5151" max="5151" width="7.88671875" customWidth="1"/>
    <col min="5152" max="5152" width="3.44140625" customWidth="1"/>
    <col min="5153" max="5153" width="5" customWidth="1"/>
    <col min="5387" max="5387" width="1.6640625" customWidth="1"/>
    <col min="5388" max="5388" width="3.6640625" customWidth="1"/>
    <col min="5389" max="5389" width="23.44140625" customWidth="1"/>
    <col min="5390" max="5401" width="4.44140625" customWidth="1"/>
    <col min="5402" max="5402" width="6.109375" customWidth="1"/>
    <col min="5403" max="5403" width="4.44140625" customWidth="1"/>
    <col min="5404" max="5404" width="7.5546875" customWidth="1"/>
    <col min="5405" max="5405" width="4.44140625" customWidth="1"/>
    <col min="5406" max="5406" width="6.33203125" customWidth="1"/>
    <col min="5407" max="5407" width="7.88671875" customWidth="1"/>
    <col min="5408" max="5408" width="3.44140625" customWidth="1"/>
    <col min="5409" max="5409" width="5" customWidth="1"/>
    <col min="5643" max="5643" width="1.6640625" customWidth="1"/>
    <col min="5644" max="5644" width="3.6640625" customWidth="1"/>
    <col min="5645" max="5645" width="23.44140625" customWidth="1"/>
    <col min="5646" max="5657" width="4.44140625" customWidth="1"/>
    <col min="5658" max="5658" width="6.109375" customWidth="1"/>
    <col min="5659" max="5659" width="4.44140625" customWidth="1"/>
    <col min="5660" max="5660" width="7.5546875" customWidth="1"/>
    <col min="5661" max="5661" width="4.44140625" customWidth="1"/>
    <col min="5662" max="5662" width="6.33203125" customWidth="1"/>
    <col min="5663" max="5663" width="7.88671875" customWidth="1"/>
    <col min="5664" max="5664" width="3.44140625" customWidth="1"/>
    <col min="5665" max="5665" width="5" customWidth="1"/>
    <col min="5899" max="5899" width="1.6640625" customWidth="1"/>
    <col min="5900" max="5900" width="3.6640625" customWidth="1"/>
    <col min="5901" max="5901" width="23.44140625" customWidth="1"/>
    <col min="5902" max="5913" width="4.44140625" customWidth="1"/>
    <col min="5914" max="5914" width="6.109375" customWidth="1"/>
    <col min="5915" max="5915" width="4.44140625" customWidth="1"/>
    <col min="5916" max="5916" width="7.5546875" customWidth="1"/>
    <col min="5917" max="5917" width="4.44140625" customWidth="1"/>
    <col min="5918" max="5918" width="6.33203125" customWidth="1"/>
    <col min="5919" max="5919" width="7.88671875" customWidth="1"/>
    <col min="5920" max="5920" width="3.44140625" customWidth="1"/>
    <col min="5921" max="5921" width="5" customWidth="1"/>
    <col min="6155" max="6155" width="1.6640625" customWidth="1"/>
    <col min="6156" max="6156" width="3.6640625" customWidth="1"/>
    <col min="6157" max="6157" width="23.44140625" customWidth="1"/>
    <col min="6158" max="6169" width="4.44140625" customWidth="1"/>
    <col min="6170" max="6170" width="6.109375" customWidth="1"/>
    <col min="6171" max="6171" width="4.44140625" customWidth="1"/>
    <col min="6172" max="6172" width="7.5546875" customWidth="1"/>
    <col min="6173" max="6173" width="4.44140625" customWidth="1"/>
    <col min="6174" max="6174" width="6.33203125" customWidth="1"/>
    <col min="6175" max="6175" width="7.88671875" customWidth="1"/>
    <col min="6176" max="6176" width="3.44140625" customWidth="1"/>
    <col min="6177" max="6177" width="5" customWidth="1"/>
    <col min="6411" max="6411" width="1.6640625" customWidth="1"/>
    <col min="6412" max="6412" width="3.6640625" customWidth="1"/>
    <col min="6413" max="6413" width="23.44140625" customWidth="1"/>
    <col min="6414" max="6425" width="4.44140625" customWidth="1"/>
    <col min="6426" max="6426" width="6.109375" customWidth="1"/>
    <col min="6427" max="6427" width="4.44140625" customWidth="1"/>
    <col min="6428" max="6428" width="7.5546875" customWidth="1"/>
    <col min="6429" max="6429" width="4.44140625" customWidth="1"/>
    <col min="6430" max="6430" width="6.33203125" customWidth="1"/>
    <col min="6431" max="6431" width="7.88671875" customWidth="1"/>
    <col min="6432" max="6432" width="3.44140625" customWidth="1"/>
    <col min="6433" max="6433" width="5" customWidth="1"/>
    <col min="6667" max="6667" width="1.6640625" customWidth="1"/>
    <col min="6668" max="6668" width="3.6640625" customWidth="1"/>
    <col min="6669" max="6669" width="23.44140625" customWidth="1"/>
    <col min="6670" max="6681" width="4.44140625" customWidth="1"/>
    <col min="6682" max="6682" width="6.109375" customWidth="1"/>
    <col min="6683" max="6683" width="4.44140625" customWidth="1"/>
    <col min="6684" max="6684" width="7.5546875" customWidth="1"/>
    <col min="6685" max="6685" width="4.44140625" customWidth="1"/>
    <col min="6686" max="6686" width="6.33203125" customWidth="1"/>
    <col min="6687" max="6687" width="7.88671875" customWidth="1"/>
    <col min="6688" max="6688" width="3.44140625" customWidth="1"/>
    <col min="6689" max="6689" width="5" customWidth="1"/>
    <col min="6923" max="6923" width="1.6640625" customWidth="1"/>
    <col min="6924" max="6924" width="3.6640625" customWidth="1"/>
    <col min="6925" max="6925" width="23.44140625" customWidth="1"/>
    <col min="6926" max="6937" width="4.44140625" customWidth="1"/>
    <col min="6938" max="6938" width="6.109375" customWidth="1"/>
    <col min="6939" max="6939" width="4.44140625" customWidth="1"/>
    <col min="6940" max="6940" width="7.5546875" customWidth="1"/>
    <col min="6941" max="6941" width="4.44140625" customWidth="1"/>
    <col min="6942" max="6942" width="6.33203125" customWidth="1"/>
    <col min="6943" max="6943" width="7.88671875" customWidth="1"/>
    <col min="6944" max="6944" width="3.44140625" customWidth="1"/>
    <col min="6945" max="6945" width="5" customWidth="1"/>
    <col min="7179" max="7179" width="1.6640625" customWidth="1"/>
    <col min="7180" max="7180" width="3.6640625" customWidth="1"/>
    <col min="7181" max="7181" width="23.44140625" customWidth="1"/>
    <col min="7182" max="7193" width="4.44140625" customWidth="1"/>
    <col min="7194" max="7194" width="6.109375" customWidth="1"/>
    <col min="7195" max="7195" width="4.44140625" customWidth="1"/>
    <col min="7196" max="7196" width="7.5546875" customWidth="1"/>
    <col min="7197" max="7197" width="4.44140625" customWidth="1"/>
    <col min="7198" max="7198" width="6.33203125" customWidth="1"/>
    <col min="7199" max="7199" width="7.88671875" customWidth="1"/>
    <col min="7200" max="7200" width="3.44140625" customWidth="1"/>
    <col min="7201" max="7201" width="5" customWidth="1"/>
    <col min="7435" max="7435" width="1.6640625" customWidth="1"/>
    <col min="7436" max="7436" width="3.6640625" customWidth="1"/>
    <col min="7437" max="7437" width="23.44140625" customWidth="1"/>
    <col min="7438" max="7449" width="4.44140625" customWidth="1"/>
    <col min="7450" max="7450" width="6.109375" customWidth="1"/>
    <col min="7451" max="7451" width="4.44140625" customWidth="1"/>
    <col min="7452" max="7452" width="7.5546875" customWidth="1"/>
    <col min="7453" max="7453" width="4.44140625" customWidth="1"/>
    <col min="7454" max="7454" width="6.33203125" customWidth="1"/>
    <col min="7455" max="7455" width="7.88671875" customWidth="1"/>
    <col min="7456" max="7456" width="3.44140625" customWidth="1"/>
    <col min="7457" max="7457" width="5" customWidth="1"/>
    <col min="7691" max="7691" width="1.6640625" customWidth="1"/>
    <col min="7692" max="7692" width="3.6640625" customWidth="1"/>
    <col min="7693" max="7693" width="23.44140625" customWidth="1"/>
    <col min="7694" max="7705" width="4.44140625" customWidth="1"/>
    <col min="7706" max="7706" width="6.109375" customWidth="1"/>
    <col min="7707" max="7707" width="4.44140625" customWidth="1"/>
    <col min="7708" max="7708" width="7.5546875" customWidth="1"/>
    <col min="7709" max="7709" width="4.44140625" customWidth="1"/>
    <col min="7710" max="7710" width="6.33203125" customWidth="1"/>
    <col min="7711" max="7711" width="7.88671875" customWidth="1"/>
    <col min="7712" max="7712" width="3.44140625" customWidth="1"/>
    <col min="7713" max="7713" width="5" customWidth="1"/>
    <col min="7947" max="7947" width="1.6640625" customWidth="1"/>
    <col min="7948" max="7948" width="3.6640625" customWidth="1"/>
    <col min="7949" max="7949" width="23.44140625" customWidth="1"/>
    <col min="7950" max="7961" width="4.44140625" customWidth="1"/>
    <col min="7962" max="7962" width="6.109375" customWidth="1"/>
    <col min="7963" max="7963" width="4.44140625" customWidth="1"/>
    <col min="7964" max="7964" width="7.5546875" customWidth="1"/>
    <col min="7965" max="7965" width="4.44140625" customWidth="1"/>
    <col min="7966" max="7966" width="6.33203125" customWidth="1"/>
    <col min="7967" max="7967" width="7.88671875" customWidth="1"/>
    <col min="7968" max="7968" width="3.44140625" customWidth="1"/>
    <col min="7969" max="7969" width="5" customWidth="1"/>
    <col min="8203" max="8203" width="1.6640625" customWidth="1"/>
    <col min="8204" max="8204" width="3.6640625" customWidth="1"/>
    <col min="8205" max="8205" width="23.44140625" customWidth="1"/>
    <col min="8206" max="8217" width="4.44140625" customWidth="1"/>
    <col min="8218" max="8218" width="6.109375" customWidth="1"/>
    <col min="8219" max="8219" width="4.44140625" customWidth="1"/>
    <col min="8220" max="8220" width="7.5546875" customWidth="1"/>
    <col min="8221" max="8221" width="4.44140625" customWidth="1"/>
    <col min="8222" max="8222" width="6.33203125" customWidth="1"/>
    <col min="8223" max="8223" width="7.88671875" customWidth="1"/>
    <col min="8224" max="8224" width="3.44140625" customWidth="1"/>
    <col min="8225" max="8225" width="5" customWidth="1"/>
    <col min="8459" max="8459" width="1.6640625" customWidth="1"/>
    <col min="8460" max="8460" width="3.6640625" customWidth="1"/>
    <col min="8461" max="8461" width="23.44140625" customWidth="1"/>
    <col min="8462" max="8473" width="4.44140625" customWidth="1"/>
    <col min="8474" max="8474" width="6.109375" customWidth="1"/>
    <col min="8475" max="8475" width="4.44140625" customWidth="1"/>
    <col min="8476" max="8476" width="7.5546875" customWidth="1"/>
    <col min="8477" max="8477" width="4.44140625" customWidth="1"/>
    <col min="8478" max="8478" width="6.33203125" customWidth="1"/>
    <col min="8479" max="8479" width="7.88671875" customWidth="1"/>
    <col min="8480" max="8480" width="3.44140625" customWidth="1"/>
    <col min="8481" max="8481" width="5" customWidth="1"/>
    <col min="8715" max="8715" width="1.6640625" customWidth="1"/>
    <col min="8716" max="8716" width="3.6640625" customWidth="1"/>
    <col min="8717" max="8717" width="23.44140625" customWidth="1"/>
    <col min="8718" max="8729" width="4.44140625" customWidth="1"/>
    <col min="8730" max="8730" width="6.109375" customWidth="1"/>
    <col min="8731" max="8731" width="4.44140625" customWidth="1"/>
    <col min="8732" max="8732" width="7.5546875" customWidth="1"/>
    <col min="8733" max="8733" width="4.44140625" customWidth="1"/>
    <col min="8734" max="8734" width="6.33203125" customWidth="1"/>
    <col min="8735" max="8735" width="7.88671875" customWidth="1"/>
    <col min="8736" max="8736" width="3.44140625" customWidth="1"/>
    <col min="8737" max="8737" width="5" customWidth="1"/>
    <col min="8971" max="8971" width="1.6640625" customWidth="1"/>
    <col min="8972" max="8972" width="3.6640625" customWidth="1"/>
    <col min="8973" max="8973" width="23.44140625" customWidth="1"/>
    <col min="8974" max="8985" width="4.44140625" customWidth="1"/>
    <col min="8986" max="8986" width="6.109375" customWidth="1"/>
    <col min="8987" max="8987" width="4.44140625" customWidth="1"/>
    <col min="8988" max="8988" width="7.5546875" customWidth="1"/>
    <col min="8989" max="8989" width="4.44140625" customWidth="1"/>
    <col min="8990" max="8990" width="6.33203125" customWidth="1"/>
    <col min="8991" max="8991" width="7.88671875" customWidth="1"/>
    <col min="8992" max="8992" width="3.44140625" customWidth="1"/>
    <col min="8993" max="8993" width="5" customWidth="1"/>
    <col min="9227" max="9227" width="1.6640625" customWidth="1"/>
    <col min="9228" max="9228" width="3.6640625" customWidth="1"/>
    <col min="9229" max="9229" width="23.44140625" customWidth="1"/>
    <col min="9230" max="9241" width="4.44140625" customWidth="1"/>
    <col min="9242" max="9242" width="6.109375" customWidth="1"/>
    <col min="9243" max="9243" width="4.44140625" customWidth="1"/>
    <col min="9244" max="9244" width="7.5546875" customWidth="1"/>
    <col min="9245" max="9245" width="4.44140625" customWidth="1"/>
    <col min="9246" max="9246" width="6.33203125" customWidth="1"/>
    <col min="9247" max="9247" width="7.88671875" customWidth="1"/>
    <col min="9248" max="9248" width="3.44140625" customWidth="1"/>
    <col min="9249" max="9249" width="5" customWidth="1"/>
    <col min="9483" max="9483" width="1.6640625" customWidth="1"/>
    <col min="9484" max="9484" width="3.6640625" customWidth="1"/>
    <col min="9485" max="9485" width="23.44140625" customWidth="1"/>
    <col min="9486" max="9497" width="4.44140625" customWidth="1"/>
    <col min="9498" max="9498" width="6.109375" customWidth="1"/>
    <col min="9499" max="9499" width="4.44140625" customWidth="1"/>
    <col min="9500" max="9500" width="7.5546875" customWidth="1"/>
    <col min="9501" max="9501" width="4.44140625" customWidth="1"/>
    <col min="9502" max="9502" width="6.33203125" customWidth="1"/>
    <col min="9503" max="9503" width="7.88671875" customWidth="1"/>
    <col min="9504" max="9504" width="3.44140625" customWidth="1"/>
    <col min="9505" max="9505" width="5" customWidth="1"/>
    <col min="9739" max="9739" width="1.6640625" customWidth="1"/>
    <col min="9740" max="9740" width="3.6640625" customWidth="1"/>
    <col min="9741" max="9741" width="23.44140625" customWidth="1"/>
    <col min="9742" max="9753" width="4.44140625" customWidth="1"/>
    <col min="9754" max="9754" width="6.109375" customWidth="1"/>
    <col min="9755" max="9755" width="4.44140625" customWidth="1"/>
    <col min="9756" max="9756" width="7.5546875" customWidth="1"/>
    <col min="9757" max="9757" width="4.44140625" customWidth="1"/>
    <col min="9758" max="9758" width="6.33203125" customWidth="1"/>
    <col min="9759" max="9759" width="7.88671875" customWidth="1"/>
    <col min="9760" max="9760" width="3.44140625" customWidth="1"/>
    <col min="9761" max="9761" width="5" customWidth="1"/>
    <col min="9995" max="9995" width="1.6640625" customWidth="1"/>
    <col min="9996" max="9996" width="3.6640625" customWidth="1"/>
    <col min="9997" max="9997" width="23.44140625" customWidth="1"/>
    <col min="9998" max="10009" width="4.44140625" customWidth="1"/>
    <col min="10010" max="10010" width="6.109375" customWidth="1"/>
    <col min="10011" max="10011" width="4.44140625" customWidth="1"/>
    <col min="10012" max="10012" width="7.5546875" customWidth="1"/>
    <col min="10013" max="10013" width="4.44140625" customWidth="1"/>
    <col min="10014" max="10014" width="6.33203125" customWidth="1"/>
    <col min="10015" max="10015" width="7.88671875" customWidth="1"/>
    <col min="10016" max="10016" width="3.44140625" customWidth="1"/>
    <col min="10017" max="10017" width="5" customWidth="1"/>
    <col min="10251" max="10251" width="1.6640625" customWidth="1"/>
    <col min="10252" max="10252" width="3.6640625" customWidth="1"/>
    <col min="10253" max="10253" width="23.44140625" customWidth="1"/>
    <col min="10254" max="10265" width="4.44140625" customWidth="1"/>
    <col min="10266" max="10266" width="6.109375" customWidth="1"/>
    <col min="10267" max="10267" width="4.44140625" customWidth="1"/>
    <col min="10268" max="10268" width="7.5546875" customWidth="1"/>
    <col min="10269" max="10269" width="4.44140625" customWidth="1"/>
    <col min="10270" max="10270" width="6.33203125" customWidth="1"/>
    <col min="10271" max="10271" width="7.88671875" customWidth="1"/>
    <col min="10272" max="10272" width="3.44140625" customWidth="1"/>
    <col min="10273" max="10273" width="5" customWidth="1"/>
    <col min="10507" max="10507" width="1.6640625" customWidth="1"/>
    <col min="10508" max="10508" width="3.6640625" customWidth="1"/>
    <col min="10509" max="10509" width="23.44140625" customWidth="1"/>
    <col min="10510" max="10521" width="4.44140625" customWidth="1"/>
    <col min="10522" max="10522" width="6.109375" customWidth="1"/>
    <col min="10523" max="10523" width="4.44140625" customWidth="1"/>
    <col min="10524" max="10524" width="7.5546875" customWidth="1"/>
    <col min="10525" max="10525" width="4.44140625" customWidth="1"/>
    <col min="10526" max="10526" width="6.33203125" customWidth="1"/>
    <col min="10527" max="10527" width="7.88671875" customWidth="1"/>
    <col min="10528" max="10528" width="3.44140625" customWidth="1"/>
    <col min="10529" max="10529" width="5" customWidth="1"/>
    <col min="10763" max="10763" width="1.6640625" customWidth="1"/>
    <col min="10764" max="10764" width="3.6640625" customWidth="1"/>
    <col min="10765" max="10765" width="23.44140625" customWidth="1"/>
    <col min="10766" max="10777" width="4.44140625" customWidth="1"/>
    <col min="10778" max="10778" width="6.109375" customWidth="1"/>
    <col min="10779" max="10779" width="4.44140625" customWidth="1"/>
    <col min="10780" max="10780" width="7.5546875" customWidth="1"/>
    <col min="10781" max="10781" width="4.44140625" customWidth="1"/>
    <col min="10782" max="10782" width="6.33203125" customWidth="1"/>
    <col min="10783" max="10783" width="7.88671875" customWidth="1"/>
    <col min="10784" max="10784" width="3.44140625" customWidth="1"/>
    <col min="10785" max="10785" width="5" customWidth="1"/>
    <col min="11019" max="11019" width="1.6640625" customWidth="1"/>
    <col min="11020" max="11020" width="3.6640625" customWidth="1"/>
    <col min="11021" max="11021" width="23.44140625" customWidth="1"/>
    <col min="11022" max="11033" width="4.44140625" customWidth="1"/>
    <col min="11034" max="11034" width="6.109375" customWidth="1"/>
    <col min="11035" max="11035" width="4.44140625" customWidth="1"/>
    <col min="11036" max="11036" width="7.5546875" customWidth="1"/>
    <col min="11037" max="11037" width="4.44140625" customWidth="1"/>
    <col min="11038" max="11038" width="6.33203125" customWidth="1"/>
    <col min="11039" max="11039" width="7.88671875" customWidth="1"/>
    <col min="11040" max="11040" width="3.44140625" customWidth="1"/>
    <col min="11041" max="11041" width="5" customWidth="1"/>
    <col min="11275" max="11275" width="1.6640625" customWidth="1"/>
    <col min="11276" max="11276" width="3.6640625" customWidth="1"/>
    <col min="11277" max="11277" width="23.44140625" customWidth="1"/>
    <col min="11278" max="11289" width="4.44140625" customWidth="1"/>
    <col min="11290" max="11290" width="6.109375" customWidth="1"/>
    <col min="11291" max="11291" width="4.44140625" customWidth="1"/>
    <col min="11292" max="11292" width="7.5546875" customWidth="1"/>
    <col min="11293" max="11293" width="4.44140625" customWidth="1"/>
    <col min="11294" max="11294" width="6.33203125" customWidth="1"/>
    <col min="11295" max="11295" width="7.88671875" customWidth="1"/>
    <col min="11296" max="11296" width="3.44140625" customWidth="1"/>
    <col min="11297" max="11297" width="5" customWidth="1"/>
    <col min="11531" max="11531" width="1.6640625" customWidth="1"/>
    <col min="11532" max="11532" width="3.6640625" customWidth="1"/>
    <col min="11533" max="11533" width="23.44140625" customWidth="1"/>
    <col min="11534" max="11545" width="4.44140625" customWidth="1"/>
    <col min="11546" max="11546" width="6.109375" customWidth="1"/>
    <col min="11547" max="11547" width="4.44140625" customWidth="1"/>
    <col min="11548" max="11548" width="7.5546875" customWidth="1"/>
    <col min="11549" max="11549" width="4.44140625" customWidth="1"/>
    <col min="11550" max="11550" width="6.33203125" customWidth="1"/>
    <col min="11551" max="11551" width="7.88671875" customWidth="1"/>
    <col min="11552" max="11552" width="3.44140625" customWidth="1"/>
    <col min="11553" max="11553" width="5" customWidth="1"/>
    <col min="11787" max="11787" width="1.6640625" customWidth="1"/>
    <col min="11788" max="11788" width="3.6640625" customWidth="1"/>
    <col min="11789" max="11789" width="23.44140625" customWidth="1"/>
    <col min="11790" max="11801" width="4.44140625" customWidth="1"/>
    <col min="11802" max="11802" width="6.109375" customWidth="1"/>
    <col min="11803" max="11803" width="4.44140625" customWidth="1"/>
    <col min="11804" max="11804" width="7.5546875" customWidth="1"/>
    <col min="11805" max="11805" width="4.44140625" customWidth="1"/>
    <col min="11806" max="11806" width="6.33203125" customWidth="1"/>
    <col min="11807" max="11807" width="7.88671875" customWidth="1"/>
    <col min="11808" max="11808" width="3.44140625" customWidth="1"/>
    <col min="11809" max="11809" width="5" customWidth="1"/>
    <col min="12043" max="12043" width="1.6640625" customWidth="1"/>
    <col min="12044" max="12044" width="3.6640625" customWidth="1"/>
    <col min="12045" max="12045" width="23.44140625" customWidth="1"/>
    <col min="12046" max="12057" width="4.44140625" customWidth="1"/>
    <col min="12058" max="12058" width="6.109375" customWidth="1"/>
    <col min="12059" max="12059" width="4.44140625" customWidth="1"/>
    <col min="12060" max="12060" width="7.5546875" customWidth="1"/>
    <col min="12061" max="12061" width="4.44140625" customWidth="1"/>
    <col min="12062" max="12062" width="6.33203125" customWidth="1"/>
    <col min="12063" max="12063" width="7.88671875" customWidth="1"/>
    <col min="12064" max="12064" width="3.44140625" customWidth="1"/>
    <col min="12065" max="12065" width="5" customWidth="1"/>
    <col min="12299" max="12299" width="1.6640625" customWidth="1"/>
    <col min="12300" max="12300" width="3.6640625" customWidth="1"/>
    <col min="12301" max="12301" width="23.44140625" customWidth="1"/>
    <col min="12302" max="12313" width="4.44140625" customWidth="1"/>
    <col min="12314" max="12314" width="6.109375" customWidth="1"/>
    <col min="12315" max="12315" width="4.44140625" customWidth="1"/>
    <col min="12316" max="12316" width="7.5546875" customWidth="1"/>
    <col min="12317" max="12317" width="4.44140625" customWidth="1"/>
    <col min="12318" max="12318" width="6.33203125" customWidth="1"/>
    <col min="12319" max="12319" width="7.88671875" customWidth="1"/>
    <col min="12320" max="12320" width="3.44140625" customWidth="1"/>
    <col min="12321" max="12321" width="5" customWidth="1"/>
    <col min="12555" max="12555" width="1.6640625" customWidth="1"/>
    <col min="12556" max="12556" width="3.6640625" customWidth="1"/>
    <col min="12557" max="12557" width="23.44140625" customWidth="1"/>
    <col min="12558" max="12569" width="4.44140625" customWidth="1"/>
    <col min="12570" max="12570" width="6.109375" customWidth="1"/>
    <col min="12571" max="12571" width="4.44140625" customWidth="1"/>
    <col min="12572" max="12572" width="7.5546875" customWidth="1"/>
    <col min="12573" max="12573" width="4.44140625" customWidth="1"/>
    <col min="12574" max="12574" width="6.33203125" customWidth="1"/>
    <col min="12575" max="12575" width="7.88671875" customWidth="1"/>
    <col min="12576" max="12576" width="3.44140625" customWidth="1"/>
    <col min="12577" max="12577" width="5" customWidth="1"/>
    <col min="12811" max="12811" width="1.6640625" customWidth="1"/>
    <col min="12812" max="12812" width="3.6640625" customWidth="1"/>
    <col min="12813" max="12813" width="23.44140625" customWidth="1"/>
    <col min="12814" max="12825" width="4.44140625" customWidth="1"/>
    <col min="12826" max="12826" width="6.109375" customWidth="1"/>
    <col min="12827" max="12827" width="4.44140625" customWidth="1"/>
    <col min="12828" max="12828" width="7.5546875" customWidth="1"/>
    <col min="12829" max="12829" width="4.44140625" customWidth="1"/>
    <col min="12830" max="12830" width="6.33203125" customWidth="1"/>
    <col min="12831" max="12831" width="7.88671875" customWidth="1"/>
    <col min="12832" max="12832" width="3.44140625" customWidth="1"/>
    <col min="12833" max="12833" width="5" customWidth="1"/>
    <col min="13067" max="13067" width="1.6640625" customWidth="1"/>
    <col min="13068" max="13068" width="3.6640625" customWidth="1"/>
    <col min="13069" max="13069" width="23.44140625" customWidth="1"/>
    <col min="13070" max="13081" width="4.44140625" customWidth="1"/>
    <col min="13082" max="13082" width="6.109375" customWidth="1"/>
    <col min="13083" max="13083" width="4.44140625" customWidth="1"/>
    <col min="13084" max="13084" width="7.5546875" customWidth="1"/>
    <col min="13085" max="13085" width="4.44140625" customWidth="1"/>
    <col min="13086" max="13086" width="6.33203125" customWidth="1"/>
    <col min="13087" max="13087" width="7.88671875" customWidth="1"/>
    <col min="13088" max="13088" width="3.44140625" customWidth="1"/>
    <col min="13089" max="13089" width="5" customWidth="1"/>
    <col min="13323" max="13323" width="1.6640625" customWidth="1"/>
    <col min="13324" max="13324" width="3.6640625" customWidth="1"/>
    <col min="13325" max="13325" width="23.44140625" customWidth="1"/>
    <col min="13326" max="13337" width="4.44140625" customWidth="1"/>
    <col min="13338" max="13338" width="6.109375" customWidth="1"/>
    <col min="13339" max="13339" width="4.44140625" customWidth="1"/>
    <col min="13340" max="13340" width="7.5546875" customWidth="1"/>
    <col min="13341" max="13341" width="4.44140625" customWidth="1"/>
    <col min="13342" max="13342" width="6.33203125" customWidth="1"/>
    <col min="13343" max="13343" width="7.88671875" customWidth="1"/>
    <col min="13344" max="13344" width="3.44140625" customWidth="1"/>
    <col min="13345" max="13345" width="5" customWidth="1"/>
    <col min="13579" max="13579" width="1.6640625" customWidth="1"/>
    <col min="13580" max="13580" width="3.6640625" customWidth="1"/>
    <col min="13581" max="13581" width="23.44140625" customWidth="1"/>
    <col min="13582" max="13593" width="4.44140625" customWidth="1"/>
    <col min="13594" max="13594" width="6.109375" customWidth="1"/>
    <col min="13595" max="13595" width="4.44140625" customWidth="1"/>
    <col min="13596" max="13596" width="7.5546875" customWidth="1"/>
    <col min="13597" max="13597" width="4.44140625" customWidth="1"/>
    <col min="13598" max="13598" width="6.33203125" customWidth="1"/>
    <col min="13599" max="13599" width="7.88671875" customWidth="1"/>
    <col min="13600" max="13600" width="3.44140625" customWidth="1"/>
    <col min="13601" max="13601" width="5" customWidth="1"/>
    <col min="13835" max="13835" width="1.6640625" customWidth="1"/>
    <col min="13836" max="13836" width="3.6640625" customWidth="1"/>
    <col min="13837" max="13837" width="23.44140625" customWidth="1"/>
    <col min="13838" max="13849" width="4.44140625" customWidth="1"/>
    <col min="13850" max="13850" width="6.109375" customWidth="1"/>
    <col min="13851" max="13851" width="4.44140625" customWidth="1"/>
    <col min="13852" max="13852" width="7.5546875" customWidth="1"/>
    <col min="13853" max="13853" width="4.44140625" customWidth="1"/>
    <col min="13854" max="13854" width="6.33203125" customWidth="1"/>
    <col min="13855" max="13855" width="7.88671875" customWidth="1"/>
    <col min="13856" max="13856" width="3.44140625" customWidth="1"/>
    <col min="13857" max="13857" width="5" customWidth="1"/>
    <col min="14091" max="14091" width="1.6640625" customWidth="1"/>
    <col min="14092" max="14092" width="3.6640625" customWidth="1"/>
    <col min="14093" max="14093" width="23.44140625" customWidth="1"/>
    <col min="14094" max="14105" width="4.44140625" customWidth="1"/>
    <col min="14106" max="14106" width="6.109375" customWidth="1"/>
    <col min="14107" max="14107" width="4.44140625" customWidth="1"/>
    <col min="14108" max="14108" width="7.5546875" customWidth="1"/>
    <col min="14109" max="14109" width="4.44140625" customWidth="1"/>
    <col min="14110" max="14110" width="6.33203125" customWidth="1"/>
    <col min="14111" max="14111" width="7.88671875" customWidth="1"/>
    <col min="14112" max="14112" width="3.44140625" customWidth="1"/>
    <col min="14113" max="14113" width="5" customWidth="1"/>
    <col min="14347" max="14347" width="1.6640625" customWidth="1"/>
    <col min="14348" max="14348" width="3.6640625" customWidth="1"/>
    <col min="14349" max="14349" width="23.44140625" customWidth="1"/>
    <col min="14350" max="14361" width="4.44140625" customWidth="1"/>
    <col min="14362" max="14362" width="6.109375" customWidth="1"/>
    <col min="14363" max="14363" width="4.44140625" customWidth="1"/>
    <col min="14364" max="14364" width="7.5546875" customWidth="1"/>
    <col min="14365" max="14365" width="4.44140625" customWidth="1"/>
    <col min="14366" max="14366" width="6.33203125" customWidth="1"/>
    <col min="14367" max="14367" width="7.88671875" customWidth="1"/>
    <col min="14368" max="14368" width="3.44140625" customWidth="1"/>
    <col min="14369" max="14369" width="5" customWidth="1"/>
    <col min="14603" max="14603" width="1.6640625" customWidth="1"/>
    <col min="14604" max="14604" width="3.6640625" customWidth="1"/>
    <col min="14605" max="14605" width="23.44140625" customWidth="1"/>
    <col min="14606" max="14617" width="4.44140625" customWidth="1"/>
    <col min="14618" max="14618" width="6.109375" customWidth="1"/>
    <col min="14619" max="14619" width="4.44140625" customWidth="1"/>
    <col min="14620" max="14620" width="7.5546875" customWidth="1"/>
    <col min="14621" max="14621" width="4.44140625" customWidth="1"/>
    <col min="14622" max="14622" width="6.33203125" customWidth="1"/>
    <col min="14623" max="14623" width="7.88671875" customWidth="1"/>
    <col min="14624" max="14624" width="3.44140625" customWidth="1"/>
    <col min="14625" max="14625" width="5" customWidth="1"/>
    <col min="14859" max="14859" width="1.6640625" customWidth="1"/>
    <col min="14860" max="14860" width="3.6640625" customWidth="1"/>
    <col min="14861" max="14861" width="23.44140625" customWidth="1"/>
    <col min="14862" max="14873" width="4.44140625" customWidth="1"/>
    <col min="14874" max="14874" width="6.109375" customWidth="1"/>
    <col min="14875" max="14875" width="4.44140625" customWidth="1"/>
    <col min="14876" max="14876" width="7.5546875" customWidth="1"/>
    <col min="14877" max="14877" width="4.44140625" customWidth="1"/>
    <col min="14878" max="14878" width="6.33203125" customWidth="1"/>
    <col min="14879" max="14879" width="7.88671875" customWidth="1"/>
    <col min="14880" max="14880" width="3.44140625" customWidth="1"/>
    <col min="14881" max="14881" width="5" customWidth="1"/>
    <col min="15115" max="15115" width="1.6640625" customWidth="1"/>
    <col min="15116" max="15116" width="3.6640625" customWidth="1"/>
    <col min="15117" max="15117" width="23.44140625" customWidth="1"/>
    <col min="15118" max="15129" width="4.44140625" customWidth="1"/>
    <col min="15130" max="15130" width="6.109375" customWidth="1"/>
    <col min="15131" max="15131" width="4.44140625" customWidth="1"/>
    <col min="15132" max="15132" width="7.5546875" customWidth="1"/>
    <col min="15133" max="15133" width="4.44140625" customWidth="1"/>
    <col min="15134" max="15134" width="6.33203125" customWidth="1"/>
    <col min="15135" max="15135" width="7.88671875" customWidth="1"/>
    <col min="15136" max="15136" width="3.44140625" customWidth="1"/>
    <col min="15137" max="15137" width="5" customWidth="1"/>
    <col min="15371" max="15371" width="1.6640625" customWidth="1"/>
    <col min="15372" max="15372" width="3.6640625" customWidth="1"/>
    <col min="15373" max="15373" width="23.44140625" customWidth="1"/>
    <col min="15374" max="15385" width="4.44140625" customWidth="1"/>
    <col min="15386" max="15386" width="6.109375" customWidth="1"/>
    <col min="15387" max="15387" width="4.44140625" customWidth="1"/>
    <col min="15388" max="15388" width="7.5546875" customWidth="1"/>
    <col min="15389" max="15389" width="4.44140625" customWidth="1"/>
    <col min="15390" max="15390" width="6.33203125" customWidth="1"/>
    <col min="15391" max="15391" width="7.88671875" customWidth="1"/>
    <col min="15392" max="15392" width="3.44140625" customWidth="1"/>
    <col min="15393" max="15393" width="5" customWidth="1"/>
    <col min="15627" max="15627" width="1.6640625" customWidth="1"/>
    <col min="15628" max="15628" width="3.6640625" customWidth="1"/>
    <col min="15629" max="15629" width="23.44140625" customWidth="1"/>
    <col min="15630" max="15641" width="4.44140625" customWidth="1"/>
    <col min="15642" max="15642" width="6.109375" customWidth="1"/>
    <col min="15643" max="15643" width="4.44140625" customWidth="1"/>
    <col min="15644" max="15644" width="7.5546875" customWidth="1"/>
    <col min="15645" max="15645" width="4.44140625" customWidth="1"/>
    <col min="15646" max="15646" width="6.33203125" customWidth="1"/>
    <col min="15647" max="15647" width="7.88671875" customWidth="1"/>
    <col min="15648" max="15648" width="3.44140625" customWidth="1"/>
    <col min="15649" max="15649" width="5" customWidth="1"/>
    <col min="15883" max="15883" width="1.6640625" customWidth="1"/>
    <col min="15884" max="15884" width="3.6640625" customWidth="1"/>
    <col min="15885" max="15885" width="23.44140625" customWidth="1"/>
    <col min="15886" max="15897" width="4.44140625" customWidth="1"/>
    <col min="15898" max="15898" width="6.109375" customWidth="1"/>
    <col min="15899" max="15899" width="4.44140625" customWidth="1"/>
    <col min="15900" max="15900" width="7.5546875" customWidth="1"/>
    <col min="15901" max="15901" width="4.44140625" customWidth="1"/>
    <col min="15902" max="15902" width="6.33203125" customWidth="1"/>
    <col min="15903" max="15903" width="7.88671875" customWidth="1"/>
    <col min="15904" max="15904" width="3.44140625" customWidth="1"/>
    <col min="15905" max="15905" width="5" customWidth="1"/>
    <col min="16139" max="16139" width="1.6640625" customWidth="1"/>
    <col min="16140" max="16140" width="3.6640625" customWidth="1"/>
    <col min="16141" max="16141" width="23.44140625" customWidth="1"/>
    <col min="16142" max="16153" width="4.44140625" customWidth="1"/>
    <col min="16154" max="16154" width="6.109375" customWidth="1"/>
    <col min="16155" max="16155" width="4.44140625" customWidth="1"/>
    <col min="16156" max="16156" width="7.5546875" customWidth="1"/>
    <col min="16157" max="16157" width="4.44140625" customWidth="1"/>
    <col min="16158" max="16158" width="6.33203125" customWidth="1"/>
    <col min="16159" max="16159" width="7.88671875" customWidth="1"/>
    <col min="16160" max="16160" width="3.44140625" customWidth="1"/>
    <col min="16161" max="16161" width="5" customWidth="1"/>
  </cols>
  <sheetData>
    <row r="1" spans="1:31" ht="34.5" customHeight="1" x14ac:dyDescent="0.3">
      <c r="A1" s="280" t="s">
        <v>21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</row>
    <row r="2" spans="1:31" ht="26.25" customHeight="1" x14ac:dyDescent="0.3">
      <c r="B2" s="1"/>
      <c r="C2" s="1"/>
      <c r="D2" s="1"/>
      <c r="E2" s="1"/>
      <c r="F2" s="1"/>
      <c r="G2" s="1"/>
      <c r="H2" s="24"/>
      <c r="I2" s="1"/>
      <c r="J2" s="24"/>
      <c r="K2" s="1"/>
      <c r="L2" s="1"/>
      <c r="M2" s="1"/>
      <c r="N2" s="1"/>
      <c r="O2" s="24"/>
      <c r="P2" s="1"/>
      <c r="Q2" s="24"/>
      <c r="R2" s="1"/>
      <c r="S2" s="1"/>
      <c r="T2" s="1"/>
      <c r="U2" s="1"/>
      <c r="V2" s="24"/>
      <c r="W2" s="1"/>
      <c r="X2" s="24"/>
      <c r="Y2" s="1"/>
    </row>
    <row r="3" spans="1:31" ht="13.5" customHeight="1" x14ac:dyDescent="0.3">
      <c r="B3" s="1"/>
      <c r="C3" s="1"/>
      <c r="D3" s="1"/>
      <c r="E3" s="1"/>
      <c r="F3" s="1"/>
      <c r="G3" s="1"/>
      <c r="H3" s="24"/>
      <c r="I3" s="1"/>
      <c r="J3" s="24"/>
      <c r="K3" s="1"/>
      <c r="L3" s="283"/>
      <c r="M3" s="283"/>
      <c r="N3" s="283"/>
      <c r="O3" s="283"/>
      <c r="P3" s="283"/>
      <c r="Q3" s="283"/>
      <c r="R3" s="283"/>
      <c r="S3" s="283"/>
      <c r="T3" s="1"/>
      <c r="U3" s="1"/>
      <c r="V3" s="24"/>
      <c r="W3" s="1"/>
      <c r="X3" s="24"/>
      <c r="Y3" s="1"/>
    </row>
    <row r="4" spans="1:31" ht="15.75" customHeight="1" x14ac:dyDescent="0.3">
      <c r="B4" s="278" t="s">
        <v>13</v>
      </c>
      <c r="C4" s="278"/>
      <c r="D4" s="16"/>
      <c r="E4" s="16"/>
      <c r="G4" s="18"/>
      <c r="H4" s="18"/>
      <c r="I4" s="18"/>
      <c r="J4" s="18"/>
      <c r="K4" s="18"/>
      <c r="L4" s="18" t="s">
        <v>34</v>
      </c>
      <c r="M4" s="18"/>
      <c r="N4" s="18"/>
      <c r="O4" s="18"/>
      <c r="P4" s="18"/>
      <c r="Q4" s="18"/>
      <c r="R4" s="18"/>
      <c r="S4" s="18"/>
      <c r="T4" s="15"/>
      <c r="U4" s="15"/>
      <c r="V4" s="15"/>
      <c r="W4" s="15"/>
      <c r="X4" s="15"/>
      <c r="Y4" s="279" t="s">
        <v>139</v>
      </c>
      <c r="Z4" s="279"/>
      <c r="AA4" s="279"/>
      <c r="AB4" s="279"/>
      <c r="AC4" s="279"/>
      <c r="AD4" s="279"/>
      <c r="AE4" s="279"/>
    </row>
    <row r="5" spans="1:31" ht="6.75" customHeight="1" x14ac:dyDescent="0.3">
      <c r="B5" s="16"/>
      <c r="C5" s="16"/>
      <c r="D5" s="16"/>
      <c r="E5" s="16"/>
      <c r="F5" s="16"/>
      <c r="G5" s="16"/>
      <c r="H5" s="22"/>
      <c r="I5" s="16"/>
      <c r="J5" s="22"/>
      <c r="K5" s="16"/>
      <c r="L5" s="16"/>
      <c r="M5" s="16"/>
      <c r="N5" s="16"/>
      <c r="O5" s="22"/>
      <c r="P5" s="16"/>
      <c r="Q5" s="22"/>
      <c r="R5" s="16"/>
      <c r="S5" s="16"/>
      <c r="T5" s="15"/>
      <c r="U5" s="15"/>
      <c r="V5" s="15"/>
      <c r="W5" s="15"/>
      <c r="X5" s="15"/>
      <c r="Y5" s="17"/>
      <c r="Z5" s="17"/>
      <c r="AA5" s="17"/>
      <c r="AB5" s="17"/>
      <c r="AC5" s="17"/>
      <c r="AD5" s="17"/>
      <c r="AE5" s="17"/>
    </row>
    <row r="6" spans="1:31" ht="16.2" customHeight="1" x14ac:dyDescent="0.3">
      <c r="B6" s="278" t="s">
        <v>19</v>
      </c>
      <c r="C6" s="278"/>
      <c r="D6" s="16"/>
      <c r="E6" s="16"/>
      <c r="L6" s="18" t="s">
        <v>91</v>
      </c>
      <c r="M6" s="18"/>
      <c r="N6" s="18"/>
      <c r="O6" s="18"/>
      <c r="P6" s="18"/>
      <c r="Q6" s="18"/>
      <c r="R6" s="18"/>
      <c r="S6" s="18"/>
      <c r="T6" s="18"/>
      <c r="U6" s="15"/>
      <c r="V6" s="15"/>
      <c r="W6" s="15"/>
      <c r="X6" s="15"/>
      <c r="Y6" s="279" t="s">
        <v>43</v>
      </c>
      <c r="Z6" s="279"/>
      <c r="AA6" s="279"/>
      <c r="AB6" s="279"/>
      <c r="AC6" s="279"/>
      <c r="AD6" s="279"/>
      <c r="AE6" s="279"/>
    </row>
    <row r="7" spans="1:31" ht="28.5" customHeight="1" thickBot="1" x14ac:dyDescent="0.85">
      <c r="B7" s="285" t="s">
        <v>25</v>
      </c>
      <c r="C7" s="285"/>
      <c r="D7" s="285"/>
      <c r="E7" s="285"/>
      <c r="F7" s="285"/>
      <c r="G7" s="285"/>
      <c r="H7" s="285"/>
      <c r="I7" s="285"/>
      <c r="J7" s="285"/>
      <c r="K7" s="285"/>
      <c r="L7" s="285"/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5"/>
      <c r="AB7" s="285"/>
      <c r="AC7" s="285"/>
      <c r="AD7" s="285"/>
      <c r="AE7" s="285"/>
    </row>
    <row r="8" spans="1:31" ht="21" customHeight="1" thickTop="1" x14ac:dyDescent="0.3">
      <c r="B8" s="286" t="s">
        <v>16</v>
      </c>
      <c r="C8" s="288" t="s">
        <v>0</v>
      </c>
      <c r="D8" s="290" t="s">
        <v>15</v>
      </c>
      <c r="E8" s="291"/>
      <c r="F8" s="292" t="s">
        <v>22</v>
      </c>
      <c r="G8" s="293"/>
      <c r="H8" s="293"/>
      <c r="I8" s="293"/>
      <c r="J8" s="293"/>
      <c r="K8" s="294"/>
      <c r="L8" s="295" t="s">
        <v>3</v>
      </c>
      <c r="M8" s="292" t="s">
        <v>23</v>
      </c>
      <c r="N8" s="293"/>
      <c r="O8" s="293"/>
      <c r="P8" s="293"/>
      <c r="Q8" s="293"/>
      <c r="R8" s="294"/>
      <c r="S8" s="295" t="s">
        <v>3</v>
      </c>
      <c r="T8" s="292" t="s">
        <v>24</v>
      </c>
      <c r="U8" s="293"/>
      <c r="V8" s="293"/>
      <c r="W8" s="293"/>
      <c r="X8" s="293"/>
      <c r="Y8" s="294"/>
      <c r="Z8" s="297" t="s">
        <v>1</v>
      </c>
      <c r="AA8" s="299" t="s">
        <v>39</v>
      </c>
      <c r="AB8" s="301" t="s">
        <v>20</v>
      </c>
      <c r="AC8" s="303" t="s">
        <v>40</v>
      </c>
      <c r="AD8" s="305" t="s">
        <v>2</v>
      </c>
      <c r="AE8" s="307" t="s">
        <v>3</v>
      </c>
    </row>
    <row r="9" spans="1:31" ht="16.5" customHeight="1" thickBot="1" x14ac:dyDescent="0.35">
      <c r="B9" s="287"/>
      <c r="C9" s="289"/>
      <c r="D9" s="43" t="s">
        <v>17</v>
      </c>
      <c r="E9" s="36" t="s">
        <v>18</v>
      </c>
      <c r="F9" s="53" t="s">
        <v>4</v>
      </c>
      <c r="G9" s="33" t="s">
        <v>5</v>
      </c>
      <c r="H9" s="33" t="s">
        <v>37</v>
      </c>
      <c r="I9" s="33" t="s">
        <v>6</v>
      </c>
      <c r="J9" s="33" t="s">
        <v>38</v>
      </c>
      <c r="K9" s="54" t="s">
        <v>7</v>
      </c>
      <c r="L9" s="296"/>
      <c r="M9" s="53" t="s">
        <v>4</v>
      </c>
      <c r="N9" s="33" t="s">
        <v>5</v>
      </c>
      <c r="O9" s="33" t="s">
        <v>37</v>
      </c>
      <c r="P9" s="33" t="s">
        <v>6</v>
      </c>
      <c r="Q9" s="33" t="s">
        <v>38</v>
      </c>
      <c r="R9" s="54" t="s">
        <v>8</v>
      </c>
      <c r="S9" s="296"/>
      <c r="T9" s="53" t="s">
        <v>4</v>
      </c>
      <c r="U9" s="33" t="s">
        <v>5</v>
      </c>
      <c r="V9" s="33" t="s">
        <v>37</v>
      </c>
      <c r="W9" s="33" t="s">
        <v>6</v>
      </c>
      <c r="X9" s="33" t="s">
        <v>38</v>
      </c>
      <c r="Y9" s="54" t="s">
        <v>9</v>
      </c>
      <c r="Z9" s="298"/>
      <c r="AA9" s="300"/>
      <c r="AB9" s="302"/>
      <c r="AC9" s="304"/>
      <c r="AD9" s="306"/>
      <c r="AE9" s="308"/>
    </row>
    <row r="10" spans="1:31" ht="15.75" customHeight="1" thickTop="1" x14ac:dyDescent="0.3">
      <c r="B10" s="34">
        <v>1</v>
      </c>
      <c r="C10" s="196" t="s">
        <v>99</v>
      </c>
      <c r="D10" s="44"/>
      <c r="E10" s="37"/>
      <c r="F10" s="58">
        <v>4</v>
      </c>
      <c r="G10" s="31">
        <v>15</v>
      </c>
      <c r="H10" s="31"/>
      <c r="I10" s="32">
        <v>1</v>
      </c>
      <c r="J10" s="32"/>
      <c r="K10" s="55">
        <f>AVERAGE(F10,MAX(G10:H10),MAX(I10:J10))</f>
        <v>6.666666666666667</v>
      </c>
      <c r="L10" s="165" t="str">
        <f>IF(K10&gt;=10,"TRANSITA","N/TRANSITA")</f>
        <v>N/TRANSITA</v>
      </c>
      <c r="M10" s="58">
        <v>9</v>
      </c>
      <c r="N10" s="31">
        <v>0</v>
      </c>
      <c r="O10" s="31"/>
      <c r="P10" s="32">
        <v>2</v>
      </c>
      <c r="Q10" s="32"/>
      <c r="R10" s="55">
        <f>AVERAGE(M10,MAX(N10:O10),MAX(P10:Q10))</f>
        <v>3.6666666666666665</v>
      </c>
      <c r="S10" s="165" t="str">
        <f>IF(R10&gt;=10,"TRANSITA","N/TRANSITA")</f>
        <v>N/TRANSITA</v>
      </c>
      <c r="T10" s="55"/>
      <c r="U10" s="58"/>
      <c r="V10" s="31"/>
      <c r="W10" s="32" t="e">
        <f>AVERAGE(T10:U10)</f>
        <v>#DIV/0!</v>
      </c>
      <c r="X10" s="32"/>
      <c r="Y10" s="55" t="e">
        <f>AVERAGE(T10,MAX(U10:V10),MAX(W10:X10))</f>
        <v>#DIV/0!</v>
      </c>
      <c r="Z10" s="47" t="e">
        <f t="shared" ref="Z10:Z51" si="0">SUM(K10,R10,Y10)/3</f>
        <v>#DIV/0!</v>
      </c>
      <c r="AA10" s="40" t="e">
        <f>Z10*0.4</f>
        <v>#DIV/0!</v>
      </c>
      <c r="AB10" s="61"/>
      <c r="AC10" s="50">
        <f>AB10*0.6</f>
        <v>0</v>
      </c>
      <c r="AD10" s="64" t="e">
        <f>AVERAGE(AA10+AC10)</f>
        <v>#DIV/0!</v>
      </c>
      <c r="AE10" s="163" t="e">
        <f>IF(AD10&gt;=10,"APROVADO/A","REPROVADO/A")</f>
        <v>#DIV/0!</v>
      </c>
    </row>
    <row r="11" spans="1:31" ht="15.75" customHeight="1" x14ac:dyDescent="0.3">
      <c r="B11" s="35">
        <v>2</v>
      </c>
      <c r="C11" s="197" t="s">
        <v>100</v>
      </c>
      <c r="D11" s="45"/>
      <c r="E11" s="38"/>
      <c r="F11" s="58">
        <v>16</v>
      </c>
      <c r="G11" s="27">
        <v>15</v>
      </c>
      <c r="H11" s="27"/>
      <c r="I11" s="32">
        <v>4</v>
      </c>
      <c r="J11" s="28"/>
      <c r="K11" s="56">
        <f>AVERAGE(F11,MAX(G11:H11),MAX(I11:J11))</f>
        <v>11.666666666666666</v>
      </c>
      <c r="L11" s="166" t="str">
        <f t="shared" ref="L11:L51" si="1">IF(K11&gt;=10,"TRANSITA","N/TRANSITA")</f>
        <v>TRANSITA</v>
      </c>
      <c r="M11" s="59">
        <v>16</v>
      </c>
      <c r="N11" s="27">
        <v>14</v>
      </c>
      <c r="O11" s="27"/>
      <c r="P11" s="32">
        <v>3</v>
      </c>
      <c r="Q11" s="28"/>
      <c r="R11" s="56">
        <f t="shared" ref="R11:R51" si="2">AVERAGE(M11,MAX(N11:O11),MAX(P11:Q11))</f>
        <v>11</v>
      </c>
      <c r="S11" s="166" t="str">
        <f t="shared" ref="S11:S51" si="3">IF(R11&gt;=10,"TRANSITA","N/TRANSITA")</f>
        <v>TRANSITA</v>
      </c>
      <c r="T11" s="56"/>
      <c r="U11" s="59"/>
      <c r="V11" s="27"/>
      <c r="W11" s="32" t="e">
        <f t="shared" ref="W11:W51" si="4">AVERAGE(T11:U11)</f>
        <v>#DIV/0!</v>
      </c>
      <c r="X11" s="28"/>
      <c r="Y11" s="56" t="e">
        <f t="shared" ref="Y11:Y51" si="5">AVERAGE(T11,MAX(U11:V11),MAX(W11:X11))</f>
        <v>#DIV/0!</v>
      </c>
      <c r="Z11" s="48" t="e">
        <f t="shared" si="0"/>
        <v>#DIV/0!</v>
      </c>
      <c r="AA11" s="41" t="e">
        <f t="shared" ref="AA11:AA51" si="6">Z11*0.4</f>
        <v>#DIV/0!</v>
      </c>
      <c r="AB11" s="62"/>
      <c r="AC11" s="51">
        <f t="shared" ref="AC11" si="7">AB11*0.6</f>
        <v>0</v>
      </c>
      <c r="AD11" s="65" t="e">
        <f t="shared" ref="AD11" si="8">AVERAGE(AA11+AC11)</f>
        <v>#DIV/0!</v>
      </c>
      <c r="AE11" s="162" t="e">
        <f t="shared" ref="AE11:AE51" si="9">IF(AD11&gt;=10,"APROVADO/A","REPROVADO/A")</f>
        <v>#DIV/0!</v>
      </c>
    </row>
    <row r="12" spans="1:31" ht="15.75" customHeight="1" x14ac:dyDescent="0.3">
      <c r="B12" s="35">
        <v>3</v>
      </c>
      <c r="C12" s="197" t="s">
        <v>101</v>
      </c>
      <c r="D12" s="45"/>
      <c r="E12" s="38"/>
      <c r="F12" s="58">
        <v>18</v>
      </c>
      <c r="G12" s="27">
        <v>12</v>
      </c>
      <c r="H12" s="27"/>
      <c r="I12" s="32">
        <v>3</v>
      </c>
      <c r="J12" s="28"/>
      <c r="K12" s="56">
        <f>AVERAGE(F12,MAX(G12:H12),MAX(I12:J12))</f>
        <v>11</v>
      </c>
      <c r="L12" s="166" t="str">
        <f t="shared" si="1"/>
        <v>TRANSITA</v>
      </c>
      <c r="M12" s="59">
        <v>14</v>
      </c>
      <c r="N12" s="27">
        <v>13</v>
      </c>
      <c r="O12" s="27"/>
      <c r="P12" s="32">
        <v>6</v>
      </c>
      <c r="Q12" s="28"/>
      <c r="R12" s="56">
        <f t="shared" si="2"/>
        <v>11</v>
      </c>
      <c r="S12" s="166" t="str">
        <f t="shared" si="3"/>
        <v>TRANSITA</v>
      </c>
      <c r="T12" s="56"/>
      <c r="U12" s="59"/>
      <c r="V12" s="27"/>
      <c r="W12" s="32" t="e">
        <f t="shared" si="4"/>
        <v>#DIV/0!</v>
      </c>
      <c r="X12" s="28"/>
      <c r="Y12" s="56" t="e">
        <f t="shared" si="5"/>
        <v>#DIV/0!</v>
      </c>
      <c r="Z12" s="48" t="e">
        <f t="shared" si="0"/>
        <v>#DIV/0!</v>
      </c>
      <c r="AA12" s="41" t="e">
        <f t="shared" si="6"/>
        <v>#DIV/0!</v>
      </c>
      <c r="AB12" s="62"/>
      <c r="AC12" s="51">
        <f t="shared" ref="AC12:AC45" si="10">AB12*0.6</f>
        <v>0</v>
      </c>
      <c r="AD12" s="65" t="e">
        <f t="shared" ref="AD12:AD45" si="11">AVERAGE(AA12+AC12)</f>
        <v>#DIV/0!</v>
      </c>
      <c r="AE12" s="162" t="e">
        <f t="shared" si="9"/>
        <v>#DIV/0!</v>
      </c>
    </row>
    <row r="13" spans="1:31" ht="15.75" customHeight="1" x14ac:dyDescent="0.3">
      <c r="B13" s="35">
        <v>4</v>
      </c>
      <c r="C13" s="197" t="s">
        <v>102</v>
      </c>
      <c r="D13" s="45"/>
      <c r="E13" s="38"/>
      <c r="F13" s="58">
        <v>15</v>
      </c>
      <c r="G13" s="27">
        <v>14</v>
      </c>
      <c r="H13" s="27"/>
      <c r="I13" s="32">
        <v>11.5</v>
      </c>
      <c r="J13" s="28"/>
      <c r="K13" s="56">
        <f t="shared" ref="K13:K51" si="12">AVERAGE(F13,MAX(G13:H13),MAX(I13:J13))</f>
        <v>13.5</v>
      </c>
      <c r="L13" s="166" t="str">
        <f t="shared" si="1"/>
        <v>TRANSITA</v>
      </c>
      <c r="M13" s="59">
        <v>12</v>
      </c>
      <c r="N13" s="27">
        <v>13</v>
      </c>
      <c r="O13" s="27"/>
      <c r="P13" s="32">
        <v>8</v>
      </c>
      <c r="Q13" s="28"/>
      <c r="R13" s="56">
        <f t="shared" si="2"/>
        <v>11</v>
      </c>
      <c r="S13" s="166" t="str">
        <f t="shared" si="3"/>
        <v>TRANSITA</v>
      </c>
      <c r="T13" s="56"/>
      <c r="U13" s="59"/>
      <c r="V13" s="27"/>
      <c r="W13" s="32" t="e">
        <f t="shared" si="4"/>
        <v>#DIV/0!</v>
      </c>
      <c r="X13" s="28"/>
      <c r="Y13" s="56" t="e">
        <f t="shared" si="5"/>
        <v>#DIV/0!</v>
      </c>
      <c r="Z13" s="48" t="e">
        <f t="shared" si="0"/>
        <v>#DIV/0!</v>
      </c>
      <c r="AA13" s="41" t="e">
        <f t="shared" si="6"/>
        <v>#DIV/0!</v>
      </c>
      <c r="AB13" s="62"/>
      <c r="AC13" s="51">
        <f t="shared" si="10"/>
        <v>0</v>
      </c>
      <c r="AD13" s="65" t="e">
        <f t="shared" si="11"/>
        <v>#DIV/0!</v>
      </c>
      <c r="AE13" s="162" t="e">
        <f t="shared" si="9"/>
        <v>#DIV/0!</v>
      </c>
    </row>
    <row r="14" spans="1:31" ht="15.75" customHeight="1" x14ac:dyDescent="0.3">
      <c r="B14" s="35">
        <v>5</v>
      </c>
      <c r="C14" s="197" t="s">
        <v>103</v>
      </c>
      <c r="D14" s="45"/>
      <c r="E14" s="38"/>
      <c r="F14" s="58">
        <v>20</v>
      </c>
      <c r="G14" s="27">
        <v>17</v>
      </c>
      <c r="H14" s="27"/>
      <c r="I14" s="32">
        <v>11</v>
      </c>
      <c r="J14" s="28"/>
      <c r="K14" s="56">
        <f t="shared" si="12"/>
        <v>16</v>
      </c>
      <c r="L14" s="166" t="str">
        <f t="shared" si="1"/>
        <v>TRANSITA</v>
      </c>
      <c r="M14" s="59">
        <v>20</v>
      </c>
      <c r="N14" s="27">
        <v>18</v>
      </c>
      <c r="O14" s="27"/>
      <c r="P14" s="32">
        <v>18</v>
      </c>
      <c r="Q14" s="28"/>
      <c r="R14" s="56">
        <f t="shared" si="2"/>
        <v>18.666666666666668</v>
      </c>
      <c r="S14" s="166" t="str">
        <f t="shared" si="3"/>
        <v>TRANSITA</v>
      </c>
      <c r="T14" s="56"/>
      <c r="U14" s="59"/>
      <c r="V14" s="27"/>
      <c r="W14" s="32" t="e">
        <f t="shared" si="4"/>
        <v>#DIV/0!</v>
      </c>
      <c r="X14" s="28"/>
      <c r="Y14" s="56" t="e">
        <f t="shared" si="5"/>
        <v>#DIV/0!</v>
      </c>
      <c r="Z14" s="48" t="e">
        <f t="shared" si="0"/>
        <v>#DIV/0!</v>
      </c>
      <c r="AA14" s="41" t="e">
        <f t="shared" si="6"/>
        <v>#DIV/0!</v>
      </c>
      <c r="AB14" s="62"/>
      <c r="AC14" s="51">
        <f t="shared" si="10"/>
        <v>0</v>
      </c>
      <c r="AD14" s="65" t="e">
        <f t="shared" si="11"/>
        <v>#DIV/0!</v>
      </c>
      <c r="AE14" s="162" t="e">
        <f t="shared" si="9"/>
        <v>#DIV/0!</v>
      </c>
    </row>
    <row r="15" spans="1:31" ht="15.75" customHeight="1" x14ac:dyDescent="0.3">
      <c r="B15" s="35">
        <v>6</v>
      </c>
      <c r="C15" s="197" t="s">
        <v>104</v>
      </c>
      <c r="D15" s="45"/>
      <c r="E15" s="38"/>
      <c r="F15" s="58">
        <v>14</v>
      </c>
      <c r="G15" s="148">
        <v>7</v>
      </c>
      <c r="H15" s="148"/>
      <c r="I15" s="150">
        <v>5</v>
      </c>
      <c r="J15" s="151"/>
      <c r="K15" s="56">
        <f t="shared" si="12"/>
        <v>8.6666666666666661</v>
      </c>
      <c r="L15" s="166" t="str">
        <f t="shared" si="1"/>
        <v>N/TRANSITA</v>
      </c>
      <c r="M15" s="149">
        <v>14</v>
      </c>
      <c r="N15" s="148">
        <v>10</v>
      </c>
      <c r="O15" s="148"/>
      <c r="P15" s="150">
        <v>8</v>
      </c>
      <c r="Q15" s="151"/>
      <c r="R15" s="56">
        <f t="shared" si="2"/>
        <v>10.666666666666666</v>
      </c>
      <c r="S15" s="166" t="str">
        <f t="shared" si="3"/>
        <v>TRANSITA</v>
      </c>
      <c r="T15" s="56"/>
      <c r="U15" s="149"/>
      <c r="V15" s="148"/>
      <c r="W15" s="32" t="e">
        <f t="shared" si="4"/>
        <v>#DIV/0!</v>
      </c>
      <c r="X15" s="151"/>
      <c r="Y15" s="56" t="e">
        <f t="shared" si="5"/>
        <v>#DIV/0!</v>
      </c>
      <c r="Z15" s="48" t="e">
        <f t="shared" si="0"/>
        <v>#DIV/0!</v>
      </c>
      <c r="AA15" s="41" t="e">
        <f t="shared" si="6"/>
        <v>#DIV/0!</v>
      </c>
      <c r="AB15" s="169"/>
      <c r="AC15" s="51">
        <f t="shared" si="10"/>
        <v>0</v>
      </c>
      <c r="AD15" s="65" t="e">
        <f t="shared" si="11"/>
        <v>#DIV/0!</v>
      </c>
      <c r="AE15" s="162" t="e">
        <f t="shared" si="9"/>
        <v>#DIV/0!</v>
      </c>
    </row>
    <row r="16" spans="1:31" ht="15.75" customHeight="1" x14ac:dyDescent="0.3">
      <c r="B16" s="35">
        <v>7</v>
      </c>
      <c r="C16" s="197" t="s">
        <v>105</v>
      </c>
      <c r="D16" s="45"/>
      <c r="E16" s="38"/>
      <c r="F16" s="58">
        <v>15</v>
      </c>
      <c r="G16" s="27">
        <v>14</v>
      </c>
      <c r="H16" s="27"/>
      <c r="I16" s="32">
        <v>12.5</v>
      </c>
      <c r="J16" s="28"/>
      <c r="K16" s="56">
        <f t="shared" si="12"/>
        <v>13.833333333333334</v>
      </c>
      <c r="L16" s="166" t="str">
        <f t="shared" si="1"/>
        <v>TRANSITA</v>
      </c>
      <c r="M16" s="59">
        <v>15</v>
      </c>
      <c r="N16" s="27">
        <v>16</v>
      </c>
      <c r="O16" s="27"/>
      <c r="P16" s="32">
        <v>9</v>
      </c>
      <c r="Q16" s="28"/>
      <c r="R16" s="56">
        <f t="shared" si="2"/>
        <v>13.333333333333334</v>
      </c>
      <c r="S16" s="166" t="str">
        <f t="shared" si="3"/>
        <v>TRANSITA</v>
      </c>
      <c r="T16" s="56"/>
      <c r="U16" s="59"/>
      <c r="V16" s="27"/>
      <c r="W16" s="32" t="e">
        <f t="shared" si="4"/>
        <v>#DIV/0!</v>
      </c>
      <c r="X16" s="28"/>
      <c r="Y16" s="56" t="e">
        <f t="shared" si="5"/>
        <v>#DIV/0!</v>
      </c>
      <c r="Z16" s="48" t="e">
        <f t="shared" si="0"/>
        <v>#DIV/0!</v>
      </c>
      <c r="AA16" s="41" t="e">
        <f t="shared" si="6"/>
        <v>#DIV/0!</v>
      </c>
      <c r="AB16" s="62"/>
      <c r="AC16" s="51">
        <f t="shared" si="10"/>
        <v>0</v>
      </c>
      <c r="AD16" s="65" t="e">
        <f t="shared" si="11"/>
        <v>#DIV/0!</v>
      </c>
      <c r="AE16" s="162" t="e">
        <f t="shared" si="9"/>
        <v>#DIV/0!</v>
      </c>
    </row>
    <row r="17" spans="2:31" ht="15.75" customHeight="1" x14ac:dyDescent="0.3">
      <c r="B17" s="35">
        <v>8</v>
      </c>
      <c r="C17" s="197" t="s">
        <v>106</v>
      </c>
      <c r="D17" s="45"/>
      <c r="E17" s="38"/>
      <c r="F17" s="58">
        <v>18</v>
      </c>
      <c r="G17" s="27">
        <v>6</v>
      </c>
      <c r="H17" s="27"/>
      <c r="I17" s="32">
        <v>10</v>
      </c>
      <c r="J17" s="28"/>
      <c r="K17" s="56">
        <f t="shared" si="12"/>
        <v>11.333333333333334</v>
      </c>
      <c r="L17" s="166" t="str">
        <f t="shared" si="1"/>
        <v>TRANSITA</v>
      </c>
      <c r="M17" s="59">
        <v>10</v>
      </c>
      <c r="N17" s="27">
        <v>13.5</v>
      </c>
      <c r="O17" s="27"/>
      <c r="P17" s="32">
        <v>9</v>
      </c>
      <c r="Q17" s="28"/>
      <c r="R17" s="56">
        <f t="shared" si="2"/>
        <v>10.833333333333334</v>
      </c>
      <c r="S17" s="166" t="str">
        <f t="shared" si="3"/>
        <v>TRANSITA</v>
      </c>
      <c r="T17" s="56"/>
      <c r="U17" s="59"/>
      <c r="V17" s="27"/>
      <c r="W17" s="32" t="e">
        <f t="shared" si="4"/>
        <v>#DIV/0!</v>
      </c>
      <c r="X17" s="28"/>
      <c r="Y17" s="56" t="e">
        <f t="shared" si="5"/>
        <v>#DIV/0!</v>
      </c>
      <c r="Z17" s="48" t="e">
        <f t="shared" si="0"/>
        <v>#DIV/0!</v>
      </c>
      <c r="AA17" s="41" t="e">
        <f t="shared" si="6"/>
        <v>#DIV/0!</v>
      </c>
      <c r="AB17" s="62"/>
      <c r="AC17" s="51">
        <f t="shared" si="10"/>
        <v>0</v>
      </c>
      <c r="AD17" s="65" t="e">
        <f t="shared" si="11"/>
        <v>#DIV/0!</v>
      </c>
      <c r="AE17" s="162" t="e">
        <f t="shared" si="9"/>
        <v>#DIV/0!</v>
      </c>
    </row>
    <row r="18" spans="2:31" ht="15.75" customHeight="1" x14ac:dyDescent="0.3">
      <c r="B18" s="35">
        <v>9</v>
      </c>
      <c r="C18" s="197" t="s">
        <v>144</v>
      </c>
      <c r="D18" s="45"/>
      <c r="E18" s="38"/>
      <c r="F18" s="58"/>
      <c r="G18" s="27"/>
      <c r="H18" s="27"/>
      <c r="I18" s="32"/>
      <c r="J18" s="28"/>
      <c r="K18" s="56">
        <f t="shared" si="12"/>
        <v>0</v>
      </c>
      <c r="L18" s="166" t="str">
        <f t="shared" si="1"/>
        <v>N/TRANSITA</v>
      </c>
      <c r="M18" s="59"/>
      <c r="N18" s="27"/>
      <c r="O18" s="27"/>
      <c r="P18" s="32"/>
      <c r="Q18" s="28"/>
      <c r="R18" s="56">
        <f t="shared" ref="R18" si="13">AVERAGE(M18,MAX(N18:O18),MAX(P18:Q18))</f>
        <v>0</v>
      </c>
      <c r="S18" s="166" t="str">
        <f t="shared" ref="S18" si="14">IF(R18&gt;=10,"TRANSITA","N/TRANSITA")</f>
        <v>N/TRANSITA</v>
      </c>
      <c r="T18" s="56"/>
      <c r="U18" s="59"/>
      <c r="V18" s="27"/>
      <c r="W18" s="32" t="e">
        <f t="shared" ref="W18" si="15">AVERAGE(T18:U18)</f>
        <v>#DIV/0!</v>
      </c>
      <c r="X18" s="28"/>
      <c r="Y18" s="56" t="e">
        <f t="shared" ref="Y18" si="16">AVERAGE(T18,MAX(U18:V18),MAX(W18:X18))</f>
        <v>#DIV/0!</v>
      </c>
      <c r="Z18" s="48" t="e">
        <f t="shared" ref="Z18" si="17">SUM(K18,R18,Y18)/3</f>
        <v>#DIV/0!</v>
      </c>
      <c r="AA18" s="41" t="e">
        <f t="shared" ref="AA18" si="18">Z18*0.4</f>
        <v>#DIV/0!</v>
      </c>
      <c r="AB18" s="62"/>
      <c r="AC18" s="51">
        <f t="shared" ref="AC18" si="19">AB18*0.6</f>
        <v>0</v>
      </c>
      <c r="AD18" s="65" t="e">
        <f t="shared" ref="AD18" si="20">AVERAGE(AA18+AC18)</f>
        <v>#DIV/0!</v>
      </c>
      <c r="AE18" s="162" t="e">
        <f t="shared" ref="AE18" si="21">IF(AD18&gt;=10,"APROVADO/A","REPROVADO/A")</f>
        <v>#DIV/0!</v>
      </c>
    </row>
    <row r="19" spans="2:31" ht="15.75" customHeight="1" x14ac:dyDescent="0.3">
      <c r="B19" s="35">
        <v>10</v>
      </c>
      <c r="C19" s="197" t="s">
        <v>107</v>
      </c>
      <c r="D19" s="45"/>
      <c r="E19" s="38"/>
      <c r="F19" s="58">
        <v>15</v>
      </c>
      <c r="G19" s="27">
        <v>7</v>
      </c>
      <c r="H19" s="27"/>
      <c r="I19" s="32">
        <v>11.5</v>
      </c>
      <c r="J19" s="28"/>
      <c r="K19" s="56">
        <f t="shared" si="12"/>
        <v>11.166666666666666</v>
      </c>
      <c r="L19" s="166" t="str">
        <f t="shared" si="1"/>
        <v>TRANSITA</v>
      </c>
      <c r="M19" s="59">
        <v>18</v>
      </c>
      <c r="N19" s="27">
        <v>15</v>
      </c>
      <c r="O19" s="27"/>
      <c r="P19" s="32">
        <v>10</v>
      </c>
      <c r="Q19" s="28"/>
      <c r="R19" s="56">
        <f t="shared" si="2"/>
        <v>14.333333333333334</v>
      </c>
      <c r="S19" s="166" t="str">
        <f t="shared" si="3"/>
        <v>TRANSITA</v>
      </c>
      <c r="T19" s="56"/>
      <c r="U19" s="59"/>
      <c r="V19" s="27"/>
      <c r="W19" s="32" t="e">
        <f t="shared" si="4"/>
        <v>#DIV/0!</v>
      </c>
      <c r="X19" s="28"/>
      <c r="Y19" s="56" t="e">
        <f t="shared" si="5"/>
        <v>#DIV/0!</v>
      </c>
      <c r="Z19" s="48" t="e">
        <f t="shared" si="0"/>
        <v>#DIV/0!</v>
      </c>
      <c r="AA19" s="41" t="e">
        <f t="shared" si="6"/>
        <v>#DIV/0!</v>
      </c>
      <c r="AB19" s="62"/>
      <c r="AC19" s="51">
        <f t="shared" si="10"/>
        <v>0</v>
      </c>
      <c r="AD19" s="65" t="e">
        <f t="shared" si="11"/>
        <v>#DIV/0!</v>
      </c>
      <c r="AE19" s="162" t="e">
        <f t="shared" si="9"/>
        <v>#DIV/0!</v>
      </c>
    </row>
    <row r="20" spans="2:31" ht="15.75" customHeight="1" x14ac:dyDescent="0.3">
      <c r="B20" s="35">
        <v>11</v>
      </c>
      <c r="C20" s="197" t="s">
        <v>108</v>
      </c>
      <c r="D20" s="45"/>
      <c r="E20" s="38"/>
      <c r="F20" s="58">
        <v>18</v>
      </c>
      <c r="G20" s="27">
        <v>16</v>
      </c>
      <c r="H20" s="27"/>
      <c r="I20" s="32">
        <v>13.5</v>
      </c>
      <c r="J20" s="28"/>
      <c r="K20" s="56">
        <f t="shared" si="12"/>
        <v>15.833333333333334</v>
      </c>
      <c r="L20" s="166" t="str">
        <f t="shared" si="1"/>
        <v>TRANSITA</v>
      </c>
      <c r="M20" s="59">
        <v>10</v>
      </c>
      <c r="N20" s="27">
        <v>16.5</v>
      </c>
      <c r="O20" s="27"/>
      <c r="P20" s="32">
        <v>10</v>
      </c>
      <c r="Q20" s="28"/>
      <c r="R20" s="56">
        <f t="shared" si="2"/>
        <v>12.166666666666666</v>
      </c>
      <c r="S20" s="166" t="str">
        <f t="shared" si="3"/>
        <v>TRANSITA</v>
      </c>
      <c r="T20" s="56"/>
      <c r="U20" s="59"/>
      <c r="V20" s="27"/>
      <c r="W20" s="32" t="e">
        <f t="shared" si="4"/>
        <v>#DIV/0!</v>
      </c>
      <c r="X20" s="28"/>
      <c r="Y20" s="56" t="e">
        <f t="shared" si="5"/>
        <v>#DIV/0!</v>
      </c>
      <c r="Z20" s="48" t="e">
        <f t="shared" si="0"/>
        <v>#DIV/0!</v>
      </c>
      <c r="AA20" s="41" t="e">
        <f t="shared" si="6"/>
        <v>#DIV/0!</v>
      </c>
      <c r="AB20" s="62"/>
      <c r="AC20" s="51">
        <f t="shared" ref="AC20" si="22">AB20*0.6</f>
        <v>0</v>
      </c>
      <c r="AD20" s="65" t="e">
        <f t="shared" ref="AD20" si="23">AVERAGE(AA20+AC20)</f>
        <v>#DIV/0!</v>
      </c>
      <c r="AE20" s="162" t="e">
        <f t="shared" si="9"/>
        <v>#DIV/0!</v>
      </c>
    </row>
    <row r="21" spans="2:31" ht="15.75" customHeight="1" x14ac:dyDescent="0.3">
      <c r="B21" s="35">
        <v>12</v>
      </c>
      <c r="C21" s="197" t="s">
        <v>109</v>
      </c>
      <c r="D21" s="45"/>
      <c r="E21" s="38"/>
      <c r="F21" s="58">
        <v>20</v>
      </c>
      <c r="G21" s="148">
        <v>16</v>
      </c>
      <c r="H21" s="148"/>
      <c r="I21" s="150">
        <v>13.5</v>
      </c>
      <c r="J21" s="151"/>
      <c r="K21" s="56">
        <f t="shared" si="12"/>
        <v>16.5</v>
      </c>
      <c r="L21" s="166" t="str">
        <f t="shared" si="1"/>
        <v>TRANSITA</v>
      </c>
      <c r="M21" s="149">
        <v>18</v>
      </c>
      <c r="N21" s="148">
        <v>10</v>
      </c>
      <c r="O21" s="148"/>
      <c r="P21" s="150">
        <v>10</v>
      </c>
      <c r="Q21" s="151"/>
      <c r="R21" s="56">
        <f t="shared" si="2"/>
        <v>12.666666666666666</v>
      </c>
      <c r="S21" s="166" t="str">
        <f t="shared" si="3"/>
        <v>TRANSITA</v>
      </c>
      <c r="T21" s="56"/>
      <c r="U21" s="149"/>
      <c r="V21" s="148"/>
      <c r="W21" s="32" t="e">
        <f t="shared" si="4"/>
        <v>#DIV/0!</v>
      </c>
      <c r="X21" s="151"/>
      <c r="Y21" s="56" t="e">
        <f t="shared" si="5"/>
        <v>#DIV/0!</v>
      </c>
      <c r="Z21" s="48" t="e">
        <f t="shared" si="0"/>
        <v>#DIV/0!</v>
      </c>
      <c r="AA21" s="41" t="e">
        <f t="shared" si="6"/>
        <v>#DIV/0!</v>
      </c>
      <c r="AB21" s="169"/>
      <c r="AC21" s="51">
        <f t="shared" ref="AC21" si="24">AB21*0.6</f>
        <v>0</v>
      </c>
      <c r="AD21" s="65" t="e">
        <f t="shared" ref="AD21" si="25">AVERAGE(AA21+AC21)</f>
        <v>#DIV/0!</v>
      </c>
      <c r="AE21" s="162" t="e">
        <f t="shared" si="9"/>
        <v>#DIV/0!</v>
      </c>
    </row>
    <row r="22" spans="2:31" ht="15.75" customHeight="1" x14ac:dyDescent="0.3">
      <c r="B22" s="35">
        <v>13</v>
      </c>
      <c r="C22" s="197" t="s">
        <v>110</v>
      </c>
      <c r="D22" s="45"/>
      <c r="E22" s="38"/>
      <c r="F22" s="58">
        <v>18</v>
      </c>
      <c r="G22" s="27">
        <v>13</v>
      </c>
      <c r="H22" s="27"/>
      <c r="I22" s="32">
        <v>8</v>
      </c>
      <c r="J22" s="28"/>
      <c r="K22" s="56">
        <f t="shared" si="12"/>
        <v>13</v>
      </c>
      <c r="L22" s="166" t="str">
        <f t="shared" si="1"/>
        <v>TRANSITA</v>
      </c>
      <c r="M22" s="59">
        <v>14</v>
      </c>
      <c r="N22" s="27">
        <v>11</v>
      </c>
      <c r="O22" s="27"/>
      <c r="P22" s="32">
        <v>10</v>
      </c>
      <c r="Q22" s="28"/>
      <c r="R22" s="56">
        <f t="shared" si="2"/>
        <v>11.666666666666666</v>
      </c>
      <c r="S22" s="166" t="str">
        <f t="shared" si="3"/>
        <v>TRANSITA</v>
      </c>
      <c r="T22" s="56"/>
      <c r="U22" s="59"/>
      <c r="V22" s="27"/>
      <c r="W22" s="32" t="e">
        <f t="shared" si="4"/>
        <v>#DIV/0!</v>
      </c>
      <c r="X22" s="28"/>
      <c r="Y22" s="56" t="e">
        <f t="shared" si="5"/>
        <v>#DIV/0!</v>
      </c>
      <c r="Z22" s="48" t="e">
        <f t="shared" si="0"/>
        <v>#DIV/0!</v>
      </c>
      <c r="AA22" s="41" t="e">
        <f t="shared" si="6"/>
        <v>#DIV/0!</v>
      </c>
      <c r="AB22" s="62"/>
      <c r="AC22" s="51">
        <f t="shared" si="10"/>
        <v>0</v>
      </c>
      <c r="AD22" s="65" t="e">
        <f t="shared" si="11"/>
        <v>#DIV/0!</v>
      </c>
      <c r="AE22" s="162" t="e">
        <f t="shared" si="9"/>
        <v>#DIV/0!</v>
      </c>
    </row>
    <row r="23" spans="2:31" ht="15.75" customHeight="1" x14ac:dyDescent="0.3">
      <c r="B23" s="35">
        <v>14</v>
      </c>
      <c r="C23" s="197" t="s">
        <v>111</v>
      </c>
      <c r="D23" s="45"/>
      <c r="E23" s="38"/>
      <c r="F23" s="58">
        <v>18</v>
      </c>
      <c r="G23" s="27">
        <v>14</v>
      </c>
      <c r="H23" s="27"/>
      <c r="I23" s="32">
        <v>12</v>
      </c>
      <c r="J23" s="28"/>
      <c r="K23" s="56">
        <f t="shared" si="12"/>
        <v>14.666666666666666</v>
      </c>
      <c r="L23" s="166" t="str">
        <f t="shared" si="1"/>
        <v>TRANSITA</v>
      </c>
      <c r="M23" s="59">
        <v>14</v>
      </c>
      <c r="N23" s="27">
        <v>10.5</v>
      </c>
      <c r="O23" s="27"/>
      <c r="P23" s="32">
        <v>6</v>
      </c>
      <c r="Q23" s="28"/>
      <c r="R23" s="56">
        <f t="shared" si="2"/>
        <v>10.166666666666666</v>
      </c>
      <c r="S23" s="166" t="str">
        <f t="shared" si="3"/>
        <v>TRANSITA</v>
      </c>
      <c r="T23" s="56"/>
      <c r="U23" s="59"/>
      <c r="V23" s="27"/>
      <c r="W23" s="32" t="e">
        <f t="shared" si="4"/>
        <v>#DIV/0!</v>
      </c>
      <c r="X23" s="28"/>
      <c r="Y23" s="56" t="e">
        <f t="shared" si="5"/>
        <v>#DIV/0!</v>
      </c>
      <c r="Z23" s="48" t="e">
        <f t="shared" si="0"/>
        <v>#DIV/0!</v>
      </c>
      <c r="AA23" s="41" t="e">
        <f t="shared" si="6"/>
        <v>#DIV/0!</v>
      </c>
      <c r="AB23" s="62"/>
      <c r="AC23" s="51">
        <f t="shared" si="10"/>
        <v>0</v>
      </c>
      <c r="AD23" s="65" t="e">
        <f t="shared" si="11"/>
        <v>#DIV/0!</v>
      </c>
      <c r="AE23" s="162" t="e">
        <f t="shared" si="9"/>
        <v>#DIV/0!</v>
      </c>
    </row>
    <row r="24" spans="2:31" ht="15.75" customHeight="1" x14ac:dyDescent="0.3">
      <c r="B24" s="35">
        <v>15</v>
      </c>
      <c r="C24" s="197" t="s">
        <v>112</v>
      </c>
      <c r="D24" s="45"/>
      <c r="E24" s="38"/>
      <c r="F24" s="58">
        <v>18</v>
      </c>
      <c r="G24" s="27">
        <v>12</v>
      </c>
      <c r="H24" s="27"/>
      <c r="I24" s="32">
        <v>9.5</v>
      </c>
      <c r="J24" s="28"/>
      <c r="K24" s="56">
        <f t="shared" si="12"/>
        <v>13.166666666666666</v>
      </c>
      <c r="L24" s="166" t="str">
        <f t="shared" si="1"/>
        <v>TRANSITA</v>
      </c>
      <c r="M24" s="59">
        <v>15</v>
      </c>
      <c r="N24" s="27">
        <v>12</v>
      </c>
      <c r="O24" s="27"/>
      <c r="P24" s="32">
        <v>6</v>
      </c>
      <c r="Q24" s="28"/>
      <c r="R24" s="56">
        <f t="shared" si="2"/>
        <v>11</v>
      </c>
      <c r="S24" s="166" t="str">
        <f t="shared" si="3"/>
        <v>TRANSITA</v>
      </c>
      <c r="T24" s="56"/>
      <c r="U24" s="59"/>
      <c r="V24" s="27"/>
      <c r="W24" s="32" t="e">
        <f t="shared" si="4"/>
        <v>#DIV/0!</v>
      </c>
      <c r="X24" s="28"/>
      <c r="Y24" s="56" t="e">
        <f t="shared" si="5"/>
        <v>#DIV/0!</v>
      </c>
      <c r="Z24" s="48" t="e">
        <f t="shared" si="0"/>
        <v>#DIV/0!</v>
      </c>
      <c r="AA24" s="41" t="e">
        <f t="shared" si="6"/>
        <v>#DIV/0!</v>
      </c>
      <c r="AB24" s="62"/>
      <c r="AC24" s="51">
        <f t="shared" si="10"/>
        <v>0</v>
      </c>
      <c r="AD24" s="65" t="e">
        <f t="shared" si="11"/>
        <v>#DIV/0!</v>
      </c>
      <c r="AE24" s="162" t="e">
        <f t="shared" si="9"/>
        <v>#DIV/0!</v>
      </c>
    </row>
    <row r="25" spans="2:31" ht="15.75" customHeight="1" x14ac:dyDescent="0.3">
      <c r="B25" s="35">
        <v>16</v>
      </c>
      <c r="C25" s="197" t="s">
        <v>113</v>
      </c>
      <c r="D25" s="45"/>
      <c r="E25" s="38"/>
      <c r="F25" s="58">
        <v>20</v>
      </c>
      <c r="G25" s="27">
        <v>13</v>
      </c>
      <c r="H25" s="27"/>
      <c r="I25" s="32">
        <v>19</v>
      </c>
      <c r="J25" s="28"/>
      <c r="K25" s="56">
        <f t="shared" si="12"/>
        <v>17.333333333333332</v>
      </c>
      <c r="L25" s="166" t="str">
        <f t="shared" si="1"/>
        <v>TRANSITA</v>
      </c>
      <c r="M25" s="59">
        <v>17</v>
      </c>
      <c r="N25" s="27">
        <v>12</v>
      </c>
      <c r="O25" s="27"/>
      <c r="P25" s="32">
        <v>10</v>
      </c>
      <c r="Q25" s="28"/>
      <c r="R25" s="56">
        <f t="shared" si="2"/>
        <v>13</v>
      </c>
      <c r="S25" s="166" t="str">
        <f t="shared" si="3"/>
        <v>TRANSITA</v>
      </c>
      <c r="T25" s="56"/>
      <c r="U25" s="59"/>
      <c r="V25" s="27"/>
      <c r="W25" s="32" t="e">
        <f t="shared" si="4"/>
        <v>#DIV/0!</v>
      </c>
      <c r="X25" s="28"/>
      <c r="Y25" s="56" t="e">
        <f t="shared" si="5"/>
        <v>#DIV/0!</v>
      </c>
      <c r="Z25" s="48" t="e">
        <f t="shared" si="0"/>
        <v>#DIV/0!</v>
      </c>
      <c r="AA25" s="41" t="e">
        <f t="shared" si="6"/>
        <v>#DIV/0!</v>
      </c>
      <c r="AB25" s="62"/>
      <c r="AC25" s="51">
        <f t="shared" si="10"/>
        <v>0</v>
      </c>
      <c r="AD25" s="65" t="e">
        <f t="shared" si="11"/>
        <v>#DIV/0!</v>
      </c>
      <c r="AE25" s="162" t="e">
        <f t="shared" si="9"/>
        <v>#DIV/0!</v>
      </c>
    </row>
    <row r="26" spans="2:31" ht="15.75" customHeight="1" x14ac:dyDescent="0.3">
      <c r="B26" s="35">
        <v>17</v>
      </c>
      <c r="C26" s="197" t="s">
        <v>114</v>
      </c>
      <c r="D26" s="45"/>
      <c r="E26" s="38"/>
      <c r="F26" s="58">
        <v>20</v>
      </c>
      <c r="G26" s="27">
        <v>15</v>
      </c>
      <c r="H26" s="27"/>
      <c r="I26" s="32">
        <v>13.5</v>
      </c>
      <c r="J26" s="28"/>
      <c r="K26" s="56">
        <f t="shared" si="12"/>
        <v>16.166666666666668</v>
      </c>
      <c r="L26" s="166" t="str">
        <f t="shared" si="1"/>
        <v>TRANSITA</v>
      </c>
      <c r="M26" s="59">
        <v>20</v>
      </c>
      <c r="N26" s="27">
        <v>12</v>
      </c>
      <c r="O26" s="27"/>
      <c r="P26" s="32">
        <v>11</v>
      </c>
      <c r="Q26" s="28"/>
      <c r="R26" s="56">
        <f t="shared" si="2"/>
        <v>14.333333333333334</v>
      </c>
      <c r="S26" s="166" t="str">
        <f t="shared" si="3"/>
        <v>TRANSITA</v>
      </c>
      <c r="T26" s="56"/>
      <c r="U26" s="59"/>
      <c r="V26" s="27"/>
      <c r="W26" s="32" t="e">
        <f t="shared" si="4"/>
        <v>#DIV/0!</v>
      </c>
      <c r="X26" s="28"/>
      <c r="Y26" s="56" t="e">
        <f t="shared" si="5"/>
        <v>#DIV/0!</v>
      </c>
      <c r="Z26" s="48" t="e">
        <f t="shared" si="0"/>
        <v>#DIV/0!</v>
      </c>
      <c r="AA26" s="41" t="e">
        <f t="shared" si="6"/>
        <v>#DIV/0!</v>
      </c>
      <c r="AB26" s="62"/>
      <c r="AC26" s="51">
        <f t="shared" ref="AC26:AC39" si="26">AB26*0.6</f>
        <v>0</v>
      </c>
      <c r="AD26" s="65" t="e">
        <f t="shared" ref="AD26:AD39" si="27">AVERAGE(AA26+AC26)</f>
        <v>#DIV/0!</v>
      </c>
      <c r="AE26" s="162" t="e">
        <f t="shared" si="9"/>
        <v>#DIV/0!</v>
      </c>
    </row>
    <row r="27" spans="2:31" ht="15.75" customHeight="1" x14ac:dyDescent="0.3">
      <c r="B27" s="35">
        <v>18</v>
      </c>
      <c r="C27" s="197" t="s">
        <v>115</v>
      </c>
      <c r="D27" s="45"/>
      <c r="E27" s="38"/>
      <c r="F27" s="58">
        <v>20</v>
      </c>
      <c r="G27" s="27">
        <v>12</v>
      </c>
      <c r="H27" s="27"/>
      <c r="I27" s="32">
        <v>8</v>
      </c>
      <c r="J27" s="28"/>
      <c r="K27" s="56">
        <f t="shared" si="12"/>
        <v>13.333333333333334</v>
      </c>
      <c r="L27" s="166" t="str">
        <f t="shared" si="1"/>
        <v>TRANSITA</v>
      </c>
      <c r="M27" s="59">
        <v>16</v>
      </c>
      <c r="N27" s="27">
        <v>13</v>
      </c>
      <c r="O27" s="27"/>
      <c r="P27" s="32">
        <v>6</v>
      </c>
      <c r="Q27" s="28"/>
      <c r="R27" s="56">
        <f t="shared" si="2"/>
        <v>11.666666666666666</v>
      </c>
      <c r="S27" s="166" t="str">
        <f t="shared" si="3"/>
        <v>TRANSITA</v>
      </c>
      <c r="T27" s="56"/>
      <c r="U27" s="59"/>
      <c r="V27" s="27"/>
      <c r="W27" s="32" t="e">
        <f t="shared" si="4"/>
        <v>#DIV/0!</v>
      </c>
      <c r="X27" s="28"/>
      <c r="Y27" s="56" t="e">
        <f t="shared" si="5"/>
        <v>#DIV/0!</v>
      </c>
      <c r="Z27" s="48" t="e">
        <f t="shared" si="0"/>
        <v>#DIV/0!</v>
      </c>
      <c r="AA27" s="41" t="e">
        <f t="shared" si="6"/>
        <v>#DIV/0!</v>
      </c>
      <c r="AB27" s="62"/>
      <c r="AC27" s="51">
        <f t="shared" si="26"/>
        <v>0</v>
      </c>
      <c r="AD27" s="65" t="e">
        <f t="shared" si="27"/>
        <v>#DIV/0!</v>
      </c>
      <c r="AE27" s="162" t="e">
        <f t="shared" si="9"/>
        <v>#DIV/0!</v>
      </c>
    </row>
    <row r="28" spans="2:31" ht="15.75" customHeight="1" x14ac:dyDescent="0.3">
      <c r="B28" s="35">
        <v>19</v>
      </c>
      <c r="C28" s="197" t="s">
        <v>116</v>
      </c>
      <c r="D28" s="45"/>
      <c r="E28" s="38"/>
      <c r="F28" s="58">
        <v>15</v>
      </c>
      <c r="G28" s="27">
        <v>8</v>
      </c>
      <c r="H28" s="27"/>
      <c r="I28" s="32">
        <v>4</v>
      </c>
      <c r="J28" s="28"/>
      <c r="K28" s="56">
        <f t="shared" si="12"/>
        <v>9</v>
      </c>
      <c r="L28" s="166" t="str">
        <f t="shared" si="1"/>
        <v>N/TRANSITA</v>
      </c>
      <c r="M28" s="59">
        <v>13</v>
      </c>
      <c r="N28" s="27">
        <v>11.5</v>
      </c>
      <c r="O28" s="27"/>
      <c r="P28" s="32">
        <v>4</v>
      </c>
      <c r="Q28" s="28"/>
      <c r="R28" s="56">
        <f t="shared" si="2"/>
        <v>9.5</v>
      </c>
      <c r="S28" s="166" t="str">
        <f t="shared" si="3"/>
        <v>N/TRANSITA</v>
      </c>
      <c r="T28" s="56"/>
      <c r="U28" s="59"/>
      <c r="V28" s="27"/>
      <c r="W28" s="32" t="e">
        <f t="shared" si="4"/>
        <v>#DIV/0!</v>
      </c>
      <c r="X28" s="28"/>
      <c r="Y28" s="56" t="e">
        <f t="shared" si="5"/>
        <v>#DIV/0!</v>
      </c>
      <c r="Z28" s="48" t="e">
        <f t="shared" si="0"/>
        <v>#DIV/0!</v>
      </c>
      <c r="AA28" s="41" t="e">
        <f t="shared" si="6"/>
        <v>#DIV/0!</v>
      </c>
      <c r="AB28" s="62"/>
      <c r="AC28" s="51">
        <f t="shared" ref="AC28:AC29" si="28">AB28*0.6</f>
        <v>0</v>
      </c>
      <c r="AD28" s="65" t="e">
        <f t="shared" ref="AD28:AD29" si="29">AVERAGE(AA28+AC28)</f>
        <v>#DIV/0!</v>
      </c>
      <c r="AE28" s="162" t="e">
        <f t="shared" si="9"/>
        <v>#DIV/0!</v>
      </c>
    </row>
    <row r="29" spans="2:31" ht="15.75" customHeight="1" x14ac:dyDescent="0.3">
      <c r="B29" s="35">
        <v>20</v>
      </c>
      <c r="C29" s="197" t="s">
        <v>117</v>
      </c>
      <c r="D29" s="45"/>
      <c r="E29" s="38"/>
      <c r="F29" s="58">
        <v>20</v>
      </c>
      <c r="G29" s="27">
        <v>15</v>
      </c>
      <c r="H29" s="27"/>
      <c r="I29" s="32">
        <v>4</v>
      </c>
      <c r="J29" s="28"/>
      <c r="K29" s="56">
        <f t="shared" si="12"/>
        <v>13</v>
      </c>
      <c r="L29" s="166" t="str">
        <f t="shared" si="1"/>
        <v>TRANSITA</v>
      </c>
      <c r="M29" s="59">
        <v>14</v>
      </c>
      <c r="N29" s="27">
        <v>14</v>
      </c>
      <c r="O29" s="27"/>
      <c r="P29" s="32"/>
      <c r="Q29" s="28"/>
      <c r="R29" s="56">
        <f t="shared" si="2"/>
        <v>9.3333333333333339</v>
      </c>
      <c r="S29" s="166" t="str">
        <f t="shared" si="3"/>
        <v>N/TRANSITA</v>
      </c>
      <c r="T29" s="56"/>
      <c r="U29" s="59"/>
      <c r="V29" s="27"/>
      <c r="W29" s="32" t="e">
        <f t="shared" si="4"/>
        <v>#DIV/0!</v>
      </c>
      <c r="X29" s="28"/>
      <c r="Y29" s="56" t="e">
        <f t="shared" si="5"/>
        <v>#DIV/0!</v>
      </c>
      <c r="Z29" s="48" t="e">
        <f t="shared" si="0"/>
        <v>#DIV/0!</v>
      </c>
      <c r="AA29" s="41" t="e">
        <f t="shared" si="6"/>
        <v>#DIV/0!</v>
      </c>
      <c r="AB29" s="62"/>
      <c r="AC29" s="51">
        <f t="shared" si="28"/>
        <v>0</v>
      </c>
      <c r="AD29" s="65" t="e">
        <f t="shared" si="29"/>
        <v>#DIV/0!</v>
      </c>
      <c r="AE29" s="162" t="e">
        <f t="shared" si="9"/>
        <v>#DIV/0!</v>
      </c>
    </row>
    <row r="30" spans="2:31" ht="15.75" customHeight="1" x14ac:dyDescent="0.3">
      <c r="B30" s="35">
        <v>21</v>
      </c>
      <c r="C30" s="197" t="s">
        <v>118</v>
      </c>
      <c r="D30" s="45"/>
      <c r="E30" s="38"/>
      <c r="F30" s="58">
        <v>14</v>
      </c>
      <c r="G30" s="155">
        <v>13</v>
      </c>
      <c r="H30" s="155"/>
      <c r="I30" s="157">
        <v>7</v>
      </c>
      <c r="J30" s="158"/>
      <c r="K30" s="56">
        <f t="shared" si="12"/>
        <v>11.333333333333334</v>
      </c>
      <c r="L30" s="166" t="str">
        <f t="shared" si="1"/>
        <v>TRANSITA</v>
      </c>
      <c r="M30" s="156">
        <v>15</v>
      </c>
      <c r="N30" s="155">
        <v>11.5</v>
      </c>
      <c r="O30" s="155"/>
      <c r="P30" s="157">
        <v>4</v>
      </c>
      <c r="Q30" s="158"/>
      <c r="R30" s="56">
        <f t="shared" si="2"/>
        <v>10.166666666666666</v>
      </c>
      <c r="S30" s="166" t="str">
        <f t="shared" si="3"/>
        <v>TRANSITA</v>
      </c>
      <c r="T30" s="56"/>
      <c r="U30" s="156"/>
      <c r="V30" s="155"/>
      <c r="W30" s="32" t="e">
        <f t="shared" si="4"/>
        <v>#DIV/0!</v>
      </c>
      <c r="X30" s="158"/>
      <c r="Y30" s="56" t="e">
        <f t="shared" si="5"/>
        <v>#DIV/0!</v>
      </c>
      <c r="Z30" s="48" t="e">
        <f t="shared" si="0"/>
        <v>#DIV/0!</v>
      </c>
      <c r="AA30" s="41" t="e">
        <f t="shared" si="6"/>
        <v>#DIV/0!</v>
      </c>
      <c r="AB30" s="170"/>
      <c r="AC30" s="51">
        <f t="shared" ref="AC30" si="30">AB30*0.6</f>
        <v>0</v>
      </c>
      <c r="AD30" s="65" t="e">
        <f t="shared" ref="AD30" si="31">AVERAGE(AA30+AC30)</f>
        <v>#DIV/0!</v>
      </c>
      <c r="AE30" s="162" t="e">
        <f t="shared" si="9"/>
        <v>#DIV/0!</v>
      </c>
    </row>
    <row r="31" spans="2:31" ht="15.75" customHeight="1" x14ac:dyDescent="0.3">
      <c r="B31" s="35">
        <v>22</v>
      </c>
      <c r="C31" s="197" t="s">
        <v>119</v>
      </c>
      <c r="D31" s="45"/>
      <c r="E31" s="38"/>
      <c r="F31" s="58">
        <v>15</v>
      </c>
      <c r="G31" s="27">
        <v>10</v>
      </c>
      <c r="H31" s="27"/>
      <c r="I31" s="32">
        <v>12.5</v>
      </c>
      <c r="J31" s="28"/>
      <c r="K31" s="56">
        <f t="shared" si="12"/>
        <v>12.5</v>
      </c>
      <c r="L31" s="166" t="str">
        <f t="shared" si="1"/>
        <v>TRANSITA</v>
      </c>
      <c r="M31" s="59">
        <v>14</v>
      </c>
      <c r="N31" s="27">
        <v>11</v>
      </c>
      <c r="O31" s="27"/>
      <c r="P31" s="32">
        <v>10</v>
      </c>
      <c r="Q31" s="28"/>
      <c r="R31" s="56">
        <f t="shared" si="2"/>
        <v>11.666666666666666</v>
      </c>
      <c r="S31" s="166" t="str">
        <f t="shared" si="3"/>
        <v>TRANSITA</v>
      </c>
      <c r="T31" s="56"/>
      <c r="U31" s="59"/>
      <c r="V31" s="27"/>
      <c r="W31" s="32" t="e">
        <f t="shared" si="4"/>
        <v>#DIV/0!</v>
      </c>
      <c r="X31" s="28"/>
      <c r="Y31" s="56" t="e">
        <f t="shared" si="5"/>
        <v>#DIV/0!</v>
      </c>
      <c r="Z31" s="48" t="e">
        <f t="shared" si="0"/>
        <v>#DIV/0!</v>
      </c>
      <c r="AA31" s="41" t="e">
        <f t="shared" si="6"/>
        <v>#DIV/0!</v>
      </c>
      <c r="AB31" s="62"/>
      <c r="AC31" s="51">
        <f t="shared" si="26"/>
        <v>0</v>
      </c>
      <c r="AD31" s="65" t="e">
        <f t="shared" si="27"/>
        <v>#DIV/0!</v>
      </c>
      <c r="AE31" s="162" t="e">
        <f t="shared" si="9"/>
        <v>#DIV/0!</v>
      </c>
    </row>
    <row r="32" spans="2:31" ht="15.75" customHeight="1" x14ac:dyDescent="0.3">
      <c r="B32" s="35">
        <v>23</v>
      </c>
      <c r="C32" s="197" t="s">
        <v>120</v>
      </c>
      <c r="D32" s="45"/>
      <c r="E32" s="38"/>
      <c r="F32" s="58">
        <v>18</v>
      </c>
      <c r="G32" s="27">
        <v>17</v>
      </c>
      <c r="H32" s="27"/>
      <c r="I32" s="32">
        <v>18.5</v>
      </c>
      <c r="J32" s="28"/>
      <c r="K32" s="56">
        <f t="shared" si="12"/>
        <v>17.833333333333332</v>
      </c>
      <c r="L32" s="166" t="str">
        <f t="shared" si="1"/>
        <v>TRANSITA</v>
      </c>
      <c r="M32" s="59">
        <v>17</v>
      </c>
      <c r="N32" s="27">
        <v>12</v>
      </c>
      <c r="O32" s="27"/>
      <c r="P32" s="32">
        <v>5</v>
      </c>
      <c r="Q32" s="28"/>
      <c r="R32" s="56">
        <f t="shared" si="2"/>
        <v>11.333333333333334</v>
      </c>
      <c r="S32" s="166" t="str">
        <f t="shared" si="3"/>
        <v>TRANSITA</v>
      </c>
      <c r="T32" s="56"/>
      <c r="U32" s="59"/>
      <c r="V32" s="27"/>
      <c r="W32" s="32" t="e">
        <f t="shared" si="4"/>
        <v>#DIV/0!</v>
      </c>
      <c r="X32" s="28"/>
      <c r="Y32" s="56" t="e">
        <f t="shared" si="5"/>
        <v>#DIV/0!</v>
      </c>
      <c r="Z32" s="48" t="e">
        <f t="shared" si="0"/>
        <v>#DIV/0!</v>
      </c>
      <c r="AA32" s="41" t="e">
        <f t="shared" si="6"/>
        <v>#DIV/0!</v>
      </c>
      <c r="AB32" s="62"/>
      <c r="AC32" s="51">
        <f t="shared" si="26"/>
        <v>0</v>
      </c>
      <c r="AD32" s="65" t="e">
        <f t="shared" si="27"/>
        <v>#DIV/0!</v>
      </c>
      <c r="AE32" s="162" t="e">
        <f t="shared" si="9"/>
        <v>#DIV/0!</v>
      </c>
    </row>
    <row r="33" spans="2:31" ht="15.75" customHeight="1" x14ac:dyDescent="0.3">
      <c r="B33" s="35">
        <v>24</v>
      </c>
      <c r="C33" s="197" t="s">
        <v>121</v>
      </c>
      <c r="D33" s="45"/>
      <c r="E33" s="38"/>
      <c r="F33" s="58">
        <v>4</v>
      </c>
      <c r="G33" s="27">
        <v>10</v>
      </c>
      <c r="H33" s="27"/>
      <c r="I33" s="32">
        <v>6</v>
      </c>
      <c r="J33" s="28"/>
      <c r="K33" s="56">
        <f t="shared" si="12"/>
        <v>6.666666666666667</v>
      </c>
      <c r="L33" s="166" t="str">
        <f t="shared" si="1"/>
        <v>N/TRANSITA</v>
      </c>
      <c r="M33" s="59">
        <v>7</v>
      </c>
      <c r="N33" s="27">
        <v>0</v>
      </c>
      <c r="O33" s="27"/>
      <c r="P33" s="32">
        <v>2</v>
      </c>
      <c r="Q33" s="28"/>
      <c r="R33" s="56">
        <f t="shared" si="2"/>
        <v>3</v>
      </c>
      <c r="S33" s="166" t="str">
        <f t="shared" si="3"/>
        <v>N/TRANSITA</v>
      </c>
      <c r="T33" s="56"/>
      <c r="U33" s="59"/>
      <c r="V33" s="27"/>
      <c r="W33" s="32" t="e">
        <f t="shared" si="4"/>
        <v>#DIV/0!</v>
      </c>
      <c r="X33" s="28"/>
      <c r="Y33" s="56" t="e">
        <f t="shared" si="5"/>
        <v>#DIV/0!</v>
      </c>
      <c r="Z33" s="48" t="e">
        <f t="shared" si="0"/>
        <v>#DIV/0!</v>
      </c>
      <c r="AA33" s="41" t="e">
        <f t="shared" si="6"/>
        <v>#DIV/0!</v>
      </c>
      <c r="AB33" s="62"/>
      <c r="AC33" s="51">
        <f t="shared" si="26"/>
        <v>0</v>
      </c>
      <c r="AD33" s="65" t="e">
        <f t="shared" si="27"/>
        <v>#DIV/0!</v>
      </c>
      <c r="AE33" s="162" t="e">
        <f t="shared" si="9"/>
        <v>#DIV/0!</v>
      </c>
    </row>
    <row r="34" spans="2:31" ht="15.75" customHeight="1" x14ac:dyDescent="0.3">
      <c r="B34" s="35">
        <v>25</v>
      </c>
      <c r="C34" s="197" t="s">
        <v>122</v>
      </c>
      <c r="D34" s="45"/>
      <c r="E34" s="38"/>
      <c r="F34" s="58">
        <v>20</v>
      </c>
      <c r="G34" s="27">
        <v>17</v>
      </c>
      <c r="H34" s="27"/>
      <c r="I34" s="32">
        <v>12</v>
      </c>
      <c r="J34" s="28"/>
      <c r="K34" s="56">
        <f t="shared" si="12"/>
        <v>16.333333333333332</v>
      </c>
      <c r="L34" s="166" t="str">
        <f t="shared" si="1"/>
        <v>TRANSITA</v>
      </c>
      <c r="M34" s="59">
        <v>20</v>
      </c>
      <c r="N34" s="27">
        <v>18</v>
      </c>
      <c r="O34" s="27"/>
      <c r="P34" s="32">
        <v>18</v>
      </c>
      <c r="Q34" s="28"/>
      <c r="R34" s="56">
        <f t="shared" si="2"/>
        <v>18.666666666666668</v>
      </c>
      <c r="S34" s="166" t="str">
        <f t="shared" si="3"/>
        <v>TRANSITA</v>
      </c>
      <c r="T34" s="56"/>
      <c r="U34" s="59"/>
      <c r="V34" s="27"/>
      <c r="W34" s="32" t="e">
        <f t="shared" si="4"/>
        <v>#DIV/0!</v>
      </c>
      <c r="X34" s="28"/>
      <c r="Y34" s="56" t="e">
        <f t="shared" si="5"/>
        <v>#DIV/0!</v>
      </c>
      <c r="Z34" s="48" t="e">
        <f t="shared" si="0"/>
        <v>#DIV/0!</v>
      </c>
      <c r="AA34" s="41" t="e">
        <f t="shared" si="6"/>
        <v>#DIV/0!</v>
      </c>
      <c r="AB34" s="62"/>
      <c r="AC34" s="51">
        <f t="shared" si="26"/>
        <v>0</v>
      </c>
      <c r="AD34" s="65" t="e">
        <f t="shared" si="27"/>
        <v>#DIV/0!</v>
      </c>
      <c r="AE34" s="162" t="e">
        <f t="shared" si="9"/>
        <v>#DIV/0!</v>
      </c>
    </row>
    <row r="35" spans="2:31" ht="15.75" customHeight="1" x14ac:dyDescent="0.3">
      <c r="B35" s="35">
        <v>26</v>
      </c>
      <c r="C35" s="197" t="s">
        <v>123</v>
      </c>
      <c r="D35" s="45"/>
      <c r="E35" s="38"/>
      <c r="F35" s="58">
        <v>15</v>
      </c>
      <c r="G35" s="27">
        <v>0</v>
      </c>
      <c r="H35" s="27"/>
      <c r="I35" s="32">
        <v>2</v>
      </c>
      <c r="J35" s="28"/>
      <c r="K35" s="56">
        <f t="shared" si="12"/>
        <v>5.666666666666667</v>
      </c>
      <c r="L35" s="166" t="str">
        <f t="shared" si="1"/>
        <v>N/TRANSITA</v>
      </c>
      <c r="M35" s="59">
        <v>8</v>
      </c>
      <c r="N35" s="27">
        <v>0</v>
      </c>
      <c r="O35" s="27"/>
      <c r="P35" s="32">
        <v>6</v>
      </c>
      <c r="Q35" s="28"/>
      <c r="R35" s="56">
        <f t="shared" si="2"/>
        <v>4.666666666666667</v>
      </c>
      <c r="S35" s="166" t="str">
        <f t="shared" si="3"/>
        <v>N/TRANSITA</v>
      </c>
      <c r="T35" s="56"/>
      <c r="U35" s="59"/>
      <c r="V35" s="27"/>
      <c r="W35" s="32" t="e">
        <f t="shared" si="4"/>
        <v>#DIV/0!</v>
      </c>
      <c r="X35" s="28"/>
      <c r="Y35" s="56" t="e">
        <f t="shared" si="5"/>
        <v>#DIV/0!</v>
      </c>
      <c r="Z35" s="48" t="e">
        <f t="shared" si="0"/>
        <v>#DIV/0!</v>
      </c>
      <c r="AA35" s="41" t="e">
        <f t="shared" si="6"/>
        <v>#DIV/0!</v>
      </c>
      <c r="AB35" s="62"/>
      <c r="AC35" s="51">
        <f t="shared" si="26"/>
        <v>0</v>
      </c>
      <c r="AD35" s="65" t="e">
        <f t="shared" si="27"/>
        <v>#DIV/0!</v>
      </c>
      <c r="AE35" s="162" t="e">
        <f t="shared" si="9"/>
        <v>#DIV/0!</v>
      </c>
    </row>
    <row r="36" spans="2:31" ht="15.75" customHeight="1" x14ac:dyDescent="0.3">
      <c r="B36" s="35">
        <v>27</v>
      </c>
      <c r="C36" s="197" t="s">
        <v>124</v>
      </c>
      <c r="D36" s="45"/>
      <c r="E36" s="38"/>
      <c r="F36" s="58">
        <v>14</v>
      </c>
      <c r="G36" s="27">
        <v>14</v>
      </c>
      <c r="H36" s="27"/>
      <c r="I36" s="32">
        <v>2</v>
      </c>
      <c r="J36" s="28"/>
      <c r="K36" s="56">
        <f t="shared" si="12"/>
        <v>10</v>
      </c>
      <c r="L36" s="166" t="str">
        <f t="shared" si="1"/>
        <v>TRANSITA</v>
      </c>
      <c r="M36" s="59">
        <v>13</v>
      </c>
      <c r="N36" s="27">
        <v>13</v>
      </c>
      <c r="O36" s="27"/>
      <c r="P36" s="32">
        <v>8</v>
      </c>
      <c r="Q36" s="28"/>
      <c r="R36" s="56">
        <f t="shared" si="2"/>
        <v>11.333333333333334</v>
      </c>
      <c r="S36" s="166" t="str">
        <f t="shared" si="3"/>
        <v>TRANSITA</v>
      </c>
      <c r="T36" s="56"/>
      <c r="U36" s="59"/>
      <c r="V36" s="27"/>
      <c r="W36" s="32" t="e">
        <f t="shared" si="4"/>
        <v>#DIV/0!</v>
      </c>
      <c r="X36" s="28"/>
      <c r="Y36" s="56" t="e">
        <f t="shared" si="5"/>
        <v>#DIV/0!</v>
      </c>
      <c r="Z36" s="48" t="e">
        <f t="shared" si="0"/>
        <v>#DIV/0!</v>
      </c>
      <c r="AA36" s="41" t="e">
        <f t="shared" si="6"/>
        <v>#DIV/0!</v>
      </c>
      <c r="AB36" s="62"/>
      <c r="AC36" s="51">
        <f t="shared" si="26"/>
        <v>0</v>
      </c>
      <c r="AD36" s="65" t="e">
        <f t="shared" si="27"/>
        <v>#DIV/0!</v>
      </c>
      <c r="AE36" s="162" t="e">
        <f t="shared" si="9"/>
        <v>#DIV/0!</v>
      </c>
    </row>
    <row r="37" spans="2:31" ht="15.75" customHeight="1" x14ac:dyDescent="0.3">
      <c r="B37" s="35">
        <v>28</v>
      </c>
      <c r="C37" s="197" t="s">
        <v>125</v>
      </c>
      <c r="D37" s="45"/>
      <c r="E37" s="38"/>
      <c r="F37" s="58">
        <v>12</v>
      </c>
      <c r="G37" s="148">
        <v>9</v>
      </c>
      <c r="H37" s="148"/>
      <c r="I37" s="150">
        <v>10</v>
      </c>
      <c r="J37" s="151"/>
      <c r="K37" s="56">
        <f t="shared" si="12"/>
        <v>10.333333333333334</v>
      </c>
      <c r="L37" s="166" t="str">
        <f t="shared" si="1"/>
        <v>TRANSITA</v>
      </c>
      <c r="M37" s="149">
        <v>8</v>
      </c>
      <c r="N37" s="148">
        <v>5</v>
      </c>
      <c r="O37" s="148"/>
      <c r="P37" s="150">
        <v>8</v>
      </c>
      <c r="Q37" s="151"/>
      <c r="R37" s="56">
        <f t="shared" si="2"/>
        <v>7</v>
      </c>
      <c r="S37" s="166" t="str">
        <f t="shared" si="3"/>
        <v>N/TRANSITA</v>
      </c>
      <c r="T37" s="56"/>
      <c r="U37" s="149"/>
      <c r="V37" s="148"/>
      <c r="W37" s="32" t="e">
        <f t="shared" si="4"/>
        <v>#DIV/0!</v>
      </c>
      <c r="X37" s="151"/>
      <c r="Y37" s="56" t="e">
        <f t="shared" si="5"/>
        <v>#DIV/0!</v>
      </c>
      <c r="Z37" s="48" t="e">
        <f t="shared" si="0"/>
        <v>#DIV/0!</v>
      </c>
      <c r="AA37" s="41" t="e">
        <f t="shared" si="6"/>
        <v>#DIV/0!</v>
      </c>
      <c r="AB37" s="62"/>
      <c r="AC37" s="51">
        <f t="shared" si="26"/>
        <v>0</v>
      </c>
      <c r="AD37" s="65" t="e">
        <f t="shared" si="27"/>
        <v>#DIV/0!</v>
      </c>
      <c r="AE37" s="162" t="e">
        <f t="shared" si="9"/>
        <v>#DIV/0!</v>
      </c>
    </row>
    <row r="38" spans="2:31" ht="15.75" customHeight="1" x14ac:dyDescent="0.3">
      <c r="B38" s="35">
        <v>29</v>
      </c>
      <c r="C38" s="197" t="s">
        <v>126</v>
      </c>
      <c r="D38" s="45"/>
      <c r="E38" s="38"/>
      <c r="F38" s="58">
        <v>4</v>
      </c>
      <c r="G38" s="27">
        <v>14</v>
      </c>
      <c r="H38" s="27"/>
      <c r="I38" s="32">
        <v>9</v>
      </c>
      <c r="J38" s="28"/>
      <c r="K38" s="56">
        <f t="shared" si="12"/>
        <v>9</v>
      </c>
      <c r="L38" s="166" t="str">
        <f t="shared" si="1"/>
        <v>N/TRANSITA</v>
      </c>
      <c r="M38" s="59">
        <v>6</v>
      </c>
      <c r="N38" s="27">
        <v>0</v>
      </c>
      <c r="O38" s="27"/>
      <c r="P38" s="32">
        <v>2</v>
      </c>
      <c r="Q38" s="28"/>
      <c r="R38" s="56">
        <f t="shared" si="2"/>
        <v>2.6666666666666665</v>
      </c>
      <c r="S38" s="166" t="str">
        <f t="shared" si="3"/>
        <v>N/TRANSITA</v>
      </c>
      <c r="T38" s="56"/>
      <c r="U38" s="59"/>
      <c r="V38" s="27"/>
      <c r="W38" s="32" t="e">
        <f t="shared" si="4"/>
        <v>#DIV/0!</v>
      </c>
      <c r="X38" s="28"/>
      <c r="Y38" s="56" t="e">
        <f t="shared" si="5"/>
        <v>#DIV/0!</v>
      </c>
      <c r="Z38" s="48" t="e">
        <f t="shared" si="0"/>
        <v>#DIV/0!</v>
      </c>
      <c r="AA38" s="41" t="e">
        <f t="shared" si="6"/>
        <v>#DIV/0!</v>
      </c>
      <c r="AB38" s="62"/>
      <c r="AC38" s="51">
        <f t="shared" si="26"/>
        <v>0</v>
      </c>
      <c r="AD38" s="65" t="e">
        <f t="shared" si="27"/>
        <v>#DIV/0!</v>
      </c>
      <c r="AE38" s="162" t="e">
        <f t="shared" si="9"/>
        <v>#DIV/0!</v>
      </c>
    </row>
    <row r="39" spans="2:31" ht="15.75" customHeight="1" x14ac:dyDescent="0.3">
      <c r="B39" s="35">
        <v>30</v>
      </c>
      <c r="C39" s="197" t="s">
        <v>127</v>
      </c>
      <c r="D39" s="45"/>
      <c r="E39" s="38"/>
      <c r="F39" s="58">
        <v>20</v>
      </c>
      <c r="G39" s="27">
        <v>19</v>
      </c>
      <c r="H39" s="27"/>
      <c r="I39" s="32">
        <v>7</v>
      </c>
      <c r="J39" s="28"/>
      <c r="K39" s="56">
        <f t="shared" si="12"/>
        <v>15.333333333333334</v>
      </c>
      <c r="L39" s="166" t="str">
        <f t="shared" si="1"/>
        <v>TRANSITA</v>
      </c>
      <c r="M39" s="59">
        <v>20</v>
      </c>
      <c r="N39" s="27">
        <v>20</v>
      </c>
      <c r="O39" s="27"/>
      <c r="P39" s="32">
        <v>13</v>
      </c>
      <c r="Q39" s="28"/>
      <c r="R39" s="56">
        <f t="shared" si="2"/>
        <v>17.666666666666668</v>
      </c>
      <c r="S39" s="166" t="str">
        <f t="shared" si="3"/>
        <v>TRANSITA</v>
      </c>
      <c r="T39" s="56"/>
      <c r="U39" s="59"/>
      <c r="V39" s="27"/>
      <c r="W39" s="32" t="e">
        <f t="shared" si="4"/>
        <v>#DIV/0!</v>
      </c>
      <c r="X39" s="28"/>
      <c r="Y39" s="56" t="e">
        <f t="shared" si="5"/>
        <v>#DIV/0!</v>
      </c>
      <c r="Z39" s="48" t="e">
        <f t="shared" si="0"/>
        <v>#DIV/0!</v>
      </c>
      <c r="AA39" s="41" t="e">
        <f t="shared" si="6"/>
        <v>#DIV/0!</v>
      </c>
      <c r="AB39" s="62"/>
      <c r="AC39" s="51">
        <f t="shared" si="26"/>
        <v>0</v>
      </c>
      <c r="AD39" s="65" t="e">
        <f t="shared" si="27"/>
        <v>#DIV/0!</v>
      </c>
      <c r="AE39" s="162" t="e">
        <f t="shared" si="9"/>
        <v>#DIV/0!</v>
      </c>
    </row>
    <row r="40" spans="2:31" ht="15.75" customHeight="1" x14ac:dyDescent="0.3">
      <c r="B40" s="35">
        <v>31</v>
      </c>
      <c r="C40" s="197" t="s">
        <v>128</v>
      </c>
      <c r="D40" s="45"/>
      <c r="E40" s="38"/>
      <c r="F40" s="58">
        <v>13</v>
      </c>
      <c r="G40" s="27">
        <v>17</v>
      </c>
      <c r="H40" s="27"/>
      <c r="I40" s="32">
        <v>12.5</v>
      </c>
      <c r="J40" s="28"/>
      <c r="K40" s="56">
        <f t="shared" si="12"/>
        <v>14.166666666666666</v>
      </c>
      <c r="L40" s="166" t="str">
        <f t="shared" si="1"/>
        <v>TRANSITA</v>
      </c>
      <c r="M40" s="59">
        <v>15</v>
      </c>
      <c r="N40" s="27">
        <v>16</v>
      </c>
      <c r="O40" s="27"/>
      <c r="P40" s="32">
        <v>13</v>
      </c>
      <c r="Q40" s="28"/>
      <c r="R40" s="56">
        <f t="shared" si="2"/>
        <v>14.666666666666666</v>
      </c>
      <c r="S40" s="166" t="str">
        <f t="shared" si="3"/>
        <v>TRANSITA</v>
      </c>
      <c r="T40" s="56"/>
      <c r="U40" s="59"/>
      <c r="V40" s="27"/>
      <c r="W40" s="32" t="e">
        <f t="shared" si="4"/>
        <v>#DIV/0!</v>
      </c>
      <c r="X40" s="28"/>
      <c r="Y40" s="56" t="e">
        <f t="shared" si="5"/>
        <v>#DIV/0!</v>
      </c>
      <c r="Z40" s="48" t="e">
        <f t="shared" si="0"/>
        <v>#DIV/0!</v>
      </c>
      <c r="AA40" s="41" t="e">
        <f t="shared" si="6"/>
        <v>#DIV/0!</v>
      </c>
      <c r="AB40" s="62"/>
      <c r="AC40" s="51">
        <f t="shared" si="10"/>
        <v>0</v>
      </c>
      <c r="AD40" s="65" t="e">
        <f t="shared" si="11"/>
        <v>#DIV/0!</v>
      </c>
      <c r="AE40" s="162" t="e">
        <f t="shared" si="9"/>
        <v>#DIV/0!</v>
      </c>
    </row>
    <row r="41" spans="2:31" ht="15.75" customHeight="1" x14ac:dyDescent="0.3">
      <c r="B41" s="35">
        <v>32</v>
      </c>
      <c r="C41" s="197" t="s">
        <v>142</v>
      </c>
      <c r="D41" s="45"/>
      <c r="E41" s="38"/>
      <c r="F41" s="58">
        <v>11</v>
      </c>
      <c r="G41" s="27">
        <v>15</v>
      </c>
      <c r="H41" s="27"/>
      <c r="I41" s="32">
        <v>9.5</v>
      </c>
      <c r="J41" s="28"/>
      <c r="K41" s="56">
        <f t="shared" si="12"/>
        <v>11.833333333333334</v>
      </c>
      <c r="L41" s="166" t="str">
        <f t="shared" si="1"/>
        <v>TRANSITA</v>
      </c>
      <c r="M41" s="59">
        <v>15</v>
      </c>
      <c r="N41" s="27">
        <v>12.5</v>
      </c>
      <c r="O41" s="27"/>
      <c r="P41" s="32">
        <v>13</v>
      </c>
      <c r="Q41" s="28"/>
      <c r="R41" s="56">
        <f t="shared" ref="R41" si="32">AVERAGE(M41,MAX(N41:O41),MAX(P41:Q41))</f>
        <v>13.5</v>
      </c>
      <c r="S41" s="166" t="str">
        <f t="shared" ref="S41" si="33">IF(R41&gt;=10,"TRANSITA","N/TRANSITA")</f>
        <v>TRANSITA</v>
      </c>
      <c r="T41" s="56"/>
      <c r="U41" s="59"/>
      <c r="V41" s="27"/>
      <c r="W41" s="32" t="e">
        <f t="shared" ref="W41" si="34">AVERAGE(T41:U41)</f>
        <v>#DIV/0!</v>
      </c>
      <c r="X41" s="28"/>
      <c r="Y41" s="56" t="e">
        <f t="shared" ref="Y41" si="35">AVERAGE(T41,MAX(U41:V41),MAX(W41:X41))</f>
        <v>#DIV/0!</v>
      </c>
      <c r="Z41" s="48" t="e">
        <f t="shared" ref="Z41" si="36">SUM(K41,R41,Y41)/3</f>
        <v>#DIV/0!</v>
      </c>
      <c r="AA41" s="41" t="e">
        <f t="shared" ref="AA41" si="37">Z41*0.4</f>
        <v>#DIV/0!</v>
      </c>
      <c r="AB41" s="62"/>
      <c r="AC41" s="51">
        <f t="shared" ref="AC41" si="38">AB41*0.6</f>
        <v>0</v>
      </c>
      <c r="AD41" s="65" t="e">
        <f t="shared" ref="AD41" si="39">AVERAGE(AA41+AC41)</f>
        <v>#DIV/0!</v>
      </c>
      <c r="AE41" s="162"/>
    </row>
    <row r="42" spans="2:31" ht="15.75" customHeight="1" x14ac:dyDescent="0.3">
      <c r="B42" s="35">
        <v>33</v>
      </c>
      <c r="C42" s="197" t="s">
        <v>129</v>
      </c>
      <c r="D42" s="45"/>
      <c r="E42" s="38"/>
      <c r="F42" s="58">
        <v>18</v>
      </c>
      <c r="G42" s="27">
        <v>7</v>
      </c>
      <c r="H42" s="27"/>
      <c r="I42" s="32">
        <v>19</v>
      </c>
      <c r="J42" s="28"/>
      <c r="K42" s="56">
        <f t="shared" si="12"/>
        <v>14.666666666666666</v>
      </c>
      <c r="L42" s="166" t="str">
        <f t="shared" si="1"/>
        <v>TRANSITA</v>
      </c>
      <c r="M42" s="59">
        <v>17</v>
      </c>
      <c r="N42" s="27">
        <v>14</v>
      </c>
      <c r="O42" s="27"/>
      <c r="P42" s="32">
        <v>10</v>
      </c>
      <c r="Q42" s="28"/>
      <c r="R42" s="56">
        <f t="shared" si="2"/>
        <v>13.666666666666666</v>
      </c>
      <c r="S42" s="166" t="str">
        <f t="shared" si="3"/>
        <v>TRANSITA</v>
      </c>
      <c r="T42" s="56"/>
      <c r="U42" s="59"/>
      <c r="V42" s="27"/>
      <c r="W42" s="32" t="e">
        <f t="shared" si="4"/>
        <v>#DIV/0!</v>
      </c>
      <c r="X42" s="28"/>
      <c r="Y42" s="56" t="e">
        <f t="shared" si="5"/>
        <v>#DIV/0!</v>
      </c>
      <c r="Z42" s="48" t="e">
        <f t="shared" si="0"/>
        <v>#DIV/0!</v>
      </c>
      <c r="AA42" s="41" t="e">
        <f t="shared" si="6"/>
        <v>#DIV/0!</v>
      </c>
      <c r="AB42" s="62"/>
      <c r="AC42" s="51">
        <f t="shared" si="10"/>
        <v>0</v>
      </c>
      <c r="AD42" s="65" t="e">
        <f t="shared" si="11"/>
        <v>#DIV/0!</v>
      </c>
      <c r="AE42" s="162" t="e">
        <f t="shared" si="9"/>
        <v>#DIV/0!</v>
      </c>
    </row>
    <row r="43" spans="2:31" ht="15.75" customHeight="1" x14ac:dyDescent="0.3">
      <c r="B43" s="35">
        <v>34</v>
      </c>
      <c r="C43" s="197" t="s">
        <v>130</v>
      </c>
      <c r="D43" s="45"/>
      <c r="E43" s="38"/>
      <c r="F43" s="58">
        <v>13</v>
      </c>
      <c r="G43" s="27">
        <v>15</v>
      </c>
      <c r="H43" s="27"/>
      <c r="I43" s="32">
        <v>12.5</v>
      </c>
      <c r="J43" s="28"/>
      <c r="K43" s="56">
        <f t="shared" si="12"/>
        <v>13.5</v>
      </c>
      <c r="L43" s="166" t="str">
        <f t="shared" si="1"/>
        <v>TRANSITA</v>
      </c>
      <c r="M43" s="59">
        <v>16</v>
      </c>
      <c r="N43" s="27">
        <v>11.5</v>
      </c>
      <c r="O43" s="27"/>
      <c r="P43" s="32">
        <v>11</v>
      </c>
      <c r="Q43" s="28"/>
      <c r="R43" s="56">
        <f t="shared" si="2"/>
        <v>12.833333333333334</v>
      </c>
      <c r="S43" s="166" t="str">
        <f t="shared" si="3"/>
        <v>TRANSITA</v>
      </c>
      <c r="T43" s="56"/>
      <c r="U43" s="59"/>
      <c r="V43" s="27"/>
      <c r="W43" s="32" t="e">
        <f t="shared" si="4"/>
        <v>#DIV/0!</v>
      </c>
      <c r="X43" s="28"/>
      <c r="Y43" s="56" t="e">
        <f t="shared" si="5"/>
        <v>#DIV/0!</v>
      </c>
      <c r="Z43" s="48" t="e">
        <f t="shared" si="0"/>
        <v>#DIV/0!</v>
      </c>
      <c r="AA43" s="41" t="e">
        <f t="shared" si="6"/>
        <v>#DIV/0!</v>
      </c>
      <c r="AB43" s="62"/>
      <c r="AC43" s="51">
        <f t="shared" ref="AC43:AC44" si="40">AB43*0.6</f>
        <v>0</v>
      </c>
      <c r="AD43" s="65" t="e">
        <f t="shared" ref="AD43:AD44" si="41">AVERAGE(AA43+AC43)</f>
        <v>#DIV/0!</v>
      </c>
      <c r="AE43" s="162" t="e">
        <f t="shared" si="9"/>
        <v>#DIV/0!</v>
      </c>
    </row>
    <row r="44" spans="2:31" ht="15.75" customHeight="1" x14ac:dyDescent="0.3">
      <c r="B44" s="35">
        <v>35</v>
      </c>
      <c r="C44" s="197" t="s">
        <v>131</v>
      </c>
      <c r="D44" s="45"/>
      <c r="E44" s="38"/>
      <c r="F44" s="58">
        <v>13</v>
      </c>
      <c r="G44" s="27">
        <v>13</v>
      </c>
      <c r="H44" s="27"/>
      <c r="I44" s="32">
        <v>6.5</v>
      </c>
      <c r="J44" s="28"/>
      <c r="K44" s="56">
        <f t="shared" si="12"/>
        <v>10.833333333333334</v>
      </c>
      <c r="L44" s="166" t="str">
        <f t="shared" si="1"/>
        <v>TRANSITA</v>
      </c>
      <c r="M44" s="59">
        <v>17</v>
      </c>
      <c r="N44" s="27">
        <v>16.5</v>
      </c>
      <c r="O44" s="27"/>
      <c r="P44" s="32">
        <v>6</v>
      </c>
      <c r="Q44" s="28"/>
      <c r="R44" s="56">
        <f t="shared" si="2"/>
        <v>13.166666666666666</v>
      </c>
      <c r="S44" s="166" t="str">
        <f t="shared" si="3"/>
        <v>TRANSITA</v>
      </c>
      <c r="T44" s="56"/>
      <c r="U44" s="59"/>
      <c r="V44" s="27"/>
      <c r="W44" s="32" t="e">
        <f t="shared" si="4"/>
        <v>#DIV/0!</v>
      </c>
      <c r="X44" s="28"/>
      <c r="Y44" s="56" t="e">
        <f t="shared" si="5"/>
        <v>#DIV/0!</v>
      </c>
      <c r="Z44" s="48" t="e">
        <f t="shared" si="0"/>
        <v>#DIV/0!</v>
      </c>
      <c r="AA44" s="41" t="e">
        <f t="shared" si="6"/>
        <v>#DIV/0!</v>
      </c>
      <c r="AB44" s="62"/>
      <c r="AC44" s="51">
        <f t="shared" si="40"/>
        <v>0</v>
      </c>
      <c r="AD44" s="65" t="e">
        <f t="shared" si="41"/>
        <v>#DIV/0!</v>
      </c>
      <c r="AE44" s="162" t="e">
        <f t="shared" si="9"/>
        <v>#DIV/0!</v>
      </c>
    </row>
    <row r="45" spans="2:31" ht="15.75" customHeight="1" x14ac:dyDescent="0.3">
      <c r="B45" s="35">
        <v>36</v>
      </c>
      <c r="C45" s="197" t="s">
        <v>132</v>
      </c>
      <c r="D45" s="45"/>
      <c r="E45" s="38"/>
      <c r="F45" s="58">
        <v>18</v>
      </c>
      <c r="G45" s="27">
        <v>13</v>
      </c>
      <c r="H45" s="27"/>
      <c r="I45" s="32">
        <v>3</v>
      </c>
      <c r="J45" s="28"/>
      <c r="K45" s="56">
        <f t="shared" si="12"/>
        <v>11.333333333333334</v>
      </c>
      <c r="L45" s="166" t="str">
        <f t="shared" si="1"/>
        <v>TRANSITA</v>
      </c>
      <c r="M45" s="59">
        <v>17</v>
      </c>
      <c r="N45" s="27">
        <v>11.5</v>
      </c>
      <c r="O45" s="27"/>
      <c r="P45" s="32">
        <v>11</v>
      </c>
      <c r="Q45" s="28"/>
      <c r="R45" s="56">
        <f t="shared" si="2"/>
        <v>13.166666666666666</v>
      </c>
      <c r="S45" s="166" t="str">
        <f t="shared" si="3"/>
        <v>TRANSITA</v>
      </c>
      <c r="T45" s="56"/>
      <c r="U45" s="59"/>
      <c r="V45" s="27"/>
      <c r="W45" s="32" t="e">
        <f t="shared" si="4"/>
        <v>#DIV/0!</v>
      </c>
      <c r="X45" s="28"/>
      <c r="Y45" s="56" t="e">
        <f t="shared" si="5"/>
        <v>#DIV/0!</v>
      </c>
      <c r="Z45" s="48" t="e">
        <f t="shared" si="0"/>
        <v>#DIV/0!</v>
      </c>
      <c r="AA45" s="41" t="e">
        <f t="shared" si="6"/>
        <v>#DIV/0!</v>
      </c>
      <c r="AB45" s="62"/>
      <c r="AC45" s="51">
        <f t="shared" si="10"/>
        <v>0</v>
      </c>
      <c r="AD45" s="65" t="e">
        <f t="shared" si="11"/>
        <v>#DIV/0!</v>
      </c>
      <c r="AE45" s="162" t="e">
        <f t="shared" si="9"/>
        <v>#DIV/0!</v>
      </c>
    </row>
    <row r="46" spans="2:31" ht="15.75" customHeight="1" x14ac:dyDescent="0.3">
      <c r="B46" s="35">
        <v>37</v>
      </c>
      <c r="C46" s="197" t="s">
        <v>133</v>
      </c>
      <c r="D46" s="45"/>
      <c r="E46" s="38"/>
      <c r="F46" s="58">
        <v>16</v>
      </c>
      <c r="G46" s="27">
        <v>12</v>
      </c>
      <c r="H46" s="27"/>
      <c r="I46" s="32">
        <v>5.5</v>
      </c>
      <c r="J46" s="28"/>
      <c r="K46" s="56">
        <f t="shared" si="12"/>
        <v>11.166666666666666</v>
      </c>
      <c r="L46" s="166" t="str">
        <f t="shared" si="1"/>
        <v>TRANSITA</v>
      </c>
      <c r="M46" s="59">
        <v>17</v>
      </c>
      <c r="N46" s="27">
        <v>15</v>
      </c>
      <c r="O46" s="27"/>
      <c r="P46" s="32">
        <v>10</v>
      </c>
      <c r="Q46" s="28"/>
      <c r="R46" s="56">
        <f t="shared" si="2"/>
        <v>14</v>
      </c>
      <c r="S46" s="166" t="str">
        <f t="shared" si="3"/>
        <v>TRANSITA</v>
      </c>
      <c r="T46" s="56"/>
      <c r="U46" s="59"/>
      <c r="V46" s="27"/>
      <c r="W46" s="32" t="e">
        <f t="shared" si="4"/>
        <v>#DIV/0!</v>
      </c>
      <c r="X46" s="28"/>
      <c r="Y46" s="56" t="e">
        <f t="shared" si="5"/>
        <v>#DIV/0!</v>
      </c>
      <c r="Z46" s="48" t="e">
        <f t="shared" si="0"/>
        <v>#DIV/0!</v>
      </c>
      <c r="AA46" s="41" t="e">
        <f t="shared" si="6"/>
        <v>#DIV/0!</v>
      </c>
      <c r="AB46" s="62"/>
      <c r="AC46" s="51">
        <f t="shared" ref="AC46:AC51" si="42">AB46*0.6</f>
        <v>0</v>
      </c>
      <c r="AD46" s="65" t="e">
        <f t="shared" ref="AD46:AD51" si="43">AVERAGE(AA46+AC46)</f>
        <v>#DIV/0!</v>
      </c>
      <c r="AE46" s="162" t="e">
        <f t="shared" si="9"/>
        <v>#DIV/0!</v>
      </c>
    </row>
    <row r="47" spans="2:31" ht="15.75" customHeight="1" x14ac:dyDescent="0.3">
      <c r="B47" s="35">
        <v>38</v>
      </c>
      <c r="C47" s="197" t="s">
        <v>134</v>
      </c>
      <c r="D47" s="45"/>
      <c r="E47" s="38"/>
      <c r="F47" s="58">
        <v>5</v>
      </c>
      <c r="G47" s="27">
        <v>6</v>
      </c>
      <c r="H47" s="27"/>
      <c r="I47" s="32">
        <v>2</v>
      </c>
      <c r="J47" s="28"/>
      <c r="K47" s="56">
        <f t="shared" si="12"/>
        <v>4.333333333333333</v>
      </c>
      <c r="L47" s="166" t="str">
        <f t="shared" si="1"/>
        <v>N/TRANSITA</v>
      </c>
      <c r="M47" s="59">
        <v>1</v>
      </c>
      <c r="N47" s="27">
        <v>2</v>
      </c>
      <c r="O47" s="27"/>
      <c r="P47" s="32">
        <v>1</v>
      </c>
      <c r="Q47" s="28"/>
      <c r="R47" s="56">
        <f t="shared" si="2"/>
        <v>1.3333333333333333</v>
      </c>
      <c r="S47" s="166" t="str">
        <f t="shared" si="3"/>
        <v>N/TRANSITA</v>
      </c>
      <c r="T47" s="56"/>
      <c r="U47" s="59"/>
      <c r="V47" s="27"/>
      <c r="W47" s="32" t="e">
        <f t="shared" si="4"/>
        <v>#DIV/0!</v>
      </c>
      <c r="X47" s="28"/>
      <c r="Y47" s="56" t="e">
        <f t="shared" si="5"/>
        <v>#DIV/0!</v>
      </c>
      <c r="Z47" s="48" t="e">
        <f t="shared" si="0"/>
        <v>#DIV/0!</v>
      </c>
      <c r="AA47" s="41" t="e">
        <f t="shared" si="6"/>
        <v>#DIV/0!</v>
      </c>
      <c r="AB47" s="62"/>
      <c r="AC47" s="51">
        <f t="shared" si="42"/>
        <v>0</v>
      </c>
      <c r="AD47" s="65" t="e">
        <f t="shared" si="43"/>
        <v>#DIV/0!</v>
      </c>
      <c r="AE47" s="162" t="e">
        <f t="shared" si="9"/>
        <v>#DIV/0!</v>
      </c>
    </row>
    <row r="48" spans="2:31" ht="15.75" customHeight="1" x14ac:dyDescent="0.3">
      <c r="B48" s="35">
        <v>39</v>
      </c>
      <c r="C48" s="197" t="s">
        <v>135</v>
      </c>
      <c r="D48" s="45"/>
      <c r="E48" s="38"/>
      <c r="F48" s="58">
        <v>18</v>
      </c>
      <c r="G48" s="27">
        <v>12</v>
      </c>
      <c r="H48" s="27"/>
      <c r="I48" s="32">
        <v>3</v>
      </c>
      <c r="J48" s="28"/>
      <c r="K48" s="56">
        <f t="shared" si="12"/>
        <v>11</v>
      </c>
      <c r="L48" s="166" t="str">
        <f t="shared" si="1"/>
        <v>TRANSITA</v>
      </c>
      <c r="M48" s="59">
        <v>15</v>
      </c>
      <c r="N48" s="27">
        <v>12</v>
      </c>
      <c r="O48" s="27"/>
      <c r="P48" s="32">
        <v>10</v>
      </c>
      <c r="Q48" s="28"/>
      <c r="R48" s="56">
        <f t="shared" si="2"/>
        <v>12.333333333333334</v>
      </c>
      <c r="S48" s="166" t="str">
        <f t="shared" si="3"/>
        <v>TRANSITA</v>
      </c>
      <c r="T48" s="56"/>
      <c r="U48" s="59"/>
      <c r="V48" s="27"/>
      <c r="W48" s="32" t="e">
        <f t="shared" si="4"/>
        <v>#DIV/0!</v>
      </c>
      <c r="X48" s="28"/>
      <c r="Y48" s="56" t="e">
        <f t="shared" si="5"/>
        <v>#DIV/0!</v>
      </c>
      <c r="Z48" s="48" t="e">
        <f t="shared" si="0"/>
        <v>#DIV/0!</v>
      </c>
      <c r="AA48" s="41" t="e">
        <f t="shared" si="6"/>
        <v>#DIV/0!</v>
      </c>
      <c r="AB48" s="62"/>
      <c r="AC48" s="51">
        <f t="shared" si="42"/>
        <v>0</v>
      </c>
      <c r="AD48" s="65" t="e">
        <f t="shared" si="43"/>
        <v>#DIV/0!</v>
      </c>
      <c r="AE48" s="162" t="e">
        <f t="shared" si="9"/>
        <v>#DIV/0!</v>
      </c>
    </row>
    <row r="49" spans="1:31" ht="15.75" customHeight="1" x14ac:dyDescent="0.3">
      <c r="B49" s="35">
        <v>40</v>
      </c>
      <c r="C49" s="197" t="s">
        <v>136</v>
      </c>
      <c r="D49" s="45">
        <v>0</v>
      </c>
      <c r="E49" s="38"/>
      <c r="F49" s="58">
        <v>20</v>
      </c>
      <c r="G49" s="27">
        <v>17</v>
      </c>
      <c r="H49" s="27"/>
      <c r="I49" s="32">
        <v>15.5</v>
      </c>
      <c r="J49" s="28"/>
      <c r="K49" s="56">
        <f t="shared" si="12"/>
        <v>17.5</v>
      </c>
      <c r="L49" s="166" t="str">
        <f t="shared" si="1"/>
        <v>TRANSITA</v>
      </c>
      <c r="M49" s="59">
        <v>20</v>
      </c>
      <c r="N49" s="27">
        <v>18</v>
      </c>
      <c r="O49" s="27"/>
      <c r="P49" s="32">
        <v>18</v>
      </c>
      <c r="Q49" s="28"/>
      <c r="R49" s="56">
        <f t="shared" si="2"/>
        <v>18.666666666666668</v>
      </c>
      <c r="S49" s="166" t="str">
        <f t="shared" si="3"/>
        <v>TRANSITA</v>
      </c>
      <c r="T49" s="56"/>
      <c r="U49" s="59"/>
      <c r="V49" s="27"/>
      <c r="W49" s="32" t="e">
        <f t="shared" si="4"/>
        <v>#DIV/0!</v>
      </c>
      <c r="X49" s="28"/>
      <c r="Y49" s="56" t="e">
        <f t="shared" si="5"/>
        <v>#DIV/0!</v>
      </c>
      <c r="Z49" s="48" t="e">
        <f t="shared" si="0"/>
        <v>#DIV/0!</v>
      </c>
      <c r="AA49" s="41" t="e">
        <f t="shared" si="6"/>
        <v>#DIV/0!</v>
      </c>
      <c r="AB49" s="62"/>
      <c r="AC49" s="51">
        <f t="shared" ref="AC49:AC50" si="44">AB49*0.6</f>
        <v>0</v>
      </c>
      <c r="AD49" s="65" t="e">
        <f t="shared" ref="AD49:AD50" si="45">AVERAGE(AA49+AC49)</f>
        <v>#DIV/0!</v>
      </c>
      <c r="AE49" s="162" t="e">
        <f t="shared" si="9"/>
        <v>#DIV/0!</v>
      </c>
    </row>
    <row r="50" spans="1:31" ht="15.75" customHeight="1" x14ac:dyDescent="0.3">
      <c r="B50" s="35">
        <v>41</v>
      </c>
      <c r="C50" s="197" t="s">
        <v>137</v>
      </c>
      <c r="D50" s="45"/>
      <c r="E50" s="38"/>
      <c r="F50" s="58">
        <v>13</v>
      </c>
      <c r="G50" s="27">
        <v>7</v>
      </c>
      <c r="H50" s="27"/>
      <c r="I50" s="32">
        <v>3</v>
      </c>
      <c r="J50" s="28"/>
      <c r="K50" s="56">
        <f t="shared" si="12"/>
        <v>7.666666666666667</v>
      </c>
      <c r="L50" s="166" t="str">
        <f t="shared" si="1"/>
        <v>N/TRANSITA</v>
      </c>
      <c r="M50" s="59">
        <v>7</v>
      </c>
      <c r="N50" s="27">
        <v>9</v>
      </c>
      <c r="O50" s="27"/>
      <c r="P50" s="32">
        <v>10</v>
      </c>
      <c r="Q50" s="28"/>
      <c r="R50" s="56">
        <f t="shared" si="2"/>
        <v>8.6666666666666661</v>
      </c>
      <c r="S50" s="166" t="str">
        <f t="shared" si="3"/>
        <v>N/TRANSITA</v>
      </c>
      <c r="T50" s="56"/>
      <c r="U50" s="59"/>
      <c r="V50" s="27"/>
      <c r="W50" s="32" t="e">
        <f t="shared" si="4"/>
        <v>#DIV/0!</v>
      </c>
      <c r="X50" s="28"/>
      <c r="Y50" s="56" t="e">
        <f t="shared" si="5"/>
        <v>#DIV/0!</v>
      </c>
      <c r="Z50" s="48" t="e">
        <f t="shared" si="0"/>
        <v>#DIV/0!</v>
      </c>
      <c r="AA50" s="41" t="e">
        <f t="shared" si="6"/>
        <v>#DIV/0!</v>
      </c>
      <c r="AB50" s="62"/>
      <c r="AC50" s="51">
        <f t="shared" si="44"/>
        <v>0</v>
      </c>
      <c r="AD50" s="65" t="e">
        <f t="shared" si="45"/>
        <v>#DIV/0!</v>
      </c>
      <c r="AE50" s="162" t="e">
        <f t="shared" si="9"/>
        <v>#DIV/0!</v>
      </c>
    </row>
    <row r="51" spans="1:31" ht="15.75" customHeight="1" thickBot="1" x14ac:dyDescent="0.35">
      <c r="B51" s="35">
        <v>42</v>
      </c>
      <c r="C51" s="198" t="s">
        <v>138</v>
      </c>
      <c r="D51" s="46"/>
      <c r="E51" s="39"/>
      <c r="F51" s="193">
        <v>16</v>
      </c>
      <c r="G51" s="29">
        <v>7</v>
      </c>
      <c r="H51" s="29"/>
      <c r="I51" s="137">
        <v>13</v>
      </c>
      <c r="J51" s="30"/>
      <c r="K51" s="57">
        <f t="shared" si="12"/>
        <v>12</v>
      </c>
      <c r="L51" s="167" t="str">
        <f t="shared" si="1"/>
        <v>TRANSITA</v>
      </c>
      <c r="M51" s="60">
        <v>9</v>
      </c>
      <c r="N51" s="29">
        <v>7</v>
      </c>
      <c r="O51" s="29"/>
      <c r="P51" s="137">
        <v>9</v>
      </c>
      <c r="Q51" s="30"/>
      <c r="R51" s="57">
        <f t="shared" si="2"/>
        <v>8.3333333333333339</v>
      </c>
      <c r="S51" s="167" t="str">
        <f t="shared" si="3"/>
        <v>N/TRANSITA</v>
      </c>
      <c r="T51" s="57"/>
      <c r="U51" s="60"/>
      <c r="V51" s="29"/>
      <c r="W51" s="137" t="e">
        <f t="shared" si="4"/>
        <v>#DIV/0!</v>
      </c>
      <c r="X51" s="30"/>
      <c r="Y51" s="57" t="e">
        <f t="shared" si="5"/>
        <v>#DIV/0!</v>
      </c>
      <c r="Z51" s="49" t="e">
        <f t="shared" si="0"/>
        <v>#DIV/0!</v>
      </c>
      <c r="AA51" s="42" t="e">
        <f t="shared" si="6"/>
        <v>#DIV/0!</v>
      </c>
      <c r="AB51" s="63"/>
      <c r="AC51" s="52">
        <f t="shared" si="42"/>
        <v>0</v>
      </c>
      <c r="AD51" s="66" t="e">
        <f t="shared" si="43"/>
        <v>#DIV/0!</v>
      </c>
      <c r="AE51" s="164" t="e">
        <f t="shared" si="9"/>
        <v>#DIV/0!</v>
      </c>
    </row>
    <row r="52" spans="1:31" ht="12" customHeight="1" thickTop="1" x14ac:dyDescent="0.3">
      <c r="B52" s="3"/>
      <c r="C52" s="4"/>
      <c r="D52" s="4"/>
      <c r="E52" s="4"/>
      <c r="F52" s="5"/>
      <c r="G52" s="5"/>
      <c r="H52" s="5"/>
      <c r="I52" s="6"/>
      <c r="J52" s="6"/>
      <c r="K52" s="7"/>
      <c r="L52" s="7"/>
      <c r="M52" s="8"/>
      <c r="N52" s="8"/>
      <c r="O52" s="8"/>
      <c r="P52" s="8"/>
      <c r="Q52" s="8"/>
      <c r="R52" s="7"/>
      <c r="S52" s="7"/>
      <c r="T52" s="9"/>
      <c r="U52" s="9"/>
      <c r="V52" s="9"/>
      <c r="W52" s="10"/>
      <c r="X52" s="10"/>
      <c r="Y52" s="7"/>
      <c r="Z52" s="11"/>
      <c r="AA52" s="12"/>
      <c r="AB52" s="13"/>
      <c r="AC52" s="12"/>
      <c r="AD52" s="12"/>
      <c r="AE52" s="14"/>
    </row>
    <row r="53" spans="1:31" ht="16.5" customHeight="1" x14ac:dyDescent="0.3">
      <c r="A53" s="284" t="s">
        <v>140</v>
      </c>
      <c r="B53" s="284"/>
      <c r="C53" s="284"/>
      <c r="D53" s="284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  <c r="AA53" s="284"/>
      <c r="AB53" s="284"/>
      <c r="AC53" s="284"/>
      <c r="AD53" s="284"/>
      <c r="AE53" s="284"/>
    </row>
    <row r="54" spans="1:31" ht="16.5" customHeight="1" x14ac:dyDescent="0.3">
      <c r="A54" s="21"/>
      <c r="B54" s="21"/>
      <c r="C54" s="21"/>
      <c r="D54" s="21"/>
      <c r="E54" s="21"/>
      <c r="F54" s="21"/>
      <c r="G54" s="21"/>
      <c r="H54" s="25"/>
      <c r="I54" s="21"/>
      <c r="J54" s="25"/>
      <c r="K54" s="21"/>
      <c r="L54" s="21"/>
      <c r="M54" s="21"/>
      <c r="N54" s="21"/>
      <c r="O54" s="25"/>
      <c r="P54" s="21"/>
      <c r="Q54" s="25"/>
      <c r="R54" s="21"/>
      <c r="S54" s="21"/>
      <c r="T54" s="21"/>
      <c r="U54" s="21"/>
      <c r="V54" s="25"/>
      <c r="W54" s="21"/>
      <c r="X54" s="25"/>
      <c r="Y54" s="21"/>
      <c r="Z54" s="21"/>
      <c r="AA54" s="21"/>
      <c r="AB54" s="21"/>
      <c r="AC54" s="21"/>
      <c r="AD54" s="21"/>
      <c r="AE54" s="21"/>
    </row>
    <row r="55" spans="1:31" ht="20.25" customHeight="1" x14ac:dyDescent="0.35">
      <c r="A55" s="309" t="s">
        <v>41</v>
      </c>
      <c r="B55" s="309"/>
      <c r="C55" s="309"/>
      <c r="D55" s="309"/>
      <c r="E55" s="309"/>
      <c r="F55" s="309"/>
      <c r="G55" s="19"/>
      <c r="H55" s="23"/>
      <c r="I55" s="20"/>
      <c r="J55" s="20"/>
      <c r="K55" s="20"/>
      <c r="L55" s="20"/>
      <c r="M55" s="20"/>
      <c r="N55" s="20"/>
      <c r="O55" s="20"/>
      <c r="P55" s="20"/>
      <c r="Q55" s="20"/>
      <c r="R55" s="309" t="s">
        <v>10</v>
      </c>
      <c r="S55" s="309"/>
      <c r="T55" s="309"/>
      <c r="U55" s="309"/>
      <c r="V55" s="309"/>
      <c r="W55" s="309"/>
      <c r="X55" s="309"/>
      <c r="Y55" s="309"/>
      <c r="Z55" s="309"/>
      <c r="AA55" s="309"/>
      <c r="AB55" s="309"/>
      <c r="AC55" s="309"/>
      <c r="AD55" s="309"/>
      <c r="AE55" s="309"/>
    </row>
    <row r="56" spans="1:31" ht="20.399999999999999" x14ac:dyDescent="0.35">
      <c r="A56" s="20"/>
      <c r="B56" s="309" t="s">
        <v>11</v>
      </c>
      <c r="C56" s="309"/>
      <c r="D56" s="309"/>
      <c r="E56" s="309"/>
      <c r="F56" s="309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309"/>
      <c r="S56" s="309"/>
      <c r="T56" s="309"/>
      <c r="U56" s="309"/>
      <c r="V56" s="309"/>
      <c r="W56" s="309"/>
      <c r="X56" s="309"/>
      <c r="Y56" s="309"/>
      <c r="Z56" s="309"/>
      <c r="AA56" s="19"/>
      <c r="AB56" s="19"/>
      <c r="AC56" s="19"/>
      <c r="AD56" s="19"/>
      <c r="AE56" s="20"/>
    </row>
    <row r="57" spans="1:31" ht="21.6" x14ac:dyDescent="0.4">
      <c r="A57" s="20"/>
      <c r="B57" s="310"/>
      <c r="C57" s="310"/>
      <c r="D57" s="310"/>
      <c r="E57" s="310"/>
      <c r="F57" s="31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310" t="s">
        <v>12</v>
      </c>
      <c r="S57" s="310"/>
      <c r="T57" s="310"/>
      <c r="U57" s="310"/>
      <c r="V57" s="310"/>
      <c r="W57" s="310"/>
      <c r="X57" s="310"/>
      <c r="Y57" s="310"/>
      <c r="Z57" s="310"/>
      <c r="AA57" s="310"/>
      <c r="AB57" s="310"/>
      <c r="AC57" s="310"/>
      <c r="AD57" s="310"/>
      <c r="AE57" s="310"/>
    </row>
  </sheetData>
  <mergeCells count="28">
    <mergeCell ref="B7:AE7"/>
    <mergeCell ref="A1:AE1"/>
    <mergeCell ref="B4:C4"/>
    <mergeCell ref="Y4:AE4"/>
    <mergeCell ref="B6:C6"/>
    <mergeCell ref="Y6:AE6"/>
    <mergeCell ref="L3:S3"/>
    <mergeCell ref="C8:C9"/>
    <mergeCell ref="D8:E8"/>
    <mergeCell ref="F8:K8"/>
    <mergeCell ref="M8:R8"/>
    <mergeCell ref="L8:L9"/>
    <mergeCell ref="S8:S9"/>
    <mergeCell ref="B56:F56"/>
    <mergeCell ref="R56:Z56"/>
    <mergeCell ref="B57:F57"/>
    <mergeCell ref="R57:AE57"/>
    <mergeCell ref="A53:AE53"/>
    <mergeCell ref="AD8:AD9"/>
    <mergeCell ref="AE8:AE9"/>
    <mergeCell ref="A55:F55"/>
    <mergeCell ref="R55:AE55"/>
    <mergeCell ref="T8:Y8"/>
    <mergeCell ref="Z8:Z9"/>
    <mergeCell ref="AA8:AA9"/>
    <mergeCell ref="AB8:AB9"/>
    <mergeCell ref="AC8:AC9"/>
    <mergeCell ref="B8:B9"/>
  </mergeCells>
  <conditionalFormatting sqref="K52:L52 R52:Y52 T51:V51 U45:U51 W10:W17 Q10:Q51 W11:X51">
    <cfRule type="cellIs" dxfId="1229" priority="978" stopIfTrue="1" operator="lessThan">
      <formula>10</formula>
    </cfRule>
    <cfRule type="cellIs" dxfId="1228" priority="979" stopIfTrue="1" operator="greaterThan">
      <formula>9</formula>
    </cfRule>
  </conditionalFormatting>
  <conditionalFormatting sqref="K52:L52 R52:Y52 T51:V51 U45:U51 W10:W17 Q10:Q51 W11:X51">
    <cfRule type="cellIs" dxfId="1227" priority="976" stopIfTrue="1" operator="lessThan">
      <formula>10</formula>
    </cfRule>
    <cfRule type="cellIs" dxfId="1226" priority="977" stopIfTrue="1" operator="greaterThan">
      <formula>9</formula>
    </cfRule>
  </conditionalFormatting>
  <conditionalFormatting sqref="Z52:AD52 AB45:AB51 AC10:AD51 Z10:AA51">
    <cfRule type="cellIs" dxfId="1225" priority="974" stopIfTrue="1" operator="greaterThan">
      <formula>9.5</formula>
    </cfRule>
    <cfRule type="cellIs" dxfId="1224" priority="975" stopIfTrue="1" operator="lessThanOrEqual">
      <formula>9.5</formula>
    </cfRule>
  </conditionalFormatting>
  <conditionalFormatting sqref="F52:J52">
    <cfRule type="cellIs" dxfId="1223" priority="972" stopIfTrue="1" operator="lessThan">
      <formula>10</formula>
    </cfRule>
    <cfRule type="cellIs" dxfId="1222" priority="973" stopIfTrue="1" operator="greaterThan">
      <formula>9</formula>
    </cfRule>
  </conditionalFormatting>
  <conditionalFormatting sqref="F52:J52">
    <cfRule type="cellIs" dxfId="1221" priority="970" stopIfTrue="1" operator="lessThan">
      <formula>10</formula>
    </cfRule>
    <cfRule type="cellIs" dxfId="1220" priority="971" stopIfTrue="1" operator="greaterThan">
      <formula>9</formula>
    </cfRule>
  </conditionalFormatting>
  <conditionalFormatting sqref="T52:X52 T51:V51 M52:Q52 U45:U51 W10:W17 W11:X51 Q10:Q51">
    <cfRule type="cellIs" dxfId="1219" priority="966" stopIfTrue="1" operator="lessThan">
      <formula>10</formula>
    </cfRule>
    <cfRule type="cellIs" dxfId="1218" priority="967" stopIfTrue="1" operator="greaterThan">
      <formula>9</formula>
    </cfRule>
    <cfRule type="cellIs" dxfId="1217" priority="968" stopIfTrue="1" operator="lessThan">
      <formula>10</formula>
    </cfRule>
    <cfRule type="cellIs" dxfId="1216" priority="969" stopIfTrue="1" operator="greaterThan">
      <formula>9</formula>
    </cfRule>
  </conditionalFormatting>
  <conditionalFormatting sqref="AB45:AB52">
    <cfRule type="cellIs" dxfId="1215" priority="964" stopIfTrue="1" operator="greaterThan">
      <formula>9.5</formula>
    </cfRule>
    <cfRule type="cellIs" dxfId="1214" priority="965" stopIfTrue="1" operator="lessThanOrEqual">
      <formula>9.5</formula>
    </cfRule>
  </conditionalFormatting>
  <conditionalFormatting sqref="R10:R51 Y10:Y51 T10:T51">
    <cfRule type="cellIs" dxfId="1213" priority="532" stopIfTrue="1" operator="lessThan">
      <formula>10</formula>
    </cfRule>
    <cfRule type="cellIs" dxfId="1212" priority="533" stopIfTrue="1" operator="greaterThanOrEqual">
      <formula>10</formula>
    </cfRule>
  </conditionalFormatting>
  <conditionalFormatting sqref="T24:U39 T45:U50 V10:X10 V11:V50">
    <cfRule type="cellIs" dxfId="1211" priority="522" stopIfTrue="1" operator="lessThan">
      <formula>10</formula>
    </cfRule>
    <cfRule type="cellIs" dxfId="1210" priority="523" stopIfTrue="1" operator="greaterThan">
      <formula>9</formula>
    </cfRule>
  </conditionalFormatting>
  <conditionalFormatting sqref="T24:U39 T45:U50 V10:X10 V11:V50">
    <cfRule type="cellIs" dxfId="1209" priority="520" stopIfTrue="1" operator="lessThan">
      <formula>10</formula>
    </cfRule>
    <cfRule type="cellIs" dxfId="1208" priority="521" stopIfTrue="1" operator="greaterThan">
      <formula>9</formula>
    </cfRule>
  </conditionalFormatting>
  <conditionalFormatting sqref="T24:U39 T45:U50 V10:X10 V11:V50">
    <cfRule type="cellIs" dxfId="1207" priority="516" stopIfTrue="1" operator="lessThan">
      <formula>10</formula>
    </cfRule>
    <cfRule type="cellIs" dxfId="1206" priority="517" stopIfTrue="1" operator="greaterThan">
      <formula>9</formula>
    </cfRule>
    <cfRule type="cellIs" dxfId="1205" priority="518" stopIfTrue="1" operator="lessThan">
      <formula>10</formula>
    </cfRule>
    <cfRule type="cellIs" dxfId="1204" priority="519" stopIfTrue="1" operator="greaterThan">
      <formula>9</formula>
    </cfRule>
  </conditionalFormatting>
  <conditionalFormatting sqref="T10:U12">
    <cfRule type="cellIs" dxfId="1203" priority="514" stopIfTrue="1" operator="lessThan">
      <formula>10</formula>
    </cfRule>
    <cfRule type="cellIs" dxfId="1202" priority="515" stopIfTrue="1" operator="greaterThan">
      <formula>9</formula>
    </cfRule>
  </conditionalFormatting>
  <conditionalFormatting sqref="T10:U12">
    <cfRule type="cellIs" dxfId="1201" priority="512" stopIfTrue="1" operator="lessThan">
      <formula>10</formula>
    </cfRule>
    <cfRule type="cellIs" dxfId="1200" priority="513" stopIfTrue="1" operator="greaterThan">
      <formula>9</formula>
    </cfRule>
  </conditionalFormatting>
  <conditionalFormatting sqref="T10:U12">
    <cfRule type="cellIs" dxfId="1199" priority="508" stopIfTrue="1" operator="lessThan">
      <formula>10</formula>
    </cfRule>
    <cfRule type="cellIs" dxfId="1198" priority="509" stopIfTrue="1" operator="greaterThan">
      <formula>9</formula>
    </cfRule>
    <cfRule type="cellIs" dxfId="1197" priority="510" stopIfTrue="1" operator="lessThan">
      <formula>10</formula>
    </cfRule>
    <cfRule type="cellIs" dxfId="1196" priority="511" stopIfTrue="1" operator="greaterThan">
      <formula>9</formula>
    </cfRule>
  </conditionalFormatting>
  <conditionalFormatting sqref="T13:U15">
    <cfRule type="cellIs" dxfId="1195" priority="506" stopIfTrue="1" operator="lessThan">
      <formula>10</formula>
    </cfRule>
    <cfRule type="cellIs" dxfId="1194" priority="507" stopIfTrue="1" operator="greaterThan">
      <formula>9</formula>
    </cfRule>
  </conditionalFormatting>
  <conditionalFormatting sqref="T13:U15">
    <cfRule type="cellIs" dxfId="1193" priority="504" stopIfTrue="1" operator="lessThan">
      <formula>10</formula>
    </cfRule>
    <cfRule type="cellIs" dxfId="1192" priority="505" stopIfTrue="1" operator="greaterThan">
      <formula>9</formula>
    </cfRule>
  </conditionalFormatting>
  <conditionalFormatting sqref="T13:U15">
    <cfRule type="cellIs" dxfId="1191" priority="500" stopIfTrue="1" operator="lessThan">
      <formula>10</formula>
    </cfRule>
    <cfRule type="cellIs" dxfId="1190" priority="501" stopIfTrue="1" operator="greaterThan">
      <formula>9</formula>
    </cfRule>
    <cfRule type="cellIs" dxfId="1189" priority="502" stopIfTrue="1" operator="lessThan">
      <formula>10</formula>
    </cfRule>
    <cfRule type="cellIs" dxfId="1188" priority="503" stopIfTrue="1" operator="greaterThan">
      <formula>9</formula>
    </cfRule>
  </conditionalFormatting>
  <conditionalFormatting sqref="T16:U19">
    <cfRule type="cellIs" dxfId="1187" priority="498" stopIfTrue="1" operator="lessThan">
      <formula>10</formula>
    </cfRule>
    <cfRule type="cellIs" dxfId="1186" priority="499" stopIfTrue="1" operator="greaterThan">
      <formula>9</formula>
    </cfRule>
  </conditionalFormatting>
  <conditionalFormatting sqref="T16:U19">
    <cfRule type="cellIs" dxfId="1185" priority="496" stopIfTrue="1" operator="lessThan">
      <formula>10</formula>
    </cfRule>
    <cfRule type="cellIs" dxfId="1184" priority="497" stopIfTrue="1" operator="greaterThan">
      <formula>9</formula>
    </cfRule>
  </conditionalFormatting>
  <conditionalFormatting sqref="T16:U19">
    <cfRule type="cellIs" dxfId="1183" priority="492" stopIfTrue="1" operator="lessThan">
      <formula>10</formula>
    </cfRule>
    <cfRule type="cellIs" dxfId="1182" priority="493" stopIfTrue="1" operator="greaterThan">
      <formula>9</formula>
    </cfRule>
    <cfRule type="cellIs" dxfId="1181" priority="494" stopIfTrue="1" operator="lessThan">
      <formula>10</formula>
    </cfRule>
    <cfRule type="cellIs" dxfId="1180" priority="495" stopIfTrue="1" operator="greaterThan">
      <formula>9</formula>
    </cfRule>
  </conditionalFormatting>
  <conditionalFormatting sqref="T20:U23">
    <cfRule type="cellIs" dxfId="1179" priority="490" stopIfTrue="1" operator="lessThan">
      <formula>10</formula>
    </cfRule>
    <cfRule type="cellIs" dxfId="1178" priority="491" stopIfTrue="1" operator="greaterThan">
      <formula>9</formula>
    </cfRule>
  </conditionalFormatting>
  <conditionalFormatting sqref="T20:U23">
    <cfRule type="cellIs" dxfId="1177" priority="488" stopIfTrue="1" operator="lessThan">
      <formula>10</formula>
    </cfRule>
    <cfRule type="cellIs" dxfId="1176" priority="489" stopIfTrue="1" operator="greaterThan">
      <formula>9</formula>
    </cfRule>
  </conditionalFormatting>
  <conditionalFormatting sqref="T20:U23">
    <cfRule type="cellIs" dxfId="1175" priority="484" stopIfTrue="1" operator="lessThan">
      <formula>10</formula>
    </cfRule>
    <cfRule type="cellIs" dxfId="1174" priority="485" stopIfTrue="1" operator="greaterThan">
      <formula>9</formula>
    </cfRule>
    <cfRule type="cellIs" dxfId="1173" priority="486" stopIfTrue="1" operator="lessThan">
      <formula>10</formula>
    </cfRule>
    <cfRule type="cellIs" dxfId="1172" priority="487" stopIfTrue="1" operator="greaterThan">
      <formula>9</formula>
    </cfRule>
  </conditionalFormatting>
  <conditionalFormatting sqref="T40:U44">
    <cfRule type="cellIs" dxfId="1171" priority="482" stopIfTrue="1" operator="lessThan">
      <formula>10</formula>
    </cfRule>
    <cfRule type="cellIs" dxfId="1170" priority="483" stopIfTrue="1" operator="greaterThan">
      <formula>9</formula>
    </cfRule>
  </conditionalFormatting>
  <conditionalFormatting sqref="T40:U44">
    <cfRule type="cellIs" dxfId="1169" priority="480" stopIfTrue="1" operator="lessThan">
      <formula>10</formula>
    </cfRule>
    <cfRule type="cellIs" dxfId="1168" priority="481" stopIfTrue="1" operator="greaterThan">
      <formula>9</formula>
    </cfRule>
  </conditionalFormatting>
  <conditionalFormatting sqref="T40:U44">
    <cfRule type="cellIs" dxfId="1167" priority="476" stopIfTrue="1" operator="lessThan">
      <formula>10</formula>
    </cfRule>
    <cfRule type="cellIs" dxfId="1166" priority="477" stopIfTrue="1" operator="greaterThan">
      <formula>9</formula>
    </cfRule>
    <cfRule type="cellIs" dxfId="1165" priority="478" stopIfTrue="1" operator="lessThan">
      <formula>10</formula>
    </cfRule>
    <cfRule type="cellIs" dxfId="1164" priority="479" stopIfTrue="1" operator="greaterThan">
      <formula>9</formula>
    </cfRule>
  </conditionalFormatting>
  <conditionalFormatting sqref="U24:U39">
    <cfRule type="cellIs" dxfId="1163" priority="360" stopIfTrue="1" operator="lessThan">
      <formula>10</formula>
    </cfRule>
    <cfRule type="cellIs" dxfId="1162" priority="361" stopIfTrue="1" operator="greaterThan">
      <formula>9</formula>
    </cfRule>
  </conditionalFormatting>
  <conditionalFormatting sqref="U24:U39">
    <cfRule type="cellIs" dxfId="1161" priority="358" stopIfTrue="1" operator="lessThan">
      <formula>10</formula>
    </cfRule>
    <cfRule type="cellIs" dxfId="1160" priority="359" stopIfTrue="1" operator="greaterThan">
      <formula>9</formula>
    </cfRule>
  </conditionalFormatting>
  <conditionalFormatting sqref="U24:U39">
    <cfRule type="cellIs" dxfId="1159" priority="354" stopIfTrue="1" operator="lessThan">
      <formula>10</formula>
    </cfRule>
    <cfRule type="cellIs" dxfId="1158" priority="355" stopIfTrue="1" operator="greaterThan">
      <formula>9</formula>
    </cfRule>
    <cfRule type="cellIs" dxfId="1157" priority="356" stopIfTrue="1" operator="lessThan">
      <formula>10</formula>
    </cfRule>
    <cfRule type="cellIs" dxfId="1156" priority="357" stopIfTrue="1" operator="greaterThan">
      <formula>9</formula>
    </cfRule>
  </conditionalFormatting>
  <conditionalFormatting sqref="U10:U12">
    <cfRule type="cellIs" dxfId="1155" priority="352" stopIfTrue="1" operator="lessThan">
      <formula>10</formula>
    </cfRule>
    <cfRule type="cellIs" dxfId="1154" priority="353" stopIfTrue="1" operator="greaterThan">
      <formula>9</formula>
    </cfRule>
  </conditionalFormatting>
  <conditionalFormatting sqref="U10:U12">
    <cfRule type="cellIs" dxfId="1153" priority="350" stopIfTrue="1" operator="lessThan">
      <formula>10</formula>
    </cfRule>
    <cfRule type="cellIs" dxfId="1152" priority="351" stopIfTrue="1" operator="greaterThan">
      <formula>9</formula>
    </cfRule>
  </conditionalFormatting>
  <conditionalFormatting sqref="U10:U12">
    <cfRule type="cellIs" dxfId="1151" priority="346" stopIfTrue="1" operator="lessThan">
      <formula>10</formula>
    </cfRule>
    <cfRule type="cellIs" dxfId="1150" priority="347" stopIfTrue="1" operator="greaterThan">
      <formula>9</formula>
    </cfRule>
    <cfRule type="cellIs" dxfId="1149" priority="348" stopIfTrue="1" operator="lessThan">
      <formula>10</formula>
    </cfRule>
    <cfRule type="cellIs" dxfId="1148" priority="349" stopIfTrue="1" operator="greaterThan">
      <formula>9</formula>
    </cfRule>
  </conditionalFormatting>
  <conditionalFormatting sqref="U13:U15">
    <cfRule type="cellIs" dxfId="1147" priority="344" stopIfTrue="1" operator="lessThan">
      <formula>10</formula>
    </cfRule>
    <cfRule type="cellIs" dxfId="1146" priority="345" stopIfTrue="1" operator="greaterThan">
      <formula>9</formula>
    </cfRule>
  </conditionalFormatting>
  <conditionalFormatting sqref="U13:U15">
    <cfRule type="cellIs" dxfId="1145" priority="342" stopIfTrue="1" operator="lessThan">
      <formula>10</formula>
    </cfRule>
    <cfRule type="cellIs" dxfId="1144" priority="343" stopIfTrue="1" operator="greaterThan">
      <formula>9</formula>
    </cfRule>
  </conditionalFormatting>
  <conditionalFormatting sqref="U13:U15">
    <cfRule type="cellIs" dxfId="1143" priority="338" stopIfTrue="1" operator="lessThan">
      <formula>10</formula>
    </cfRule>
    <cfRule type="cellIs" dxfId="1142" priority="339" stopIfTrue="1" operator="greaterThan">
      <formula>9</formula>
    </cfRule>
    <cfRule type="cellIs" dxfId="1141" priority="340" stopIfTrue="1" operator="lessThan">
      <formula>10</formula>
    </cfRule>
    <cfRule type="cellIs" dxfId="1140" priority="341" stopIfTrue="1" operator="greaterThan">
      <formula>9</formula>
    </cfRule>
  </conditionalFormatting>
  <conditionalFormatting sqref="U16:U19">
    <cfRule type="cellIs" dxfId="1139" priority="336" stopIfTrue="1" operator="lessThan">
      <formula>10</formula>
    </cfRule>
    <cfRule type="cellIs" dxfId="1138" priority="337" stopIfTrue="1" operator="greaterThan">
      <formula>9</formula>
    </cfRule>
  </conditionalFormatting>
  <conditionalFormatting sqref="U16:U19">
    <cfRule type="cellIs" dxfId="1137" priority="334" stopIfTrue="1" operator="lessThan">
      <formula>10</formula>
    </cfRule>
    <cfRule type="cellIs" dxfId="1136" priority="335" stopIfTrue="1" operator="greaterThan">
      <formula>9</formula>
    </cfRule>
  </conditionalFormatting>
  <conditionalFormatting sqref="U16:U19">
    <cfRule type="cellIs" dxfId="1135" priority="330" stopIfTrue="1" operator="lessThan">
      <formula>10</formula>
    </cfRule>
    <cfRule type="cellIs" dxfId="1134" priority="331" stopIfTrue="1" operator="greaterThan">
      <formula>9</formula>
    </cfRule>
    <cfRule type="cellIs" dxfId="1133" priority="332" stopIfTrue="1" operator="lessThan">
      <formula>10</formula>
    </cfRule>
    <cfRule type="cellIs" dxfId="1132" priority="333" stopIfTrue="1" operator="greaterThan">
      <formula>9</formula>
    </cfRule>
  </conditionalFormatting>
  <conditionalFormatting sqref="U20:U23">
    <cfRule type="cellIs" dxfId="1131" priority="328" stopIfTrue="1" operator="lessThan">
      <formula>10</formula>
    </cfRule>
    <cfRule type="cellIs" dxfId="1130" priority="329" stopIfTrue="1" operator="greaterThan">
      <formula>9</formula>
    </cfRule>
  </conditionalFormatting>
  <conditionalFormatting sqref="U20:U23">
    <cfRule type="cellIs" dxfId="1129" priority="326" stopIfTrue="1" operator="lessThan">
      <formula>10</formula>
    </cfRule>
    <cfRule type="cellIs" dxfId="1128" priority="327" stopIfTrue="1" operator="greaterThan">
      <formula>9</formula>
    </cfRule>
  </conditionalFormatting>
  <conditionalFormatting sqref="U20:U23">
    <cfRule type="cellIs" dxfId="1127" priority="322" stopIfTrue="1" operator="lessThan">
      <formula>10</formula>
    </cfRule>
    <cfRule type="cellIs" dxfId="1126" priority="323" stopIfTrue="1" operator="greaterThan">
      <formula>9</formula>
    </cfRule>
    <cfRule type="cellIs" dxfId="1125" priority="324" stopIfTrue="1" operator="lessThan">
      <formula>10</formula>
    </cfRule>
    <cfRule type="cellIs" dxfId="1124" priority="325" stopIfTrue="1" operator="greaterThan">
      <formula>9</formula>
    </cfRule>
  </conditionalFormatting>
  <conditionalFormatting sqref="U40:U44">
    <cfRule type="cellIs" dxfId="1123" priority="320" stopIfTrue="1" operator="lessThan">
      <formula>10</formula>
    </cfRule>
    <cfRule type="cellIs" dxfId="1122" priority="321" stopIfTrue="1" operator="greaterThan">
      <formula>9</formula>
    </cfRule>
  </conditionalFormatting>
  <conditionalFormatting sqref="U40:U44">
    <cfRule type="cellIs" dxfId="1121" priority="318" stopIfTrue="1" operator="lessThan">
      <formula>10</formula>
    </cfRule>
    <cfRule type="cellIs" dxfId="1120" priority="319" stopIfTrue="1" operator="greaterThan">
      <formula>9</formula>
    </cfRule>
  </conditionalFormatting>
  <conditionalFormatting sqref="U40:U44">
    <cfRule type="cellIs" dxfId="1119" priority="314" stopIfTrue="1" operator="lessThan">
      <formula>10</formula>
    </cfRule>
    <cfRule type="cellIs" dxfId="1118" priority="315" stopIfTrue="1" operator="greaterThan">
      <formula>9</formula>
    </cfRule>
    <cfRule type="cellIs" dxfId="1117" priority="316" stopIfTrue="1" operator="lessThan">
      <formula>10</formula>
    </cfRule>
    <cfRule type="cellIs" dxfId="1116" priority="317" stopIfTrue="1" operator="greaterThan">
      <formula>9</formula>
    </cfRule>
  </conditionalFormatting>
  <conditionalFormatting sqref="AB24:AB41">
    <cfRule type="cellIs" dxfId="1115" priority="302" stopIfTrue="1" operator="greaterThan">
      <formula>9.5</formula>
    </cfRule>
    <cfRule type="cellIs" dxfId="1114" priority="303" stopIfTrue="1" operator="lessThanOrEqual">
      <formula>9.5</formula>
    </cfRule>
  </conditionalFormatting>
  <conditionalFormatting sqref="AB24:AB41">
    <cfRule type="cellIs" dxfId="1113" priority="300" stopIfTrue="1" operator="greaterThan">
      <formula>9.5</formula>
    </cfRule>
    <cfRule type="cellIs" dxfId="1112" priority="301" stopIfTrue="1" operator="lessThanOrEqual">
      <formula>9.5</formula>
    </cfRule>
  </conditionalFormatting>
  <conditionalFormatting sqref="AB10:AB12">
    <cfRule type="cellIs" dxfId="1111" priority="294" stopIfTrue="1" operator="greaterThan">
      <formula>9.5</formula>
    </cfRule>
    <cfRule type="cellIs" dxfId="1110" priority="295" stopIfTrue="1" operator="lessThanOrEqual">
      <formula>9.5</formula>
    </cfRule>
  </conditionalFormatting>
  <conditionalFormatting sqref="AB10:AB12">
    <cfRule type="cellIs" dxfId="1109" priority="292" stopIfTrue="1" operator="greaterThan">
      <formula>9.5</formula>
    </cfRule>
    <cfRule type="cellIs" dxfId="1108" priority="293" stopIfTrue="1" operator="lessThanOrEqual">
      <formula>9.5</formula>
    </cfRule>
  </conditionalFormatting>
  <conditionalFormatting sqref="AB13:AB15">
    <cfRule type="cellIs" dxfId="1107" priority="290" stopIfTrue="1" operator="greaterThan">
      <formula>9.5</formula>
    </cfRule>
    <cfRule type="cellIs" dxfId="1106" priority="291" stopIfTrue="1" operator="lessThanOrEqual">
      <formula>9.5</formula>
    </cfRule>
  </conditionalFormatting>
  <conditionalFormatting sqref="AB13:AB15">
    <cfRule type="cellIs" dxfId="1105" priority="288" stopIfTrue="1" operator="greaterThan">
      <formula>9.5</formula>
    </cfRule>
    <cfRule type="cellIs" dxfId="1104" priority="289" stopIfTrue="1" operator="lessThanOrEqual">
      <formula>9.5</formula>
    </cfRule>
  </conditionalFormatting>
  <conditionalFormatting sqref="AB16:AB21">
    <cfRule type="cellIs" dxfId="1103" priority="286" stopIfTrue="1" operator="greaterThan">
      <formula>9.5</formula>
    </cfRule>
    <cfRule type="cellIs" dxfId="1102" priority="287" stopIfTrue="1" operator="lessThanOrEqual">
      <formula>9.5</formula>
    </cfRule>
  </conditionalFormatting>
  <conditionalFormatting sqref="AB16:AB21">
    <cfRule type="cellIs" dxfId="1101" priority="284" stopIfTrue="1" operator="greaterThan">
      <formula>9.5</formula>
    </cfRule>
    <cfRule type="cellIs" dxfId="1100" priority="285" stopIfTrue="1" operator="lessThanOrEqual">
      <formula>9.5</formula>
    </cfRule>
  </conditionalFormatting>
  <conditionalFormatting sqref="AB22:AB23">
    <cfRule type="cellIs" dxfId="1099" priority="282" stopIfTrue="1" operator="greaterThan">
      <formula>9.5</formula>
    </cfRule>
    <cfRule type="cellIs" dxfId="1098" priority="283" stopIfTrue="1" operator="lessThanOrEqual">
      <formula>9.5</formula>
    </cfRule>
  </conditionalFormatting>
  <conditionalFormatting sqref="AB22:AB23">
    <cfRule type="cellIs" dxfId="1097" priority="280" stopIfTrue="1" operator="greaterThan">
      <formula>9.5</formula>
    </cfRule>
    <cfRule type="cellIs" dxfId="1096" priority="281" stopIfTrue="1" operator="lessThanOrEqual">
      <formula>9.5</formula>
    </cfRule>
  </conditionalFormatting>
  <conditionalFormatting sqref="AB42:AB44">
    <cfRule type="cellIs" dxfId="1095" priority="278" stopIfTrue="1" operator="greaterThan">
      <formula>9.5</formula>
    </cfRule>
    <cfRule type="cellIs" dxfId="1094" priority="279" stopIfTrue="1" operator="lessThanOrEqual">
      <formula>9.5</formula>
    </cfRule>
  </conditionalFormatting>
  <conditionalFormatting sqref="AB42:AB44">
    <cfRule type="cellIs" dxfId="1093" priority="276" stopIfTrue="1" operator="greaterThan">
      <formula>9.5</formula>
    </cfRule>
    <cfRule type="cellIs" dxfId="1092" priority="277" stopIfTrue="1" operator="lessThanOrEqual">
      <formula>9.5</formula>
    </cfRule>
  </conditionalFormatting>
  <conditionalFormatting sqref="J10:J50 G51:J51 F11:F51">
    <cfRule type="cellIs" dxfId="1091" priority="218" stopIfTrue="1" operator="lessThan">
      <formula>10</formula>
    </cfRule>
    <cfRule type="cellIs" dxfId="1090" priority="219" stopIfTrue="1" operator="greaterThan">
      <formula>9</formula>
    </cfRule>
  </conditionalFormatting>
  <conditionalFormatting sqref="J10:J50 G51:J51 F11:F51">
    <cfRule type="cellIs" dxfId="1089" priority="216" stopIfTrue="1" operator="lessThan">
      <formula>10</formula>
    </cfRule>
    <cfRule type="cellIs" dxfId="1088" priority="217" stopIfTrue="1" operator="greaterThan">
      <formula>9</formula>
    </cfRule>
  </conditionalFormatting>
  <conditionalFormatting sqref="J10:J50 G51:J51 F11:F51">
    <cfRule type="cellIs" dxfId="1087" priority="212" stopIfTrue="1" operator="lessThan">
      <formula>10</formula>
    </cfRule>
    <cfRule type="cellIs" dxfId="1086" priority="213" stopIfTrue="1" operator="greaterThan">
      <formula>9</formula>
    </cfRule>
    <cfRule type="cellIs" dxfId="1085" priority="214" stopIfTrue="1" operator="lessThan">
      <formula>10</formula>
    </cfRule>
    <cfRule type="cellIs" dxfId="1084" priority="215" stopIfTrue="1" operator="greaterThan">
      <formula>9</formula>
    </cfRule>
  </conditionalFormatting>
  <conditionalFormatting sqref="K10:K51">
    <cfRule type="cellIs" dxfId="1083" priority="209" stopIfTrue="1" operator="lessThan">
      <formula>10</formula>
    </cfRule>
    <cfRule type="cellIs" dxfId="1082" priority="210" stopIfTrue="1" operator="greaterThanOrEqual">
      <formula>10</formula>
    </cfRule>
  </conditionalFormatting>
  <conditionalFormatting sqref="O18:P18 O41:P41">
    <cfRule type="cellIs" dxfId="1081" priority="207" stopIfTrue="1" operator="lessThan">
      <formula>10</formula>
    </cfRule>
    <cfRule type="cellIs" dxfId="1080" priority="208" stopIfTrue="1" operator="greaterThan">
      <formula>9</formula>
    </cfRule>
  </conditionalFormatting>
  <conditionalFormatting sqref="O18:P18 O41:P41">
    <cfRule type="cellIs" dxfId="1079" priority="205" stopIfTrue="1" operator="lessThan">
      <formula>10</formula>
    </cfRule>
    <cfRule type="cellIs" dxfId="1078" priority="206" stopIfTrue="1" operator="greaterThan">
      <formula>9</formula>
    </cfRule>
  </conditionalFormatting>
  <conditionalFormatting sqref="O18:P18 O41:P41">
    <cfRule type="cellIs" dxfId="1077" priority="201" stopIfTrue="1" operator="lessThan">
      <formula>10</formula>
    </cfRule>
    <cfRule type="cellIs" dxfId="1076" priority="202" stopIfTrue="1" operator="greaterThan">
      <formula>9</formula>
    </cfRule>
    <cfRule type="cellIs" dxfId="1075" priority="203" stopIfTrue="1" operator="lessThan">
      <formula>10</formula>
    </cfRule>
    <cfRule type="cellIs" dxfId="1074" priority="204" stopIfTrue="1" operator="greaterThan">
      <formula>9</formula>
    </cfRule>
  </conditionalFormatting>
  <conditionalFormatting sqref="M18:N18">
    <cfRule type="cellIs" dxfId="1073" priority="199" stopIfTrue="1" operator="lessThan">
      <formula>10</formula>
    </cfRule>
    <cfRule type="cellIs" dxfId="1072" priority="200" stopIfTrue="1" operator="greaterThan">
      <formula>9</formula>
    </cfRule>
  </conditionalFormatting>
  <conditionalFormatting sqref="M18:N18">
    <cfRule type="cellIs" dxfId="1071" priority="197" stopIfTrue="1" operator="lessThan">
      <formula>10</formula>
    </cfRule>
    <cfRule type="cellIs" dxfId="1070" priority="198" stopIfTrue="1" operator="greaterThan">
      <formula>9</formula>
    </cfRule>
  </conditionalFormatting>
  <conditionalFormatting sqref="M18:N18">
    <cfRule type="cellIs" dxfId="1069" priority="193" stopIfTrue="1" operator="lessThan">
      <formula>10</formula>
    </cfRule>
    <cfRule type="cellIs" dxfId="1068" priority="194" stopIfTrue="1" operator="greaterThan">
      <formula>9</formula>
    </cfRule>
    <cfRule type="cellIs" dxfId="1067" priority="195" stopIfTrue="1" operator="lessThan">
      <formula>10</formula>
    </cfRule>
    <cfRule type="cellIs" dxfId="1066" priority="196" stopIfTrue="1" operator="greaterThan">
      <formula>9</formula>
    </cfRule>
  </conditionalFormatting>
  <conditionalFormatting sqref="M41:N41">
    <cfRule type="cellIs" dxfId="1065" priority="191" stopIfTrue="1" operator="lessThan">
      <formula>10</formula>
    </cfRule>
    <cfRule type="cellIs" dxfId="1064" priority="192" stopIfTrue="1" operator="greaterThan">
      <formula>9</formula>
    </cfRule>
  </conditionalFormatting>
  <conditionalFormatting sqref="M41:N41">
    <cfRule type="cellIs" dxfId="1063" priority="189" stopIfTrue="1" operator="lessThan">
      <formula>10</formula>
    </cfRule>
    <cfRule type="cellIs" dxfId="1062" priority="190" stopIfTrue="1" operator="greaterThan">
      <formula>9</formula>
    </cfRule>
  </conditionalFormatting>
  <conditionalFormatting sqref="M41:N41">
    <cfRule type="cellIs" dxfId="1061" priority="185" stopIfTrue="1" operator="lessThan">
      <formula>10</formula>
    </cfRule>
    <cfRule type="cellIs" dxfId="1060" priority="186" stopIfTrue="1" operator="greaterThan">
      <formula>9</formula>
    </cfRule>
    <cfRule type="cellIs" dxfId="1059" priority="187" stopIfTrue="1" operator="lessThan">
      <formula>10</formula>
    </cfRule>
    <cfRule type="cellIs" dxfId="1058" priority="188" stopIfTrue="1" operator="greaterThan">
      <formula>9</formula>
    </cfRule>
  </conditionalFormatting>
  <conditionalFormatting sqref="G24:G39 G45:G50 H10:I50">
    <cfRule type="cellIs" dxfId="1057" priority="183" stopIfTrue="1" operator="lessThan">
      <formula>10</formula>
    </cfRule>
    <cfRule type="cellIs" dxfId="1056" priority="184" stopIfTrue="1" operator="greaterThan">
      <formula>9</formula>
    </cfRule>
  </conditionalFormatting>
  <conditionalFormatting sqref="G24:G39 G45:G50 H10:I50">
    <cfRule type="cellIs" dxfId="1055" priority="181" stopIfTrue="1" operator="lessThan">
      <formula>10</formula>
    </cfRule>
    <cfRule type="cellIs" dxfId="1054" priority="182" stopIfTrue="1" operator="greaterThan">
      <formula>9</formula>
    </cfRule>
  </conditionalFormatting>
  <conditionalFormatting sqref="G24:G39 G45:G50 H10:I50">
    <cfRule type="cellIs" dxfId="1053" priority="177" stopIfTrue="1" operator="lessThan">
      <formula>10</formula>
    </cfRule>
    <cfRule type="cellIs" dxfId="1052" priority="178" stopIfTrue="1" operator="greaterThan">
      <formula>9</formula>
    </cfRule>
    <cfRule type="cellIs" dxfId="1051" priority="179" stopIfTrue="1" operator="lessThan">
      <formula>10</formula>
    </cfRule>
    <cfRule type="cellIs" dxfId="1050" priority="180" stopIfTrue="1" operator="greaterThan">
      <formula>9</formula>
    </cfRule>
  </conditionalFormatting>
  <conditionalFormatting sqref="F10:G10 G11:G12">
    <cfRule type="cellIs" dxfId="1049" priority="175" stopIfTrue="1" operator="lessThan">
      <formula>10</formula>
    </cfRule>
    <cfRule type="cellIs" dxfId="1048" priority="176" stopIfTrue="1" operator="greaterThan">
      <formula>9</formula>
    </cfRule>
  </conditionalFormatting>
  <conditionalFormatting sqref="F10:G10 G11:G12">
    <cfRule type="cellIs" dxfId="1047" priority="173" stopIfTrue="1" operator="lessThan">
      <formula>10</formula>
    </cfRule>
    <cfRule type="cellIs" dxfId="1046" priority="174" stopIfTrue="1" operator="greaterThan">
      <formula>9</formula>
    </cfRule>
  </conditionalFormatting>
  <conditionalFormatting sqref="F10:G10 G11:G12">
    <cfRule type="cellIs" dxfId="1045" priority="169" stopIfTrue="1" operator="lessThan">
      <formula>10</formula>
    </cfRule>
    <cfRule type="cellIs" dxfId="1044" priority="170" stopIfTrue="1" operator="greaterThan">
      <formula>9</formula>
    </cfRule>
    <cfRule type="cellIs" dxfId="1043" priority="171" stopIfTrue="1" operator="lessThan">
      <formula>10</formula>
    </cfRule>
    <cfRule type="cellIs" dxfId="1042" priority="172" stopIfTrue="1" operator="greaterThan">
      <formula>9</formula>
    </cfRule>
  </conditionalFormatting>
  <conditionalFormatting sqref="G13:G15">
    <cfRule type="cellIs" dxfId="1041" priority="167" stopIfTrue="1" operator="lessThan">
      <formula>10</formula>
    </cfRule>
    <cfRule type="cellIs" dxfId="1040" priority="168" stopIfTrue="1" operator="greaterThan">
      <formula>9</formula>
    </cfRule>
  </conditionalFormatting>
  <conditionalFormatting sqref="G13:G15">
    <cfRule type="cellIs" dxfId="1039" priority="165" stopIfTrue="1" operator="lessThan">
      <formula>10</formula>
    </cfRule>
    <cfRule type="cellIs" dxfId="1038" priority="166" stopIfTrue="1" operator="greaterThan">
      <formula>9</formula>
    </cfRule>
  </conditionalFormatting>
  <conditionalFormatting sqref="G13:G15">
    <cfRule type="cellIs" dxfId="1037" priority="161" stopIfTrue="1" operator="lessThan">
      <formula>10</formula>
    </cfRule>
    <cfRule type="cellIs" dxfId="1036" priority="162" stopIfTrue="1" operator="greaterThan">
      <formula>9</formula>
    </cfRule>
    <cfRule type="cellIs" dxfId="1035" priority="163" stopIfTrue="1" operator="lessThan">
      <formula>10</formula>
    </cfRule>
    <cfRule type="cellIs" dxfId="1034" priority="164" stopIfTrue="1" operator="greaterThan">
      <formula>9</formula>
    </cfRule>
  </conditionalFormatting>
  <conditionalFormatting sqref="G16:G19">
    <cfRule type="cellIs" dxfId="1033" priority="159" stopIfTrue="1" operator="lessThan">
      <formula>10</formula>
    </cfRule>
    <cfRule type="cellIs" dxfId="1032" priority="160" stopIfTrue="1" operator="greaterThan">
      <formula>9</formula>
    </cfRule>
  </conditionalFormatting>
  <conditionalFormatting sqref="G16:G19">
    <cfRule type="cellIs" dxfId="1031" priority="157" stopIfTrue="1" operator="lessThan">
      <formula>10</formula>
    </cfRule>
    <cfRule type="cellIs" dxfId="1030" priority="158" stopIfTrue="1" operator="greaterThan">
      <formula>9</formula>
    </cfRule>
  </conditionalFormatting>
  <conditionalFormatting sqref="G16:G19">
    <cfRule type="cellIs" dxfId="1029" priority="153" stopIfTrue="1" operator="lessThan">
      <formula>10</formula>
    </cfRule>
    <cfRule type="cellIs" dxfId="1028" priority="154" stopIfTrue="1" operator="greaterThan">
      <formula>9</formula>
    </cfRule>
    <cfRule type="cellIs" dxfId="1027" priority="155" stopIfTrue="1" operator="lessThan">
      <formula>10</formula>
    </cfRule>
    <cfRule type="cellIs" dxfId="1026" priority="156" stopIfTrue="1" operator="greaterThan">
      <formula>9</formula>
    </cfRule>
  </conditionalFormatting>
  <conditionalFormatting sqref="G20:G23">
    <cfRule type="cellIs" dxfId="1025" priority="151" stopIfTrue="1" operator="lessThan">
      <formula>10</formula>
    </cfRule>
    <cfRule type="cellIs" dxfId="1024" priority="152" stopIfTrue="1" operator="greaterThan">
      <formula>9</formula>
    </cfRule>
  </conditionalFormatting>
  <conditionalFormatting sqref="G20:G23">
    <cfRule type="cellIs" dxfId="1023" priority="149" stopIfTrue="1" operator="lessThan">
      <formula>10</formula>
    </cfRule>
    <cfRule type="cellIs" dxfId="1022" priority="150" stopIfTrue="1" operator="greaterThan">
      <formula>9</formula>
    </cfRule>
  </conditionalFormatting>
  <conditionalFormatting sqref="G20:G23">
    <cfRule type="cellIs" dxfId="1021" priority="145" stopIfTrue="1" operator="lessThan">
      <formula>10</formula>
    </cfRule>
    <cfRule type="cellIs" dxfId="1020" priority="146" stopIfTrue="1" operator="greaterThan">
      <formula>9</formula>
    </cfRule>
    <cfRule type="cellIs" dxfId="1019" priority="147" stopIfTrue="1" operator="lessThan">
      <formula>10</formula>
    </cfRule>
    <cfRule type="cellIs" dxfId="1018" priority="148" stopIfTrue="1" operator="greaterThan">
      <formula>9</formula>
    </cfRule>
  </conditionalFormatting>
  <conditionalFormatting sqref="G40:G44">
    <cfRule type="cellIs" dxfId="1017" priority="143" stopIfTrue="1" operator="lessThan">
      <formula>10</formula>
    </cfRule>
    <cfRule type="cellIs" dxfId="1016" priority="144" stopIfTrue="1" operator="greaterThan">
      <formula>9</formula>
    </cfRule>
  </conditionalFormatting>
  <conditionalFormatting sqref="G40:G44">
    <cfRule type="cellIs" dxfId="1015" priority="141" stopIfTrue="1" operator="lessThan">
      <formula>10</formula>
    </cfRule>
    <cfRule type="cellIs" dxfId="1014" priority="142" stopIfTrue="1" operator="greaterThan">
      <formula>9</formula>
    </cfRule>
  </conditionalFormatting>
  <conditionalFormatting sqref="G40:G44">
    <cfRule type="cellIs" dxfId="1013" priority="137" stopIfTrue="1" operator="lessThan">
      <formula>10</formula>
    </cfRule>
    <cfRule type="cellIs" dxfId="1012" priority="138" stopIfTrue="1" operator="greaterThan">
      <formula>9</formula>
    </cfRule>
    <cfRule type="cellIs" dxfId="1011" priority="139" stopIfTrue="1" operator="lessThan">
      <formula>10</formula>
    </cfRule>
    <cfRule type="cellIs" dxfId="1010" priority="140" stopIfTrue="1" operator="greaterThan">
      <formula>9</formula>
    </cfRule>
  </conditionalFormatting>
  <conditionalFormatting sqref="O10:P17">
    <cfRule type="cellIs" dxfId="1009" priority="135" stopIfTrue="1" operator="lessThan">
      <formula>10</formula>
    </cfRule>
    <cfRule type="cellIs" dxfId="1008" priority="136" stopIfTrue="1" operator="greaterThan">
      <formula>9</formula>
    </cfRule>
  </conditionalFormatting>
  <conditionalFormatting sqref="O10:P17">
    <cfRule type="cellIs" dxfId="1007" priority="133" stopIfTrue="1" operator="lessThan">
      <formula>10</formula>
    </cfRule>
    <cfRule type="cellIs" dxfId="1006" priority="134" stopIfTrue="1" operator="greaterThan">
      <formula>9</formula>
    </cfRule>
  </conditionalFormatting>
  <conditionalFormatting sqref="O10:P17">
    <cfRule type="cellIs" dxfId="1005" priority="129" stopIfTrue="1" operator="lessThan">
      <formula>10</formula>
    </cfRule>
    <cfRule type="cellIs" dxfId="1004" priority="130" stopIfTrue="1" operator="greaterThan">
      <formula>9</formula>
    </cfRule>
    <cfRule type="cellIs" dxfId="1003" priority="131" stopIfTrue="1" operator="lessThan">
      <formula>10</formula>
    </cfRule>
    <cfRule type="cellIs" dxfId="1002" priority="132" stopIfTrue="1" operator="greaterThan">
      <formula>9</formula>
    </cfRule>
  </conditionalFormatting>
  <conditionalFormatting sqref="M10:N12">
    <cfRule type="cellIs" dxfId="1001" priority="127" stopIfTrue="1" operator="lessThan">
      <formula>10</formula>
    </cfRule>
    <cfRule type="cellIs" dxfId="1000" priority="128" stopIfTrue="1" operator="greaterThan">
      <formula>9</formula>
    </cfRule>
  </conditionalFormatting>
  <conditionalFormatting sqref="M10:N12">
    <cfRule type="cellIs" dxfId="999" priority="125" stopIfTrue="1" operator="lessThan">
      <formula>10</formula>
    </cfRule>
    <cfRule type="cellIs" dxfId="998" priority="126" stopIfTrue="1" operator="greaterThan">
      <formula>9</formula>
    </cfRule>
  </conditionalFormatting>
  <conditionalFormatting sqref="M10:N12">
    <cfRule type="cellIs" dxfId="997" priority="121" stopIfTrue="1" operator="lessThan">
      <formula>10</formula>
    </cfRule>
    <cfRule type="cellIs" dxfId="996" priority="122" stopIfTrue="1" operator="greaterThan">
      <formula>9</formula>
    </cfRule>
    <cfRule type="cellIs" dxfId="995" priority="123" stopIfTrue="1" operator="lessThan">
      <formula>10</formula>
    </cfRule>
    <cfRule type="cellIs" dxfId="994" priority="124" stopIfTrue="1" operator="greaterThan">
      <formula>9</formula>
    </cfRule>
  </conditionalFormatting>
  <conditionalFormatting sqref="M13:N15">
    <cfRule type="cellIs" dxfId="993" priority="119" stopIfTrue="1" operator="lessThan">
      <formula>10</formula>
    </cfRule>
    <cfRule type="cellIs" dxfId="992" priority="120" stopIfTrue="1" operator="greaterThan">
      <formula>9</formula>
    </cfRule>
  </conditionalFormatting>
  <conditionalFormatting sqref="M13:N15">
    <cfRule type="cellIs" dxfId="991" priority="117" stopIfTrue="1" operator="lessThan">
      <formula>10</formula>
    </cfRule>
    <cfRule type="cellIs" dxfId="990" priority="118" stopIfTrue="1" operator="greaterThan">
      <formula>9</formula>
    </cfRule>
  </conditionalFormatting>
  <conditionalFormatting sqref="M13:N15">
    <cfRule type="cellIs" dxfId="989" priority="113" stopIfTrue="1" operator="lessThan">
      <formula>10</formula>
    </cfRule>
    <cfRule type="cellIs" dxfId="988" priority="114" stopIfTrue="1" operator="greaterThan">
      <formula>9</formula>
    </cfRule>
    <cfRule type="cellIs" dxfId="987" priority="115" stopIfTrue="1" operator="lessThan">
      <formula>10</formula>
    </cfRule>
    <cfRule type="cellIs" dxfId="986" priority="116" stopIfTrue="1" operator="greaterThan">
      <formula>9</formula>
    </cfRule>
  </conditionalFormatting>
  <conditionalFormatting sqref="M16:N17">
    <cfRule type="cellIs" dxfId="985" priority="111" stopIfTrue="1" operator="lessThan">
      <formula>10</formula>
    </cfRule>
    <cfRule type="cellIs" dxfId="984" priority="112" stopIfTrue="1" operator="greaterThan">
      <formula>9</formula>
    </cfRule>
  </conditionalFormatting>
  <conditionalFormatting sqref="M16:N17">
    <cfRule type="cellIs" dxfId="983" priority="109" stopIfTrue="1" operator="lessThan">
      <formula>10</formula>
    </cfRule>
    <cfRule type="cellIs" dxfId="982" priority="110" stopIfTrue="1" operator="greaterThan">
      <formula>9</formula>
    </cfRule>
  </conditionalFormatting>
  <conditionalFormatting sqref="M16:N17">
    <cfRule type="cellIs" dxfId="981" priority="105" stopIfTrue="1" operator="lessThan">
      <formula>10</formula>
    </cfRule>
    <cfRule type="cellIs" dxfId="980" priority="106" stopIfTrue="1" operator="greaterThan">
      <formula>9</formula>
    </cfRule>
    <cfRule type="cellIs" dxfId="979" priority="107" stopIfTrue="1" operator="lessThan">
      <formula>10</formula>
    </cfRule>
    <cfRule type="cellIs" dxfId="978" priority="108" stopIfTrue="1" operator="greaterThan">
      <formula>9</formula>
    </cfRule>
  </conditionalFormatting>
  <conditionalFormatting sqref="M24:N25 O19:P25">
    <cfRule type="cellIs" dxfId="977" priority="103" stopIfTrue="1" operator="lessThan">
      <formula>10</formula>
    </cfRule>
    <cfRule type="cellIs" dxfId="976" priority="104" stopIfTrue="1" operator="greaterThan">
      <formula>9</formula>
    </cfRule>
  </conditionalFormatting>
  <conditionalFormatting sqref="M24:N25 O19:P25">
    <cfRule type="cellIs" dxfId="975" priority="101" stopIfTrue="1" operator="lessThan">
      <formula>10</formula>
    </cfRule>
    <cfRule type="cellIs" dxfId="974" priority="102" stopIfTrue="1" operator="greaterThan">
      <formula>9</formula>
    </cfRule>
  </conditionalFormatting>
  <conditionalFormatting sqref="M24:N25 O19:P25">
    <cfRule type="cellIs" dxfId="973" priority="97" stopIfTrue="1" operator="lessThan">
      <formula>10</formula>
    </cfRule>
    <cfRule type="cellIs" dxfId="972" priority="98" stopIfTrue="1" operator="greaterThan">
      <formula>9</formula>
    </cfRule>
    <cfRule type="cellIs" dxfId="971" priority="99" stopIfTrue="1" operator="lessThan">
      <formula>10</formula>
    </cfRule>
    <cfRule type="cellIs" dxfId="970" priority="100" stopIfTrue="1" operator="greaterThan">
      <formula>9</formula>
    </cfRule>
  </conditionalFormatting>
  <conditionalFormatting sqref="M19:N19">
    <cfRule type="cellIs" dxfId="969" priority="95" stopIfTrue="1" operator="lessThan">
      <formula>10</formula>
    </cfRule>
    <cfRule type="cellIs" dxfId="968" priority="96" stopIfTrue="1" operator="greaterThan">
      <formula>9</formula>
    </cfRule>
  </conditionalFormatting>
  <conditionalFormatting sqref="M19:N19">
    <cfRule type="cellIs" dxfId="967" priority="93" stopIfTrue="1" operator="lessThan">
      <formula>10</formula>
    </cfRule>
    <cfRule type="cellIs" dxfId="966" priority="94" stopIfTrue="1" operator="greaterThan">
      <formula>9</formula>
    </cfRule>
  </conditionalFormatting>
  <conditionalFormatting sqref="M19:N19">
    <cfRule type="cellIs" dxfId="965" priority="89" stopIfTrue="1" operator="lessThan">
      <formula>10</formula>
    </cfRule>
    <cfRule type="cellIs" dxfId="964" priority="90" stopIfTrue="1" operator="greaterThan">
      <formula>9</formula>
    </cfRule>
    <cfRule type="cellIs" dxfId="963" priority="91" stopIfTrue="1" operator="lessThan">
      <formula>10</formula>
    </cfRule>
    <cfRule type="cellIs" dxfId="962" priority="92" stopIfTrue="1" operator="greaterThan">
      <formula>9</formula>
    </cfRule>
  </conditionalFormatting>
  <conditionalFormatting sqref="M20:N23">
    <cfRule type="cellIs" dxfId="961" priority="87" stopIfTrue="1" operator="lessThan">
      <formula>10</formula>
    </cfRule>
    <cfRule type="cellIs" dxfId="960" priority="88" stopIfTrue="1" operator="greaterThan">
      <formula>9</formula>
    </cfRule>
  </conditionalFormatting>
  <conditionalFormatting sqref="M20:N23">
    <cfRule type="cellIs" dxfId="959" priority="85" stopIfTrue="1" operator="lessThan">
      <formula>10</formula>
    </cfRule>
    <cfRule type="cellIs" dxfId="958" priority="86" stopIfTrue="1" operator="greaterThan">
      <formula>9</formula>
    </cfRule>
  </conditionalFormatting>
  <conditionalFormatting sqref="M20:N23">
    <cfRule type="cellIs" dxfId="957" priority="81" stopIfTrue="1" operator="lessThan">
      <formula>10</formula>
    </cfRule>
    <cfRule type="cellIs" dxfId="956" priority="82" stopIfTrue="1" operator="greaterThan">
      <formula>9</formula>
    </cfRule>
    <cfRule type="cellIs" dxfId="955" priority="83" stopIfTrue="1" operator="lessThan">
      <formula>10</formula>
    </cfRule>
    <cfRule type="cellIs" dxfId="954" priority="84" stopIfTrue="1" operator="greaterThan">
      <formula>9</formula>
    </cfRule>
  </conditionalFormatting>
  <conditionalFormatting sqref="M26:P26">
    <cfRule type="cellIs" dxfId="953" priority="79" stopIfTrue="1" operator="lessThan">
      <formula>10</formula>
    </cfRule>
    <cfRule type="cellIs" dxfId="952" priority="80" stopIfTrue="1" operator="greaterThan">
      <formula>9</formula>
    </cfRule>
  </conditionalFormatting>
  <conditionalFormatting sqref="M26:P26">
    <cfRule type="cellIs" dxfId="951" priority="77" stopIfTrue="1" operator="lessThan">
      <formula>10</formula>
    </cfRule>
    <cfRule type="cellIs" dxfId="950" priority="78" stopIfTrue="1" operator="greaterThan">
      <formula>9</formula>
    </cfRule>
  </conditionalFormatting>
  <conditionalFormatting sqref="M26:P26">
    <cfRule type="cellIs" dxfId="949" priority="73" stopIfTrue="1" operator="lessThan">
      <formula>10</formula>
    </cfRule>
    <cfRule type="cellIs" dxfId="948" priority="74" stopIfTrue="1" operator="greaterThan">
      <formula>9</formula>
    </cfRule>
    <cfRule type="cellIs" dxfId="947" priority="75" stopIfTrue="1" operator="lessThan">
      <formula>10</formula>
    </cfRule>
    <cfRule type="cellIs" dxfId="946" priority="76" stopIfTrue="1" operator="greaterThan">
      <formula>9</formula>
    </cfRule>
  </conditionalFormatting>
  <conditionalFormatting sqref="M27:P33">
    <cfRule type="cellIs" dxfId="945" priority="71" stopIfTrue="1" operator="lessThan">
      <formula>10</formula>
    </cfRule>
    <cfRule type="cellIs" dxfId="944" priority="72" stopIfTrue="1" operator="greaterThan">
      <formula>9</formula>
    </cfRule>
  </conditionalFormatting>
  <conditionalFormatting sqref="M27:P33">
    <cfRule type="cellIs" dxfId="943" priority="69" stopIfTrue="1" operator="lessThan">
      <formula>10</formula>
    </cfRule>
    <cfRule type="cellIs" dxfId="942" priority="70" stopIfTrue="1" operator="greaterThan">
      <formula>9</formula>
    </cfRule>
  </conditionalFormatting>
  <conditionalFormatting sqref="M27:P33">
    <cfRule type="cellIs" dxfId="941" priority="65" stopIfTrue="1" operator="lessThan">
      <formula>10</formula>
    </cfRule>
    <cfRule type="cellIs" dxfId="940" priority="66" stopIfTrue="1" operator="greaterThan">
      <formula>9</formula>
    </cfRule>
    <cfRule type="cellIs" dxfId="939" priority="67" stopIfTrue="1" operator="lessThan">
      <formula>10</formula>
    </cfRule>
    <cfRule type="cellIs" dxfId="938" priority="68" stopIfTrue="1" operator="greaterThan">
      <formula>9</formula>
    </cfRule>
  </conditionalFormatting>
  <conditionalFormatting sqref="M34:P38">
    <cfRule type="cellIs" dxfId="937" priority="63" stopIfTrue="1" operator="lessThan">
      <formula>10</formula>
    </cfRule>
    <cfRule type="cellIs" dxfId="936" priority="64" stopIfTrue="1" operator="greaterThan">
      <formula>9</formula>
    </cfRule>
  </conditionalFormatting>
  <conditionalFormatting sqref="M34:P38">
    <cfRule type="cellIs" dxfId="935" priority="61" stopIfTrue="1" operator="lessThan">
      <formula>10</formula>
    </cfRule>
    <cfRule type="cellIs" dxfId="934" priority="62" stopIfTrue="1" operator="greaterThan">
      <formula>9</formula>
    </cfRule>
  </conditionalFormatting>
  <conditionalFormatting sqref="M34:P38">
    <cfRule type="cellIs" dxfId="933" priority="57" stopIfTrue="1" operator="lessThan">
      <formula>10</formula>
    </cfRule>
    <cfRule type="cellIs" dxfId="932" priority="58" stopIfTrue="1" operator="greaterThan">
      <formula>9</formula>
    </cfRule>
    <cfRule type="cellIs" dxfId="931" priority="59" stopIfTrue="1" operator="lessThan">
      <formula>10</formula>
    </cfRule>
    <cfRule type="cellIs" dxfId="930" priority="60" stopIfTrue="1" operator="greaterThan">
      <formula>9</formula>
    </cfRule>
  </conditionalFormatting>
  <conditionalFormatting sqref="M39:N39 O39:P40">
    <cfRule type="cellIs" dxfId="929" priority="55" stopIfTrue="1" operator="lessThan">
      <formula>10</formula>
    </cfRule>
    <cfRule type="cellIs" dxfId="928" priority="56" stopIfTrue="1" operator="greaterThan">
      <formula>9</formula>
    </cfRule>
  </conditionalFormatting>
  <conditionalFormatting sqref="M39:N39 O39:P40">
    <cfRule type="cellIs" dxfId="927" priority="53" stopIfTrue="1" operator="lessThan">
      <formula>10</formula>
    </cfRule>
    <cfRule type="cellIs" dxfId="926" priority="54" stopIfTrue="1" operator="greaterThan">
      <formula>9</formula>
    </cfRule>
  </conditionalFormatting>
  <conditionalFormatting sqref="M39:N39 O39:P40">
    <cfRule type="cellIs" dxfId="925" priority="49" stopIfTrue="1" operator="lessThan">
      <formula>10</formula>
    </cfRule>
    <cfRule type="cellIs" dxfId="924" priority="50" stopIfTrue="1" operator="greaterThan">
      <formula>9</formula>
    </cfRule>
    <cfRule type="cellIs" dxfId="923" priority="51" stopIfTrue="1" operator="lessThan">
      <formula>10</formula>
    </cfRule>
    <cfRule type="cellIs" dxfId="922" priority="52" stopIfTrue="1" operator="greaterThan">
      <formula>9</formula>
    </cfRule>
  </conditionalFormatting>
  <conditionalFormatting sqref="M40:N40">
    <cfRule type="cellIs" dxfId="921" priority="47" stopIfTrue="1" operator="lessThan">
      <formula>10</formula>
    </cfRule>
    <cfRule type="cellIs" dxfId="920" priority="48" stopIfTrue="1" operator="greaterThan">
      <formula>9</formula>
    </cfRule>
  </conditionalFormatting>
  <conditionalFormatting sqref="M40:N40">
    <cfRule type="cellIs" dxfId="919" priority="45" stopIfTrue="1" operator="lessThan">
      <formula>10</formula>
    </cfRule>
    <cfRule type="cellIs" dxfId="918" priority="46" stopIfTrue="1" operator="greaterThan">
      <formula>9</formula>
    </cfRule>
  </conditionalFormatting>
  <conditionalFormatting sqref="M40:N40">
    <cfRule type="cellIs" dxfId="917" priority="41" stopIfTrue="1" operator="lessThan">
      <formula>10</formula>
    </cfRule>
    <cfRule type="cellIs" dxfId="916" priority="42" stopIfTrue="1" operator="greaterThan">
      <formula>9</formula>
    </cfRule>
    <cfRule type="cellIs" dxfId="915" priority="43" stopIfTrue="1" operator="lessThan">
      <formula>10</formula>
    </cfRule>
    <cfRule type="cellIs" dxfId="914" priority="44" stopIfTrue="1" operator="greaterThan">
      <formula>9</formula>
    </cfRule>
  </conditionalFormatting>
  <conditionalFormatting sqref="O42:P44">
    <cfRule type="cellIs" dxfId="913" priority="39" stopIfTrue="1" operator="lessThan">
      <formula>10</formula>
    </cfRule>
    <cfRule type="cellIs" dxfId="912" priority="40" stopIfTrue="1" operator="greaterThan">
      <formula>9</formula>
    </cfRule>
  </conditionalFormatting>
  <conditionalFormatting sqref="O42:P44">
    <cfRule type="cellIs" dxfId="911" priority="37" stopIfTrue="1" operator="lessThan">
      <formula>10</formula>
    </cfRule>
    <cfRule type="cellIs" dxfId="910" priority="38" stopIfTrue="1" operator="greaterThan">
      <formula>9</formula>
    </cfRule>
  </conditionalFormatting>
  <conditionalFormatting sqref="O42:P44">
    <cfRule type="cellIs" dxfId="909" priority="33" stopIfTrue="1" operator="lessThan">
      <formula>10</formula>
    </cfRule>
    <cfRule type="cellIs" dxfId="908" priority="34" stopIfTrue="1" operator="greaterThan">
      <formula>9</formula>
    </cfRule>
    <cfRule type="cellIs" dxfId="907" priority="35" stopIfTrue="1" operator="lessThan">
      <formula>10</formula>
    </cfRule>
    <cfRule type="cellIs" dxfId="906" priority="36" stopIfTrue="1" operator="greaterThan">
      <formula>9</formula>
    </cfRule>
  </conditionalFormatting>
  <conditionalFormatting sqref="M42:N44">
    <cfRule type="cellIs" dxfId="905" priority="31" stopIfTrue="1" operator="lessThan">
      <formula>10</formula>
    </cfRule>
    <cfRule type="cellIs" dxfId="904" priority="32" stopIfTrue="1" operator="greaterThan">
      <formula>9</formula>
    </cfRule>
  </conditionalFormatting>
  <conditionalFormatting sqref="M42:N44">
    <cfRule type="cellIs" dxfId="903" priority="29" stopIfTrue="1" operator="lessThan">
      <formula>10</formula>
    </cfRule>
    <cfRule type="cellIs" dxfId="902" priority="30" stopIfTrue="1" operator="greaterThan">
      <formula>9</formula>
    </cfRule>
  </conditionalFormatting>
  <conditionalFormatting sqref="M42:N44">
    <cfRule type="cellIs" dxfId="901" priority="25" stopIfTrue="1" operator="lessThan">
      <formula>10</formula>
    </cfRule>
    <cfRule type="cellIs" dxfId="900" priority="26" stopIfTrue="1" operator="greaterThan">
      <formula>9</formula>
    </cfRule>
    <cfRule type="cellIs" dxfId="899" priority="27" stopIfTrue="1" operator="lessThan">
      <formula>10</formula>
    </cfRule>
    <cfRule type="cellIs" dxfId="898" priority="28" stopIfTrue="1" operator="greaterThan">
      <formula>9</formula>
    </cfRule>
  </conditionalFormatting>
  <conditionalFormatting sqref="M45:P49">
    <cfRule type="cellIs" dxfId="897" priority="23" stopIfTrue="1" operator="lessThan">
      <formula>10</formula>
    </cfRule>
    <cfRule type="cellIs" dxfId="896" priority="24" stopIfTrue="1" operator="greaterThan">
      <formula>9</formula>
    </cfRule>
  </conditionalFormatting>
  <conditionalFormatting sqref="M45:P49">
    <cfRule type="cellIs" dxfId="895" priority="21" stopIfTrue="1" operator="lessThan">
      <formula>10</formula>
    </cfRule>
    <cfRule type="cellIs" dxfId="894" priority="22" stopIfTrue="1" operator="greaterThan">
      <formula>9</formula>
    </cfRule>
  </conditionalFormatting>
  <conditionalFormatting sqref="M45:P49">
    <cfRule type="cellIs" dxfId="893" priority="17" stopIfTrue="1" operator="lessThan">
      <formula>10</formula>
    </cfRule>
    <cfRule type="cellIs" dxfId="892" priority="18" stopIfTrue="1" operator="greaterThan">
      <formula>9</formula>
    </cfRule>
    <cfRule type="cellIs" dxfId="891" priority="19" stopIfTrue="1" operator="lessThan">
      <formula>10</formula>
    </cfRule>
    <cfRule type="cellIs" dxfId="890" priority="20" stopIfTrue="1" operator="greaterThan">
      <formula>9</formula>
    </cfRule>
  </conditionalFormatting>
  <conditionalFormatting sqref="M50:P50">
    <cfRule type="cellIs" dxfId="889" priority="15" stopIfTrue="1" operator="lessThan">
      <formula>10</formula>
    </cfRule>
    <cfRule type="cellIs" dxfId="888" priority="16" stopIfTrue="1" operator="greaterThan">
      <formula>9</formula>
    </cfRule>
  </conditionalFormatting>
  <conditionalFormatting sqref="M50:P50">
    <cfRule type="cellIs" dxfId="887" priority="13" stopIfTrue="1" operator="lessThan">
      <formula>10</formula>
    </cfRule>
    <cfRule type="cellIs" dxfId="886" priority="14" stopIfTrue="1" operator="greaterThan">
      <formula>9</formula>
    </cfRule>
  </conditionalFormatting>
  <conditionalFormatting sqref="M50:P50">
    <cfRule type="cellIs" dxfId="885" priority="9" stopIfTrue="1" operator="lessThan">
      <formula>10</formula>
    </cfRule>
    <cfRule type="cellIs" dxfId="884" priority="10" stopIfTrue="1" operator="greaterThan">
      <formula>9</formula>
    </cfRule>
    <cfRule type="cellIs" dxfId="883" priority="11" stopIfTrue="1" operator="lessThan">
      <formula>10</formula>
    </cfRule>
    <cfRule type="cellIs" dxfId="882" priority="12" stopIfTrue="1" operator="greaterThan">
      <formula>9</formula>
    </cfRule>
  </conditionalFormatting>
  <conditionalFormatting sqref="M51:P51">
    <cfRule type="cellIs" dxfId="881" priority="7" stopIfTrue="1" operator="lessThan">
      <formula>10</formula>
    </cfRule>
    <cfRule type="cellIs" dxfId="880" priority="8" stopIfTrue="1" operator="greaterThan">
      <formula>9</formula>
    </cfRule>
  </conditionalFormatting>
  <conditionalFormatting sqref="M51:P51">
    <cfRule type="cellIs" dxfId="879" priority="5" stopIfTrue="1" operator="lessThan">
      <formula>10</formula>
    </cfRule>
    <cfRule type="cellIs" dxfId="878" priority="6" stopIfTrue="1" operator="greaterThan">
      <formula>9</formula>
    </cfRule>
  </conditionalFormatting>
  <conditionalFormatting sqref="M51:P51">
    <cfRule type="cellIs" dxfId="877" priority="1" stopIfTrue="1" operator="lessThan">
      <formula>10</formula>
    </cfRule>
    <cfRule type="cellIs" dxfId="876" priority="2" stopIfTrue="1" operator="greaterThan">
      <formula>9</formula>
    </cfRule>
    <cfRule type="cellIs" dxfId="875" priority="3" stopIfTrue="1" operator="lessThan">
      <formula>10</formula>
    </cfRule>
    <cfRule type="cellIs" dxfId="874" priority="4" stopIfTrue="1" operator="greaterThan">
      <formula>9</formula>
    </cfRule>
  </conditionalFormatting>
  <dataValidations count="1">
    <dataValidation type="decimal" allowBlank="1" showInputMessage="1" showErrorMessage="1" errorTitle="ATENÇÃO!" error="O valor introduzido não é válido. Grato!" sqref="M10:Q51 U10:U51 AB10:AB51 F10:J51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86" orientation="portrait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24" stopIfTrue="1" operator="containsText" id="{4B733DC5-B165-4B8D-9BAA-29B1514E1FD3}">
            <xm:f>NOT(ISERROR(SEARCH("APROVADO/A",AE10)))</xm:f>
            <xm:f>"APROVADO/A"</xm:f>
            <x14:dxf>
              <font>
                <b/>
                <i val="0"/>
                <color rgb="FF0000FF"/>
              </font>
            </x14:dxf>
          </x14:cfRule>
          <x14:cfRule type="containsText" priority="725" stopIfTrue="1" operator="containsText" id="{2495B180-54AB-4AA0-8659-D394A8142742}">
            <xm:f>NOT(ISERROR(SEARCH("REPROVADO/A",AE10)))</xm:f>
            <xm:f>"REPROVADO/A"</xm:f>
            <x14:dxf>
              <font>
                <b/>
                <i val="0"/>
                <color rgb="FFFF0000"/>
              </font>
            </x14:dxf>
          </x14:cfRule>
          <xm:sqref>AE10:AE51</xm:sqref>
        </x14:conditionalFormatting>
        <x14:conditionalFormatting xmlns:xm="http://schemas.microsoft.com/office/excel/2006/main">
          <x14:cfRule type="containsText" priority="536" stopIfTrue="1" operator="containsText" id="{C7A07F95-3604-40F5-B8B2-3D8B9F90D1A0}">
            <xm:f>NOT(ISERROR(SEARCH("N/TRANSITA",S10)))</xm:f>
            <xm:f>"N/TRANSITA"</xm:f>
            <x14:dxf>
              <font>
                <b/>
                <i val="0"/>
                <color rgb="FFFF0000"/>
              </font>
            </x14:dxf>
          </x14:cfRule>
          <xm:sqref>S10:S51</xm:sqref>
        </x14:conditionalFormatting>
        <x14:conditionalFormatting xmlns:xm="http://schemas.microsoft.com/office/excel/2006/main">
          <x14:cfRule type="containsText" priority="211" stopIfTrue="1" operator="containsText" id="{06CFBFF5-790B-4A5F-8EF2-1776923EFEFC}">
            <xm:f>NOT(ISERROR(SEARCH("N/TRANSITA",L10)))</xm:f>
            <xm:f>"N/TRANSITA"</xm:f>
            <x14:dxf>
              <font>
                <b/>
                <i val="0"/>
                <color rgb="FFFF0000"/>
              </font>
            </x14:dxf>
          </x14:cfRule>
          <xm:sqref>L10:L51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8">
    <tabColor rgb="FF00B050"/>
  </sheetPr>
  <dimension ref="A1:AE57"/>
  <sheetViews>
    <sheetView showGridLines="0" zoomScaleNormal="100" zoomScalePageLayoutView="85" workbookViewId="0">
      <selection activeCell="H16" sqref="H16"/>
    </sheetView>
  </sheetViews>
  <sheetFormatPr defaultRowHeight="14.4" x14ac:dyDescent="0.3"/>
  <cols>
    <col min="1" max="1" width="1.6640625" customWidth="1"/>
    <col min="2" max="2" width="3.6640625" customWidth="1"/>
    <col min="3" max="3" width="36.33203125" customWidth="1"/>
    <col min="4" max="4" width="2.6640625" customWidth="1"/>
    <col min="5" max="5" width="2.88671875" customWidth="1"/>
    <col min="6" max="11" width="4.44140625" customWidth="1"/>
    <col min="12" max="12" width="11.88671875" customWidth="1"/>
    <col min="13" max="18" width="4.44140625" customWidth="1"/>
    <col min="19" max="19" width="11.44140625" customWidth="1"/>
    <col min="20" max="25" width="4.44140625" customWidth="1"/>
    <col min="26" max="26" width="6.109375" customWidth="1"/>
    <col min="27" max="27" width="4.44140625" customWidth="1"/>
    <col min="28" max="28" width="5.88671875" customWidth="1"/>
    <col min="29" max="29" width="4.44140625" customWidth="1"/>
    <col min="30" max="30" width="6.33203125" customWidth="1"/>
    <col min="31" max="31" width="13.109375" customWidth="1"/>
    <col min="32" max="32" width="3.44140625" customWidth="1"/>
    <col min="33" max="33" width="5" customWidth="1"/>
    <col min="267" max="267" width="1.6640625" customWidth="1"/>
    <col min="268" max="268" width="3.6640625" customWidth="1"/>
    <col min="269" max="269" width="23.44140625" customWidth="1"/>
    <col min="270" max="281" width="4.44140625" customWidth="1"/>
    <col min="282" max="282" width="6.109375" customWidth="1"/>
    <col min="283" max="283" width="4.44140625" customWidth="1"/>
    <col min="284" max="284" width="7.5546875" customWidth="1"/>
    <col min="285" max="285" width="4.44140625" customWidth="1"/>
    <col min="286" max="286" width="6.33203125" customWidth="1"/>
    <col min="287" max="287" width="7.88671875" customWidth="1"/>
    <col min="288" max="288" width="3.44140625" customWidth="1"/>
    <col min="289" max="289" width="5" customWidth="1"/>
    <col min="523" max="523" width="1.6640625" customWidth="1"/>
    <col min="524" max="524" width="3.6640625" customWidth="1"/>
    <col min="525" max="525" width="23.44140625" customWidth="1"/>
    <col min="526" max="537" width="4.44140625" customWidth="1"/>
    <col min="538" max="538" width="6.109375" customWidth="1"/>
    <col min="539" max="539" width="4.44140625" customWidth="1"/>
    <col min="540" max="540" width="7.5546875" customWidth="1"/>
    <col min="541" max="541" width="4.44140625" customWidth="1"/>
    <col min="542" max="542" width="6.33203125" customWidth="1"/>
    <col min="543" max="543" width="7.88671875" customWidth="1"/>
    <col min="544" max="544" width="3.44140625" customWidth="1"/>
    <col min="545" max="545" width="5" customWidth="1"/>
    <col min="779" max="779" width="1.6640625" customWidth="1"/>
    <col min="780" max="780" width="3.6640625" customWidth="1"/>
    <col min="781" max="781" width="23.44140625" customWidth="1"/>
    <col min="782" max="793" width="4.44140625" customWidth="1"/>
    <col min="794" max="794" width="6.109375" customWidth="1"/>
    <col min="795" max="795" width="4.44140625" customWidth="1"/>
    <col min="796" max="796" width="7.5546875" customWidth="1"/>
    <col min="797" max="797" width="4.44140625" customWidth="1"/>
    <col min="798" max="798" width="6.33203125" customWidth="1"/>
    <col min="799" max="799" width="7.88671875" customWidth="1"/>
    <col min="800" max="800" width="3.44140625" customWidth="1"/>
    <col min="801" max="801" width="5" customWidth="1"/>
    <col min="1035" max="1035" width="1.6640625" customWidth="1"/>
    <col min="1036" max="1036" width="3.6640625" customWidth="1"/>
    <col min="1037" max="1037" width="23.44140625" customWidth="1"/>
    <col min="1038" max="1049" width="4.44140625" customWidth="1"/>
    <col min="1050" max="1050" width="6.109375" customWidth="1"/>
    <col min="1051" max="1051" width="4.44140625" customWidth="1"/>
    <col min="1052" max="1052" width="7.5546875" customWidth="1"/>
    <col min="1053" max="1053" width="4.44140625" customWidth="1"/>
    <col min="1054" max="1054" width="6.33203125" customWidth="1"/>
    <col min="1055" max="1055" width="7.88671875" customWidth="1"/>
    <col min="1056" max="1056" width="3.44140625" customWidth="1"/>
    <col min="1057" max="1057" width="5" customWidth="1"/>
    <col min="1291" max="1291" width="1.6640625" customWidth="1"/>
    <col min="1292" max="1292" width="3.6640625" customWidth="1"/>
    <col min="1293" max="1293" width="23.44140625" customWidth="1"/>
    <col min="1294" max="1305" width="4.44140625" customWidth="1"/>
    <col min="1306" max="1306" width="6.109375" customWidth="1"/>
    <col min="1307" max="1307" width="4.44140625" customWidth="1"/>
    <col min="1308" max="1308" width="7.5546875" customWidth="1"/>
    <col min="1309" max="1309" width="4.44140625" customWidth="1"/>
    <col min="1310" max="1310" width="6.33203125" customWidth="1"/>
    <col min="1311" max="1311" width="7.88671875" customWidth="1"/>
    <col min="1312" max="1312" width="3.44140625" customWidth="1"/>
    <col min="1313" max="1313" width="5" customWidth="1"/>
    <col min="1547" max="1547" width="1.6640625" customWidth="1"/>
    <col min="1548" max="1548" width="3.6640625" customWidth="1"/>
    <col min="1549" max="1549" width="23.44140625" customWidth="1"/>
    <col min="1550" max="1561" width="4.44140625" customWidth="1"/>
    <col min="1562" max="1562" width="6.109375" customWidth="1"/>
    <col min="1563" max="1563" width="4.44140625" customWidth="1"/>
    <col min="1564" max="1564" width="7.5546875" customWidth="1"/>
    <col min="1565" max="1565" width="4.44140625" customWidth="1"/>
    <col min="1566" max="1566" width="6.33203125" customWidth="1"/>
    <col min="1567" max="1567" width="7.88671875" customWidth="1"/>
    <col min="1568" max="1568" width="3.44140625" customWidth="1"/>
    <col min="1569" max="1569" width="5" customWidth="1"/>
    <col min="1803" max="1803" width="1.6640625" customWidth="1"/>
    <col min="1804" max="1804" width="3.6640625" customWidth="1"/>
    <col min="1805" max="1805" width="23.44140625" customWidth="1"/>
    <col min="1806" max="1817" width="4.44140625" customWidth="1"/>
    <col min="1818" max="1818" width="6.109375" customWidth="1"/>
    <col min="1819" max="1819" width="4.44140625" customWidth="1"/>
    <col min="1820" max="1820" width="7.5546875" customWidth="1"/>
    <col min="1821" max="1821" width="4.44140625" customWidth="1"/>
    <col min="1822" max="1822" width="6.33203125" customWidth="1"/>
    <col min="1823" max="1823" width="7.88671875" customWidth="1"/>
    <col min="1824" max="1824" width="3.44140625" customWidth="1"/>
    <col min="1825" max="1825" width="5" customWidth="1"/>
    <col min="2059" max="2059" width="1.6640625" customWidth="1"/>
    <col min="2060" max="2060" width="3.6640625" customWidth="1"/>
    <col min="2061" max="2061" width="23.44140625" customWidth="1"/>
    <col min="2062" max="2073" width="4.44140625" customWidth="1"/>
    <col min="2074" max="2074" width="6.109375" customWidth="1"/>
    <col min="2075" max="2075" width="4.44140625" customWidth="1"/>
    <col min="2076" max="2076" width="7.5546875" customWidth="1"/>
    <col min="2077" max="2077" width="4.44140625" customWidth="1"/>
    <col min="2078" max="2078" width="6.33203125" customWidth="1"/>
    <col min="2079" max="2079" width="7.88671875" customWidth="1"/>
    <col min="2080" max="2080" width="3.44140625" customWidth="1"/>
    <col min="2081" max="2081" width="5" customWidth="1"/>
    <col min="2315" max="2315" width="1.6640625" customWidth="1"/>
    <col min="2316" max="2316" width="3.6640625" customWidth="1"/>
    <col min="2317" max="2317" width="23.44140625" customWidth="1"/>
    <col min="2318" max="2329" width="4.44140625" customWidth="1"/>
    <col min="2330" max="2330" width="6.109375" customWidth="1"/>
    <col min="2331" max="2331" width="4.44140625" customWidth="1"/>
    <col min="2332" max="2332" width="7.5546875" customWidth="1"/>
    <col min="2333" max="2333" width="4.44140625" customWidth="1"/>
    <col min="2334" max="2334" width="6.33203125" customWidth="1"/>
    <col min="2335" max="2335" width="7.88671875" customWidth="1"/>
    <col min="2336" max="2336" width="3.44140625" customWidth="1"/>
    <col min="2337" max="2337" width="5" customWidth="1"/>
    <col min="2571" max="2571" width="1.6640625" customWidth="1"/>
    <col min="2572" max="2572" width="3.6640625" customWidth="1"/>
    <col min="2573" max="2573" width="23.44140625" customWidth="1"/>
    <col min="2574" max="2585" width="4.44140625" customWidth="1"/>
    <col min="2586" max="2586" width="6.109375" customWidth="1"/>
    <col min="2587" max="2587" width="4.44140625" customWidth="1"/>
    <col min="2588" max="2588" width="7.5546875" customWidth="1"/>
    <col min="2589" max="2589" width="4.44140625" customWidth="1"/>
    <col min="2590" max="2590" width="6.33203125" customWidth="1"/>
    <col min="2591" max="2591" width="7.88671875" customWidth="1"/>
    <col min="2592" max="2592" width="3.44140625" customWidth="1"/>
    <col min="2593" max="2593" width="5" customWidth="1"/>
    <col min="2827" max="2827" width="1.6640625" customWidth="1"/>
    <col min="2828" max="2828" width="3.6640625" customWidth="1"/>
    <col min="2829" max="2829" width="23.44140625" customWidth="1"/>
    <col min="2830" max="2841" width="4.44140625" customWidth="1"/>
    <col min="2842" max="2842" width="6.109375" customWidth="1"/>
    <col min="2843" max="2843" width="4.44140625" customWidth="1"/>
    <col min="2844" max="2844" width="7.5546875" customWidth="1"/>
    <col min="2845" max="2845" width="4.44140625" customWidth="1"/>
    <col min="2846" max="2846" width="6.33203125" customWidth="1"/>
    <col min="2847" max="2847" width="7.88671875" customWidth="1"/>
    <col min="2848" max="2848" width="3.44140625" customWidth="1"/>
    <col min="2849" max="2849" width="5" customWidth="1"/>
    <col min="3083" max="3083" width="1.6640625" customWidth="1"/>
    <col min="3084" max="3084" width="3.6640625" customWidth="1"/>
    <col min="3085" max="3085" width="23.44140625" customWidth="1"/>
    <col min="3086" max="3097" width="4.44140625" customWidth="1"/>
    <col min="3098" max="3098" width="6.109375" customWidth="1"/>
    <col min="3099" max="3099" width="4.44140625" customWidth="1"/>
    <col min="3100" max="3100" width="7.5546875" customWidth="1"/>
    <col min="3101" max="3101" width="4.44140625" customWidth="1"/>
    <col min="3102" max="3102" width="6.33203125" customWidth="1"/>
    <col min="3103" max="3103" width="7.88671875" customWidth="1"/>
    <col min="3104" max="3104" width="3.44140625" customWidth="1"/>
    <col min="3105" max="3105" width="5" customWidth="1"/>
    <col min="3339" max="3339" width="1.6640625" customWidth="1"/>
    <col min="3340" max="3340" width="3.6640625" customWidth="1"/>
    <col min="3341" max="3341" width="23.44140625" customWidth="1"/>
    <col min="3342" max="3353" width="4.44140625" customWidth="1"/>
    <col min="3354" max="3354" width="6.109375" customWidth="1"/>
    <col min="3355" max="3355" width="4.44140625" customWidth="1"/>
    <col min="3356" max="3356" width="7.5546875" customWidth="1"/>
    <col min="3357" max="3357" width="4.44140625" customWidth="1"/>
    <col min="3358" max="3358" width="6.33203125" customWidth="1"/>
    <col min="3359" max="3359" width="7.88671875" customWidth="1"/>
    <col min="3360" max="3360" width="3.44140625" customWidth="1"/>
    <col min="3361" max="3361" width="5" customWidth="1"/>
    <col min="3595" max="3595" width="1.6640625" customWidth="1"/>
    <col min="3596" max="3596" width="3.6640625" customWidth="1"/>
    <col min="3597" max="3597" width="23.44140625" customWidth="1"/>
    <col min="3598" max="3609" width="4.44140625" customWidth="1"/>
    <col min="3610" max="3610" width="6.109375" customWidth="1"/>
    <col min="3611" max="3611" width="4.44140625" customWidth="1"/>
    <col min="3612" max="3612" width="7.5546875" customWidth="1"/>
    <col min="3613" max="3613" width="4.44140625" customWidth="1"/>
    <col min="3614" max="3614" width="6.33203125" customWidth="1"/>
    <col min="3615" max="3615" width="7.88671875" customWidth="1"/>
    <col min="3616" max="3616" width="3.44140625" customWidth="1"/>
    <col min="3617" max="3617" width="5" customWidth="1"/>
    <col min="3851" max="3851" width="1.6640625" customWidth="1"/>
    <col min="3852" max="3852" width="3.6640625" customWidth="1"/>
    <col min="3853" max="3853" width="23.44140625" customWidth="1"/>
    <col min="3854" max="3865" width="4.44140625" customWidth="1"/>
    <col min="3866" max="3866" width="6.109375" customWidth="1"/>
    <col min="3867" max="3867" width="4.44140625" customWidth="1"/>
    <col min="3868" max="3868" width="7.5546875" customWidth="1"/>
    <col min="3869" max="3869" width="4.44140625" customWidth="1"/>
    <col min="3870" max="3870" width="6.33203125" customWidth="1"/>
    <col min="3871" max="3871" width="7.88671875" customWidth="1"/>
    <col min="3872" max="3872" width="3.44140625" customWidth="1"/>
    <col min="3873" max="3873" width="5" customWidth="1"/>
    <col min="4107" max="4107" width="1.6640625" customWidth="1"/>
    <col min="4108" max="4108" width="3.6640625" customWidth="1"/>
    <col min="4109" max="4109" width="23.44140625" customWidth="1"/>
    <col min="4110" max="4121" width="4.44140625" customWidth="1"/>
    <col min="4122" max="4122" width="6.109375" customWidth="1"/>
    <col min="4123" max="4123" width="4.44140625" customWidth="1"/>
    <col min="4124" max="4124" width="7.5546875" customWidth="1"/>
    <col min="4125" max="4125" width="4.44140625" customWidth="1"/>
    <col min="4126" max="4126" width="6.33203125" customWidth="1"/>
    <col min="4127" max="4127" width="7.88671875" customWidth="1"/>
    <col min="4128" max="4128" width="3.44140625" customWidth="1"/>
    <col min="4129" max="4129" width="5" customWidth="1"/>
    <col min="4363" max="4363" width="1.6640625" customWidth="1"/>
    <col min="4364" max="4364" width="3.6640625" customWidth="1"/>
    <col min="4365" max="4365" width="23.44140625" customWidth="1"/>
    <col min="4366" max="4377" width="4.44140625" customWidth="1"/>
    <col min="4378" max="4378" width="6.109375" customWidth="1"/>
    <col min="4379" max="4379" width="4.44140625" customWidth="1"/>
    <col min="4380" max="4380" width="7.5546875" customWidth="1"/>
    <col min="4381" max="4381" width="4.44140625" customWidth="1"/>
    <col min="4382" max="4382" width="6.33203125" customWidth="1"/>
    <col min="4383" max="4383" width="7.88671875" customWidth="1"/>
    <col min="4384" max="4384" width="3.44140625" customWidth="1"/>
    <col min="4385" max="4385" width="5" customWidth="1"/>
    <col min="4619" max="4619" width="1.6640625" customWidth="1"/>
    <col min="4620" max="4620" width="3.6640625" customWidth="1"/>
    <col min="4621" max="4621" width="23.44140625" customWidth="1"/>
    <col min="4622" max="4633" width="4.44140625" customWidth="1"/>
    <col min="4634" max="4634" width="6.109375" customWidth="1"/>
    <col min="4635" max="4635" width="4.44140625" customWidth="1"/>
    <col min="4636" max="4636" width="7.5546875" customWidth="1"/>
    <col min="4637" max="4637" width="4.44140625" customWidth="1"/>
    <col min="4638" max="4638" width="6.33203125" customWidth="1"/>
    <col min="4639" max="4639" width="7.88671875" customWidth="1"/>
    <col min="4640" max="4640" width="3.44140625" customWidth="1"/>
    <col min="4641" max="4641" width="5" customWidth="1"/>
    <col min="4875" max="4875" width="1.6640625" customWidth="1"/>
    <col min="4876" max="4876" width="3.6640625" customWidth="1"/>
    <col min="4877" max="4877" width="23.44140625" customWidth="1"/>
    <col min="4878" max="4889" width="4.44140625" customWidth="1"/>
    <col min="4890" max="4890" width="6.109375" customWidth="1"/>
    <col min="4891" max="4891" width="4.44140625" customWidth="1"/>
    <col min="4892" max="4892" width="7.5546875" customWidth="1"/>
    <col min="4893" max="4893" width="4.44140625" customWidth="1"/>
    <col min="4894" max="4894" width="6.33203125" customWidth="1"/>
    <col min="4895" max="4895" width="7.88671875" customWidth="1"/>
    <col min="4896" max="4896" width="3.44140625" customWidth="1"/>
    <col min="4897" max="4897" width="5" customWidth="1"/>
    <col min="5131" max="5131" width="1.6640625" customWidth="1"/>
    <col min="5132" max="5132" width="3.6640625" customWidth="1"/>
    <col min="5133" max="5133" width="23.44140625" customWidth="1"/>
    <col min="5134" max="5145" width="4.44140625" customWidth="1"/>
    <col min="5146" max="5146" width="6.109375" customWidth="1"/>
    <col min="5147" max="5147" width="4.44140625" customWidth="1"/>
    <col min="5148" max="5148" width="7.5546875" customWidth="1"/>
    <col min="5149" max="5149" width="4.44140625" customWidth="1"/>
    <col min="5150" max="5150" width="6.33203125" customWidth="1"/>
    <col min="5151" max="5151" width="7.88671875" customWidth="1"/>
    <col min="5152" max="5152" width="3.44140625" customWidth="1"/>
    <col min="5153" max="5153" width="5" customWidth="1"/>
    <col min="5387" max="5387" width="1.6640625" customWidth="1"/>
    <col min="5388" max="5388" width="3.6640625" customWidth="1"/>
    <col min="5389" max="5389" width="23.44140625" customWidth="1"/>
    <col min="5390" max="5401" width="4.44140625" customWidth="1"/>
    <col min="5402" max="5402" width="6.109375" customWidth="1"/>
    <col min="5403" max="5403" width="4.44140625" customWidth="1"/>
    <col min="5404" max="5404" width="7.5546875" customWidth="1"/>
    <col min="5405" max="5405" width="4.44140625" customWidth="1"/>
    <col min="5406" max="5406" width="6.33203125" customWidth="1"/>
    <col min="5407" max="5407" width="7.88671875" customWidth="1"/>
    <col min="5408" max="5408" width="3.44140625" customWidth="1"/>
    <col min="5409" max="5409" width="5" customWidth="1"/>
    <col min="5643" max="5643" width="1.6640625" customWidth="1"/>
    <col min="5644" max="5644" width="3.6640625" customWidth="1"/>
    <col min="5645" max="5645" width="23.44140625" customWidth="1"/>
    <col min="5646" max="5657" width="4.44140625" customWidth="1"/>
    <col min="5658" max="5658" width="6.109375" customWidth="1"/>
    <col min="5659" max="5659" width="4.44140625" customWidth="1"/>
    <col min="5660" max="5660" width="7.5546875" customWidth="1"/>
    <col min="5661" max="5661" width="4.44140625" customWidth="1"/>
    <col min="5662" max="5662" width="6.33203125" customWidth="1"/>
    <col min="5663" max="5663" width="7.88671875" customWidth="1"/>
    <col min="5664" max="5664" width="3.44140625" customWidth="1"/>
    <col min="5665" max="5665" width="5" customWidth="1"/>
    <col min="5899" max="5899" width="1.6640625" customWidth="1"/>
    <col min="5900" max="5900" width="3.6640625" customWidth="1"/>
    <col min="5901" max="5901" width="23.44140625" customWidth="1"/>
    <col min="5902" max="5913" width="4.44140625" customWidth="1"/>
    <col min="5914" max="5914" width="6.109375" customWidth="1"/>
    <col min="5915" max="5915" width="4.44140625" customWidth="1"/>
    <col min="5916" max="5916" width="7.5546875" customWidth="1"/>
    <col min="5917" max="5917" width="4.44140625" customWidth="1"/>
    <col min="5918" max="5918" width="6.33203125" customWidth="1"/>
    <col min="5919" max="5919" width="7.88671875" customWidth="1"/>
    <col min="5920" max="5920" width="3.44140625" customWidth="1"/>
    <col min="5921" max="5921" width="5" customWidth="1"/>
    <col min="6155" max="6155" width="1.6640625" customWidth="1"/>
    <col min="6156" max="6156" width="3.6640625" customWidth="1"/>
    <col min="6157" max="6157" width="23.44140625" customWidth="1"/>
    <col min="6158" max="6169" width="4.44140625" customWidth="1"/>
    <col min="6170" max="6170" width="6.109375" customWidth="1"/>
    <col min="6171" max="6171" width="4.44140625" customWidth="1"/>
    <col min="6172" max="6172" width="7.5546875" customWidth="1"/>
    <col min="6173" max="6173" width="4.44140625" customWidth="1"/>
    <col min="6174" max="6174" width="6.33203125" customWidth="1"/>
    <col min="6175" max="6175" width="7.88671875" customWidth="1"/>
    <col min="6176" max="6176" width="3.44140625" customWidth="1"/>
    <col min="6177" max="6177" width="5" customWidth="1"/>
    <col min="6411" max="6411" width="1.6640625" customWidth="1"/>
    <col min="6412" max="6412" width="3.6640625" customWidth="1"/>
    <col min="6413" max="6413" width="23.44140625" customWidth="1"/>
    <col min="6414" max="6425" width="4.44140625" customWidth="1"/>
    <col min="6426" max="6426" width="6.109375" customWidth="1"/>
    <col min="6427" max="6427" width="4.44140625" customWidth="1"/>
    <col min="6428" max="6428" width="7.5546875" customWidth="1"/>
    <col min="6429" max="6429" width="4.44140625" customWidth="1"/>
    <col min="6430" max="6430" width="6.33203125" customWidth="1"/>
    <col min="6431" max="6431" width="7.88671875" customWidth="1"/>
    <col min="6432" max="6432" width="3.44140625" customWidth="1"/>
    <col min="6433" max="6433" width="5" customWidth="1"/>
    <col min="6667" max="6667" width="1.6640625" customWidth="1"/>
    <col min="6668" max="6668" width="3.6640625" customWidth="1"/>
    <col min="6669" max="6669" width="23.44140625" customWidth="1"/>
    <col min="6670" max="6681" width="4.44140625" customWidth="1"/>
    <col min="6682" max="6682" width="6.109375" customWidth="1"/>
    <col min="6683" max="6683" width="4.44140625" customWidth="1"/>
    <col min="6684" max="6684" width="7.5546875" customWidth="1"/>
    <col min="6685" max="6685" width="4.44140625" customWidth="1"/>
    <col min="6686" max="6686" width="6.33203125" customWidth="1"/>
    <col min="6687" max="6687" width="7.88671875" customWidth="1"/>
    <col min="6688" max="6688" width="3.44140625" customWidth="1"/>
    <col min="6689" max="6689" width="5" customWidth="1"/>
    <col min="6923" max="6923" width="1.6640625" customWidth="1"/>
    <col min="6924" max="6924" width="3.6640625" customWidth="1"/>
    <col min="6925" max="6925" width="23.44140625" customWidth="1"/>
    <col min="6926" max="6937" width="4.44140625" customWidth="1"/>
    <col min="6938" max="6938" width="6.109375" customWidth="1"/>
    <col min="6939" max="6939" width="4.44140625" customWidth="1"/>
    <col min="6940" max="6940" width="7.5546875" customWidth="1"/>
    <col min="6941" max="6941" width="4.44140625" customWidth="1"/>
    <col min="6942" max="6942" width="6.33203125" customWidth="1"/>
    <col min="6943" max="6943" width="7.88671875" customWidth="1"/>
    <col min="6944" max="6944" width="3.44140625" customWidth="1"/>
    <col min="6945" max="6945" width="5" customWidth="1"/>
    <col min="7179" max="7179" width="1.6640625" customWidth="1"/>
    <col min="7180" max="7180" width="3.6640625" customWidth="1"/>
    <col min="7181" max="7181" width="23.44140625" customWidth="1"/>
    <col min="7182" max="7193" width="4.44140625" customWidth="1"/>
    <col min="7194" max="7194" width="6.109375" customWidth="1"/>
    <col min="7195" max="7195" width="4.44140625" customWidth="1"/>
    <col min="7196" max="7196" width="7.5546875" customWidth="1"/>
    <col min="7197" max="7197" width="4.44140625" customWidth="1"/>
    <col min="7198" max="7198" width="6.33203125" customWidth="1"/>
    <col min="7199" max="7199" width="7.88671875" customWidth="1"/>
    <col min="7200" max="7200" width="3.44140625" customWidth="1"/>
    <col min="7201" max="7201" width="5" customWidth="1"/>
    <col min="7435" max="7435" width="1.6640625" customWidth="1"/>
    <col min="7436" max="7436" width="3.6640625" customWidth="1"/>
    <col min="7437" max="7437" width="23.44140625" customWidth="1"/>
    <col min="7438" max="7449" width="4.44140625" customWidth="1"/>
    <col min="7450" max="7450" width="6.109375" customWidth="1"/>
    <col min="7451" max="7451" width="4.44140625" customWidth="1"/>
    <col min="7452" max="7452" width="7.5546875" customWidth="1"/>
    <col min="7453" max="7453" width="4.44140625" customWidth="1"/>
    <col min="7454" max="7454" width="6.33203125" customWidth="1"/>
    <col min="7455" max="7455" width="7.88671875" customWidth="1"/>
    <col min="7456" max="7456" width="3.44140625" customWidth="1"/>
    <col min="7457" max="7457" width="5" customWidth="1"/>
    <col min="7691" max="7691" width="1.6640625" customWidth="1"/>
    <col min="7692" max="7692" width="3.6640625" customWidth="1"/>
    <col min="7693" max="7693" width="23.44140625" customWidth="1"/>
    <col min="7694" max="7705" width="4.44140625" customWidth="1"/>
    <col min="7706" max="7706" width="6.109375" customWidth="1"/>
    <col min="7707" max="7707" width="4.44140625" customWidth="1"/>
    <col min="7708" max="7708" width="7.5546875" customWidth="1"/>
    <col min="7709" max="7709" width="4.44140625" customWidth="1"/>
    <col min="7710" max="7710" width="6.33203125" customWidth="1"/>
    <col min="7711" max="7711" width="7.88671875" customWidth="1"/>
    <col min="7712" max="7712" width="3.44140625" customWidth="1"/>
    <col min="7713" max="7713" width="5" customWidth="1"/>
    <col min="7947" max="7947" width="1.6640625" customWidth="1"/>
    <col min="7948" max="7948" width="3.6640625" customWidth="1"/>
    <col min="7949" max="7949" width="23.44140625" customWidth="1"/>
    <col min="7950" max="7961" width="4.44140625" customWidth="1"/>
    <col min="7962" max="7962" width="6.109375" customWidth="1"/>
    <col min="7963" max="7963" width="4.44140625" customWidth="1"/>
    <col min="7964" max="7964" width="7.5546875" customWidth="1"/>
    <col min="7965" max="7965" width="4.44140625" customWidth="1"/>
    <col min="7966" max="7966" width="6.33203125" customWidth="1"/>
    <col min="7967" max="7967" width="7.88671875" customWidth="1"/>
    <col min="7968" max="7968" width="3.44140625" customWidth="1"/>
    <col min="7969" max="7969" width="5" customWidth="1"/>
    <col min="8203" max="8203" width="1.6640625" customWidth="1"/>
    <col min="8204" max="8204" width="3.6640625" customWidth="1"/>
    <col min="8205" max="8205" width="23.44140625" customWidth="1"/>
    <col min="8206" max="8217" width="4.44140625" customWidth="1"/>
    <col min="8218" max="8218" width="6.109375" customWidth="1"/>
    <col min="8219" max="8219" width="4.44140625" customWidth="1"/>
    <col min="8220" max="8220" width="7.5546875" customWidth="1"/>
    <col min="8221" max="8221" width="4.44140625" customWidth="1"/>
    <col min="8222" max="8222" width="6.33203125" customWidth="1"/>
    <col min="8223" max="8223" width="7.88671875" customWidth="1"/>
    <col min="8224" max="8224" width="3.44140625" customWidth="1"/>
    <col min="8225" max="8225" width="5" customWidth="1"/>
    <col min="8459" max="8459" width="1.6640625" customWidth="1"/>
    <col min="8460" max="8460" width="3.6640625" customWidth="1"/>
    <col min="8461" max="8461" width="23.44140625" customWidth="1"/>
    <col min="8462" max="8473" width="4.44140625" customWidth="1"/>
    <col min="8474" max="8474" width="6.109375" customWidth="1"/>
    <col min="8475" max="8475" width="4.44140625" customWidth="1"/>
    <col min="8476" max="8476" width="7.5546875" customWidth="1"/>
    <col min="8477" max="8477" width="4.44140625" customWidth="1"/>
    <col min="8478" max="8478" width="6.33203125" customWidth="1"/>
    <col min="8479" max="8479" width="7.88671875" customWidth="1"/>
    <col min="8480" max="8480" width="3.44140625" customWidth="1"/>
    <col min="8481" max="8481" width="5" customWidth="1"/>
    <col min="8715" max="8715" width="1.6640625" customWidth="1"/>
    <col min="8716" max="8716" width="3.6640625" customWidth="1"/>
    <col min="8717" max="8717" width="23.44140625" customWidth="1"/>
    <col min="8718" max="8729" width="4.44140625" customWidth="1"/>
    <col min="8730" max="8730" width="6.109375" customWidth="1"/>
    <col min="8731" max="8731" width="4.44140625" customWidth="1"/>
    <col min="8732" max="8732" width="7.5546875" customWidth="1"/>
    <col min="8733" max="8733" width="4.44140625" customWidth="1"/>
    <col min="8734" max="8734" width="6.33203125" customWidth="1"/>
    <col min="8735" max="8735" width="7.88671875" customWidth="1"/>
    <col min="8736" max="8736" width="3.44140625" customWidth="1"/>
    <col min="8737" max="8737" width="5" customWidth="1"/>
    <col min="8971" max="8971" width="1.6640625" customWidth="1"/>
    <col min="8972" max="8972" width="3.6640625" customWidth="1"/>
    <col min="8973" max="8973" width="23.44140625" customWidth="1"/>
    <col min="8974" max="8985" width="4.44140625" customWidth="1"/>
    <col min="8986" max="8986" width="6.109375" customWidth="1"/>
    <col min="8987" max="8987" width="4.44140625" customWidth="1"/>
    <col min="8988" max="8988" width="7.5546875" customWidth="1"/>
    <col min="8989" max="8989" width="4.44140625" customWidth="1"/>
    <col min="8990" max="8990" width="6.33203125" customWidth="1"/>
    <col min="8991" max="8991" width="7.88671875" customWidth="1"/>
    <col min="8992" max="8992" width="3.44140625" customWidth="1"/>
    <col min="8993" max="8993" width="5" customWidth="1"/>
    <col min="9227" max="9227" width="1.6640625" customWidth="1"/>
    <col min="9228" max="9228" width="3.6640625" customWidth="1"/>
    <col min="9229" max="9229" width="23.44140625" customWidth="1"/>
    <col min="9230" max="9241" width="4.44140625" customWidth="1"/>
    <col min="9242" max="9242" width="6.109375" customWidth="1"/>
    <col min="9243" max="9243" width="4.44140625" customWidth="1"/>
    <col min="9244" max="9244" width="7.5546875" customWidth="1"/>
    <col min="9245" max="9245" width="4.44140625" customWidth="1"/>
    <col min="9246" max="9246" width="6.33203125" customWidth="1"/>
    <col min="9247" max="9247" width="7.88671875" customWidth="1"/>
    <col min="9248" max="9248" width="3.44140625" customWidth="1"/>
    <col min="9249" max="9249" width="5" customWidth="1"/>
    <col min="9483" max="9483" width="1.6640625" customWidth="1"/>
    <col min="9484" max="9484" width="3.6640625" customWidth="1"/>
    <col min="9485" max="9485" width="23.44140625" customWidth="1"/>
    <col min="9486" max="9497" width="4.44140625" customWidth="1"/>
    <col min="9498" max="9498" width="6.109375" customWidth="1"/>
    <col min="9499" max="9499" width="4.44140625" customWidth="1"/>
    <col min="9500" max="9500" width="7.5546875" customWidth="1"/>
    <col min="9501" max="9501" width="4.44140625" customWidth="1"/>
    <col min="9502" max="9502" width="6.33203125" customWidth="1"/>
    <col min="9503" max="9503" width="7.88671875" customWidth="1"/>
    <col min="9504" max="9504" width="3.44140625" customWidth="1"/>
    <col min="9505" max="9505" width="5" customWidth="1"/>
    <col min="9739" max="9739" width="1.6640625" customWidth="1"/>
    <col min="9740" max="9740" width="3.6640625" customWidth="1"/>
    <col min="9741" max="9741" width="23.44140625" customWidth="1"/>
    <col min="9742" max="9753" width="4.44140625" customWidth="1"/>
    <col min="9754" max="9754" width="6.109375" customWidth="1"/>
    <col min="9755" max="9755" width="4.44140625" customWidth="1"/>
    <col min="9756" max="9756" width="7.5546875" customWidth="1"/>
    <col min="9757" max="9757" width="4.44140625" customWidth="1"/>
    <col min="9758" max="9758" width="6.33203125" customWidth="1"/>
    <col min="9759" max="9759" width="7.88671875" customWidth="1"/>
    <col min="9760" max="9760" width="3.44140625" customWidth="1"/>
    <col min="9761" max="9761" width="5" customWidth="1"/>
    <col min="9995" max="9995" width="1.6640625" customWidth="1"/>
    <col min="9996" max="9996" width="3.6640625" customWidth="1"/>
    <col min="9997" max="9997" width="23.44140625" customWidth="1"/>
    <col min="9998" max="10009" width="4.44140625" customWidth="1"/>
    <col min="10010" max="10010" width="6.109375" customWidth="1"/>
    <col min="10011" max="10011" width="4.44140625" customWidth="1"/>
    <col min="10012" max="10012" width="7.5546875" customWidth="1"/>
    <col min="10013" max="10013" width="4.44140625" customWidth="1"/>
    <col min="10014" max="10014" width="6.33203125" customWidth="1"/>
    <col min="10015" max="10015" width="7.88671875" customWidth="1"/>
    <col min="10016" max="10016" width="3.44140625" customWidth="1"/>
    <col min="10017" max="10017" width="5" customWidth="1"/>
    <col min="10251" max="10251" width="1.6640625" customWidth="1"/>
    <col min="10252" max="10252" width="3.6640625" customWidth="1"/>
    <col min="10253" max="10253" width="23.44140625" customWidth="1"/>
    <col min="10254" max="10265" width="4.44140625" customWidth="1"/>
    <col min="10266" max="10266" width="6.109375" customWidth="1"/>
    <col min="10267" max="10267" width="4.44140625" customWidth="1"/>
    <col min="10268" max="10268" width="7.5546875" customWidth="1"/>
    <col min="10269" max="10269" width="4.44140625" customWidth="1"/>
    <col min="10270" max="10270" width="6.33203125" customWidth="1"/>
    <col min="10271" max="10271" width="7.88671875" customWidth="1"/>
    <col min="10272" max="10272" width="3.44140625" customWidth="1"/>
    <col min="10273" max="10273" width="5" customWidth="1"/>
    <col min="10507" max="10507" width="1.6640625" customWidth="1"/>
    <col min="10508" max="10508" width="3.6640625" customWidth="1"/>
    <col min="10509" max="10509" width="23.44140625" customWidth="1"/>
    <col min="10510" max="10521" width="4.44140625" customWidth="1"/>
    <col min="10522" max="10522" width="6.109375" customWidth="1"/>
    <col min="10523" max="10523" width="4.44140625" customWidth="1"/>
    <col min="10524" max="10524" width="7.5546875" customWidth="1"/>
    <col min="10525" max="10525" width="4.44140625" customWidth="1"/>
    <col min="10526" max="10526" width="6.33203125" customWidth="1"/>
    <col min="10527" max="10527" width="7.88671875" customWidth="1"/>
    <col min="10528" max="10528" width="3.44140625" customWidth="1"/>
    <col min="10529" max="10529" width="5" customWidth="1"/>
    <col min="10763" max="10763" width="1.6640625" customWidth="1"/>
    <col min="10764" max="10764" width="3.6640625" customWidth="1"/>
    <col min="10765" max="10765" width="23.44140625" customWidth="1"/>
    <col min="10766" max="10777" width="4.44140625" customWidth="1"/>
    <col min="10778" max="10778" width="6.109375" customWidth="1"/>
    <col min="10779" max="10779" width="4.44140625" customWidth="1"/>
    <col min="10780" max="10780" width="7.5546875" customWidth="1"/>
    <col min="10781" max="10781" width="4.44140625" customWidth="1"/>
    <col min="10782" max="10782" width="6.33203125" customWidth="1"/>
    <col min="10783" max="10783" width="7.88671875" customWidth="1"/>
    <col min="10784" max="10784" width="3.44140625" customWidth="1"/>
    <col min="10785" max="10785" width="5" customWidth="1"/>
    <col min="11019" max="11019" width="1.6640625" customWidth="1"/>
    <col min="11020" max="11020" width="3.6640625" customWidth="1"/>
    <col min="11021" max="11021" width="23.44140625" customWidth="1"/>
    <col min="11022" max="11033" width="4.44140625" customWidth="1"/>
    <col min="11034" max="11034" width="6.109375" customWidth="1"/>
    <col min="11035" max="11035" width="4.44140625" customWidth="1"/>
    <col min="11036" max="11036" width="7.5546875" customWidth="1"/>
    <col min="11037" max="11037" width="4.44140625" customWidth="1"/>
    <col min="11038" max="11038" width="6.33203125" customWidth="1"/>
    <col min="11039" max="11039" width="7.88671875" customWidth="1"/>
    <col min="11040" max="11040" width="3.44140625" customWidth="1"/>
    <col min="11041" max="11041" width="5" customWidth="1"/>
    <col min="11275" max="11275" width="1.6640625" customWidth="1"/>
    <col min="11276" max="11276" width="3.6640625" customWidth="1"/>
    <col min="11277" max="11277" width="23.44140625" customWidth="1"/>
    <col min="11278" max="11289" width="4.44140625" customWidth="1"/>
    <col min="11290" max="11290" width="6.109375" customWidth="1"/>
    <col min="11291" max="11291" width="4.44140625" customWidth="1"/>
    <col min="11292" max="11292" width="7.5546875" customWidth="1"/>
    <col min="11293" max="11293" width="4.44140625" customWidth="1"/>
    <col min="11294" max="11294" width="6.33203125" customWidth="1"/>
    <col min="11295" max="11295" width="7.88671875" customWidth="1"/>
    <col min="11296" max="11296" width="3.44140625" customWidth="1"/>
    <col min="11297" max="11297" width="5" customWidth="1"/>
    <col min="11531" max="11531" width="1.6640625" customWidth="1"/>
    <col min="11532" max="11532" width="3.6640625" customWidth="1"/>
    <col min="11533" max="11533" width="23.44140625" customWidth="1"/>
    <col min="11534" max="11545" width="4.44140625" customWidth="1"/>
    <col min="11546" max="11546" width="6.109375" customWidth="1"/>
    <col min="11547" max="11547" width="4.44140625" customWidth="1"/>
    <col min="11548" max="11548" width="7.5546875" customWidth="1"/>
    <col min="11549" max="11549" width="4.44140625" customWidth="1"/>
    <col min="11550" max="11550" width="6.33203125" customWidth="1"/>
    <col min="11551" max="11551" width="7.88671875" customWidth="1"/>
    <col min="11552" max="11552" width="3.44140625" customWidth="1"/>
    <col min="11553" max="11553" width="5" customWidth="1"/>
    <col min="11787" max="11787" width="1.6640625" customWidth="1"/>
    <col min="11788" max="11788" width="3.6640625" customWidth="1"/>
    <col min="11789" max="11789" width="23.44140625" customWidth="1"/>
    <col min="11790" max="11801" width="4.44140625" customWidth="1"/>
    <col min="11802" max="11802" width="6.109375" customWidth="1"/>
    <col min="11803" max="11803" width="4.44140625" customWidth="1"/>
    <col min="11804" max="11804" width="7.5546875" customWidth="1"/>
    <col min="11805" max="11805" width="4.44140625" customWidth="1"/>
    <col min="11806" max="11806" width="6.33203125" customWidth="1"/>
    <col min="11807" max="11807" width="7.88671875" customWidth="1"/>
    <col min="11808" max="11808" width="3.44140625" customWidth="1"/>
    <col min="11809" max="11809" width="5" customWidth="1"/>
    <col min="12043" max="12043" width="1.6640625" customWidth="1"/>
    <col min="12044" max="12044" width="3.6640625" customWidth="1"/>
    <col min="12045" max="12045" width="23.44140625" customWidth="1"/>
    <col min="12046" max="12057" width="4.44140625" customWidth="1"/>
    <col min="12058" max="12058" width="6.109375" customWidth="1"/>
    <col min="12059" max="12059" width="4.44140625" customWidth="1"/>
    <col min="12060" max="12060" width="7.5546875" customWidth="1"/>
    <col min="12061" max="12061" width="4.44140625" customWidth="1"/>
    <col min="12062" max="12062" width="6.33203125" customWidth="1"/>
    <col min="12063" max="12063" width="7.88671875" customWidth="1"/>
    <col min="12064" max="12064" width="3.44140625" customWidth="1"/>
    <col min="12065" max="12065" width="5" customWidth="1"/>
    <col min="12299" max="12299" width="1.6640625" customWidth="1"/>
    <col min="12300" max="12300" width="3.6640625" customWidth="1"/>
    <col min="12301" max="12301" width="23.44140625" customWidth="1"/>
    <col min="12302" max="12313" width="4.44140625" customWidth="1"/>
    <col min="12314" max="12314" width="6.109375" customWidth="1"/>
    <col min="12315" max="12315" width="4.44140625" customWidth="1"/>
    <col min="12316" max="12316" width="7.5546875" customWidth="1"/>
    <col min="12317" max="12317" width="4.44140625" customWidth="1"/>
    <col min="12318" max="12318" width="6.33203125" customWidth="1"/>
    <col min="12319" max="12319" width="7.88671875" customWidth="1"/>
    <col min="12320" max="12320" width="3.44140625" customWidth="1"/>
    <col min="12321" max="12321" width="5" customWidth="1"/>
    <col min="12555" max="12555" width="1.6640625" customWidth="1"/>
    <col min="12556" max="12556" width="3.6640625" customWidth="1"/>
    <col min="12557" max="12557" width="23.44140625" customWidth="1"/>
    <col min="12558" max="12569" width="4.44140625" customWidth="1"/>
    <col min="12570" max="12570" width="6.109375" customWidth="1"/>
    <col min="12571" max="12571" width="4.44140625" customWidth="1"/>
    <col min="12572" max="12572" width="7.5546875" customWidth="1"/>
    <col min="12573" max="12573" width="4.44140625" customWidth="1"/>
    <col min="12574" max="12574" width="6.33203125" customWidth="1"/>
    <col min="12575" max="12575" width="7.88671875" customWidth="1"/>
    <col min="12576" max="12576" width="3.44140625" customWidth="1"/>
    <col min="12577" max="12577" width="5" customWidth="1"/>
    <col min="12811" max="12811" width="1.6640625" customWidth="1"/>
    <col min="12812" max="12812" width="3.6640625" customWidth="1"/>
    <col min="12813" max="12813" width="23.44140625" customWidth="1"/>
    <col min="12814" max="12825" width="4.44140625" customWidth="1"/>
    <col min="12826" max="12826" width="6.109375" customWidth="1"/>
    <col min="12827" max="12827" width="4.44140625" customWidth="1"/>
    <col min="12828" max="12828" width="7.5546875" customWidth="1"/>
    <col min="12829" max="12829" width="4.44140625" customWidth="1"/>
    <col min="12830" max="12830" width="6.33203125" customWidth="1"/>
    <col min="12831" max="12831" width="7.88671875" customWidth="1"/>
    <col min="12832" max="12832" width="3.44140625" customWidth="1"/>
    <col min="12833" max="12833" width="5" customWidth="1"/>
    <col min="13067" max="13067" width="1.6640625" customWidth="1"/>
    <col min="13068" max="13068" width="3.6640625" customWidth="1"/>
    <col min="13069" max="13069" width="23.44140625" customWidth="1"/>
    <col min="13070" max="13081" width="4.44140625" customWidth="1"/>
    <col min="13082" max="13082" width="6.109375" customWidth="1"/>
    <col min="13083" max="13083" width="4.44140625" customWidth="1"/>
    <col min="13084" max="13084" width="7.5546875" customWidth="1"/>
    <col min="13085" max="13085" width="4.44140625" customWidth="1"/>
    <col min="13086" max="13086" width="6.33203125" customWidth="1"/>
    <col min="13087" max="13087" width="7.88671875" customWidth="1"/>
    <col min="13088" max="13088" width="3.44140625" customWidth="1"/>
    <col min="13089" max="13089" width="5" customWidth="1"/>
    <col min="13323" max="13323" width="1.6640625" customWidth="1"/>
    <col min="13324" max="13324" width="3.6640625" customWidth="1"/>
    <col min="13325" max="13325" width="23.44140625" customWidth="1"/>
    <col min="13326" max="13337" width="4.44140625" customWidth="1"/>
    <col min="13338" max="13338" width="6.109375" customWidth="1"/>
    <col min="13339" max="13339" width="4.44140625" customWidth="1"/>
    <col min="13340" max="13340" width="7.5546875" customWidth="1"/>
    <col min="13341" max="13341" width="4.44140625" customWidth="1"/>
    <col min="13342" max="13342" width="6.33203125" customWidth="1"/>
    <col min="13343" max="13343" width="7.88671875" customWidth="1"/>
    <col min="13344" max="13344" width="3.44140625" customWidth="1"/>
    <col min="13345" max="13345" width="5" customWidth="1"/>
    <col min="13579" max="13579" width="1.6640625" customWidth="1"/>
    <col min="13580" max="13580" width="3.6640625" customWidth="1"/>
    <col min="13581" max="13581" width="23.44140625" customWidth="1"/>
    <col min="13582" max="13593" width="4.44140625" customWidth="1"/>
    <col min="13594" max="13594" width="6.109375" customWidth="1"/>
    <col min="13595" max="13595" width="4.44140625" customWidth="1"/>
    <col min="13596" max="13596" width="7.5546875" customWidth="1"/>
    <col min="13597" max="13597" width="4.44140625" customWidth="1"/>
    <col min="13598" max="13598" width="6.33203125" customWidth="1"/>
    <col min="13599" max="13599" width="7.88671875" customWidth="1"/>
    <col min="13600" max="13600" width="3.44140625" customWidth="1"/>
    <col min="13601" max="13601" width="5" customWidth="1"/>
    <col min="13835" max="13835" width="1.6640625" customWidth="1"/>
    <col min="13836" max="13836" width="3.6640625" customWidth="1"/>
    <col min="13837" max="13837" width="23.44140625" customWidth="1"/>
    <col min="13838" max="13849" width="4.44140625" customWidth="1"/>
    <col min="13850" max="13850" width="6.109375" customWidth="1"/>
    <col min="13851" max="13851" width="4.44140625" customWidth="1"/>
    <col min="13852" max="13852" width="7.5546875" customWidth="1"/>
    <col min="13853" max="13853" width="4.44140625" customWidth="1"/>
    <col min="13854" max="13854" width="6.33203125" customWidth="1"/>
    <col min="13855" max="13855" width="7.88671875" customWidth="1"/>
    <col min="13856" max="13856" width="3.44140625" customWidth="1"/>
    <col min="13857" max="13857" width="5" customWidth="1"/>
    <col min="14091" max="14091" width="1.6640625" customWidth="1"/>
    <col min="14092" max="14092" width="3.6640625" customWidth="1"/>
    <col min="14093" max="14093" width="23.44140625" customWidth="1"/>
    <col min="14094" max="14105" width="4.44140625" customWidth="1"/>
    <col min="14106" max="14106" width="6.109375" customWidth="1"/>
    <col min="14107" max="14107" width="4.44140625" customWidth="1"/>
    <col min="14108" max="14108" width="7.5546875" customWidth="1"/>
    <col min="14109" max="14109" width="4.44140625" customWidth="1"/>
    <col min="14110" max="14110" width="6.33203125" customWidth="1"/>
    <col min="14111" max="14111" width="7.88671875" customWidth="1"/>
    <col min="14112" max="14112" width="3.44140625" customWidth="1"/>
    <col min="14113" max="14113" width="5" customWidth="1"/>
    <col min="14347" max="14347" width="1.6640625" customWidth="1"/>
    <col min="14348" max="14348" width="3.6640625" customWidth="1"/>
    <col min="14349" max="14349" width="23.44140625" customWidth="1"/>
    <col min="14350" max="14361" width="4.44140625" customWidth="1"/>
    <col min="14362" max="14362" width="6.109375" customWidth="1"/>
    <col min="14363" max="14363" width="4.44140625" customWidth="1"/>
    <col min="14364" max="14364" width="7.5546875" customWidth="1"/>
    <col min="14365" max="14365" width="4.44140625" customWidth="1"/>
    <col min="14366" max="14366" width="6.33203125" customWidth="1"/>
    <col min="14367" max="14367" width="7.88671875" customWidth="1"/>
    <col min="14368" max="14368" width="3.44140625" customWidth="1"/>
    <col min="14369" max="14369" width="5" customWidth="1"/>
    <col min="14603" max="14603" width="1.6640625" customWidth="1"/>
    <col min="14604" max="14604" width="3.6640625" customWidth="1"/>
    <col min="14605" max="14605" width="23.44140625" customWidth="1"/>
    <col min="14606" max="14617" width="4.44140625" customWidth="1"/>
    <col min="14618" max="14618" width="6.109375" customWidth="1"/>
    <col min="14619" max="14619" width="4.44140625" customWidth="1"/>
    <col min="14620" max="14620" width="7.5546875" customWidth="1"/>
    <col min="14621" max="14621" width="4.44140625" customWidth="1"/>
    <col min="14622" max="14622" width="6.33203125" customWidth="1"/>
    <col min="14623" max="14623" width="7.88671875" customWidth="1"/>
    <col min="14624" max="14624" width="3.44140625" customWidth="1"/>
    <col min="14625" max="14625" width="5" customWidth="1"/>
    <col min="14859" max="14859" width="1.6640625" customWidth="1"/>
    <col min="14860" max="14860" width="3.6640625" customWidth="1"/>
    <col min="14861" max="14861" width="23.44140625" customWidth="1"/>
    <col min="14862" max="14873" width="4.44140625" customWidth="1"/>
    <col min="14874" max="14874" width="6.109375" customWidth="1"/>
    <col min="14875" max="14875" width="4.44140625" customWidth="1"/>
    <col min="14876" max="14876" width="7.5546875" customWidth="1"/>
    <col min="14877" max="14877" width="4.44140625" customWidth="1"/>
    <col min="14878" max="14878" width="6.33203125" customWidth="1"/>
    <col min="14879" max="14879" width="7.88671875" customWidth="1"/>
    <col min="14880" max="14880" width="3.44140625" customWidth="1"/>
    <col min="14881" max="14881" width="5" customWidth="1"/>
    <col min="15115" max="15115" width="1.6640625" customWidth="1"/>
    <col min="15116" max="15116" width="3.6640625" customWidth="1"/>
    <col min="15117" max="15117" width="23.44140625" customWidth="1"/>
    <col min="15118" max="15129" width="4.44140625" customWidth="1"/>
    <col min="15130" max="15130" width="6.109375" customWidth="1"/>
    <col min="15131" max="15131" width="4.44140625" customWidth="1"/>
    <col min="15132" max="15132" width="7.5546875" customWidth="1"/>
    <col min="15133" max="15133" width="4.44140625" customWidth="1"/>
    <col min="15134" max="15134" width="6.33203125" customWidth="1"/>
    <col min="15135" max="15135" width="7.88671875" customWidth="1"/>
    <col min="15136" max="15136" width="3.44140625" customWidth="1"/>
    <col min="15137" max="15137" width="5" customWidth="1"/>
    <col min="15371" max="15371" width="1.6640625" customWidth="1"/>
    <col min="15372" max="15372" width="3.6640625" customWidth="1"/>
    <col min="15373" max="15373" width="23.44140625" customWidth="1"/>
    <col min="15374" max="15385" width="4.44140625" customWidth="1"/>
    <col min="15386" max="15386" width="6.109375" customWidth="1"/>
    <col min="15387" max="15387" width="4.44140625" customWidth="1"/>
    <col min="15388" max="15388" width="7.5546875" customWidth="1"/>
    <col min="15389" max="15389" width="4.44140625" customWidth="1"/>
    <col min="15390" max="15390" width="6.33203125" customWidth="1"/>
    <col min="15391" max="15391" width="7.88671875" customWidth="1"/>
    <col min="15392" max="15392" width="3.44140625" customWidth="1"/>
    <col min="15393" max="15393" width="5" customWidth="1"/>
    <col min="15627" max="15627" width="1.6640625" customWidth="1"/>
    <col min="15628" max="15628" width="3.6640625" customWidth="1"/>
    <col min="15629" max="15629" width="23.44140625" customWidth="1"/>
    <col min="15630" max="15641" width="4.44140625" customWidth="1"/>
    <col min="15642" max="15642" width="6.109375" customWidth="1"/>
    <col min="15643" max="15643" width="4.44140625" customWidth="1"/>
    <col min="15644" max="15644" width="7.5546875" customWidth="1"/>
    <col min="15645" max="15645" width="4.44140625" customWidth="1"/>
    <col min="15646" max="15646" width="6.33203125" customWidth="1"/>
    <col min="15647" max="15647" width="7.88671875" customWidth="1"/>
    <col min="15648" max="15648" width="3.44140625" customWidth="1"/>
    <col min="15649" max="15649" width="5" customWidth="1"/>
    <col min="15883" max="15883" width="1.6640625" customWidth="1"/>
    <col min="15884" max="15884" width="3.6640625" customWidth="1"/>
    <col min="15885" max="15885" width="23.44140625" customWidth="1"/>
    <col min="15886" max="15897" width="4.44140625" customWidth="1"/>
    <col min="15898" max="15898" width="6.109375" customWidth="1"/>
    <col min="15899" max="15899" width="4.44140625" customWidth="1"/>
    <col min="15900" max="15900" width="7.5546875" customWidth="1"/>
    <col min="15901" max="15901" width="4.44140625" customWidth="1"/>
    <col min="15902" max="15902" width="6.33203125" customWidth="1"/>
    <col min="15903" max="15903" width="7.88671875" customWidth="1"/>
    <col min="15904" max="15904" width="3.44140625" customWidth="1"/>
    <col min="15905" max="15905" width="5" customWidth="1"/>
    <col min="16139" max="16139" width="1.6640625" customWidth="1"/>
    <col min="16140" max="16140" width="3.6640625" customWidth="1"/>
    <col min="16141" max="16141" width="23.44140625" customWidth="1"/>
    <col min="16142" max="16153" width="4.44140625" customWidth="1"/>
    <col min="16154" max="16154" width="6.109375" customWidth="1"/>
    <col min="16155" max="16155" width="4.44140625" customWidth="1"/>
    <col min="16156" max="16156" width="7.5546875" customWidth="1"/>
    <col min="16157" max="16157" width="4.44140625" customWidth="1"/>
    <col min="16158" max="16158" width="6.33203125" customWidth="1"/>
    <col min="16159" max="16159" width="7.88671875" customWidth="1"/>
    <col min="16160" max="16160" width="3.44140625" customWidth="1"/>
    <col min="16161" max="16161" width="5" customWidth="1"/>
  </cols>
  <sheetData>
    <row r="1" spans="1:31" ht="34.5" customHeight="1" x14ac:dyDescent="0.3">
      <c r="A1" s="280" t="s">
        <v>21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</row>
    <row r="2" spans="1:31" ht="26.25" customHeight="1" x14ac:dyDescent="0.3">
      <c r="B2" s="1"/>
      <c r="C2" s="1"/>
      <c r="D2" s="1"/>
      <c r="E2" s="1"/>
      <c r="F2" s="1"/>
      <c r="G2" s="1"/>
      <c r="H2" s="24"/>
      <c r="I2" s="1"/>
      <c r="J2" s="24"/>
      <c r="K2" s="1"/>
      <c r="L2" s="1"/>
      <c r="M2" s="1"/>
      <c r="N2" s="1"/>
      <c r="O2" s="24"/>
      <c r="P2" s="1"/>
      <c r="Q2" s="24"/>
      <c r="R2" s="1"/>
      <c r="S2" s="1"/>
      <c r="T2" s="1"/>
      <c r="U2" s="1"/>
      <c r="V2" s="24"/>
      <c r="W2" s="1"/>
      <c r="X2" s="24"/>
      <c r="Y2" s="1"/>
    </row>
    <row r="3" spans="1:31" ht="13.5" customHeight="1" x14ac:dyDescent="0.3">
      <c r="B3" s="1"/>
      <c r="C3" s="1"/>
      <c r="D3" s="1"/>
      <c r="E3" s="1"/>
      <c r="F3" s="1"/>
      <c r="G3" s="1"/>
      <c r="H3" s="24"/>
      <c r="I3" s="1"/>
      <c r="J3" s="24"/>
      <c r="K3" s="1"/>
      <c r="L3" s="283"/>
      <c r="M3" s="283"/>
      <c r="N3" s="283"/>
      <c r="O3" s="283"/>
      <c r="P3" s="283"/>
      <c r="Q3" s="283"/>
      <c r="R3" s="283"/>
      <c r="S3" s="283"/>
      <c r="T3" s="1"/>
      <c r="U3" s="1"/>
      <c r="V3" s="24"/>
      <c r="W3" s="1"/>
      <c r="X3" s="24"/>
      <c r="Y3" s="1"/>
    </row>
    <row r="4" spans="1:31" ht="15.75" customHeight="1" x14ac:dyDescent="0.3">
      <c r="B4" s="278" t="s">
        <v>13</v>
      </c>
      <c r="C4" s="278"/>
      <c r="D4" s="16"/>
      <c r="E4" s="16"/>
      <c r="G4" s="18"/>
      <c r="H4" s="18"/>
      <c r="I4" s="18"/>
      <c r="J4" s="18"/>
      <c r="K4" s="18"/>
      <c r="L4" s="18" t="s">
        <v>29</v>
      </c>
      <c r="M4" s="18"/>
      <c r="N4" s="18"/>
      <c r="O4" s="18"/>
      <c r="P4" s="18"/>
      <c r="Q4" s="18"/>
      <c r="R4" s="18"/>
      <c r="S4" s="18"/>
      <c r="T4" s="15"/>
      <c r="U4" s="15"/>
      <c r="V4" s="15"/>
      <c r="W4" s="15"/>
      <c r="X4" s="15"/>
      <c r="Y4" s="279" t="s">
        <v>139</v>
      </c>
      <c r="Z4" s="279"/>
      <c r="AA4" s="279"/>
      <c r="AB4" s="279"/>
      <c r="AC4" s="279"/>
      <c r="AD4" s="279"/>
      <c r="AE4" s="279"/>
    </row>
    <row r="5" spans="1:31" ht="6.75" customHeight="1" x14ac:dyDescent="0.3">
      <c r="B5" s="16"/>
      <c r="C5" s="16"/>
      <c r="D5" s="16"/>
      <c r="E5" s="16"/>
      <c r="F5" s="16"/>
      <c r="G5" s="16"/>
      <c r="H5" s="22"/>
      <c r="I5" s="16"/>
      <c r="J5" s="22"/>
      <c r="K5" s="16"/>
      <c r="L5" s="16"/>
      <c r="M5" s="16"/>
      <c r="N5" s="16"/>
      <c r="O5" s="22"/>
      <c r="P5" s="16"/>
      <c r="Q5" s="22"/>
      <c r="R5" s="16"/>
      <c r="S5" s="16"/>
      <c r="T5" s="15"/>
      <c r="U5" s="15"/>
      <c r="V5" s="15"/>
      <c r="W5" s="15"/>
      <c r="X5" s="15"/>
      <c r="Y5" s="17"/>
      <c r="Z5" s="17"/>
      <c r="AA5" s="17"/>
      <c r="AB5" s="17"/>
      <c r="AC5" s="17"/>
      <c r="AD5" s="17"/>
      <c r="AE5" s="17"/>
    </row>
    <row r="6" spans="1:31" ht="16.2" customHeight="1" x14ac:dyDescent="0.3">
      <c r="B6" s="278" t="s">
        <v>19</v>
      </c>
      <c r="C6" s="278"/>
      <c r="D6" s="16"/>
      <c r="E6" s="16"/>
      <c r="L6" s="18" t="s">
        <v>91</v>
      </c>
      <c r="M6" s="18"/>
      <c r="N6" s="18"/>
      <c r="O6" s="18"/>
      <c r="P6" s="18"/>
      <c r="Q6" s="18"/>
      <c r="R6" s="18"/>
      <c r="S6" s="18"/>
      <c r="T6" s="18"/>
      <c r="U6" s="15"/>
      <c r="V6" s="15"/>
      <c r="W6" s="15"/>
      <c r="X6" s="15"/>
      <c r="Y6" s="279" t="s">
        <v>43</v>
      </c>
      <c r="Z6" s="279"/>
      <c r="AA6" s="279"/>
      <c r="AB6" s="279"/>
      <c r="AC6" s="279"/>
      <c r="AD6" s="279"/>
      <c r="AE6" s="279"/>
    </row>
    <row r="7" spans="1:31" ht="28.5" customHeight="1" thickBot="1" x14ac:dyDescent="0.85">
      <c r="B7" s="285" t="s">
        <v>25</v>
      </c>
      <c r="C7" s="285"/>
      <c r="D7" s="285"/>
      <c r="E7" s="285"/>
      <c r="F7" s="285"/>
      <c r="G7" s="285"/>
      <c r="H7" s="285"/>
      <c r="I7" s="285"/>
      <c r="J7" s="285"/>
      <c r="K7" s="285"/>
      <c r="L7" s="285"/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5"/>
      <c r="AB7" s="285"/>
      <c r="AC7" s="285"/>
      <c r="AD7" s="285"/>
      <c r="AE7" s="285"/>
    </row>
    <row r="8" spans="1:31" ht="21" customHeight="1" thickTop="1" x14ac:dyDescent="0.3">
      <c r="B8" s="286" t="s">
        <v>16</v>
      </c>
      <c r="C8" s="288" t="s">
        <v>0</v>
      </c>
      <c r="D8" s="290" t="s">
        <v>15</v>
      </c>
      <c r="E8" s="291"/>
      <c r="F8" s="292" t="s">
        <v>22</v>
      </c>
      <c r="G8" s="293"/>
      <c r="H8" s="293"/>
      <c r="I8" s="293"/>
      <c r="J8" s="293"/>
      <c r="K8" s="294"/>
      <c r="L8" s="295" t="s">
        <v>3</v>
      </c>
      <c r="M8" s="292" t="s">
        <v>23</v>
      </c>
      <c r="N8" s="293"/>
      <c r="O8" s="293"/>
      <c r="P8" s="293"/>
      <c r="Q8" s="293"/>
      <c r="R8" s="294"/>
      <c r="S8" s="295" t="s">
        <v>3</v>
      </c>
      <c r="T8" s="292" t="s">
        <v>24</v>
      </c>
      <c r="U8" s="293"/>
      <c r="V8" s="293"/>
      <c r="W8" s="293"/>
      <c r="X8" s="293"/>
      <c r="Y8" s="294"/>
      <c r="Z8" s="297" t="s">
        <v>1</v>
      </c>
      <c r="AA8" s="299" t="s">
        <v>39</v>
      </c>
      <c r="AB8" s="301" t="s">
        <v>20</v>
      </c>
      <c r="AC8" s="303" t="s">
        <v>40</v>
      </c>
      <c r="AD8" s="305" t="s">
        <v>2</v>
      </c>
      <c r="AE8" s="307" t="s">
        <v>3</v>
      </c>
    </row>
    <row r="9" spans="1:31" ht="16.5" customHeight="1" thickBot="1" x14ac:dyDescent="0.35">
      <c r="B9" s="287"/>
      <c r="C9" s="289"/>
      <c r="D9" s="43" t="s">
        <v>17</v>
      </c>
      <c r="E9" s="36" t="s">
        <v>18</v>
      </c>
      <c r="F9" s="53" t="s">
        <v>4</v>
      </c>
      <c r="G9" s="33" t="s">
        <v>5</v>
      </c>
      <c r="H9" s="33" t="s">
        <v>37</v>
      </c>
      <c r="I9" s="33" t="s">
        <v>6</v>
      </c>
      <c r="J9" s="33" t="s">
        <v>38</v>
      </c>
      <c r="K9" s="54" t="s">
        <v>7</v>
      </c>
      <c r="L9" s="296"/>
      <c r="M9" s="53" t="s">
        <v>4</v>
      </c>
      <c r="N9" s="33" t="s">
        <v>5</v>
      </c>
      <c r="O9" s="33" t="s">
        <v>37</v>
      </c>
      <c r="P9" s="33" t="s">
        <v>6</v>
      </c>
      <c r="Q9" s="33" t="s">
        <v>38</v>
      </c>
      <c r="R9" s="54" t="s">
        <v>8</v>
      </c>
      <c r="S9" s="296"/>
      <c r="T9" s="53" t="s">
        <v>4</v>
      </c>
      <c r="U9" s="33" t="s">
        <v>5</v>
      </c>
      <c r="V9" s="33" t="s">
        <v>37</v>
      </c>
      <c r="W9" s="33" t="s">
        <v>6</v>
      </c>
      <c r="X9" s="33" t="s">
        <v>38</v>
      </c>
      <c r="Y9" s="54" t="s">
        <v>9</v>
      </c>
      <c r="Z9" s="298"/>
      <c r="AA9" s="300"/>
      <c r="AB9" s="302"/>
      <c r="AC9" s="304"/>
      <c r="AD9" s="306"/>
      <c r="AE9" s="308"/>
    </row>
    <row r="10" spans="1:31" ht="15.75" customHeight="1" thickTop="1" x14ac:dyDescent="0.3">
      <c r="B10" s="34">
        <v>1</v>
      </c>
      <c r="C10" s="196" t="s">
        <v>99</v>
      </c>
      <c r="D10" s="44"/>
      <c r="E10" s="37"/>
      <c r="F10" s="32">
        <v>10</v>
      </c>
      <c r="G10" s="32">
        <v>6</v>
      </c>
      <c r="H10" s="31"/>
      <c r="I10" s="32">
        <v>10.5</v>
      </c>
      <c r="J10" s="32"/>
      <c r="K10" s="55">
        <f>AVERAGE(F10,MAX(G10:H10),MAX(I10:J10))</f>
        <v>8.8333333333333339</v>
      </c>
      <c r="L10" s="165" t="str">
        <f>IF(K10&gt;=10,"TRANSITA","N/TRANSITA")</f>
        <v>N/TRANSITA</v>
      </c>
      <c r="M10" s="58">
        <v>11.5</v>
      </c>
      <c r="N10" s="31">
        <v>11.5</v>
      </c>
      <c r="O10" s="31"/>
      <c r="P10" s="32">
        <v>12.5</v>
      </c>
      <c r="Q10" s="32"/>
      <c r="R10" s="55">
        <f>AVERAGE(M10,MAX(N10:O10),MAX(P10:Q10))</f>
        <v>11.833333333333334</v>
      </c>
      <c r="S10" s="165" t="str">
        <f>IF(R10&gt;=10,"TRANSITA","N/TRANSITA")</f>
        <v>TRANSITA</v>
      </c>
      <c r="T10" s="58"/>
      <c r="U10" s="31"/>
      <c r="V10" s="31"/>
      <c r="W10" s="32" t="e">
        <f>AVERAGE(T10:U10)</f>
        <v>#DIV/0!</v>
      </c>
      <c r="X10" s="32"/>
      <c r="Y10" s="55" t="e">
        <f>AVERAGE(T10,MAX(U10:V10),MAX(W10:X10))</f>
        <v>#DIV/0!</v>
      </c>
      <c r="Z10" s="47" t="e">
        <f t="shared" ref="Z10:Z51" si="0">SUM(K10,R10,Y10)/3</f>
        <v>#DIV/0!</v>
      </c>
      <c r="AA10" s="40" t="e">
        <f>Z10*0.4</f>
        <v>#DIV/0!</v>
      </c>
      <c r="AB10" s="61"/>
      <c r="AC10" s="50">
        <f>AB10*0.6</f>
        <v>0</v>
      </c>
      <c r="AD10" s="64" t="e">
        <f>AVERAGE(AA10+AC10)</f>
        <v>#DIV/0!</v>
      </c>
      <c r="AE10" s="163" t="e">
        <f>IF(AD10&gt;=10,"APROVADO/A","REPROVADO/A")</f>
        <v>#DIV/0!</v>
      </c>
    </row>
    <row r="11" spans="1:31" ht="15.75" customHeight="1" x14ac:dyDescent="0.3">
      <c r="B11" s="35">
        <v>2</v>
      </c>
      <c r="C11" s="197" t="s">
        <v>100</v>
      </c>
      <c r="D11" s="45"/>
      <c r="E11" s="38"/>
      <c r="F11" s="32">
        <v>14</v>
      </c>
      <c r="G11" s="32">
        <v>13.5</v>
      </c>
      <c r="H11" s="27"/>
      <c r="I11" s="32">
        <v>18.5</v>
      </c>
      <c r="J11" s="28"/>
      <c r="K11" s="56">
        <f t="shared" ref="K11:K51" si="1">AVERAGE(F11,MAX(G11:H11),MAX(I11:J11))</f>
        <v>15.333333333333334</v>
      </c>
      <c r="L11" s="166" t="str">
        <f t="shared" ref="L11:L51" si="2">IF(K11&gt;=10,"TRANSITA","N/TRANSITA")</f>
        <v>TRANSITA</v>
      </c>
      <c r="M11" s="27">
        <v>17.5</v>
      </c>
      <c r="N11" s="27">
        <v>17.5</v>
      </c>
      <c r="P11" s="32">
        <v>14</v>
      </c>
      <c r="Q11" s="28"/>
      <c r="R11" s="56">
        <f t="shared" ref="R11:R51" si="3">AVERAGE(M11,MAX(N11:O11),MAX(P11:Q11))</f>
        <v>16.333333333333332</v>
      </c>
      <c r="S11" s="166" t="str">
        <f t="shared" ref="S11:S51" si="4">IF(R11&gt;=10,"TRANSITA","N/TRANSITA")</f>
        <v>TRANSITA</v>
      </c>
      <c r="T11" s="58"/>
      <c r="U11" s="31"/>
      <c r="V11" s="31"/>
      <c r="W11" s="32" t="e">
        <f t="shared" ref="W11:W51" si="5">AVERAGE(T11:U11)</f>
        <v>#DIV/0!</v>
      </c>
      <c r="X11" s="28"/>
      <c r="Y11" s="56" t="e">
        <f t="shared" ref="Y11:Y51" si="6">AVERAGE(T11,MAX(U11:V11),MAX(W11:X11))</f>
        <v>#DIV/0!</v>
      </c>
      <c r="Z11" s="48" t="e">
        <f t="shared" si="0"/>
        <v>#DIV/0!</v>
      </c>
      <c r="AA11" s="41" t="e">
        <f t="shared" ref="AA11:AA51" si="7">Z11*0.4</f>
        <v>#DIV/0!</v>
      </c>
      <c r="AB11" s="62"/>
      <c r="AC11" s="51">
        <f t="shared" ref="AC11" si="8">AB11*0.6</f>
        <v>0</v>
      </c>
      <c r="AD11" s="65" t="e">
        <f t="shared" ref="AD11" si="9">AVERAGE(AA11+AC11)</f>
        <v>#DIV/0!</v>
      </c>
      <c r="AE11" s="162" t="e">
        <f t="shared" ref="AE11:AE51" si="10">IF(AD11&gt;=10,"APROVADO/A","REPROVADO/A")</f>
        <v>#DIV/0!</v>
      </c>
    </row>
    <row r="12" spans="1:31" ht="15.75" customHeight="1" x14ac:dyDescent="0.3">
      <c r="B12" s="35">
        <v>3</v>
      </c>
      <c r="C12" s="197" t="s">
        <v>101</v>
      </c>
      <c r="D12" s="45"/>
      <c r="E12" s="38"/>
      <c r="F12" s="32">
        <v>14</v>
      </c>
      <c r="G12" s="32">
        <v>12.5</v>
      </c>
      <c r="H12" s="27"/>
      <c r="I12" s="32">
        <v>18</v>
      </c>
      <c r="J12" s="28"/>
      <c r="K12" s="56">
        <f t="shared" si="1"/>
        <v>14.833333333333334</v>
      </c>
      <c r="L12" s="166" t="str">
        <f t="shared" si="2"/>
        <v>TRANSITA</v>
      </c>
      <c r="M12" s="27">
        <v>17.5</v>
      </c>
      <c r="N12" s="27">
        <v>17.5</v>
      </c>
      <c r="P12" s="28">
        <v>15.5</v>
      </c>
      <c r="Q12" s="28"/>
      <c r="R12" s="56">
        <f t="shared" si="3"/>
        <v>16.833333333333332</v>
      </c>
      <c r="S12" s="166" t="str">
        <f t="shared" si="4"/>
        <v>TRANSITA</v>
      </c>
      <c r="T12" s="58"/>
      <c r="U12" s="31"/>
      <c r="V12" s="31"/>
      <c r="W12" s="32" t="e">
        <f t="shared" si="5"/>
        <v>#DIV/0!</v>
      </c>
      <c r="X12" s="28"/>
      <c r="Y12" s="56" t="e">
        <f t="shared" si="6"/>
        <v>#DIV/0!</v>
      </c>
      <c r="Z12" s="48" t="e">
        <f t="shared" si="0"/>
        <v>#DIV/0!</v>
      </c>
      <c r="AA12" s="41" t="e">
        <f t="shared" si="7"/>
        <v>#DIV/0!</v>
      </c>
      <c r="AB12" s="62"/>
      <c r="AC12" s="51">
        <f t="shared" ref="AC12:AC45" si="11">AB12*0.6</f>
        <v>0</v>
      </c>
      <c r="AD12" s="65" t="e">
        <f t="shared" ref="AD12:AD45" si="12">AVERAGE(AA12+AC12)</f>
        <v>#DIV/0!</v>
      </c>
      <c r="AE12" s="162" t="e">
        <f t="shared" si="10"/>
        <v>#DIV/0!</v>
      </c>
    </row>
    <row r="13" spans="1:31" ht="15.75" customHeight="1" x14ac:dyDescent="0.3">
      <c r="B13" s="35">
        <v>4</v>
      </c>
      <c r="C13" s="197" t="s">
        <v>102</v>
      </c>
      <c r="D13" s="45"/>
      <c r="E13" s="38"/>
      <c r="F13" s="32">
        <v>18</v>
      </c>
      <c r="G13" s="32">
        <v>18</v>
      </c>
      <c r="H13" s="27"/>
      <c r="I13" s="32">
        <v>15</v>
      </c>
      <c r="J13" s="28"/>
      <c r="K13" s="56">
        <f t="shared" si="1"/>
        <v>17</v>
      </c>
      <c r="L13" s="166" t="str">
        <f t="shared" si="2"/>
        <v>TRANSITA</v>
      </c>
      <c r="M13" s="27">
        <v>17</v>
      </c>
      <c r="N13" s="27">
        <v>17</v>
      </c>
      <c r="P13" s="28">
        <v>18</v>
      </c>
      <c r="Q13" s="28"/>
      <c r="R13" s="56">
        <f t="shared" si="3"/>
        <v>17.333333333333332</v>
      </c>
      <c r="S13" s="166" t="str">
        <f t="shared" si="4"/>
        <v>TRANSITA</v>
      </c>
      <c r="T13" s="58"/>
      <c r="U13" s="31"/>
      <c r="V13" s="31"/>
      <c r="W13" s="32" t="e">
        <f t="shared" si="5"/>
        <v>#DIV/0!</v>
      </c>
      <c r="X13" s="28"/>
      <c r="Y13" s="56" t="e">
        <f t="shared" si="6"/>
        <v>#DIV/0!</v>
      </c>
      <c r="Z13" s="48" t="e">
        <f t="shared" si="0"/>
        <v>#DIV/0!</v>
      </c>
      <c r="AA13" s="41" t="e">
        <f t="shared" si="7"/>
        <v>#DIV/0!</v>
      </c>
      <c r="AB13" s="62"/>
      <c r="AC13" s="51">
        <f t="shared" si="11"/>
        <v>0</v>
      </c>
      <c r="AD13" s="65" t="e">
        <f t="shared" si="12"/>
        <v>#DIV/0!</v>
      </c>
      <c r="AE13" s="162" t="e">
        <f t="shared" si="10"/>
        <v>#DIV/0!</v>
      </c>
    </row>
    <row r="14" spans="1:31" ht="15.75" customHeight="1" x14ac:dyDescent="0.3">
      <c r="B14" s="35">
        <v>5</v>
      </c>
      <c r="C14" s="197" t="s">
        <v>103</v>
      </c>
      <c r="D14" s="45"/>
      <c r="E14" s="38"/>
      <c r="F14" s="32">
        <v>18</v>
      </c>
      <c r="G14" s="32">
        <v>18.5</v>
      </c>
      <c r="H14" s="27"/>
      <c r="I14" s="32">
        <v>20</v>
      </c>
      <c r="J14" s="28"/>
      <c r="K14" s="56">
        <f t="shared" si="1"/>
        <v>18.833333333333332</v>
      </c>
      <c r="L14" s="166" t="str">
        <f t="shared" si="2"/>
        <v>TRANSITA</v>
      </c>
      <c r="M14" s="59">
        <v>18.5</v>
      </c>
      <c r="N14" s="27">
        <v>18.5</v>
      </c>
      <c r="O14" s="27"/>
      <c r="P14" s="32">
        <v>18.5</v>
      </c>
      <c r="Q14" s="28"/>
      <c r="R14" s="56">
        <f t="shared" si="3"/>
        <v>18.5</v>
      </c>
      <c r="S14" s="166" t="str">
        <f t="shared" si="4"/>
        <v>TRANSITA</v>
      </c>
      <c r="T14" s="58"/>
      <c r="U14" s="31"/>
      <c r="V14" s="31"/>
      <c r="W14" s="32" t="e">
        <f t="shared" si="5"/>
        <v>#DIV/0!</v>
      </c>
      <c r="X14" s="28"/>
      <c r="Y14" s="56" t="e">
        <f t="shared" si="6"/>
        <v>#DIV/0!</v>
      </c>
      <c r="Z14" s="48" t="e">
        <f t="shared" si="0"/>
        <v>#DIV/0!</v>
      </c>
      <c r="AA14" s="41" t="e">
        <f t="shared" si="7"/>
        <v>#DIV/0!</v>
      </c>
      <c r="AB14" s="62"/>
      <c r="AC14" s="51">
        <f t="shared" si="11"/>
        <v>0</v>
      </c>
      <c r="AD14" s="65" t="e">
        <f t="shared" si="12"/>
        <v>#DIV/0!</v>
      </c>
      <c r="AE14" s="162" t="e">
        <f t="shared" si="10"/>
        <v>#DIV/0!</v>
      </c>
    </row>
    <row r="15" spans="1:31" ht="15.75" customHeight="1" x14ac:dyDescent="0.3">
      <c r="B15" s="35">
        <v>6</v>
      </c>
      <c r="C15" s="197" t="s">
        <v>104</v>
      </c>
      <c r="D15" s="45"/>
      <c r="E15" s="38"/>
      <c r="F15" s="150"/>
      <c r="G15" s="150"/>
      <c r="H15" s="148"/>
      <c r="I15" s="150"/>
      <c r="J15" s="151"/>
      <c r="K15" s="56">
        <f t="shared" si="1"/>
        <v>0</v>
      </c>
      <c r="L15" s="166" t="str">
        <f t="shared" si="2"/>
        <v>N/TRANSITA</v>
      </c>
      <c r="M15" s="149">
        <v>12</v>
      </c>
      <c r="N15" s="148">
        <v>12</v>
      </c>
      <c r="O15" s="148"/>
      <c r="P15" s="150">
        <v>18.5</v>
      </c>
      <c r="Q15" s="151"/>
      <c r="R15" s="56">
        <f t="shared" si="3"/>
        <v>14.166666666666666</v>
      </c>
      <c r="S15" s="166" t="str">
        <f t="shared" si="4"/>
        <v>TRANSITA</v>
      </c>
      <c r="T15" s="58"/>
      <c r="U15" s="31"/>
      <c r="V15" s="31"/>
      <c r="W15" s="32" t="e">
        <f t="shared" si="5"/>
        <v>#DIV/0!</v>
      </c>
      <c r="X15" s="151"/>
      <c r="Y15" s="56" t="e">
        <f t="shared" si="6"/>
        <v>#DIV/0!</v>
      </c>
      <c r="Z15" s="48" t="e">
        <f t="shared" si="0"/>
        <v>#DIV/0!</v>
      </c>
      <c r="AA15" s="41" t="e">
        <f t="shared" si="7"/>
        <v>#DIV/0!</v>
      </c>
      <c r="AB15" s="62"/>
      <c r="AC15" s="51">
        <f t="shared" si="11"/>
        <v>0</v>
      </c>
      <c r="AD15" s="65" t="e">
        <f t="shared" si="12"/>
        <v>#DIV/0!</v>
      </c>
      <c r="AE15" s="162" t="e">
        <f t="shared" si="10"/>
        <v>#DIV/0!</v>
      </c>
    </row>
    <row r="16" spans="1:31" ht="15.75" customHeight="1" x14ac:dyDescent="0.3">
      <c r="B16" s="35">
        <v>7</v>
      </c>
      <c r="C16" s="197" t="s">
        <v>105</v>
      </c>
      <c r="D16" s="45"/>
      <c r="E16" s="38"/>
      <c r="F16" s="32">
        <v>18</v>
      </c>
      <c r="G16" s="32">
        <v>18.5</v>
      </c>
      <c r="H16" s="27"/>
      <c r="I16" s="32">
        <v>19</v>
      </c>
      <c r="J16" s="28"/>
      <c r="K16" s="56">
        <f t="shared" si="1"/>
        <v>18.5</v>
      </c>
      <c r="L16" s="166" t="str">
        <f t="shared" si="2"/>
        <v>TRANSITA</v>
      </c>
      <c r="M16" s="59">
        <v>17</v>
      </c>
      <c r="N16" s="27">
        <v>17</v>
      </c>
      <c r="O16" s="27"/>
      <c r="P16" s="32">
        <v>15</v>
      </c>
      <c r="Q16" s="28"/>
      <c r="R16" s="56">
        <f t="shared" si="3"/>
        <v>16.333333333333332</v>
      </c>
      <c r="S16" s="166" t="str">
        <f t="shared" si="4"/>
        <v>TRANSITA</v>
      </c>
      <c r="T16" s="58"/>
      <c r="U16" s="31"/>
      <c r="V16" s="31"/>
      <c r="W16" s="32" t="e">
        <f t="shared" si="5"/>
        <v>#DIV/0!</v>
      </c>
      <c r="X16" s="28"/>
      <c r="Y16" s="56" t="e">
        <f t="shared" si="6"/>
        <v>#DIV/0!</v>
      </c>
      <c r="Z16" s="48" t="e">
        <f t="shared" si="0"/>
        <v>#DIV/0!</v>
      </c>
      <c r="AA16" s="41" t="e">
        <f t="shared" si="7"/>
        <v>#DIV/0!</v>
      </c>
      <c r="AB16" s="62"/>
      <c r="AC16" s="51">
        <f t="shared" si="11"/>
        <v>0</v>
      </c>
      <c r="AD16" s="65" t="e">
        <f t="shared" si="12"/>
        <v>#DIV/0!</v>
      </c>
      <c r="AE16" s="162" t="e">
        <f t="shared" si="10"/>
        <v>#DIV/0!</v>
      </c>
    </row>
    <row r="17" spans="2:31" ht="15.75" customHeight="1" x14ac:dyDescent="0.3">
      <c r="B17" s="35">
        <v>8</v>
      </c>
      <c r="C17" s="197" t="s">
        <v>106</v>
      </c>
      <c r="D17" s="45"/>
      <c r="E17" s="38"/>
      <c r="F17" s="32">
        <v>14</v>
      </c>
      <c r="G17" s="32">
        <v>10</v>
      </c>
      <c r="H17" s="27"/>
      <c r="I17" s="32">
        <v>14.5</v>
      </c>
      <c r="J17" s="28"/>
      <c r="K17" s="56">
        <f t="shared" si="1"/>
        <v>12.833333333333334</v>
      </c>
      <c r="L17" s="166" t="str">
        <f t="shared" si="2"/>
        <v>TRANSITA</v>
      </c>
      <c r="M17" s="59">
        <v>12</v>
      </c>
      <c r="N17" s="27">
        <v>12</v>
      </c>
      <c r="O17" s="27"/>
      <c r="P17" s="32">
        <v>13.5</v>
      </c>
      <c r="Q17" s="28"/>
      <c r="R17" s="56">
        <f t="shared" si="3"/>
        <v>12.5</v>
      </c>
      <c r="S17" s="166" t="str">
        <f t="shared" si="4"/>
        <v>TRANSITA</v>
      </c>
      <c r="T17" s="58"/>
      <c r="U17" s="31"/>
      <c r="V17" s="31"/>
      <c r="W17" s="32" t="e">
        <f t="shared" si="5"/>
        <v>#DIV/0!</v>
      </c>
      <c r="X17" s="28"/>
      <c r="Y17" s="56" t="e">
        <f t="shared" si="6"/>
        <v>#DIV/0!</v>
      </c>
      <c r="Z17" s="48" t="e">
        <f t="shared" si="0"/>
        <v>#DIV/0!</v>
      </c>
      <c r="AA17" s="41" t="e">
        <f t="shared" si="7"/>
        <v>#DIV/0!</v>
      </c>
      <c r="AB17" s="62"/>
      <c r="AC17" s="51">
        <f t="shared" si="11"/>
        <v>0</v>
      </c>
      <c r="AD17" s="65" t="e">
        <f t="shared" si="12"/>
        <v>#DIV/0!</v>
      </c>
      <c r="AE17" s="162" t="e">
        <f t="shared" si="10"/>
        <v>#DIV/0!</v>
      </c>
    </row>
    <row r="18" spans="2:31" ht="15.75" customHeight="1" x14ac:dyDescent="0.3">
      <c r="B18" s="35">
        <v>9</v>
      </c>
      <c r="C18" s="197" t="s">
        <v>144</v>
      </c>
      <c r="D18" s="45"/>
      <c r="E18" s="38"/>
      <c r="F18" s="32"/>
      <c r="G18" s="32"/>
      <c r="H18" s="27"/>
      <c r="I18" s="32"/>
      <c r="J18" s="28"/>
      <c r="K18" s="56">
        <f t="shared" si="1"/>
        <v>0</v>
      </c>
      <c r="L18" s="166" t="str">
        <f t="shared" si="2"/>
        <v>N/TRANSITA</v>
      </c>
      <c r="M18" s="59">
        <v>11.5</v>
      </c>
      <c r="N18" s="27">
        <v>11.5</v>
      </c>
      <c r="O18" s="27"/>
      <c r="P18" s="32">
        <v>12.5</v>
      </c>
      <c r="Q18" s="28"/>
      <c r="R18" s="56">
        <f t="shared" ref="R18" si="13">AVERAGE(M18,MAX(N18:O18),MAX(P18:Q18))</f>
        <v>11.833333333333334</v>
      </c>
      <c r="S18" s="166" t="str">
        <f t="shared" ref="S18" si="14">IF(R18&gt;=10,"TRANSITA","N/TRANSITA")</f>
        <v>TRANSITA</v>
      </c>
      <c r="T18" s="58"/>
      <c r="U18" s="31"/>
      <c r="V18" s="31"/>
      <c r="W18" s="32" t="e">
        <f t="shared" ref="W18" si="15">AVERAGE(T18:U18)</f>
        <v>#DIV/0!</v>
      </c>
      <c r="X18" s="28"/>
      <c r="Y18" s="56" t="e">
        <f t="shared" ref="Y18" si="16">AVERAGE(T18,MAX(U18:V18),MAX(W18:X18))</f>
        <v>#DIV/0!</v>
      </c>
      <c r="Z18" s="48" t="e">
        <f t="shared" ref="Z18" si="17">SUM(K18,R18,Y18)/3</f>
        <v>#DIV/0!</v>
      </c>
      <c r="AA18" s="41" t="e">
        <f t="shared" ref="AA18" si="18">Z18*0.4</f>
        <v>#DIV/0!</v>
      </c>
      <c r="AB18" s="62"/>
      <c r="AC18" s="51">
        <f t="shared" ref="AC18" si="19">AB18*0.6</f>
        <v>0</v>
      </c>
      <c r="AD18" s="65" t="e">
        <f t="shared" ref="AD18" si="20">AVERAGE(AA18+AC18)</f>
        <v>#DIV/0!</v>
      </c>
      <c r="AE18" s="162" t="e">
        <f t="shared" ref="AE18" si="21">IF(AD18&gt;=10,"APROVADO/A","REPROVADO/A")</f>
        <v>#DIV/0!</v>
      </c>
    </row>
    <row r="19" spans="2:31" ht="15.75" customHeight="1" x14ac:dyDescent="0.3">
      <c r="B19" s="35">
        <v>10</v>
      </c>
      <c r="C19" s="197" t="s">
        <v>107</v>
      </c>
      <c r="D19" s="45"/>
      <c r="E19" s="38"/>
      <c r="F19" s="32">
        <v>16</v>
      </c>
      <c r="G19" s="32">
        <v>15.5</v>
      </c>
      <c r="H19" s="27"/>
      <c r="I19" s="32">
        <v>19.5</v>
      </c>
      <c r="J19" s="28"/>
      <c r="K19" s="56">
        <f t="shared" si="1"/>
        <v>17</v>
      </c>
      <c r="L19" s="166" t="str">
        <f t="shared" si="2"/>
        <v>TRANSITA</v>
      </c>
      <c r="M19" s="59">
        <v>15</v>
      </c>
      <c r="N19" s="27">
        <v>15</v>
      </c>
      <c r="O19" s="27"/>
      <c r="P19" s="32">
        <v>17</v>
      </c>
      <c r="Q19" s="28"/>
      <c r="R19" s="56">
        <f t="shared" si="3"/>
        <v>15.666666666666666</v>
      </c>
      <c r="S19" s="166" t="str">
        <f t="shared" si="4"/>
        <v>TRANSITA</v>
      </c>
      <c r="T19" s="58"/>
      <c r="U19" s="31"/>
      <c r="V19" s="31"/>
      <c r="W19" s="32" t="e">
        <f t="shared" si="5"/>
        <v>#DIV/0!</v>
      </c>
      <c r="X19" s="28"/>
      <c r="Y19" s="56" t="e">
        <f t="shared" si="6"/>
        <v>#DIV/0!</v>
      </c>
      <c r="Z19" s="48" t="e">
        <f t="shared" si="0"/>
        <v>#DIV/0!</v>
      </c>
      <c r="AA19" s="41" t="e">
        <f t="shared" si="7"/>
        <v>#DIV/0!</v>
      </c>
      <c r="AB19" s="62"/>
      <c r="AC19" s="51">
        <f t="shared" si="11"/>
        <v>0</v>
      </c>
      <c r="AD19" s="65" t="e">
        <f t="shared" si="12"/>
        <v>#DIV/0!</v>
      </c>
      <c r="AE19" s="162" t="e">
        <f t="shared" si="10"/>
        <v>#DIV/0!</v>
      </c>
    </row>
    <row r="20" spans="2:31" ht="15.75" customHeight="1" x14ac:dyDescent="0.3">
      <c r="B20" s="35">
        <v>11</v>
      </c>
      <c r="C20" s="197" t="s">
        <v>108</v>
      </c>
      <c r="D20" s="45"/>
      <c r="E20" s="38"/>
      <c r="F20" s="32">
        <v>16</v>
      </c>
      <c r="G20" s="32">
        <v>16.5</v>
      </c>
      <c r="H20" s="27"/>
      <c r="I20" s="32">
        <v>20</v>
      </c>
      <c r="J20" s="28"/>
      <c r="K20" s="56">
        <f t="shared" si="1"/>
        <v>17.5</v>
      </c>
      <c r="L20" s="166" t="str">
        <f t="shared" si="2"/>
        <v>TRANSITA</v>
      </c>
      <c r="M20" s="59">
        <v>17.5</v>
      </c>
      <c r="N20" s="27">
        <v>17.5</v>
      </c>
      <c r="O20" s="27"/>
      <c r="P20" s="32">
        <v>16.5</v>
      </c>
      <c r="Q20" s="28"/>
      <c r="R20" s="56">
        <f t="shared" si="3"/>
        <v>17.166666666666668</v>
      </c>
      <c r="S20" s="166" t="str">
        <f t="shared" si="4"/>
        <v>TRANSITA</v>
      </c>
      <c r="T20" s="58"/>
      <c r="U20" s="31"/>
      <c r="V20" s="31"/>
      <c r="W20" s="32" t="e">
        <f t="shared" si="5"/>
        <v>#DIV/0!</v>
      </c>
      <c r="X20" s="28"/>
      <c r="Y20" s="56" t="e">
        <f t="shared" si="6"/>
        <v>#DIV/0!</v>
      </c>
      <c r="Z20" s="48" t="e">
        <f t="shared" si="0"/>
        <v>#DIV/0!</v>
      </c>
      <c r="AA20" s="41" t="e">
        <f t="shared" si="7"/>
        <v>#DIV/0!</v>
      </c>
      <c r="AB20" s="62"/>
      <c r="AC20" s="51">
        <f t="shared" ref="AC20" si="22">AB20*0.6</f>
        <v>0</v>
      </c>
      <c r="AD20" s="65" t="e">
        <f t="shared" ref="AD20" si="23">AVERAGE(AA20+AC20)</f>
        <v>#DIV/0!</v>
      </c>
      <c r="AE20" s="162" t="e">
        <f t="shared" si="10"/>
        <v>#DIV/0!</v>
      </c>
    </row>
    <row r="21" spans="2:31" ht="15.75" customHeight="1" x14ac:dyDescent="0.3">
      <c r="B21" s="35">
        <v>12</v>
      </c>
      <c r="C21" s="197" t="s">
        <v>109</v>
      </c>
      <c r="D21" s="45"/>
      <c r="E21" s="38"/>
      <c r="F21" s="150">
        <v>18</v>
      </c>
      <c r="G21" s="150">
        <v>16.5</v>
      </c>
      <c r="H21" s="148"/>
      <c r="I21" s="150">
        <v>20</v>
      </c>
      <c r="J21" s="151"/>
      <c r="K21" s="56">
        <f t="shared" si="1"/>
        <v>18.166666666666668</v>
      </c>
      <c r="L21" s="166" t="str">
        <f t="shared" si="2"/>
        <v>TRANSITA</v>
      </c>
      <c r="M21" s="149">
        <v>17</v>
      </c>
      <c r="N21" s="148">
        <v>17</v>
      </c>
      <c r="O21" s="148"/>
      <c r="P21" s="150">
        <v>16.5</v>
      </c>
      <c r="Q21" s="151"/>
      <c r="R21" s="56">
        <f t="shared" si="3"/>
        <v>16.833333333333332</v>
      </c>
      <c r="S21" s="166" t="str">
        <f t="shared" si="4"/>
        <v>TRANSITA</v>
      </c>
      <c r="T21" s="58"/>
      <c r="U21" s="31"/>
      <c r="V21" s="31"/>
      <c r="W21" s="32" t="e">
        <f t="shared" si="5"/>
        <v>#DIV/0!</v>
      </c>
      <c r="X21" s="151"/>
      <c r="Y21" s="56" t="e">
        <f t="shared" si="6"/>
        <v>#DIV/0!</v>
      </c>
      <c r="Z21" s="48" t="e">
        <f t="shared" si="0"/>
        <v>#DIV/0!</v>
      </c>
      <c r="AA21" s="41" t="e">
        <f t="shared" si="7"/>
        <v>#DIV/0!</v>
      </c>
      <c r="AB21" s="62"/>
      <c r="AC21" s="51">
        <f t="shared" ref="AC21" si="24">AB21*0.6</f>
        <v>0</v>
      </c>
      <c r="AD21" s="65" t="e">
        <f t="shared" ref="AD21" si="25">AVERAGE(AA21+AC21)</f>
        <v>#DIV/0!</v>
      </c>
      <c r="AE21" s="162" t="e">
        <f t="shared" si="10"/>
        <v>#DIV/0!</v>
      </c>
    </row>
    <row r="22" spans="2:31" ht="15.75" customHeight="1" x14ac:dyDescent="0.3">
      <c r="B22" s="35">
        <v>13</v>
      </c>
      <c r="C22" s="197" t="s">
        <v>110</v>
      </c>
      <c r="D22" s="45"/>
      <c r="E22" s="38"/>
      <c r="F22" s="32">
        <v>16</v>
      </c>
      <c r="G22" s="32">
        <v>13.5</v>
      </c>
      <c r="H22" s="27"/>
      <c r="I22" s="32">
        <v>18.5</v>
      </c>
      <c r="J22" s="28"/>
      <c r="K22" s="56">
        <f t="shared" si="1"/>
        <v>16</v>
      </c>
      <c r="L22" s="166" t="str">
        <f t="shared" si="2"/>
        <v>TRANSITA</v>
      </c>
      <c r="M22" s="59">
        <v>17.5</v>
      </c>
      <c r="N22" s="27">
        <v>17.5</v>
      </c>
      <c r="O22" s="27"/>
      <c r="P22" s="32">
        <v>18</v>
      </c>
      <c r="Q22" s="28"/>
      <c r="R22" s="56">
        <f t="shared" si="3"/>
        <v>17.666666666666668</v>
      </c>
      <c r="S22" s="166" t="str">
        <f t="shared" si="4"/>
        <v>TRANSITA</v>
      </c>
      <c r="T22" s="58"/>
      <c r="U22" s="31"/>
      <c r="V22" s="31"/>
      <c r="W22" s="32" t="e">
        <f t="shared" si="5"/>
        <v>#DIV/0!</v>
      </c>
      <c r="X22" s="28"/>
      <c r="Y22" s="56" t="e">
        <f t="shared" si="6"/>
        <v>#DIV/0!</v>
      </c>
      <c r="Z22" s="48" t="e">
        <f t="shared" si="0"/>
        <v>#DIV/0!</v>
      </c>
      <c r="AA22" s="41" t="e">
        <f t="shared" si="7"/>
        <v>#DIV/0!</v>
      </c>
      <c r="AB22" s="62"/>
      <c r="AC22" s="51">
        <f t="shared" si="11"/>
        <v>0</v>
      </c>
      <c r="AD22" s="65" t="e">
        <f t="shared" si="12"/>
        <v>#DIV/0!</v>
      </c>
      <c r="AE22" s="162" t="e">
        <f t="shared" si="10"/>
        <v>#DIV/0!</v>
      </c>
    </row>
    <row r="23" spans="2:31" ht="15.75" customHeight="1" x14ac:dyDescent="0.3">
      <c r="B23" s="35">
        <v>14</v>
      </c>
      <c r="C23" s="197" t="s">
        <v>111</v>
      </c>
      <c r="D23" s="45"/>
      <c r="E23" s="38"/>
      <c r="F23" s="32">
        <v>18</v>
      </c>
      <c r="G23" s="32">
        <v>17</v>
      </c>
      <c r="H23" s="27"/>
      <c r="I23" s="32">
        <v>18.5</v>
      </c>
      <c r="J23" s="28"/>
      <c r="K23" s="56">
        <f t="shared" si="1"/>
        <v>17.833333333333332</v>
      </c>
      <c r="L23" s="166" t="str">
        <f t="shared" si="2"/>
        <v>TRANSITA</v>
      </c>
      <c r="M23" s="59">
        <v>15.5</v>
      </c>
      <c r="N23" s="27">
        <v>15.5</v>
      </c>
      <c r="O23" s="27"/>
      <c r="P23" s="32">
        <v>13</v>
      </c>
      <c r="Q23" s="28"/>
      <c r="R23" s="56">
        <f t="shared" si="3"/>
        <v>14.666666666666666</v>
      </c>
      <c r="S23" s="166" t="str">
        <f t="shared" si="4"/>
        <v>TRANSITA</v>
      </c>
      <c r="T23" s="58"/>
      <c r="U23" s="31"/>
      <c r="V23" s="31"/>
      <c r="W23" s="32" t="e">
        <f t="shared" si="5"/>
        <v>#DIV/0!</v>
      </c>
      <c r="X23" s="28"/>
      <c r="Y23" s="56" t="e">
        <f t="shared" si="6"/>
        <v>#DIV/0!</v>
      </c>
      <c r="Z23" s="48" t="e">
        <f t="shared" si="0"/>
        <v>#DIV/0!</v>
      </c>
      <c r="AA23" s="41" t="e">
        <f t="shared" si="7"/>
        <v>#DIV/0!</v>
      </c>
      <c r="AB23" s="62"/>
      <c r="AC23" s="51">
        <f t="shared" si="11"/>
        <v>0</v>
      </c>
      <c r="AD23" s="65" t="e">
        <f t="shared" si="12"/>
        <v>#DIV/0!</v>
      </c>
      <c r="AE23" s="162" t="e">
        <f t="shared" si="10"/>
        <v>#DIV/0!</v>
      </c>
    </row>
    <row r="24" spans="2:31" ht="15.75" customHeight="1" x14ac:dyDescent="0.3">
      <c r="B24" s="35">
        <v>15</v>
      </c>
      <c r="C24" s="197" t="s">
        <v>112</v>
      </c>
      <c r="D24" s="45"/>
      <c r="E24" s="38"/>
      <c r="F24" s="32">
        <v>18</v>
      </c>
      <c r="G24" s="32">
        <v>18</v>
      </c>
      <c r="H24" s="27"/>
      <c r="I24" s="32">
        <v>18.5</v>
      </c>
      <c r="J24" s="28"/>
      <c r="K24" s="56">
        <f t="shared" si="1"/>
        <v>18.166666666666668</v>
      </c>
      <c r="L24" s="166" t="str">
        <f t="shared" si="2"/>
        <v>TRANSITA</v>
      </c>
      <c r="M24" s="59">
        <v>18</v>
      </c>
      <c r="N24" s="27">
        <v>18</v>
      </c>
      <c r="O24" s="27"/>
      <c r="P24" s="32">
        <v>15.5</v>
      </c>
      <c r="Q24" s="28"/>
      <c r="R24" s="56">
        <f t="shared" si="3"/>
        <v>17.166666666666668</v>
      </c>
      <c r="S24" s="166" t="str">
        <f t="shared" si="4"/>
        <v>TRANSITA</v>
      </c>
      <c r="T24" s="58"/>
      <c r="U24" s="31"/>
      <c r="V24" s="31"/>
      <c r="W24" s="32" t="e">
        <f t="shared" si="5"/>
        <v>#DIV/0!</v>
      </c>
      <c r="X24" s="28"/>
      <c r="Y24" s="56" t="e">
        <f t="shared" si="6"/>
        <v>#DIV/0!</v>
      </c>
      <c r="Z24" s="48" t="e">
        <f t="shared" si="0"/>
        <v>#DIV/0!</v>
      </c>
      <c r="AA24" s="41" t="e">
        <f t="shared" si="7"/>
        <v>#DIV/0!</v>
      </c>
      <c r="AB24" s="62"/>
      <c r="AC24" s="51">
        <f t="shared" si="11"/>
        <v>0</v>
      </c>
      <c r="AD24" s="65" t="e">
        <f t="shared" si="12"/>
        <v>#DIV/0!</v>
      </c>
      <c r="AE24" s="162" t="e">
        <f t="shared" si="10"/>
        <v>#DIV/0!</v>
      </c>
    </row>
    <row r="25" spans="2:31" ht="15.75" customHeight="1" x14ac:dyDescent="0.3">
      <c r="B25" s="35">
        <v>16</v>
      </c>
      <c r="C25" s="197" t="s">
        <v>113</v>
      </c>
      <c r="D25" s="45"/>
      <c r="E25" s="38"/>
      <c r="F25" s="32">
        <v>14</v>
      </c>
      <c r="G25" s="32">
        <v>11.5</v>
      </c>
      <c r="H25" s="27"/>
      <c r="I25" s="32">
        <v>17.5</v>
      </c>
      <c r="J25" s="28"/>
      <c r="K25" s="56">
        <f t="shared" si="1"/>
        <v>14.333333333333334</v>
      </c>
      <c r="L25" s="166" t="str">
        <f t="shared" si="2"/>
        <v>TRANSITA</v>
      </c>
      <c r="M25" s="59">
        <v>14</v>
      </c>
      <c r="N25" s="27">
        <v>14</v>
      </c>
      <c r="O25" s="27"/>
      <c r="P25" s="32">
        <v>13</v>
      </c>
      <c r="Q25" s="28"/>
      <c r="R25" s="56">
        <f t="shared" si="3"/>
        <v>13.666666666666666</v>
      </c>
      <c r="S25" s="166" t="str">
        <f t="shared" si="4"/>
        <v>TRANSITA</v>
      </c>
      <c r="T25" s="58"/>
      <c r="U25" s="31"/>
      <c r="V25" s="31"/>
      <c r="W25" s="32" t="e">
        <f t="shared" si="5"/>
        <v>#DIV/0!</v>
      </c>
      <c r="X25" s="28"/>
      <c r="Y25" s="56" t="e">
        <f t="shared" si="6"/>
        <v>#DIV/0!</v>
      </c>
      <c r="Z25" s="48" t="e">
        <f t="shared" si="0"/>
        <v>#DIV/0!</v>
      </c>
      <c r="AA25" s="41" t="e">
        <f t="shared" si="7"/>
        <v>#DIV/0!</v>
      </c>
      <c r="AB25" s="62"/>
      <c r="AC25" s="51">
        <f t="shared" si="11"/>
        <v>0</v>
      </c>
      <c r="AD25" s="65" t="e">
        <f t="shared" si="12"/>
        <v>#DIV/0!</v>
      </c>
      <c r="AE25" s="162" t="e">
        <f t="shared" si="10"/>
        <v>#DIV/0!</v>
      </c>
    </row>
    <row r="26" spans="2:31" ht="15.75" customHeight="1" x14ac:dyDescent="0.3">
      <c r="B26" s="35">
        <v>17</v>
      </c>
      <c r="C26" s="197" t="s">
        <v>114</v>
      </c>
      <c r="D26" s="45"/>
      <c r="E26" s="38"/>
      <c r="F26" s="32">
        <v>16</v>
      </c>
      <c r="G26" s="32">
        <v>11.5</v>
      </c>
      <c r="H26" s="27"/>
      <c r="I26" s="32">
        <v>19</v>
      </c>
      <c r="J26" s="28"/>
      <c r="K26" s="56">
        <f t="shared" si="1"/>
        <v>15.5</v>
      </c>
      <c r="L26" s="166" t="str">
        <f t="shared" si="2"/>
        <v>TRANSITA</v>
      </c>
      <c r="M26" s="59">
        <v>17.5</v>
      </c>
      <c r="N26" s="27">
        <v>17.5</v>
      </c>
      <c r="O26" s="27"/>
      <c r="P26" s="32">
        <v>12.5</v>
      </c>
      <c r="Q26" s="28"/>
      <c r="R26" s="56">
        <f t="shared" si="3"/>
        <v>15.833333333333334</v>
      </c>
      <c r="S26" s="166" t="str">
        <f t="shared" si="4"/>
        <v>TRANSITA</v>
      </c>
      <c r="T26" s="58"/>
      <c r="U26" s="31"/>
      <c r="V26" s="31"/>
      <c r="W26" s="32" t="e">
        <f t="shared" si="5"/>
        <v>#DIV/0!</v>
      </c>
      <c r="X26" s="28"/>
      <c r="Y26" s="56" t="e">
        <f t="shared" si="6"/>
        <v>#DIV/0!</v>
      </c>
      <c r="Z26" s="48" t="e">
        <f t="shared" si="0"/>
        <v>#DIV/0!</v>
      </c>
      <c r="AA26" s="41" t="e">
        <f t="shared" si="7"/>
        <v>#DIV/0!</v>
      </c>
      <c r="AB26" s="62"/>
      <c r="AC26" s="51">
        <f t="shared" ref="AC26:AC39" si="26">AB26*0.6</f>
        <v>0</v>
      </c>
      <c r="AD26" s="65" t="e">
        <f t="shared" ref="AD26:AD39" si="27">AVERAGE(AA26+AC26)</f>
        <v>#DIV/0!</v>
      </c>
      <c r="AE26" s="162" t="e">
        <f t="shared" si="10"/>
        <v>#DIV/0!</v>
      </c>
    </row>
    <row r="27" spans="2:31" ht="15.75" customHeight="1" x14ac:dyDescent="0.3">
      <c r="B27" s="35">
        <v>18</v>
      </c>
      <c r="C27" s="197" t="s">
        <v>115</v>
      </c>
      <c r="D27" s="45"/>
      <c r="E27" s="38"/>
      <c r="F27" s="32">
        <v>18</v>
      </c>
      <c r="G27" s="32">
        <v>15</v>
      </c>
      <c r="H27" s="27"/>
      <c r="I27" s="32">
        <v>18.5</v>
      </c>
      <c r="J27" s="28"/>
      <c r="K27" s="56">
        <f t="shared" si="1"/>
        <v>17.166666666666668</v>
      </c>
      <c r="L27" s="166" t="str">
        <f t="shared" si="2"/>
        <v>TRANSITA</v>
      </c>
      <c r="M27" s="59">
        <v>13.5</v>
      </c>
      <c r="N27" s="27">
        <v>13.5</v>
      </c>
      <c r="O27" s="27"/>
      <c r="P27" s="32">
        <v>14.5</v>
      </c>
      <c r="Q27" s="28"/>
      <c r="R27" s="56">
        <f t="shared" si="3"/>
        <v>13.833333333333334</v>
      </c>
      <c r="S27" s="166" t="str">
        <f t="shared" si="4"/>
        <v>TRANSITA</v>
      </c>
      <c r="T27" s="58"/>
      <c r="U27" s="31"/>
      <c r="V27" s="31"/>
      <c r="W27" s="32" t="e">
        <f t="shared" si="5"/>
        <v>#DIV/0!</v>
      </c>
      <c r="X27" s="28"/>
      <c r="Y27" s="56" t="e">
        <f t="shared" si="6"/>
        <v>#DIV/0!</v>
      </c>
      <c r="Z27" s="48" t="e">
        <f t="shared" si="0"/>
        <v>#DIV/0!</v>
      </c>
      <c r="AA27" s="41" t="e">
        <f t="shared" si="7"/>
        <v>#DIV/0!</v>
      </c>
      <c r="AB27" s="62"/>
      <c r="AC27" s="51">
        <f t="shared" si="26"/>
        <v>0</v>
      </c>
      <c r="AD27" s="65" t="e">
        <f t="shared" si="27"/>
        <v>#DIV/0!</v>
      </c>
      <c r="AE27" s="162" t="e">
        <f t="shared" si="10"/>
        <v>#DIV/0!</v>
      </c>
    </row>
    <row r="28" spans="2:31" ht="15.75" customHeight="1" x14ac:dyDescent="0.3">
      <c r="B28" s="35">
        <v>19</v>
      </c>
      <c r="C28" s="197" t="s">
        <v>116</v>
      </c>
      <c r="D28" s="45"/>
      <c r="E28" s="38"/>
      <c r="F28" s="32">
        <v>18</v>
      </c>
      <c r="G28" s="32">
        <v>17.5</v>
      </c>
      <c r="H28" s="27"/>
      <c r="I28" s="32">
        <v>16.5</v>
      </c>
      <c r="J28" s="28"/>
      <c r="K28" s="56">
        <f t="shared" si="1"/>
        <v>17.333333333333332</v>
      </c>
      <c r="L28" s="166" t="str">
        <f t="shared" si="2"/>
        <v>TRANSITA</v>
      </c>
      <c r="M28" s="59">
        <v>15.5</v>
      </c>
      <c r="N28" s="27">
        <v>15.5</v>
      </c>
      <c r="O28" s="27"/>
      <c r="P28" s="32">
        <v>17</v>
      </c>
      <c r="Q28" s="28"/>
      <c r="R28" s="56">
        <f t="shared" si="3"/>
        <v>16</v>
      </c>
      <c r="S28" s="166" t="str">
        <f t="shared" si="4"/>
        <v>TRANSITA</v>
      </c>
      <c r="T28" s="58"/>
      <c r="U28" s="31"/>
      <c r="V28" s="31"/>
      <c r="W28" s="32" t="e">
        <f t="shared" si="5"/>
        <v>#DIV/0!</v>
      </c>
      <c r="X28" s="28"/>
      <c r="Y28" s="56" t="e">
        <f t="shared" si="6"/>
        <v>#DIV/0!</v>
      </c>
      <c r="Z28" s="48" t="e">
        <f t="shared" si="0"/>
        <v>#DIV/0!</v>
      </c>
      <c r="AA28" s="41" t="e">
        <f t="shared" si="7"/>
        <v>#DIV/0!</v>
      </c>
      <c r="AB28" s="62"/>
      <c r="AC28" s="51">
        <f t="shared" ref="AC28:AC29" si="28">AB28*0.6</f>
        <v>0</v>
      </c>
      <c r="AD28" s="65" t="e">
        <f t="shared" ref="AD28:AD29" si="29">AVERAGE(AA28+AC28)</f>
        <v>#DIV/0!</v>
      </c>
      <c r="AE28" s="162" t="e">
        <f t="shared" si="10"/>
        <v>#DIV/0!</v>
      </c>
    </row>
    <row r="29" spans="2:31" ht="15.75" customHeight="1" x14ac:dyDescent="0.3">
      <c r="B29" s="35">
        <v>20</v>
      </c>
      <c r="C29" s="197" t="s">
        <v>117</v>
      </c>
      <c r="D29" s="45"/>
      <c r="E29" s="38"/>
      <c r="F29" s="32">
        <v>18</v>
      </c>
      <c r="G29" s="32">
        <v>17</v>
      </c>
      <c r="H29" s="27"/>
      <c r="I29" s="32">
        <v>15.5</v>
      </c>
      <c r="J29" s="28"/>
      <c r="K29" s="56">
        <f t="shared" si="1"/>
        <v>16.833333333333332</v>
      </c>
      <c r="L29" s="166" t="str">
        <f t="shared" si="2"/>
        <v>TRANSITA</v>
      </c>
      <c r="M29" s="59">
        <v>16.5</v>
      </c>
      <c r="N29" s="27">
        <v>16.5</v>
      </c>
      <c r="O29" s="27"/>
      <c r="P29" s="32"/>
      <c r="Q29" s="28"/>
      <c r="R29" s="56">
        <f t="shared" si="3"/>
        <v>11</v>
      </c>
      <c r="S29" s="166" t="str">
        <f t="shared" si="4"/>
        <v>TRANSITA</v>
      </c>
      <c r="T29" s="58"/>
      <c r="U29" s="31"/>
      <c r="V29" s="31"/>
      <c r="W29" s="32" t="e">
        <f t="shared" si="5"/>
        <v>#DIV/0!</v>
      </c>
      <c r="X29" s="28"/>
      <c r="Y29" s="56" t="e">
        <f t="shared" si="6"/>
        <v>#DIV/0!</v>
      </c>
      <c r="Z29" s="48" t="e">
        <f t="shared" si="0"/>
        <v>#DIV/0!</v>
      </c>
      <c r="AA29" s="41" t="e">
        <f t="shared" si="7"/>
        <v>#DIV/0!</v>
      </c>
      <c r="AB29" s="62"/>
      <c r="AC29" s="51">
        <f t="shared" si="28"/>
        <v>0</v>
      </c>
      <c r="AD29" s="65" t="e">
        <f t="shared" si="29"/>
        <v>#DIV/0!</v>
      </c>
      <c r="AE29" s="162" t="e">
        <f t="shared" si="10"/>
        <v>#DIV/0!</v>
      </c>
    </row>
    <row r="30" spans="2:31" ht="15.75" customHeight="1" x14ac:dyDescent="0.3">
      <c r="B30" s="35">
        <v>21</v>
      </c>
      <c r="C30" s="197" t="s">
        <v>118</v>
      </c>
      <c r="D30" s="45"/>
      <c r="E30" s="38"/>
      <c r="F30" s="157">
        <v>18</v>
      </c>
      <c r="G30" s="157">
        <v>17</v>
      </c>
      <c r="H30" s="155"/>
      <c r="I30" s="157">
        <v>18.5</v>
      </c>
      <c r="J30" s="158"/>
      <c r="K30" s="56">
        <f t="shared" si="1"/>
        <v>17.833333333333332</v>
      </c>
      <c r="L30" s="166" t="str">
        <f t="shared" si="2"/>
        <v>TRANSITA</v>
      </c>
      <c r="M30" s="156">
        <v>16</v>
      </c>
      <c r="N30" s="155">
        <v>16</v>
      </c>
      <c r="O30" s="155"/>
      <c r="P30" s="157">
        <v>15.5</v>
      </c>
      <c r="Q30" s="158"/>
      <c r="R30" s="56">
        <f t="shared" si="3"/>
        <v>15.833333333333334</v>
      </c>
      <c r="S30" s="166" t="str">
        <f t="shared" si="4"/>
        <v>TRANSITA</v>
      </c>
      <c r="T30" s="58"/>
      <c r="U30" s="31"/>
      <c r="V30" s="31"/>
      <c r="W30" s="32" t="e">
        <f t="shared" si="5"/>
        <v>#DIV/0!</v>
      </c>
      <c r="X30" s="158"/>
      <c r="Y30" s="56" t="e">
        <f t="shared" si="6"/>
        <v>#DIV/0!</v>
      </c>
      <c r="Z30" s="48" t="e">
        <f t="shared" si="0"/>
        <v>#DIV/0!</v>
      </c>
      <c r="AA30" s="41" t="e">
        <f t="shared" si="7"/>
        <v>#DIV/0!</v>
      </c>
      <c r="AB30" s="62"/>
      <c r="AC30" s="51">
        <f t="shared" ref="AC30" si="30">AB30*0.6</f>
        <v>0</v>
      </c>
      <c r="AD30" s="65" t="e">
        <f t="shared" ref="AD30" si="31">AVERAGE(AA30+AC30)</f>
        <v>#DIV/0!</v>
      </c>
      <c r="AE30" s="162" t="e">
        <f t="shared" si="10"/>
        <v>#DIV/0!</v>
      </c>
    </row>
    <row r="31" spans="2:31" ht="15.75" customHeight="1" x14ac:dyDescent="0.3">
      <c r="B31" s="35">
        <v>22</v>
      </c>
      <c r="C31" s="197" t="s">
        <v>119</v>
      </c>
      <c r="D31" s="45"/>
      <c r="E31" s="38"/>
      <c r="F31" s="32">
        <v>14</v>
      </c>
      <c r="G31" s="32">
        <v>13</v>
      </c>
      <c r="H31" s="27"/>
      <c r="I31" s="32">
        <v>13.5</v>
      </c>
      <c r="J31" s="28"/>
      <c r="K31" s="56">
        <f t="shared" si="1"/>
        <v>13.5</v>
      </c>
      <c r="L31" s="166" t="str">
        <f t="shared" si="2"/>
        <v>TRANSITA</v>
      </c>
      <c r="M31" s="59">
        <v>13</v>
      </c>
      <c r="N31" s="27">
        <v>13</v>
      </c>
      <c r="O31" s="27"/>
      <c r="P31" s="32">
        <v>15</v>
      </c>
      <c r="Q31" s="28"/>
      <c r="R31" s="56">
        <f t="shared" si="3"/>
        <v>13.666666666666666</v>
      </c>
      <c r="S31" s="166" t="str">
        <f t="shared" si="4"/>
        <v>TRANSITA</v>
      </c>
      <c r="T31" s="58"/>
      <c r="U31" s="31"/>
      <c r="V31" s="31"/>
      <c r="W31" s="32" t="e">
        <f t="shared" si="5"/>
        <v>#DIV/0!</v>
      </c>
      <c r="X31" s="28"/>
      <c r="Y31" s="56" t="e">
        <f t="shared" si="6"/>
        <v>#DIV/0!</v>
      </c>
      <c r="Z31" s="48" t="e">
        <f t="shared" si="0"/>
        <v>#DIV/0!</v>
      </c>
      <c r="AA31" s="41" t="e">
        <f t="shared" si="7"/>
        <v>#DIV/0!</v>
      </c>
      <c r="AB31" s="62"/>
      <c r="AC31" s="51">
        <f t="shared" si="26"/>
        <v>0</v>
      </c>
      <c r="AD31" s="65" t="e">
        <f t="shared" si="27"/>
        <v>#DIV/0!</v>
      </c>
      <c r="AE31" s="162" t="e">
        <f t="shared" si="10"/>
        <v>#DIV/0!</v>
      </c>
    </row>
    <row r="32" spans="2:31" ht="15.75" customHeight="1" x14ac:dyDescent="0.3">
      <c r="B32" s="35">
        <v>23</v>
      </c>
      <c r="C32" s="197" t="s">
        <v>120</v>
      </c>
      <c r="D32" s="45"/>
      <c r="E32" s="38"/>
      <c r="F32" s="32">
        <v>16</v>
      </c>
      <c r="G32" s="32">
        <v>14.5</v>
      </c>
      <c r="H32" s="27"/>
      <c r="I32" s="32">
        <v>19.5</v>
      </c>
      <c r="J32" s="28"/>
      <c r="K32" s="56">
        <f t="shared" si="1"/>
        <v>16.666666666666668</v>
      </c>
      <c r="L32" s="166" t="str">
        <f t="shared" si="2"/>
        <v>TRANSITA</v>
      </c>
      <c r="M32" s="59">
        <v>16.5</v>
      </c>
      <c r="N32" s="27">
        <v>16.5</v>
      </c>
      <c r="O32" s="27"/>
      <c r="P32" s="32">
        <v>16.5</v>
      </c>
      <c r="Q32" s="28"/>
      <c r="R32" s="56">
        <f t="shared" si="3"/>
        <v>16.5</v>
      </c>
      <c r="S32" s="166" t="str">
        <f t="shared" si="4"/>
        <v>TRANSITA</v>
      </c>
      <c r="T32" s="58"/>
      <c r="U32" s="31"/>
      <c r="V32" s="31"/>
      <c r="W32" s="32" t="e">
        <f t="shared" si="5"/>
        <v>#DIV/0!</v>
      </c>
      <c r="X32" s="28"/>
      <c r="Y32" s="56" t="e">
        <f t="shared" si="6"/>
        <v>#DIV/0!</v>
      </c>
      <c r="Z32" s="48" t="e">
        <f t="shared" si="0"/>
        <v>#DIV/0!</v>
      </c>
      <c r="AA32" s="41" t="e">
        <f t="shared" si="7"/>
        <v>#DIV/0!</v>
      </c>
      <c r="AB32" s="62"/>
      <c r="AC32" s="51">
        <f t="shared" si="26"/>
        <v>0</v>
      </c>
      <c r="AD32" s="65" t="e">
        <f t="shared" si="27"/>
        <v>#DIV/0!</v>
      </c>
      <c r="AE32" s="162" t="e">
        <f t="shared" si="10"/>
        <v>#DIV/0!</v>
      </c>
    </row>
    <row r="33" spans="2:31" ht="15.75" customHeight="1" x14ac:dyDescent="0.3">
      <c r="B33" s="35">
        <v>24</v>
      </c>
      <c r="C33" s="197" t="s">
        <v>121</v>
      </c>
      <c r="D33" s="45"/>
      <c r="E33" s="38"/>
      <c r="F33" s="32">
        <v>12</v>
      </c>
      <c r="G33" s="32">
        <v>7</v>
      </c>
      <c r="H33" s="27"/>
      <c r="I33" s="32">
        <v>14.5</v>
      </c>
      <c r="J33" s="28"/>
      <c r="K33" s="56">
        <f t="shared" si="1"/>
        <v>11.166666666666666</v>
      </c>
      <c r="L33" s="166" t="str">
        <f t="shared" si="2"/>
        <v>TRANSITA</v>
      </c>
      <c r="M33" s="59">
        <v>7</v>
      </c>
      <c r="N33" s="27">
        <v>7</v>
      </c>
      <c r="O33" s="27"/>
      <c r="P33" s="32">
        <v>12.5</v>
      </c>
      <c r="Q33" s="28"/>
      <c r="R33" s="56">
        <f t="shared" si="3"/>
        <v>8.8333333333333339</v>
      </c>
      <c r="S33" s="166" t="str">
        <f t="shared" si="4"/>
        <v>N/TRANSITA</v>
      </c>
      <c r="T33" s="58"/>
      <c r="U33" s="31"/>
      <c r="V33" s="31"/>
      <c r="W33" s="32" t="e">
        <f t="shared" si="5"/>
        <v>#DIV/0!</v>
      </c>
      <c r="X33" s="28"/>
      <c r="Y33" s="56" t="e">
        <f t="shared" si="6"/>
        <v>#DIV/0!</v>
      </c>
      <c r="Z33" s="48" t="e">
        <f t="shared" si="0"/>
        <v>#DIV/0!</v>
      </c>
      <c r="AA33" s="41" t="e">
        <f t="shared" si="7"/>
        <v>#DIV/0!</v>
      </c>
      <c r="AB33" s="62"/>
      <c r="AC33" s="51">
        <f t="shared" si="26"/>
        <v>0</v>
      </c>
      <c r="AD33" s="65" t="e">
        <f t="shared" si="27"/>
        <v>#DIV/0!</v>
      </c>
      <c r="AE33" s="162" t="e">
        <f t="shared" si="10"/>
        <v>#DIV/0!</v>
      </c>
    </row>
    <row r="34" spans="2:31" ht="15.75" customHeight="1" x14ac:dyDescent="0.3">
      <c r="B34" s="35">
        <v>25</v>
      </c>
      <c r="C34" s="197" t="s">
        <v>122</v>
      </c>
      <c r="D34" s="45"/>
      <c r="E34" s="38"/>
      <c r="F34" s="32">
        <v>18</v>
      </c>
      <c r="G34" s="32">
        <v>19</v>
      </c>
      <c r="H34" s="27"/>
      <c r="I34" s="32">
        <v>19.5</v>
      </c>
      <c r="J34" s="28"/>
      <c r="K34" s="56">
        <f t="shared" si="1"/>
        <v>18.833333333333332</v>
      </c>
      <c r="L34" s="166" t="str">
        <f t="shared" si="2"/>
        <v>TRANSITA</v>
      </c>
      <c r="M34" s="59">
        <v>19</v>
      </c>
      <c r="N34" s="27">
        <v>19</v>
      </c>
      <c r="O34" s="27"/>
      <c r="P34" s="32">
        <v>18.5</v>
      </c>
      <c r="Q34" s="28"/>
      <c r="R34" s="56">
        <f t="shared" si="3"/>
        <v>18.833333333333332</v>
      </c>
      <c r="S34" s="166" t="str">
        <f t="shared" si="4"/>
        <v>TRANSITA</v>
      </c>
      <c r="T34" s="58"/>
      <c r="U34" s="31"/>
      <c r="V34" s="31"/>
      <c r="W34" s="32" t="e">
        <f t="shared" si="5"/>
        <v>#DIV/0!</v>
      </c>
      <c r="X34" s="28"/>
      <c r="Y34" s="56" t="e">
        <f t="shared" si="6"/>
        <v>#DIV/0!</v>
      </c>
      <c r="Z34" s="48" t="e">
        <f t="shared" si="0"/>
        <v>#DIV/0!</v>
      </c>
      <c r="AA34" s="41" t="e">
        <f t="shared" si="7"/>
        <v>#DIV/0!</v>
      </c>
      <c r="AB34" s="62"/>
      <c r="AC34" s="51">
        <f t="shared" si="26"/>
        <v>0</v>
      </c>
      <c r="AD34" s="65" t="e">
        <f t="shared" si="27"/>
        <v>#DIV/0!</v>
      </c>
      <c r="AE34" s="162" t="e">
        <f t="shared" si="10"/>
        <v>#DIV/0!</v>
      </c>
    </row>
    <row r="35" spans="2:31" ht="15.75" customHeight="1" x14ac:dyDescent="0.3">
      <c r="B35" s="35">
        <v>26</v>
      </c>
      <c r="C35" s="197" t="s">
        <v>123</v>
      </c>
      <c r="D35" s="45"/>
      <c r="E35" s="38"/>
      <c r="F35" s="32">
        <v>14</v>
      </c>
      <c r="G35" s="32">
        <v>11</v>
      </c>
      <c r="H35" s="27"/>
      <c r="I35" s="32">
        <v>4</v>
      </c>
      <c r="J35" s="28"/>
      <c r="K35" s="56">
        <f t="shared" si="1"/>
        <v>9.6666666666666661</v>
      </c>
      <c r="L35" s="166" t="str">
        <f t="shared" si="2"/>
        <v>N/TRANSITA</v>
      </c>
      <c r="M35" s="59">
        <v>12.5</v>
      </c>
      <c r="N35" s="27">
        <v>12.5</v>
      </c>
      <c r="O35" s="27"/>
      <c r="P35" s="32">
        <v>14</v>
      </c>
      <c r="Q35" s="28"/>
      <c r="R35" s="56">
        <f t="shared" si="3"/>
        <v>13</v>
      </c>
      <c r="S35" s="166" t="str">
        <f t="shared" si="4"/>
        <v>TRANSITA</v>
      </c>
      <c r="T35" s="58"/>
      <c r="U35" s="31"/>
      <c r="V35" s="31"/>
      <c r="W35" s="32" t="e">
        <f t="shared" si="5"/>
        <v>#DIV/0!</v>
      </c>
      <c r="X35" s="28"/>
      <c r="Y35" s="56" t="e">
        <f t="shared" si="6"/>
        <v>#DIV/0!</v>
      </c>
      <c r="Z35" s="48" t="e">
        <f t="shared" si="0"/>
        <v>#DIV/0!</v>
      </c>
      <c r="AA35" s="41" t="e">
        <f t="shared" si="7"/>
        <v>#DIV/0!</v>
      </c>
      <c r="AB35" s="62"/>
      <c r="AC35" s="51">
        <f t="shared" si="26"/>
        <v>0</v>
      </c>
      <c r="AD35" s="65" t="e">
        <f t="shared" si="27"/>
        <v>#DIV/0!</v>
      </c>
      <c r="AE35" s="162" t="e">
        <f t="shared" si="10"/>
        <v>#DIV/0!</v>
      </c>
    </row>
    <row r="36" spans="2:31" ht="15.75" customHeight="1" x14ac:dyDescent="0.3">
      <c r="B36" s="35">
        <v>27</v>
      </c>
      <c r="C36" s="197" t="s">
        <v>124</v>
      </c>
      <c r="D36" s="45"/>
      <c r="E36" s="38"/>
      <c r="F36" s="32">
        <v>18</v>
      </c>
      <c r="G36" s="32">
        <v>17</v>
      </c>
      <c r="H36" s="27"/>
      <c r="I36" s="32">
        <v>19</v>
      </c>
      <c r="J36" s="28"/>
      <c r="K36" s="56">
        <f t="shared" si="1"/>
        <v>18</v>
      </c>
      <c r="L36" s="166" t="str">
        <f t="shared" si="2"/>
        <v>TRANSITA</v>
      </c>
      <c r="M36" s="59">
        <v>16.5</v>
      </c>
      <c r="N36" s="27">
        <v>16.5</v>
      </c>
      <c r="O36" s="27"/>
      <c r="P36" s="32">
        <v>13</v>
      </c>
      <c r="Q36" s="28"/>
      <c r="R36" s="56">
        <f t="shared" si="3"/>
        <v>15.333333333333334</v>
      </c>
      <c r="S36" s="166" t="str">
        <f t="shared" si="4"/>
        <v>TRANSITA</v>
      </c>
      <c r="T36" s="58"/>
      <c r="U36" s="31"/>
      <c r="V36" s="31"/>
      <c r="W36" s="32" t="e">
        <f t="shared" si="5"/>
        <v>#DIV/0!</v>
      </c>
      <c r="X36" s="28"/>
      <c r="Y36" s="56" t="e">
        <f t="shared" si="6"/>
        <v>#DIV/0!</v>
      </c>
      <c r="Z36" s="48" t="e">
        <f t="shared" si="0"/>
        <v>#DIV/0!</v>
      </c>
      <c r="AA36" s="41" t="e">
        <f t="shared" si="7"/>
        <v>#DIV/0!</v>
      </c>
      <c r="AB36" s="62"/>
      <c r="AC36" s="51">
        <f t="shared" si="26"/>
        <v>0</v>
      </c>
      <c r="AD36" s="65" t="e">
        <f t="shared" si="27"/>
        <v>#DIV/0!</v>
      </c>
      <c r="AE36" s="162" t="e">
        <f t="shared" si="10"/>
        <v>#DIV/0!</v>
      </c>
    </row>
    <row r="37" spans="2:31" ht="15.75" customHeight="1" x14ac:dyDescent="0.3">
      <c r="B37" s="35">
        <v>28</v>
      </c>
      <c r="C37" s="197" t="s">
        <v>125</v>
      </c>
      <c r="D37" s="45"/>
      <c r="E37" s="38"/>
      <c r="F37" s="150">
        <v>16</v>
      </c>
      <c r="G37" s="150">
        <v>14</v>
      </c>
      <c r="H37" s="148"/>
      <c r="I37" s="150">
        <v>13</v>
      </c>
      <c r="J37" s="151"/>
      <c r="K37" s="56">
        <f t="shared" si="1"/>
        <v>14.333333333333334</v>
      </c>
      <c r="L37" s="166" t="str">
        <f t="shared" si="2"/>
        <v>TRANSITA</v>
      </c>
      <c r="M37" s="149">
        <v>15.5</v>
      </c>
      <c r="N37" s="148">
        <v>15.5</v>
      </c>
      <c r="O37" s="148"/>
      <c r="P37" s="150">
        <v>15.5</v>
      </c>
      <c r="Q37" s="151"/>
      <c r="R37" s="56">
        <f t="shared" si="3"/>
        <v>15.5</v>
      </c>
      <c r="S37" s="166" t="str">
        <f t="shared" si="4"/>
        <v>TRANSITA</v>
      </c>
      <c r="T37" s="58"/>
      <c r="U37" s="31"/>
      <c r="V37" s="31"/>
      <c r="W37" s="32" t="e">
        <f t="shared" si="5"/>
        <v>#DIV/0!</v>
      </c>
      <c r="X37" s="151"/>
      <c r="Y37" s="56" t="e">
        <f t="shared" si="6"/>
        <v>#DIV/0!</v>
      </c>
      <c r="Z37" s="48" t="e">
        <f t="shared" si="0"/>
        <v>#DIV/0!</v>
      </c>
      <c r="AA37" s="41" t="e">
        <f t="shared" si="7"/>
        <v>#DIV/0!</v>
      </c>
      <c r="AB37" s="62"/>
      <c r="AC37" s="51">
        <f t="shared" si="26"/>
        <v>0</v>
      </c>
      <c r="AD37" s="65" t="e">
        <f t="shared" si="27"/>
        <v>#DIV/0!</v>
      </c>
      <c r="AE37" s="162" t="e">
        <f t="shared" si="10"/>
        <v>#DIV/0!</v>
      </c>
    </row>
    <row r="38" spans="2:31" ht="15.75" customHeight="1" x14ac:dyDescent="0.3">
      <c r="B38" s="35">
        <v>29</v>
      </c>
      <c r="C38" s="197" t="s">
        <v>126</v>
      </c>
      <c r="D38" s="45"/>
      <c r="E38" s="38"/>
      <c r="F38" s="32">
        <v>12</v>
      </c>
      <c r="G38" s="32">
        <v>8</v>
      </c>
      <c r="H38" s="27"/>
      <c r="I38" s="32">
        <v>19.5</v>
      </c>
      <c r="J38" s="28"/>
      <c r="K38" s="56">
        <f t="shared" si="1"/>
        <v>13.166666666666666</v>
      </c>
      <c r="L38" s="166" t="str">
        <f t="shared" si="2"/>
        <v>TRANSITA</v>
      </c>
      <c r="M38" s="59">
        <v>10</v>
      </c>
      <c r="N38" s="27"/>
      <c r="O38" s="27"/>
      <c r="P38" s="32">
        <v>14</v>
      </c>
      <c r="Q38" s="28"/>
      <c r="R38" s="56">
        <f t="shared" si="3"/>
        <v>8</v>
      </c>
      <c r="S38" s="166" t="str">
        <f t="shared" si="4"/>
        <v>N/TRANSITA</v>
      </c>
      <c r="T38" s="58"/>
      <c r="U38" s="31"/>
      <c r="V38" s="31"/>
      <c r="W38" s="32" t="e">
        <f t="shared" si="5"/>
        <v>#DIV/0!</v>
      </c>
      <c r="X38" s="28"/>
      <c r="Y38" s="56" t="e">
        <f t="shared" si="6"/>
        <v>#DIV/0!</v>
      </c>
      <c r="Z38" s="48" t="e">
        <f t="shared" si="0"/>
        <v>#DIV/0!</v>
      </c>
      <c r="AA38" s="41" t="e">
        <f t="shared" si="7"/>
        <v>#DIV/0!</v>
      </c>
      <c r="AB38" s="62"/>
      <c r="AC38" s="51">
        <f t="shared" si="26"/>
        <v>0</v>
      </c>
      <c r="AD38" s="65" t="e">
        <f t="shared" si="27"/>
        <v>#DIV/0!</v>
      </c>
      <c r="AE38" s="162" t="e">
        <f t="shared" si="10"/>
        <v>#DIV/0!</v>
      </c>
    </row>
    <row r="39" spans="2:31" ht="15.75" customHeight="1" x14ac:dyDescent="0.3">
      <c r="B39" s="35">
        <v>30</v>
      </c>
      <c r="C39" s="197" t="s">
        <v>127</v>
      </c>
      <c r="D39" s="45"/>
      <c r="E39" s="38"/>
      <c r="F39" s="32">
        <v>18</v>
      </c>
      <c r="G39" s="32">
        <v>19.5</v>
      </c>
      <c r="H39" s="27"/>
      <c r="I39" s="32">
        <v>20</v>
      </c>
      <c r="J39" s="28"/>
      <c r="K39" s="56">
        <f t="shared" si="1"/>
        <v>19.166666666666668</v>
      </c>
      <c r="L39" s="166" t="str">
        <f t="shared" si="2"/>
        <v>TRANSITA</v>
      </c>
      <c r="M39" s="59">
        <v>19.5</v>
      </c>
      <c r="N39" s="27">
        <v>19.5</v>
      </c>
      <c r="O39" s="27"/>
      <c r="P39" s="32">
        <v>12.5</v>
      </c>
      <c r="Q39" s="28"/>
      <c r="R39" s="56">
        <f t="shared" si="3"/>
        <v>17.166666666666668</v>
      </c>
      <c r="S39" s="166" t="str">
        <f t="shared" si="4"/>
        <v>TRANSITA</v>
      </c>
      <c r="T39" s="58"/>
      <c r="U39" s="31"/>
      <c r="V39" s="31"/>
      <c r="W39" s="32" t="e">
        <f t="shared" si="5"/>
        <v>#DIV/0!</v>
      </c>
      <c r="X39" s="28"/>
      <c r="Y39" s="56" t="e">
        <f t="shared" si="6"/>
        <v>#DIV/0!</v>
      </c>
      <c r="Z39" s="48" t="e">
        <f t="shared" si="0"/>
        <v>#DIV/0!</v>
      </c>
      <c r="AA39" s="41" t="e">
        <f t="shared" si="7"/>
        <v>#DIV/0!</v>
      </c>
      <c r="AB39" s="62"/>
      <c r="AC39" s="51">
        <f t="shared" si="26"/>
        <v>0</v>
      </c>
      <c r="AD39" s="65" t="e">
        <f t="shared" si="27"/>
        <v>#DIV/0!</v>
      </c>
      <c r="AE39" s="162" t="e">
        <f t="shared" si="10"/>
        <v>#DIV/0!</v>
      </c>
    </row>
    <row r="40" spans="2:31" ht="15.75" customHeight="1" x14ac:dyDescent="0.3">
      <c r="B40" s="35">
        <v>31</v>
      </c>
      <c r="C40" s="197" t="s">
        <v>128</v>
      </c>
      <c r="D40" s="45"/>
      <c r="E40" s="38"/>
      <c r="F40" s="32">
        <v>17</v>
      </c>
      <c r="G40" s="32">
        <v>13.5</v>
      </c>
      <c r="H40" s="27"/>
      <c r="I40" s="32">
        <v>19</v>
      </c>
      <c r="J40" s="28"/>
      <c r="K40" s="56">
        <f t="shared" si="1"/>
        <v>16.5</v>
      </c>
      <c r="L40" s="166" t="str">
        <f t="shared" si="2"/>
        <v>TRANSITA</v>
      </c>
      <c r="M40" s="59">
        <v>16.5</v>
      </c>
      <c r="N40" s="27">
        <v>16.5</v>
      </c>
      <c r="O40" s="27"/>
      <c r="P40" s="32">
        <v>12.5</v>
      </c>
      <c r="Q40" s="28"/>
      <c r="R40" s="56">
        <f t="shared" si="3"/>
        <v>15.166666666666666</v>
      </c>
      <c r="S40" s="166" t="str">
        <f t="shared" si="4"/>
        <v>TRANSITA</v>
      </c>
      <c r="T40" s="58"/>
      <c r="U40" s="31"/>
      <c r="V40" s="31"/>
      <c r="W40" s="32" t="e">
        <f t="shared" si="5"/>
        <v>#DIV/0!</v>
      </c>
      <c r="X40" s="28"/>
      <c r="Y40" s="56" t="e">
        <f t="shared" si="6"/>
        <v>#DIV/0!</v>
      </c>
      <c r="Z40" s="48" t="e">
        <f t="shared" si="0"/>
        <v>#DIV/0!</v>
      </c>
      <c r="AA40" s="41" t="e">
        <f t="shared" si="7"/>
        <v>#DIV/0!</v>
      </c>
      <c r="AB40" s="62"/>
      <c r="AC40" s="51">
        <f t="shared" si="11"/>
        <v>0</v>
      </c>
      <c r="AD40" s="65" t="e">
        <f t="shared" si="12"/>
        <v>#DIV/0!</v>
      </c>
      <c r="AE40" s="162" t="e">
        <f t="shared" si="10"/>
        <v>#DIV/0!</v>
      </c>
    </row>
    <row r="41" spans="2:31" ht="15.75" customHeight="1" x14ac:dyDescent="0.3">
      <c r="B41" s="35">
        <v>32</v>
      </c>
      <c r="C41" s="197" t="s">
        <v>142</v>
      </c>
      <c r="D41" s="45"/>
      <c r="E41" s="38"/>
      <c r="F41" s="32"/>
      <c r="G41" s="32"/>
      <c r="H41" s="27"/>
      <c r="I41" s="32"/>
      <c r="J41" s="28"/>
      <c r="K41" s="56">
        <f t="shared" si="1"/>
        <v>0</v>
      </c>
      <c r="L41" s="166" t="str">
        <f t="shared" si="2"/>
        <v>N/TRANSITA</v>
      </c>
      <c r="M41" s="59">
        <v>17</v>
      </c>
      <c r="N41" s="27">
        <v>17</v>
      </c>
      <c r="O41" s="27"/>
      <c r="P41" s="32">
        <v>16</v>
      </c>
      <c r="Q41" s="28"/>
      <c r="R41" s="56">
        <f t="shared" ref="R41" si="32">AVERAGE(M41,MAX(N41:O41),MAX(P41:Q41))</f>
        <v>16.666666666666668</v>
      </c>
      <c r="S41" s="166" t="str">
        <f t="shared" ref="S41" si="33">IF(R41&gt;=10,"TRANSITA","N/TRANSITA")</f>
        <v>TRANSITA</v>
      </c>
      <c r="T41" s="58"/>
      <c r="U41" s="31"/>
      <c r="V41" s="31"/>
      <c r="W41" s="32" t="e">
        <f t="shared" ref="W41" si="34">AVERAGE(T41:U41)</f>
        <v>#DIV/0!</v>
      </c>
      <c r="X41" s="28"/>
      <c r="Y41" s="56" t="e">
        <f t="shared" ref="Y41" si="35">AVERAGE(T41,MAX(U41:V41),MAX(W41:X41))</f>
        <v>#DIV/0!</v>
      </c>
      <c r="Z41" s="48" t="e">
        <f t="shared" ref="Z41" si="36">SUM(K41,R41,Y41)/3</f>
        <v>#DIV/0!</v>
      </c>
      <c r="AA41" s="41" t="e">
        <f t="shared" ref="AA41" si="37">Z41*0.4</f>
        <v>#DIV/0!</v>
      </c>
      <c r="AB41" s="62"/>
      <c r="AC41" s="51">
        <f t="shared" ref="AC41" si="38">AB41*0.6</f>
        <v>0</v>
      </c>
      <c r="AD41" s="65" t="e">
        <f t="shared" ref="AD41" si="39">AVERAGE(AA41+AC41)</f>
        <v>#DIV/0!</v>
      </c>
      <c r="AE41" s="162"/>
    </row>
    <row r="42" spans="2:31" ht="15.75" customHeight="1" x14ac:dyDescent="0.3">
      <c r="B42" s="35">
        <v>33</v>
      </c>
      <c r="C42" s="197" t="s">
        <v>129</v>
      </c>
      <c r="D42" s="45"/>
      <c r="E42" s="38"/>
      <c r="F42" s="32">
        <v>18</v>
      </c>
      <c r="G42" s="32">
        <v>17.5</v>
      </c>
      <c r="H42" s="27"/>
      <c r="I42" s="32">
        <v>19.5</v>
      </c>
      <c r="J42" s="28"/>
      <c r="K42" s="56">
        <f t="shared" si="1"/>
        <v>18.333333333333332</v>
      </c>
      <c r="L42" s="166" t="str">
        <f t="shared" si="2"/>
        <v>TRANSITA</v>
      </c>
      <c r="M42" s="59">
        <v>16.5</v>
      </c>
      <c r="N42" s="27">
        <v>16.5</v>
      </c>
      <c r="O42" s="27"/>
      <c r="P42" s="32">
        <v>15</v>
      </c>
      <c r="Q42" s="28"/>
      <c r="R42" s="56">
        <f t="shared" si="3"/>
        <v>16</v>
      </c>
      <c r="S42" s="166" t="str">
        <f t="shared" si="4"/>
        <v>TRANSITA</v>
      </c>
      <c r="T42" s="58"/>
      <c r="U42" s="31"/>
      <c r="V42" s="31"/>
      <c r="W42" s="32" t="e">
        <f t="shared" si="5"/>
        <v>#DIV/0!</v>
      </c>
      <c r="X42" s="28"/>
      <c r="Y42" s="56" t="e">
        <f t="shared" si="6"/>
        <v>#DIV/0!</v>
      </c>
      <c r="Z42" s="48" t="e">
        <f t="shared" si="0"/>
        <v>#DIV/0!</v>
      </c>
      <c r="AA42" s="41" t="e">
        <f t="shared" si="7"/>
        <v>#DIV/0!</v>
      </c>
      <c r="AB42" s="62"/>
      <c r="AC42" s="51">
        <f t="shared" si="11"/>
        <v>0</v>
      </c>
      <c r="AD42" s="65" t="e">
        <f t="shared" si="12"/>
        <v>#DIV/0!</v>
      </c>
      <c r="AE42" s="162" t="e">
        <f t="shared" si="10"/>
        <v>#DIV/0!</v>
      </c>
    </row>
    <row r="43" spans="2:31" ht="15.75" customHeight="1" x14ac:dyDescent="0.3">
      <c r="B43" s="35">
        <v>34</v>
      </c>
      <c r="C43" s="197" t="s">
        <v>130</v>
      </c>
      <c r="D43" s="45"/>
      <c r="E43" s="38"/>
      <c r="F43" s="32">
        <v>18</v>
      </c>
      <c r="G43" s="32">
        <v>17</v>
      </c>
      <c r="H43" s="27"/>
      <c r="I43" s="32">
        <v>19</v>
      </c>
      <c r="J43" s="28"/>
      <c r="K43" s="56">
        <f t="shared" si="1"/>
        <v>18</v>
      </c>
      <c r="L43" s="166" t="str">
        <f t="shared" si="2"/>
        <v>TRANSITA</v>
      </c>
      <c r="M43" s="59">
        <v>16</v>
      </c>
      <c r="N43" s="27">
        <v>16</v>
      </c>
      <c r="O43" s="200"/>
      <c r="P43" s="27">
        <v>12</v>
      </c>
      <c r="Q43" s="28"/>
      <c r="R43" s="56">
        <f t="shared" si="3"/>
        <v>14.666666666666666</v>
      </c>
      <c r="S43" s="166" t="str">
        <f t="shared" si="4"/>
        <v>TRANSITA</v>
      </c>
      <c r="T43" s="58"/>
      <c r="U43" s="31"/>
      <c r="V43" s="31"/>
      <c r="W43" s="32" t="e">
        <f t="shared" si="5"/>
        <v>#DIV/0!</v>
      </c>
      <c r="X43" s="28"/>
      <c r="Y43" s="56" t="e">
        <f t="shared" si="6"/>
        <v>#DIV/0!</v>
      </c>
      <c r="Z43" s="48" t="e">
        <f t="shared" si="0"/>
        <v>#DIV/0!</v>
      </c>
      <c r="AA43" s="41" t="e">
        <f t="shared" si="7"/>
        <v>#DIV/0!</v>
      </c>
      <c r="AB43" s="62"/>
      <c r="AC43" s="51">
        <f t="shared" ref="AC43:AC44" si="40">AB43*0.6</f>
        <v>0</v>
      </c>
      <c r="AD43" s="65" t="e">
        <f t="shared" ref="AD43:AD44" si="41">AVERAGE(AA43+AC43)</f>
        <v>#DIV/0!</v>
      </c>
      <c r="AE43" s="162" t="e">
        <f t="shared" si="10"/>
        <v>#DIV/0!</v>
      </c>
    </row>
    <row r="44" spans="2:31" ht="15.75" customHeight="1" x14ac:dyDescent="0.3">
      <c r="B44" s="35">
        <v>35</v>
      </c>
      <c r="C44" s="197" t="s">
        <v>131</v>
      </c>
      <c r="D44" s="45"/>
      <c r="E44" s="38"/>
      <c r="F44" s="32">
        <v>15</v>
      </c>
      <c r="G44" s="32">
        <v>14.5</v>
      </c>
      <c r="H44" s="27"/>
      <c r="I44" s="32">
        <v>18.5</v>
      </c>
      <c r="J44" s="28"/>
      <c r="K44" s="56">
        <f t="shared" si="1"/>
        <v>16</v>
      </c>
      <c r="L44" s="166" t="str">
        <f t="shared" si="2"/>
        <v>TRANSITA</v>
      </c>
      <c r="M44" s="59">
        <v>17</v>
      </c>
      <c r="N44" s="27">
        <v>17</v>
      </c>
      <c r="O44" s="200"/>
      <c r="P44" s="27">
        <v>15</v>
      </c>
      <c r="Q44" s="28"/>
      <c r="R44" s="56">
        <f t="shared" si="3"/>
        <v>16.333333333333332</v>
      </c>
      <c r="S44" s="166" t="str">
        <f t="shared" si="4"/>
        <v>TRANSITA</v>
      </c>
      <c r="T44" s="58"/>
      <c r="U44" s="31"/>
      <c r="V44" s="31"/>
      <c r="W44" s="32" t="e">
        <f t="shared" si="5"/>
        <v>#DIV/0!</v>
      </c>
      <c r="X44" s="28"/>
      <c r="Y44" s="56" t="e">
        <f t="shared" si="6"/>
        <v>#DIV/0!</v>
      </c>
      <c r="Z44" s="48" t="e">
        <f t="shared" si="0"/>
        <v>#DIV/0!</v>
      </c>
      <c r="AA44" s="41" t="e">
        <f t="shared" si="7"/>
        <v>#DIV/0!</v>
      </c>
      <c r="AB44" s="62"/>
      <c r="AC44" s="51">
        <f t="shared" si="40"/>
        <v>0</v>
      </c>
      <c r="AD44" s="65" t="e">
        <f t="shared" si="41"/>
        <v>#DIV/0!</v>
      </c>
      <c r="AE44" s="162" t="e">
        <f t="shared" si="10"/>
        <v>#DIV/0!</v>
      </c>
    </row>
    <row r="45" spans="2:31" ht="15.75" customHeight="1" x14ac:dyDescent="0.3">
      <c r="B45" s="35">
        <v>36</v>
      </c>
      <c r="C45" s="197" t="s">
        <v>132</v>
      </c>
      <c r="D45" s="45"/>
      <c r="E45" s="38"/>
      <c r="F45" s="32">
        <v>18</v>
      </c>
      <c r="G45" s="32">
        <v>17</v>
      </c>
      <c r="H45" s="27"/>
      <c r="I45" s="32">
        <v>14</v>
      </c>
      <c r="J45" s="28"/>
      <c r="K45" s="56">
        <f t="shared" si="1"/>
        <v>16.333333333333332</v>
      </c>
      <c r="L45" s="166" t="str">
        <f t="shared" si="2"/>
        <v>TRANSITA</v>
      </c>
      <c r="M45" s="59">
        <v>18</v>
      </c>
      <c r="N45" s="27">
        <v>18</v>
      </c>
      <c r="O45" s="27"/>
      <c r="P45" s="32">
        <v>16</v>
      </c>
      <c r="Q45" s="28"/>
      <c r="R45" s="56">
        <f t="shared" si="3"/>
        <v>17.333333333333332</v>
      </c>
      <c r="S45" s="166" t="str">
        <f t="shared" si="4"/>
        <v>TRANSITA</v>
      </c>
      <c r="T45" s="58"/>
      <c r="U45" s="31"/>
      <c r="V45" s="31"/>
      <c r="W45" s="32" t="e">
        <f t="shared" si="5"/>
        <v>#DIV/0!</v>
      </c>
      <c r="X45" s="28"/>
      <c r="Y45" s="56" t="e">
        <f t="shared" si="6"/>
        <v>#DIV/0!</v>
      </c>
      <c r="Z45" s="48" t="e">
        <f t="shared" si="0"/>
        <v>#DIV/0!</v>
      </c>
      <c r="AA45" s="41" t="e">
        <f t="shared" si="7"/>
        <v>#DIV/0!</v>
      </c>
      <c r="AB45" s="62"/>
      <c r="AC45" s="51">
        <f t="shared" si="11"/>
        <v>0</v>
      </c>
      <c r="AD45" s="65" t="e">
        <f t="shared" si="12"/>
        <v>#DIV/0!</v>
      </c>
      <c r="AE45" s="162" t="e">
        <f t="shared" si="10"/>
        <v>#DIV/0!</v>
      </c>
    </row>
    <row r="46" spans="2:31" ht="15.75" customHeight="1" x14ac:dyDescent="0.3">
      <c r="B46" s="35">
        <v>37</v>
      </c>
      <c r="C46" s="197" t="s">
        <v>133</v>
      </c>
      <c r="D46" s="45"/>
      <c r="E46" s="38"/>
      <c r="F46" s="32">
        <v>16</v>
      </c>
      <c r="G46" s="32">
        <v>15.5</v>
      </c>
      <c r="H46" s="27"/>
      <c r="I46" s="32">
        <v>18</v>
      </c>
      <c r="J46" s="28"/>
      <c r="K46" s="56">
        <f t="shared" si="1"/>
        <v>16.5</v>
      </c>
      <c r="L46" s="166" t="str">
        <f t="shared" si="2"/>
        <v>TRANSITA</v>
      </c>
      <c r="M46" s="59">
        <v>18</v>
      </c>
      <c r="N46" s="27">
        <v>18</v>
      </c>
      <c r="O46" s="27"/>
      <c r="P46" s="32">
        <v>15.5</v>
      </c>
      <c r="Q46" s="28"/>
      <c r="R46" s="56">
        <f t="shared" si="3"/>
        <v>17.166666666666668</v>
      </c>
      <c r="S46" s="166" t="str">
        <f t="shared" si="4"/>
        <v>TRANSITA</v>
      </c>
      <c r="T46" s="58"/>
      <c r="U46" s="31"/>
      <c r="V46" s="31"/>
      <c r="W46" s="32" t="e">
        <f t="shared" si="5"/>
        <v>#DIV/0!</v>
      </c>
      <c r="X46" s="28"/>
      <c r="Y46" s="56" t="e">
        <f t="shared" si="6"/>
        <v>#DIV/0!</v>
      </c>
      <c r="Z46" s="48" t="e">
        <f t="shared" si="0"/>
        <v>#DIV/0!</v>
      </c>
      <c r="AA46" s="41" t="e">
        <f t="shared" si="7"/>
        <v>#DIV/0!</v>
      </c>
      <c r="AB46" s="62"/>
      <c r="AC46" s="51">
        <f t="shared" ref="AC46:AC51" si="42">AB46*0.6</f>
        <v>0</v>
      </c>
      <c r="AD46" s="65" t="e">
        <f t="shared" ref="AD46:AD51" si="43">AVERAGE(AA46+AC46)</f>
        <v>#DIV/0!</v>
      </c>
      <c r="AE46" s="162" t="e">
        <f t="shared" si="10"/>
        <v>#DIV/0!</v>
      </c>
    </row>
    <row r="47" spans="2:31" ht="15.75" customHeight="1" x14ac:dyDescent="0.3">
      <c r="B47" s="35">
        <v>38</v>
      </c>
      <c r="C47" s="197" t="s">
        <v>134</v>
      </c>
      <c r="D47" s="45"/>
      <c r="E47" s="38"/>
      <c r="F47" s="32">
        <v>14</v>
      </c>
      <c r="G47" s="32">
        <v>11</v>
      </c>
      <c r="H47" s="27"/>
      <c r="I47" s="32">
        <v>2</v>
      </c>
      <c r="J47" s="28"/>
      <c r="K47" s="56">
        <f t="shared" si="1"/>
        <v>9</v>
      </c>
      <c r="L47" s="166" t="str">
        <f t="shared" si="2"/>
        <v>N/TRANSITA</v>
      </c>
      <c r="M47" s="59">
        <v>8</v>
      </c>
      <c r="N47" s="27">
        <v>3</v>
      </c>
      <c r="O47" s="200"/>
      <c r="P47" s="27">
        <v>7</v>
      </c>
      <c r="Q47" s="28"/>
      <c r="R47" s="56">
        <f t="shared" si="3"/>
        <v>6</v>
      </c>
      <c r="S47" s="166" t="str">
        <f t="shared" si="4"/>
        <v>N/TRANSITA</v>
      </c>
      <c r="T47" s="58"/>
      <c r="U47" s="31"/>
      <c r="V47" s="31"/>
      <c r="W47" s="32" t="e">
        <f t="shared" si="5"/>
        <v>#DIV/0!</v>
      </c>
      <c r="X47" s="28"/>
      <c r="Y47" s="56" t="e">
        <f t="shared" si="6"/>
        <v>#DIV/0!</v>
      </c>
      <c r="Z47" s="48" t="e">
        <f t="shared" si="0"/>
        <v>#DIV/0!</v>
      </c>
      <c r="AA47" s="41" t="e">
        <f t="shared" si="7"/>
        <v>#DIV/0!</v>
      </c>
      <c r="AB47" s="62"/>
      <c r="AC47" s="51">
        <f t="shared" si="42"/>
        <v>0</v>
      </c>
      <c r="AD47" s="65" t="e">
        <f t="shared" si="43"/>
        <v>#DIV/0!</v>
      </c>
      <c r="AE47" s="162" t="e">
        <f t="shared" si="10"/>
        <v>#DIV/0!</v>
      </c>
    </row>
    <row r="48" spans="2:31" ht="15.75" customHeight="1" x14ac:dyDescent="0.3">
      <c r="B48" s="35">
        <v>39</v>
      </c>
      <c r="C48" s="197" t="s">
        <v>135</v>
      </c>
      <c r="D48" s="45"/>
      <c r="E48" s="38"/>
      <c r="F48" s="32">
        <v>14</v>
      </c>
      <c r="G48" s="32">
        <v>13.5</v>
      </c>
      <c r="H48" s="27"/>
      <c r="I48" s="32">
        <v>15</v>
      </c>
      <c r="J48" s="28"/>
      <c r="K48" s="56">
        <f t="shared" si="1"/>
        <v>14.166666666666666</v>
      </c>
      <c r="L48" s="166" t="str">
        <f t="shared" si="2"/>
        <v>TRANSITA</v>
      </c>
      <c r="M48" s="59">
        <v>15.5</v>
      </c>
      <c r="N48" s="27">
        <v>15.5</v>
      </c>
      <c r="O48" s="200"/>
      <c r="P48" s="27">
        <v>17</v>
      </c>
      <c r="Q48" s="28"/>
      <c r="R48" s="56">
        <f t="shared" si="3"/>
        <v>16</v>
      </c>
      <c r="S48" s="166" t="str">
        <f t="shared" si="4"/>
        <v>TRANSITA</v>
      </c>
      <c r="T48" s="58"/>
      <c r="U48" s="31"/>
      <c r="V48" s="31"/>
      <c r="W48" s="32" t="e">
        <f t="shared" si="5"/>
        <v>#DIV/0!</v>
      </c>
      <c r="X48" s="28"/>
      <c r="Y48" s="56" t="e">
        <f t="shared" si="6"/>
        <v>#DIV/0!</v>
      </c>
      <c r="Z48" s="48" t="e">
        <f t="shared" si="0"/>
        <v>#DIV/0!</v>
      </c>
      <c r="AA48" s="41" t="e">
        <f t="shared" si="7"/>
        <v>#DIV/0!</v>
      </c>
      <c r="AB48" s="62"/>
      <c r="AC48" s="51">
        <f t="shared" si="42"/>
        <v>0</v>
      </c>
      <c r="AD48" s="65" t="e">
        <f t="shared" si="43"/>
        <v>#DIV/0!</v>
      </c>
      <c r="AE48" s="162" t="e">
        <f t="shared" si="10"/>
        <v>#DIV/0!</v>
      </c>
    </row>
    <row r="49" spans="1:31" ht="15.75" customHeight="1" x14ac:dyDescent="0.3">
      <c r="B49" s="35">
        <v>40</v>
      </c>
      <c r="C49" s="197" t="s">
        <v>136</v>
      </c>
      <c r="D49" s="45">
        <v>0</v>
      </c>
      <c r="E49" s="38"/>
      <c r="F49" s="32">
        <v>18</v>
      </c>
      <c r="G49" s="32">
        <v>18</v>
      </c>
      <c r="H49" s="27"/>
      <c r="I49" s="32">
        <v>20</v>
      </c>
      <c r="J49" s="28"/>
      <c r="K49" s="56">
        <f t="shared" si="1"/>
        <v>18.666666666666668</v>
      </c>
      <c r="L49" s="166" t="str">
        <f t="shared" si="2"/>
        <v>TRANSITA</v>
      </c>
      <c r="M49" s="59">
        <v>18</v>
      </c>
      <c r="N49" s="27">
        <v>18</v>
      </c>
      <c r="O49" s="27"/>
      <c r="P49" s="32">
        <v>18.5</v>
      </c>
      <c r="Q49" s="28"/>
      <c r="R49" s="56">
        <f t="shared" si="3"/>
        <v>18.166666666666668</v>
      </c>
      <c r="S49" s="166" t="str">
        <f t="shared" si="4"/>
        <v>TRANSITA</v>
      </c>
      <c r="T49" s="58"/>
      <c r="U49" s="31"/>
      <c r="V49" s="31"/>
      <c r="W49" s="32" t="e">
        <f t="shared" si="5"/>
        <v>#DIV/0!</v>
      </c>
      <c r="X49" s="28"/>
      <c r="Y49" s="56" t="e">
        <f t="shared" si="6"/>
        <v>#DIV/0!</v>
      </c>
      <c r="Z49" s="48" t="e">
        <f t="shared" si="0"/>
        <v>#DIV/0!</v>
      </c>
      <c r="AA49" s="41" t="e">
        <f t="shared" si="7"/>
        <v>#DIV/0!</v>
      </c>
      <c r="AB49" s="62"/>
      <c r="AC49" s="51">
        <f t="shared" ref="AC49:AC50" si="44">AB49*0.6</f>
        <v>0</v>
      </c>
      <c r="AD49" s="65" t="e">
        <f t="shared" ref="AD49:AD50" si="45">AVERAGE(AA49+AC49)</f>
        <v>#DIV/0!</v>
      </c>
      <c r="AE49" s="162" t="e">
        <f t="shared" si="10"/>
        <v>#DIV/0!</v>
      </c>
    </row>
    <row r="50" spans="1:31" ht="15.75" customHeight="1" x14ac:dyDescent="0.3">
      <c r="B50" s="35">
        <v>41</v>
      </c>
      <c r="C50" s="197" t="s">
        <v>137</v>
      </c>
      <c r="D50" s="45"/>
      <c r="E50" s="38"/>
      <c r="F50" s="32">
        <v>18</v>
      </c>
      <c r="G50" s="32">
        <v>16</v>
      </c>
      <c r="H50" s="27"/>
      <c r="I50" s="32">
        <v>20</v>
      </c>
      <c r="J50" s="28"/>
      <c r="K50" s="56">
        <f t="shared" si="1"/>
        <v>18</v>
      </c>
      <c r="L50" s="166" t="str">
        <f t="shared" si="2"/>
        <v>TRANSITA</v>
      </c>
      <c r="M50" s="59">
        <v>14</v>
      </c>
      <c r="N50" s="27">
        <v>14</v>
      </c>
      <c r="O50" s="27"/>
      <c r="P50" s="32">
        <v>16.5</v>
      </c>
      <c r="Q50" s="28"/>
      <c r="R50" s="56">
        <f t="shared" si="3"/>
        <v>14.833333333333334</v>
      </c>
      <c r="S50" s="166" t="str">
        <f t="shared" si="4"/>
        <v>TRANSITA</v>
      </c>
      <c r="T50" s="58"/>
      <c r="U50" s="31"/>
      <c r="V50" s="31"/>
      <c r="W50" s="32" t="e">
        <f t="shared" si="5"/>
        <v>#DIV/0!</v>
      </c>
      <c r="X50" s="28"/>
      <c r="Y50" s="56" t="e">
        <f t="shared" si="6"/>
        <v>#DIV/0!</v>
      </c>
      <c r="Z50" s="48" t="e">
        <f t="shared" si="0"/>
        <v>#DIV/0!</v>
      </c>
      <c r="AA50" s="41" t="e">
        <f t="shared" si="7"/>
        <v>#DIV/0!</v>
      </c>
      <c r="AB50" s="62"/>
      <c r="AC50" s="51">
        <f t="shared" si="44"/>
        <v>0</v>
      </c>
      <c r="AD50" s="65" t="e">
        <f t="shared" si="45"/>
        <v>#DIV/0!</v>
      </c>
      <c r="AE50" s="162" t="e">
        <f t="shared" si="10"/>
        <v>#DIV/0!</v>
      </c>
    </row>
    <row r="51" spans="1:31" ht="15.75" customHeight="1" thickBot="1" x14ac:dyDescent="0.35">
      <c r="B51" s="35">
        <v>42</v>
      </c>
      <c r="C51" s="198" t="s">
        <v>138</v>
      </c>
      <c r="D51" s="46"/>
      <c r="E51" s="39"/>
      <c r="F51" s="137">
        <v>16</v>
      </c>
      <c r="G51" s="137">
        <v>15.5</v>
      </c>
      <c r="H51" s="29"/>
      <c r="I51" s="137"/>
      <c r="J51" s="30"/>
      <c r="K51" s="57">
        <f t="shared" si="1"/>
        <v>10.5</v>
      </c>
      <c r="L51" s="167" t="str">
        <f t="shared" si="2"/>
        <v>TRANSITA</v>
      </c>
      <c r="M51" s="60">
        <v>14</v>
      </c>
      <c r="N51" s="29">
        <v>14</v>
      </c>
      <c r="O51" s="29"/>
      <c r="P51" s="137">
        <v>15.5</v>
      </c>
      <c r="Q51" s="30"/>
      <c r="R51" s="57">
        <f t="shared" si="3"/>
        <v>14.5</v>
      </c>
      <c r="S51" s="167" t="str">
        <f t="shared" si="4"/>
        <v>TRANSITA</v>
      </c>
      <c r="T51" s="193"/>
      <c r="U51" s="194"/>
      <c r="V51" s="194"/>
      <c r="W51" s="137" t="e">
        <f t="shared" si="5"/>
        <v>#DIV/0!</v>
      </c>
      <c r="X51" s="30"/>
      <c r="Y51" s="57" t="e">
        <f t="shared" si="6"/>
        <v>#DIV/0!</v>
      </c>
      <c r="Z51" s="49" t="e">
        <f t="shared" si="0"/>
        <v>#DIV/0!</v>
      </c>
      <c r="AA51" s="42" t="e">
        <f t="shared" si="7"/>
        <v>#DIV/0!</v>
      </c>
      <c r="AB51" s="63"/>
      <c r="AC51" s="52">
        <f t="shared" si="42"/>
        <v>0</v>
      </c>
      <c r="AD51" s="66" t="e">
        <f t="shared" si="43"/>
        <v>#DIV/0!</v>
      </c>
      <c r="AE51" s="164" t="e">
        <f t="shared" si="10"/>
        <v>#DIV/0!</v>
      </c>
    </row>
    <row r="52" spans="1:31" ht="12" customHeight="1" thickTop="1" x14ac:dyDescent="0.3">
      <c r="B52" s="3"/>
      <c r="C52" s="4"/>
      <c r="D52" s="4"/>
      <c r="E52" s="4"/>
      <c r="F52" s="5"/>
      <c r="G52" s="5"/>
      <c r="H52" s="5"/>
      <c r="I52" s="6"/>
      <c r="J52" s="6"/>
      <c r="K52" s="7"/>
      <c r="L52" s="7"/>
      <c r="M52" s="8"/>
      <c r="N52" s="8"/>
      <c r="O52" s="8"/>
      <c r="P52" s="8"/>
      <c r="Q52" s="8"/>
      <c r="R52" s="7"/>
      <c r="S52" s="7"/>
      <c r="T52" s="9"/>
      <c r="U52" s="9"/>
      <c r="V52" s="9"/>
      <c r="W52" s="10"/>
      <c r="X52" s="10"/>
      <c r="Y52" s="7"/>
      <c r="Z52" s="11"/>
      <c r="AA52" s="12"/>
      <c r="AB52" s="13"/>
      <c r="AC52" s="12"/>
      <c r="AD52" s="12"/>
      <c r="AE52" s="14"/>
    </row>
    <row r="53" spans="1:31" ht="16.5" customHeight="1" x14ac:dyDescent="0.3">
      <c r="A53" s="284" t="s">
        <v>140</v>
      </c>
      <c r="B53" s="284"/>
      <c r="C53" s="284"/>
      <c r="D53" s="284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  <c r="AA53" s="284"/>
      <c r="AB53" s="284"/>
      <c r="AC53" s="284"/>
      <c r="AD53" s="284"/>
      <c r="AE53" s="284"/>
    </row>
    <row r="54" spans="1:31" ht="16.5" customHeight="1" x14ac:dyDescent="0.3">
      <c r="A54" s="21"/>
      <c r="B54" s="21"/>
      <c r="C54" s="21"/>
      <c r="D54" s="21"/>
      <c r="E54" s="21"/>
      <c r="F54" s="21"/>
      <c r="G54" s="21"/>
      <c r="H54" s="25"/>
      <c r="I54" s="21"/>
      <c r="J54" s="25"/>
      <c r="K54" s="21"/>
      <c r="L54" s="21"/>
      <c r="M54" s="21"/>
      <c r="N54" s="21"/>
      <c r="O54" s="25"/>
      <c r="P54" s="21"/>
      <c r="Q54" s="25"/>
      <c r="R54" s="21"/>
      <c r="S54" s="21"/>
      <c r="T54" s="21"/>
      <c r="U54" s="21"/>
      <c r="V54" s="25"/>
      <c r="W54" s="21"/>
      <c r="X54" s="25"/>
      <c r="Y54" s="21"/>
      <c r="Z54" s="21"/>
      <c r="AA54" s="21"/>
      <c r="AB54" s="21"/>
      <c r="AC54" s="21"/>
      <c r="AD54" s="21"/>
      <c r="AE54" s="21"/>
    </row>
    <row r="55" spans="1:31" ht="20.25" customHeight="1" x14ac:dyDescent="0.35">
      <c r="A55" s="309" t="s">
        <v>41</v>
      </c>
      <c r="B55" s="309"/>
      <c r="C55" s="309"/>
      <c r="D55" s="309"/>
      <c r="E55" s="309"/>
      <c r="F55" s="309"/>
      <c r="G55" s="19"/>
      <c r="H55" s="23"/>
      <c r="I55" s="20"/>
      <c r="J55" s="20"/>
      <c r="K55" s="20"/>
      <c r="L55" s="20"/>
      <c r="M55" s="20"/>
      <c r="N55" s="20"/>
      <c r="O55" s="20"/>
      <c r="P55" s="20"/>
      <c r="Q55" s="20"/>
      <c r="R55" s="309" t="s">
        <v>10</v>
      </c>
      <c r="S55" s="309"/>
      <c r="T55" s="309"/>
      <c r="U55" s="309"/>
      <c r="V55" s="309"/>
      <c r="W55" s="309"/>
      <c r="X55" s="309"/>
      <c r="Y55" s="309"/>
      <c r="Z55" s="309"/>
      <c r="AA55" s="309"/>
      <c r="AB55" s="309"/>
      <c r="AC55" s="309"/>
      <c r="AD55" s="309"/>
      <c r="AE55" s="309"/>
    </row>
    <row r="56" spans="1:31" ht="20.399999999999999" x14ac:dyDescent="0.35">
      <c r="A56" s="20"/>
      <c r="B56" s="309" t="s">
        <v>11</v>
      </c>
      <c r="C56" s="309"/>
      <c r="D56" s="309"/>
      <c r="E56" s="309"/>
      <c r="F56" s="309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309"/>
      <c r="S56" s="309"/>
      <c r="T56" s="309"/>
      <c r="U56" s="309"/>
      <c r="V56" s="309"/>
      <c r="W56" s="309"/>
      <c r="X56" s="309"/>
      <c r="Y56" s="309"/>
      <c r="Z56" s="309"/>
      <c r="AA56" s="19"/>
      <c r="AB56" s="19"/>
      <c r="AC56" s="19"/>
      <c r="AD56" s="19"/>
      <c r="AE56" s="20"/>
    </row>
    <row r="57" spans="1:31" ht="21.6" x14ac:dyDescent="0.4">
      <c r="A57" s="20"/>
      <c r="B57" s="310"/>
      <c r="C57" s="310"/>
      <c r="D57" s="310"/>
      <c r="E57" s="310"/>
      <c r="F57" s="31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310" t="s">
        <v>12</v>
      </c>
      <c r="S57" s="310"/>
      <c r="T57" s="310"/>
      <c r="U57" s="310"/>
      <c r="V57" s="310"/>
      <c r="W57" s="310"/>
      <c r="X57" s="310"/>
      <c r="Y57" s="310"/>
      <c r="Z57" s="310"/>
      <c r="AA57" s="310"/>
      <c r="AB57" s="310"/>
      <c r="AC57" s="310"/>
      <c r="AD57" s="310"/>
      <c r="AE57" s="310"/>
    </row>
  </sheetData>
  <mergeCells count="28">
    <mergeCell ref="B7:AE7"/>
    <mergeCell ref="A1:AE1"/>
    <mergeCell ref="B4:C4"/>
    <mergeCell ref="Y4:AE4"/>
    <mergeCell ref="B6:C6"/>
    <mergeCell ref="Y6:AE6"/>
    <mergeCell ref="L3:S3"/>
    <mergeCell ref="C8:C9"/>
    <mergeCell ref="D8:E8"/>
    <mergeCell ref="F8:K8"/>
    <mergeCell ref="M8:R8"/>
    <mergeCell ref="L8:L9"/>
    <mergeCell ref="S8:S9"/>
    <mergeCell ref="B56:F56"/>
    <mergeCell ref="R56:Z56"/>
    <mergeCell ref="B57:F57"/>
    <mergeCell ref="R57:AE57"/>
    <mergeCell ref="A53:AE53"/>
    <mergeCell ref="AD8:AD9"/>
    <mergeCell ref="AE8:AE9"/>
    <mergeCell ref="A55:F55"/>
    <mergeCell ref="R55:AE55"/>
    <mergeCell ref="T8:Y8"/>
    <mergeCell ref="Z8:Z9"/>
    <mergeCell ref="AA8:AA9"/>
    <mergeCell ref="AB8:AB9"/>
    <mergeCell ref="AC8:AC9"/>
    <mergeCell ref="B8:B9"/>
  </mergeCells>
  <conditionalFormatting sqref="K52:L52 R52:Y52 Q10:Q51 T10:X51">
    <cfRule type="cellIs" dxfId="869" priority="683" stopIfTrue="1" operator="lessThan">
      <formula>10</formula>
    </cfRule>
    <cfRule type="cellIs" dxfId="868" priority="684" stopIfTrue="1" operator="greaterThan">
      <formula>9</formula>
    </cfRule>
  </conditionalFormatting>
  <conditionalFormatting sqref="K52:L52 R52:Y52 Q10:Q51 T10:X51">
    <cfRule type="cellIs" dxfId="867" priority="681" stopIfTrue="1" operator="lessThan">
      <formula>10</formula>
    </cfRule>
    <cfRule type="cellIs" dxfId="866" priority="682" stopIfTrue="1" operator="greaterThan">
      <formula>9</formula>
    </cfRule>
  </conditionalFormatting>
  <conditionalFormatting sqref="Z10:AD52">
    <cfRule type="cellIs" dxfId="865" priority="679" stopIfTrue="1" operator="greaterThan">
      <formula>9.5</formula>
    </cfRule>
    <cfRule type="cellIs" dxfId="864" priority="680" stopIfTrue="1" operator="lessThanOrEqual">
      <formula>9.5</formula>
    </cfRule>
  </conditionalFormatting>
  <conditionalFormatting sqref="F52:J52">
    <cfRule type="cellIs" dxfId="863" priority="677" stopIfTrue="1" operator="lessThan">
      <formula>10</formula>
    </cfRule>
    <cfRule type="cellIs" dxfId="862" priority="678" stopIfTrue="1" operator="greaterThan">
      <formula>9</formula>
    </cfRule>
  </conditionalFormatting>
  <conditionalFormatting sqref="F52:J52">
    <cfRule type="cellIs" dxfId="861" priority="675" stopIfTrue="1" operator="lessThan">
      <formula>10</formula>
    </cfRule>
    <cfRule type="cellIs" dxfId="860" priority="676" stopIfTrue="1" operator="greaterThan">
      <formula>9</formula>
    </cfRule>
  </conditionalFormatting>
  <conditionalFormatting sqref="M52:Q52 T10:X52 Q10:Q51">
    <cfRule type="cellIs" dxfId="859" priority="671" stopIfTrue="1" operator="lessThan">
      <formula>10</formula>
    </cfRule>
    <cfRule type="cellIs" dxfId="858" priority="672" stopIfTrue="1" operator="greaterThan">
      <formula>9</formula>
    </cfRule>
    <cfRule type="cellIs" dxfId="857" priority="673" stopIfTrue="1" operator="lessThan">
      <formula>10</formula>
    </cfRule>
    <cfRule type="cellIs" dxfId="856" priority="674" stopIfTrue="1" operator="greaterThan">
      <formula>9</formula>
    </cfRule>
  </conditionalFormatting>
  <conditionalFormatting sqref="AB10:AB52">
    <cfRule type="cellIs" dxfId="855" priority="669" stopIfTrue="1" operator="greaterThan">
      <formula>9.5</formula>
    </cfRule>
    <cfRule type="cellIs" dxfId="854" priority="670" stopIfTrue="1" operator="lessThanOrEqual">
      <formula>9.5</formula>
    </cfRule>
  </conditionalFormatting>
  <conditionalFormatting sqref="R10:R51 Y10:Y51">
    <cfRule type="cellIs" dxfId="853" priority="195" stopIfTrue="1" operator="lessThan">
      <formula>10</formula>
    </cfRule>
    <cfRule type="cellIs" dxfId="852" priority="196" stopIfTrue="1" operator="greaterThanOrEqual">
      <formula>10</formula>
    </cfRule>
  </conditionalFormatting>
  <conditionalFormatting sqref="M51:P51 F10:J51 O10 M10:N50 O14:O42 O45:O46 O49:O50 P10:P50">
    <cfRule type="cellIs" dxfId="851" priority="11" stopIfTrue="1" operator="lessThan">
      <formula>10</formula>
    </cfRule>
    <cfRule type="cellIs" dxfId="850" priority="12" stopIfTrue="1" operator="greaterThan">
      <formula>9</formula>
    </cfRule>
  </conditionalFormatting>
  <conditionalFormatting sqref="M51:P51 F10:J51 O10 M10:N50 O14:O42 O45:O46 O49:O50 P10:P50">
    <cfRule type="cellIs" dxfId="849" priority="9" stopIfTrue="1" operator="lessThan">
      <formula>10</formula>
    </cfRule>
    <cfRule type="cellIs" dxfId="848" priority="10" stopIfTrue="1" operator="greaterThan">
      <formula>9</formula>
    </cfRule>
  </conditionalFormatting>
  <conditionalFormatting sqref="M51:P51 F10:J51 O10 M10:N50 O14:O42 O45:O46 O49:O50 P10:P50">
    <cfRule type="cellIs" dxfId="847" priority="5" stopIfTrue="1" operator="lessThan">
      <formula>10</formula>
    </cfRule>
    <cfRule type="cellIs" dxfId="846" priority="6" stopIfTrue="1" operator="greaterThan">
      <formula>9</formula>
    </cfRule>
    <cfRule type="cellIs" dxfId="845" priority="7" stopIfTrue="1" operator="lessThan">
      <formula>10</formula>
    </cfRule>
    <cfRule type="cellIs" dxfId="844" priority="8" stopIfTrue="1" operator="greaterThan">
      <formula>9</formula>
    </cfRule>
  </conditionalFormatting>
  <conditionalFormatting sqref="K10:K51">
    <cfRule type="cellIs" dxfId="843" priority="3" stopIfTrue="1" operator="lessThan">
      <formula>10</formula>
    </cfRule>
    <cfRule type="cellIs" dxfId="842" priority="4" stopIfTrue="1" operator="greaterThanOrEqual">
      <formula>10</formula>
    </cfRule>
  </conditionalFormatting>
  <dataValidations count="1">
    <dataValidation type="decimal" allowBlank="1" showInputMessage="1" showErrorMessage="1" errorTitle="ATENÇÃO!" error="O valor introduzido não é válido. Grato!" sqref="Q10:Q51 X10:X51 AB10:AB51 F10:J51 P10:P48 O10 M10:N51 O45:O46 O49:P51 O14:O42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86" orientation="portrait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75" stopIfTrue="1" operator="containsText" id="{B821B88A-0528-4F4C-87AC-FB25E8318688}">
            <xm:f>NOT(ISERROR(SEARCH("APROVADO/A",AE10)))</xm:f>
            <xm:f>"APROVADO/A"</xm:f>
            <x14:dxf>
              <font>
                <b/>
                <i val="0"/>
                <color rgb="FF0000FF"/>
              </font>
            </x14:dxf>
          </x14:cfRule>
          <x14:cfRule type="containsText" priority="376" stopIfTrue="1" operator="containsText" id="{76E7D06C-8CBA-48A3-B1CB-0332F1CBAA1F}">
            <xm:f>NOT(ISERROR(SEARCH("REPROVADO/A",AE10)))</xm:f>
            <xm:f>"REPROVADO/A"</xm:f>
            <x14:dxf>
              <font>
                <b/>
                <i val="0"/>
                <color rgb="FFFF0000"/>
              </font>
            </x14:dxf>
          </x14:cfRule>
          <xm:sqref>AE10:AE51</xm:sqref>
        </x14:conditionalFormatting>
        <x14:conditionalFormatting xmlns:xm="http://schemas.microsoft.com/office/excel/2006/main">
          <x14:cfRule type="containsText" priority="169" stopIfTrue="1" operator="containsText" id="{5A78C372-8E76-4147-8F9C-D4A514ABA5E8}">
            <xm:f>NOT(ISERROR(SEARCH("N/TRANSITA",S10)))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70" stopIfTrue="1" operator="containsText" id="{308D38D8-8881-4740-9534-090808D3FE4A}">
            <xm:f>NOT(ISERROR(SEARCH("TRANSITA",S10)))</xm:f>
            <xm:f>"TRANSITA"</xm:f>
            <x14:dxf>
              <font>
                <b/>
                <i val="0"/>
                <color rgb="FF0070C0"/>
              </font>
            </x14:dxf>
          </x14:cfRule>
          <xm:sqref>S10:S51</xm:sqref>
        </x14:conditionalFormatting>
        <x14:conditionalFormatting xmlns:xm="http://schemas.microsoft.com/office/excel/2006/main">
          <x14:cfRule type="containsText" priority="1" stopIfTrue="1" operator="containsText" id="{D27BE3C6-6A31-42C6-AE42-7F3C51ADD340}">
            <xm:f>NOT(ISERROR(SEARCH("N/TRANSITA",L10)))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" stopIfTrue="1" operator="containsText" id="{7916AFD1-3D93-417A-958D-6ED05FF0A33C}">
            <xm:f>NOT(ISERROR(SEARCH("TRANSITA",L10)))</xm:f>
            <xm:f>"TRANSITA"</xm:f>
            <x14:dxf>
              <font>
                <b/>
                <i val="0"/>
                <color rgb="FF0070C0"/>
              </font>
            </x14:dxf>
          </x14:cfRule>
          <xm:sqref>L10:L51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1">
    <tabColor rgb="FF00B050"/>
  </sheetPr>
  <dimension ref="A1:AE57"/>
  <sheetViews>
    <sheetView showGridLines="0" zoomScaleNormal="100" zoomScalePageLayoutView="85" workbookViewId="0">
      <selection activeCell="F14" sqref="F14"/>
    </sheetView>
  </sheetViews>
  <sheetFormatPr defaultRowHeight="14.4" x14ac:dyDescent="0.3"/>
  <cols>
    <col min="1" max="1" width="1.6640625" customWidth="1"/>
    <col min="2" max="2" width="3.6640625" customWidth="1"/>
    <col min="3" max="3" width="36.33203125" customWidth="1"/>
    <col min="4" max="4" width="2.6640625" customWidth="1"/>
    <col min="5" max="5" width="2.88671875" customWidth="1"/>
    <col min="6" max="11" width="4.44140625" customWidth="1"/>
    <col min="12" max="12" width="11.88671875" customWidth="1"/>
    <col min="13" max="18" width="4.44140625" customWidth="1"/>
    <col min="19" max="19" width="11.44140625" customWidth="1"/>
    <col min="20" max="25" width="4.44140625" customWidth="1"/>
    <col min="26" max="26" width="6.109375" customWidth="1"/>
    <col min="27" max="27" width="4.44140625" customWidth="1"/>
    <col min="28" max="28" width="5.88671875" customWidth="1"/>
    <col min="29" max="29" width="4.44140625" customWidth="1"/>
    <col min="30" max="30" width="6.33203125" customWidth="1"/>
    <col min="31" max="31" width="13.109375" customWidth="1"/>
    <col min="32" max="32" width="3.44140625" customWidth="1"/>
    <col min="33" max="33" width="5" customWidth="1"/>
    <col min="267" max="267" width="1.6640625" customWidth="1"/>
    <col min="268" max="268" width="3.6640625" customWidth="1"/>
    <col min="269" max="269" width="23.44140625" customWidth="1"/>
    <col min="270" max="281" width="4.44140625" customWidth="1"/>
    <col min="282" max="282" width="6.109375" customWidth="1"/>
    <col min="283" max="283" width="4.44140625" customWidth="1"/>
    <col min="284" max="284" width="7.5546875" customWidth="1"/>
    <col min="285" max="285" width="4.44140625" customWidth="1"/>
    <col min="286" max="286" width="6.33203125" customWidth="1"/>
    <col min="287" max="287" width="7.88671875" customWidth="1"/>
    <col min="288" max="288" width="3.44140625" customWidth="1"/>
    <col min="289" max="289" width="5" customWidth="1"/>
    <col min="523" max="523" width="1.6640625" customWidth="1"/>
    <col min="524" max="524" width="3.6640625" customWidth="1"/>
    <col min="525" max="525" width="23.44140625" customWidth="1"/>
    <col min="526" max="537" width="4.44140625" customWidth="1"/>
    <col min="538" max="538" width="6.109375" customWidth="1"/>
    <col min="539" max="539" width="4.44140625" customWidth="1"/>
    <col min="540" max="540" width="7.5546875" customWidth="1"/>
    <col min="541" max="541" width="4.44140625" customWidth="1"/>
    <col min="542" max="542" width="6.33203125" customWidth="1"/>
    <col min="543" max="543" width="7.88671875" customWidth="1"/>
    <col min="544" max="544" width="3.44140625" customWidth="1"/>
    <col min="545" max="545" width="5" customWidth="1"/>
    <col min="779" max="779" width="1.6640625" customWidth="1"/>
    <col min="780" max="780" width="3.6640625" customWidth="1"/>
    <col min="781" max="781" width="23.44140625" customWidth="1"/>
    <col min="782" max="793" width="4.44140625" customWidth="1"/>
    <col min="794" max="794" width="6.109375" customWidth="1"/>
    <col min="795" max="795" width="4.44140625" customWidth="1"/>
    <col min="796" max="796" width="7.5546875" customWidth="1"/>
    <col min="797" max="797" width="4.44140625" customWidth="1"/>
    <col min="798" max="798" width="6.33203125" customWidth="1"/>
    <col min="799" max="799" width="7.88671875" customWidth="1"/>
    <col min="800" max="800" width="3.44140625" customWidth="1"/>
    <col min="801" max="801" width="5" customWidth="1"/>
    <col min="1035" max="1035" width="1.6640625" customWidth="1"/>
    <col min="1036" max="1036" width="3.6640625" customWidth="1"/>
    <col min="1037" max="1037" width="23.44140625" customWidth="1"/>
    <col min="1038" max="1049" width="4.44140625" customWidth="1"/>
    <col min="1050" max="1050" width="6.109375" customWidth="1"/>
    <col min="1051" max="1051" width="4.44140625" customWidth="1"/>
    <col min="1052" max="1052" width="7.5546875" customWidth="1"/>
    <col min="1053" max="1053" width="4.44140625" customWidth="1"/>
    <col min="1054" max="1054" width="6.33203125" customWidth="1"/>
    <col min="1055" max="1055" width="7.88671875" customWidth="1"/>
    <col min="1056" max="1056" width="3.44140625" customWidth="1"/>
    <col min="1057" max="1057" width="5" customWidth="1"/>
    <col min="1291" max="1291" width="1.6640625" customWidth="1"/>
    <col min="1292" max="1292" width="3.6640625" customWidth="1"/>
    <col min="1293" max="1293" width="23.44140625" customWidth="1"/>
    <col min="1294" max="1305" width="4.44140625" customWidth="1"/>
    <col min="1306" max="1306" width="6.109375" customWidth="1"/>
    <col min="1307" max="1307" width="4.44140625" customWidth="1"/>
    <col min="1308" max="1308" width="7.5546875" customWidth="1"/>
    <col min="1309" max="1309" width="4.44140625" customWidth="1"/>
    <col min="1310" max="1310" width="6.33203125" customWidth="1"/>
    <col min="1311" max="1311" width="7.88671875" customWidth="1"/>
    <col min="1312" max="1312" width="3.44140625" customWidth="1"/>
    <col min="1313" max="1313" width="5" customWidth="1"/>
    <col min="1547" max="1547" width="1.6640625" customWidth="1"/>
    <col min="1548" max="1548" width="3.6640625" customWidth="1"/>
    <col min="1549" max="1549" width="23.44140625" customWidth="1"/>
    <col min="1550" max="1561" width="4.44140625" customWidth="1"/>
    <col min="1562" max="1562" width="6.109375" customWidth="1"/>
    <col min="1563" max="1563" width="4.44140625" customWidth="1"/>
    <col min="1564" max="1564" width="7.5546875" customWidth="1"/>
    <col min="1565" max="1565" width="4.44140625" customWidth="1"/>
    <col min="1566" max="1566" width="6.33203125" customWidth="1"/>
    <col min="1567" max="1567" width="7.88671875" customWidth="1"/>
    <col min="1568" max="1568" width="3.44140625" customWidth="1"/>
    <col min="1569" max="1569" width="5" customWidth="1"/>
    <col min="1803" max="1803" width="1.6640625" customWidth="1"/>
    <col min="1804" max="1804" width="3.6640625" customWidth="1"/>
    <col min="1805" max="1805" width="23.44140625" customWidth="1"/>
    <col min="1806" max="1817" width="4.44140625" customWidth="1"/>
    <col min="1818" max="1818" width="6.109375" customWidth="1"/>
    <col min="1819" max="1819" width="4.44140625" customWidth="1"/>
    <col min="1820" max="1820" width="7.5546875" customWidth="1"/>
    <col min="1821" max="1821" width="4.44140625" customWidth="1"/>
    <col min="1822" max="1822" width="6.33203125" customWidth="1"/>
    <col min="1823" max="1823" width="7.88671875" customWidth="1"/>
    <col min="1824" max="1824" width="3.44140625" customWidth="1"/>
    <col min="1825" max="1825" width="5" customWidth="1"/>
    <col min="2059" max="2059" width="1.6640625" customWidth="1"/>
    <col min="2060" max="2060" width="3.6640625" customWidth="1"/>
    <col min="2061" max="2061" width="23.44140625" customWidth="1"/>
    <col min="2062" max="2073" width="4.44140625" customWidth="1"/>
    <col min="2074" max="2074" width="6.109375" customWidth="1"/>
    <col min="2075" max="2075" width="4.44140625" customWidth="1"/>
    <col min="2076" max="2076" width="7.5546875" customWidth="1"/>
    <col min="2077" max="2077" width="4.44140625" customWidth="1"/>
    <col min="2078" max="2078" width="6.33203125" customWidth="1"/>
    <col min="2079" max="2079" width="7.88671875" customWidth="1"/>
    <col min="2080" max="2080" width="3.44140625" customWidth="1"/>
    <col min="2081" max="2081" width="5" customWidth="1"/>
    <col min="2315" max="2315" width="1.6640625" customWidth="1"/>
    <col min="2316" max="2316" width="3.6640625" customWidth="1"/>
    <col min="2317" max="2317" width="23.44140625" customWidth="1"/>
    <col min="2318" max="2329" width="4.44140625" customWidth="1"/>
    <col min="2330" max="2330" width="6.109375" customWidth="1"/>
    <col min="2331" max="2331" width="4.44140625" customWidth="1"/>
    <col min="2332" max="2332" width="7.5546875" customWidth="1"/>
    <col min="2333" max="2333" width="4.44140625" customWidth="1"/>
    <col min="2334" max="2334" width="6.33203125" customWidth="1"/>
    <col min="2335" max="2335" width="7.88671875" customWidth="1"/>
    <col min="2336" max="2336" width="3.44140625" customWidth="1"/>
    <col min="2337" max="2337" width="5" customWidth="1"/>
    <col min="2571" max="2571" width="1.6640625" customWidth="1"/>
    <col min="2572" max="2572" width="3.6640625" customWidth="1"/>
    <col min="2573" max="2573" width="23.44140625" customWidth="1"/>
    <col min="2574" max="2585" width="4.44140625" customWidth="1"/>
    <col min="2586" max="2586" width="6.109375" customWidth="1"/>
    <col min="2587" max="2587" width="4.44140625" customWidth="1"/>
    <col min="2588" max="2588" width="7.5546875" customWidth="1"/>
    <col min="2589" max="2589" width="4.44140625" customWidth="1"/>
    <col min="2590" max="2590" width="6.33203125" customWidth="1"/>
    <col min="2591" max="2591" width="7.88671875" customWidth="1"/>
    <col min="2592" max="2592" width="3.44140625" customWidth="1"/>
    <col min="2593" max="2593" width="5" customWidth="1"/>
    <col min="2827" max="2827" width="1.6640625" customWidth="1"/>
    <col min="2828" max="2828" width="3.6640625" customWidth="1"/>
    <col min="2829" max="2829" width="23.44140625" customWidth="1"/>
    <col min="2830" max="2841" width="4.44140625" customWidth="1"/>
    <col min="2842" max="2842" width="6.109375" customWidth="1"/>
    <col min="2843" max="2843" width="4.44140625" customWidth="1"/>
    <col min="2844" max="2844" width="7.5546875" customWidth="1"/>
    <col min="2845" max="2845" width="4.44140625" customWidth="1"/>
    <col min="2846" max="2846" width="6.33203125" customWidth="1"/>
    <col min="2847" max="2847" width="7.88671875" customWidth="1"/>
    <col min="2848" max="2848" width="3.44140625" customWidth="1"/>
    <col min="2849" max="2849" width="5" customWidth="1"/>
    <col min="3083" max="3083" width="1.6640625" customWidth="1"/>
    <col min="3084" max="3084" width="3.6640625" customWidth="1"/>
    <col min="3085" max="3085" width="23.44140625" customWidth="1"/>
    <col min="3086" max="3097" width="4.44140625" customWidth="1"/>
    <col min="3098" max="3098" width="6.109375" customWidth="1"/>
    <col min="3099" max="3099" width="4.44140625" customWidth="1"/>
    <col min="3100" max="3100" width="7.5546875" customWidth="1"/>
    <col min="3101" max="3101" width="4.44140625" customWidth="1"/>
    <col min="3102" max="3102" width="6.33203125" customWidth="1"/>
    <col min="3103" max="3103" width="7.88671875" customWidth="1"/>
    <col min="3104" max="3104" width="3.44140625" customWidth="1"/>
    <col min="3105" max="3105" width="5" customWidth="1"/>
    <col min="3339" max="3339" width="1.6640625" customWidth="1"/>
    <col min="3340" max="3340" width="3.6640625" customWidth="1"/>
    <col min="3341" max="3341" width="23.44140625" customWidth="1"/>
    <col min="3342" max="3353" width="4.44140625" customWidth="1"/>
    <col min="3354" max="3354" width="6.109375" customWidth="1"/>
    <col min="3355" max="3355" width="4.44140625" customWidth="1"/>
    <col min="3356" max="3356" width="7.5546875" customWidth="1"/>
    <col min="3357" max="3357" width="4.44140625" customWidth="1"/>
    <col min="3358" max="3358" width="6.33203125" customWidth="1"/>
    <col min="3359" max="3359" width="7.88671875" customWidth="1"/>
    <col min="3360" max="3360" width="3.44140625" customWidth="1"/>
    <col min="3361" max="3361" width="5" customWidth="1"/>
    <col min="3595" max="3595" width="1.6640625" customWidth="1"/>
    <col min="3596" max="3596" width="3.6640625" customWidth="1"/>
    <col min="3597" max="3597" width="23.44140625" customWidth="1"/>
    <col min="3598" max="3609" width="4.44140625" customWidth="1"/>
    <col min="3610" max="3610" width="6.109375" customWidth="1"/>
    <col min="3611" max="3611" width="4.44140625" customWidth="1"/>
    <col min="3612" max="3612" width="7.5546875" customWidth="1"/>
    <col min="3613" max="3613" width="4.44140625" customWidth="1"/>
    <col min="3614" max="3614" width="6.33203125" customWidth="1"/>
    <col min="3615" max="3615" width="7.88671875" customWidth="1"/>
    <col min="3616" max="3616" width="3.44140625" customWidth="1"/>
    <col min="3617" max="3617" width="5" customWidth="1"/>
    <col min="3851" max="3851" width="1.6640625" customWidth="1"/>
    <col min="3852" max="3852" width="3.6640625" customWidth="1"/>
    <col min="3853" max="3853" width="23.44140625" customWidth="1"/>
    <col min="3854" max="3865" width="4.44140625" customWidth="1"/>
    <col min="3866" max="3866" width="6.109375" customWidth="1"/>
    <col min="3867" max="3867" width="4.44140625" customWidth="1"/>
    <col min="3868" max="3868" width="7.5546875" customWidth="1"/>
    <col min="3869" max="3869" width="4.44140625" customWidth="1"/>
    <col min="3870" max="3870" width="6.33203125" customWidth="1"/>
    <col min="3871" max="3871" width="7.88671875" customWidth="1"/>
    <col min="3872" max="3872" width="3.44140625" customWidth="1"/>
    <col min="3873" max="3873" width="5" customWidth="1"/>
    <col min="4107" max="4107" width="1.6640625" customWidth="1"/>
    <col min="4108" max="4108" width="3.6640625" customWidth="1"/>
    <col min="4109" max="4109" width="23.44140625" customWidth="1"/>
    <col min="4110" max="4121" width="4.44140625" customWidth="1"/>
    <col min="4122" max="4122" width="6.109375" customWidth="1"/>
    <col min="4123" max="4123" width="4.44140625" customWidth="1"/>
    <col min="4124" max="4124" width="7.5546875" customWidth="1"/>
    <col min="4125" max="4125" width="4.44140625" customWidth="1"/>
    <col min="4126" max="4126" width="6.33203125" customWidth="1"/>
    <col min="4127" max="4127" width="7.88671875" customWidth="1"/>
    <col min="4128" max="4128" width="3.44140625" customWidth="1"/>
    <col min="4129" max="4129" width="5" customWidth="1"/>
    <col min="4363" max="4363" width="1.6640625" customWidth="1"/>
    <col min="4364" max="4364" width="3.6640625" customWidth="1"/>
    <col min="4365" max="4365" width="23.44140625" customWidth="1"/>
    <col min="4366" max="4377" width="4.44140625" customWidth="1"/>
    <col min="4378" max="4378" width="6.109375" customWidth="1"/>
    <col min="4379" max="4379" width="4.44140625" customWidth="1"/>
    <col min="4380" max="4380" width="7.5546875" customWidth="1"/>
    <col min="4381" max="4381" width="4.44140625" customWidth="1"/>
    <col min="4382" max="4382" width="6.33203125" customWidth="1"/>
    <col min="4383" max="4383" width="7.88671875" customWidth="1"/>
    <col min="4384" max="4384" width="3.44140625" customWidth="1"/>
    <col min="4385" max="4385" width="5" customWidth="1"/>
    <col min="4619" max="4619" width="1.6640625" customWidth="1"/>
    <col min="4620" max="4620" width="3.6640625" customWidth="1"/>
    <col min="4621" max="4621" width="23.44140625" customWidth="1"/>
    <col min="4622" max="4633" width="4.44140625" customWidth="1"/>
    <col min="4634" max="4634" width="6.109375" customWidth="1"/>
    <col min="4635" max="4635" width="4.44140625" customWidth="1"/>
    <col min="4636" max="4636" width="7.5546875" customWidth="1"/>
    <col min="4637" max="4637" width="4.44140625" customWidth="1"/>
    <col min="4638" max="4638" width="6.33203125" customWidth="1"/>
    <col min="4639" max="4639" width="7.88671875" customWidth="1"/>
    <col min="4640" max="4640" width="3.44140625" customWidth="1"/>
    <col min="4641" max="4641" width="5" customWidth="1"/>
    <col min="4875" max="4875" width="1.6640625" customWidth="1"/>
    <col min="4876" max="4876" width="3.6640625" customWidth="1"/>
    <col min="4877" max="4877" width="23.44140625" customWidth="1"/>
    <col min="4878" max="4889" width="4.44140625" customWidth="1"/>
    <col min="4890" max="4890" width="6.109375" customWidth="1"/>
    <col min="4891" max="4891" width="4.44140625" customWidth="1"/>
    <col min="4892" max="4892" width="7.5546875" customWidth="1"/>
    <col min="4893" max="4893" width="4.44140625" customWidth="1"/>
    <col min="4894" max="4894" width="6.33203125" customWidth="1"/>
    <col min="4895" max="4895" width="7.88671875" customWidth="1"/>
    <col min="4896" max="4896" width="3.44140625" customWidth="1"/>
    <col min="4897" max="4897" width="5" customWidth="1"/>
    <col min="5131" max="5131" width="1.6640625" customWidth="1"/>
    <col min="5132" max="5132" width="3.6640625" customWidth="1"/>
    <col min="5133" max="5133" width="23.44140625" customWidth="1"/>
    <col min="5134" max="5145" width="4.44140625" customWidth="1"/>
    <col min="5146" max="5146" width="6.109375" customWidth="1"/>
    <col min="5147" max="5147" width="4.44140625" customWidth="1"/>
    <col min="5148" max="5148" width="7.5546875" customWidth="1"/>
    <col min="5149" max="5149" width="4.44140625" customWidth="1"/>
    <col min="5150" max="5150" width="6.33203125" customWidth="1"/>
    <col min="5151" max="5151" width="7.88671875" customWidth="1"/>
    <col min="5152" max="5152" width="3.44140625" customWidth="1"/>
    <col min="5153" max="5153" width="5" customWidth="1"/>
    <col min="5387" max="5387" width="1.6640625" customWidth="1"/>
    <col min="5388" max="5388" width="3.6640625" customWidth="1"/>
    <col min="5389" max="5389" width="23.44140625" customWidth="1"/>
    <col min="5390" max="5401" width="4.44140625" customWidth="1"/>
    <col min="5402" max="5402" width="6.109375" customWidth="1"/>
    <col min="5403" max="5403" width="4.44140625" customWidth="1"/>
    <col min="5404" max="5404" width="7.5546875" customWidth="1"/>
    <col min="5405" max="5405" width="4.44140625" customWidth="1"/>
    <col min="5406" max="5406" width="6.33203125" customWidth="1"/>
    <col min="5407" max="5407" width="7.88671875" customWidth="1"/>
    <col min="5408" max="5408" width="3.44140625" customWidth="1"/>
    <col min="5409" max="5409" width="5" customWidth="1"/>
    <col min="5643" max="5643" width="1.6640625" customWidth="1"/>
    <col min="5644" max="5644" width="3.6640625" customWidth="1"/>
    <col min="5645" max="5645" width="23.44140625" customWidth="1"/>
    <col min="5646" max="5657" width="4.44140625" customWidth="1"/>
    <col min="5658" max="5658" width="6.109375" customWidth="1"/>
    <col min="5659" max="5659" width="4.44140625" customWidth="1"/>
    <col min="5660" max="5660" width="7.5546875" customWidth="1"/>
    <col min="5661" max="5661" width="4.44140625" customWidth="1"/>
    <col min="5662" max="5662" width="6.33203125" customWidth="1"/>
    <col min="5663" max="5663" width="7.88671875" customWidth="1"/>
    <col min="5664" max="5664" width="3.44140625" customWidth="1"/>
    <col min="5665" max="5665" width="5" customWidth="1"/>
    <col min="5899" max="5899" width="1.6640625" customWidth="1"/>
    <col min="5900" max="5900" width="3.6640625" customWidth="1"/>
    <col min="5901" max="5901" width="23.44140625" customWidth="1"/>
    <col min="5902" max="5913" width="4.44140625" customWidth="1"/>
    <col min="5914" max="5914" width="6.109375" customWidth="1"/>
    <col min="5915" max="5915" width="4.44140625" customWidth="1"/>
    <col min="5916" max="5916" width="7.5546875" customWidth="1"/>
    <col min="5917" max="5917" width="4.44140625" customWidth="1"/>
    <col min="5918" max="5918" width="6.33203125" customWidth="1"/>
    <col min="5919" max="5919" width="7.88671875" customWidth="1"/>
    <col min="5920" max="5920" width="3.44140625" customWidth="1"/>
    <col min="5921" max="5921" width="5" customWidth="1"/>
    <col min="6155" max="6155" width="1.6640625" customWidth="1"/>
    <col min="6156" max="6156" width="3.6640625" customWidth="1"/>
    <col min="6157" max="6157" width="23.44140625" customWidth="1"/>
    <col min="6158" max="6169" width="4.44140625" customWidth="1"/>
    <col min="6170" max="6170" width="6.109375" customWidth="1"/>
    <col min="6171" max="6171" width="4.44140625" customWidth="1"/>
    <col min="6172" max="6172" width="7.5546875" customWidth="1"/>
    <col min="6173" max="6173" width="4.44140625" customWidth="1"/>
    <col min="6174" max="6174" width="6.33203125" customWidth="1"/>
    <col min="6175" max="6175" width="7.88671875" customWidth="1"/>
    <col min="6176" max="6176" width="3.44140625" customWidth="1"/>
    <col min="6177" max="6177" width="5" customWidth="1"/>
    <col min="6411" max="6411" width="1.6640625" customWidth="1"/>
    <col min="6412" max="6412" width="3.6640625" customWidth="1"/>
    <col min="6413" max="6413" width="23.44140625" customWidth="1"/>
    <col min="6414" max="6425" width="4.44140625" customWidth="1"/>
    <col min="6426" max="6426" width="6.109375" customWidth="1"/>
    <col min="6427" max="6427" width="4.44140625" customWidth="1"/>
    <col min="6428" max="6428" width="7.5546875" customWidth="1"/>
    <col min="6429" max="6429" width="4.44140625" customWidth="1"/>
    <col min="6430" max="6430" width="6.33203125" customWidth="1"/>
    <col min="6431" max="6431" width="7.88671875" customWidth="1"/>
    <col min="6432" max="6432" width="3.44140625" customWidth="1"/>
    <col min="6433" max="6433" width="5" customWidth="1"/>
    <col min="6667" max="6667" width="1.6640625" customWidth="1"/>
    <col min="6668" max="6668" width="3.6640625" customWidth="1"/>
    <col min="6669" max="6669" width="23.44140625" customWidth="1"/>
    <col min="6670" max="6681" width="4.44140625" customWidth="1"/>
    <col min="6682" max="6682" width="6.109375" customWidth="1"/>
    <col min="6683" max="6683" width="4.44140625" customWidth="1"/>
    <col min="6684" max="6684" width="7.5546875" customWidth="1"/>
    <col min="6685" max="6685" width="4.44140625" customWidth="1"/>
    <col min="6686" max="6686" width="6.33203125" customWidth="1"/>
    <col min="6687" max="6687" width="7.88671875" customWidth="1"/>
    <col min="6688" max="6688" width="3.44140625" customWidth="1"/>
    <col min="6689" max="6689" width="5" customWidth="1"/>
    <col min="6923" max="6923" width="1.6640625" customWidth="1"/>
    <col min="6924" max="6924" width="3.6640625" customWidth="1"/>
    <col min="6925" max="6925" width="23.44140625" customWidth="1"/>
    <col min="6926" max="6937" width="4.44140625" customWidth="1"/>
    <col min="6938" max="6938" width="6.109375" customWidth="1"/>
    <col min="6939" max="6939" width="4.44140625" customWidth="1"/>
    <col min="6940" max="6940" width="7.5546875" customWidth="1"/>
    <col min="6941" max="6941" width="4.44140625" customWidth="1"/>
    <col min="6942" max="6942" width="6.33203125" customWidth="1"/>
    <col min="6943" max="6943" width="7.88671875" customWidth="1"/>
    <col min="6944" max="6944" width="3.44140625" customWidth="1"/>
    <col min="6945" max="6945" width="5" customWidth="1"/>
    <col min="7179" max="7179" width="1.6640625" customWidth="1"/>
    <col min="7180" max="7180" width="3.6640625" customWidth="1"/>
    <col min="7181" max="7181" width="23.44140625" customWidth="1"/>
    <col min="7182" max="7193" width="4.44140625" customWidth="1"/>
    <col min="7194" max="7194" width="6.109375" customWidth="1"/>
    <col min="7195" max="7195" width="4.44140625" customWidth="1"/>
    <col min="7196" max="7196" width="7.5546875" customWidth="1"/>
    <col min="7197" max="7197" width="4.44140625" customWidth="1"/>
    <col min="7198" max="7198" width="6.33203125" customWidth="1"/>
    <col min="7199" max="7199" width="7.88671875" customWidth="1"/>
    <col min="7200" max="7200" width="3.44140625" customWidth="1"/>
    <col min="7201" max="7201" width="5" customWidth="1"/>
    <col min="7435" max="7435" width="1.6640625" customWidth="1"/>
    <col min="7436" max="7436" width="3.6640625" customWidth="1"/>
    <col min="7437" max="7437" width="23.44140625" customWidth="1"/>
    <col min="7438" max="7449" width="4.44140625" customWidth="1"/>
    <col min="7450" max="7450" width="6.109375" customWidth="1"/>
    <col min="7451" max="7451" width="4.44140625" customWidth="1"/>
    <col min="7452" max="7452" width="7.5546875" customWidth="1"/>
    <col min="7453" max="7453" width="4.44140625" customWidth="1"/>
    <col min="7454" max="7454" width="6.33203125" customWidth="1"/>
    <col min="7455" max="7455" width="7.88671875" customWidth="1"/>
    <col min="7456" max="7456" width="3.44140625" customWidth="1"/>
    <col min="7457" max="7457" width="5" customWidth="1"/>
    <col min="7691" max="7691" width="1.6640625" customWidth="1"/>
    <col min="7692" max="7692" width="3.6640625" customWidth="1"/>
    <col min="7693" max="7693" width="23.44140625" customWidth="1"/>
    <col min="7694" max="7705" width="4.44140625" customWidth="1"/>
    <col min="7706" max="7706" width="6.109375" customWidth="1"/>
    <col min="7707" max="7707" width="4.44140625" customWidth="1"/>
    <col min="7708" max="7708" width="7.5546875" customWidth="1"/>
    <col min="7709" max="7709" width="4.44140625" customWidth="1"/>
    <col min="7710" max="7710" width="6.33203125" customWidth="1"/>
    <col min="7711" max="7711" width="7.88671875" customWidth="1"/>
    <col min="7712" max="7712" width="3.44140625" customWidth="1"/>
    <col min="7713" max="7713" width="5" customWidth="1"/>
    <col min="7947" max="7947" width="1.6640625" customWidth="1"/>
    <col min="7948" max="7948" width="3.6640625" customWidth="1"/>
    <col min="7949" max="7949" width="23.44140625" customWidth="1"/>
    <col min="7950" max="7961" width="4.44140625" customWidth="1"/>
    <col min="7962" max="7962" width="6.109375" customWidth="1"/>
    <col min="7963" max="7963" width="4.44140625" customWidth="1"/>
    <col min="7964" max="7964" width="7.5546875" customWidth="1"/>
    <col min="7965" max="7965" width="4.44140625" customWidth="1"/>
    <col min="7966" max="7966" width="6.33203125" customWidth="1"/>
    <col min="7967" max="7967" width="7.88671875" customWidth="1"/>
    <col min="7968" max="7968" width="3.44140625" customWidth="1"/>
    <col min="7969" max="7969" width="5" customWidth="1"/>
    <col min="8203" max="8203" width="1.6640625" customWidth="1"/>
    <col min="8204" max="8204" width="3.6640625" customWidth="1"/>
    <col min="8205" max="8205" width="23.44140625" customWidth="1"/>
    <col min="8206" max="8217" width="4.44140625" customWidth="1"/>
    <col min="8218" max="8218" width="6.109375" customWidth="1"/>
    <col min="8219" max="8219" width="4.44140625" customWidth="1"/>
    <col min="8220" max="8220" width="7.5546875" customWidth="1"/>
    <col min="8221" max="8221" width="4.44140625" customWidth="1"/>
    <col min="8222" max="8222" width="6.33203125" customWidth="1"/>
    <col min="8223" max="8223" width="7.88671875" customWidth="1"/>
    <col min="8224" max="8224" width="3.44140625" customWidth="1"/>
    <col min="8225" max="8225" width="5" customWidth="1"/>
    <col min="8459" max="8459" width="1.6640625" customWidth="1"/>
    <col min="8460" max="8460" width="3.6640625" customWidth="1"/>
    <col min="8461" max="8461" width="23.44140625" customWidth="1"/>
    <col min="8462" max="8473" width="4.44140625" customWidth="1"/>
    <col min="8474" max="8474" width="6.109375" customWidth="1"/>
    <col min="8475" max="8475" width="4.44140625" customWidth="1"/>
    <col min="8476" max="8476" width="7.5546875" customWidth="1"/>
    <col min="8477" max="8477" width="4.44140625" customWidth="1"/>
    <col min="8478" max="8478" width="6.33203125" customWidth="1"/>
    <col min="8479" max="8479" width="7.88671875" customWidth="1"/>
    <col min="8480" max="8480" width="3.44140625" customWidth="1"/>
    <col min="8481" max="8481" width="5" customWidth="1"/>
    <col min="8715" max="8715" width="1.6640625" customWidth="1"/>
    <col min="8716" max="8716" width="3.6640625" customWidth="1"/>
    <col min="8717" max="8717" width="23.44140625" customWidth="1"/>
    <col min="8718" max="8729" width="4.44140625" customWidth="1"/>
    <col min="8730" max="8730" width="6.109375" customWidth="1"/>
    <col min="8731" max="8731" width="4.44140625" customWidth="1"/>
    <col min="8732" max="8732" width="7.5546875" customWidth="1"/>
    <col min="8733" max="8733" width="4.44140625" customWidth="1"/>
    <col min="8734" max="8734" width="6.33203125" customWidth="1"/>
    <col min="8735" max="8735" width="7.88671875" customWidth="1"/>
    <col min="8736" max="8736" width="3.44140625" customWidth="1"/>
    <col min="8737" max="8737" width="5" customWidth="1"/>
    <col min="8971" max="8971" width="1.6640625" customWidth="1"/>
    <col min="8972" max="8972" width="3.6640625" customWidth="1"/>
    <col min="8973" max="8973" width="23.44140625" customWidth="1"/>
    <col min="8974" max="8985" width="4.44140625" customWidth="1"/>
    <col min="8986" max="8986" width="6.109375" customWidth="1"/>
    <col min="8987" max="8987" width="4.44140625" customWidth="1"/>
    <col min="8988" max="8988" width="7.5546875" customWidth="1"/>
    <col min="8989" max="8989" width="4.44140625" customWidth="1"/>
    <col min="8990" max="8990" width="6.33203125" customWidth="1"/>
    <col min="8991" max="8991" width="7.88671875" customWidth="1"/>
    <col min="8992" max="8992" width="3.44140625" customWidth="1"/>
    <col min="8993" max="8993" width="5" customWidth="1"/>
    <col min="9227" max="9227" width="1.6640625" customWidth="1"/>
    <col min="9228" max="9228" width="3.6640625" customWidth="1"/>
    <col min="9229" max="9229" width="23.44140625" customWidth="1"/>
    <col min="9230" max="9241" width="4.44140625" customWidth="1"/>
    <col min="9242" max="9242" width="6.109375" customWidth="1"/>
    <col min="9243" max="9243" width="4.44140625" customWidth="1"/>
    <col min="9244" max="9244" width="7.5546875" customWidth="1"/>
    <col min="9245" max="9245" width="4.44140625" customWidth="1"/>
    <col min="9246" max="9246" width="6.33203125" customWidth="1"/>
    <col min="9247" max="9247" width="7.88671875" customWidth="1"/>
    <col min="9248" max="9248" width="3.44140625" customWidth="1"/>
    <col min="9249" max="9249" width="5" customWidth="1"/>
    <col min="9483" max="9483" width="1.6640625" customWidth="1"/>
    <col min="9484" max="9484" width="3.6640625" customWidth="1"/>
    <col min="9485" max="9485" width="23.44140625" customWidth="1"/>
    <col min="9486" max="9497" width="4.44140625" customWidth="1"/>
    <col min="9498" max="9498" width="6.109375" customWidth="1"/>
    <col min="9499" max="9499" width="4.44140625" customWidth="1"/>
    <col min="9500" max="9500" width="7.5546875" customWidth="1"/>
    <col min="9501" max="9501" width="4.44140625" customWidth="1"/>
    <col min="9502" max="9502" width="6.33203125" customWidth="1"/>
    <col min="9503" max="9503" width="7.88671875" customWidth="1"/>
    <col min="9504" max="9504" width="3.44140625" customWidth="1"/>
    <col min="9505" max="9505" width="5" customWidth="1"/>
    <col min="9739" max="9739" width="1.6640625" customWidth="1"/>
    <col min="9740" max="9740" width="3.6640625" customWidth="1"/>
    <col min="9741" max="9741" width="23.44140625" customWidth="1"/>
    <col min="9742" max="9753" width="4.44140625" customWidth="1"/>
    <col min="9754" max="9754" width="6.109375" customWidth="1"/>
    <col min="9755" max="9755" width="4.44140625" customWidth="1"/>
    <col min="9756" max="9756" width="7.5546875" customWidth="1"/>
    <col min="9757" max="9757" width="4.44140625" customWidth="1"/>
    <col min="9758" max="9758" width="6.33203125" customWidth="1"/>
    <col min="9759" max="9759" width="7.88671875" customWidth="1"/>
    <col min="9760" max="9760" width="3.44140625" customWidth="1"/>
    <col min="9761" max="9761" width="5" customWidth="1"/>
    <col min="9995" max="9995" width="1.6640625" customWidth="1"/>
    <col min="9996" max="9996" width="3.6640625" customWidth="1"/>
    <col min="9997" max="9997" width="23.44140625" customWidth="1"/>
    <col min="9998" max="10009" width="4.44140625" customWidth="1"/>
    <col min="10010" max="10010" width="6.109375" customWidth="1"/>
    <col min="10011" max="10011" width="4.44140625" customWidth="1"/>
    <col min="10012" max="10012" width="7.5546875" customWidth="1"/>
    <col min="10013" max="10013" width="4.44140625" customWidth="1"/>
    <col min="10014" max="10014" width="6.33203125" customWidth="1"/>
    <col min="10015" max="10015" width="7.88671875" customWidth="1"/>
    <col min="10016" max="10016" width="3.44140625" customWidth="1"/>
    <col min="10017" max="10017" width="5" customWidth="1"/>
    <col min="10251" max="10251" width="1.6640625" customWidth="1"/>
    <col min="10252" max="10252" width="3.6640625" customWidth="1"/>
    <col min="10253" max="10253" width="23.44140625" customWidth="1"/>
    <col min="10254" max="10265" width="4.44140625" customWidth="1"/>
    <col min="10266" max="10266" width="6.109375" customWidth="1"/>
    <col min="10267" max="10267" width="4.44140625" customWidth="1"/>
    <col min="10268" max="10268" width="7.5546875" customWidth="1"/>
    <col min="10269" max="10269" width="4.44140625" customWidth="1"/>
    <col min="10270" max="10270" width="6.33203125" customWidth="1"/>
    <col min="10271" max="10271" width="7.88671875" customWidth="1"/>
    <col min="10272" max="10272" width="3.44140625" customWidth="1"/>
    <col min="10273" max="10273" width="5" customWidth="1"/>
    <col min="10507" max="10507" width="1.6640625" customWidth="1"/>
    <col min="10508" max="10508" width="3.6640625" customWidth="1"/>
    <col min="10509" max="10509" width="23.44140625" customWidth="1"/>
    <col min="10510" max="10521" width="4.44140625" customWidth="1"/>
    <col min="10522" max="10522" width="6.109375" customWidth="1"/>
    <col min="10523" max="10523" width="4.44140625" customWidth="1"/>
    <col min="10524" max="10524" width="7.5546875" customWidth="1"/>
    <col min="10525" max="10525" width="4.44140625" customWidth="1"/>
    <col min="10526" max="10526" width="6.33203125" customWidth="1"/>
    <col min="10527" max="10527" width="7.88671875" customWidth="1"/>
    <col min="10528" max="10528" width="3.44140625" customWidth="1"/>
    <col min="10529" max="10529" width="5" customWidth="1"/>
    <col min="10763" max="10763" width="1.6640625" customWidth="1"/>
    <col min="10764" max="10764" width="3.6640625" customWidth="1"/>
    <col min="10765" max="10765" width="23.44140625" customWidth="1"/>
    <col min="10766" max="10777" width="4.44140625" customWidth="1"/>
    <col min="10778" max="10778" width="6.109375" customWidth="1"/>
    <col min="10779" max="10779" width="4.44140625" customWidth="1"/>
    <col min="10780" max="10780" width="7.5546875" customWidth="1"/>
    <col min="10781" max="10781" width="4.44140625" customWidth="1"/>
    <col min="10782" max="10782" width="6.33203125" customWidth="1"/>
    <col min="10783" max="10783" width="7.88671875" customWidth="1"/>
    <col min="10784" max="10784" width="3.44140625" customWidth="1"/>
    <col min="10785" max="10785" width="5" customWidth="1"/>
    <col min="11019" max="11019" width="1.6640625" customWidth="1"/>
    <col min="11020" max="11020" width="3.6640625" customWidth="1"/>
    <col min="11021" max="11021" width="23.44140625" customWidth="1"/>
    <col min="11022" max="11033" width="4.44140625" customWidth="1"/>
    <col min="11034" max="11034" width="6.109375" customWidth="1"/>
    <col min="11035" max="11035" width="4.44140625" customWidth="1"/>
    <col min="11036" max="11036" width="7.5546875" customWidth="1"/>
    <col min="11037" max="11037" width="4.44140625" customWidth="1"/>
    <col min="11038" max="11038" width="6.33203125" customWidth="1"/>
    <col min="11039" max="11039" width="7.88671875" customWidth="1"/>
    <col min="11040" max="11040" width="3.44140625" customWidth="1"/>
    <col min="11041" max="11041" width="5" customWidth="1"/>
    <col min="11275" max="11275" width="1.6640625" customWidth="1"/>
    <col min="11276" max="11276" width="3.6640625" customWidth="1"/>
    <col min="11277" max="11277" width="23.44140625" customWidth="1"/>
    <col min="11278" max="11289" width="4.44140625" customWidth="1"/>
    <col min="11290" max="11290" width="6.109375" customWidth="1"/>
    <col min="11291" max="11291" width="4.44140625" customWidth="1"/>
    <col min="11292" max="11292" width="7.5546875" customWidth="1"/>
    <col min="11293" max="11293" width="4.44140625" customWidth="1"/>
    <col min="11294" max="11294" width="6.33203125" customWidth="1"/>
    <col min="11295" max="11295" width="7.88671875" customWidth="1"/>
    <col min="11296" max="11296" width="3.44140625" customWidth="1"/>
    <col min="11297" max="11297" width="5" customWidth="1"/>
    <col min="11531" max="11531" width="1.6640625" customWidth="1"/>
    <col min="11532" max="11532" width="3.6640625" customWidth="1"/>
    <col min="11533" max="11533" width="23.44140625" customWidth="1"/>
    <col min="11534" max="11545" width="4.44140625" customWidth="1"/>
    <col min="11546" max="11546" width="6.109375" customWidth="1"/>
    <col min="11547" max="11547" width="4.44140625" customWidth="1"/>
    <col min="11548" max="11548" width="7.5546875" customWidth="1"/>
    <col min="11549" max="11549" width="4.44140625" customWidth="1"/>
    <col min="11550" max="11550" width="6.33203125" customWidth="1"/>
    <col min="11551" max="11551" width="7.88671875" customWidth="1"/>
    <col min="11552" max="11552" width="3.44140625" customWidth="1"/>
    <col min="11553" max="11553" width="5" customWidth="1"/>
    <col min="11787" max="11787" width="1.6640625" customWidth="1"/>
    <col min="11788" max="11788" width="3.6640625" customWidth="1"/>
    <col min="11789" max="11789" width="23.44140625" customWidth="1"/>
    <col min="11790" max="11801" width="4.44140625" customWidth="1"/>
    <col min="11802" max="11802" width="6.109375" customWidth="1"/>
    <col min="11803" max="11803" width="4.44140625" customWidth="1"/>
    <col min="11804" max="11804" width="7.5546875" customWidth="1"/>
    <col min="11805" max="11805" width="4.44140625" customWidth="1"/>
    <col min="11806" max="11806" width="6.33203125" customWidth="1"/>
    <col min="11807" max="11807" width="7.88671875" customWidth="1"/>
    <col min="11808" max="11808" width="3.44140625" customWidth="1"/>
    <col min="11809" max="11809" width="5" customWidth="1"/>
    <col min="12043" max="12043" width="1.6640625" customWidth="1"/>
    <col min="12044" max="12044" width="3.6640625" customWidth="1"/>
    <col min="12045" max="12045" width="23.44140625" customWidth="1"/>
    <col min="12046" max="12057" width="4.44140625" customWidth="1"/>
    <col min="12058" max="12058" width="6.109375" customWidth="1"/>
    <col min="12059" max="12059" width="4.44140625" customWidth="1"/>
    <col min="12060" max="12060" width="7.5546875" customWidth="1"/>
    <col min="12061" max="12061" width="4.44140625" customWidth="1"/>
    <col min="12062" max="12062" width="6.33203125" customWidth="1"/>
    <col min="12063" max="12063" width="7.88671875" customWidth="1"/>
    <col min="12064" max="12064" width="3.44140625" customWidth="1"/>
    <col min="12065" max="12065" width="5" customWidth="1"/>
    <col min="12299" max="12299" width="1.6640625" customWidth="1"/>
    <col min="12300" max="12300" width="3.6640625" customWidth="1"/>
    <col min="12301" max="12301" width="23.44140625" customWidth="1"/>
    <col min="12302" max="12313" width="4.44140625" customWidth="1"/>
    <col min="12314" max="12314" width="6.109375" customWidth="1"/>
    <col min="12315" max="12315" width="4.44140625" customWidth="1"/>
    <col min="12316" max="12316" width="7.5546875" customWidth="1"/>
    <col min="12317" max="12317" width="4.44140625" customWidth="1"/>
    <col min="12318" max="12318" width="6.33203125" customWidth="1"/>
    <col min="12319" max="12319" width="7.88671875" customWidth="1"/>
    <col min="12320" max="12320" width="3.44140625" customWidth="1"/>
    <col min="12321" max="12321" width="5" customWidth="1"/>
    <col min="12555" max="12555" width="1.6640625" customWidth="1"/>
    <col min="12556" max="12556" width="3.6640625" customWidth="1"/>
    <col min="12557" max="12557" width="23.44140625" customWidth="1"/>
    <col min="12558" max="12569" width="4.44140625" customWidth="1"/>
    <col min="12570" max="12570" width="6.109375" customWidth="1"/>
    <col min="12571" max="12571" width="4.44140625" customWidth="1"/>
    <col min="12572" max="12572" width="7.5546875" customWidth="1"/>
    <col min="12573" max="12573" width="4.44140625" customWidth="1"/>
    <col min="12574" max="12574" width="6.33203125" customWidth="1"/>
    <col min="12575" max="12575" width="7.88671875" customWidth="1"/>
    <col min="12576" max="12576" width="3.44140625" customWidth="1"/>
    <col min="12577" max="12577" width="5" customWidth="1"/>
    <col min="12811" max="12811" width="1.6640625" customWidth="1"/>
    <col min="12812" max="12812" width="3.6640625" customWidth="1"/>
    <col min="12813" max="12813" width="23.44140625" customWidth="1"/>
    <col min="12814" max="12825" width="4.44140625" customWidth="1"/>
    <col min="12826" max="12826" width="6.109375" customWidth="1"/>
    <col min="12827" max="12827" width="4.44140625" customWidth="1"/>
    <col min="12828" max="12828" width="7.5546875" customWidth="1"/>
    <col min="12829" max="12829" width="4.44140625" customWidth="1"/>
    <col min="12830" max="12830" width="6.33203125" customWidth="1"/>
    <col min="12831" max="12831" width="7.88671875" customWidth="1"/>
    <col min="12832" max="12832" width="3.44140625" customWidth="1"/>
    <col min="12833" max="12833" width="5" customWidth="1"/>
    <col min="13067" max="13067" width="1.6640625" customWidth="1"/>
    <col min="13068" max="13068" width="3.6640625" customWidth="1"/>
    <col min="13069" max="13069" width="23.44140625" customWidth="1"/>
    <col min="13070" max="13081" width="4.44140625" customWidth="1"/>
    <col min="13082" max="13082" width="6.109375" customWidth="1"/>
    <col min="13083" max="13083" width="4.44140625" customWidth="1"/>
    <col min="13084" max="13084" width="7.5546875" customWidth="1"/>
    <col min="13085" max="13085" width="4.44140625" customWidth="1"/>
    <col min="13086" max="13086" width="6.33203125" customWidth="1"/>
    <col min="13087" max="13087" width="7.88671875" customWidth="1"/>
    <col min="13088" max="13088" width="3.44140625" customWidth="1"/>
    <col min="13089" max="13089" width="5" customWidth="1"/>
    <col min="13323" max="13323" width="1.6640625" customWidth="1"/>
    <col min="13324" max="13324" width="3.6640625" customWidth="1"/>
    <col min="13325" max="13325" width="23.44140625" customWidth="1"/>
    <col min="13326" max="13337" width="4.44140625" customWidth="1"/>
    <col min="13338" max="13338" width="6.109375" customWidth="1"/>
    <col min="13339" max="13339" width="4.44140625" customWidth="1"/>
    <col min="13340" max="13340" width="7.5546875" customWidth="1"/>
    <col min="13341" max="13341" width="4.44140625" customWidth="1"/>
    <col min="13342" max="13342" width="6.33203125" customWidth="1"/>
    <col min="13343" max="13343" width="7.88671875" customWidth="1"/>
    <col min="13344" max="13344" width="3.44140625" customWidth="1"/>
    <col min="13345" max="13345" width="5" customWidth="1"/>
    <col min="13579" max="13579" width="1.6640625" customWidth="1"/>
    <col min="13580" max="13580" width="3.6640625" customWidth="1"/>
    <col min="13581" max="13581" width="23.44140625" customWidth="1"/>
    <col min="13582" max="13593" width="4.44140625" customWidth="1"/>
    <col min="13594" max="13594" width="6.109375" customWidth="1"/>
    <col min="13595" max="13595" width="4.44140625" customWidth="1"/>
    <col min="13596" max="13596" width="7.5546875" customWidth="1"/>
    <col min="13597" max="13597" width="4.44140625" customWidth="1"/>
    <col min="13598" max="13598" width="6.33203125" customWidth="1"/>
    <col min="13599" max="13599" width="7.88671875" customWidth="1"/>
    <col min="13600" max="13600" width="3.44140625" customWidth="1"/>
    <col min="13601" max="13601" width="5" customWidth="1"/>
    <col min="13835" max="13835" width="1.6640625" customWidth="1"/>
    <col min="13836" max="13836" width="3.6640625" customWidth="1"/>
    <col min="13837" max="13837" width="23.44140625" customWidth="1"/>
    <col min="13838" max="13849" width="4.44140625" customWidth="1"/>
    <col min="13850" max="13850" width="6.109375" customWidth="1"/>
    <col min="13851" max="13851" width="4.44140625" customWidth="1"/>
    <col min="13852" max="13852" width="7.5546875" customWidth="1"/>
    <col min="13853" max="13853" width="4.44140625" customWidth="1"/>
    <col min="13854" max="13854" width="6.33203125" customWidth="1"/>
    <col min="13855" max="13855" width="7.88671875" customWidth="1"/>
    <col min="13856" max="13856" width="3.44140625" customWidth="1"/>
    <col min="13857" max="13857" width="5" customWidth="1"/>
    <col min="14091" max="14091" width="1.6640625" customWidth="1"/>
    <col min="14092" max="14092" width="3.6640625" customWidth="1"/>
    <col min="14093" max="14093" width="23.44140625" customWidth="1"/>
    <col min="14094" max="14105" width="4.44140625" customWidth="1"/>
    <col min="14106" max="14106" width="6.109375" customWidth="1"/>
    <col min="14107" max="14107" width="4.44140625" customWidth="1"/>
    <col min="14108" max="14108" width="7.5546875" customWidth="1"/>
    <col min="14109" max="14109" width="4.44140625" customWidth="1"/>
    <col min="14110" max="14110" width="6.33203125" customWidth="1"/>
    <col min="14111" max="14111" width="7.88671875" customWidth="1"/>
    <col min="14112" max="14112" width="3.44140625" customWidth="1"/>
    <col min="14113" max="14113" width="5" customWidth="1"/>
    <col min="14347" max="14347" width="1.6640625" customWidth="1"/>
    <col min="14348" max="14348" width="3.6640625" customWidth="1"/>
    <col min="14349" max="14349" width="23.44140625" customWidth="1"/>
    <col min="14350" max="14361" width="4.44140625" customWidth="1"/>
    <col min="14362" max="14362" width="6.109375" customWidth="1"/>
    <col min="14363" max="14363" width="4.44140625" customWidth="1"/>
    <col min="14364" max="14364" width="7.5546875" customWidth="1"/>
    <col min="14365" max="14365" width="4.44140625" customWidth="1"/>
    <col min="14366" max="14366" width="6.33203125" customWidth="1"/>
    <col min="14367" max="14367" width="7.88671875" customWidth="1"/>
    <col min="14368" max="14368" width="3.44140625" customWidth="1"/>
    <col min="14369" max="14369" width="5" customWidth="1"/>
    <col min="14603" max="14603" width="1.6640625" customWidth="1"/>
    <col min="14604" max="14604" width="3.6640625" customWidth="1"/>
    <col min="14605" max="14605" width="23.44140625" customWidth="1"/>
    <col min="14606" max="14617" width="4.44140625" customWidth="1"/>
    <col min="14618" max="14618" width="6.109375" customWidth="1"/>
    <col min="14619" max="14619" width="4.44140625" customWidth="1"/>
    <col min="14620" max="14620" width="7.5546875" customWidth="1"/>
    <col min="14621" max="14621" width="4.44140625" customWidth="1"/>
    <col min="14622" max="14622" width="6.33203125" customWidth="1"/>
    <col min="14623" max="14623" width="7.88671875" customWidth="1"/>
    <col min="14624" max="14624" width="3.44140625" customWidth="1"/>
    <col min="14625" max="14625" width="5" customWidth="1"/>
    <col min="14859" max="14859" width="1.6640625" customWidth="1"/>
    <col min="14860" max="14860" width="3.6640625" customWidth="1"/>
    <col min="14861" max="14861" width="23.44140625" customWidth="1"/>
    <col min="14862" max="14873" width="4.44140625" customWidth="1"/>
    <col min="14874" max="14874" width="6.109375" customWidth="1"/>
    <col min="14875" max="14875" width="4.44140625" customWidth="1"/>
    <col min="14876" max="14876" width="7.5546875" customWidth="1"/>
    <col min="14877" max="14877" width="4.44140625" customWidth="1"/>
    <col min="14878" max="14878" width="6.33203125" customWidth="1"/>
    <col min="14879" max="14879" width="7.88671875" customWidth="1"/>
    <col min="14880" max="14880" width="3.44140625" customWidth="1"/>
    <col min="14881" max="14881" width="5" customWidth="1"/>
    <col min="15115" max="15115" width="1.6640625" customWidth="1"/>
    <col min="15116" max="15116" width="3.6640625" customWidth="1"/>
    <col min="15117" max="15117" width="23.44140625" customWidth="1"/>
    <col min="15118" max="15129" width="4.44140625" customWidth="1"/>
    <col min="15130" max="15130" width="6.109375" customWidth="1"/>
    <col min="15131" max="15131" width="4.44140625" customWidth="1"/>
    <col min="15132" max="15132" width="7.5546875" customWidth="1"/>
    <col min="15133" max="15133" width="4.44140625" customWidth="1"/>
    <col min="15134" max="15134" width="6.33203125" customWidth="1"/>
    <col min="15135" max="15135" width="7.88671875" customWidth="1"/>
    <col min="15136" max="15136" width="3.44140625" customWidth="1"/>
    <col min="15137" max="15137" width="5" customWidth="1"/>
    <col min="15371" max="15371" width="1.6640625" customWidth="1"/>
    <col min="15372" max="15372" width="3.6640625" customWidth="1"/>
    <col min="15373" max="15373" width="23.44140625" customWidth="1"/>
    <col min="15374" max="15385" width="4.44140625" customWidth="1"/>
    <col min="15386" max="15386" width="6.109375" customWidth="1"/>
    <col min="15387" max="15387" width="4.44140625" customWidth="1"/>
    <col min="15388" max="15388" width="7.5546875" customWidth="1"/>
    <col min="15389" max="15389" width="4.44140625" customWidth="1"/>
    <col min="15390" max="15390" width="6.33203125" customWidth="1"/>
    <col min="15391" max="15391" width="7.88671875" customWidth="1"/>
    <col min="15392" max="15392" width="3.44140625" customWidth="1"/>
    <col min="15393" max="15393" width="5" customWidth="1"/>
    <col min="15627" max="15627" width="1.6640625" customWidth="1"/>
    <col min="15628" max="15628" width="3.6640625" customWidth="1"/>
    <col min="15629" max="15629" width="23.44140625" customWidth="1"/>
    <col min="15630" max="15641" width="4.44140625" customWidth="1"/>
    <col min="15642" max="15642" width="6.109375" customWidth="1"/>
    <col min="15643" max="15643" width="4.44140625" customWidth="1"/>
    <col min="15644" max="15644" width="7.5546875" customWidth="1"/>
    <col min="15645" max="15645" width="4.44140625" customWidth="1"/>
    <col min="15646" max="15646" width="6.33203125" customWidth="1"/>
    <col min="15647" max="15647" width="7.88671875" customWidth="1"/>
    <col min="15648" max="15648" width="3.44140625" customWidth="1"/>
    <col min="15649" max="15649" width="5" customWidth="1"/>
    <col min="15883" max="15883" width="1.6640625" customWidth="1"/>
    <col min="15884" max="15884" width="3.6640625" customWidth="1"/>
    <col min="15885" max="15885" width="23.44140625" customWidth="1"/>
    <col min="15886" max="15897" width="4.44140625" customWidth="1"/>
    <col min="15898" max="15898" width="6.109375" customWidth="1"/>
    <col min="15899" max="15899" width="4.44140625" customWidth="1"/>
    <col min="15900" max="15900" width="7.5546875" customWidth="1"/>
    <col min="15901" max="15901" width="4.44140625" customWidth="1"/>
    <col min="15902" max="15902" width="6.33203125" customWidth="1"/>
    <col min="15903" max="15903" width="7.88671875" customWidth="1"/>
    <col min="15904" max="15904" width="3.44140625" customWidth="1"/>
    <col min="15905" max="15905" width="5" customWidth="1"/>
    <col min="16139" max="16139" width="1.6640625" customWidth="1"/>
    <col min="16140" max="16140" width="3.6640625" customWidth="1"/>
    <col min="16141" max="16141" width="23.44140625" customWidth="1"/>
    <col min="16142" max="16153" width="4.44140625" customWidth="1"/>
    <col min="16154" max="16154" width="6.109375" customWidth="1"/>
    <col min="16155" max="16155" width="4.44140625" customWidth="1"/>
    <col min="16156" max="16156" width="7.5546875" customWidth="1"/>
    <col min="16157" max="16157" width="4.44140625" customWidth="1"/>
    <col min="16158" max="16158" width="6.33203125" customWidth="1"/>
    <col min="16159" max="16159" width="7.88671875" customWidth="1"/>
    <col min="16160" max="16160" width="3.44140625" customWidth="1"/>
    <col min="16161" max="16161" width="5" customWidth="1"/>
  </cols>
  <sheetData>
    <row r="1" spans="1:31" ht="34.5" customHeight="1" x14ac:dyDescent="0.3">
      <c r="A1" s="280" t="s">
        <v>21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</row>
    <row r="2" spans="1:31" ht="26.25" customHeight="1" x14ac:dyDescent="0.3">
      <c r="B2" s="1"/>
      <c r="C2" s="1"/>
      <c r="D2" s="1"/>
      <c r="E2" s="1"/>
      <c r="F2" s="1"/>
      <c r="G2" s="1"/>
      <c r="H2" s="24"/>
      <c r="I2" s="1"/>
      <c r="J2" s="24"/>
      <c r="K2" s="1"/>
      <c r="L2" s="1"/>
      <c r="M2" s="1"/>
      <c r="N2" s="1"/>
      <c r="O2" s="24"/>
      <c r="P2" s="1"/>
      <c r="Q2" s="24"/>
      <c r="R2" s="1"/>
      <c r="S2" s="1"/>
      <c r="T2" s="1"/>
      <c r="U2" s="1"/>
      <c r="V2" s="24"/>
      <c r="W2" s="1"/>
      <c r="X2" s="24"/>
      <c r="Y2" s="1"/>
    </row>
    <row r="3" spans="1:31" ht="13.5" customHeight="1" x14ac:dyDescent="0.3">
      <c r="B3" s="1"/>
      <c r="C3" s="1"/>
      <c r="D3" s="1"/>
      <c r="E3" s="1"/>
      <c r="F3" s="1"/>
      <c r="G3" s="1"/>
      <c r="H3" s="24"/>
      <c r="I3" s="1"/>
      <c r="J3" s="24"/>
      <c r="K3" s="1"/>
      <c r="L3" s="283"/>
      <c r="M3" s="283"/>
      <c r="N3" s="283"/>
      <c r="O3" s="283"/>
      <c r="P3" s="283"/>
      <c r="Q3" s="283"/>
      <c r="R3" s="283"/>
      <c r="S3" s="283"/>
      <c r="T3" s="1"/>
      <c r="U3" s="1"/>
      <c r="V3" s="24"/>
      <c r="W3" s="1"/>
      <c r="X3" s="24"/>
      <c r="Y3" s="1"/>
    </row>
    <row r="4" spans="1:31" ht="15.75" customHeight="1" x14ac:dyDescent="0.3">
      <c r="B4" s="278" t="s">
        <v>13</v>
      </c>
      <c r="C4" s="278"/>
      <c r="D4" s="16"/>
      <c r="E4" s="16"/>
      <c r="G4" s="18"/>
      <c r="H4" s="18"/>
      <c r="I4" s="18"/>
      <c r="J4" s="18"/>
      <c r="K4" s="18"/>
      <c r="L4" s="18" t="s">
        <v>30</v>
      </c>
      <c r="M4" s="18"/>
      <c r="N4" s="18"/>
      <c r="O4" s="18"/>
      <c r="P4" s="18"/>
      <c r="Q4" s="18"/>
      <c r="R4" s="18"/>
      <c r="S4" s="18"/>
      <c r="T4" s="15"/>
      <c r="U4" s="15"/>
      <c r="V4" s="15"/>
      <c r="W4" s="15"/>
      <c r="X4" s="15"/>
      <c r="Y4" s="279" t="s">
        <v>139</v>
      </c>
      <c r="Z4" s="279"/>
      <c r="AA4" s="279"/>
      <c r="AB4" s="279"/>
      <c r="AC4" s="279"/>
      <c r="AD4" s="279"/>
      <c r="AE4" s="279"/>
    </row>
    <row r="5" spans="1:31" ht="6.75" customHeight="1" x14ac:dyDescent="0.3">
      <c r="B5" s="16"/>
      <c r="C5" s="16"/>
      <c r="D5" s="16"/>
      <c r="E5" s="16"/>
      <c r="F5" s="16"/>
      <c r="G5" s="16"/>
      <c r="H5" s="22"/>
      <c r="I5" s="16"/>
      <c r="J5" s="22"/>
      <c r="K5" s="16"/>
      <c r="L5" s="16"/>
      <c r="M5" s="16"/>
      <c r="N5" s="16"/>
      <c r="O5" s="22"/>
      <c r="P5" s="16"/>
      <c r="Q5" s="22"/>
      <c r="R5" s="16"/>
      <c r="S5" s="16"/>
      <c r="T5" s="15"/>
      <c r="U5" s="15"/>
      <c r="V5" s="15"/>
      <c r="W5" s="15"/>
      <c r="X5" s="15"/>
      <c r="Y5" s="17"/>
      <c r="Z5" s="17"/>
      <c r="AA5" s="17"/>
      <c r="AB5" s="17"/>
      <c r="AC5" s="17"/>
      <c r="AD5" s="17"/>
      <c r="AE5" s="17"/>
    </row>
    <row r="6" spans="1:31" ht="16.2" customHeight="1" x14ac:dyDescent="0.3">
      <c r="B6" s="278" t="s">
        <v>19</v>
      </c>
      <c r="C6" s="278"/>
      <c r="D6" s="16"/>
      <c r="E6" s="16"/>
      <c r="L6" s="18" t="s">
        <v>91</v>
      </c>
      <c r="M6" s="18"/>
      <c r="N6" s="18"/>
      <c r="O6" s="18"/>
      <c r="P6" s="18"/>
      <c r="Q6" s="18"/>
      <c r="R6" s="18"/>
      <c r="S6" s="18"/>
      <c r="T6" s="18"/>
      <c r="U6" s="15"/>
      <c r="V6" s="15"/>
      <c r="W6" s="15"/>
      <c r="X6" s="15"/>
      <c r="Y6" s="279" t="s">
        <v>43</v>
      </c>
      <c r="Z6" s="279"/>
      <c r="AA6" s="279"/>
      <c r="AB6" s="279"/>
      <c r="AC6" s="279"/>
      <c r="AD6" s="279"/>
      <c r="AE6" s="279"/>
    </row>
    <row r="7" spans="1:31" ht="28.5" customHeight="1" thickBot="1" x14ac:dyDescent="0.85">
      <c r="B7" s="285" t="s">
        <v>25</v>
      </c>
      <c r="C7" s="285"/>
      <c r="D7" s="285"/>
      <c r="E7" s="285"/>
      <c r="F7" s="285"/>
      <c r="G7" s="285"/>
      <c r="H7" s="285"/>
      <c r="I7" s="285"/>
      <c r="J7" s="285"/>
      <c r="K7" s="285"/>
      <c r="L7" s="285"/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5"/>
      <c r="AB7" s="285"/>
      <c r="AC7" s="285"/>
      <c r="AD7" s="285"/>
      <c r="AE7" s="285"/>
    </row>
    <row r="8" spans="1:31" ht="21" customHeight="1" thickTop="1" x14ac:dyDescent="0.3">
      <c r="B8" s="286" t="s">
        <v>16</v>
      </c>
      <c r="C8" s="288" t="s">
        <v>0</v>
      </c>
      <c r="D8" s="290" t="s">
        <v>15</v>
      </c>
      <c r="E8" s="291"/>
      <c r="F8" s="292" t="s">
        <v>22</v>
      </c>
      <c r="G8" s="293"/>
      <c r="H8" s="293"/>
      <c r="I8" s="293"/>
      <c r="J8" s="293"/>
      <c r="K8" s="294"/>
      <c r="L8" s="295" t="s">
        <v>3</v>
      </c>
      <c r="M8" s="292" t="s">
        <v>23</v>
      </c>
      <c r="N8" s="293"/>
      <c r="O8" s="293"/>
      <c r="P8" s="293"/>
      <c r="Q8" s="293"/>
      <c r="R8" s="294"/>
      <c r="S8" s="295" t="s">
        <v>3</v>
      </c>
      <c r="T8" s="292" t="s">
        <v>24</v>
      </c>
      <c r="U8" s="293"/>
      <c r="V8" s="293"/>
      <c r="W8" s="293"/>
      <c r="X8" s="293"/>
      <c r="Y8" s="294"/>
      <c r="Z8" s="297" t="s">
        <v>1</v>
      </c>
      <c r="AA8" s="299" t="s">
        <v>39</v>
      </c>
      <c r="AB8" s="301" t="s">
        <v>20</v>
      </c>
      <c r="AC8" s="303" t="s">
        <v>40</v>
      </c>
      <c r="AD8" s="305" t="s">
        <v>2</v>
      </c>
      <c r="AE8" s="307" t="s">
        <v>3</v>
      </c>
    </row>
    <row r="9" spans="1:31" ht="16.5" customHeight="1" thickBot="1" x14ac:dyDescent="0.35">
      <c r="B9" s="287"/>
      <c r="C9" s="289"/>
      <c r="D9" s="43" t="s">
        <v>17</v>
      </c>
      <c r="E9" s="36" t="s">
        <v>18</v>
      </c>
      <c r="F9" s="53" t="s">
        <v>4</v>
      </c>
      <c r="G9" s="33" t="s">
        <v>5</v>
      </c>
      <c r="H9" s="33" t="s">
        <v>37</v>
      </c>
      <c r="I9" s="33" t="s">
        <v>6</v>
      </c>
      <c r="J9" s="33" t="s">
        <v>38</v>
      </c>
      <c r="K9" s="54" t="s">
        <v>7</v>
      </c>
      <c r="L9" s="296"/>
      <c r="M9" s="53" t="s">
        <v>4</v>
      </c>
      <c r="N9" s="33" t="s">
        <v>5</v>
      </c>
      <c r="O9" s="33" t="s">
        <v>37</v>
      </c>
      <c r="P9" s="33" t="s">
        <v>6</v>
      </c>
      <c r="Q9" s="33" t="s">
        <v>38</v>
      </c>
      <c r="R9" s="54" t="s">
        <v>8</v>
      </c>
      <c r="S9" s="296"/>
      <c r="T9" s="53" t="s">
        <v>4</v>
      </c>
      <c r="U9" s="33" t="s">
        <v>5</v>
      </c>
      <c r="V9" s="33" t="s">
        <v>37</v>
      </c>
      <c r="W9" s="33" t="s">
        <v>6</v>
      </c>
      <c r="X9" s="33" t="s">
        <v>38</v>
      </c>
      <c r="Y9" s="54" t="s">
        <v>9</v>
      </c>
      <c r="Z9" s="298"/>
      <c r="AA9" s="300"/>
      <c r="AB9" s="302"/>
      <c r="AC9" s="304"/>
      <c r="AD9" s="306"/>
      <c r="AE9" s="308"/>
    </row>
    <row r="10" spans="1:31" ht="15.75" customHeight="1" thickTop="1" x14ac:dyDescent="0.3">
      <c r="B10" s="34">
        <v>1</v>
      </c>
      <c r="C10" s="196" t="s">
        <v>99</v>
      </c>
      <c r="D10" s="44"/>
      <c r="E10" s="37"/>
      <c r="F10" s="32">
        <v>12</v>
      </c>
      <c r="G10" s="32">
        <v>6</v>
      </c>
      <c r="H10" s="31"/>
      <c r="I10" s="32">
        <v>10</v>
      </c>
      <c r="J10" s="32"/>
      <c r="K10" s="55">
        <f>AVERAGE(F10,MAX(G10:H10),MAX(I10:J10))</f>
        <v>9.3333333333333339</v>
      </c>
      <c r="L10" s="165" t="str">
        <f>IF(K10&gt;=10,"TRANSITA","N/TRANSITA")</f>
        <v>N/TRANSITA</v>
      </c>
      <c r="M10" s="58">
        <v>12</v>
      </c>
      <c r="N10" s="31">
        <v>12</v>
      </c>
      <c r="P10" s="31">
        <v>7</v>
      </c>
      <c r="Q10" s="32"/>
      <c r="R10" s="55">
        <f>AVERAGE(M10,MAX(N10:O10),MAX(P10:Q10))</f>
        <v>10.333333333333334</v>
      </c>
      <c r="S10" s="165" t="str">
        <f>IF(R10&gt;=10,"TRANSITA","N/TRANSITA")</f>
        <v>TRANSITA</v>
      </c>
      <c r="T10" s="58"/>
      <c r="U10" s="31"/>
      <c r="V10" s="31"/>
      <c r="W10" s="32" t="e">
        <f>AVERAGE(T10:U10)</f>
        <v>#DIV/0!</v>
      </c>
      <c r="X10" s="32"/>
      <c r="Y10" s="55" t="e">
        <f>AVERAGE(T10,MAX(U10:V10),MAX(W10:X10))</f>
        <v>#DIV/0!</v>
      </c>
      <c r="Z10" s="47" t="e">
        <f t="shared" ref="Z10:Z51" si="0">SUM(K10,R10,Y10)/3</f>
        <v>#DIV/0!</v>
      </c>
      <c r="AA10" s="40" t="e">
        <f>Z10*0.4</f>
        <v>#DIV/0!</v>
      </c>
      <c r="AB10" s="61"/>
      <c r="AC10" s="50">
        <f>AB10*0.6</f>
        <v>0</v>
      </c>
      <c r="AD10" s="64" t="e">
        <f>AVERAGE(AA10+AC10)</f>
        <v>#DIV/0!</v>
      </c>
      <c r="AE10" s="163" t="e">
        <f>IF(AD10&gt;=10,"APROVADO/A","REPROVADO/A")</f>
        <v>#DIV/0!</v>
      </c>
    </row>
    <row r="11" spans="1:31" ht="15.75" customHeight="1" x14ac:dyDescent="0.3">
      <c r="B11" s="35">
        <v>2</v>
      </c>
      <c r="C11" s="197" t="s">
        <v>100</v>
      </c>
      <c r="D11" s="45"/>
      <c r="E11" s="38"/>
      <c r="F11" s="32">
        <v>18</v>
      </c>
      <c r="G11" s="32">
        <v>13</v>
      </c>
      <c r="H11" s="27"/>
      <c r="I11" s="32">
        <v>13.5</v>
      </c>
      <c r="J11" s="28"/>
      <c r="K11" s="56">
        <f t="shared" ref="K11:K51" si="1">AVERAGE(F11,MAX(G11:H11),MAX(I11:J11))</f>
        <v>14.833333333333334</v>
      </c>
      <c r="L11" s="166" t="str">
        <f t="shared" ref="L11:L51" si="2">IF(K11&gt;=10,"TRANSITA","N/TRANSITA")</f>
        <v>TRANSITA</v>
      </c>
      <c r="M11" s="59">
        <v>20</v>
      </c>
      <c r="N11" s="27">
        <v>20</v>
      </c>
      <c r="P11" s="27">
        <v>14.5</v>
      </c>
      <c r="Q11" s="28"/>
      <c r="R11" s="56">
        <f t="shared" ref="R11:R51" si="3">AVERAGE(M11,MAX(N11:O11),MAX(P11:Q11))</f>
        <v>18.166666666666668</v>
      </c>
      <c r="S11" s="166" t="str">
        <f t="shared" ref="S11:S51" si="4">IF(R11&gt;=10,"TRANSITA","N/TRANSITA")</f>
        <v>TRANSITA</v>
      </c>
      <c r="T11" s="59"/>
      <c r="U11" s="27"/>
      <c r="V11" s="27"/>
      <c r="W11" s="32" t="e">
        <f t="shared" ref="W11:W51" si="5">AVERAGE(T11:U11)</f>
        <v>#DIV/0!</v>
      </c>
      <c r="X11" s="28"/>
      <c r="Y11" s="56" t="e">
        <f t="shared" ref="Y11:Y51" si="6">AVERAGE(T11,MAX(U11:V11),MAX(W11:X11))</f>
        <v>#DIV/0!</v>
      </c>
      <c r="Z11" s="48" t="e">
        <f t="shared" si="0"/>
        <v>#DIV/0!</v>
      </c>
      <c r="AA11" s="41" t="e">
        <f t="shared" ref="AA11:AA51" si="7">Z11*0.4</f>
        <v>#DIV/0!</v>
      </c>
      <c r="AB11" s="62"/>
      <c r="AC11" s="51">
        <f t="shared" ref="AC11" si="8">AB11*0.6</f>
        <v>0</v>
      </c>
      <c r="AD11" s="65" t="e">
        <f t="shared" ref="AD11" si="9">AVERAGE(AA11+AC11)</f>
        <v>#DIV/0!</v>
      </c>
      <c r="AE11" s="162" t="e">
        <f t="shared" ref="AE11:AE51" si="10">IF(AD11&gt;=10,"APROVADO/A","REPROVADO/A")</f>
        <v>#DIV/0!</v>
      </c>
    </row>
    <row r="12" spans="1:31" ht="15.75" customHeight="1" x14ac:dyDescent="0.3">
      <c r="B12" s="35">
        <v>3</v>
      </c>
      <c r="C12" s="197" t="s">
        <v>101</v>
      </c>
      <c r="D12" s="45"/>
      <c r="E12" s="38"/>
      <c r="F12" s="32">
        <v>16</v>
      </c>
      <c r="G12" s="32">
        <v>12.5</v>
      </c>
      <c r="H12" s="27"/>
      <c r="I12" s="32">
        <v>13</v>
      </c>
      <c r="J12" s="28"/>
      <c r="K12" s="56">
        <f t="shared" si="1"/>
        <v>13.833333333333334</v>
      </c>
      <c r="L12" s="166" t="str">
        <f t="shared" si="2"/>
        <v>TRANSITA</v>
      </c>
      <c r="M12" s="59">
        <v>20</v>
      </c>
      <c r="N12" s="27">
        <v>20</v>
      </c>
      <c r="P12" s="27">
        <v>13.5</v>
      </c>
      <c r="Q12" s="28"/>
      <c r="R12" s="56">
        <f t="shared" si="3"/>
        <v>17.833333333333332</v>
      </c>
      <c r="S12" s="166" t="str">
        <f t="shared" si="4"/>
        <v>TRANSITA</v>
      </c>
      <c r="T12" s="59"/>
      <c r="U12" s="27"/>
      <c r="V12" s="27"/>
      <c r="W12" s="32" t="e">
        <f t="shared" si="5"/>
        <v>#DIV/0!</v>
      </c>
      <c r="X12" s="28"/>
      <c r="Y12" s="56" t="e">
        <f t="shared" si="6"/>
        <v>#DIV/0!</v>
      </c>
      <c r="Z12" s="48" t="e">
        <f t="shared" si="0"/>
        <v>#DIV/0!</v>
      </c>
      <c r="AA12" s="41" t="e">
        <f t="shared" si="7"/>
        <v>#DIV/0!</v>
      </c>
      <c r="AB12" s="62"/>
      <c r="AC12" s="51">
        <f t="shared" ref="AC12:AC45" si="11">AB12*0.6</f>
        <v>0</v>
      </c>
      <c r="AD12" s="65" t="e">
        <f t="shared" ref="AD12:AD45" si="12">AVERAGE(AA12+AC12)</f>
        <v>#DIV/0!</v>
      </c>
      <c r="AE12" s="162" t="e">
        <f t="shared" si="10"/>
        <v>#DIV/0!</v>
      </c>
    </row>
    <row r="13" spans="1:31" ht="15.75" customHeight="1" x14ac:dyDescent="0.3">
      <c r="B13" s="35">
        <v>4</v>
      </c>
      <c r="C13" s="197" t="s">
        <v>102</v>
      </c>
      <c r="D13" s="45"/>
      <c r="E13" s="38"/>
      <c r="F13" s="32">
        <v>18</v>
      </c>
      <c r="G13" s="32">
        <v>17.5</v>
      </c>
      <c r="H13" s="27"/>
      <c r="I13" s="32">
        <v>18.5</v>
      </c>
      <c r="J13" s="28"/>
      <c r="K13" s="56">
        <f t="shared" si="1"/>
        <v>18</v>
      </c>
      <c r="L13" s="166" t="str">
        <f t="shared" si="2"/>
        <v>TRANSITA</v>
      </c>
      <c r="M13" s="59">
        <v>20</v>
      </c>
      <c r="N13" s="27">
        <v>20</v>
      </c>
      <c r="P13" s="27">
        <v>13.5</v>
      </c>
      <c r="Q13" s="28"/>
      <c r="R13" s="56">
        <f t="shared" si="3"/>
        <v>17.833333333333332</v>
      </c>
      <c r="S13" s="166" t="str">
        <f t="shared" si="4"/>
        <v>TRANSITA</v>
      </c>
      <c r="T13" s="59"/>
      <c r="U13" s="27"/>
      <c r="V13" s="27"/>
      <c r="W13" s="32" t="e">
        <f t="shared" si="5"/>
        <v>#DIV/0!</v>
      </c>
      <c r="X13" s="28"/>
      <c r="Y13" s="56" t="e">
        <f t="shared" si="6"/>
        <v>#DIV/0!</v>
      </c>
      <c r="Z13" s="48" t="e">
        <f t="shared" si="0"/>
        <v>#DIV/0!</v>
      </c>
      <c r="AA13" s="41" t="e">
        <f t="shared" si="7"/>
        <v>#DIV/0!</v>
      </c>
      <c r="AB13" s="62"/>
      <c r="AC13" s="51">
        <f t="shared" si="11"/>
        <v>0</v>
      </c>
      <c r="AD13" s="65" t="e">
        <f t="shared" si="12"/>
        <v>#DIV/0!</v>
      </c>
      <c r="AE13" s="162" t="e">
        <f t="shared" si="10"/>
        <v>#DIV/0!</v>
      </c>
    </row>
    <row r="14" spans="1:31" ht="15.75" customHeight="1" x14ac:dyDescent="0.3">
      <c r="B14" s="35">
        <v>5</v>
      </c>
      <c r="C14" s="197" t="s">
        <v>103</v>
      </c>
      <c r="D14" s="45"/>
      <c r="E14" s="38"/>
      <c r="F14" s="32">
        <v>18</v>
      </c>
      <c r="G14" s="32">
        <v>20</v>
      </c>
      <c r="H14" s="27"/>
      <c r="I14" s="32">
        <v>19</v>
      </c>
      <c r="J14" s="28"/>
      <c r="K14" s="56">
        <f t="shared" si="1"/>
        <v>19</v>
      </c>
      <c r="L14" s="166" t="str">
        <f t="shared" si="2"/>
        <v>TRANSITA</v>
      </c>
      <c r="M14" s="59">
        <v>20</v>
      </c>
      <c r="N14" s="27">
        <v>20</v>
      </c>
      <c r="O14" s="27"/>
      <c r="P14" s="32">
        <v>19</v>
      </c>
      <c r="Q14" s="28"/>
      <c r="R14" s="56">
        <f t="shared" si="3"/>
        <v>19.666666666666668</v>
      </c>
      <c r="S14" s="166" t="str">
        <f t="shared" si="4"/>
        <v>TRANSITA</v>
      </c>
      <c r="T14" s="59"/>
      <c r="U14" s="27"/>
      <c r="V14" s="27"/>
      <c r="W14" s="32" t="e">
        <f t="shared" si="5"/>
        <v>#DIV/0!</v>
      </c>
      <c r="X14" s="28"/>
      <c r="Y14" s="56" t="e">
        <f t="shared" si="6"/>
        <v>#DIV/0!</v>
      </c>
      <c r="Z14" s="48" t="e">
        <f t="shared" si="0"/>
        <v>#DIV/0!</v>
      </c>
      <c r="AA14" s="41" t="e">
        <f t="shared" si="7"/>
        <v>#DIV/0!</v>
      </c>
      <c r="AB14" s="62"/>
      <c r="AC14" s="51">
        <f t="shared" si="11"/>
        <v>0</v>
      </c>
      <c r="AD14" s="65" t="e">
        <f t="shared" si="12"/>
        <v>#DIV/0!</v>
      </c>
      <c r="AE14" s="162" t="e">
        <f t="shared" si="10"/>
        <v>#DIV/0!</v>
      </c>
    </row>
    <row r="15" spans="1:31" ht="15.75" customHeight="1" x14ac:dyDescent="0.3">
      <c r="B15" s="35">
        <v>6</v>
      </c>
      <c r="C15" s="197" t="s">
        <v>104</v>
      </c>
      <c r="D15" s="45"/>
      <c r="E15" s="38"/>
      <c r="F15" s="150"/>
      <c r="G15" s="150"/>
      <c r="H15" s="148"/>
      <c r="I15" s="150"/>
      <c r="J15" s="151"/>
      <c r="K15" s="56">
        <f t="shared" si="1"/>
        <v>0</v>
      </c>
      <c r="L15" s="166" t="str">
        <f t="shared" si="2"/>
        <v>N/TRANSITA</v>
      </c>
      <c r="M15" s="59">
        <v>13.5</v>
      </c>
      <c r="N15" s="27">
        <v>13.5</v>
      </c>
      <c r="O15" s="148"/>
      <c r="P15" s="150">
        <v>15.5</v>
      </c>
      <c r="Q15" s="151"/>
      <c r="R15" s="56">
        <f t="shared" si="3"/>
        <v>14.166666666666666</v>
      </c>
      <c r="S15" s="166" t="str">
        <f t="shared" si="4"/>
        <v>TRANSITA</v>
      </c>
      <c r="T15" s="149"/>
      <c r="U15" s="148"/>
      <c r="V15" s="148"/>
      <c r="W15" s="32" t="e">
        <f t="shared" si="5"/>
        <v>#DIV/0!</v>
      </c>
      <c r="X15" s="151"/>
      <c r="Y15" s="56" t="e">
        <f t="shared" si="6"/>
        <v>#DIV/0!</v>
      </c>
      <c r="Z15" s="48" t="e">
        <f t="shared" si="0"/>
        <v>#DIV/0!</v>
      </c>
      <c r="AA15" s="41" t="e">
        <f t="shared" si="7"/>
        <v>#DIV/0!</v>
      </c>
      <c r="AB15" s="62"/>
      <c r="AC15" s="51">
        <f t="shared" si="11"/>
        <v>0</v>
      </c>
      <c r="AD15" s="65" t="e">
        <f t="shared" si="12"/>
        <v>#DIV/0!</v>
      </c>
      <c r="AE15" s="162" t="e">
        <f t="shared" si="10"/>
        <v>#DIV/0!</v>
      </c>
    </row>
    <row r="16" spans="1:31" ht="15.75" customHeight="1" x14ac:dyDescent="0.3">
      <c r="B16" s="35">
        <v>7</v>
      </c>
      <c r="C16" s="197" t="s">
        <v>105</v>
      </c>
      <c r="D16" s="45"/>
      <c r="E16" s="38"/>
      <c r="F16" s="32">
        <v>18</v>
      </c>
      <c r="G16" s="32">
        <v>14.5</v>
      </c>
      <c r="H16" s="27"/>
      <c r="I16" s="32">
        <v>15.5</v>
      </c>
      <c r="J16" s="28"/>
      <c r="K16" s="56">
        <f t="shared" si="1"/>
        <v>16</v>
      </c>
      <c r="L16" s="166" t="str">
        <f t="shared" si="2"/>
        <v>TRANSITA</v>
      </c>
      <c r="M16" s="59">
        <v>20</v>
      </c>
      <c r="N16" s="27">
        <v>20</v>
      </c>
      <c r="O16" s="27"/>
      <c r="P16" s="32">
        <v>15.5</v>
      </c>
      <c r="Q16" s="28"/>
      <c r="R16" s="56">
        <f t="shared" si="3"/>
        <v>18.5</v>
      </c>
      <c r="S16" s="166" t="str">
        <f t="shared" si="4"/>
        <v>TRANSITA</v>
      </c>
      <c r="T16" s="59"/>
      <c r="U16" s="27"/>
      <c r="V16" s="27"/>
      <c r="W16" s="32" t="e">
        <f t="shared" si="5"/>
        <v>#DIV/0!</v>
      </c>
      <c r="X16" s="28"/>
      <c r="Y16" s="56" t="e">
        <f t="shared" si="6"/>
        <v>#DIV/0!</v>
      </c>
      <c r="Z16" s="48" t="e">
        <f t="shared" si="0"/>
        <v>#DIV/0!</v>
      </c>
      <c r="AA16" s="41" t="e">
        <f t="shared" si="7"/>
        <v>#DIV/0!</v>
      </c>
      <c r="AB16" s="62"/>
      <c r="AC16" s="51">
        <f t="shared" si="11"/>
        <v>0</v>
      </c>
      <c r="AD16" s="65" t="e">
        <f t="shared" si="12"/>
        <v>#DIV/0!</v>
      </c>
      <c r="AE16" s="162" t="e">
        <f t="shared" si="10"/>
        <v>#DIV/0!</v>
      </c>
    </row>
    <row r="17" spans="2:31" ht="15.75" customHeight="1" x14ac:dyDescent="0.3">
      <c r="B17" s="35">
        <v>8</v>
      </c>
      <c r="C17" s="197" t="s">
        <v>106</v>
      </c>
      <c r="D17" s="45"/>
      <c r="E17" s="38"/>
      <c r="F17" s="32">
        <v>16</v>
      </c>
      <c r="G17" s="32">
        <v>6</v>
      </c>
      <c r="H17" s="27"/>
      <c r="I17" s="32">
        <v>12.5</v>
      </c>
      <c r="J17" s="28"/>
      <c r="K17" s="56">
        <f t="shared" si="1"/>
        <v>11.5</v>
      </c>
      <c r="L17" s="166" t="str">
        <f t="shared" si="2"/>
        <v>TRANSITA</v>
      </c>
      <c r="M17" s="59">
        <v>20</v>
      </c>
      <c r="N17" s="27">
        <v>20</v>
      </c>
      <c r="O17" s="27"/>
      <c r="P17" s="32">
        <v>9</v>
      </c>
      <c r="Q17" s="28"/>
      <c r="R17" s="56">
        <f t="shared" si="3"/>
        <v>16.333333333333332</v>
      </c>
      <c r="S17" s="166" t="str">
        <f t="shared" si="4"/>
        <v>TRANSITA</v>
      </c>
      <c r="T17" s="59"/>
      <c r="U17" s="27"/>
      <c r="V17" s="27"/>
      <c r="W17" s="32" t="e">
        <f t="shared" si="5"/>
        <v>#DIV/0!</v>
      </c>
      <c r="X17" s="28"/>
      <c r="Y17" s="56" t="e">
        <f t="shared" si="6"/>
        <v>#DIV/0!</v>
      </c>
      <c r="Z17" s="48" t="e">
        <f t="shared" si="0"/>
        <v>#DIV/0!</v>
      </c>
      <c r="AA17" s="41" t="e">
        <f t="shared" si="7"/>
        <v>#DIV/0!</v>
      </c>
      <c r="AB17" s="62"/>
      <c r="AC17" s="51">
        <f t="shared" si="11"/>
        <v>0</v>
      </c>
      <c r="AD17" s="65" t="e">
        <f t="shared" si="12"/>
        <v>#DIV/0!</v>
      </c>
      <c r="AE17" s="162" t="e">
        <f t="shared" si="10"/>
        <v>#DIV/0!</v>
      </c>
    </row>
    <row r="18" spans="2:31" ht="15.75" customHeight="1" x14ac:dyDescent="0.3">
      <c r="B18" s="35">
        <v>9</v>
      </c>
      <c r="C18" s="197" t="s">
        <v>144</v>
      </c>
      <c r="D18" s="45"/>
      <c r="E18" s="38"/>
      <c r="F18" s="32"/>
      <c r="G18" s="32"/>
      <c r="H18" s="27"/>
      <c r="I18" s="32"/>
      <c r="J18" s="28"/>
      <c r="K18" s="56">
        <f t="shared" si="1"/>
        <v>0</v>
      </c>
      <c r="L18" s="166" t="str">
        <f t="shared" si="2"/>
        <v>N/TRANSITA</v>
      </c>
      <c r="M18" s="59">
        <v>9</v>
      </c>
      <c r="N18" s="27">
        <v>9</v>
      </c>
      <c r="O18" s="27"/>
      <c r="P18" s="32">
        <v>8.5</v>
      </c>
      <c r="Q18" s="28"/>
      <c r="R18" s="56">
        <f t="shared" ref="R18" si="13">AVERAGE(M18,MAX(N18:O18),MAX(P18:Q18))</f>
        <v>8.8333333333333339</v>
      </c>
      <c r="S18" s="166" t="str">
        <f t="shared" ref="S18" si="14">IF(R18&gt;=10,"TRANSITA","N/TRANSITA")</f>
        <v>N/TRANSITA</v>
      </c>
      <c r="T18" s="59"/>
      <c r="U18" s="27"/>
      <c r="V18" s="27"/>
      <c r="W18" s="32" t="e">
        <f t="shared" ref="W18" si="15">AVERAGE(T18:U18)</f>
        <v>#DIV/0!</v>
      </c>
      <c r="X18" s="28"/>
      <c r="Y18" s="56" t="e">
        <f t="shared" ref="Y18" si="16">AVERAGE(T18,MAX(U18:V18),MAX(W18:X18))</f>
        <v>#DIV/0!</v>
      </c>
      <c r="Z18" s="48" t="e">
        <f t="shared" ref="Z18" si="17">SUM(K18,R18,Y18)/3</f>
        <v>#DIV/0!</v>
      </c>
      <c r="AA18" s="41" t="e">
        <f t="shared" ref="AA18" si="18">Z18*0.4</f>
        <v>#DIV/0!</v>
      </c>
      <c r="AB18" s="62"/>
      <c r="AC18" s="51">
        <f t="shared" ref="AC18" si="19">AB18*0.6</f>
        <v>0</v>
      </c>
      <c r="AD18" s="65" t="e">
        <f t="shared" ref="AD18" si="20">AVERAGE(AA18+AC18)</f>
        <v>#DIV/0!</v>
      </c>
      <c r="AE18" s="162" t="e">
        <f t="shared" ref="AE18" si="21">IF(AD18&gt;=10,"APROVADO/A","REPROVADO/A")</f>
        <v>#DIV/0!</v>
      </c>
    </row>
    <row r="19" spans="2:31" ht="15.75" customHeight="1" x14ac:dyDescent="0.3">
      <c r="B19" s="35">
        <v>10</v>
      </c>
      <c r="C19" s="197" t="s">
        <v>107</v>
      </c>
      <c r="D19" s="45"/>
      <c r="E19" s="38"/>
      <c r="F19" s="32">
        <v>15</v>
      </c>
      <c r="G19" s="32">
        <v>8</v>
      </c>
      <c r="H19" s="27"/>
      <c r="I19" s="32">
        <v>18.5</v>
      </c>
      <c r="J19" s="28"/>
      <c r="K19" s="56">
        <f t="shared" si="1"/>
        <v>13.833333333333334</v>
      </c>
      <c r="L19" s="166" t="str">
        <f t="shared" si="2"/>
        <v>TRANSITA</v>
      </c>
      <c r="M19" s="59">
        <v>20</v>
      </c>
      <c r="N19" s="27">
        <v>20</v>
      </c>
      <c r="O19" s="27"/>
      <c r="P19" s="32">
        <v>10.5</v>
      </c>
      <c r="Q19" s="28"/>
      <c r="R19" s="56">
        <f t="shared" si="3"/>
        <v>16.833333333333332</v>
      </c>
      <c r="S19" s="166" t="str">
        <f t="shared" si="4"/>
        <v>TRANSITA</v>
      </c>
      <c r="T19" s="59"/>
      <c r="U19" s="27"/>
      <c r="V19" s="27"/>
      <c r="W19" s="32" t="e">
        <f t="shared" si="5"/>
        <v>#DIV/0!</v>
      </c>
      <c r="X19" s="28"/>
      <c r="Y19" s="56" t="e">
        <f t="shared" si="6"/>
        <v>#DIV/0!</v>
      </c>
      <c r="Z19" s="48" t="e">
        <f t="shared" si="0"/>
        <v>#DIV/0!</v>
      </c>
      <c r="AA19" s="41" t="e">
        <f t="shared" si="7"/>
        <v>#DIV/0!</v>
      </c>
      <c r="AB19" s="62"/>
      <c r="AC19" s="51">
        <f t="shared" si="11"/>
        <v>0</v>
      </c>
      <c r="AD19" s="65" t="e">
        <f t="shared" si="12"/>
        <v>#DIV/0!</v>
      </c>
      <c r="AE19" s="162" t="e">
        <f t="shared" si="10"/>
        <v>#DIV/0!</v>
      </c>
    </row>
    <row r="20" spans="2:31" ht="15.75" customHeight="1" x14ac:dyDescent="0.3">
      <c r="B20" s="35">
        <v>11</v>
      </c>
      <c r="C20" s="197" t="s">
        <v>108</v>
      </c>
      <c r="D20" s="45"/>
      <c r="E20" s="38"/>
      <c r="F20" s="32">
        <v>18</v>
      </c>
      <c r="G20" s="32">
        <v>18</v>
      </c>
      <c r="H20" s="27"/>
      <c r="I20" s="32">
        <v>19</v>
      </c>
      <c r="J20" s="28"/>
      <c r="K20" s="56">
        <f t="shared" si="1"/>
        <v>18.333333333333332</v>
      </c>
      <c r="L20" s="166" t="str">
        <f t="shared" si="2"/>
        <v>TRANSITA</v>
      </c>
      <c r="M20" s="59">
        <v>20</v>
      </c>
      <c r="N20" s="27">
        <v>20</v>
      </c>
      <c r="O20" s="27"/>
      <c r="P20" s="32">
        <v>13</v>
      </c>
      <c r="Q20" s="28"/>
      <c r="R20" s="56">
        <f t="shared" si="3"/>
        <v>17.666666666666668</v>
      </c>
      <c r="S20" s="166" t="str">
        <f t="shared" si="4"/>
        <v>TRANSITA</v>
      </c>
      <c r="T20" s="59"/>
      <c r="U20" s="27"/>
      <c r="V20" s="27"/>
      <c r="W20" s="32" t="e">
        <f t="shared" si="5"/>
        <v>#DIV/0!</v>
      </c>
      <c r="X20" s="28"/>
      <c r="Y20" s="56" t="e">
        <f t="shared" si="6"/>
        <v>#DIV/0!</v>
      </c>
      <c r="Z20" s="48" t="e">
        <f t="shared" si="0"/>
        <v>#DIV/0!</v>
      </c>
      <c r="AA20" s="41" t="e">
        <f t="shared" si="7"/>
        <v>#DIV/0!</v>
      </c>
      <c r="AB20" s="62"/>
      <c r="AC20" s="51">
        <f t="shared" ref="AC20" si="22">AB20*0.6</f>
        <v>0</v>
      </c>
      <c r="AD20" s="65" t="e">
        <f t="shared" ref="AD20" si="23">AVERAGE(AA20+AC20)</f>
        <v>#DIV/0!</v>
      </c>
      <c r="AE20" s="162" t="e">
        <f t="shared" si="10"/>
        <v>#DIV/0!</v>
      </c>
    </row>
    <row r="21" spans="2:31" ht="15.75" customHeight="1" x14ac:dyDescent="0.3">
      <c r="B21" s="35">
        <v>12</v>
      </c>
      <c r="C21" s="197" t="s">
        <v>109</v>
      </c>
      <c r="D21" s="45"/>
      <c r="E21" s="38"/>
      <c r="F21" s="150">
        <v>18</v>
      </c>
      <c r="G21" s="150">
        <v>16.5</v>
      </c>
      <c r="H21" s="148"/>
      <c r="I21" s="150">
        <v>19</v>
      </c>
      <c r="J21" s="151"/>
      <c r="K21" s="56">
        <f t="shared" si="1"/>
        <v>17.833333333333332</v>
      </c>
      <c r="L21" s="166" t="str">
        <f t="shared" si="2"/>
        <v>TRANSITA</v>
      </c>
      <c r="M21" s="59">
        <v>20</v>
      </c>
      <c r="N21" s="27">
        <v>20</v>
      </c>
      <c r="O21" s="148"/>
      <c r="P21" s="150">
        <v>13.5</v>
      </c>
      <c r="Q21" s="151"/>
      <c r="R21" s="56">
        <f t="shared" si="3"/>
        <v>17.833333333333332</v>
      </c>
      <c r="S21" s="166" t="str">
        <f t="shared" si="4"/>
        <v>TRANSITA</v>
      </c>
      <c r="T21" s="149"/>
      <c r="U21" s="148"/>
      <c r="V21" s="148"/>
      <c r="W21" s="32" t="e">
        <f t="shared" si="5"/>
        <v>#DIV/0!</v>
      </c>
      <c r="X21" s="151"/>
      <c r="Y21" s="56" t="e">
        <f t="shared" si="6"/>
        <v>#DIV/0!</v>
      </c>
      <c r="Z21" s="48" t="e">
        <f t="shared" si="0"/>
        <v>#DIV/0!</v>
      </c>
      <c r="AA21" s="41" t="e">
        <f t="shared" si="7"/>
        <v>#DIV/0!</v>
      </c>
      <c r="AB21" s="62"/>
      <c r="AC21" s="51">
        <f t="shared" ref="AC21" si="24">AB21*0.6</f>
        <v>0</v>
      </c>
      <c r="AD21" s="65" t="e">
        <f t="shared" ref="AD21" si="25">AVERAGE(AA21+AC21)</f>
        <v>#DIV/0!</v>
      </c>
      <c r="AE21" s="162" t="e">
        <f t="shared" si="10"/>
        <v>#DIV/0!</v>
      </c>
    </row>
    <row r="22" spans="2:31" ht="15.75" customHeight="1" x14ac:dyDescent="0.3">
      <c r="B22" s="35">
        <v>13</v>
      </c>
      <c r="C22" s="197" t="s">
        <v>110</v>
      </c>
      <c r="D22" s="45"/>
      <c r="E22" s="38"/>
      <c r="F22" s="32">
        <v>14</v>
      </c>
      <c r="G22" s="32">
        <v>10</v>
      </c>
      <c r="H22" s="27"/>
      <c r="I22" s="32">
        <v>13.5</v>
      </c>
      <c r="J22" s="28"/>
      <c r="K22" s="56">
        <f t="shared" si="1"/>
        <v>12.5</v>
      </c>
      <c r="L22" s="166" t="str">
        <f t="shared" si="2"/>
        <v>TRANSITA</v>
      </c>
      <c r="M22" s="59">
        <v>20</v>
      </c>
      <c r="N22" s="27">
        <v>20</v>
      </c>
      <c r="O22" s="27"/>
      <c r="P22" s="32">
        <v>12.5</v>
      </c>
      <c r="Q22" s="28"/>
      <c r="R22" s="56">
        <f t="shared" si="3"/>
        <v>17.5</v>
      </c>
      <c r="S22" s="166" t="str">
        <f t="shared" si="4"/>
        <v>TRANSITA</v>
      </c>
      <c r="T22" s="59"/>
      <c r="U22" s="27"/>
      <c r="V22" s="27"/>
      <c r="W22" s="32" t="e">
        <f t="shared" si="5"/>
        <v>#DIV/0!</v>
      </c>
      <c r="X22" s="28"/>
      <c r="Y22" s="56" t="e">
        <f t="shared" si="6"/>
        <v>#DIV/0!</v>
      </c>
      <c r="Z22" s="48" t="e">
        <f t="shared" si="0"/>
        <v>#DIV/0!</v>
      </c>
      <c r="AA22" s="41" t="e">
        <f t="shared" si="7"/>
        <v>#DIV/0!</v>
      </c>
      <c r="AB22" s="62"/>
      <c r="AC22" s="51">
        <f t="shared" si="11"/>
        <v>0</v>
      </c>
      <c r="AD22" s="65" t="e">
        <f t="shared" si="12"/>
        <v>#DIV/0!</v>
      </c>
      <c r="AE22" s="162" t="e">
        <f t="shared" si="10"/>
        <v>#DIV/0!</v>
      </c>
    </row>
    <row r="23" spans="2:31" ht="15.75" customHeight="1" x14ac:dyDescent="0.3">
      <c r="B23" s="35">
        <v>14</v>
      </c>
      <c r="C23" s="197" t="s">
        <v>111</v>
      </c>
      <c r="D23" s="45"/>
      <c r="E23" s="38"/>
      <c r="F23" s="32">
        <v>18</v>
      </c>
      <c r="G23" s="32">
        <v>14</v>
      </c>
      <c r="H23" s="27"/>
      <c r="I23" s="32">
        <v>18</v>
      </c>
      <c r="J23" s="28"/>
      <c r="K23" s="56">
        <f t="shared" si="1"/>
        <v>16.666666666666668</v>
      </c>
      <c r="L23" s="166" t="str">
        <f t="shared" si="2"/>
        <v>TRANSITA</v>
      </c>
      <c r="M23" s="59">
        <v>20</v>
      </c>
      <c r="N23" s="27">
        <v>20</v>
      </c>
      <c r="O23" s="27"/>
      <c r="P23" s="32">
        <v>15.5</v>
      </c>
      <c r="Q23" s="28"/>
      <c r="R23" s="56">
        <f t="shared" si="3"/>
        <v>18.5</v>
      </c>
      <c r="S23" s="166" t="str">
        <f t="shared" si="4"/>
        <v>TRANSITA</v>
      </c>
      <c r="T23" s="59"/>
      <c r="U23" s="27"/>
      <c r="V23" s="27"/>
      <c r="W23" s="32" t="e">
        <f t="shared" si="5"/>
        <v>#DIV/0!</v>
      </c>
      <c r="X23" s="28"/>
      <c r="Y23" s="56" t="e">
        <f t="shared" si="6"/>
        <v>#DIV/0!</v>
      </c>
      <c r="Z23" s="48" t="e">
        <f t="shared" si="0"/>
        <v>#DIV/0!</v>
      </c>
      <c r="AA23" s="41" t="e">
        <f t="shared" si="7"/>
        <v>#DIV/0!</v>
      </c>
      <c r="AB23" s="62"/>
      <c r="AC23" s="51">
        <f t="shared" si="11"/>
        <v>0</v>
      </c>
      <c r="AD23" s="65" t="e">
        <f t="shared" si="12"/>
        <v>#DIV/0!</v>
      </c>
      <c r="AE23" s="162" t="e">
        <f t="shared" si="10"/>
        <v>#DIV/0!</v>
      </c>
    </row>
    <row r="24" spans="2:31" ht="15.75" customHeight="1" x14ac:dyDescent="0.3">
      <c r="B24" s="35">
        <v>15</v>
      </c>
      <c r="C24" s="197" t="s">
        <v>112</v>
      </c>
      <c r="D24" s="45"/>
      <c r="E24" s="38"/>
      <c r="F24" s="32">
        <v>16</v>
      </c>
      <c r="G24" s="32">
        <v>14</v>
      </c>
      <c r="H24" s="27"/>
      <c r="I24" s="32">
        <v>15.5</v>
      </c>
      <c r="J24" s="28"/>
      <c r="K24" s="56">
        <f t="shared" si="1"/>
        <v>15.166666666666666</v>
      </c>
      <c r="L24" s="166" t="str">
        <f t="shared" si="2"/>
        <v>TRANSITA</v>
      </c>
      <c r="M24" s="59">
        <v>20</v>
      </c>
      <c r="N24" s="27">
        <v>20</v>
      </c>
      <c r="O24" s="27"/>
      <c r="P24" s="32">
        <v>19</v>
      </c>
      <c r="Q24" s="28"/>
      <c r="R24" s="56">
        <f t="shared" si="3"/>
        <v>19.666666666666668</v>
      </c>
      <c r="S24" s="166" t="str">
        <f t="shared" si="4"/>
        <v>TRANSITA</v>
      </c>
      <c r="T24" s="59"/>
      <c r="U24" s="27"/>
      <c r="V24" s="27"/>
      <c r="W24" s="32" t="e">
        <f t="shared" si="5"/>
        <v>#DIV/0!</v>
      </c>
      <c r="X24" s="28"/>
      <c r="Y24" s="56" t="e">
        <f t="shared" si="6"/>
        <v>#DIV/0!</v>
      </c>
      <c r="Z24" s="48" t="e">
        <f t="shared" si="0"/>
        <v>#DIV/0!</v>
      </c>
      <c r="AA24" s="41" t="e">
        <f t="shared" si="7"/>
        <v>#DIV/0!</v>
      </c>
      <c r="AB24" s="62"/>
      <c r="AC24" s="51">
        <f t="shared" si="11"/>
        <v>0</v>
      </c>
      <c r="AD24" s="65" t="e">
        <f t="shared" si="12"/>
        <v>#DIV/0!</v>
      </c>
      <c r="AE24" s="162" t="e">
        <f t="shared" si="10"/>
        <v>#DIV/0!</v>
      </c>
    </row>
    <row r="25" spans="2:31" ht="15.75" customHeight="1" x14ac:dyDescent="0.3">
      <c r="B25" s="35">
        <v>16</v>
      </c>
      <c r="C25" s="197" t="s">
        <v>113</v>
      </c>
      <c r="D25" s="45"/>
      <c r="E25" s="38"/>
      <c r="F25" s="32">
        <v>18</v>
      </c>
      <c r="G25" s="32">
        <v>8</v>
      </c>
      <c r="H25" s="27"/>
      <c r="I25" s="32">
        <v>15.5</v>
      </c>
      <c r="J25" s="28"/>
      <c r="K25" s="56">
        <f t="shared" si="1"/>
        <v>13.833333333333334</v>
      </c>
      <c r="L25" s="166" t="str">
        <f t="shared" si="2"/>
        <v>TRANSITA</v>
      </c>
      <c r="M25" s="59">
        <v>20</v>
      </c>
      <c r="N25" s="27">
        <v>20</v>
      </c>
      <c r="O25" s="27"/>
      <c r="P25" s="32">
        <v>12</v>
      </c>
      <c r="Q25" s="28"/>
      <c r="R25" s="56">
        <f t="shared" si="3"/>
        <v>17.333333333333332</v>
      </c>
      <c r="S25" s="166" t="str">
        <f t="shared" si="4"/>
        <v>TRANSITA</v>
      </c>
      <c r="T25" s="59"/>
      <c r="U25" s="27"/>
      <c r="V25" s="27"/>
      <c r="W25" s="32" t="e">
        <f t="shared" si="5"/>
        <v>#DIV/0!</v>
      </c>
      <c r="X25" s="28"/>
      <c r="Y25" s="56" t="e">
        <f t="shared" si="6"/>
        <v>#DIV/0!</v>
      </c>
      <c r="Z25" s="48" t="e">
        <f t="shared" si="0"/>
        <v>#DIV/0!</v>
      </c>
      <c r="AA25" s="41" t="e">
        <f t="shared" si="7"/>
        <v>#DIV/0!</v>
      </c>
      <c r="AB25" s="62"/>
      <c r="AC25" s="51">
        <f t="shared" si="11"/>
        <v>0</v>
      </c>
      <c r="AD25" s="65" t="e">
        <f t="shared" si="12"/>
        <v>#DIV/0!</v>
      </c>
      <c r="AE25" s="162" t="e">
        <f t="shared" si="10"/>
        <v>#DIV/0!</v>
      </c>
    </row>
    <row r="26" spans="2:31" ht="15.75" customHeight="1" x14ac:dyDescent="0.3">
      <c r="B26" s="35">
        <v>17</v>
      </c>
      <c r="C26" s="197" t="s">
        <v>114</v>
      </c>
      <c r="D26" s="45"/>
      <c r="E26" s="38"/>
      <c r="F26" s="32">
        <v>18</v>
      </c>
      <c r="G26" s="32">
        <v>15</v>
      </c>
      <c r="H26" s="27"/>
      <c r="I26" s="32">
        <v>19</v>
      </c>
      <c r="J26" s="28"/>
      <c r="K26" s="56">
        <f t="shared" si="1"/>
        <v>17.333333333333332</v>
      </c>
      <c r="L26" s="166" t="str">
        <f t="shared" si="2"/>
        <v>TRANSITA</v>
      </c>
      <c r="M26" s="59">
        <v>20</v>
      </c>
      <c r="N26" s="27">
        <v>20</v>
      </c>
      <c r="O26" s="27"/>
      <c r="P26" s="32">
        <v>15</v>
      </c>
      <c r="Q26" s="28"/>
      <c r="R26" s="56">
        <f t="shared" si="3"/>
        <v>18.333333333333332</v>
      </c>
      <c r="S26" s="166" t="str">
        <f t="shared" si="4"/>
        <v>TRANSITA</v>
      </c>
      <c r="T26" s="59"/>
      <c r="U26" s="27"/>
      <c r="V26" s="27"/>
      <c r="W26" s="32" t="e">
        <f t="shared" si="5"/>
        <v>#DIV/0!</v>
      </c>
      <c r="X26" s="28"/>
      <c r="Y26" s="56" t="e">
        <f t="shared" si="6"/>
        <v>#DIV/0!</v>
      </c>
      <c r="Z26" s="48" t="e">
        <f t="shared" si="0"/>
        <v>#DIV/0!</v>
      </c>
      <c r="AA26" s="41" t="e">
        <f t="shared" si="7"/>
        <v>#DIV/0!</v>
      </c>
      <c r="AB26" s="62"/>
      <c r="AC26" s="51">
        <f t="shared" ref="AC26:AC39" si="26">AB26*0.6</f>
        <v>0</v>
      </c>
      <c r="AD26" s="65" t="e">
        <f t="shared" ref="AD26:AD39" si="27">AVERAGE(AA26+AC26)</f>
        <v>#DIV/0!</v>
      </c>
      <c r="AE26" s="162" t="e">
        <f t="shared" si="10"/>
        <v>#DIV/0!</v>
      </c>
    </row>
    <row r="27" spans="2:31" ht="15.75" customHeight="1" x14ac:dyDescent="0.3">
      <c r="B27" s="35">
        <v>18</v>
      </c>
      <c r="C27" s="197" t="s">
        <v>115</v>
      </c>
      <c r="D27" s="45"/>
      <c r="E27" s="38"/>
      <c r="F27" s="32">
        <v>16</v>
      </c>
      <c r="G27" s="32">
        <v>9.5</v>
      </c>
      <c r="H27" s="27"/>
      <c r="I27" s="32">
        <v>17.5</v>
      </c>
      <c r="J27" s="28"/>
      <c r="K27" s="56">
        <f t="shared" si="1"/>
        <v>14.333333333333334</v>
      </c>
      <c r="L27" s="166" t="str">
        <f t="shared" si="2"/>
        <v>TRANSITA</v>
      </c>
      <c r="M27" s="59">
        <v>20</v>
      </c>
      <c r="N27" s="27">
        <v>20</v>
      </c>
      <c r="O27" s="27"/>
      <c r="P27" s="32">
        <v>10.5</v>
      </c>
      <c r="Q27" s="28"/>
      <c r="R27" s="56">
        <f t="shared" si="3"/>
        <v>16.833333333333332</v>
      </c>
      <c r="S27" s="166" t="str">
        <f t="shared" si="4"/>
        <v>TRANSITA</v>
      </c>
      <c r="T27" s="59"/>
      <c r="U27" s="27"/>
      <c r="V27" s="27"/>
      <c r="W27" s="32" t="e">
        <f t="shared" si="5"/>
        <v>#DIV/0!</v>
      </c>
      <c r="X27" s="28"/>
      <c r="Y27" s="56" t="e">
        <f t="shared" si="6"/>
        <v>#DIV/0!</v>
      </c>
      <c r="Z27" s="48" t="e">
        <f t="shared" si="0"/>
        <v>#DIV/0!</v>
      </c>
      <c r="AA27" s="41" t="e">
        <f t="shared" si="7"/>
        <v>#DIV/0!</v>
      </c>
      <c r="AB27" s="62"/>
      <c r="AC27" s="51">
        <f t="shared" si="26"/>
        <v>0</v>
      </c>
      <c r="AD27" s="65" t="e">
        <f t="shared" si="27"/>
        <v>#DIV/0!</v>
      </c>
      <c r="AE27" s="162" t="e">
        <f t="shared" si="10"/>
        <v>#DIV/0!</v>
      </c>
    </row>
    <row r="28" spans="2:31" ht="15.75" customHeight="1" x14ac:dyDescent="0.3">
      <c r="B28" s="35">
        <v>19</v>
      </c>
      <c r="C28" s="197" t="s">
        <v>116</v>
      </c>
      <c r="D28" s="45"/>
      <c r="E28" s="38"/>
      <c r="F28" s="32">
        <v>18</v>
      </c>
      <c r="G28" s="32">
        <v>17.5</v>
      </c>
      <c r="H28" s="27"/>
      <c r="I28" s="32">
        <v>15.5</v>
      </c>
      <c r="J28" s="28"/>
      <c r="K28" s="56">
        <f t="shared" si="1"/>
        <v>17</v>
      </c>
      <c r="L28" s="166" t="str">
        <f t="shared" si="2"/>
        <v>TRANSITA</v>
      </c>
      <c r="M28" s="59">
        <v>20</v>
      </c>
      <c r="N28" s="27">
        <v>20</v>
      </c>
      <c r="O28" s="27"/>
      <c r="P28" s="32">
        <v>13.5</v>
      </c>
      <c r="Q28" s="28"/>
      <c r="R28" s="56">
        <f t="shared" si="3"/>
        <v>17.833333333333332</v>
      </c>
      <c r="S28" s="166" t="str">
        <f t="shared" si="4"/>
        <v>TRANSITA</v>
      </c>
      <c r="T28" s="59"/>
      <c r="U28" s="27"/>
      <c r="V28" s="27"/>
      <c r="W28" s="32" t="e">
        <f t="shared" si="5"/>
        <v>#DIV/0!</v>
      </c>
      <c r="X28" s="28"/>
      <c r="Y28" s="56" t="e">
        <f t="shared" si="6"/>
        <v>#DIV/0!</v>
      </c>
      <c r="Z28" s="48" t="e">
        <f t="shared" si="0"/>
        <v>#DIV/0!</v>
      </c>
      <c r="AA28" s="41" t="e">
        <f t="shared" si="7"/>
        <v>#DIV/0!</v>
      </c>
      <c r="AB28" s="62"/>
      <c r="AC28" s="51">
        <f t="shared" ref="AC28:AC29" si="28">AB28*0.6</f>
        <v>0</v>
      </c>
      <c r="AD28" s="65" t="e">
        <f t="shared" ref="AD28:AD29" si="29">AVERAGE(AA28+AC28)</f>
        <v>#DIV/0!</v>
      </c>
      <c r="AE28" s="162" t="e">
        <f t="shared" si="10"/>
        <v>#DIV/0!</v>
      </c>
    </row>
    <row r="29" spans="2:31" ht="15.75" customHeight="1" x14ac:dyDescent="0.3">
      <c r="B29" s="35">
        <v>20</v>
      </c>
      <c r="C29" s="197" t="s">
        <v>117</v>
      </c>
      <c r="D29" s="45"/>
      <c r="E29" s="38"/>
      <c r="F29" s="32">
        <v>18</v>
      </c>
      <c r="G29" s="32">
        <v>17</v>
      </c>
      <c r="H29" s="27"/>
      <c r="I29" s="32">
        <v>19</v>
      </c>
      <c r="J29" s="28"/>
      <c r="K29" s="56">
        <f t="shared" si="1"/>
        <v>18</v>
      </c>
      <c r="L29" s="166" t="str">
        <f t="shared" si="2"/>
        <v>TRANSITA</v>
      </c>
      <c r="M29" s="59">
        <v>20</v>
      </c>
      <c r="N29" s="27">
        <v>20</v>
      </c>
      <c r="O29" s="27"/>
      <c r="P29" s="32"/>
      <c r="Q29" s="28"/>
      <c r="R29" s="56">
        <f t="shared" si="3"/>
        <v>13.333333333333334</v>
      </c>
      <c r="S29" s="166" t="str">
        <f t="shared" si="4"/>
        <v>TRANSITA</v>
      </c>
      <c r="T29" s="59"/>
      <c r="U29" s="27"/>
      <c r="V29" s="27"/>
      <c r="W29" s="32" t="e">
        <f t="shared" si="5"/>
        <v>#DIV/0!</v>
      </c>
      <c r="X29" s="28"/>
      <c r="Y29" s="56" t="e">
        <f t="shared" si="6"/>
        <v>#DIV/0!</v>
      </c>
      <c r="Z29" s="48" t="e">
        <f t="shared" si="0"/>
        <v>#DIV/0!</v>
      </c>
      <c r="AA29" s="41" t="e">
        <f t="shared" si="7"/>
        <v>#DIV/0!</v>
      </c>
      <c r="AB29" s="62"/>
      <c r="AC29" s="51">
        <f t="shared" si="28"/>
        <v>0</v>
      </c>
      <c r="AD29" s="65" t="e">
        <f t="shared" si="29"/>
        <v>#DIV/0!</v>
      </c>
      <c r="AE29" s="162" t="e">
        <f t="shared" si="10"/>
        <v>#DIV/0!</v>
      </c>
    </row>
    <row r="30" spans="2:31" ht="15.75" customHeight="1" x14ac:dyDescent="0.3">
      <c r="B30" s="35">
        <v>21</v>
      </c>
      <c r="C30" s="197" t="s">
        <v>118</v>
      </c>
      <c r="D30" s="45"/>
      <c r="E30" s="38"/>
      <c r="F30" s="157">
        <v>18</v>
      </c>
      <c r="G30" s="157">
        <v>16</v>
      </c>
      <c r="H30" s="155"/>
      <c r="I30" s="157">
        <v>17.5</v>
      </c>
      <c r="J30" s="158"/>
      <c r="K30" s="56">
        <f t="shared" si="1"/>
        <v>17.166666666666668</v>
      </c>
      <c r="L30" s="166" t="str">
        <f t="shared" si="2"/>
        <v>TRANSITA</v>
      </c>
      <c r="M30" s="59">
        <v>20</v>
      </c>
      <c r="N30" s="27">
        <v>20</v>
      </c>
      <c r="O30" s="155"/>
      <c r="P30" s="157">
        <v>17.5</v>
      </c>
      <c r="Q30" s="158"/>
      <c r="R30" s="56">
        <f t="shared" si="3"/>
        <v>19.166666666666668</v>
      </c>
      <c r="S30" s="166" t="str">
        <f t="shared" si="4"/>
        <v>TRANSITA</v>
      </c>
      <c r="T30" s="156"/>
      <c r="U30" s="155"/>
      <c r="V30" s="155"/>
      <c r="W30" s="32" t="e">
        <f t="shared" si="5"/>
        <v>#DIV/0!</v>
      </c>
      <c r="X30" s="158"/>
      <c r="Y30" s="56" t="e">
        <f t="shared" si="6"/>
        <v>#DIV/0!</v>
      </c>
      <c r="Z30" s="48" t="e">
        <f t="shared" si="0"/>
        <v>#DIV/0!</v>
      </c>
      <c r="AA30" s="41" t="e">
        <f t="shared" si="7"/>
        <v>#DIV/0!</v>
      </c>
      <c r="AB30" s="62"/>
      <c r="AC30" s="51">
        <f t="shared" ref="AC30" si="30">AB30*0.6</f>
        <v>0</v>
      </c>
      <c r="AD30" s="65" t="e">
        <f t="shared" ref="AD30" si="31">AVERAGE(AA30+AC30)</f>
        <v>#DIV/0!</v>
      </c>
      <c r="AE30" s="162" t="e">
        <f t="shared" si="10"/>
        <v>#DIV/0!</v>
      </c>
    </row>
    <row r="31" spans="2:31" ht="15.75" customHeight="1" x14ac:dyDescent="0.3">
      <c r="B31" s="35">
        <v>22</v>
      </c>
      <c r="C31" s="197" t="s">
        <v>119</v>
      </c>
      <c r="D31" s="45"/>
      <c r="E31" s="38"/>
      <c r="F31" s="32">
        <v>16</v>
      </c>
      <c r="G31" s="32">
        <v>11</v>
      </c>
      <c r="H31" s="27"/>
      <c r="I31" s="32">
        <v>18.5</v>
      </c>
      <c r="J31" s="28"/>
      <c r="K31" s="56">
        <f t="shared" si="1"/>
        <v>15.166666666666666</v>
      </c>
      <c r="L31" s="166" t="str">
        <f t="shared" si="2"/>
        <v>TRANSITA</v>
      </c>
      <c r="M31" s="59">
        <v>13</v>
      </c>
      <c r="N31" s="27">
        <v>13</v>
      </c>
      <c r="O31" s="27"/>
      <c r="P31" s="32">
        <v>12</v>
      </c>
      <c r="Q31" s="28"/>
      <c r="R31" s="56">
        <f t="shared" si="3"/>
        <v>12.666666666666666</v>
      </c>
      <c r="S31" s="166" t="str">
        <f t="shared" si="4"/>
        <v>TRANSITA</v>
      </c>
      <c r="T31" s="59"/>
      <c r="U31" s="27"/>
      <c r="V31" s="27"/>
      <c r="W31" s="32" t="e">
        <f t="shared" si="5"/>
        <v>#DIV/0!</v>
      </c>
      <c r="X31" s="28"/>
      <c r="Y31" s="56" t="e">
        <f t="shared" si="6"/>
        <v>#DIV/0!</v>
      </c>
      <c r="Z31" s="48" t="e">
        <f t="shared" si="0"/>
        <v>#DIV/0!</v>
      </c>
      <c r="AA31" s="41" t="e">
        <f t="shared" si="7"/>
        <v>#DIV/0!</v>
      </c>
      <c r="AB31" s="62"/>
      <c r="AC31" s="51">
        <f t="shared" si="26"/>
        <v>0</v>
      </c>
      <c r="AD31" s="65" t="e">
        <f t="shared" si="27"/>
        <v>#DIV/0!</v>
      </c>
      <c r="AE31" s="162" t="e">
        <f t="shared" si="10"/>
        <v>#DIV/0!</v>
      </c>
    </row>
    <row r="32" spans="2:31" ht="15.75" customHeight="1" x14ac:dyDescent="0.3">
      <c r="B32" s="35">
        <v>23</v>
      </c>
      <c r="C32" s="197" t="s">
        <v>120</v>
      </c>
      <c r="D32" s="45"/>
      <c r="E32" s="38"/>
      <c r="F32" s="32">
        <v>16</v>
      </c>
      <c r="G32" s="32">
        <v>14.5</v>
      </c>
      <c r="H32" s="27"/>
      <c r="I32" s="32">
        <v>18.5</v>
      </c>
      <c r="J32" s="28"/>
      <c r="K32" s="56">
        <f t="shared" si="1"/>
        <v>16.333333333333332</v>
      </c>
      <c r="L32" s="166" t="str">
        <f t="shared" si="2"/>
        <v>TRANSITA</v>
      </c>
      <c r="M32" s="59">
        <v>20</v>
      </c>
      <c r="N32" s="27">
        <v>20</v>
      </c>
      <c r="O32" s="27"/>
      <c r="P32" s="32">
        <v>14</v>
      </c>
      <c r="Q32" s="28"/>
      <c r="R32" s="56">
        <f t="shared" si="3"/>
        <v>18</v>
      </c>
      <c r="S32" s="166" t="str">
        <f t="shared" si="4"/>
        <v>TRANSITA</v>
      </c>
      <c r="T32" s="59"/>
      <c r="U32" s="27"/>
      <c r="V32" s="27"/>
      <c r="W32" s="32" t="e">
        <f t="shared" si="5"/>
        <v>#DIV/0!</v>
      </c>
      <c r="X32" s="28"/>
      <c r="Y32" s="56" t="e">
        <f t="shared" si="6"/>
        <v>#DIV/0!</v>
      </c>
      <c r="Z32" s="48" t="e">
        <f t="shared" si="0"/>
        <v>#DIV/0!</v>
      </c>
      <c r="AA32" s="41" t="e">
        <f t="shared" si="7"/>
        <v>#DIV/0!</v>
      </c>
      <c r="AB32" s="62"/>
      <c r="AC32" s="51">
        <f t="shared" si="26"/>
        <v>0</v>
      </c>
      <c r="AD32" s="65" t="e">
        <f t="shared" si="27"/>
        <v>#DIV/0!</v>
      </c>
      <c r="AE32" s="162" t="e">
        <f t="shared" si="10"/>
        <v>#DIV/0!</v>
      </c>
    </row>
    <row r="33" spans="2:31" ht="15.75" customHeight="1" x14ac:dyDescent="0.3">
      <c r="B33" s="35">
        <v>24</v>
      </c>
      <c r="C33" s="197" t="s">
        <v>121</v>
      </c>
      <c r="D33" s="45"/>
      <c r="E33" s="38"/>
      <c r="F33" s="32">
        <v>12</v>
      </c>
      <c r="G33" s="32">
        <v>8.5</v>
      </c>
      <c r="H33" s="27"/>
      <c r="I33" s="32">
        <v>8</v>
      </c>
      <c r="J33" s="28"/>
      <c r="K33" s="56">
        <f t="shared" si="1"/>
        <v>9.5</v>
      </c>
      <c r="L33" s="166" t="str">
        <f t="shared" si="2"/>
        <v>N/TRANSITA</v>
      </c>
      <c r="M33" s="59">
        <v>10.5</v>
      </c>
      <c r="N33" s="27">
        <v>10.5</v>
      </c>
      <c r="O33" s="27"/>
      <c r="P33" s="32">
        <v>9</v>
      </c>
      <c r="Q33" s="28"/>
      <c r="R33" s="56">
        <f t="shared" si="3"/>
        <v>10</v>
      </c>
      <c r="S33" s="166" t="str">
        <f t="shared" si="4"/>
        <v>TRANSITA</v>
      </c>
      <c r="T33" s="59"/>
      <c r="U33" s="27"/>
      <c r="V33" s="27"/>
      <c r="W33" s="32" t="e">
        <f t="shared" si="5"/>
        <v>#DIV/0!</v>
      </c>
      <c r="X33" s="28"/>
      <c r="Y33" s="56" t="e">
        <f t="shared" si="6"/>
        <v>#DIV/0!</v>
      </c>
      <c r="Z33" s="48" t="e">
        <f t="shared" si="0"/>
        <v>#DIV/0!</v>
      </c>
      <c r="AA33" s="41" t="e">
        <f t="shared" si="7"/>
        <v>#DIV/0!</v>
      </c>
      <c r="AB33" s="62"/>
      <c r="AC33" s="51">
        <f t="shared" si="26"/>
        <v>0</v>
      </c>
      <c r="AD33" s="65" t="e">
        <f t="shared" si="27"/>
        <v>#DIV/0!</v>
      </c>
      <c r="AE33" s="162" t="e">
        <f t="shared" si="10"/>
        <v>#DIV/0!</v>
      </c>
    </row>
    <row r="34" spans="2:31" ht="15.75" customHeight="1" x14ac:dyDescent="0.3">
      <c r="B34" s="35">
        <v>25</v>
      </c>
      <c r="C34" s="197" t="s">
        <v>122</v>
      </c>
      <c r="D34" s="45"/>
      <c r="E34" s="38"/>
      <c r="F34" s="32">
        <v>18</v>
      </c>
      <c r="G34" s="32">
        <v>15</v>
      </c>
      <c r="H34" s="27"/>
      <c r="I34" s="32">
        <v>19</v>
      </c>
      <c r="J34" s="28"/>
      <c r="K34" s="56">
        <f t="shared" si="1"/>
        <v>17.333333333333332</v>
      </c>
      <c r="L34" s="166" t="str">
        <f t="shared" si="2"/>
        <v>TRANSITA</v>
      </c>
      <c r="M34" s="59">
        <v>20</v>
      </c>
      <c r="N34" s="27">
        <v>20</v>
      </c>
      <c r="O34" s="27"/>
      <c r="P34" s="32">
        <v>18.5</v>
      </c>
      <c r="Q34" s="28"/>
      <c r="R34" s="56">
        <f t="shared" si="3"/>
        <v>19.5</v>
      </c>
      <c r="S34" s="166" t="str">
        <f t="shared" si="4"/>
        <v>TRANSITA</v>
      </c>
      <c r="T34" s="59"/>
      <c r="U34" s="27"/>
      <c r="V34" s="27"/>
      <c r="W34" s="32" t="e">
        <f t="shared" si="5"/>
        <v>#DIV/0!</v>
      </c>
      <c r="X34" s="28"/>
      <c r="Y34" s="56" t="e">
        <f t="shared" si="6"/>
        <v>#DIV/0!</v>
      </c>
      <c r="Z34" s="48" t="e">
        <f t="shared" si="0"/>
        <v>#DIV/0!</v>
      </c>
      <c r="AA34" s="41" t="e">
        <f t="shared" si="7"/>
        <v>#DIV/0!</v>
      </c>
      <c r="AB34" s="62"/>
      <c r="AC34" s="51">
        <f t="shared" si="26"/>
        <v>0</v>
      </c>
      <c r="AD34" s="65" t="e">
        <f t="shared" si="27"/>
        <v>#DIV/0!</v>
      </c>
      <c r="AE34" s="162" t="e">
        <f t="shared" si="10"/>
        <v>#DIV/0!</v>
      </c>
    </row>
    <row r="35" spans="2:31" ht="15.75" customHeight="1" x14ac:dyDescent="0.3">
      <c r="B35" s="35">
        <v>26</v>
      </c>
      <c r="C35" s="197" t="s">
        <v>123</v>
      </c>
      <c r="D35" s="45"/>
      <c r="E35" s="38"/>
      <c r="F35" s="32">
        <v>18</v>
      </c>
      <c r="G35" s="32">
        <v>11.5</v>
      </c>
      <c r="H35" s="27"/>
      <c r="I35" s="32">
        <v>11.5</v>
      </c>
      <c r="J35" s="28"/>
      <c r="K35" s="56">
        <f t="shared" si="1"/>
        <v>13.666666666666666</v>
      </c>
      <c r="L35" s="166" t="str">
        <f t="shared" si="2"/>
        <v>TRANSITA</v>
      </c>
      <c r="M35" s="59">
        <v>11.5</v>
      </c>
      <c r="N35" s="27">
        <v>11.5</v>
      </c>
      <c r="O35" s="27"/>
      <c r="P35" s="32">
        <v>14.5</v>
      </c>
      <c r="Q35" s="28"/>
      <c r="R35" s="56">
        <f t="shared" si="3"/>
        <v>12.5</v>
      </c>
      <c r="S35" s="166" t="str">
        <f t="shared" si="4"/>
        <v>TRANSITA</v>
      </c>
      <c r="T35" s="59"/>
      <c r="U35" s="27"/>
      <c r="V35" s="27"/>
      <c r="W35" s="32" t="e">
        <f t="shared" si="5"/>
        <v>#DIV/0!</v>
      </c>
      <c r="X35" s="28"/>
      <c r="Y35" s="56" t="e">
        <f t="shared" si="6"/>
        <v>#DIV/0!</v>
      </c>
      <c r="Z35" s="48" t="e">
        <f t="shared" si="0"/>
        <v>#DIV/0!</v>
      </c>
      <c r="AA35" s="41" t="e">
        <f t="shared" si="7"/>
        <v>#DIV/0!</v>
      </c>
      <c r="AB35" s="62"/>
      <c r="AC35" s="51">
        <f t="shared" si="26"/>
        <v>0</v>
      </c>
      <c r="AD35" s="65" t="e">
        <f t="shared" si="27"/>
        <v>#DIV/0!</v>
      </c>
      <c r="AE35" s="162" t="e">
        <f t="shared" si="10"/>
        <v>#DIV/0!</v>
      </c>
    </row>
    <row r="36" spans="2:31" ht="15.75" customHeight="1" x14ac:dyDescent="0.3">
      <c r="B36" s="35">
        <v>27</v>
      </c>
      <c r="C36" s="197" t="s">
        <v>124</v>
      </c>
      <c r="D36" s="45"/>
      <c r="E36" s="38"/>
      <c r="F36" s="32">
        <v>18</v>
      </c>
      <c r="G36" s="32">
        <v>10</v>
      </c>
      <c r="H36" s="27"/>
      <c r="I36" s="32">
        <v>15</v>
      </c>
      <c r="J36" s="28"/>
      <c r="K36" s="56">
        <f t="shared" si="1"/>
        <v>14.333333333333334</v>
      </c>
      <c r="L36" s="166" t="str">
        <f t="shared" si="2"/>
        <v>TRANSITA</v>
      </c>
      <c r="M36" s="59">
        <v>20</v>
      </c>
      <c r="N36" s="27">
        <v>20</v>
      </c>
      <c r="O36" s="27"/>
      <c r="P36" s="32">
        <v>15</v>
      </c>
      <c r="Q36" s="28"/>
      <c r="R36" s="56">
        <f t="shared" si="3"/>
        <v>18.333333333333332</v>
      </c>
      <c r="S36" s="166" t="str">
        <f t="shared" si="4"/>
        <v>TRANSITA</v>
      </c>
      <c r="T36" s="59"/>
      <c r="U36" s="27"/>
      <c r="V36" s="27"/>
      <c r="W36" s="32" t="e">
        <f t="shared" si="5"/>
        <v>#DIV/0!</v>
      </c>
      <c r="X36" s="28"/>
      <c r="Y36" s="56" t="e">
        <f t="shared" si="6"/>
        <v>#DIV/0!</v>
      </c>
      <c r="Z36" s="48" t="e">
        <f t="shared" si="0"/>
        <v>#DIV/0!</v>
      </c>
      <c r="AA36" s="41" t="e">
        <f t="shared" si="7"/>
        <v>#DIV/0!</v>
      </c>
      <c r="AB36" s="62"/>
      <c r="AC36" s="51">
        <f t="shared" si="26"/>
        <v>0</v>
      </c>
      <c r="AD36" s="65" t="e">
        <f t="shared" si="27"/>
        <v>#DIV/0!</v>
      </c>
      <c r="AE36" s="162" t="e">
        <f t="shared" si="10"/>
        <v>#DIV/0!</v>
      </c>
    </row>
    <row r="37" spans="2:31" ht="15.75" customHeight="1" x14ac:dyDescent="0.3">
      <c r="B37" s="35">
        <v>28</v>
      </c>
      <c r="C37" s="197" t="s">
        <v>125</v>
      </c>
      <c r="D37" s="45"/>
      <c r="E37" s="38"/>
      <c r="F37" s="150">
        <v>16</v>
      </c>
      <c r="G37" s="150">
        <v>14.5</v>
      </c>
      <c r="H37" s="148"/>
      <c r="I37" s="150">
        <v>11.5</v>
      </c>
      <c r="J37" s="151"/>
      <c r="K37" s="56">
        <f t="shared" si="1"/>
        <v>14</v>
      </c>
      <c r="L37" s="166" t="str">
        <f t="shared" si="2"/>
        <v>TRANSITA</v>
      </c>
      <c r="M37" s="59">
        <v>20</v>
      </c>
      <c r="N37" s="27">
        <v>20</v>
      </c>
      <c r="O37" s="148"/>
      <c r="P37" s="150">
        <v>5</v>
      </c>
      <c r="Q37" s="151"/>
      <c r="R37" s="56">
        <f t="shared" si="3"/>
        <v>15</v>
      </c>
      <c r="S37" s="166" t="str">
        <f t="shared" si="4"/>
        <v>TRANSITA</v>
      </c>
      <c r="T37" s="149"/>
      <c r="U37" s="148"/>
      <c r="V37" s="148"/>
      <c r="W37" s="32" t="e">
        <f t="shared" si="5"/>
        <v>#DIV/0!</v>
      </c>
      <c r="X37" s="151"/>
      <c r="Y37" s="56" t="e">
        <f t="shared" si="6"/>
        <v>#DIV/0!</v>
      </c>
      <c r="Z37" s="48" t="e">
        <f t="shared" si="0"/>
        <v>#DIV/0!</v>
      </c>
      <c r="AA37" s="41" t="e">
        <f t="shared" si="7"/>
        <v>#DIV/0!</v>
      </c>
      <c r="AB37" s="62"/>
      <c r="AC37" s="51">
        <f t="shared" si="26"/>
        <v>0</v>
      </c>
      <c r="AD37" s="65" t="e">
        <f t="shared" si="27"/>
        <v>#DIV/0!</v>
      </c>
      <c r="AE37" s="162" t="e">
        <f t="shared" si="10"/>
        <v>#DIV/0!</v>
      </c>
    </row>
    <row r="38" spans="2:31" ht="15.75" customHeight="1" x14ac:dyDescent="0.3">
      <c r="B38" s="35">
        <v>29</v>
      </c>
      <c r="C38" s="197" t="s">
        <v>126</v>
      </c>
      <c r="D38" s="45"/>
      <c r="E38" s="38"/>
      <c r="F38" s="32">
        <v>10</v>
      </c>
      <c r="G38" s="32">
        <v>11.5</v>
      </c>
      <c r="H38" s="27"/>
      <c r="I38" s="32">
        <v>3.5</v>
      </c>
      <c r="J38" s="28"/>
      <c r="K38" s="56">
        <f t="shared" si="1"/>
        <v>8.3333333333333339</v>
      </c>
      <c r="L38" s="166" t="str">
        <f t="shared" si="2"/>
        <v>N/TRANSITA</v>
      </c>
      <c r="M38" s="59">
        <v>8</v>
      </c>
      <c r="N38" s="27"/>
      <c r="O38" s="27"/>
      <c r="P38" s="32">
        <v>14.5</v>
      </c>
      <c r="Q38" s="28"/>
      <c r="R38" s="56">
        <f t="shared" si="3"/>
        <v>7.5</v>
      </c>
      <c r="S38" s="166" t="str">
        <f t="shared" si="4"/>
        <v>N/TRANSITA</v>
      </c>
      <c r="T38" s="59"/>
      <c r="U38" s="27"/>
      <c r="V38" s="27"/>
      <c r="W38" s="32" t="e">
        <f t="shared" si="5"/>
        <v>#DIV/0!</v>
      </c>
      <c r="X38" s="28"/>
      <c r="Y38" s="56" t="e">
        <f t="shared" si="6"/>
        <v>#DIV/0!</v>
      </c>
      <c r="Z38" s="48" t="e">
        <f t="shared" si="0"/>
        <v>#DIV/0!</v>
      </c>
      <c r="AA38" s="41" t="e">
        <f t="shared" si="7"/>
        <v>#DIV/0!</v>
      </c>
      <c r="AB38" s="62"/>
      <c r="AC38" s="51">
        <f t="shared" si="26"/>
        <v>0</v>
      </c>
      <c r="AD38" s="65" t="e">
        <f t="shared" si="27"/>
        <v>#DIV/0!</v>
      </c>
      <c r="AE38" s="162" t="e">
        <f t="shared" si="10"/>
        <v>#DIV/0!</v>
      </c>
    </row>
    <row r="39" spans="2:31" ht="15.75" customHeight="1" x14ac:dyDescent="0.3">
      <c r="B39" s="35">
        <v>30</v>
      </c>
      <c r="C39" s="197" t="s">
        <v>127</v>
      </c>
      <c r="D39" s="45"/>
      <c r="E39" s="38"/>
      <c r="F39" s="32">
        <v>10</v>
      </c>
      <c r="G39" s="32">
        <v>20</v>
      </c>
      <c r="H39" s="27"/>
      <c r="I39" s="32">
        <v>19</v>
      </c>
      <c r="J39" s="28"/>
      <c r="K39" s="56">
        <f t="shared" si="1"/>
        <v>16.333333333333332</v>
      </c>
      <c r="L39" s="166" t="str">
        <f t="shared" si="2"/>
        <v>TRANSITA</v>
      </c>
      <c r="M39" s="59">
        <v>20</v>
      </c>
      <c r="N39" s="27">
        <v>20</v>
      </c>
      <c r="O39" s="27"/>
      <c r="P39" s="32">
        <v>14</v>
      </c>
      <c r="Q39" s="28"/>
      <c r="R39" s="56">
        <f t="shared" si="3"/>
        <v>18</v>
      </c>
      <c r="S39" s="166" t="str">
        <f t="shared" si="4"/>
        <v>TRANSITA</v>
      </c>
      <c r="T39" s="59"/>
      <c r="U39" s="27"/>
      <c r="V39" s="27"/>
      <c r="W39" s="32" t="e">
        <f t="shared" si="5"/>
        <v>#DIV/0!</v>
      </c>
      <c r="X39" s="28"/>
      <c r="Y39" s="56" t="e">
        <f t="shared" si="6"/>
        <v>#DIV/0!</v>
      </c>
      <c r="Z39" s="48" t="e">
        <f t="shared" si="0"/>
        <v>#DIV/0!</v>
      </c>
      <c r="AA39" s="41" t="e">
        <f t="shared" si="7"/>
        <v>#DIV/0!</v>
      </c>
      <c r="AB39" s="62"/>
      <c r="AC39" s="51">
        <f t="shared" si="26"/>
        <v>0</v>
      </c>
      <c r="AD39" s="65" t="e">
        <f t="shared" si="27"/>
        <v>#DIV/0!</v>
      </c>
      <c r="AE39" s="162" t="e">
        <f t="shared" si="10"/>
        <v>#DIV/0!</v>
      </c>
    </row>
    <row r="40" spans="2:31" ht="15.75" customHeight="1" x14ac:dyDescent="0.3">
      <c r="B40" s="35">
        <v>31</v>
      </c>
      <c r="C40" s="197" t="s">
        <v>128</v>
      </c>
      <c r="D40" s="45"/>
      <c r="E40" s="38"/>
      <c r="F40" s="32">
        <v>18</v>
      </c>
      <c r="G40" s="32">
        <v>12</v>
      </c>
      <c r="H40" s="27"/>
      <c r="I40" s="32">
        <v>15.5</v>
      </c>
      <c r="J40" s="28"/>
      <c r="K40" s="56">
        <f t="shared" si="1"/>
        <v>15.166666666666666</v>
      </c>
      <c r="L40" s="166" t="str">
        <f t="shared" si="2"/>
        <v>TRANSITA</v>
      </c>
      <c r="M40" s="59">
        <v>20</v>
      </c>
      <c r="N40" s="27">
        <v>20</v>
      </c>
      <c r="O40" s="27"/>
      <c r="P40" s="32">
        <v>12.5</v>
      </c>
      <c r="Q40" s="28"/>
      <c r="R40" s="56">
        <f t="shared" si="3"/>
        <v>17.5</v>
      </c>
      <c r="S40" s="166" t="str">
        <f t="shared" si="4"/>
        <v>TRANSITA</v>
      </c>
      <c r="T40" s="59"/>
      <c r="U40" s="27"/>
      <c r="V40" s="27"/>
      <c r="W40" s="32" t="e">
        <f t="shared" si="5"/>
        <v>#DIV/0!</v>
      </c>
      <c r="X40" s="28"/>
      <c r="Y40" s="56" t="e">
        <f t="shared" si="6"/>
        <v>#DIV/0!</v>
      </c>
      <c r="Z40" s="48" t="e">
        <f t="shared" si="0"/>
        <v>#DIV/0!</v>
      </c>
      <c r="AA40" s="41" t="e">
        <f t="shared" si="7"/>
        <v>#DIV/0!</v>
      </c>
      <c r="AB40" s="62"/>
      <c r="AC40" s="51">
        <f t="shared" si="11"/>
        <v>0</v>
      </c>
      <c r="AD40" s="65" t="e">
        <f t="shared" si="12"/>
        <v>#DIV/0!</v>
      </c>
      <c r="AE40" s="162" t="e">
        <f t="shared" si="10"/>
        <v>#DIV/0!</v>
      </c>
    </row>
    <row r="41" spans="2:31" ht="15.75" customHeight="1" x14ac:dyDescent="0.3">
      <c r="B41" s="35">
        <v>32</v>
      </c>
      <c r="C41" s="197" t="s">
        <v>142</v>
      </c>
      <c r="D41" s="45"/>
      <c r="E41" s="38"/>
      <c r="F41" s="32"/>
      <c r="G41" s="32"/>
      <c r="H41" s="27"/>
      <c r="I41" s="32"/>
      <c r="J41" s="28"/>
      <c r="K41" s="56">
        <f t="shared" si="1"/>
        <v>0</v>
      </c>
      <c r="L41" s="166" t="str">
        <f t="shared" si="2"/>
        <v>N/TRANSITA</v>
      </c>
      <c r="M41" s="59">
        <v>20</v>
      </c>
      <c r="N41" s="27">
        <v>20</v>
      </c>
      <c r="O41" s="27"/>
      <c r="P41" s="32">
        <v>16</v>
      </c>
      <c r="Q41" s="28"/>
      <c r="R41" s="56">
        <f t="shared" ref="R41" si="32">AVERAGE(M41,MAX(N41:O41),MAX(P41:Q41))</f>
        <v>18.666666666666668</v>
      </c>
      <c r="S41" s="166" t="str">
        <f t="shared" ref="S41" si="33">IF(R41&gt;=10,"TRANSITA","N/TRANSITA")</f>
        <v>TRANSITA</v>
      </c>
      <c r="T41" s="59"/>
      <c r="U41" s="27"/>
      <c r="V41" s="27"/>
      <c r="W41" s="32" t="e">
        <f t="shared" ref="W41" si="34">AVERAGE(T41:U41)</f>
        <v>#DIV/0!</v>
      </c>
      <c r="X41" s="28"/>
      <c r="Y41" s="56" t="e">
        <f t="shared" ref="Y41" si="35">AVERAGE(T41,MAX(U41:V41),MAX(W41:X41))</f>
        <v>#DIV/0!</v>
      </c>
      <c r="Z41" s="48" t="e">
        <f t="shared" ref="Z41" si="36">SUM(K41,R41,Y41)/3</f>
        <v>#DIV/0!</v>
      </c>
      <c r="AA41" s="41" t="e">
        <f t="shared" ref="AA41" si="37">Z41*0.4</f>
        <v>#DIV/0!</v>
      </c>
      <c r="AB41" s="62"/>
      <c r="AC41" s="51">
        <f t="shared" ref="AC41" si="38">AB41*0.6</f>
        <v>0</v>
      </c>
      <c r="AD41" s="65" t="e">
        <f t="shared" ref="AD41" si="39">AVERAGE(AA41+AC41)</f>
        <v>#DIV/0!</v>
      </c>
      <c r="AE41" s="162"/>
    </row>
    <row r="42" spans="2:31" ht="15.75" customHeight="1" x14ac:dyDescent="0.3">
      <c r="B42" s="35">
        <v>33</v>
      </c>
      <c r="C42" s="197" t="s">
        <v>129</v>
      </c>
      <c r="D42" s="45"/>
      <c r="E42" s="38"/>
      <c r="F42" s="32">
        <v>14</v>
      </c>
      <c r="G42" s="32">
        <v>6.5</v>
      </c>
      <c r="H42" s="27"/>
      <c r="I42" s="32">
        <v>14</v>
      </c>
      <c r="J42" s="28"/>
      <c r="K42" s="56">
        <f t="shared" si="1"/>
        <v>11.5</v>
      </c>
      <c r="L42" s="166" t="str">
        <f t="shared" si="2"/>
        <v>TRANSITA</v>
      </c>
      <c r="M42" s="59">
        <v>20</v>
      </c>
      <c r="N42" s="27">
        <v>20</v>
      </c>
      <c r="O42" s="27"/>
      <c r="P42" s="32">
        <v>10.5</v>
      </c>
      <c r="Q42" s="28"/>
      <c r="R42" s="56">
        <f t="shared" si="3"/>
        <v>16.833333333333332</v>
      </c>
      <c r="S42" s="166" t="str">
        <f t="shared" si="4"/>
        <v>TRANSITA</v>
      </c>
      <c r="T42" s="59"/>
      <c r="U42" s="27"/>
      <c r="V42" s="27"/>
      <c r="W42" s="32" t="e">
        <f t="shared" si="5"/>
        <v>#DIV/0!</v>
      </c>
      <c r="X42" s="28"/>
      <c r="Y42" s="56" t="e">
        <f t="shared" si="6"/>
        <v>#DIV/0!</v>
      </c>
      <c r="Z42" s="48" t="e">
        <f t="shared" si="0"/>
        <v>#DIV/0!</v>
      </c>
      <c r="AA42" s="41" t="e">
        <f t="shared" si="7"/>
        <v>#DIV/0!</v>
      </c>
      <c r="AB42" s="62"/>
      <c r="AC42" s="51">
        <f t="shared" si="11"/>
        <v>0</v>
      </c>
      <c r="AD42" s="65" t="e">
        <f t="shared" si="12"/>
        <v>#DIV/0!</v>
      </c>
      <c r="AE42" s="162" t="e">
        <f t="shared" si="10"/>
        <v>#DIV/0!</v>
      </c>
    </row>
    <row r="43" spans="2:31" ht="15.75" customHeight="1" x14ac:dyDescent="0.3">
      <c r="B43" s="35">
        <v>34</v>
      </c>
      <c r="C43" s="197" t="s">
        <v>130</v>
      </c>
      <c r="D43" s="45"/>
      <c r="E43" s="38"/>
      <c r="F43" s="32">
        <v>18</v>
      </c>
      <c r="G43" s="32">
        <v>12.5</v>
      </c>
      <c r="H43" s="27"/>
      <c r="I43" s="32">
        <v>18.5</v>
      </c>
      <c r="J43" s="28"/>
      <c r="K43" s="56">
        <f t="shared" si="1"/>
        <v>16.333333333333332</v>
      </c>
      <c r="L43" s="166" t="str">
        <f t="shared" si="2"/>
        <v>TRANSITA</v>
      </c>
      <c r="M43" s="59">
        <v>20</v>
      </c>
      <c r="N43" s="27">
        <v>20</v>
      </c>
      <c r="O43" s="27"/>
      <c r="P43" s="32">
        <v>15.5</v>
      </c>
      <c r="Q43" s="28"/>
      <c r="R43" s="56">
        <f t="shared" si="3"/>
        <v>18.5</v>
      </c>
      <c r="S43" s="166" t="str">
        <f t="shared" si="4"/>
        <v>TRANSITA</v>
      </c>
      <c r="T43" s="59"/>
      <c r="U43" s="27"/>
      <c r="V43" s="27"/>
      <c r="W43" s="32" t="e">
        <f t="shared" si="5"/>
        <v>#DIV/0!</v>
      </c>
      <c r="X43" s="28"/>
      <c r="Y43" s="56" t="e">
        <f t="shared" si="6"/>
        <v>#DIV/0!</v>
      </c>
      <c r="Z43" s="48" t="e">
        <f t="shared" si="0"/>
        <v>#DIV/0!</v>
      </c>
      <c r="AA43" s="41" t="e">
        <f t="shared" si="7"/>
        <v>#DIV/0!</v>
      </c>
      <c r="AB43" s="62"/>
      <c r="AC43" s="51">
        <f t="shared" ref="AC43:AC44" si="40">AB43*0.6</f>
        <v>0</v>
      </c>
      <c r="AD43" s="65" t="e">
        <f t="shared" ref="AD43:AD44" si="41">AVERAGE(AA43+AC43)</f>
        <v>#DIV/0!</v>
      </c>
      <c r="AE43" s="162" t="e">
        <f t="shared" si="10"/>
        <v>#DIV/0!</v>
      </c>
    </row>
    <row r="44" spans="2:31" ht="15.75" customHeight="1" x14ac:dyDescent="0.3">
      <c r="B44" s="35">
        <v>35</v>
      </c>
      <c r="C44" s="197" t="s">
        <v>131</v>
      </c>
      <c r="D44" s="45"/>
      <c r="E44" s="38"/>
      <c r="F44" s="32">
        <v>18</v>
      </c>
      <c r="G44" s="32">
        <v>18</v>
      </c>
      <c r="H44" s="27"/>
      <c r="I44" s="32">
        <v>18</v>
      </c>
      <c r="J44" s="28"/>
      <c r="K44" s="56">
        <f t="shared" si="1"/>
        <v>18</v>
      </c>
      <c r="L44" s="166" t="str">
        <f t="shared" si="2"/>
        <v>TRANSITA</v>
      </c>
      <c r="M44" s="59">
        <v>20</v>
      </c>
      <c r="N44" s="27">
        <v>20</v>
      </c>
      <c r="O44" s="27"/>
      <c r="P44" s="32">
        <v>17</v>
      </c>
      <c r="Q44" s="28"/>
      <c r="R44" s="56">
        <f t="shared" si="3"/>
        <v>19</v>
      </c>
      <c r="S44" s="166" t="str">
        <f t="shared" si="4"/>
        <v>TRANSITA</v>
      </c>
      <c r="T44" s="59"/>
      <c r="U44" s="27"/>
      <c r="V44" s="27"/>
      <c r="W44" s="32" t="e">
        <f t="shared" si="5"/>
        <v>#DIV/0!</v>
      </c>
      <c r="X44" s="28"/>
      <c r="Y44" s="56" t="e">
        <f t="shared" si="6"/>
        <v>#DIV/0!</v>
      </c>
      <c r="Z44" s="48" t="e">
        <f t="shared" si="0"/>
        <v>#DIV/0!</v>
      </c>
      <c r="AA44" s="41" t="e">
        <f t="shared" si="7"/>
        <v>#DIV/0!</v>
      </c>
      <c r="AB44" s="62"/>
      <c r="AC44" s="51">
        <f t="shared" si="40"/>
        <v>0</v>
      </c>
      <c r="AD44" s="65" t="e">
        <f t="shared" si="41"/>
        <v>#DIV/0!</v>
      </c>
      <c r="AE44" s="162" t="e">
        <f t="shared" si="10"/>
        <v>#DIV/0!</v>
      </c>
    </row>
    <row r="45" spans="2:31" ht="15.75" customHeight="1" x14ac:dyDescent="0.3">
      <c r="B45" s="35">
        <v>36</v>
      </c>
      <c r="C45" s="197" t="s">
        <v>132</v>
      </c>
      <c r="D45" s="45"/>
      <c r="E45" s="38"/>
      <c r="F45" s="32">
        <v>16</v>
      </c>
      <c r="G45" s="32">
        <v>16.5</v>
      </c>
      <c r="H45" s="27"/>
      <c r="I45" s="32">
        <v>16</v>
      </c>
      <c r="J45" s="28"/>
      <c r="K45" s="56">
        <f t="shared" si="1"/>
        <v>16.166666666666668</v>
      </c>
      <c r="L45" s="166" t="str">
        <f t="shared" si="2"/>
        <v>TRANSITA</v>
      </c>
      <c r="M45" s="59">
        <v>20</v>
      </c>
      <c r="N45" s="27">
        <v>20</v>
      </c>
      <c r="O45" s="27"/>
      <c r="P45" s="32">
        <v>13.5</v>
      </c>
      <c r="Q45" s="28"/>
      <c r="R45" s="56">
        <f t="shared" si="3"/>
        <v>17.833333333333332</v>
      </c>
      <c r="S45" s="166" t="str">
        <f t="shared" si="4"/>
        <v>TRANSITA</v>
      </c>
      <c r="T45" s="59"/>
      <c r="U45" s="27"/>
      <c r="V45" s="27"/>
      <c r="W45" s="32" t="e">
        <f t="shared" si="5"/>
        <v>#DIV/0!</v>
      </c>
      <c r="X45" s="28"/>
      <c r="Y45" s="56" t="e">
        <f t="shared" si="6"/>
        <v>#DIV/0!</v>
      </c>
      <c r="Z45" s="48" t="e">
        <f t="shared" si="0"/>
        <v>#DIV/0!</v>
      </c>
      <c r="AA45" s="41" t="e">
        <f t="shared" si="7"/>
        <v>#DIV/0!</v>
      </c>
      <c r="AB45" s="62"/>
      <c r="AC45" s="51">
        <f t="shared" si="11"/>
        <v>0</v>
      </c>
      <c r="AD45" s="65" t="e">
        <f t="shared" si="12"/>
        <v>#DIV/0!</v>
      </c>
      <c r="AE45" s="162" t="e">
        <f t="shared" si="10"/>
        <v>#DIV/0!</v>
      </c>
    </row>
    <row r="46" spans="2:31" ht="15.75" customHeight="1" x14ac:dyDescent="0.3">
      <c r="B46" s="35">
        <v>37</v>
      </c>
      <c r="C46" s="197" t="s">
        <v>133</v>
      </c>
      <c r="D46" s="45"/>
      <c r="E46" s="38"/>
      <c r="F46" s="32">
        <v>17</v>
      </c>
      <c r="G46" s="32">
        <v>17.5</v>
      </c>
      <c r="H46" s="27"/>
      <c r="I46" s="32">
        <v>18</v>
      </c>
      <c r="J46" s="28"/>
      <c r="K46" s="56">
        <f t="shared" si="1"/>
        <v>17.5</v>
      </c>
      <c r="L46" s="166" t="str">
        <f t="shared" si="2"/>
        <v>TRANSITA</v>
      </c>
      <c r="M46" s="59">
        <v>20</v>
      </c>
      <c r="N46" s="27">
        <v>20</v>
      </c>
      <c r="O46" s="27"/>
      <c r="P46" s="32">
        <v>17</v>
      </c>
      <c r="Q46" s="28"/>
      <c r="R46" s="56">
        <f t="shared" si="3"/>
        <v>19</v>
      </c>
      <c r="S46" s="166" t="str">
        <f t="shared" si="4"/>
        <v>TRANSITA</v>
      </c>
      <c r="T46" s="59"/>
      <c r="U46" s="27"/>
      <c r="V46" s="27"/>
      <c r="W46" s="32" t="e">
        <f t="shared" si="5"/>
        <v>#DIV/0!</v>
      </c>
      <c r="X46" s="28"/>
      <c r="Y46" s="56" t="e">
        <f t="shared" si="6"/>
        <v>#DIV/0!</v>
      </c>
      <c r="Z46" s="48" t="e">
        <f t="shared" si="0"/>
        <v>#DIV/0!</v>
      </c>
      <c r="AA46" s="41" t="e">
        <f t="shared" si="7"/>
        <v>#DIV/0!</v>
      </c>
      <c r="AB46" s="62"/>
      <c r="AC46" s="51">
        <f t="shared" ref="AC46:AC51" si="42">AB46*0.6</f>
        <v>0</v>
      </c>
      <c r="AD46" s="65" t="e">
        <f t="shared" ref="AD46:AD51" si="43">AVERAGE(AA46+AC46)</f>
        <v>#DIV/0!</v>
      </c>
      <c r="AE46" s="162" t="e">
        <f t="shared" si="10"/>
        <v>#DIV/0!</v>
      </c>
    </row>
    <row r="47" spans="2:31" ht="15.75" customHeight="1" x14ac:dyDescent="0.3">
      <c r="B47" s="35">
        <v>38</v>
      </c>
      <c r="C47" s="197" t="s">
        <v>134</v>
      </c>
      <c r="D47" s="45"/>
      <c r="E47" s="38"/>
      <c r="F47" s="32">
        <v>10</v>
      </c>
      <c r="G47" s="32">
        <v>9.5</v>
      </c>
      <c r="H47" s="27"/>
      <c r="I47" s="32">
        <v>3.5</v>
      </c>
      <c r="J47" s="28"/>
      <c r="K47" s="56">
        <f t="shared" si="1"/>
        <v>7.666666666666667</v>
      </c>
      <c r="L47" s="166" t="str">
        <f t="shared" si="2"/>
        <v>N/TRANSITA</v>
      </c>
      <c r="M47" s="59">
        <v>12</v>
      </c>
      <c r="N47" s="27">
        <v>12</v>
      </c>
      <c r="O47" s="27"/>
      <c r="P47" s="32">
        <v>10</v>
      </c>
      <c r="Q47" s="28"/>
      <c r="R47" s="56">
        <f t="shared" si="3"/>
        <v>11.333333333333334</v>
      </c>
      <c r="S47" s="166" t="str">
        <f t="shared" si="4"/>
        <v>TRANSITA</v>
      </c>
      <c r="T47" s="59"/>
      <c r="U47" s="27"/>
      <c r="V47" s="27"/>
      <c r="W47" s="32" t="e">
        <f t="shared" si="5"/>
        <v>#DIV/0!</v>
      </c>
      <c r="X47" s="28"/>
      <c r="Y47" s="56" t="e">
        <f t="shared" si="6"/>
        <v>#DIV/0!</v>
      </c>
      <c r="Z47" s="48" t="e">
        <f t="shared" si="0"/>
        <v>#DIV/0!</v>
      </c>
      <c r="AA47" s="41" t="e">
        <f t="shared" si="7"/>
        <v>#DIV/0!</v>
      </c>
      <c r="AB47" s="62"/>
      <c r="AC47" s="51">
        <f t="shared" si="42"/>
        <v>0</v>
      </c>
      <c r="AD47" s="65" t="e">
        <f t="shared" si="43"/>
        <v>#DIV/0!</v>
      </c>
      <c r="AE47" s="162" t="e">
        <f t="shared" si="10"/>
        <v>#DIV/0!</v>
      </c>
    </row>
    <row r="48" spans="2:31" ht="15.75" customHeight="1" x14ac:dyDescent="0.3">
      <c r="B48" s="35">
        <v>39</v>
      </c>
      <c r="C48" s="197" t="s">
        <v>135</v>
      </c>
      <c r="D48" s="45"/>
      <c r="E48" s="38"/>
      <c r="F48" s="32">
        <v>16</v>
      </c>
      <c r="G48" s="32">
        <v>15.5</v>
      </c>
      <c r="H48" s="27"/>
      <c r="I48" s="32">
        <v>16.5</v>
      </c>
      <c r="J48" s="28"/>
      <c r="K48" s="56">
        <f t="shared" si="1"/>
        <v>16</v>
      </c>
      <c r="L48" s="166" t="str">
        <f t="shared" si="2"/>
        <v>TRANSITA</v>
      </c>
      <c r="M48" s="59">
        <v>20</v>
      </c>
      <c r="N48" s="27">
        <v>20</v>
      </c>
      <c r="O48" s="27"/>
      <c r="P48" s="32">
        <v>13</v>
      </c>
      <c r="Q48" s="28"/>
      <c r="R48" s="56">
        <f t="shared" si="3"/>
        <v>17.666666666666668</v>
      </c>
      <c r="S48" s="166" t="str">
        <f t="shared" si="4"/>
        <v>TRANSITA</v>
      </c>
      <c r="T48" s="59"/>
      <c r="U48" s="27"/>
      <c r="V48" s="27"/>
      <c r="W48" s="32" t="e">
        <f t="shared" si="5"/>
        <v>#DIV/0!</v>
      </c>
      <c r="X48" s="28"/>
      <c r="Y48" s="56" t="e">
        <f t="shared" si="6"/>
        <v>#DIV/0!</v>
      </c>
      <c r="Z48" s="48" t="e">
        <f t="shared" si="0"/>
        <v>#DIV/0!</v>
      </c>
      <c r="AA48" s="41" t="e">
        <f t="shared" si="7"/>
        <v>#DIV/0!</v>
      </c>
      <c r="AB48" s="62"/>
      <c r="AC48" s="51">
        <f t="shared" si="42"/>
        <v>0</v>
      </c>
      <c r="AD48" s="65" t="e">
        <f t="shared" si="43"/>
        <v>#DIV/0!</v>
      </c>
      <c r="AE48" s="162" t="e">
        <f t="shared" si="10"/>
        <v>#DIV/0!</v>
      </c>
    </row>
    <row r="49" spans="1:31" ht="15.75" customHeight="1" x14ac:dyDescent="0.3">
      <c r="B49" s="35">
        <v>40</v>
      </c>
      <c r="C49" s="197" t="s">
        <v>136</v>
      </c>
      <c r="D49" s="45">
        <v>0</v>
      </c>
      <c r="E49" s="38"/>
      <c r="F49" s="32">
        <v>18</v>
      </c>
      <c r="G49" s="32">
        <v>15</v>
      </c>
      <c r="H49" s="27"/>
      <c r="I49" s="32">
        <v>19</v>
      </c>
      <c r="J49" s="28"/>
      <c r="K49" s="56">
        <f t="shared" si="1"/>
        <v>17.333333333333332</v>
      </c>
      <c r="L49" s="166" t="str">
        <f t="shared" si="2"/>
        <v>TRANSITA</v>
      </c>
      <c r="M49" s="59">
        <v>20</v>
      </c>
      <c r="N49" s="27">
        <v>20</v>
      </c>
      <c r="O49" s="27"/>
      <c r="P49" s="32">
        <v>19.5</v>
      </c>
      <c r="Q49" s="28"/>
      <c r="R49" s="56">
        <f t="shared" si="3"/>
        <v>19.833333333333332</v>
      </c>
      <c r="S49" s="166" t="str">
        <f t="shared" si="4"/>
        <v>TRANSITA</v>
      </c>
      <c r="T49" s="59"/>
      <c r="U49" s="27"/>
      <c r="V49" s="27"/>
      <c r="W49" s="32" t="e">
        <f t="shared" si="5"/>
        <v>#DIV/0!</v>
      </c>
      <c r="X49" s="28"/>
      <c r="Y49" s="56" t="e">
        <f t="shared" si="6"/>
        <v>#DIV/0!</v>
      </c>
      <c r="Z49" s="48" t="e">
        <f t="shared" si="0"/>
        <v>#DIV/0!</v>
      </c>
      <c r="AA49" s="41" t="e">
        <f t="shared" si="7"/>
        <v>#DIV/0!</v>
      </c>
      <c r="AB49" s="62"/>
      <c r="AC49" s="51">
        <f t="shared" ref="AC49:AC50" si="44">AB49*0.6</f>
        <v>0</v>
      </c>
      <c r="AD49" s="65" t="e">
        <f t="shared" ref="AD49:AD50" si="45">AVERAGE(AA49+AC49)</f>
        <v>#DIV/0!</v>
      </c>
      <c r="AE49" s="162" t="e">
        <f t="shared" si="10"/>
        <v>#DIV/0!</v>
      </c>
    </row>
    <row r="50" spans="1:31" ht="15.75" customHeight="1" x14ac:dyDescent="0.3">
      <c r="B50" s="35">
        <v>41</v>
      </c>
      <c r="C50" s="197" t="s">
        <v>137</v>
      </c>
      <c r="D50" s="45"/>
      <c r="E50" s="38"/>
      <c r="F50" s="32">
        <v>14</v>
      </c>
      <c r="G50" s="32">
        <v>11</v>
      </c>
      <c r="H50" s="27"/>
      <c r="I50" s="32">
        <v>16</v>
      </c>
      <c r="J50" s="28"/>
      <c r="K50" s="56">
        <f t="shared" si="1"/>
        <v>13.666666666666666</v>
      </c>
      <c r="L50" s="166" t="str">
        <f t="shared" si="2"/>
        <v>TRANSITA</v>
      </c>
      <c r="M50" s="59">
        <v>8.5</v>
      </c>
      <c r="N50" s="27">
        <v>8.5</v>
      </c>
      <c r="O50" s="27"/>
      <c r="P50" s="32">
        <v>11</v>
      </c>
      <c r="Q50" s="28"/>
      <c r="R50" s="56">
        <f t="shared" si="3"/>
        <v>9.3333333333333339</v>
      </c>
      <c r="S50" s="166" t="str">
        <f t="shared" si="4"/>
        <v>N/TRANSITA</v>
      </c>
      <c r="T50" s="59"/>
      <c r="U50" s="27"/>
      <c r="V50" s="27"/>
      <c r="W50" s="32" t="e">
        <f t="shared" si="5"/>
        <v>#DIV/0!</v>
      </c>
      <c r="X50" s="28"/>
      <c r="Y50" s="56" t="e">
        <f t="shared" si="6"/>
        <v>#DIV/0!</v>
      </c>
      <c r="Z50" s="48" t="e">
        <f t="shared" si="0"/>
        <v>#DIV/0!</v>
      </c>
      <c r="AA50" s="41" t="e">
        <f t="shared" si="7"/>
        <v>#DIV/0!</v>
      </c>
      <c r="AB50" s="62"/>
      <c r="AC50" s="51">
        <f t="shared" si="44"/>
        <v>0</v>
      </c>
      <c r="AD50" s="65" t="e">
        <f t="shared" si="45"/>
        <v>#DIV/0!</v>
      </c>
      <c r="AE50" s="162" t="e">
        <f t="shared" si="10"/>
        <v>#DIV/0!</v>
      </c>
    </row>
    <row r="51" spans="1:31" ht="15.75" customHeight="1" thickBot="1" x14ac:dyDescent="0.35">
      <c r="B51" s="35">
        <v>42</v>
      </c>
      <c r="C51" s="198" t="s">
        <v>138</v>
      </c>
      <c r="D51" s="46"/>
      <c r="E51" s="39"/>
      <c r="F51" s="137">
        <v>16</v>
      </c>
      <c r="G51" s="137">
        <v>10</v>
      </c>
      <c r="H51" s="29"/>
      <c r="I51" s="137">
        <v>13.5</v>
      </c>
      <c r="J51" s="30"/>
      <c r="K51" s="57">
        <f t="shared" si="1"/>
        <v>13.166666666666666</v>
      </c>
      <c r="L51" s="167" t="str">
        <f t="shared" si="2"/>
        <v>TRANSITA</v>
      </c>
      <c r="M51" s="59">
        <v>12</v>
      </c>
      <c r="N51" s="27">
        <v>10</v>
      </c>
      <c r="O51" s="29"/>
      <c r="P51" s="137">
        <v>13</v>
      </c>
      <c r="Q51" s="30"/>
      <c r="R51" s="57">
        <f t="shared" si="3"/>
        <v>11.666666666666666</v>
      </c>
      <c r="S51" s="167" t="str">
        <f t="shared" si="4"/>
        <v>TRANSITA</v>
      </c>
      <c r="T51" s="60"/>
      <c r="U51" s="29"/>
      <c r="V51" s="29"/>
      <c r="W51" s="137" t="e">
        <f t="shared" si="5"/>
        <v>#DIV/0!</v>
      </c>
      <c r="X51" s="30"/>
      <c r="Y51" s="57" t="e">
        <f t="shared" si="6"/>
        <v>#DIV/0!</v>
      </c>
      <c r="Z51" s="49" t="e">
        <f t="shared" si="0"/>
        <v>#DIV/0!</v>
      </c>
      <c r="AA51" s="42" t="e">
        <f t="shared" si="7"/>
        <v>#DIV/0!</v>
      </c>
      <c r="AB51" s="63"/>
      <c r="AC51" s="52">
        <f t="shared" si="42"/>
        <v>0</v>
      </c>
      <c r="AD51" s="66" t="e">
        <f t="shared" si="43"/>
        <v>#DIV/0!</v>
      </c>
      <c r="AE51" s="164" t="e">
        <f t="shared" si="10"/>
        <v>#DIV/0!</v>
      </c>
    </row>
    <row r="52" spans="1:31" ht="12" customHeight="1" thickTop="1" x14ac:dyDescent="0.3">
      <c r="B52" s="3"/>
      <c r="C52" s="4"/>
      <c r="D52" s="4"/>
      <c r="E52" s="4"/>
      <c r="F52" s="5"/>
      <c r="G52" s="5"/>
      <c r="H52" s="5"/>
      <c r="I52" s="6"/>
      <c r="J52" s="6"/>
      <c r="K52" s="7"/>
      <c r="L52" s="7"/>
      <c r="M52" s="8"/>
      <c r="N52" s="8"/>
      <c r="O52" s="8"/>
      <c r="P52" s="8"/>
      <c r="Q52" s="8"/>
      <c r="R52" s="7"/>
      <c r="S52" s="7"/>
      <c r="T52" s="9"/>
      <c r="U52" s="9"/>
      <c r="V52" s="9"/>
      <c r="W52" s="10"/>
      <c r="X52" s="10"/>
      <c r="Y52" s="7"/>
      <c r="Z52" s="11"/>
      <c r="AA52" s="12"/>
      <c r="AB52" s="13"/>
      <c r="AC52" s="12"/>
      <c r="AD52" s="12"/>
      <c r="AE52" s="14"/>
    </row>
    <row r="53" spans="1:31" ht="16.5" customHeight="1" x14ac:dyDescent="0.3">
      <c r="A53" s="284" t="s">
        <v>140</v>
      </c>
      <c r="B53" s="284"/>
      <c r="C53" s="284"/>
      <c r="D53" s="284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  <c r="AA53" s="284"/>
      <c r="AB53" s="284"/>
      <c r="AC53" s="284"/>
      <c r="AD53" s="284"/>
      <c r="AE53" s="284"/>
    </row>
    <row r="54" spans="1:31" ht="16.5" customHeight="1" x14ac:dyDescent="0.3">
      <c r="A54" s="21"/>
      <c r="B54" s="21"/>
      <c r="C54" s="21"/>
      <c r="D54" s="21"/>
      <c r="E54" s="21"/>
      <c r="F54" s="21"/>
      <c r="G54" s="21"/>
      <c r="H54" s="25"/>
      <c r="I54" s="21"/>
      <c r="J54" s="25"/>
      <c r="K54" s="21"/>
      <c r="L54" s="21"/>
      <c r="M54" s="21"/>
      <c r="N54" s="21"/>
      <c r="O54" s="25"/>
      <c r="P54" s="21"/>
      <c r="Q54" s="25"/>
      <c r="R54" s="21"/>
      <c r="S54" s="21"/>
      <c r="T54" s="21"/>
      <c r="U54" s="21"/>
      <c r="V54" s="25"/>
      <c r="W54" s="21"/>
      <c r="X54" s="25"/>
      <c r="Y54" s="21"/>
      <c r="Z54" s="21"/>
      <c r="AA54" s="21"/>
      <c r="AB54" s="21"/>
      <c r="AC54" s="21"/>
      <c r="AD54" s="21"/>
      <c r="AE54" s="21"/>
    </row>
    <row r="55" spans="1:31" ht="20.25" customHeight="1" x14ac:dyDescent="0.35">
      <c r="A55" s="309" t="s">
        <v>41</v>
      </c>
      <c r="B55" s="309"/>
      <c r="C55" s="309"/>
      <c r="D55" s="309"/>
      <c r="E55" s="309"/>
      <c r="F55" s="309"/>
      <c r="G55" s="19"/>
      <c r="H55" s="23"/>
      <c r="I55" s="20"/>
      <c r="J55" s="20"/>
      <c r="K55" s="20"/>
      <c r="L55" s="20"/>
      <c r="M55" s="20"/>
      <c r="N55" s="20"/>
      <c r="O55" s="20"/>
      <c r="P55" s="20"/>
      <c r="Q55" s="20"/>
      <c r="R55" s="309" t="s">
        <v>10</v>
      </c>
      <c r="S55" s="309"/>
      <c r="T55" s="309"/>
      <c r="U55" s="309"/>
      <c r="V55" s="309"/>
      <c r="W55" s="309"/>
      <c r="X55" s="309"/>
      <c r="Y55" s="309"/>
      <c r="Z55" s="309"/>
      <c r="AA55" s="309"/>
      <c r="AB55" s="309"/>
      <c r="AC55" s="309"/>
      <c r="AD55" s="309"/>
      <c r="AE55" s="309"/>
    </row>
    <row r="56" spans="1:31" ht="20.399999999999999" x14ac:dyDescent="0.35">
      <c r="A56" s="20"/>
      <c r="B56" s="309" t="s">
        <v>11</v>
      </c>
      <c r="C56" s="309"/>
      <c r="D56" s="309"/>
      <c r="E56" s="309"/>
      <c r="F56" s="309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309"/>
      <c r="S56" s="309"/>
      <c r="T56" s="309"/>
      <c r="U56" s="309"/>
      <c r="V56" s="309"/>
      <c r="W56" s="309"/>
      <c r="X56" s="309"/>
      <c r="Y56" s="309"/>
      <c r="Z56" s="309"/>
      <c r="AA56" s="19"/>
      <c r="AB56" s="19"/>
      <c r="AC56" s="19"/>
      <c r="AD56" s="19"/>
      <c r="AE56" s="20"/>
    </row>
    <row r="57" spans="1:31" ht="21.6" x14ac:dyDescent="0.4">
      <c r="A57" s="20"/>
      <c r="B57" s="310"/>
      <c r="C57" s="310"/>
      <c r="D57" s="310"/>
      <c r="E57" s="310"/>
      <c r="F57" s="31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310" t="s">
        <v>12</v>
      </c>
      <c r="S57" s="310"/>
      <c r="T57" s="310"/>
      <c r="U57" s="310"/>
      <c r="V57" s="310"/>
      <c r="W57" s="310"/>
      <c r="X57" s="310"/>
      <c r="Y57" s="310"/>
      <c r="Z57" s="310"/>
      <c r="AA57" s="310"/>
      <c r="AB57" s="310"/>
      <c r="AC57" s="310"/>
      <c r="AD57" s="310"/>
      <c r="AE57" s="310"/>
    </row>
  </sheetData>
  <mergeCells count="28">
    <mergeCell ref="B7:AE7"/>
    <mergeCell ref="A1:AE1"/>
    <mergeCell ref="B4:C4"/>
    <mergeCell ref="Y4:AE4"/>
    <mergeCell ref="B6:C6"/>
    <mergeCell ref="Y6:AE6"/>
    <mergeCell ref="L3:S3"/>
    <mergeCell ref="C8:C9"/>
    <mergeCell ref="D8:E8"/>
    <mergeCell ref="F8:K8"/>
    <mergeCell ref="M8:R8"/>
    <mergeCell ref="L8:L9"/>
    <mergeCell ref="S8:S9"/>
    <mergeCell ref="B56:F56"/>
    <mergeCell ref="R56:Z56"/>
    <mergeCell ref="B57:F57"/>
    <mergeCell ref="R57:AE57"/>
    <mergeCell ref="A53:AE53"/>
    <mergeCell ref="AD8:AD9"/>
    <mergeCell ref="AE8:AE9"/>
    <mergeCell ref="A55:F55"/>
    <mergeCell ref="R55:AE55"/>
    <mergeCell ref="T8:Y8"/>
    <mergeCell ref="Z8:Z9"/>
    <mergeCell ref="AA8:AA9"/>
    <mergeCell ref="AB8:AB9"/>
    <mergeCell ref="AC8:AC9"/>
    <mergeCell ref="B8:B9"/>
  </mergeCells>
  <conditionalFormatting sqref="K52:L52 R52:Y52 T51:V51 Q10:Q51 W11:X51">
    <cfRule type="cellIs" dxfId="835" priority="667" stopIfTrue="1" operator="lessThan">
      <formula>10</formula>
    </cfRule>
    <cfRule type="cellIs" dxfId="834" priority="668" stopIfTrue="1" operator="greaterThan">
      <formula>9</formula>
    </cfRule>
  </conditionalFormatting>
  <conditionalFormatting sqref="K52:L52 R52:Y52 T51:V51 Q10:Q51 W11:X51">
    <cfRule type="cellIs" dxfId="833" priority="665" stopIfTrue="1" operator="lessThan">
      <formula>10</formula>
    </cfRule>
    <cfRule type="cellIs" dxfId="832" priority="666" stopIfTrue="1" operator="greaterThan">
      <formula>9</formula>
    </cfRule>
  </conditionalFormatting>
  <conditionalFormatting sqref="Z10:AD52">
    <cfRule type="cellIs" dxfId="831" priority="663" stopIfTrue="1" operator="greaterThan">
      <formula>9.5</formula>
    </cfRule>
    <cfRule type="cellIs" dxfId="830" priority="664" stopIfTrue="1" operator="lessThanOrEqual">
      <formula>9.5</formula>
    </cfRule>
  </conditionalFormatting>
  <conditionalFormatting sqref="F52:J52">
    <cfRule type="cellIs" dxfId="829" priority="661" stopIfTrue="1" operator="lessThan">
      <formula>10</formula>
    </cfRule>
    <cfRule type="cellIs" dxfId="828" priority="662" stopIfTrue="1" operator="greaterThan">
      <formula>9</formula>
    </cfRule>
  </conditionalFormatting>
  <conditionalFormatting sqref="F52:J52">
    <cfRule type="cellIs" dxfId="827" priority="659" stopIfTrue="1" operator="lessThan">
      <formula>10</formula>
    </cfRule>
    <cfRule type="cellIs" dxfId="826" priority="660" stopIfTrue="1" operator="greaterThan">
      <formula>9</formula>
    </cfRule>
  </conditionalFormatting>
  <conditionalFormatting sqref="T52:X52 T51:V51 M52:Q52 W11:X51 Q10:Q51">
    <cfRule type="cellIs" dxfId="825" priority="655" stopIfTrue="1" operator="lessThan">
      <formula>10</formula>
    </cfRule>
    <cfRule type="cellIs" dxfId="824" priority="656" stopIfTrue="1" operator="greaterThan">
      <formula>9</formula>
    </cfRule>
    <cfRule type="cellIs" dxfId="823" priority="657" stopIfTrue="1" operator="lessThan">
      <formula>10</formula>
    </cfRule>
    <cfRule type="cellIs" dxfId="822" priority="658" stopIfTrue="1" operator="greaterThan">
      <formula>9</formula>
    </cfRule>
  </conditionalFormatting>
  <conditionalFormatting sqref="AB10:AB52">
    <cfRule type="cellIs" dxfId="821" priority="653" stopIfTrue="1" operator="greaterThan">
      <formula>9.5</formula>
    </cfRule>
    <cfRule type="cellIs" dxfId="820" priority="654" stopIfTrue="1" operator="lessThanOrEqual">
      <formula>9.5</formula>
    </cfRule>
  </conditionalFormatting>
  <conditionalFormatting sqref="R10:R51 Y10:Y51">
    <cfRule type="cellIs" dxfId="819" priority="223" stopIfTrue="1" operator="lessThan">
      <formula>10</formula>
    </cfRule>
    <cfRule type="cellIs" dxfId="818" priority="224" stopIfTrue="1" operator="greaterThanOrEqual">
      <formula>10</formula>
    </cfRule>
  </conditionalFormatting>
  <conditionalFormatting sqref="T24:U39 T45:U50 V10:X10 V11:V50">
    <cfRule type="cellIs" dxfId="817" priority="213" stopIfTrue="1" operator="lessThan">
      <formula>10</formula>
    </cfRule>
    <cfRule type="cellIs" dxfId="816" priority="214" stopIfTrue="1" operator="greaterThan">
      <formula>9</formula>
    </cfRule>
  </conditionalFormatting>
  <conditionalFormatting sqref="T24:U39 T45:U50 V10:X10 V11:V50">
    <cfRule type="cellIs" dxfId="815" priority="211" stopIfTrue="1" operator="lessThan">
      <formula>10</formula>
    </cfRule>
    <cfRule type="cellIs" dxfId="814" priority="212" stopIfTrue="1" operator="greaterThan">
      <formula>9</formula>
    </cfRule>
  </conditionalFormatting>
  <conditionalFormatting sqref="T24:U39 T45:U50 V10:X10 V11:V50">
    <cfRule type="cellIs" dxfId="813" priority="207" stopIfTrue="1" operator="lessThan">
      <formula>10</formula>
    </cfRule>
    <cfRule type="cellIs" dxfId="812" priority="208" stopIfTrue="1" operator="greaterThan">
      <formula>9</formula>
    </cfRule>
    <cfRule type="cellIs" dxfId="811" priority="209" stopIfTrue="1" operator="lessThan">
      <formula>10</formula>
    </cfRule>
    <cfRule type="cellIs" dxfId="810" priority="210" stopIfTrue="1" operator="greaterThan">
      <formula>9</formula>
    </cfRule>
  </conditionalFormatting>
  <conditionalFormatting sqref="T10:U12">
    <cfRule type="cellIs" dxfId="809" priority="205" stopIfTrue="1" operator="lessThan">
      <formula>10</formula>
    </cfRule>
    <cfRule type="cellIs" dxfId="808" priority="206" stopIfTrue="1" operator="greaterThan">
      <formula>9</formula>
    </cfRule>
  </conditionalFormatting>
  <conditionalFormatting sqref="T10:U12">
    <cfRule type="cellIs" dxfId="807" priority="203" stopIfTrue="1" operator="lessThan">
      <formula>10</formula>
    </cfRule>
    <cfRule type="cellIs" dxfId="806" priority="204" stopIfTrue="1" operator="greaterThan">
      <formula>9</formula>
    </cfRule>
  </conditionalFormatting>
  <conditionalFormatting sqref="T10:U12">
    <cfRule type="cellIs" dxfId="805" priority="199" stopIfTrue="1" operator="lessThan">
      <formula>10</formula>
    </cfRule>
    <cfRule type="cellIs" dxfId="804" priority="200" stopIfTrue="1" operator="greaterThan">
      <formula>9</formula>
    </cfRule>
    <cfRule type="cellIs" dxfId="803" priority="201" stopIfTrue="1" operator="lessThan">
      <formula>10</formula>
    </cfRule>
    <cfRule type="cellIs" dxfId="802" priority="202" stopIfTrue="1" operator="greaterThan">
      <formula>9</formula>
    </cfRule>
  </conditionalFormatting>
  <conditionalFormatting sqref="T13:U15">
    <cfRule type="cellIs" dxfId="801" priority="197" stopIfTrue="1" operator="lessThan">
      <formula>10</formula>
    </cfRule>
    <cfRule type="cellIs" dxfId="800" priority="198" stopIfTrue="1" operator="greaterThan">
      <formula>9</formula>
    </cfRule>
  </conditionalFormatting>
  <conditionalFormatting sqref="T13:U15">
    <cfRule type="cellIs" dxfId="799" priority="195" stopIfTrue="1" operator="lessThan">
      <formula>10</formula>
    </cfRule>
    <cfRule type="cellIs" dxfId="798" priority="196" stopIfTrue="1" operator="greaterThan">
      <formula>9</formula>
    </cfRule>
  </conditionalFormatting>
  <conditionalFormatting sqref="T13:U15">
    <cfRule type="cellIs" dxfId="797" priority="191" stopIfTrue="1" operator="lessThan">
      <formula>10</formula>
    </cfRule>
    <cfRule type="cellIs" dxfId="796" priority="192" stopIfTrue="1" operator="greaterThan">
      <formula>9</formula>
    </cfRule>
    <cfRule type="cellIs" dxfId="795" priority="193" stopIfTrue="1" operator="lessThan">
      <formula>10</formula>
    </cfRule>
    <cfRule type="cellIs" dxfId="794" priority="194" stopIfTrue="1" operator="greaterThan">
      <formula>9</formula>
    </cfRule>
  </conditionalFormatting>
  <conditionalFormatting sqref="T16:U19">
    <cfRule type="cellIs" dxfId="793" priority="189" stopIfTrue="1" operator="lessThan">
      <formula>10</formula>
    </cfRule>
    <cfRule type="cellIs" dxfId="792" priority="190" stopIfTrue="1" operator="greaterThan">
      <formula>9</formula>
    </cfRule>
  </conditionalFormatting>
  <conditionalFormatting sqref="T16:U19">
    <cfRule type="cellIs" dxfId="791" priority="187" stopIfTrue="1" operator="lessThan">
      <formula>10</formula>
    </cfRule>
    <cfRule type="cellIs" dxfId="790" priority="188" stopIfTrue="1" operator="greaterThan">
      <formula>9</formula>
    </cfRule>
  </conditionalFormatting>
  <conditionalFormatting sqref="T16:U19">
    <cfRule type="cellIs" dxfId="789" priority="183" stopIfTrue="1" operator="lessThan">
      <formula>10</formula>
    </cfRule>
    <cfRule type="cellIs" dxfId="788" priority="184" stopIfTrue="1" operator="greaterThan">
      <formula>9</formula>
    </cfRule>
    <cfRule type="cellIs" dxfId="787" priority="185" stopIfTrue="1" operator="lessThan">
      <formula>10</formula>
    </cfRule>
    <cfRule type="cellIs" dxfId="786" priority="186" stopIfTrue="1" operator="greaterThan">
      <formula>9</formula>
    </cfRule>
  </conditionalFormatting>
  <conditionalFormatting sqref="T20:U23">
    <cfRule type="cellIs" dxfId="785" priority="181" stopIfTrue="1" operator="lessThan">
      <formula>10</formula>
    </cfRule>
    <cfRule type="cellIs" dxfId="784" priority="182" stopIfTrue="1" operator="greaterThan">
      <formula>9</formula>
    </cfRule>
  </conditionalFormatting>
  <conditionalFormatting sqref="T20:U23">
    <cfRule type="cellIs" dxfId="783" priority="179" stopIfTrue="1" operator="lessThan">
      <formula>10</formula>
    </cfRule>
    <cfRule type="cellIs" dxfId="782" priority="180" stopIfTrue="1" operator="greaterThan">
      <formula>9</formula>
    </cfRule>
  </conditionalFormatting>
  <conditionalFormatting sqref="T20:U23">
    <cfRule type="cellIs" dxfId="781" priority="175" stopIfTrue="1" operator="lessThan">
      <formula>10</formula>
    </cfRule>
    <cfRule type="cellIs" dxfId="780" priority="176" stopIfTrue="1" operator="greaterThan">
      <formula>9</formula>
    </cfRule>
    <cfRule type="cellIs" dxfId="779" priority="177" stopIfTrue="1" operator="lessThan">
      <formula>10</formula>
    </cfRule>
    <cfRule type="cellIs" dxfId="778" priority="178" stopIfTrue="1" operator="greaterThan">
      <formula>9</formula>
    </cfRule>
  </conditionalFormatting>
  <conditionalFormatting sqref="T40:U44">
    <cfRule type="cellIs" dxfId="777" priority="173" stopIfTrue="1" operator="lessThan">
      <formula>10</formula>
    </cfRule>
    <cfRule type="cellIs" dxfId="776" priority="174" stopIfTrue="1" operator="greaterThan">
      <formula>9</formula>
    </cfRule>
  </conditionalFormatting>
  <conditionalFormatting sqref="T40:U44">
    <cfRule type="cellIs" dxfId="775" priority="171" stopIfTrue="1" operator="lessThan">
      <formula>10</formula>
    </cfRule>
    <cfRule type="cellIs" dxfId="774" priority="172" stopIfTrue="1" operator="greaterThan">
      <formula>9</formula>
    </cfRule>
  </conditionalFormatting>
  <conditionalFormatting sqref="T40:U44">
    <cfRule type="cellIs" dxfId="773" priority="167" stopIfTrue="1" operator="lessThan">
      <formula>10</formula>
    </cfRule>
    <cfRule type="cellIs" dxfId="772" priority="168" stopIfTrue="1" operator="greaterThan">
      <formula>9</formula>
    </cfRule>
    <cfRule type="cellIs" dxfId="771" priority="169" stopIfTrue="1" operator="lessThan">
      <formula>10</formula>
    </cfRule>
    <cfRule type="cellIs" dxfId="770" priority="170" stopIfTrue="1" operator="greaterThan">
      <formula>9</formula>
    </cfRule>
  </conditionalFormatting>
  <conditionalFormatting sqref="M51:P51 O14:O50 P10:P50 M10:N50 F10:J51">
    <cfRule type="cellIs" dxfId="769" priority="11" stopIfTrue="1" operator="lessThan">
      <formula>10</formula>
    </cfRule>
    <cfRule type="cellIs" dxfId="768" priority="12" stopIfTrue="1" operator="greaterThan">
      <formula>9</formula>
    </cfRule>
  </conditionalFormatting>
  <conditionalFormatting sqref="M51:P51 O14:O50 P10:P50 M10:N50 F10:J51">
    <cfRule type="cellIs" dxfId="767" priority="9" stopIfTrue="1" operator="lessThan">
      <formula>10</formula>
    </cfRule>
    <cfRule type="cellIs" dxfId="766" priority="10" stopIfTrue="1" operator="greaterThan">
      <formula>9</formula>
    </cfRule>
  </conditionalFormatting>
  <conditionalFormatting sqref="M51:P51 O14:O50 P10:P50 M10:N50 F10:J51">
    <cfRule type="cellIs" dxfId="765" priority="5" stopIfTrue="1" operator="lessThan">
      <formula>10</formula>
    </cfRule>
    <cfRule type="cellIs" dxfId="764" priority="6" stopIfTrue="1" operator="greaterThan">
      <formula>9</formula>
    </cfRule>
    <cfRule type="cellIs" dxfId="763" priority="7" stopIfTrue="1" operator="lessThan">
      <formula>10</formula>
    </cfRule>
    <cfRule type="cellIs" dxfId="762" priority="8" stopIfTrue="1" operator="greaterThan">
      <formula>9</formula>
    </cfRule>
  </conditionalFormatting>
  <conditionalFormatting sqref="K10:K51">
    <cfRule type="cellIs" dxfId="761" priority="3" stopIfTrue="1" operator="lessThan">
      <formula>10</formula>
    </cfRule>
    <cfRule type="cellIs" dxfId="760" priority="4" stopIfTrue="1" operator="greaterThanOrEqual">
      <formula>10</formula>
    </cfRule>
  </conditionalFormatting>
  <dataValidations count="1">
    <dataValidation type="decimal" allowBlank="1" showInputMessage="1" showErrorMessage="1" errorTitle="ATENÇÃO!" error="O valor introduzido não é válido. Grato!" sqref="Q10:Q51 AB10:AB51 F10:J51 P10:P13 M10:N51 O14:P51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86" orientation="portrait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95" stopIfTrue="1" operator="containsText" id="{19BABF0E-3D30-4AF5-879C-0A0023DF1BCC}">
            <xm:f>NOT(ISERROR(SEARCH("APROVADO/A",AE10)))</xm:f>
            <xm:f>"APROVADO/A"</xm:f>
            <x14:dxf>
              <font>
                <b/>
                <i val="0"/>
                <color rgb="FF0000FF"/>
              </font>
            </x14:dxf>
          </x14:cfRule>
          <x14:cfRule type="containsText" priority="396" stopIfTrue="1" operator="containsText" id="{1A259CF4-72B8-4BCC-A967-68C1022F2D0B}">
            <xm:f>NOT(ISERROR(SEARCH("REPROVADO/A",AE10)))</xm:f>
            <xm:f>"REPROVADO/A"</xm:f>
            <x14:dxf>
              <font>
                <b/>
                <i val="0"/>
                <color rgb="FFFF0000"/>
              </font>
            </x14:dxf>
          </x14:cfRule>
          <xm:sqref>AE10:AE51</xm:sqref>
        </x14:conditionalFormatting>
        <x14:conditionalFormatting xmlns:xm="http://schemas.microsoft.com/office/excel/2006/main">
          <x14:cfRule type="containsText" priority="165" stopIfTrue="1" operator="containsText" id="{28DC7B8B-E2DE-4D26-BB45-89FC42F6FD41}">
            <xm:f>NOT(ISERROR(SEARCH("N/TRANSITA",S10)))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66" stopIfTrue="1" operator="containsText" id="{FEDF4CD9-4B14-43F2-AAD3-33B798150E7E}">
            <xm:f>NOT(ISERROR(SEARCH("TRANSITA",S10)))</xm:f>
            <xm:f>"TRANSITA"</xm:f>
            <x14:dxf>
              <font>
                <b/>
                <i val="0"/>
                <color rgb="FF0070C0"/>
              </font>
            </x14:dxf>
          </x14:cfRule>
          <xm:sqref>S10:S51</xm:sqref>
        </x14:conditionalFormatting>
        <x14:conditionalFormatting xmlns:xm="http://schemas.microsoft.com/office/excel/2006/main">
          <x14:cfRule type="containsText" priority="1" stopIfTrue="1" operator="containsText" id="{FC3A7B55-1197-4256-AB6B-8C668125F86C}">
            <xm:f>NOT(ISERROR(SEARCH("N/TRANSITA",L10)))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" stopIfTrue="1" operator="containsText" id="{0FEB0828-317C-4D92-97BB-A15A1DFE12B4}">
            <xm:f>NOT(ISERROR(SEARCH("TRANSITA",L10)))</xm:f>
            <xm:f>"TRANSITA"</xm:f>
            <x14:dxf>
              <font>
                <b/>
                <i val="0"/>
                <color rgb="FF0070C0"/>
              </font>
            </x14:dxf>
          </x14:cfRule>
          <xm:sqref>L10:L51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2">
    <tabColor rgb="FF00B050"/>
  </sheetPr>
  <dimension ref="A1:AE57"/>
  <sheetViews>
    <sheetView showGridLines="0" zoomScaleNormal="100" zoomScalePageLayoutView="85" workbookViewId="0">
      <selection activeCell="I22" sqref="I22"/>
    </sheetView>
  </sheetViews>
  <sheetFormatPr defaultRowHeight="14.4" x14ac:dyDescent="0.3"/>
  <cols>
    <col min="1" max="1" width="1.6640625" customWidth="1"/>
    <col min="2" max="2" width="3.6640625" customWidth="1"/>
    <col min="3" max="3" width="36.33203125" customWidth="1"/>
    <col min="4" max="4" width="2.6640625" customWidth="1"/>
    <col min="5" max="5" width="2.88671875" customWidth="1"/>
    <col min="6" max="11" width="4.44140625" customWidth="1"/>
    <col min="12" max="12" width="11.88671875" customWidth="1"/>
    <col min="13" max="18" width="4.44140625" customWidth="1"/>
    <col min="19" max="19" width="11.44140625" customWidth="1"/>
    <col min="20" max="25" width="4.44140625" customWidth="1"/>
    <col min="26" max="26" width="6.109375" customWidth="1"/>
    <col min="27" max="27" width="4.44140625" customWidth="1"/>
    <col min="28" max="28" width="5.88671875" customWidth="1"/>
    <col min="29" max="29" width="4.44140625" customWidth="1"/>
    <col min="30" max="30" width="6.33203125" customWidth="1"/>
    <col min="31" max="31" width="13.109375" customWidth="1"/>
    <col min="32" max="32" width="3.44140625" customWidth="1"/>
    <col min="33" max="33" width="5" customWidth="1"/>
    <col min="267" max="267" width="1.6640625" customWidth="1"/>
    <col min="268" max="268" width="3.6640625" customWidth="1"/>
    <col min="269" max="269" width="23.44140625" customWidth="1"/>
    <col min="270" max="281" width="4.44140625" customWidth="1"/>
    <col min="282" max="282" width="6.109375" customWidth="1"/>
    <col min="283" max="283" width="4.44140625" customWidth="1"/>
    <col min="284" max="284" width="7.5546875" customWidth="1"/>
    <col min="285" max="285" width="4.44140625" customWidth="1"/>
    <col min="286" max="286" width="6.33203125" customWidth="1"/>
    <col min="287" max="287" width="7.88671875" customWidth="1"/>
    <col min="288" max="288" width="3.44140625" customWidth="1"/>
    <col min="289" max="289" width="5" customWidth="1"/>
    <col min="523" max="523" width="1.6640625" customWidth="1"/>
    <col min="524" max="524" width="3.6640625" customWidth="1"/>
    <col min="525" max="525" width="23.44140625" customWidth="1"/>
    <col min="526" max="537" width="4.44140625" customWidth="1"/>
    <col min="538" max="538" width="6.109375" customWidth="1"/>
    <col min="539" max="539" width="4.44140625" customWidth="1"/>
    <col min="540" max="540" width="7.5546875" customWidth="1"/>
    <col min="541" max="541" width="4.44140625" customWidth="1"/>
    <col min="542" max="542" width="6.33203125" customWidth="1"/>
    <col min="543" max="543" width="7.88671875" customWidth="1"/>
    <col min="544" max="544" width="3.44140625" customWidth="1"/>
    <col min="545" max="545" width="5" customWidth="1"/>
    <col min="779" max="779" width="1.6640625" customWidth="1"/>
    <col min="780" max="780" width="3.6640625" customWidth="1"/>
    <col min="781" max="781" width="23.44140625" customWidth="1"/>
    <col min="782" max="793" width="4.44140625" customWidth="1"/>
    <col min="794" max="794" width="6.109375" customWidth="1"/>
    <col min="795" max="795" width="4.44140625" customWidth="1"/>
    <col min="796" max="796" width="7.5546875" customWidth="1"/>
    <col min="797" max="797" width="4.44140625" customWidth="1"/>
    <col min="798" max="798" width="6.33203125" customWidth="1"/>
    <col min="799" max="799" width="7.88671875" customWidth="1"/>
    <col min="800" max="800" width="3.44140625" customWidth="1"/>
    <col min="801" max="801" width="5" customWidth="1"/>
    <col min="1035" max="1035" width="1.6640625" customWidth="1"/>
    <col min="1036" max="1036" width="3.6640625" customWidth="1"/>
    <col min="1037" max="1037" width="23.44140625" customWidth="1"/>
    <col min="1038" max="1049" width="4.44140625" customWidth="1"/>
    <col min="1050" max="1050" width="6.109375" customWidth="1"/>
    <col min="1051" max="1051" width="4.44140625" customWidth="1"/>
    <col min="1052" max="1052" width="7.5546875" customWidth="1"/>
    <col min="1053" max="1053" width="4.44140625" customWidth="1"/>
    <col min="1054" max="1054" width="6.33203125" customWidth="1"/>
    <col min="1055" max="1055" width="7.88671875" customWidth="1"/>
    <col min="1056" max="1056" width="3.44140625" customWidth="1"/>
    <col min="1057" max="1057" width="5" customWidth="1"/>
    <col min="1291" max="1291" width="1.6640625" customWidth="1"/>
    <col min="1292" max="1292" width="3.6640625" customWidth="1"/>
    <col min="1293" max="1293" width="23.44140625" customWidth="1"/>
    <col min="1294" max="1305" width="4.44140625" customWidth="1"/>
    <col min="1306" max="1306" width="6.109375" customWidth="1"/>
    <col min="1307" max="1307" width="4.44140625" customWidth="1"/>
    <col min="1308" max="1308" width="7.5546875" customWidth="1"/>
    <col min="1309" max="1309" width="4.44140625" customWidth="1"/>
    <col min="1310" max="1310" width="6.33203125" customWidth="1"/>
    <col min="1311" max="1311" width="7.88671875" customWidth="1"/>
    <col min="1312" max="1312" width="3.44140625" customWidth="1"/>
    <col min="1313" max="1313" width="5" customWidth="1"/>
    <col min="1547" max="1547" width="1.6640625" customWidth="1"/>
    <col min="1548" max="1548" width="3.6640625" customWidth="1"/>
    <col min="1549" max="1549" width="23.44140625" customWidth="1"/>
    <col min="1550" max="1561" width="4.44140625" customWidth="1"/>
    <col min="1562" max="1562" width="6.109375" customWidth="1"/>
    <col min="1563" max="1563" width="4.44140625" customWidth="1"/>
    <col min="1564" max="1564" width="7.5546875" customWidth="1"/>
    <col min="1565" max="1565" width="4.44140625" customWidth="1"/>
    <col min="1566" max="1566" width="6.33203125" customWidth="1"/>
    <col min="1567" max="1567" width="7.88671875" customWidth="1"/>
    <col min="1568" max="1568" width="3.44140625" customWidth="1"/>
    <col min="1569" max="1569" width="5" customWidth="1"/>
    <col min="1803" max="1803" width="1.6640625" customWidth="1"/>
    <col min="1804" max="1804" width="3.6640625" customWidth="1"/>
    <col min="1805" max="1805" width="23.44140625" customWidth="1"/>
    <col min="1806" max="1817" width="4.44140625" customWidth="1"/>
    <col min="1818" max="1818" width="6.109375" customWidth="1"/>
    <col min="1819" max="1819" width="4.44140625" customWidth="1"/>
    <col min="1820" max="1820" width="7.5546875" customWidth="1"/>
    <col min="1821" max="1821" width="4.44140625" customWidth="1"/>
    <col min="1822" max="1822" width="6.33203125" customWidth="1"/>
    <col min="1823" max="1823" width="7.88671875" customWidth="1"/>
    <col min="1824" max="1824" width="3.44140625" customWidth="1"/>
    <col min="1825" max="1825" width="5" customWidth="1"/>
    <col min="2059" max="2059" width="1.6640625" customWidth="1"/>
    <col min="2060" max="2060" width="3.6640625" customWidth="1"/>
    <col min="2061" max="2061" width="23.44140625" customWidth="1"/>
    <col min="2062" max="2073" width="4.44140625" customWidth="1"/>
    <col min="2074" max="2074" width="6.109375" customWidth="1"/>
    <col min="2075" max="2075" width="4.44140625" customWidth="1"/>
    <col min="2076" max="2076" width="7.5546875" customWidth="1"/>
    <col min="2077" max="2077" width="4.44140625" customWidth="1"/>
    <col min="2078" max="2078" width="6.33203125" customWidth="1"/>
    <col min="2079" max="2079" width="7.88671875" customWidth="1"/>
    <col min="2080" max="2080" width="3.44140625" customWidth="1"/>
    <col min="2081" max="2081" width="5" customWidth="1"/>
    <col min="2315" max="2315" width="1.6640625" customWidth="1"/>
    <col min="2316" max="2316" width="3.6640625" customWidth="1"/>
    <col min="2317" max="2317" width="23.44140625" customWidth="1"/>
    <col min="2318" max="2329" width="4.44140625" customWidth="1"/>
    <col min="2330" max="2330" width="6.109375" customWidth="1"/>
    <col min="2331" max="2331" width="4.44140625" customWidth="1"/>
    <col min="2332" max="2332" width="7.5546875" customWidth="1"/>
    <col min="2333" max="2333" width="4.44140625" customWidth="1"/>
    <col min="2334" max="2334" width="6.33203125" customWidth="1"/>
    <col min="2335" max="2335" width="7.88671875" customWidth="1"/>
    <col min="2336" max="2336" width="3.44140625" customWidth="1"/>
    <col min="2337" max="2337" width="5" customWidth="1"/>
    <col min="2571" max="2571" width="1.6640625" customWidth="1"/>
    <col min="2572" max="2572" width="3.6640625" customWidth="1"/>
    <col min="2573" max="2573" width="23.44140625" customWidth="1"/>
    <col min="2574" max="2585" width="4.44140625" customWidth="1"/>
    <col min="2586" max="2586" width="6.109375" customWidth="1"/>
    <col min="2587" max="2587" width="4.44140625" customWidth="1"/>
    <col min="2588" max="2588" width="7.5546875" customWidth="1"/>
    <col min="2589" max="2589" width="4.44140625" customWidth="1"/>
    <col min="2590" max="2590" width="6.33203125" customWidth="1"/>
    <col min="2591" max="2591" width="7.88671875" customWidth="1"/>
    <col min="2592" max="2592" width="3.44140625" customWidth="1"/>
    <col min="2593" max="2593" width="5" customWidth="1"/>
    <col min="2827" max="2827" width="1.6640625" customWidth="1"/>
    <col min="2828" max="2828" width="3.6640625" customWidth="1"/>
    <col min="2829" max="2829" width="23.44140625" customWidth="1"/>
    <col min="2830" max="2841" width="4.44140625" customWidth="1"/>
    <col min="2842" max="2842" width="6.109375" customWidth="1"/>
    <col min="2843" max="2843" width="4.44140625" customWidth="1"/>
    <col min="2844" max="2844" width="7.5546875" customWidth="1"/>
    <col min="2845" max="2845" width="4.44140625" customWidth="1"/>
    <col min="2846" max="2846" width="6.33203125" customWidth="1"/>
    <col min="2847" max="2847" width="7.88671875" customWidth="1"/>
    <col min="2848" max="2848" width="3.44140625" customWidth="1"/>
    <col min="2849" max="2849" width="5" customWidth="1"/>
    <col min="3083" max="3083" width="1.6640625" customWidth="1"/>
    <col min="3084" max="3084" width="3.6640625" customWidth="1"/>
    <col min="3085" max="3085" width="23.44140625" customWidth="1"/>
    <col min="3086" max="3097" width="4.44140625" customWidth="1"/>
    <col min="3098" max="3098" width="6.109375" customWidth="1"/>
    <col min="3099" max="3099" width="4.44140625" customWidth="1"/>
    <col min="3100" max="3100" width="7.5546875" customWidth="1"/>
    <col min="3101" max="3101" width="4.44140625" customWidth="1"/>
    <col min="3102" max="3102" width="6.33203125" customWidth="1"/>
    <col min="3103" max="3103" width="7.88671875" customWidth="1"/>
    <col min="3104" max="3104" width="3.44140625" customWidth="1"/>
    <col min="3105" max="3105" width="5" customWidth="1"/>
    <col min="3339" max="3339" width="1.6640625" customWidth="1"/>
    <col min="3340" max="3340" width="3.6640625" customWidth="1"/>
    <col min="3341" max="3341" width="23.44140625" customWidth="1"/>
    <col min="3342" max="3353" width="4.44140625" customWidth="1"/>
    <col min="3354" max="3354" width="6.109375" customWidth="1"/>
    <col min="3355" max="3355" width="4.44140625" customWidth="1"/>
    <col min="3356" max="3356" width="7.5546875" customWidth="1"/>
    <col min="3357" max="3357" width="4.44140625" customWidth="1"/>
    <col min="3358" max="3358" width="6.33203125" customWidth="1"/>
    <col min="3359" max="3359" width="7.88671875" customWidth="1"/>
    <col min="3360" max="3360" width="3.44140625" customWidth="1"/>
    <col min="3361" max="3361" width="5" customWidth="1"/>
    <col min="3595" max="3595" width="1.6640625" customWidth="1"/>
    <col min="3596" max="3596" width="3.6640625" customWidth="1"/>
    <col min="3597" max="3597" width="23.44140625" customWidth="1"/>
    <col min="3598" max="3609" width="4.44140625" customWidth="1"/>
    <col min="3610" max="3610" width="6.109375" customWidth="1"/>
    <col min="3611" max="3611" width="4.44140625" customWidth="1"/>
    <col min="3612" max="3612" width="7.5546875" customWidth="1"/>
    <col min="3613" max="3613" width="4.44140625" customWidth="1"/>
    <col min="3614" max="3614" width="6.33203125" customWidth="1"/>
    <col min="3615" max="3615" width="7.88671875" customWidth="1"/>
    <col min="3616" max="3616" width="3.44140625" customWidth="1"/>
    <col min="3617" max="3617" width="5" customWidth="1"/>
    <col min="3851" max="3851" width="1.6640625" customWidth="1"/>
    <col min="3852" max="3852" width="3.6640625" customWidth="1"/>
    <col min="3853" max="3853" width="23.44140625" customWidth="1"/>
    <col min="3854" max="3865" width="4.44140625" customWidth="1"/>
    <col min="3866" max="3866" width="6.109375" customWidth="1"/>
    <col min="3867" max="3867" width="4.44140625" customWidth="1"/>
    <col min="3868" max="3868" width="7.5546875" customWidth="1"/>
    <col min="3869" max="3869" width="4.44140625" customWidth="1"/>
    <col min="3870" max="3870" width="6.33203125" customWidth="1"/>
    <col min="3871" max="3871" width="7.88671875" customWidth="1"/>
    <col min="3872" max="3872" width="3.44140625" customWidth="1"/>
    <col min="3873" max="3873" width="5" customWidth="1"/>
    <col min="4107" max="4107" width="1.6640625" customWidth="1"/>
    <col min="4108" max="4108" width="3.6640625" customWidth="1"/>
    <col min="4109" max="4109" width="23.44140625" customWidth="1"/>
    <col min="4110" max="4121" width="4.44140625" customWidth="1"/>
    <col min="4122" max="4122" width="6.109375" customWidth="1"/>
    <col min="4123" max="4123" width="4.44140625" customWidth="1"/>
    <col min="4124" max="4124" width="7.5546875" customWidth="1"/>
    <col min="4125" max="4125" width="4.44140625" customWidth="1"/>
    <col min="4126" max="4126" width="6.33203125" customWidth="1"/>
    <col min="4127" max="4127" width="7.88671875" customWidth="1"/>
    <col min="4128" max="4128" width="3.44140625" customWidth="1"/>
    <col min="4129" max="4129" width="5" customWidth="1"/>
    <col min="4363" max="4363" width="1.6640625" customWidth="1"/>
    <col min="4364" max="4364" width="3.6640625" customWidth="1"/>
    <col min="4365" max="4365" width="23.44140625" customWidth="1"/>
    <col min="4366" max="4377" width="4.44140625" customWidth="1"/>
    <col min="4378" max="4378" width="6.109375" customWidth="1"/>
    <col min="4379" max="4379" width="4.44140625" customWidth="1"/>
    <col min="4380" max="4380" width="7.5546875" customWidth="1"/>
    <col min="4381" max="4381" width="4.44140625" customWidth="1"/>
    <col min="4382" max="4382" width="6.33203125" customWidth="1"/>
    <col min="4383" max="4383" width="7.88671875" customWidth="1"/>
    <col min="4384" max="4384" width="3.44140625" customWidth="1"/>
    <col min="4385" max="4385" width="5" customWidth="1"/>
    <col min="4619" max="4619" width="1.6640625" customWidth="1"/>
    <col min="4620" max="4620" width="3.6640625" customWidth="1"/>
    <col min="4621" max="4621" width="23.44140625" customWidth="1"/>
    <col min="4622" max="4633" width="4.44140625" customWidth="1"/>
    <col min="4634" max="4634" width="6.109375" customWidth="1"/>
    <col min="4635" max="4635" width="4.44140625" customWidth="1"/>
    <col min="4636" max="4636" width="7.5546875" customWidth="1"/>
    <col min="4637" max="4637" width="4.44140625" customWidth="1"/>
    <col min="4638" max="4638" width="6.33203125" customWidth="1"/>
    <col min="4639" max="4639" width="7.88671875" customWidth="1"/>
    <col min="4640" max="4640" width="3.44140625" customWidth="1"/>
    <col min="4641" max="4641" width="5" customWidth="1"/>
    <col min="4875" max="4875" width="1.6640625" customWidth="1"/>
    <col min="4876" max="4876" width="3.6640625" customWidth="1"/>
    <col min="4877" max="4877" width="23.44140625" customWidth="1"/>
    <col min="4878" max="4889" width="4.44140625" customWidth="1"/>
    <col min="4890" max="4890" width="6.109375" customWidth="1"/>
    <col min="4891" max="4891" width="4.44140625" customWidth="1"/>
    <col min="4892" max="4892" width="7.5546875" customWidth="1"/>
    <col min="4893" max="4893" width="4.44140625" customWidth="1"/>
    <col min="4894" max="4894" width="6.33203125" customWidth="1"/>
    <col min="4895" max="4895" width="7.88671875" customWidth="1"/>
    <col min="4896" max="4896" width="3.44140625" customWidth="1"/>
    <col min="4897" max="4897" width="5" customWidth="1"/>
    <col min="5131" max="5131" width="1.6640625" customWidth="1"/>
    <col min="5132" max="5132" width="3.6640625" customWidth="1"/>
    <col min="5133" max="5133" width="23.44140625" customWidth="1"/>
    <col min="5134" max="5145" width="4.44140625" customWidth="1"/>
    <col min="5146" max="5146" width="6.109375" customWidth="1"/>
    <col min="5147" max="5147" width="4.44140625" customWidth="1"/>
    <col min="5148" max="5148" width="7.5546875" customWidth="1"/>
    <col min="5149" max="5149" width="4.44140625" customWidth="1"/>
    <col min="5150" max="5150" width="6.33203125" customWidth="1"/>
    <col min="5151" max="5151" width="7.88671875" customWidth="1"/>
    <col min="5152" max="5152" width="3.44140625" customWidth="1"/>
    <col min="5153" max="5153" width="5" customWidth="1"/>
    <col min="5387" max="5387" width="1.6640625" customWidth="1"/>
    <col min="5388" max="5388" width="3.6640625" customWidth="1"/>
    <col min="5389" max="5389" width="23.44140625" customWidth="1"/>
    <col min="5390" max="5401" width="4.44140625" customWidth="1"/>
    <col min="5402" max="5402" width="6.109375" customWidth="1"/>
    <col min="5403" max="5403" width="4.44140625" customWidth="1"/>
    <col min="5404" max="5404" width="7.5546875" customWidth="1"/>
    <col min="5405" max="5405" width="4.44140625" customWidth="1"/>
    <col min="5406" max="5406" width="6.33203125" customWidth="1"/>
    <col min="5407" max="5407" width="7.88671875" customWidth="1"/>
    <col min="5408" max="5408" width="3.44140625" customWidth="1"/>
    <col min="5409" max="5409" width="5" customWidth="1"/>
    <col min="5643" max="5643" width="1.6640625" customWidth="1"/>
    <col min="5644" max="5644" width="3.6640625" customWidth="1"/>
    <col min="5645" max="5645" width="23.44140625" customWidth="1"/>
    <col min="5646" max="5657" width="4.44140625" customWidth="1"/>
    <col min="5658" max="5658" width="6.109375" customWidth="1"/>
    <col min="5659" max="5659" width="4.44140625" customWidth="1"/>
    <col min="5660" max="5660" width="7.5546875" customWidth="1"/>
    <col min="5661" max="5661" width="4.44140625" customWidth="1"/>
    <col min="5662" max="5662" width="6.33203125" customWidth="1"/>
    <col min="5663" max="5663" width="7.88671875" customWidth="1"/>
    <col min="5664" max="5664" width="3.44140625" customWidth="1"/>
    <col min="5665" max="5665" width="5" customWidth="1"/>
    <col min="5899" max="5899" width="1.6640625" customWidth="1"/>
    <col min="5900" max="5900" width="3.6640625" customWidth="1"/>
    <col min="5901" max="5901" width="23.44140625" customWidth="1"/>
    <col min="5902" max="5913" width="4.44140625" customWidth="1"/>
    <col min="5914" max="5914" width="6.109375" customWidth="1"/>
    <col min="5915" max="5915" width="4.44140625" customWidth="1"/>
    <col min="5916" max="5916" width="7.5546875" customWidth="1"/>
    <col min="5917" max="5917" width="4.44140625" customWidth="1"/>
    <col min="5918" max="5918" width="6.33203125" customWidth="1"/>
    <col min="5919" max="5919" width="7.88671875" customWidth="1"/>
    <col min="5920" max="5920" width="3.44140625" customWidth="1"/>
    <col min="5921" max="5921" width="5" customWidth="1"/>
    <col min="6155" max="6155" width="1.6640625" customWidth="1"/>
    <col min="6156" max="6156" width="3.6640625" customWidth="1"/>
    <col min="6157" max="6157" width="23.44140625" customWidth="1"/>
    <col min="6158" max="6169" width="4.44140625" customWidth="1"/>
    <col min="6170" max="6170" width="6.109375" customWidth="1"/>
    <col min="6171" max="6171" width="4.44140625" customWidth="1"/>
    <col min="6172" max="6172" width="7.5546875" customWidth="1"/>
    <col min="6173" max="6173" width="4.44140625" customWidth="1"/>
    <col min="6174" max="6174" width="6.33203125" customWidth="1"/>
    <col min="6175" max="6175" width="7.88671875" customWidth="1"/>
    <col min="6176" max="6176" width="3.44140625" customWidth="1"/>
    <col min="6177" max="6177" width="5" customWidth="1"/>
    <col min="6411" max="6411" width="1.6640625" customWidth="1"/>
    <col min="6412" max="6412" width="3.6640625" customWidth="1"/>
    <col min="6413" max="6413" width="23.44140625" customWidth="1"/>
    <col min="6414" max="6425" width="4.44140625" customWidth="1"/>
    <col min="6426" max="6426" width="6.109375" customWidth="1"/>
    <col min="6427" max="6427" width="4.44140625" customWidth="1"/>
    <col min="6428" max="6428" width="7.5546875" customWidth="1"/>
    <col min="6429" max="6429" width="4.44140625" customWidth="1"/>
    <col min="6430" max="6430" width="6.33203125" customWidth="1"/>
    <col min="6431" max="6431" width="7.88671875" customWidth="1"/>
    <col min="6432" max="6432" width="3.44140625" customWidth="1"/>
    <col min="6433" max="6433" width="5" customWidth="1"/>
    <col min="6667" max="6667" width="1.6640625" customWidth="1"/>
    <col min="6668" max="6668" width="3.6640625" customWidth="1"/>
    <col min="6669" max="6669" width="23.44140625" customWidth="1"/>
    <col min="6670" max="6681" width="4.44140625" customWidth="1"/>
    <col min="6682" max="6682" width="6.109375" customWidth="1"/>
    <col min="6683" max="6683" width="4.44140625" customWidth="1"/>
    <col min="6684" max="6684" width="7.5546875" customWidth="1"/>
    <col min="6685" max="6685" width="4.44140625" customWidth="1"/>
    <col min="6686" max="6686" width="6.33203125" customWidth="1"/>
    <col min="6687" max="6687" width="7.88671875" customWidth="1"/>
    <col min="6688" max="6688" width="3.44140625" customWidth="1"/>
    <col min="6689" max="6689" width="5" customWidth="1"/>
    <col min="6923" max="6923" width="1.6640625" customWidth="1"/>
    <col min="6924" max="6924" width="3.6640625" customWidth="1"/>
    <col min="6925" max="6925" width="23.44140625" customWidth="1"/>
    <col min="6926" max="6937" width="4.44140625" customWidth="1"/>
    <col min="6938" max="6938" width="6.109375" customWidth="1"/>
    <col min="6939" max="6939" width="4.44140625" customWidth="1"/>
    <col min="6940" max="6940" width="7.5546875" customWidth="1"/>
    <col min="6941" max="6941" width="4.44140625" customWidth="1"/>
    <col min="6942" max="6942" width="6.33203125" customWidth="1"/>
    <col min="6943" max="6943" width="7.88671875" customWidth="1"/>
    <col min="6944" max="6944" width="3.44140625" customWidth="1"/>
    <col min="6945" max="6945" width="5" customWidth="1"/>
    <col min="7179" max="7179" width="1.6640625" customWidth="1"/>
    <col min="7180" max="7180" width="3.6640625" customWidth="1"/>
    <col min="7181" max="7181" width="23.44140625" customWidth="1"/>
    <col min="7182" max="7193" width="4.44140625" customWidth="1"/>
    <col min="7194" max="7194" width="6.109375" customWidth="1"/>
    <col min="7195" max="7195" width="4.44140625" customWidth="1"/>
    <col min="7196" max="7196" width="7.5546875" customWidth="1"/>
    <col min="7197" max="7197" width="4.44140625" customWidth="1"/>
    <col min="7198" max="7198" width="6.33203125" customWidth="1"/>
    <col min="7199" max="7199" width="7.88671875" customWidth="1"/>
    <col min="7200" max="7200" width="3.44140625" customWidth="1"/>
    <col min="7201" max="7201" width="5" customWidth="1"/>
    <col min="7435" max="7435" width="1.6640625" customWidth="1"/>
    <col min="7436" max="7436" width="3.6640625" customWidth="1"/>
    <col min="7437" max="7437" width="23.44140625" customWidth="1"/>
    <col min="7438" max="7449" width="4.44140625" customWidth="1"/>
    <col min="7450" max="7450" width="6.109375" customWidth="1"/>
    <col min="7451" max="7451" width="4.44140625" customWidth="1"/>
    <col min="7452" max="7452" width="7.5546875" customWidth="1"/>
    <col min="7453" max="7453" width="4.44140625" customWidth="1"/>
    <col min="7454" max="7454" width="6.33203125" customWidth="1"/>
    <col min="7455" max="7455" width="7.88671875" customWidth="1"/>
    <col min="7456" max="7456" width="3.44140625" customWidth="1"/>
    <col min="7457" max="7457" width="5" customWidth="1"/>
    <col min="7691" max="7691" width="1.6640625" customWidth="1"/>
    <col min="7692" max="7692" width="3.6640625" customWidth="1"/>
    <col min="7693" max="7693" width="23.44140625" customWidth="1"/>
    <col min="7694" max="7705" width="4.44140625" customWidth="1"/>
    <col min="7706" max="7706" width="6.109375" customWidth="1"/>
    <col min="7707" max="7707" width="4.44140625" customWidth="1"/>
    <col min="7708" max="7708" width="7.5546875" customWidth="1"/>
    <col min="7709" max="7709" width="4.44140625" customWidth="1"/>
    <col min="7710" max="7710" width="6.33203125" customWidth="1"/>
    <col min="7711" max="7711" width="7.88671875" customWidth="1"/>
    <col min="7712" max="7712" width="3.44140625" customWidth="1"/>
    <col min="7713" max="7713" width="5" customWidth="1"/>
    <col min="7947" max="7947" width="1.6640625" customWidth="1"/>
    <col min="7948" max="7948" width="3.6640625" customWidth="1"/>
    <col min="7949" max="7949" width="23.44140625" customWidth="1"/>
    <col min="7950" max="7961" width="4.44140625" customWidth="1"/>
    <col min="7962" max="7962" width="6.109375" customWidth="1"/>
    <col min="7963" max="7963" width="4.44140625" customWidth="1"/>
    <col min="7964" max="7964" width="7.5546875" customWidth="1"/>
    <col min="7965" max="7965" width="4.44140625" customWidth="1"/>
    <col min="7966" max="7966" width="6.33203125" customWidth="1"/>
    <col min="7967" max="7967" width="7.88671875" customWidth="1"/>
    <col min="7968" max="7968" width="3.44140625" customWidth="1"/>
    <col min="7969" max="7969" width="5" customWidth="1"/>
    <col min="8203" max="8203" width="1.6640625" customWidth="1"/>
    <col min="8204" max="8204" width="3.6640625" customWidth="1"/>
    <col min="8205" max="8205" width="23.44140625" customWidth="1"/>
    <col min="8206" max="8217" width="4.44140625" customWidth="1"/>
    <col min="8218" max="8218" width="6.109375" customWidth="1"/>
    <col min="8219" max="8219" width="4.44140625" customWidth="1"/>
    <col min="8220" max="8220" width="7.5546875" customWidth="1"/>
    <col min="8221" max="8221" width="4.44140625" customWidth="1"/>
    <col min="8222" max="8222" width="6.33203125" customWidth="1"/>
    <col min="8223" max="8223" width="7.88671875" customWidth="1"/>
    <col min="8224" max="8224" width="3.44140625" customWidth="1"/>
    <col min="8225" max="8225" width="5" customWidth="1"/>
    <col min="8459" max="8459" width="1.6640625" customWidth="1"/>
    <col min="8460" max="8460" width="3.6640625" customWidth="1"/>
    <col min="8461" max="8461" width="23.44140625" customWidth="1"/>
    <col min="8462" max="8473" width="4.44140625" customWidth="1"/>
    <col min="8474" max="8474" width="6.109375" customWidth="1"/>
    <col min="8475" max="8475" width="4.44140625" customWidth="1"/>
    <col min="8476" max="8476" width="7.5546875" customWidth="1"/>
    <col min="8477" max="8477" width="4.44140625" customWidth="1"/>
    <col min="8478" max="8478" width="6.33203125" customWidth="1"/>
    <col min="8479" max="8479" width="7.88671875" customWidth="1"/>
    <col min="8480" max="8480" width="3.44140625" customWidth="1"/>
    <col min="8481" max="8481" width="5" customWidth="1"/>
    <col min="8715" max="8715" width="1.6640625" customWidth="1"/>
    <col min="8716" max="8716" width="3.6640625" customWidth="1"/>
    <col min="8717" max="8717" width="23.44140625" customWidth="1"/>
    <col min="8718" max="8729" width="4.44140625" customWidth="1"/>
    <col min="8730" max="8730" width="6.109375" customWidth="1"/>
    <col min="8731" max="8731" width="4.44140625" customWidth="1"/>
    <col min="8732" max="8732" width="7.5546875" customWidth="1"/>
    <col min="8733" max="8733" width="4.44140625" customWidth="1"/>
    <col min="8734" max="8734" width="6.33203125" customWidth="1"/>
    <col min="8735" max="8735" width="7.88671875" customWidth="1"/>
    <col min="8736" max="8736" width="3.44140625" customWidth="1"/>
    <col min="8737" max="8737" width="5" customWidth="1"/>
    <col min="8971" max="8971" width="1.6640625" customWidth="1"/>
    <col min="8972" max="8972" width="3.6640625" customWidth="1"/>
    <col min="8973" max="8973" width="23.44140625" customWidth="1"/>
    <col min="8974" max="8985" width="4.44140625" customWidth="1"/>
    <col min="8986" max="8986" width="6.109375" customWidth="1"/>
    <col min="8987" max="8987" width="4.44140625" customWidth="1"/>
    <col min="8988" max="8988" width="7.5546875" customWidth="1"/>
    <col min="8989" max="8989" width="4.44140625" customWidth="1"/>
    <col min="8990" max="8990" width="6.33203125" customWidth="1"/>
    <col min="8991" max="8991" width="7.88671875" customWidth="1"/>
    <col min="8992" max="8992" width="3.44140625" customWidth="1"/>
    <col min="8993" max="8993" width="5" customWidth="1"/>
    <col min="9227" max="9227" width="1.6640625" customWidth="1"/>
    <col min="9228" max="9228" width="3.6640625" customWidth="1"/>
    <col min="9229" max="9229" width="23.44140625" customWidth="1"/>
    <col min="9230" max="9241" width="4.44140625" customWidth="1"/>
    <col min="9242" max="9242" width="6.109375" customWidth="1"/>
    <col min="9243" max="9243" width="4.44140625" customWidth="1"/>
    <col min="9244" max="9244" width="7.5546875" customWidth="1"/>
    <col min="9245" max="9245" width="4.44140625" customWidth="1"/>
    <col min="9246" max="9246" width="6.33203125" customWidth="1"/>
    <col min="9247" max="9247" width="7.88671875" customWidth="1"/>
    <col min="9248" max="9248" width="3.44140625" customWidth="1"/>
    <col min="9249" max="9249" width="5" customWidth="1"/>
    <col min="9483" max="9483" width="1.6640625" customWidth="1"/>
    <col min="9484" max="9484" width="3.6640625" customWidth="1"/>
    <col min="9485" max="9485" width="23.44140625" customWidth="1"/>
    <col min="9486" max="9497" width="4.44140625" customWidth="1"/>
    <col min="9498" max="9498" width="6.109375" customWidth="1"/>
    <col min="9499" max="9499" width="4.44140625" customWidth="1"/>
    <col min="9500" max="9500" width="7.5546875" customWidth="1"/>
    <col min="9501" max="9501" width="4.44140625" customWidth="1"/>
    <col min="9502" max="9502" width="6.33203125" customWidth="1"/>
    <col min="9503" max="9503" width="7.88671875" customWidth="1"/>
    <col min="9504" max="9504" width="3.44140625" customWidth="1"/>
    <col min="9505" max="9505" width="5" customWidth="1"/>
    <col min="9739" max="9739" width="1.6640625" customWidth="1"/>
    <col min="9740" max="9740" width="3.6640625" customWidth="1"/>
    <col min="9741" max="9741" width="23.44140625" customWidth="1"/>
    <col min="9742" max="9753" width="4.44140625" customWidth="1"/>
    <col min="9754" max="9754" width="6.109375" customWidth="1"/>
    <col min="9755" max="9755" width="4.44140625" customWidth="1"/>
    <col min="9756" max="9756" width="7.5546875" customWidth="1"/>
    <col min="9757" max="9757" width="4.44140625" customWidth="1"/>
    <col min="9758" max="9758" width="6.33203125" customWidth="1"/>
    <col min="9759" max="9759" width="7.88671875" customWidth="1"/>
    <col min="9760" max="9760" width="3.44140625" customWidth="1"/>
    <col min="9761" max="9761" width="5" customWidth="1"/>
    <col min="9995" max="9995" width="1.6640625" customWidth="1"/>
    <col min="9996" max="9996" width="3.6640625" customWidth="1"/>
    <col min="9997" max="9997" width="23.44140625" customWidth="1"/>
    <col min="9998" max="10009" width="4.44140625" customWidth="1"/>
    <col min="10010" max="10010" width="6.109375" customWidth="1"/>
    <col min="10011" max="10011" width="4.44140625" customWidth="1"/>
    <col min="10012" max="10012" width="7.5546875" customWidth="1"/>
    <col min="10013" max="10013" width="4.44140625" customWidth="1"/>
    <col min="10014" max="10014" width="6.33203125" customWidth="1"/>
    <col min="10015" max="10015" width="7.88671875" customWidth="1"/>
    <col min="10016" max="10016" width="3.44140625" customWidth="1"/>
    <col min="10017" max="10017" width="5" customWidth="1"/>
    <col min="10251" max="10251" width="1.6640625" customWidth="1"/>
    <col min="10252" max="10252" width="3.6640625" customWidth="1"/>
    <col min="10253" max="10253" width="23.44140625" customWidth="1"/>
    <col min="10254" max="10265" width="4.44140625" customWidth="1"/>
    <col min="10266" max="10266" width="6.109375" customWidth="1"/>
    <col min="10267" max="10267" width="4.44140625" customWidth="1"/>
    <col min="10268" max="10268" width="7.5546875" customWidth="1"/>
    <col min="10269" max="10269" width="4.44140625" customWidth="1"/>
    <col min="10270" max="10270" width="6.33203125" customWidth="1"/>
    <col min="10271" max="10271" width="7.88671875" customWidth="1"/>
    <col min="10272" max="10272" width="3.44140625" customWidth="1"/>
    <col min="10273" max="10273" width="5" customWidth="1"/>
    <col min="10507" max="10507" width="1.6640625" customWidth="1"/>
    <col min="10508" max="10508" width="3.6640625" customWidth="1"/>
    <col min="10509" max="10509" width="23.44140625" customWidth="1"/>
    <col min="10510" max="10521" width="4.44140625" customWidth="1"/>
    <col min="10522" max="10522" width="6.109375" customWidth="1"/>
    <col min="10523" max="10523" width="4.44140625" customWidth="1"/>
    <col min="10524" max="10524" width="7.5546875" customWidth="1"/>
    <col min="10525" max="10525" width="4.44140625" customWidth="1"/>
    <col min="10526" max="10526" width="6.33203125" customWidth="1"/>
    <col min="10527" max="10527" width="7.88671875" customWidth="1"/>
    <col min="10528" max="10528" width="3.44140625" customWidth="1"/>
    <col min="10529" max="10529" width="5" customWidth="1"/>
    <col min="10763" max="10763" width="1.6640625" customWidth="1"/>
    <col min="10764" max="10764" width="3.6640625" customWidth="1"/>
    <col min="10765" max="10765" width="23.44140625" customWidth="1"/>
    <col min="10766" max="10777" width="4.44140625" customWidth="1"/>
    <col min="10778" max="10778" width="6.109375" customWidth="1"/>
    <col min="10779" max="10779" width="4.44140625" customWidth="1"/>
    <col min="10780" max="10780" width="7.5546875" customWidth="1"/>
    <col min="10781" max="10781" width="4.44140625" customWidth="1"/>
    <col min="10782" max="10782" width="6.33203125" customWidth="1"/>
    <col min="10783" max="10783" width="7.88671875" customWidth="1"/>
    <col min="10784" max="10784" width="3.44140625" customWidth="1"/>
    <col min="10785" max="10785" width="5" customWidth="1"/>
    <col min="11019" max="11019" width="1.6640625" customWidth="1"/>
    <col min="11020" max="11020" width="3.6640625" customWidth="1"/>
    <col min="11021" max="11021" width="23.44140625" customWidth="1"/>
    <col min="11022" max="11033" width="4.44140625" customWidth="1"/>
    <col min="11034" max="11034" width="6.109375" customWidth="1"/>
    <col min="11035" max="11035" width="4.44140625" customWidth="1"/>
    <col min="11036" max="11036" width="7.5546875" customWidth="1"/>
    <col min="11037" max="11037" width="4.44140625" customWidth="1"/>
    <col min="11038" max="11038" width="6.33203125" customWidth="1"/>
    <col min="11039" max="11039" width="7.88671875" customWidth="1"/>
    <col min="11040" max="11040" width="3.44140625" customWidth="1"/>
    <col min="11041" max="11041" width="5" customWidth="1"/>
    <col min="11275" max="11275" width="1.6640625" customWidth="1"/>
    <col min="11276" max="11276" width="3.6640625" customWidth="1"/>
    <col min="11277" max="11277" width="23.44140625" customWidth="1"/>
    <col min="11278" max="11289" width="4.44140625" customWidth="1"/>
    <col min="11290" max="11290" width="6.109375" customWidth="1"/>
    <col min="11291" max="11291" width="4.44140625" customWidth="1"/>
    <col min="11292" max="11292" width="7.5546875" customWidth="1"/>
    <col min="11293" max="11293" width="4.44140625" customWidth="1"/>
    <col min="11294" max="11294" width="6.33203125" customWidth="1"/>
    <col min="11295" max="11295" width="7.88671875" customWidth="1"/>
    <col min="11296" max="11296" width="3.44140625" customWidth="1"/>
    <col min="11297" max="11297" width="5" customWidth="1"/>
    <col min="11531" max="11531" width="1.6640625" customWidth="1"/>
    <col min="11532" max="11532" width="3.6640625" customWidth="1"/>
    <col min="11533" max="11533" width="23.44140625" customWidth="1"/>
    <col min="11534" max="11545" width="4.44140625" customWidth="1"/>
    <col min="11546" max="11546" width="6.109375" customWidth="1"/>
    <col min="11547" max="11547" width="4.44140625" customWidth="1"/>
    <col min="11548" max="11548" width="7.5546875" customWidth="1"/>
    <col min="11549" max="11549" width="4.44140625" customWidth="1"/>
    <col min="11550" max="11550" width="6.33203125" customWidth="1"/>
    <col min="11551" max="11551" width="7.88671875" customWidth="1"/>
    <col min="11552" max="11552" width="3.44140625" customWidth="1"/>
    <col min="11553" max="11553" width="5" customWidth="1"/>
    <col min="11787" max="11787" width="1.6640625" customWidth="1"/>
    <col min="11788" max="11788" width="3.6640625" customWidth="1"/>
    <col min="11789" max="11789" width="23.44140625" customWidth="1"/>
    <col min="11790" max="11801" width="4.44140625" customWidth="1"/>
    <col min="11802" max="11802" width="6.109375" customWidth="1"/>
    <col min="11803" max="11803" width="4.44140625" customWidth="1"/>
    <col min="11804" max="11804" width="7.5546875" customWidth="1"/>
    <col min="11805" max="11805" width="4.44140625" customWidth="1"/>
    <col min="11806" max="11806" width="6.33203125" customWidth="1"/>
    <col min="11807" max="11807" width="7.88671875" customWidth="1"/>
    <col min="11808" max="11808" width="3.44140625" customWidth="1"/>
    <col min="11809" max="11809" width="5" customWidth="1"/>
    <col min="12043" max="12043" width="1.6640625" customWidth="1"/>
    <col min="12044" max="12044" width="3.6640625" customWidth="1"/>
    <col min="12045" max="12045" width="23.44140625" customWidth="1"/>
    <col min="12046" max="12057" width="4.44140625" customWidth="1"/>
    <col min="12058" max="12058" width="6.109375" customWidth="1"/>
    <col min="12059" max="12059" width="4.44140625" customWidth="1"/>
    <col min="12060" max="12060" width="7.5546875" customWidth="1"/>
    <col min="12061" max="12061" width="4.44140625" customWidth="1"/>
    <col min="12062" max="12062" width="6.33203125" customWidth="1"/>
    <col min="12063" max="12063" width="7.88671875" customWidth="1"/>
    <col min="12064" max="12064" width="3.44140625" customWidth="1"/>
    <col min="12065" max="12065" width="5" customWidth="1"/>
    <col min="12299" max="12299" width="1.6640625" customWidth="1"/>
    <col min="12300" max="12300" width="3.6640625" customWidth="1"/>
    <col min="12301" max="12301" width="23.44140625" customWidth="1"/>
    <col min="12302" max="12313" width="4.44140625" customWidth="1"/>
    <col min="12314" max="12314" width="6.109375" customWidth="1"/>
    <col min="12315" max="12315" width="4.44140625" customWidth="1"/>
    <col min="12316" max="12316" width="7.5546875" customWidth="1"/>
    <col min="12317" max="12317" width="4.44140625" customWidth="1"/>
    <col min="12318" max="12318" width="6.33203125" customWidth="1"/>
    <col min="12319" max="12319" width="7.88671875" customWidth="1"/>
    <col min="12320" max="12320" width="3.44140625" customWidth="1"/>
    <col min="12321" max="12321" width="5" customWidth="1"/>
    <col min="12555" max="12555" width="1.6640625" customWidth="1"/>
    <col min="12556" max="12556" width="3.6640625" customWidth="1"/>
    <col min="12557" max="12557" width="23.44140625" customWidth="1"/>
    <col min="12558" max="12569" width="4.44140625" customWidth="1"/>
    <col min="12570" max="12570" width="6.109375" customWidth="1"/>
    <col min="12571" max="12571" width="4.44140625" customWidth="1"/>
    <col min="12572" max="12572" width="7.5546875" customWidth="1"/>
    <col min="12573" max="12573" width="4.44140625" customWidth="1"/>
    <col min="12574" max="12574" width="6.33203125" customWidth="1"/>
    <col min="12575" max="12575" width="7.88671875" customWidth="1"/>
    <col min="12576" max="12576" width="3.44140625" customWidth="1"/>
    <col min="12577" max="12577" width="5" customWidth="1"/>
    <col min="12811" max="12811" width="1.6640625" customWidth="1"/>
    <col min="12812" max="12812" width="3.6640625" customWidth="1"/>
    <col min="12813" max="12813" width="23.44140625" customWidth="1"/>
    <col min="12814" max="12825" width="4.44140625" customWidth="1"/>
    <col min="12826" max="12826" width="6.109375" customWidth="1"/>
    <col min="12827" max="12827" width="4.44140625" customWidth="1"/>
    <col min="12828" max="12828" width="7.5546875" customWidth="1"/>
    <col min="12829" max="12829" width="4.44140625" customWidth="1"/>
    <col min="12830" max="12830" width="6.33203125" customWidth="1"/>
    <col min="12831" max="12831" width="7.88671875" customWidth="1"/>
    <col min="12832" max="12832" width="3.44140625" customWidth="1"/>
    <col min="12833" max="12833" width="5" customWidth="1"/>
    <col min="13067" max="13067" width="1.6640625" customWidth="1"/>
    <col min="13068" max="13068" width="3.6640625" customWidth="1"/>
    <col min="13069" max="13069" width="23.44140625" customWidth="1"/>
    <col min="13070" max="13081" width="4.44140625" customWidth="1"/>
    <col min="13082" max="13082" width="6.109375" customWidth="1"/>
    <col min="13083" max="13083" width="4.44140625" customWidth="1"/>
    <col min="13084" max="13084" width="7.5546875" customWidth="1"/>
    <col min="13085" max="13085" width="4.44140625" customWidth="1"/>
    <col min="13086" max="13086" width="6.33203125" customWidth="1"/>
    <col min="13087" max="13087" width="7.88671875" customWidth="1"/>
    <col min="13088" max="13088" width="3.44140625" customWidth="1"/>
    <col min="13089" max="13089" width="5" customWidth="1"/>
    <col min="13323" max="13323" width="1.6640625" customWidth="1"/>
    <col min="13324" max="13324" width="3.6640625" customWidth="1"/>
    <col min="13325" max="13325" width="23.44140625" customWidth="1"/>
    <col min="13326" max="13337" width="4.44140625" customWidth="1"/>
    <col min="13338" max="13338" width="6.109375" customWidth="1"/>
    <col min="13339" max="13339" width="4.44140625" customWidth="1"/>
    <col min="13340" max="13340" width="7.5546875" customWidth="1"/>
    <col min="13341" max="13341" width="4.44140625" customWidth="1"/>
    <col min="13342" max="13342" width="6.33203125" customWidth="1"/>
    <col min="13343" max="13343" width="7.88671875" customWidth="1"/>
    <col min="13344" max="13344" width="3.44140625" customWidth="1"/>
    <col min="13345" max="13345" width="5" customWidth="1"/>
    <col min="13579" max="13579" width="1.6640625" customWidth="1"/>
    <col min="13580" max="13580" width="3.6640625" customWidth="1"/>
    <col min="13581" max="13581" width="23.44140625" customWidth="1"/>
    <col min="13582" max="13593" width="4.44140625" customWidth="1"/>
    <col min="13594" max="13594" width="6.109375" customWidth="1"/>
    <col min="13595" max="13595" width="4.44140625" customWidth="1"/>
    <col min="13596" max="13596" width="7.5546875" customWidth="1"/>
    <col min="13597" max="13597" width="4.44140625" customWidth="1"/>
    <col min="13598" max="13598" width="6.33203125" customWidth="1"/>
    <col min="13599" max="13599" width="7.88671875" customWidth="1"/>
    <col min="13600" max="13600" width="3.44140625" customWidth="1"/>
    <col min="13601" max="13601" width="5" customWidth="1"/>
    <col min="13835" max="13835" width="1.6640625" customWidth="1"/>
    <col min="13836" max="13836" width="3.6640625" customWidth="1"/>
    <col min="13837" max="13837" width="23.44140625" customWidth="1"/>
    <col min="13838" max="13849" width="4.44140625" customWidth="1"/>
    <col min="13850" max="13850" width="6.109375" customWidth="1"/>
    <col min="13851" max="13851" width="4.44140625" customWidth="1"/>
    <col min="13852" max="13852" width="7.5546875" customWidth="1"/>
    <col min="13853" max="13853" width="4.44140625" customWidth="1"/>
    <col min="13854" max="13854" width="6.33203125" customWidth="1"/>
    <col min="13855" max="13855" width="7.88671875" customWidth="1"/>
    <col min="13856" max="13856" width="3.44140625" customWidth="1"/>
    <col min="13857" max="13857" width="5" customWidth="1"/>
    <col min="14091" max="14091" width="1.6640625" customWidth="1"/>
    <col min="14092" max="14092" width="3.6640625" customWidth="1"/>
    <col min="14093" max="14093" width="23.44140625" customWidth="1"/>
    <col min="14094" max="14105" width="4.44140625" customWidth="1"/>
    <col min="14106" max="14106" width="6.109375" customWidth="1"/>
    <col min="14107" max="14107" width="4.44140625" customWidth="1"/>
    <col min="14108" max="14108" width="7.5546875" customWidth="1"/>
    <col min="14109" max="14109" width="4.44140625" customWidth="1"/>
    <col min="14110" max="14110" width="6.33203125" customWidth="1"/>
    <col min="14111" max="14111" width="7.88671875" customWidth="1"/>
    <col min="14112" max="14112" width="3.44140625" customWidth="1"/>
    <col min="14113" max="14113" width="5" customWidth="1"/>
    <col min="14347" max="14347" width="1.6640625" customWidth="1"/>
    <col min="14348" max="14348" width="3.6640625" customWidth="1"/>
    <col min="14349" max="14349" width="23.44140625" customWidth="1"/>
    <col min="14350" max="14361" width="4.44140625" customWidth="1"/>
    <col min="14362" max="14362" width="6.109375" customWidth="1"/>
    <col min="14363" max="14363" width="4.44140625" customWidth="1"/>
    <col min="14364" max="14364" width="7.5546875" customWidth="1"/>
    <col min="14365" max="14365" width="4.44140625" customWidth="1"/>
    <col min="14366" max="14366" width="6.33203125" customWidth="1"/>
    <col min="14367" max="14367" width="7.88671875" customWidth="1"/>
    <col min="14368" max="14368" width="3.44140625" customWidth="1"/>
    <col min="14369" max="14369" width="5" customWidth="1"/>
    <col min="14603" max="14603" width="1.6640625" customWidth="1"/>
    <col min="14604" max="14604" width="3.6640625" customWidth="1"/>
    <col min="14605" max="14605" width="23.44140625" customWidth="1"/>
    <col min="14606" max="14617" width="4.44140625" customWidth="1"/>
    <col min="14618" max="14618" width="6.109375" customWidth="1"/>
    <col min="14619" max="14619" width="4.44140625" customWidth="1"/>
    <col min="14620" max="14620" width="7.5546875" customWidth="1"/>
    <col min="14621" max="14621" width="4.44140625" customWidth="1"/>
    <col min="14622" max="14622" width="6.33203125" customWidth="1"/>
    <col min="14623" max="14623" width="7.88671875" customWidth="1"/>
    <col min="14624" max="14624" width="3.44140625" customWidth="1"/>
    <col min="14625" max="14625" width="5" customWidth="1"/>
    <col min="14859" max="14859" width="1.6640625" customWidth="1"/>
    <col min="14860" max="14860" width="3.6640625" customWidth="1"/>
    <col min="14861" max="14861" width="23.44140625" customWidth="1"/>
    <col min="14862" max="14873" width="4.44140625" customWidth="1"/>
    <col min="14874" max="14874" width="6.109375" customWidth="1"/>
    <col min="14875" max="14875" width="4.44140625" customWidth="1"/>
    <col min="14876" max="14876" width="7.5546875" customWidth="1"/>
    <col min="14877" max="14877" width="4.44140625" customWidth="1"/>
    <col min="14878" max="14878" width="6.33203125" customWidth="1"/>
    <col min="14879" max="14879" width="7.88671875" customWidth="1"/>
    <col min="14880" max="14880" width="3.44140625" customWidth="1"/>
    <col min="14881" max="14881" width="5" customWidth="1"/>
    <col min="15115" max="15115" width="1.6640625" customWidth="1"/>
    <col min="15116" max="15116" width="3.6640625" customWidth="1"/>
    <col min="15117" max="15117" width="23.44140625" customWidth="1"/>
    <col min="15118" max="15129" width="4.44140625" customWidth="1"/>
    <col min="15130" max="15130" width="6.109375" customWidth="1"/>
    <col min="15131" max="15131" width="4.44140625" customWidth="1"/>
    <col min="15132" max="15132" width="7.5546875" customWidth="1"/>
    <col min="15133" max="15133" width="4.44140625" customWidth="1"/>
    <col min="15134" max="15134" width="6.33203125" customWidth="1"/>
    <col min="15135" max="15135" width="7.88671875" customWidth="1"/>
    <col min="15136" max="15136" width="3.44140625" customWidth="1"/>
    <col min="15137" max="15137" width="5" customWidth="1"/>
    <col min="15371" max="15371" width="1.6640625" customWidth="1"/>
    <col min="15372" max="15372" width="3.6640625" customWidth="1"/>
    <col min="15373" max="15373" width="23.44140625" customWidth="1"/>
    <col min="15374" max="15385" width="4.44140625" customWidth="1"/>
    <col min="15386" max="15386" width="6.109375" customWidth="1"/>
    <col min="15387" max="15387" width="4.44140625" customWidth="1"/>
    <col min="15388" max="15388" width="7.5546875" customWidth="1"/>
    <col min="15389" max="15389" width="4.44140625" customWidth="1"/>
    <col min="15390" max="15390" width="6.33203125" customWidth="1"/>
    <col min="15391" max="15391" width="7.88671875" customWidth="1"/>
    <col min="15392" max="15392" width="3.44140625" customWidth="1"/>
    <col min="15393" max="15393" width="5" customWidth="1"/>
    <col min="15627" max="15627" width="1.6640625" customWidth="1"/>
    <col min="15628" max="15628" width="3.6640625" customWidth="1"/>
    <col min="15629" max="15629" width="23.44140625" customWidth="1"/>
    <col min="15630" max="15641" width="4.44140625" customWidth="1"/>
    <col min="15642" max="15642" width="6.109375" customWidth="1"/>
    <col min="15643" max="15643" width="4.44140625" customWidth="1"/>
    <col min="15644" max="15644" width="7.5546875" customWidth="1"/>
    <col min="15645" max="15645" width="4.44140625" customWidth="1"/>
    <col min="15646" max="15646" width="6.33203125" customWidth="1"/>
    <col min="15647" max="15647" width="7.88671875" customWidth="1"/>
    <col min="15648" max="15648" width="3.44140625" customWidth="1"/>
    <col min="15649" max="15649" width="5" customWidth="1"/>
    <col min="15883" max="15883" width="1.6640625" customWidth="1"/>
    <col min="15884" max="15884" width="3.6640625" customWidth="1"/>
    <col min="15885" max="15885" width="23.44140625" customWidth="1"/>
    <col min="15886" max="15897" width="4.44140625" customWidth="1"/>
    <col min="15898" max="15898" width="6.109375" customWidth="1"/>
    <col min="15899" max="15899" width="4.44140625" customWidth="1"/>
    <col min="15900" max="15900" width="7.5546875" customWidth="1"/>
    <col min="15901" max="15901" width="4.44140625" customWidth="1"/>
    <col min="15902" max="15902" width="6.33203125" customWidth="1"/>
    <col min="15903" max="15903" width="7.88671875" customWidth="1"/>
    <col min="15904" max="15904" width="3.44140625" customWidth="1"/>
    <col min="15905" max="15905" width="5" customWidth="1"/>
    <col min="16139" max="16139" width="1.6640625" customWidth="1"/>
    <col min="16140" max="16140" width="3.6640625" customWidth="1"/>
    <col min="16141" max="16141" width="23.44140625" customWidth="1"/>
    <col min="16142" max="16153" width="4.44140625" customWidth="1"/>
    <col min="16154" max="16154" width="6.109375" customWidth="1"/>
    <col min="16155" max="16155" width="4.44140625" customWidth="1"/>
    <col min="16156" max="16156" width="7.5546875" customWidth="1"/>
    <col min="16157" max="16157" width="4.44140625" customWidth="1"/>
    <col min="16158" max="16158" width="6.33203125" customWidth="1"/>
    <col min="16159" max="16159" width="7.88671875" customWidth="1"/>
    <col min="16160" max="16160" width="3.44140625" customWidth="1"/>
    <col min="16161" max="16161" width="5" customWidth="1"/>
  </cols>
  <sheetData>
    <row r="1" spans="1:31" ht="34.5" customHeight="1" x14ac:dyDescent="0.3">
      <c r="A1" s="280" t="s">
        <v>21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</row>
    <row r="2" spans="1:31" ht="26.25" customHeight="1" x14ac:dyDescent="0.3">
      <c r="B2" s="1"/>
      <c r="C2" s="1"/>
      <c r="D2" s="1"/>
      <c r="E2" s="1"/>
      <c r="F2" s="1"/>
      <c r="G2" s="1"/>
      <c r="H2" s="24"/>
      <c r="I2" s="1"/>
      <c r="J2" s="24"/>
      <c r="K2" s="1"/>
      <c r="L2" s="1"/>
      <c r="M2" s="1"/>
      <c r="N2" s="1"/>
      <c r="O2" s="24"/>
      <c r="P2" s="1"/>
      <c r="Q2" s="24"/>
      <c r="R2" s="1"/>
      <c r="S2" s="1"/>
      <c r="T2" s="1"/>
      <c r="U2" s="1"/>
      <c r="V2" s="24"/>
      <c r="W2" s="1"/>
      <c r="X2" s="24"/>
      <c r="Y2" s="1"/>
    </row>
    <row r="3" spans="1:31" ht="13.5" customHeight="1" x14ac:dyDescent="0.3">
      <c r="B3" s="1"/>
      <c r="C3" s="1"/>
      <c r="D3" s="1"/>
      <c r="E3" s="1"/>
      <c r="F3" s="1"/>
      <c r="G3" s="1"/>
      <c r="H3" s="24"/>
      <c r="I3" s="1"/>
      <c r="J3" s="24"/>
      <c r="K3" s="1"/>
      <c r="L3" s="283"/>
      <c r="M3" s="283"/>
      <c r="N3" s="283"/>
      <c r="O3" s="283"/>
      <c r="P3" s="283"/>
      <c r="Q3" s="283"/>
      <c r="R3" s="283"/>
      <c r="S3" s="283"/>
      <c r="T3" s="1"/>
      <c r="U3" s="1"/>
      <c r="V3" s="24"/>
      <c r="W3" s="1"/>
      <c r="X3" s="24"/>
      <c r="Y3" s="1"/>
    </row>
    <row r="4" spans="1:31" ht="15.75" customHeight="1" x14ac:dyDescent="0.3">
      <c r="B4" s="278" t="s">
        <v>13</v>
      </c>
      <c r="C4" s="278"/>
      <c r="D4" s="16"/>
      <c r="E4" s="16"/>
      <c r="G4" s="18"/>
      <c r="H4" s="18"/>
      <c r="I4" s="18"/>
      <c r="J4" s="18"/>
      <c r="K4" s="18"/>
      <c r="L4" s="18" t="s">
        <v>31</v>
      </c>
      <c r="M4" s="18"/>
      <c r="N4" s="18"/>
      <c r="O4" s="18"/>
      <c r="P4" s="18"/>
      <c r="Q4" s="18"/>
      <c r="R4" s="18"/>
      <c r="S4" s="18"/>
      <c r="T4" s="15"/>
      <c r="U4" s="15"/>
      <c r="V4" s="15"/>
      <c r="W4" s="15"/>
      <c r="X4" s="15"/>
      <c r="Y4" s="279" t="s">
        <v>139</v>
      </c>
      <c r="Z4" s="279"/>
      <c r="AA4" s="279"/>
      <c r="AB4" s="279"/>
      <c r="AC4" s="279"/>
      <c r="AD4" s="279"/>
      <c r="AE4" s="279"/>
    </row>
    <row r="5" spans="1:31" ht="6.75" customHeight="1" x14ac:dyDescent="0.3">
      <c r="B5" s="16"/>
      <c r="C5" s="16"/>
      <c r="D5" s="16"/>
      <c r="E5" s="16"/>
      <c r="F5" s="16"/>
      <c r="G5" s="16"/>
      <c r="H5" s="22"/>
      <c r="I5" s="16"/>
      <c r="J5" s="22"/>
      <c r="K5" s="16"/>
      <c r="L5" s="16"/>
      <c r="M5" s="16"/>
      <c r="N5" s="16"/>
      <c r="O5" s="22"/>
      <c r="P5" s="16"/>
      <c r="Q5" s="22"/>
      <c r="R5" s="16"/>
      <c r="S5" s="16"/>
      <c r="T5" s="15"/>
      <c r="U5" s="15"/>
      <c r="V5" s="15"/>
      <c r="W5" s="15"/>
      <c r="X5" s="15"/>
      <c r="Y5" s="17"/>
      <c r="Z5" s="17"/>
      <c r="AA5" s="17"/>
      <c r="AB5" s="17"/>
      <c r="AC5" s="17"/>
      <c r="AD5" s="17"/>
      <c r="AE5" s="17"/>
    </row>
    <row r="6" spans="1:31" ht="16.2" customHeight="1" x14ac:dyDescent="0.3">
      <c r="B6" s="278" t="s">
        <v>19</v>
      </c>
      <c r="C6" s="278"/>
      <c r="D6" s="16"/>
      <c r="E6" s="16"/>
      <c r="L6" s="18" t="s">
        <v>91</v>
      </c>
      <c r="M6" s="18"/>
      <c r="N6" s="18"/>
      <c r="O6" s="18"/>
      <c r="P6" s="18"/>
      <c r="Q6" s="18"/>
      <c r="R6" s="18"/>
      <c r="S6" s="18"/>
      <c r="T6" s="18"/>
      <c r="U6" s="15"/>
      <c r="V6" s="15"/>
      <c r="W6" s="15"/>
      <c r="X6" s="15"/>
      <c r="Y6" s="279" t="s">
        <v>43</v>
      </c>
      <c r="Z6" s="279"/>
      <c r="AA6" s="279"/>
      <c r="AB6" s="279"/>
      <c r="AC6" s="279"/>
      <c r="AD6" s="279"/>
      <c r="AE6" s="279"/>
    </row>
    <row r="7" spans="1:31" ht="28.5" customHeight="1" thickBot="1" x14ac:dyDescent="0.85">
      <c r="B7" s="285" t="s">
        <v>25</v>
      </c>
      <c r="C7" s="285"/>
      <c r="D7" s="285"/>
      <c r="E7" s="285"/>
      <c r="F7" s="285"/>
      <c r="G7" s="285"/>
      <c r="H7" s="285"/>
      <c r="I7" s="285"/>
      <c r="J7" s="285"/>
      <c r="K7" s="285"/>
      <c r="L7" s="285"/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5"/>
      <c r="AB7" s="285"/>
      <c r="AC7" s="285"/>
      <c r="AD7" s="285"/>
      <c r="AE7" s="285"/>
    </row>
    <row r="8" spans="1:31" ht="21" customHeight="1" thickTop="1" x14ac:dyDescent="0.3">
      <c r="B8" s="286" t="s">
        <v>16</v>
      </c>
      <c r="C8" s="288" t="s">
        <v>0</v>
      </c>
      <c r="D8" s="290" t="s">
        <v>15</v>
      </c>
      <c r="E8" s="291"/>
      <c r="F8" s="292" t="s">
        <v>22</v>
      </c>
      <c r="G8" s="293"/>
      <c r="H8" s="293"/>
      <c r="I8" s="293"/>
      <c r="J8" s="293"/>
      <c r="K8" s="294"/>
      <c r="L8" s="295" t="s">
        <v>3</v>
      </c>
      <c r="M8" s="292" t="s">
        <v>23</v>
      </c>
      <c r="N8" s="293"/>
      <c r="O8" s="293"/>
      <c r="P8" s="293"/>
      <c r="Q8" s="293"/>
      <c r="R8" s="294"/>
      <c r="S8" s="295" t="s">
        <v>3</v>
      </c>
      <c r="T8" s="292" t="s">
        <v>24</v>
      </c>
      <c r="U8" s="293"/>
      <c r="V8" s="293"/>
      <c r="W8" s="293"/>
      <c r="X8" s="293"/>
      <c r="Y8" s="294"/>
      <c r="Z8" s="297" t="s">
        <v>1</v>
      </c>
      <c r="AA8" s="299" t="s">
        <v>39</v>
      </c>
      <c r="AB8" s="301" t="s">
        <v>20</v>
      </c>
      <c r="AC8" s="303" t="s">
        <v>40</v>
      </c>
      <c r="AD8" s="305" t="s">
        <v>2</v>
      </c>
      <c r="AE8" s="307" t="s">
        <v>3</v>
      </c>
    </row>
    <row r="9" spans="1:31" ht="16.5" customHeight="1" thickBot="1" x14ac:dyDescent="0.35">
      <c r="B9" s="287"/>
      <c r="C9" s="289"/>
      <c r="D9" s="43" t="s">
        <v>17</v>
      </c>
      <c r="E9" s="36" t="s">
        <v>18</v>
      </c>
      <c r="F9" s="53" t="s">
        <v>4</v>
      </c>
      <c r="G9" s="33" t="s">
        <v>5</v>
      </c>
      <c r="H9" s="33" t="s">
        <v>37</v>
      </c>
      <c r="I9" s="33" t="s">
        <v>6</v>
      </c>
      <c r="J9" s="33" t="s">
        <v>38</v>
      </c>
      <c r="K9" s="54" t="s">
        <v>7</v>
      </c>
      <c r="L9" s="296"/>
      <c r="M9" s="53" t="s">
        <v>4</v>
      </c>
      <c r="N9" s="33" t="s">
        <v>5</v>
      </c>
      <c r="O9" s="33" t="s">
        <v>37</v>
      </c>
      <c r="P9" s="33" t="s">
        <v>6</v>
      </c>
      <c r="Q9" s="33" t="s">
        <v>38</v>
      </c>
      <c r="R9" s="54" t="s">
        <v>8</v>
      </c>
      <c r="S9" s="296"/>
      <c r="T9" s="53" t="s">
        <v>4</v>
      </c>
      <c r="U9" s="33" t="s">
        <v>5</v>
      </c>
      <c r="V9" s="33" t="s">
        <v>37</v>
      </c>
      <c r="W9" s="33" t="s">
        <v>6</v>
      </c>
      <c r="X9" s="33" t="s">
        <v>38</v>
      </c>
      <c r="Y9" s="54" t="s">
        <v>9</v>
      </c>
      <c r="Z9" s="298"/>
      <c r="AA9" s="300"/>
      <c r="AB9" s="302"/>
      <c r="AC9" s="304"/>
      <c r="AD9" s="306"/>
      <c r="AE9" s="308"/>
    </row>
    <row r="10" spans="1:31" ht="15.75" customHeight="1" thickTop="1" x14ac:dyDescent="0.3">
      <c r="B10" s="34">
        <v>1</v>
      </c>
      <c r="C10" s="196" t="s">
        <v>99</v>
      </c>
      <c r="D10" s="44"/>
      <c r="E10" s="37"/>
      <c r="F10" s="58">
        <v>4</v>
      </c>
      <c r="G10" s="31">
        <v>0</v>
      </c>
      <c r="H10" s="31"/>
      <c r="I10" s="32">
        <v>7</v>
      </c>
      <c r="J10" s="32"/>
      <c r="K10" s="55">
        <f t="shared" ref="K10:K23" si="0">AVERAGE(F10,MAX(G10:H10),MAX(I10:J10))</f>
        <v>3.6666666666666665</v>
      </c>
      <c r="L10" s="165" t="str">
        <f>IF(K10&gt;=10,"TRANSITA","N/TRANSITA")</f>
        <v>N/TRANSITA</v>
      </c>
      <c r="M10" s="58">
        <v>4</v>
      </c>
      <c r="N10" s="31">
        <v>15.5</v>
      </c>
      <c r="O10" s="31"/>
      <c r="P10" s="32">
        <v>10</v>
      </c>
      <c r="Q10" s="32"/>
      <c r="R10" s="55">
        <f>AVERAGE(M10,MAX(N10:O10),MAX(P10:Q10))</f>
        <v>9.8333333333333339</v>
      </c>
      <c r="S10" s="165" t="str">
        <f>IF(R10&gt;=10,"TRANSITA","N/TRANSITA")</f>
        <v>N/TRANSITA</v>
      </c>
      <c r="T10" s="58"/>
      <c r="U10" s="31"/>
      <c r="V10" s="31"/>
      <c r="W10" s="32" t="e">
        <f>AVERAGE(T10:U10)</f>
        <v>#DIV/0!</v>
      </c>
      <c r="X10" s="32"/>
      <c r="Y10" s="55" t="e">
        <f>AVERAGE(T10,MAX(U10:V10),MAX(W10:X10))</f>
        <v>#DIV/0!</v>
      </c>
      <c r="Z10" s="47" t="e">
        <f t="shared" ref="Z10:Z51" si="1">SUM(K10,R10,Y10)/3</f>
        <v>#DIV/0!</v>
      </c>
      <c r="AA10" s="40" t="e">
        <f>Z10*0.4</f>
        <v>#DIV/0!</v>
      </c>
      <c r="AB10" s="61"/>
      <c r="AC10" s="50">
        <f>AB10*0.6</f>
        <v>0</v>
      </c>
      <c r="AD10" s="64" t="e">
        <f>AVERAGE(AA10+AC10)</f>
        <v>#DIV/0!</v>
      </c>
      <c r="AE10" s="163" t="e">
        <f>IF(AD10&gt;=10,"APROVADO/A","REPROVADO/A")</f>
        <v>#DIV/0!</v>
      </c>
    </row>
    <row r="11" spans="1:31" ht="15.75" customHeight="1" x14ac:dyDescent="0.3">
      <c r="B11" s="35">
        <v>2</v>
      </c>
      <c r="C11" s="197" t="s">
        <v>100</v>
      </c>
      <c r="D11" s="45"/>
      <c r="E11" s="38"/>
      <c r="F11" s="59">
        <v>11</v>
      </c>
      <c r="G11" s="27">
        <v>5</v>
      </c>
      <c r="H11" s="27"/>
      <c r="I11" s="32">
        <v>17</v>
      </c>
      <c r="J11" s="28"/>
      <c r="K11" s="56">
        <f t="shared" si="0"/>
        <v>11</v>
      </c>
      <c r="L11" s="166" t="str">
        <f t="shared" ref="L11:L51" si="2">IF(K11&gt;=10,"TRANSITA","N/TRANSITA")</f>
        <v>TRANSITA</v>
      </c>
      <c r="M11" s="58">
        <v>14.3</v>
      </c>
      <c r="N11" s="31">
        <v>14</v>
      </c>
      <c r="O11" s="31"/>
      <c r="P11" s="32">
        <v>15</v>
      </c>
      <c r="Q11" s="28"/>
      <c r="R11" s="56">
        <f t="shared" ref="R11:R51" si="3">AVERAGE(M11,MAX(N11:O11),MAX(P11:Q11))</f>
        <v>14.433333333333332</v>
      </c>
      <c r="S11" s="166" t="str">
        <f t="shared" ref="S11:S51" si="4">IF(R11&gt;=10,"TRANSITA","N/TRANSITA")</f>
        <v>TRANSITA</v>
      </c>
      <c r="T11" s="58"/>
      <c r="U11" s="31"/>
      <c r="V11" s="27"/>
      <c r="W11" s="32" t="e">
        <f t="shared" ref="W11:W51" si="5">AVERAGE(T11:U11)</f>
        <v>#DIV/0!</v>
      </c>
      <c r="X11" s="28"/>
      <c r="Y11" s="56" t="e">
        <f t="shared" ref="Y11:Y51" si="6">AVERAGE(T11,MAX(U11:V11),MAX(W11:X11))</f>
        <v>#DIV/0!</v>
      </c>
      <c r="Z11" s="48" t="e">
        <f t="shared" si="1"/>
        <v>#DIV/0!</v>
      </c>
      <c r="AA11" s="41" t="e">
        <f t="shared" ref="AA11:AA51" si="7">Z11*0.4</f>
        <v>#DIV/0!</v>
      </c>
      <c r="AB11" s="61"/>
      <c r="AC11" s="51">
        <f t="shared" ref="AC11" si="8">AB11*0.6</f>
        <v>0</v>
      </c>
      <c r="AD11" s="65" t="e">
        <f t="shared" ref="AD11" si="9">AVERAGE(AA11+AC11)</f>
        <v>#DIV/0!</v>
      </c>
      <c r="AE11" s="162" t="e">
        <f t="shared" ref="AE11:AE51" si="10">IF(AD11&gt;=10,"APROVADO/A","REPROVADO/A")</f>
        <v>#DIV/0!</v>
      </c>
    </row>
    <row r="12" spans="1:31" ht="15.75" customHeight="1" x14ac:dyDescent="0.3">
      <c r="B12" s="35">
        <v>3</v>
      </c>
      <c r="C12" s="197" t="s">
        <v>101</v>
      </c>
      <c r="D12" s="45"/>
      <c r="E12" s="38"/>
      <c r="F12" s="59">
        <v>11</v>
      </c>
      <c r="G12" s="27">
        <v>7</v>
      </c>
      <c r="H12" s="27"/>
      <c r="I12" s="32">
        <v>16.5</v>
      </c>
      <c r="J12" s="28"/>
      <c r="K12" s="56">
        <f t="shared" si="0"/>
        <v>11.5</v>
      </c>
      <c r="L12" s="166" t="str">
        <f t="shared" si="2"/>
        <v>TRANSITA</v>
      </c>
      <c r="M12" s="58">
        <v>8.3000000000000007</v>
      </c>
      <c r="N12" s="31">
        <v>16</v>
      </c>
      <c r="O12" s="31"/>
      <c r="P12" s="32">
        <v>15</v>
      </c>
      <c r="Q12" s="28"/>
      <c r="R12" s="56">
        <f t="shared" si="3"/>
        <v>13.1</v>
      </c>
      <c r="S12" s="166" t="str">
        <f t="shared" si="4"/>
        <v>TRANSITA</v>
      </c>
      <c r="T12" s="58"/>
      <c r="U12" s="31"/>
      <c r="V12" s="27"/>
      <c r="W12" s="32" t="e">
        <f t="shared" si="5"/>
        <v>#DIV/0!</v>
      </c>
      <c r="X12" s="28"/>
      <c r="Y12" s="56" t="e">
        <f t="shared" si="6"/>
        <v>#DIV/0!</v>
      </c>
      <c r="Z12" s="48" t="e">
        <f t="shared" si="1"/>
        <v>#DIV/0!</v>
      </c>
      <c r="AA12" s="41" t="e">
        <f t="shared" si="7"/>
        <v>#DIV/0!</v>
      </c>
      <c r="AB12" s="61"/>
      <c r="AC12" s="51">
        <f t="shared" ref="AC12:AC45" si="11">AB12*0.6</f>
        <v>0</v>
      </c>
      <c r="AD12" s="65" t="e">
        <f t="shared" ref="AD12:AD45" si="12">AVERAGE(AA12+AC12)</f>
        <v>#DIV/0!</v>
      </c>
      <c r="AE12" s="162" t="e">
        <f t="shared" si="10"/>
        <v>#DIV/0!</v>
      </c>
    </row>
    <row r="13" spans="1:31" ht="15.75" customHeight="1" x14ac:dyDescent="0.3">
      <c r="B13" s="35">
        <v>4</v>
      </c>
      <c r="C13" s="197" t="s">
        <v>102</v>
      </c>
      <c r="D13" s="45"/>
      <c r="E13" s="38"/>
      <c r="F13" s="59">
        <v>13.6</v>
      </c>
      <c r="G13" s="27">
        <v>8.5</v>
      </c>
      <c r="H13" s="27"/>
      <c r="I13" s="32">
        <v>16.5</v>
      </c>
      <c r="J13" s="28"/>
      <c r="K13" s="56">
        <f t="shared" si="0"/>
        <v>12.866666666666667</v>
      </c>
      <c r="L13" s="166" t="str">
        <f t="shared" si="2"/>
        <v>TRANSITA</v>
      </c>
      <c r="M13" s="58">
        <v>4</v>
      </c>
      <c r="N13" s="31">
        <v>18</v>
      </c>
      <c r="O13" s="31"/>
      <c r="P13" s="32">
        <v>14</v>
      </c>
      <c r="Q13" s="28"/>
      <c r="R13" s="56">
        <f t="shared" si="3"/>
        <v>12</v>
      </c>
      <c r="S13" s="166" t="str">
        <f t="shared" si="4"/>
        <v>TRANSITA</v>
      </c>
      <c r="T13" s="58"/>
      <c r="U13" s="31"/>
      <c r="V13" s="27"/>
      <c r="W13" s="32" t="e">
        <f t="shared" si="5"/>
        <v>#DIV/0!</v>
      </c>
      <c r="X13" s="28"/>
      <c r="Y13" s="56" t="e">
        <f t="shared" si="6"/>
        <v>#DIV/0!</v>
      </c>
      <c r="Z13" s="48" t="e">
        <f t="shared" si="1"/>
        <v>#DIV/0!</v>
      </c>
      <c r="AA13" s="41" t="e">
        <f t="shared" si="7"/>
        <v>#DIV/0!</v>
      </c>
      <c r="AB13" s="61"/>
      <c r="AC13" s="51">
        <f t="shared" si="11"/>
        <v>0</v>
      </c>
      <c r="AD13" s="65" t="e">
        <f t="shared" si="12"/>
        <v>#DIV/0!</v>
      </c>
      <c r="AE13" s="162" t="e">
        <f t="shared" si="10"/>
        <v>#DIV/0!</v>
      </c>
    </row>
    <row r="14" spans="1:31" ht="15.75" customHeight="1" x14ac:dyDescent="0.3">
      <c r="B14" s="35">
        <v>5</v>
      </c>
      <c r="C14" s="197" t="s">
        <v>103</v>
      </c>
      <c r="D14" s="45"/>
      <c r="E14" s="38"/>
      <c r="F14" s="59">
        <v>15.6</v>
      </c>
      <c r="G14" s="27">
        <v>13.5</v>
      </c>
      <c r="H14" s="27"/>
      <c r="I14" s="32">
        <v>19.5</v>
      </c>
      <c r="J14" s="28"/>
      <c r="K14" s="56">
        <f t="shared" si="0"/>
        <v>16.2</v>
      </c>
      <c r="L14" s="166" t="str">
        <f t="shared" si="2"/>
        <v>TRANSITA</v>
      </c>
      <c r="M14" s="58">
        <v>15</v>
      </c>
      <c r="N14" s="31">
        <v>19.5</v>
      </c>
      <c r="O14" s="31"/>
      <c r="P14" s="32">
        <v>18</v>
      </c>
      <c r="Q14" s="28"/>
      <c r="R14" s="56">
        <f t="shared" si="3"/>
        <v>17.5</v>
      </c>
      <c r="S14" s="166" t="str">
        <f t="shared" si="4"/>
        <v>TRANSITA</v>
      </c>
      <c r="T14" s="58"/>
      <c r="U14" s="31"/>
      <c r="V14" s="27"/>
      <c r="W14" s="32" t="e">
        <f t="shared" si="5"/>
        <v>#DIV/0!</v>
      </c>
      <c r="X14" s="28"/>
      <c r="Y14" s="56" t="e">
        <f t="shared" si="6"/>
        <v>#DIV/0!</v>
      </c>
      <c r="Z14" s="48" t="e">
        <f t="shared" si="1"/>
        <v>#DIV/0!</v>
      </c>
      <c r="AA14" s="41" t="e">
        <f t="shared" si="7"/>
        <v>#DIV/0!</v>
      </c>
      <c r="AB14" s="61"/>
      <c r="AC14" s="51">
        <f t="shared" si="11"/>
        <v>0</v>
      </c>
      <c r="AD14" s="65" t="e">
        <f t="shared" si="12"/>
        <v>#DIV/0!</v>
      </c>
      <c r="AE14" s="162" t="e">
        <f t="shared" si="10"/>
        <v>#DIV/0!</v>
      </c>
    </row>
    <row r="15" spans="1:31" ht="15.75" customHeight="1" x14ac:dyDescent="0.3">
      <c r="B15" s="35">
        <v>6</v>
      </c>
      <c r="C15" s="197" t="s">
        <v>104</v>
      </c>
      <c r="D15" s="45"/>
      <c r="E15" s="38"/>
      <c r="F15" s="149">
        <v>8</v>
      </c>
      <c r="G15" s="148">
        <v>11</v>
      </c>
      <c r="H15" s="148"/>
      <c r="I15" s="150">
        <v>14.6</v>
      </c>
      <c r="J15" s="151"/>
      <c r="K15" s="56">
        <f t="shared" si="0"/>
        <v>11.200000000000001</v>
      </c>
      <c r="L15" s="166" t="str">
        <f t="shared" si="2"/>
        <v>TRANSITA</v>
      </c>
      <c r="M15" s="58">
        <v>13</v>
      </c>
      <c r="N15" s="31">
        <v>16</v>
      </c>
      <c r="O15" s="31"/>
      <c r="P15" s="32">
        <v>14.5</v>
      </c>
      <c r="Q15" s="151"/>
      <c r="R15" s="56">
        <f t="shared" si="3"/>
        <v>14.5</v>
      </c>
      <c r="S15" s="166" t="str">
        <f t="shared" si="4"/>
        <v>TRANSITA</v>
      </c>
      <c r="T15" s="58"/>
      <c r="U15" s="31"/>
      <c r="V15" s="148"/>
      <c r="W15" s="32" t="e">
        <f t="shared" si="5"/>
        <v>#DIV/0!</v>
      </c>
      <c r="X15" s="151"/>
      <c r="Y15" s="56" t="e">
        <f t="shared" si="6"/>
        <v>#DIV/0!</v>
      </c>
      <c r="Z15" s="48" t="e">
        <f t="shared" si="1"/>
        <v>#DIV/0!</v>
      </c>
      <c r="AA15" s="41" t="e">
        <f t="shared" si="7"/>
        <v>#DIV/0!</v>
      </c>
      <c r="AB15" s="61"/>
      <c r="AC15" s="51">
        <f t="shared" si="11"/>
        <v>0</v>
      </c>
      <c r="AD15" s="65" t="e">
        <f t="shared" si="12"/>
        <v>#DIV/0!</v>
      </c>
      <c r="AE15" s="162" t="e">
        <f t="shared" si="10"/>
        <v>#DIV/0!</v>
      </c>
    </row>
    <row r="16" spans="1:31" ht="15.75" customHeight="1" x14ac:dyDescent="0.3">
      <c r="B16" s="35">
        <v>7</v>
      </c>
      <c r="C16" s="197" t="s">
        <v>105</v>
      </c>
      <c r="D16" s="45"/>
      <c r="E16" s="38"/>
      <c r="F16" s="59">
        <v>12.3</v>
      </c>
      <c r="G16" s="27">
        <v>10.5</v>
      </c>
      <c r="H16" s="27"/>
      <c r="I16" s="32">
        <v>18</v>
      </c>
      <c r="J16" s="28"/>
      <c r="K16" s="56">
        <f t="shared" si="0"/>
        <v>13.6</v>
      </c>
      <c r="L16" s="166" t="str">
        <f t="shared" si="2"/>
        <v>TRANSITA</v>
      </c>
      <c r="M16" s="58">
        <v>8.5</v>
      </c>
      <c r="N16" s="31">
        <v>19</v>
      </c>
      <c r="O16" s="31"/>
      <c r="P16" s="32">
        <v>14</v>
      </c>
      <c r="Q16" s="28"/>
      <c r="R16" s="56">
        <f t="shared" si="3"/>
        <v>13.833333333333334</v>
      </c>
      <c r="S16" s="166" t="str">
        <f t="shared" si="4"/>
        <v>TRANSITA</v>
      </c>
      <c r="T16" s="58"/>
      <c r="U16" s="31"/>
      <c r="V16" s="27"/>
      <c r="W16" s="32" t="e">
        <f t="shared" si="5"/>
        <v>#DIV/0!</v>
      </c>
      <c r="X16" s="28"/>
      <c r="Y16" s="56" t="e">
        <f t="shared" si="6"/>
        <v>#DIV/0!</v>
      </c>
      <c r="Z16" s="48" t="e">
        <f t="shared" si="1"/>
        <v>#DIV/0!</v>
      </c>
      <c r="AA16" s="41" t="e">
        <f t="shared" si="7"/>
        <v>#DIV/0!</v>
      </c>
      <c r="AB16" s="61"/>
      <c r="AC16" s="51">
        <f t="shared" si="11"/>
        <v>0</v>
      </c>
      <c r="AD16" s="65" t="e">
        <f t="shared" si="12"/>
        <v>#DIV/0!</v>
      </c>
      <c r="AE16" s="162" t="e">
        <f t="shared" si="10"/>
        <v>#DIV/0!</v>
      </c>
    </row>
    <row r="17" spans="2:31" ht="15.75" customHeight="1" x14ac:dyDescent="0.3">
      <c r="B17" s="35">
        <v>8</v>
      </c>
      <c r="C17" s="197" t="s">
        <v>106</v>
      </c>
      <c r="D17" s="45"/>
      <c r="E17" s="38"/>
      <c r="F17" s="59">
        <v>7.5</v>
      </c>
      <c r="G17" s="27">
        <v>8</v>
      </c>
      <c r="H17" s="27"/>
      <c r="I17" s="32">
        <v>12.5</v>
      </c>
      <c r="J17" s="28"/>
      <c r="K17" s="56">
        <f t="shared" si="0"/>
        <v>9.3333333333333339</v>
      </c>
      <c r="L17" s="166" t="str">
        <f t="shared" si="2"/>
        <v>N/TRANSITA</v>
      </c>
      <c r="M17" s="58">
        <v>4</v>
      </c>
      <c r="N17" s="31">
        <v>16.5</v>
      </c>
      <c r="O17" s="31"/>
      <c r="P17" s="32">
        <v>8.5</v>
      </c>
      <c r="Q17" s="28"/>
      <c r="R17" s="56">
        <f t="shared" si="3"/>
        <v>9.6666666666666661</v>
      </c>
      <c r="S17" s="166" t="str">
        <f t="shared" si="4"/>
        <v>N/TRANSITA</v>
      </c>
      <c r="T17" s="58"/>
      <c r="U17" s="31"/>
      <c r="V17" s="27"/>
      <c r="W17" s="32" t="e">
        <f t="shared" si="5"/>
        <v>#DIV/0!</v>
      </c>
      <c r="X17" s="28"/>
      <c r="Y17" s="56" t="e">
        <f t="shared" si="6"/>
        <v>#DIV/0!</v>
      </c>
      <c r="Z17" s="48" t="e">
        <f t="shared" si="1"/>
        <v>#DIV/0!</v>
      </c>
      <c r="AA17" s="41" t="e">
        <f t="shared" si="7"/>
        <v>#DIV/0!</v>
      </c>
      <c r="AB17" s="61"/>
      <c r="AC17" s="51">
        <f t="shared" si="11"/>
        <v>0</v>
      </c>
      <c r="AD17" s="65" t="e">
        <f t="shared" si="12"/>
        <v>#DIV/0!</v>
      </c>
      <c r="AE17" s="162" t="e">
        <f t="shared" si="10"/>
        <v>#DIV/0!</v>
      </c>
    </row>
    <row r="18" spans="2:31" ht="15.75" customHeight="1" x14ac:dyDescent="0.3">
      <c r="B18" s="35">
        <v>9</v>
      </c>
      <c r="C18" s="197" t="s">
        <v>144</v>
      </c>
      <c r="D18" s="45"/>
      <c r="E18" s="38"/>
      <c r="F18" s="59"/>
      <c r="G18" s="27"/>
      <c r="H18" s="27"/>
      <c r="I18" s="32">
        <v>4</v>
      </c>
      <c r="J18" s="28"/>
      <c r="K18" s="56">
        <f t="shared" si="0"/>
        <v>2</v>
      </c>
      <c r="L18" s="166" t="str">
        <f t="shared" si="2"/>
        <v>N/TRANSITA</v>
      </c>
      <c r="M18" s="58"/>
      <c r="N18" s="31"/>
      <c r="O18" s="31"/>
      <c r="P18" s="32">
        <v>12.5</v>
      </c>
      <c r="Q18" s="28"/>
      <c r="R18" s="56">
        <f t="shared" ref="R18" si="13">AVERAGE(M18,MAX(N18:O18),MAX(P18:Q18))</f>
        <v>6.25</v>
      </c>
      <c r="S18" s="166" t="str">
        <f t="shared" ref="S18" si="14">IF(R18&gt;=10,"TRANSITA","N/TRANSITA")</f>
        <v>N/TRANSITA</v>
      </c>
      <c r="T18" s="58"/>
      <c r="U18" s="31"/>
      <c r="V18" s="27"/>
      <c r="W18" s="32" t="e">
        <f t="shared" ref="W18" si="15">AVERAGE(T18:U18)</f>
        <v>#DIV/0!</v>
      </c>
      <c r="X18" s="28"/>
      <c r="Y18" s="56" t="e">
        <f t="shared" ref="Y18" si="16">AVERAGE(T18,MAX(U18:V18),MAX(W18:X18))</f>
        <v>#DIV/0!</v>
      </c>
      <c r="Z18" s="48" t="e">
        <f t="shared" ref="Z18" si="17">SUM(K18,R18,Y18)/3</f>
        <v>#DIV/0!</v>
      </c>
      <c r="AA18" s="41" t="e">
        <f t="shared" ref="AA18" si="18">Z18*0.4</f>
        <v>#DIV/0!</v>
      </c>
      <c r="AB18" s="61"/>
      <c r="AC18" s="51">
        <f t="shared" ref="AC18" si="19">AB18*0.6</f>
        <v>0</v>
      </c>
      <c r="AD18" s="65" t="e">
        <f t="shared" ref="AD18" si="20">AVERAGE(AA18+AC18)</f>
        <v>#DIV/0!</v>
      </c>
      <c r="AE18" s="162" t="e">
        <f t="shared" ref="AE18" si="21">IF(AD18&gt;=10,"APROVADO/A","REPROVADO/A")</f>
        <v>#DIV/0!</v>
      </c>
    </row>
    <row r="19" spans="2:31" ht="15.75" customHeight="1" x14ac:dyDescent="0.3">
      <c r="B19" s="35">
        <v>10</v>
      </c>
      <c r="C19" s="197" t="s">
        <v>107</v>
      </c>
      <c r="D19" s="45"/>
      <c r="E19" s="38"/>
      <c r="F19" s="59">
        <v>13.5</v>
      </c>
      <c r="G19" s="27">
        <v>13</v>
      </c>
      <c r="H19" s="27"/>
      <c r="I19" s="32">
        <v>14.5</v>
      </c>
      <c r="J19" s="28"/>
      <c r="K19" s="56">
        <f t="shared" si="0"/>
        <v>13.666666666666666</v>
      </c>
      <c r="L19" s="166" t="str">
        <f t="shared" si="2"/>
        <v>TRANSITA</v>
      </c>
      <c r="M19" s="58">
        <v>7.5</v>
      </c>
      <c r="N19" s="31">
        <v>16.5</v>
      </c>
      <c r="O19" s="31"/>
      <c r="P19" s="32">
        <v>13</v>
      </c>
      <c r="Q19" s="28"/>
      <c r="R19" s="56">
        <f t="shared" si="3"/>
        <v>12.333333333333334</v>
      </c>
      <c r="S19" s="166" t="str">
        <f t="shared" si="4"/>
        <v>TRANSITA</v>
      </c>
      <c r="T19" s="58"/>
      <c r="U19" s="31"/>
      <c r="V19" s="27"/>
      <c r="W19" s="32" t="e">
        <f t="shared" si="5"/>
        <v>#DIV/0!</v>
      </c>
      <c r="X19" s="28"/>
      <c r="Y19" s="56" t="e">
        <f t="shared" si="6"/>
        <v>#DIV/0!</v>
      </c>
      <c r="Z19" s="48" t="e">
        <f t="shared" si="1"/>
        <v>#DIV/0!</v>
      </c>
      <c r="AA19" s="41" t="e">
        <f t="shared" si="7"/>
        <v>#DIV/0!</v>
      </c>
      <c r="AB19" s="61"/>
      <c r="AC19" s="51">
        <f t="shared" si="11"/>
        <v>0</v>
      </c>
      <c r="AD19" s="65" t="e">
        <f t="shared" si="12"/>
        <v>#DIV/0!</v>
      </c>
      <c r="AE19" s="162" t="e">
        <f t="shared" si="10"/>
        <v>#DIV/0!</v>
      </c>
    </row>
    <row r="20" spans="2:31" ht="15.75" customHeight="1" x14ac:dyDescent="0.3">
      <c r="B20" s="35">
        <v>11</v>
      </c>
      <c r="C20" s="197" t="s">
        <v>108</v>
      </c>
      <c r="D20" s="45"/>
      <c r="E20" s="38"/>
      <c r="F20" s="59">
        <v>11</v>
      </c>
      <c r="G20" s="27">
        <v>15</v>
      </c>
      <c r="H20" s="27"/>
      <c r="I20" s="32">
        <v>18.5</v>
      </c>
      <c r="J20" s="28"/>
      <c r="K20" s="56">
        <f t="shared" si="0"/>
        <v>14.833333333333334</v>
      </c>
      <c r="L20" s="166" t="str">
        <f t="shared" si="2"/>
        <v>TRANSITA</v>
      </c>
      <c r="M20" s="58">
        <v>7.2</v>
      </c>
      <c r="N20" s="31">
        <v>16.5</v>
      </c>
      <c r="O20" s="31"/>
      <c r="P20" s="32">
        <v>14</v>
      </c>
      <c r="Q20" s="28"/>
      <c r="R20" s="56">
        <f t="shared" si="3"/>
        <v>12.566666666666668</v>
      </c>
      <c r="S20" s="166" t="str">
        <f t="shared" si="4"/>
        <v>TRANSITA</v>
      </c>
      <c r="T20" s="58"/>
      <c r="U20" s="31"/>
      <c r="V20" s="27"/>
      <c r="W20" s="32" t="e">
        <f t="shared" si="5"/>
        <v>#DIV/0!</v>
      </c>
      <c r="X20" s="28"/>
      <c r="Y20" s="56" t="e">
        <f t="shared" si="6"/>
        <v>#DIV/0!</v>
      </c>
      <c r="Z20" s="48" t="e">
        <f t="shared" si="1"/>
        <v>#DIV/0!</v>
      </c>
      <c r="AA20" s="41" t="e">
        <f t="shared" si="7"/>
        <v>#DIV/0!</v>
      </c>
      <c r="AB20" s="61"/>
      <c r="AC20" s="51">
        <f t="shared" ref="AC20" si="22">AB20*0.6</f>
        <v>0</v>
      </c>
      <c r="AD20" s="65" t="e">
        <f t="shared" ref="AD20" si="23">AVERAGE(AA20+AC20)</f>
        <v>#DIV/0!</v>
      </c>
      <c r="AE20" s="162" t="e">
        <f t="shared" si="10"/>
        <v>#DIV/0!</v>
      </c>
    </row>
    <row r="21" spans="2:31" ht="15.75" customHeight="1" x14ac:dyDescent="0.3">
      <c r="B21" s="35">
        <v>12</v>
      </c>
      <c r="C21" s="197" t="s">
        <v>109</v>
      </c>
      <c r="D21" s="45"/>
      <c r="E21" s="38"/>
      <c r="F21" s="149">
        <v>12</v>
      </c>
      <c r="G21" s="148">
        <v>11</v>
      </c>
      <c r="H21" s="148"/>
      <c r="I21" s="150">
        <v>19.5</v>
      </c>
      <c r="J21" s="151"/>
      <c r="K21" s="56">
        <f t="shared" si="0"/>
        <v>14.166666666666666</v>
      </c>
      <c r="L21" s="166" t="str">
        <f t="shared" si="2"/>
        <v>TRANSITA</v>
      </c>
      <c r="M21" s="58">
        <v>16</v>
      </c>
      <c r="N21" s="31">
        <v>17</v>
      </c>
      <c r="O21" s="31"/>
      <c r="P21" s="32">
        <v>17</v>
      </c>
      <c r="Q21" s="151"/>
      <c r="R21" s="56">
        <f t="shared" si="3"/>
        <v>16.666666666666668</v>
      </c>
      <c r="S21" s="166" t="str">
        <f t="shared" si="4"/>
        <v>TRANSITA</v>
      </c>
      <c r="T21" s="58"/>
      <c r="U21" s="31"/>
      <c r="V21" s="148"/>
      <c r="W21" s="32" t="e">
        <f t="shared" si="5"/>
        <v>#DIV/0!</v>
      </c>
      <c r="X21" s="151"/>
      <c r="Y21" s="56" t="e">
        <f t="shared" si="6"/>
        <v>#DIV/0!</v>
      </c>
      <c r="Z21" s="48" t="e">
        <f t="shared" si="1"/>
        <v>#DIV/0!</v>
      </c>
      <c r="AA21" s="41" t="e">
        <f t="shared" si="7"/>
        <v>#DIV/0!</v>
      </c>
      <c r="AB21" s="61"/>
      <c r="AC21" s="51">
        <f t="shared" ref="AC21" si="24">AB21*0.6</f>
        <v>0</v>
      </c>
      <c r="AD21" s="65" t="e">
        <f t="shared" ref="AD21" si="25">AVERAGE(AA21+AC21)</f>
        <v>#DIV/0!</v>
      </c>
      <c r="AE21" s="162" t="e">
        <f t="shared" si="10"/>
        <v>#DIV/0!</v>
      </c>
    </row>
    <row r="22" spans="2:31" ht="15.75" customHeight="1" x14ac:dyDescent="0.3">
      <c r="B22" s="35">
        <v>13</v>
      </c>
      <c r="C22" s="197" t="s">
        <v>110</v>
      </c>
      <c r="D22" s="45"/>
      <c r="E22" s="38"/>
      <c r="F22" s="59">
        <v>10</v>
      </c>
      <c r="G22" s="27">
        <v>3</v>
      </c>
      <c r="H22" s="27"/>
      <c r="I22" s="32">
        <v>19</v>
      </c>
      <c r="J22" s="28"/>
      <c r="K22" s="56">
        <f t="shared" si="0"/>
        <v>10.666666666666666</v>
      </c>
      <c r="L22" s="166" t="str">
        <f t="shared" si="2"/>
        <v>TRANSITA</v>
      </c>
      <c r="M22" s="58">
        <v>13.6</v>
      </c>
      <c r="N22" s="31">
        <v>17.5</v>
      </c>
      <c r="O22" s="31"/>
      <c r="P22" s="32">
        <v>12.5</v>
      </c>
      <c r="Q22" s="28"/>
      <c r="R22" s="56">
        <f t="shared" si="3"/>
        <v>14.533333333333333</v>
      </c>
      <c r="S22" s="166" t="str">
        <f t="shared" si="4"/>
        <v>TRANSITA</v>
      </c>
      <c r="T22" s="58"/>
      <c r="U22" s="31"/>
      <c r="V22" s="27"/>
      <c r="W22" s="32" t="e">
        <f t="shared" si="5"/>
        <v>#DIV/0!</v>
      </c>
      <c r="X22" s="28"/>
      <c r="Y22" s="56" t="e">
        <f t="shared" si="6"/>
        <v>#DIV/0!</v>
      </c>
      <c r="Z22" s="48" t="e">
        <f t="shared" si="1"/>
        <v>#DIV/0!</v>
      </c>
      <c r="AA22" s="41" t="e">
        <f t="shared" si="7"/>
        <v>#DIV/0!</v>
      </c>
      <c r="AB22" s="61"/>
      <c r="AC22" s="51">
        <f t="shared" si="11"/>
        <v>0</v>
      </c>
      <c r="AD22" s="65" t="e">
        <f t="shared" si="12"/>
        <v>#DIV/0!</v>
      </c>
      <c r="AE22" s="162" t="e">
        <f t="shared" si="10"/>
        <v>#DIV/0!</v>
      </c>
    </row>
    <row r="23" spans="2:31" ht="15.75" customHeight="1" x14ac:dyDescent="0.3">
      <c r="B23" s="35">
        <v>14</v>
      </c>
      <c r="C23" s="197" t="s">
        <v>111</v>
      </c>
      <c r="D23" s="45"/>
      <c r="E23" s="38"/>
      <c r="F23" s="59">
        <v>10</v>
      </c>
      <c r="G23" s="27">
        <v>6</v>
      </c>
      <c r="H23" s="27"/>
      <c r="I23" s="32">
        <v>16.5</v>
      </c>
      <c r="J23" s="28"/>
      <c r="K23" s="56">
        <f t="shared" si="0"/>
        <v>10.833333333333334</v>
      </c>
      <c r="L23" s="166" t="str">
        <f t="shared" si="2"/>
        <v>TRANSITA</v>
      </c>
      <c r="M23" s="58">
        <v>5</v>
      </c>
      <c r="N23" s="31">
        <v>16</v>
      </c>
      <c r="O23" s="31"/>
      <c r="P23" s="32">
        <v>15.5</v>
      </c>
      <c r="Q23" s="28"/>
      <c r="R23" s="56">
        <f t="shared" si="3"/>
        <v>12.166666666666666</v>
      </c>
      <c r="S23" s="166" t="str">
        <f t="shared" si="4"/>
        <v>TRANSITA</v>
      </c>
      <c r="T23" s="58"/>
      <c r="U23" s="31"/>
      <c r="V23" s="27"/>
      <c r="W23" s="32" t="e">
        <f t="shared" si="5"/>
        <v>#DIV/0!</v>
      </c>
      <c r="X23" s="28"/>
      <c r="Y23" s="56" t="e">
        <f t="shared" si="6"/>
        <v>#DIV/0!</v>
      </c>
      <c r="Z23" s="48" t="e">
        <f t="shared" si="1"/>
        <v>#DIV/0!</v>
      </c>
      <c r="AA23" s="41" t="e">
        <f t="shared" si="7"/>
        <v>#DIV/0!</v>
      </c>
      <c r="AB23" s="61"/>
      <c r="AC23" s="51">
        <f t="shared" si="11"/>
        <v>0</v>
      </c>
      <c r="AD23" s="65" t="e">
        <f t="shared" si="12"/>
        <v>#DIV/0!</v>
      </c>
      <c r="AE23" s="162" t="e">
        <f t="shared" si="10"/>
        <v>#DIV/0!</v>
      </c>
    </row>
    <row r="24" spans="2:31" ht="15.75" customHeight="1" x14ac:dyDescent="0.3">
      <c r="B24" s="35">
        <v>15</v>
      </c>
      <c r="C24" s="197" t="s">
        <v>112</v>
      </c>
      <c r="D24" s="45"/>
      <c r="E24" s="38"/>
      <c r="F24" s="59">
        <v>13</v>
      </c>
      <c r="G24" s="27">
        <v>13.5</v>
      </c>
      <c r="H24" s="27"/>
      <c r="I24" s="32">
        <v>19.5</v>
      </c>
      <c r="J24" s="28"/>
      <c r="K24" s="56">
        <f>AVERAGE(F24,MAX(G24:H24),MAX(I24:J24))</f>
        <v>15.333333333333334</v>
      </c>
      <c r="L24" s="166" t="str">
        <f t="shared" si="2"/>
        <v>TRANSITA</v>
      </c>
      <c r="M24" s="58">
        <v>10.7</v>
      </c>
      <c r="N24" s="31">
        <v>19</v>
      </c>
      <c r="O24" s="31"/>
      <c r="P24" s="32">
        <v>14</v>
      </c>
      <c r="Q24" s="28"/>
      <c r="R24" s="56">
        <f t="shared" si="3"/>
        <v>14.566666666666668</v>
      </c>
      <c r="S24" s="166" t="str">
        <f t="shared" si="4"/>
        <v>TRANSITA</v>
      </c>
      <c r="T24" s="58"/>
      <c r="U24" s="31"/>
      <c r="V24" s="27"/>
      <c r="W24" s="32" t="e">
        <f t="shared" si="5"/>
        <v>#DIV/0!</v>
      </c>
      <c r="X24" s="28"/>
      <c r="Y24" s="56" t="e">
        <f t="shared" si="6"/>
        <v>#DIV/0!</v>
      </c>
      <c r="Z24" s="48" t="e">
        <f t="shared" si="1"/>
        <v>#DIV/0!</v>
      </c>
      <c r="AA24" s="41" t="e">
        <f t="shared" si="7"/>
        <v>#DIV/0!</v>
      </c>
      <c r="AB24" s="61"/>
      <c r="AC24" s="51">
        <f t="shared" si="11"/>
        <v>0</v>
      </c>
      <c r="AD24" s="65" t="e">
        <f t="shared" si="12"/>
        <v>#DIV/0!</v>
      </c>
      <c r="AE24" s="162" t="e">
        <f t="shared" si="10"/>
        <v>#DIV/0!</v>
      </c>
    </row>
    <row r="25" spans="2:31" ht="15.75" customHeight="1" x14ac:dyDescent="0.3">
      <c r="B25" s="35">
        <v>16</v>
      </c>
      <c r="C25" s="197" t="s">
        <v>113</v>
      </c>
      <c r="D25" s="45"/>
      <c r="E25" s="38"/>
      <c r="F25" s="59">
        <v>11.6</v>
      </c>
      <c r="G25" s="27">
        <v>3</v>
      </c>
      <c r="H25" s="27"/>
      <c r="I25" s="32">
        <v>17.5</v>
      </c>
      <c r="J25" s="28"/>
      <c r="K25" s="56">
        <f t="shared" ref="K25:K51" si="26">AVERAGE(F25,MAX(G25:H25),MAX(I25:J25))</f>
        <v>10.700000000000001</v>
      </c>
      <c r="L25" s="166" t="str">
        <f t="shared" si="2"/>
        <v>TRANSITA</v>
      </c>
      <c r="M25" s="58">
        <v>10</v>
      </c>
      <c r="N25" s="31">
        <v>19.5</v>
      </c>
      <c r="O25" s="31"/>
      <c r="P25" s="32">
        <v>9.5</v>
      </c>
      <c r="Q25" s="28"/>
      <c r="R25" s="56">
        <f t="shared" si="3"/>
        <v>13</v>
      </c>
      <c r="S25" s="166" t="str">
        <f t="shared" si="4"/>
        <v>TRANSITA</v>
      </c>
      <c r="T25" s="58"/>
      <c r="U25" s="31"/>
      <c r="V25" s="27"/>
      <c r="W25" s="32" t="e">
        <f t="shared" si="5"/>
        <v>#DIV/0!</v>
      </c>
      <c r="X25" s="28"/>
      <c r="Y25" s="56" t="e">
        <f>AVERAGE(T25,MAX(U25:V25),MAX(W25:X25))</f>
        <v>#DIV/0!</v>
      </c>
      <c r="Z25" s="48" t="e">
        <f t="shared" si="1"/>
        <v>#DIV/0!</v>
      </c>
      <c r="AA25" s="41" t="e">
        <f t="shared" si="7"/>
        <v>#DIV/0!</v>
      </c>
      <c r="AB25" s="61"/>
      <c r="AC25" s="51">
        <f t="shared" si="11"/>
        <v>0</v>
      </c>
      <c r="AD25" s="65" t="e">
        <f t="shared" si="12"/>
        <v>#DIV/0!</v>
      </c>
      <c r="AE25" s="162" t="e">
        <f t="shared" si="10"/>
        <v>#DIV/0!</v>
      </c>
    </row>
    <row r="26" spans="2:31" ht="15.75" customHeight="1" x14ac:dyDescent="0.3">
      <c r="B26" s="35">
        <v>17</v>
      </c>
      <c r="C26" s="197" t="s">
        <v>114</v>
      </c>
      <c r="D26" s="45"/>
      <c r="E26" s="38"/>
      <c r="F26" s="59">
        <v>13</v>
      </c>
      <c r="G26" s="27">
        <v>2.5</v>
      </c>
      <c r="H26" s="27"/>
      <c r="I26" s="32">
        <v>18.5</v>
      </c>
      <c r="J26" s="28"/>
      <c r="K26" s="56">
        <f t="shared" si="26"/>
        <v>11.333333333333334</v>
      </c>
      <c r="L26" s="166" t="str">
        <f t="shared" si="2"/>
        <v>TRANSITA</v>
      </c>
      <c r="M26" s="58">
        <v>12.6</v>
      </c>
      <c r="N26" s="31">
        <v>18.5</v>
      </c>
      <c r="O26" s="31"/>
      <c r="P26" s="32">
        <v>10.5</v>
      </c>
      <c r="Q26" s="28"/>
      <c r="R26" s="56">
        <f t="shared" si="3"/>
        <v>13.866666666666667</v>
      </c>
      <c r="S26" s="166" t="str">
        <f t="shared" si="4"/>
        <v>TRANSITA</v>
      </c>
      <c r="T26" s="58"/>
      <c r="U26" s="31"/>
      <c r="V26" s="27"/>
      <c r="W26" s="32" t="e">
        <f t="shared" si="5"/>
        <v>#DIV/0!</v>
      </c>
      <c r="X26" s="28"/>
      <c r="Y26" s="56" t="e">
        <f t="shared" ref="Y26:Y39" si="27">AVERAGE(T26,MAX(U26:V26),MAX(W26:X26))</f>
        <v>#DIV/0!</v>
      </c>
      <c r="Z26" s="48" t="e">
        <f t="shared" si="1"/>
        <v>#DIV/0!</v>
      </c>
      <c r="AA26" s="41" t="e">
        <f t="shared" si="7"/>
        <v>#DIV/0!</v>
      </c>
      <c r="AB26" s="61"/>
      <c r="AC26" s="51">
        <f t="shared" ref="AC26:AC39" si="28">AB26*0.6</f>
        <v>0</v>
      </c>
      <c r="AD26" s="65" t="e">
        <f t="shared" ref="AD26:AD39" si="29">AVERAGE(AA26+AC26)</f>
        <v>#DIV/0!</v>
      </c>
      <c r="AE26" s="162" t="e">
        <f t="shared" si="10"/>
        <v>#DIV/0!</v>
      </c>
    </row>
    <row r="27" spans="2:31" ht="15.75" customHeight="1" x14ac:dyDescent="0.3">
      <c r="B27" s="35">
        <v>18</v>
      </c>
      <c r="C27" s="197" t="s">
        <v>115</v>
      </c>
      <c r="D27" s="45"/>
      <c r="E27" s="38"/>
      <c r="F27" s="59">
        <v>11.3</v>
      </c>
      <c r="G27" s="27">
        <v>8</v>
      </c>
      <c r="H27" s="27"/>
      <c r="I27" s="32">
        <v>17.5</v>
      </c>
      <c r="J27" s="28"/>
      <c r="K27" s="56">
        <f t="shared" si="26"/>
        <v>12.266666666666666</v>
      </c>
      <c r="L27" s="166" t="str">
        <f t="shared" si="2"/>
        <v>TRANSITA</v>
      </c>
      <c r="M27" s="58">
        <v>12</v>
      </c>
      <c r="N27" s="31">
        <v>19.5</v>
      </c>
      <c r="O27" s="31"/>
      <c r="P27" s="32">
        <v>14</v>
      </c>
      <c r="Q27" s="28"/>
      <c r="R27" s="56">
        <f t="shared" si="3"/>
        <v>15.166666666666666</v>
      </c>
      <c r="S27" s="166" t="str">
        <f t="shared" si="4"/>
        <v>TRANSITA</v>
      </c>
      <c r="T27" s="58"/>
      <c r="U27" s="31"/>
      <c r="V27" s="27"/>
      <c r="W27" s="32" t="e">
        <f t="shared" si="5"/>
        <v>#DIV/0!</v>
      </c>
      <c r="X27" s="28"/>
      <c r="Y27" s="56" t="e">
        <f t="shared" si="27"/>
        <v>#DIV/0!</v>
      </c>
      <c r="Z27" s="48" t="e">
        <f t="shared" si="1"/>
        <v>#DIV/0!</v>
      </c>
      <c r="AA27" s="41" t="e">
        <f t="shared" si="7"/>
        <v>#DIV/0!</v>
      </c>
      <c r="AB27" s="61"/>
      <c r="AC27" s="51">
        <f t="shared" si="28"/>
        <v>0</v>
      </c>
      <c r="AD27" s="65" t="e">
        <f t="shared" si="29"/>
        <v>#DIV/0!</v>
      </c>
      <c r="AE27" s="162" t="e">
        <f t="shared" si="10"/>
        <v>#DIV/0!</v>
      </c>
    </row>
    <row r="28" spans="2:31" ht="15.75" customHeight="1" x14ac:dyDescent="0.3">
      <c r="B28" s="35">
        <v>19</v>
      </c>
      <c r="C28" s="197" t="s">
        <v>116</v>
      </c>
      <c r="D28" s="45"/>
      <c r="E28" s="38"/>
      <c r="F28" s="59">
        <v>10</v>
      </c>
      <c r="G28" s="27">
        <v>8.5</v>
      </c>
      <c r="H28" s="27"/>
      <c r="I28" s="32">
        <v>16</v>
      </c>
      <c r="J28" s="28"/>
      <c r="K28" s="56">
        <f t="shared" si="26"/>
        <v>11.5</v>
      </c>
      <c r="L28" s="166" t="str">
        <f t="shared" si="2"/>
        <v>TRANSITA</v>
      </c>
      <c r="M28" s="58">
        <v>5</v>
      </c>
      <c r="N28" s="31">
        <v>17</v>
      </c>
      <c r="O28" s="31"/>
      <c r="P28" s="32">
        <v>10</v>
      </c>
      <c r="Q28" s="28"/>
      <c r="R28" s="56">
        <f t="shared" si="3"/>
        <v>10.666666666666666</v>
      </c>
      <c r="S28" s="166" t="str">
        <f t="shared" si="4"/>
        <v>TRANSITA</v>
      </c>
      <c r="T28" s="58"/>
      <c r="U28" s="31"/>
      <c r="V28" s="27"/>
      <c r="W28" s="32" t="e">
        <f t="shared" si="5"/>
        <v>#DIV/0!</v>
      </c>
      <c r="X28" s="28"/>
      <c r="Y28" s="56" t="e">
        <f t="shared" si="27"/>
        <v>#DIV/0!</v>
      </c>
      <c r="Z28" s="48" t="e">
        <f t="shared" si="1"/>
        <v>#DIV/0!</v>
      </c>
      <c r="AA28" s="41" t="e">
        <f t="shared" si="7"/>
        <v>#DIV/0!</v>
      </c>
      <c r="AB28" s="61"/>
      <c r="AC28" s="51">
        <f t="shared" ref="AC28:AC29" si="30">AB28*0.6</f>
        <v>0</v>
      </c>
      <c r="AD28" s="65" t="e">
        <f t="shared" ref="AD28:AD29" si="31">AVERAGE(AA28+AC28)</f>
        <v>#DIV/0!</v>
      </c>
      <c r="AE28" s="162" t="e">
        <f t="shared" si="10"/>
        <v>#DIV/0!</v>
      </c>
    </row>
    <row r="29" spans="2:31" ht="15.75" customHeight="1" x14ac:dyDescent="0.3">
      <c r="B29" s="35">
        <v>20</v>
      </c>
      <c r="C29" s="197" t="s">
        <v>117</v>
      </c>
      <c r="D29" s="45"/>
      <c r="E29" s="38"/>
      <c r="F29" s="59">
        <v>10.6</v>
      </c>
      <c r="G29" s="27">
        <v>9.5</v>
      </c>
      <c r="H29" s="27"/>
      <c r="I29" s="32">
        <v>18.5</v>
      </c>
      <c r="J29" s="28"/>
      <c r="K29" s="56">
        <f t="shared" si="26"/>
        <v>12.866666666666667</v>
      </c>
      <c r="L29" s="166" t="str">
        <f t="shared" si="2"/>
        <v>TRANSITA</v>
      </c>
      <c r="M29" s="58">
        <v>10</v>
      </c>
      <c r="N29" s="31">
        <v>16.5</v>
      </c>
      <c r="O29" s="31"/>
      <c r="P29" s="32"/>
      <c r="Q29" s="28"/>
      <c r="R29" s="56">
        <f t="shared" si="3"/>
        <v>8.8333333333333339</v>
      </c>
      <c r="S29" s="166" t="str">
        <f t="shared" si="4"/>
        <v>N/TRANSITA</v>
      </c>
      <c r="T29" s="58"/>
      <c r="U29" s="31"/>
      <c r="V29" s="27"/>
      <c r="W29" s="32" t="e">
        <f t="shared" si="5"/>
        <v>#DIV/0!</v>
      </c>
      <c r="X29" s="28"/>
      <c r="Y29" s="56" t="e">
        <f t="shared" si="27"/>
        <v>#DIV/0!</v>
      </c>
      <c r="Z29" s="48" t="e">
        <f t="shared" si="1"/>
        <v>#DIV/0!</v>
      </c>
      <c r="AA29" s="41" t="e">
        <f t="shared" si="7"/>
        <v>#DIV/0!</v>
      </c>
      <c r="AB29" s="61"/>
      <c r="AC29" s="51">
        <f t="shared" si="30"/>
        <v>0</v>
      </c>
      <c r="AD29" s="65" t="e">
        <f t="shared" si="31"/>
        <v>#DIV/0!</v>
      </c>
      <c r="AE29" s="162" t="e">
        <f t="shared" si="10"/>
        <v>#DIV/0!</v>
      </c>
    </row>
    <row r="30" spans="2:31" ht="15.75" customHeight="1" x14ac:dyDescent="0.3">
      <c r="B30" s="35">
        <v>21</v>
      </c>
      <c r="C30" s="197" t="s">
        <v>118</v>
      </c>
      <c r="D30" s="45"/>
      <c r="E30" s="38"/>
      <c r="F30" s="156">
        <v>12.6</v>
      </c>
      <c r="G30" s="155">
        <v>12</v>
      </c>
      <c r="H30" s="155"/>
      <c r="I30" s="157">
        <v>18.5</v>
      </c>
      <c r="J30" s="158"/>
      <c r="K30" s="56">
        <f t="shared" si="26"/>
        <v>14.366666666666667</v>
      </c>
      <c r="L30" s="166" t="str">
        <f t="shared" si="2"/>
        <v>TRANSITA</v>
      </c>
      <c r="M30" s="58">
        <v>10.199999999999999</v>
      </c>
      <c r="N30" s="31">
        <v>18</v>
      </c>
      <c r="O30" s="31"/>
      <c r="P30" s="32">
        <v>14</v>
      </c>
      <c r="Q30" s="158"/>
      <c r="R30" s="56">
        <f t="shared" si="3"/>
        <v>14.066666666666668</v>
      </c>
      <c r="S30" s="166" t="str">
        <f t="shared" si="4"/>
        <v>TRANSITA</v>
      </c>
      <c r="T30" s="58"/>
      <c r="U30" s="31"/>
      <c r="V30" s="155"/>
      <c r="W30" s="32" t="e">
        <f t="shared" si="5"/>
        <v>#DIV/0!</v>
      </c>
      <c r="X30" s="158"/>
      <c r="Y30" s="56" t="e">
        <f t="shared" si="27"/>
        <v>#DIV/0!</v>
      </c>
      <c r="Z30" s="48" t="e">
        <f t="shared" si="1"/>
        <v>#DIV/0!</v>
      </c>
      <c r="AA30" s="41" t="e">
        <f t="shared" si="7"/>
        <v>#DIV/0!</v>
      </c>
      <c r="AB30" s="61"/>
      <c r="AC30" s="51">
        <f t="shared" ref="AC30" si="32">AB30*0.6</f>
        <v>0</v>
      </c>
      <c r="AD30" s="65" t="e">
        <f t="shared" ref="AD30" si="33">AVERAGE(AA30+AC30)</f>
        <v>#DIV/0!</v>
      </c>
      <c r="AE30" s="162" t="e">
        <f t="shared" si="10"/>
        <v>#DIV/0!</v>
      </c>
    </row>
    <row r="31" spans="2:31" ht="15.75" customHeight="1" x14ac:dyDescent="0.3">
      <c r="B31" s="35">
        <v>22</v>
      </c>
      <c r="C31" s="197" t="s">
        <v>119</v>
      </c>
      <c r="D31" s="45"/>
      <c r="E31" s="38"/>
      <c r="F31" s="59">
        <v>8</v>
      </c>
      <c r="G31" s="27">
        <v>9.5</v>
      </c>
      <c r="H31" s="27"/>
      <c r="I31" s="32">
        <v>18</v>
      </c>
      <c r="J31" s="28"/>
      <c r="K31" s="56">
        <f t="shared" si="26"/>
        <v>11.833333333333334</v>
      </c>
      <c r="L31" s="166" t="str">
        <f t="shared" si="2"/>
        <v>TRANSITA</v>
      </c>
      <c r="M31" s="58">
        <v>9.5</v>
      </c>
      <c r="N31" s="31">
        <v>14.5</v>
      </c>
      <c r="O31" s="31"/>
      <c r="P31" s="32">
        <v>15</v>
      </c>
      <c r="Q31" s="28"/>
      <c r="R31" s="56">
        <f t="shared" si="3"/>
        <v>13</v>
      </c>
      <c r="S31" s="166" t="str">
        <f t="shared" si="4"/>
        <v>TRANSITA</v>
      </c>
      <c r="T31" s="58"/>
      <c r="U31" s="31"/>
      <c r="V31" s="27"/>
      <c r="W31" s="32" t="e">
        <f t="shared" si="5"/>
        <v>#DIV/0!</v>
      </c>
      <c r="X31" s="28"/>
      <c r="Y31" s="56" t="e">
        <f t="shared" si="27"/>
        <v>#DIV/0!</v>
      </c>
      <c r="Z31" s="48" t="e">
        <f t="shared" si="1"/>
        <v>#DIV/0!</v>
      </c>
      <c r="AA31" s="41" t="e">
        <f t="shared" si="7"/>
        <v>#DIV/0!</v>
      </c>
      <c r="AB31" s="61"/>
      <c r="AC31" s="51">
        <f t="shared" si="28"/>
        <v>0</v>
      </c>
      <c r="AD31" s="65" t="e">
        <f t="shared" si="29"/>
        <v>#DIV/0!</v>
      </c>
      <c r="AE31" s="162" t="e">
        <f t="shared" si="10"/>
        <v>#DIV/0!</v>
      </c>
    </row>
    <row r="32" spans="2:31" ht="15.75" customHeight="1" x14ac:dyDescent="0.3">
      <c r="B32" s="35">
        <v>23</v>
      </c>
      <c r="C32" s="197" t="s">
        <v>120</v>
      </c>
      <c r="D32" s="45"/>
      <c r="E32" s="38"/>
      <c r="F32" s="59">
        <v>13.1</v>
      </c>
      <c r="G32" s="27">
        <v>6.5</v>
      </c>
      <c r="H32" s="27"/>
      <c r="I32" s="32">
        <v>15.5</v>
      </c>
      <c r="J32" s="28"/>
      <c r="K32" s="56">
        <f t="shared" si="26"/>
        <v>11.700000000000001</v>
      </c>
      <c r="L32" s="166" t="str">
        <f t="shared" si="2"/>
        <v>TRANSITA</v>
      </c>
      <c r="M32" s="58">
        <v>13.8</v>
      </c>
      <c r="N32" s="31">
        <v>16</v>
      </c>
      <c r="O32" s="31"/>
      <c r="P32" s="32">
        <v>10</v>
      </c>
      <c r="Q32" s="28"/>
      <c r="R32" s="56">
        <f t="shared" si="3"/>
        <v>13.266666666666666</v>
      </c>
      <c r="S32" s="166" t="str">
        <f t="shared" si="4"/>
        <v>TRANSITA</v>
      </c>
      <c r="T32" s="58"/>
      <c r="U32" s="31"/>
      <c r="V32" s="27"/>
      <c r="W32" s="32" t="e">
        <f t="shared" si="5"/>
        <v>#DIV/0!</v>
      </c>
      <c r="X32" s="28"/>
      <c r="Y32" s="56" t="e">
        <f t="shared" si="27"/>
        <v>#DIV/0!</v>
      </c>
      <c r="Z32" s="48" t="e">
        <f t="shared" si="1"/>
        <v>#DIV/0!</v>
      </c>
      <c r="AA32" s="41" t="e">
        <f t="shared" si="7"/>
        <v>#DIV/0!</v>
      </c>
      <c r="AB32" s="61"/>
      <c r="AC32" s="51">
        <f t="shared" si="28"/>
        <v>0</v>
      </c>
      <c r="AD32" s="65" t="e">
        <f t="shared" si="29"/>
        <v>#DIV/0!</v>
      </c>
      <c r="AE32" s="162" t="e">
        <f t="shared" si="10"/>
        <v>#DIV/0!</v>
      </c>
    </row>
    <row r="33" spans="2:31" ht="15.75" customHeight="1" x14ac:dyDescent="0.3">
      <c r="B33" s="35">
        <v>24</v>
      </c>
      <c r="C33" s="197" t="s">
        <v>121</v>
      </c>
      <c r="D33" s="45"/>
      <c r="E33" s="38"/>
      <c r="F33" s="59">
        <v>8</v>
      </c>
      <c r="G33" s="27">
        <v>4</v>
      </c>
      <c r="H33" s="27"/>
      <c r="I33" s="32">
        <v>11.1</v>
      </c>
      <c r="J33" s="28"/>
      <c r="K33" s="56">
        <f t="shared" si="26"/>
        <v>7.7</v>
      </c>
      <c r="L33" s="166" t="str">
        <f t="shared" si="2"/>
        <v>N/TRANSITA</v>
      </c>
      <c r="M33" s="58">
        <v>4</v>
      </c>
      <c r="N33" s="31">
        <v>15</v>
      </c>
      <c r="O33" s="31"/>
      <c r="P33" s="32">
        <v>8</v>
      </c>
      <c r="Q33" s="28"/>
      <c r="R33" s="56">
        <f t="shared" si="3"/>
        <v>9</v>
      </c>
      <c r="S33" s="166" t="str">
        <f t="shared" si="4"/>
        <v>N/TRANSITA</v>
      </c>
      <c r="T33" s="58"/>
      <c r="U33" s="31"/>
      <c r="V33" s="27"/>
      <c r="W33" s="32" t="e">
        <f t="shared" si="5"/>
        <v>#DIV/0!</v>
      </c>
      <c r="X33" s="28"/>
      <c r="Y33" s="56" t="e">
        <f t="shared" si="27"/>
        <v>#DIV/0!</v>
      </c>
      <c r="Z33" s="48" t="e">
        <f t="shared" si="1"/>
        <v>#DIV/0!</v>
      </c>
      <c r="AA33" s="41" t="e">
        <f t="shared" si="7"/>
        <v>#DIV/0!</v>
      </c>
      <c r="AB33" s="61"/>
      <c r="AC33" s="51">
        <f t="shared" si="28"/>
        <v>0</v>
      </c>
      <c r="AD33" s="65" t="e">
        <f t="shared" si="29"/>
        <v>#DIV/0!</v>
      </c>
      <c r="AE33" s="162" t="e">
        <f t="shared" si="10"/>
        <v>#DIV/0!</v>
      </c>
    </row>
    <row r="34" spans="2:31" ht="15.75" customHeight="1" x14ac:dyDescent="0.3">
      <c r="B34" s="35">
        <v>25</v>
      </c>
      <c r="C34" s="197" t="s">
        <v>122</v>
      </c>
      <c r="D34" s="45"/>
      <c r="E34" s="38"/>
      <c r="F34" s="59">
        <v>13.5</v>
      </c>
      <c r="G34" s="27">
        <v>11.5</v>
      </c>
      <c r="H34" s="27"/>
      <c r="I34" s="32">
        <v>19</v>
      </c>
      <c r="J34" s="28"/>
      <c r="K34" s="56">
        <f t="shared" si="26"/>
        <v>14.666666666666666</v>
      </c>
      <c r="L34" s="166" t="str">
        <f t="shared" si="2"/>
        <v>TRANSITA</v>
      </c>
      <c r="M34" s="58">
        <v>10</v>
      </c>
      <c r="N34" s="31">
        <v>18.5</v>
      </c>
      <c r="O34" s="31"/>
      <c r="P34" s="32">
        <v>14</v>
      </c>
      <c r="Q34" s="28"/>
      <c r="R34" s="56">
        <f t="shared" si="3"/>
        <v>14.166666666666666</v>
      </c>
      <c r="S34" s="166" t="str">
        <f t="shared" si="4"/>
        <v>TRANSITA</v>
      </c>
      <c r="T34" s="58"/>
      <c r="U34" s="31"/>
      <c r="V34" s="27"/>
      <c r="W34" s="32" t="e">
        <f t="shared" si="5"/>
        <v>#DIV/0!</v>
      </c>
      <c r="X34" s="28"/>
      <c r="Y34" s="56" t="e">
        <f t="shared" si="27"/>
        <v>#DIV/0!</v>
      </c>
      <c r="Z34" s="48" t="e">
        <f t="shared" si="1"/>
        <v>#DIV/0!</v>
      </c>
      <c r="AA34" s="41" t="e">
        <f t="shared" si="7"/>
        <v>#DIV/0!</v>
      </c>
      <c r="AB34" s="61"/>
      <c r="AC34" s="51">
        <f t="shared" si="28"/>
        <v>0</v>
      </c>
      <c r="AD34" s="65" t="e">
        <f t="shared" si="29"/>
        <v>#DIV/0!</v>
      </c>
      <c r="AE34" s="162" t="e">
        <f t="shared" si="10"/>
        <v>#DIV/0!</v>
      </c>
    </row>
    <row r="35" spans="2:31" ht="15.75" customHeight="1" x14ac:dyDescent="0.3">
      <c r="B35" s="35">
        <v>26</v>
      </c>
      <c r="C35" s="197" t="s">
        <v>123</v>
      </c>
      <c r="D35" s="45"/>
      <c r="E35" s="38"/>
      <c r="F35" s="59">
        <v>7</v>
      </c>
      <c r="G35" s="27">
        <v>6</v>
      </c>
      <c r="H35" s="27"/>
      <c r="I35" s="32">
        <v>17</v>
      </c>
      <c r="J35" s="28"/>
      <c r="K35" s="56">
        <f t="shared" si="26"/>
        <v>10</v>
      </c>
      <c r="L35" s="166" t="str">
        <f t="shared" si="2"/>
        <v>TRANSITA</v>
      </c>
      <c r="M35" s="58">
        <v>7</v>
      </c>
      <c r="N35" s="31">
        <v>9.5</v>
      </c>
      <c r="O35" s="31"/>
      <c r="P35" s="32">
        <v>5.5</v>
      </c>
      <c r="Q35" s="28"/>
      <c r="R35" s="56">
        <f t="shared" si="3"/>
        <v>7.333333333333333</v>
      </c>
      <c r="S35" s="166" t="str">
        <f t="shared" si="4"/>
        <v>N/TRANSITA</v>
      </c>
      <c r="T35" s="58"/>
      <c r="U35" s="31"/>
      <c r="V35" s="27"/>
      <c r="W35" s="32" t="e">
        <f t="shared" si="5"/>
        <v>#DIV/0!</v>
      </c>
      <c r="X35" s="28"/>
      <c r="Y35" s="56" t="e">
        <f t="shared" si="27"/>
        <v>#DIV/0!</v>
      </c>
      <c r="Z35" s="48" t="e">
        <f t="shared" si="1"/>
        <v>#DIV/0!</v>
      </c>
      <c r="AA35" s="41" t="e">
        <f t="shared" si="7"/>
        <v>#DIV/0!</v>
      </c>
      <c r="AB35" s="61"/>
      <c r="AC35" s="51">
        <f t="shared" si="28"/>
        <v>0</v>
      </c>
      <c r="AD35" s="65" t="e">
        <f t="shared" si="29"/>
        <v>#DIV/0!</v>
      </c>
      <c r="AE35" s="162" t="e">
        <f t="shared" si="10"/>
        <v>#DIV/0!</v>
      </c>
    </row>
    <row r="36" spans="2:31" ht="15.75" customHeight="1" x14ac:dyDescent="0.3">
      <c r="B36" s="35">
        <v>27</v>
      </c>
      <c r="C36" s="197" t="s">
        <v>124</v>
      </c>
      <c r="D36" s="45"/>
      <c r="E36" s="38"/>
      <c r="F36" s="59">
        <v>8</v>
      </c>
      <c r="G36" s="27">
        <v>5</v>
      </c>
      <c r="H36" s="27"/>
      <c r="I36" s="32">
        <v>17</v>
      </c>
      <c r="J36" s="28"/>
      <c r="K36" s="56">
        <f t="shared" si="26"/>
        <v>10</v>
      </c>
      <c r="L36" s="166" t="str">
        <f t="shared" si="2"/>
        <v>TRANSITA</v>
      </c>
      <c r="M36" s="58">
        <v>6</v>
      </c>
      <c r="N36" s="31">
        <v>13.5</v>
      </c>
      <c r="O36" s="31"/>
      <c r="P36" s="32">
        <v>11</v>
      </c>
      <c r="Q36" s="28"/>
      <c r="R36" s="56">
        <f t="shared" si="3"/>
        <v>10.166666666666666</v>
      </c>
      <c r="S36" s="166" t="str">
        <f t="shared" si="4"/>
        <v>TRANSITA</v>
      </c>
      <c r="T36" s="58"/>
      <c r="U36" s="31"/>
      <c r="V36" s="27"/>
      <c r="W36" s="32" t="e">
        <f t="shared" si="5"/>
        <v>#DIV/0!</v>
      </c>
      <c r="X36" s="28"/>
      <c r="Y36" s="56" t="e">
        <f t="shared" si="27"/>
        <v>#DIV/0!</v>
      </c>
      <c r="Z36" s="48" t="e">
        <f t="shared" si="1"/>
        <v>#DIV/0!</v>
      </c>
      <c r="AA36" s="41" t="e">
        <f t="shared" si="7"/>
        <v>#DIV/0!</v>
      </c>
      <c r="AB36" s="61"/>
      <c r="AC36" s="51">
        <f t="shared" si="28"/>
        <v>0</v>
      </c>
      <c r="AD36" s="65" t="e">
        <f t="shared" si="29"/>
        <v>#DIV/0!</v>
      </c>
      <c r="AE36" s="162" t="e">
        <f t="shared" si="10"/>
        <v>#DIV/0!</v>
      </c>
    </row>
    <row r="37" spans="2:31" ht="15.75" customHeight="1" x14ac:dyDescent="0.3">
      <c r="B37" s="35">
        <v>28</v>
      </c>
      <c r="C37" s="197" t="s">
        <v>125</v>
      </c>
      <c r="D37" s="45"/>
      <c r="E37" s="38"/>
      <c r="F37" s="149">
        <v>12</v>
      </c>
      <c r="G37" s="148">
        <v>8.5</v>
      </c>
      <c r="H37" s="148"/>
      <c r="I37" s="150"/>
      <c r="J37" s="151"/>
      <c r="K37" s="56">
        <f t="shared" si="26"/>
        <v>6.833333333333333</v>
      </c>
      <c r="L37" s="166" t="str">
        <f t="shared" si="2"/>
        <v>N/TRANSITA</v>
      </c>
      <c r="M37" s="58">
        <v>6.7</v>
      </c>
      <c r="N37" s="31">
        <v>13.2</v>
      </c>
      <c r="O37" s="31"/>
      <c r="P37" s="32">
        <v>14</v>
      </c>
      <c r="Q37" s="151"/>
      <c r="R37" s="56">
        <f t="shared" si="3"/>
        <v>11.299999999999999</v>
      </c>
      <c r="S37" s="166" t="str">
        <f t="shared" si="4"/>
        <v>TRANSITA</v>
      </c>
      <c r="T37" s="58"/>
      <c r="U37" s="31"/>
      <c r="V37" s="148"/>
      <c r="W37" s="32" t="e">
        <f t="shared" si="5"/>
        <v>#DIV/0!</v>
      </c>
      <c r="X37" s="151"/>
      <c r="Y37" s="56" t="e">
        <f t="shared" si="27"/>
        <v>#DIV/0!</v>
      </c>
      <c r="Z37" s="48" t="e">
        <f t="shared" si="1"/>
        <v>#DIV/0!</v>
      </c>
      <c r="AA37" s="41" t="e">
        <f t="shared" si="7"/>
        <v>#DIV/0!</v>
      </c>
      <c r="AB37" s="61"/>
      <c r="AC37" s="51">
        <f t="shared" si="28"/>
        <v>0</v>
      </c>
      <c r="AD37" s="65" t="e">
        <f t="shared" si="29"/>
        <v>#DIV/0!</v>
      </c>
      <c r="AE37" s="162" t="e">
        <f t="shared" si="10"/>
        <v>#DIV/0!</v>
      </c>
    </row>
    <row r="38" spans="2:31" ht="15.75" customHeight="1" x14ac:dyDescent="0.3">
      <c r="B38" s="35">
        <v>29</v>
      </c>
      <c r="C38" s="197" t="s">
        <v>126</v>
      </c>
      <c r="D38" s="45"/>
      <c r="E38" s="38"/>
      <c r="F38" s="59">
        <v>8</v>
      </c>
      <c r="G38" s="27">
        <v>8.5</v>
      </c>
      <c r="H38" s="27"/>
      <c r="I38" s="32">
        <v>18.5</v>
      </c>
      <c r="J38" s="28"/>
      <c r="K38" s="56">
        <f t="shared" si="26"/>
        <v>11.666666666666666</v>
      </c>
      <c r="L38" s="166" t="str">
        <f t="shared" si="2"/>
        <v>TRANSITA</v>
      </c>
      <c r="M38" s="58"/>
      <c r="N38" s="31"/>
      <c r="O38" s="31"/>
      <c r="P38" s="32">
        <v>8.5</v>
      </c>
      <c r="Q38" s="28"/>
      <c r="R38" s="56">
        <f t="shared" si="3"/>
        <v>4.25</v>
      </c>
      <c r="S38" s="166" t="str">
        <f t="shared" si="4"/>
        <v>N/TRANSITA</v>
      </c>
      <c r="T38" s="58"/>
      <c r="U38" s="31"/>
      <c r="V38" s="27"/>
      <c r="W38" s="32" t="e">
        <f t="shared" si="5"/>
        <v>#DIV/0!</v>
      </c>
      <c r="X38" s="28"/>
      <c r="Y38" s="56" t="e">
        <f t="shared" si="27"/>
        <v>#DIV/0!</v>
      </c>
      <c r="Z38" s="48" t="e">
        <f t="shared" si="1"/>
        <v>#DIV/0!</v>
      </c>
      <c r="AA38" s="41" t="e">
        <f t="shared" si="7"/>
        <v>#DIV/0!</v>
      </c>
      <c r="AB38" s="61"/>
      <c r="AC38" s="51">
        <f t="shared" si="28"/>
        <v>0</v>
      </c>
      <c r="AD38" s="65" t="e">
        <f t="shared" si="29"/>
        <v>#DIV/0!</v>
      </c>
      <c r="AE38" s="162" t="e">
        <f t="shared" si="10"/>
        <v>#DIV/0!</v>
      </c>
    </row>
    <row r="39" spans="2:31" ht="15.75" customHeight="1" x14ac:dyDescent="0.3">
      <c r="B39" s="35">
        <v>30</v>
      </c>
      <c r="C39" s="197" t="s">
        <v>127</v>
      </c>
      <c r="D39" s="45"/>
      <c r="E39" s="38"/>
      <c r="F39" s="59">
        <v>14.8</v>
      </c>
      <c r="G39" s="27">
        <v>13.5</v>
      </c>
      <c r="H39" s="27"/>
      <c r="I39" s="32">
        <v>19.5</v>
      </c>
      <c r="J39" s="28"/>
      <c r="K39" s="56">
        <f t="shared" si="26"/>
        <v>15.933333333333332</v>
      </c>
      <c r="L39" s="166" t="str">
        <f t="shared" si="2"/>
        <v>TRANSITA</v>
      </c>
      <c r="M39" s="58">
        <v>15.6</v>
      </c>
      <c r="N39" s="31">
        <v>19</v>
      </c>
      <c r="O39" s="31"/>
      <c r="P39" s="32">
        <v>19</v>
      </c>
      <c r="Q39" s="28"/>
      <c r="R39" s="56">
        <f t="shared" si="3"/>
        <v>17.866666666666667</v>
      </c>
      <c r="S39" s="166" t="str">
        <f t="shared" si="4"/>
        <v>TRANSITA</v>
      </c>
      <c r="T39" s="58"/>
      <c r="U39" s="31"/>
      <c r="V39" s="27"/>
      <c r="W39" s="32" t="e">
        <f t="shared" si="5"/>
        <v>#DIV/0!</v>
      </c>
      <c r="X39" s="28"/>
      <c r="Y39" s="56" t="e">
        <f t="shared" si="27"/>
        <v>#DIV/0!</v>
      </c>
      <c r="Z39" s="48" t="e">
        <f t="shared" si="1"/>
        <v>#DIV/0!</v>
      </c>
      <c r="AA39" s="41" t="e">
        <f t="shared" si="7"/>
        <v>#DIV/0!</v>
      </c>
      <c r="AB39" s="61"/>
      <c r="AC39" s="51">
        <f t="shared" si="28"/>
        <v>0</v>
      </c>
      <c r="AD39" s="65" t="e">
        <f t="shared" si="29"/>
        <v>#DIV/0!</v>
      </c>
      <c r="AE39" s="162" t="e">
        <f t="shared" si="10"/>
        <v>#DIV/0!</v>
      </c>
    </row>
    <row r="40" spans="2:31" ht="15.75" customHeight="1" x14ac:dyDescent="0.3">
      <c r="B40" s="35">
        <v>31</v>
      </c>
      <c r="C40" s="197" t="s">
        <v>128</v>
      </c>
      <c r="D40" s="45"/>
      <c r="E40" s="38"/>
      <c r="F40" s="59">
        <v>15.5</v>
      </c>
      <c r="G40" s="27">
        <v>7</v>
      </c>
      <c r="H40" s="27"/>
      <c r="I40" s="32">
        <v>18.5</v>
      </c>
      <c r="J40" s="28"/>
      <c r="K40" s="56">
        <f t="shared" si="26"/>
        <v>13.666666666666666</v>
      </c>
      <c r="L40" s="166" t="str">
        <f t="shared" si="2"/>
        <v>TRANSITA</v>
      </c>
      <c r="M40" s="58">
        <v>17.2</v>
      </c>
      <c r="N40" s="31">
        <v>18</v>
      </c>
      <c r="O40" s="31"/>
      <c r="P40" s="32">
        <v>12.5</v>
      </c>
      <c r="Q40" s="28"/>
      <c r="R40" s="56">
        <f t="shared" si="3"/>
        <v>15.9</v>
      </c>
      <c r="S40" s="166" t="str">
        <f t="shared" si="4"/>
        <v>TRANSITA</v>
      </c>
      <c r="T40" s="58"/>
      <c r="U40" s="31"/>
      <c r="V40" s="27"/>
      <c r="W40" s="32" t="e">
        <f t="shared" si="5"/>
        <v>#DIV/0!</v>
      </c>
      <c r="X40" s="28"/>
      <c r="Y40" s="56" t="e">
        <f t="shared" si="6"/>
        <v>#DIV/0!</v>
      </c>
      <c r="Z40" s="48" t="e">
        <f t="shared" si="1"/>
        <v>#DIV/0!</v>
      </c>
      <c r="AA40" s="41" t="e">
        <f t="shared" si="7"/>
        <v>#DIV/0!</v>
      </c>
      <c r="AB40" s="61"/>
      <c r="AC40" s="51">
        <f t="shared" si="11"/>
        <v>0</v>
      </c>
      <c r="AD40" s="65" t="e">
        <f t="shared" si="12"/>
        <v>#DIV/0!</v>
      </c>
      <c r="AE40" s="162" t="e">
        <f t="shared" si="10"/>
        <v>#DIV/0!</v>
      </c>
    </row>
    <row r="41" spans="2:31" ht="15.75" customHeight="1" x14ac:dyDescent="0.3">
      <c r="B41" s="35">
        <v>32</v>
      </c>
      <c r="C41" s="197" t="s">
        <v>142</v>
      </c>
      <c r="D41" s="45"/>
      <c r="E41" s="38"/>
      <c r="F41" s="59"/>
      <c r="G41" s="27"/>
      <c r="H41" s="27"/>
      <c r="I41" s="32"/>
      <c r="J41" s="28"/>
      <c r="K41" s="56">
        <f t="shared" si="26"/>
        <v>0</v>
      </c>
      <c r="L41" s="166" t="str">
        <f t="shared" si="2"/>
        <v>N/TRANSITA</v>
      </c>
      <c r="M41" s="58">
        <v>10</v>
      </c>
      <c r="N41" s="31">
        <v>19</v>
      </c>
      <c r="O41" s="31"/>
      <c r="P41" s="32">
        <v>13</v>
      </c>
      <c r="Q41" s="28"/>
      <c r="R41" s="56">
        <f t="shared" ref="R41" si="34">AVERAGE(M41,MAX(N41:O41),MAX(P41:Q41))</f>
        <v>14</v>
      </c>
      <c r="S41" s="166" t="str">
        <f t="shared" ref="S41" si="35">IF(R41&gt;=10,"TRANSITA","N/TRANSITA")</f>
        <v>TRANSITA</v>
      </c>
      <c r="T41" s="58"/>
      <c r="U41" s="31"/>
      <c r="V41" s="27"/>
      <c r="W41" s="32" t="e">
        <f t="shared" ref="W41" si="36">AVERAGE(T41:U41)</f>
        <v>#DIV/0!</v>
      </c>
      <c r="X41" s="28"/>
      <c r="Y41" s="56" t="e">
        <f t="shared" ref="Y41" si="37">AVERAGE(T41,MAX(U41:V41),MAX(W41:X41))</f>
        <v>#DIV/0!</v>
      </c>
      <c r="Z41" s="48" t="e">
        <f t="shared" ref="Z41" si="38">SUM(K41,R41,Y41)/3</f>
        <v>#DIV/0!</v>
      </c>
      <c r="AA41" s="41" t="e">
        <f t="shared" ref="AA41" si="39">Z41*0.4</f>
        <v>#DIV/0!</v>
      </c>
      <c r="AB41" s="61"/>
      <c r="AC41" s="51">
        <f t="shared" ref="AC41" si="40">AB41*0.6</f>
        <v>0</v>
      </c>
      <c r="AD41" s="65" t="e">
        <f t="shared" ref="AD41" si="41">AVERAGE(AA41+AC41)</f>
        <v>#DIV/0!</v>
      </c>
      <c r="AE41" s="162"/>
    </row>
    <row r="42" spans="2:31" ht="15.75" customHeight="1" x14ac:dyDescent="0.3">
      <c r="B42" s="35">
        <v>33</v>
      </c>
      <c r="C42" s="197" t="s">
        <v>129</v>
      </c>
      <c r="D42" s="45"/>
      <c r="E42" s="38"/>
      <c r="F42" s="59">
        <v>11</v>
      </c>
      <c r="G42" s="27">
        <v>7</v>
      </c>
      <c r="H42" s="27"/>
      <c r="I42" s="32">
        <v>14.1</v>
      </c>
      <c r="J42" s="28"/>
      <c r="K42" s="56">
        <f t="shared" si="26"/>
        <v>10.700000000000001</v>
      </c>
      <c r="L42" s="166" t="str">
        <f t="shared" si="2"/>
        <v>TRANSITA</v>
      </c>
      <c r="M42" s="58">
        <v>4</v>
      </c>
      <c r="N42" s="31">
        <v>14.5</v>
      </c>
      <c r="O42" s="31"/>
      <c r="P42" s="32"/>
      <c r="Q42" s="28"/>
      <c r="R42" s="56">
        <f t="shared" si="3"/>
        <v>6.166666666666667</v>
      </c>
      <c r="S42" s="166" t="str">
        <f t="shared" si="4"/>
        <v>N/TRANSITA</v>
      </c>
      <c r="T42" s="58"/>
      <c r="U42" s="31"/>
      <c r="V42" s="27"/>
      <c r="W42" s="32" t="e">
        <f t="shared" si="5"/>
        <v>#DIV/0!</v>
      </c>
      <c r="X42" s="28"/>
      <c r="Y42" s="56" t="e">
        <f t="shared" si="6"/>
        <v>#DIV/0!</v>
      </c>
      <c r="Z42" s="48" t="e">
        <f t="shared" si="1"/>
        <v>#DIV/0!</v>
      </c>
      <c r="AA42" s="41" t="e">
        <f t="shared" si="7"/>
        <v>#DIV/0!</v>
      </c>
      <c r="AB42" s="61"/>
      <c r="AC42" s="51">
        <f t="shared" si="11"/>
        <v>0</v>
      </c>
      <c r="AD42" s="65" t="e">
        <f t="shared" si="12"/>
        <v>#DIV/0!</v>
      </c>
      <c r="AE42" s="162" t="e">
        <f t="shared" si="10"/>
        <v>#DIV/0!</v>
      </c>
    </row>
    <row r="43" spans="2:31" ht="15.75" customHeight="1" x14ac:dyDescent="0.3">
      <c r="B43" s="35">
        <v>34</v>
      </c>
      <c r="C43" s="197" t="s">
        <v>130</v>
      </c>
      <c r="D43" s="45"/>
      <c r="E43" s="38"/>
      <c r="F43" s="59">
        <v>10.6</v>
      </c>
      <c r="G43" s="27">
        <v>5</v>
      </c>
      <c r="H43" s="27"/>
      <c r="I43" s="32">
        <v>19</v>
      </c>
      <c r="J43" s="28"/>
      <c r="K43" s="56">
        <f t="shared" si="26"/>
        <v>11.533333333333333</v>
      </c>
      <c r="L43" s="166" t="str">
        <f t="shared" si="2"/>
        <v>TRANSITA</v>
      </c>
      <c r="M43" s="58">
        <v>6</v>
      </c>
      <c r="N43" s="31">
        <v>18.5</v>
      </c>
      <c r="O43" s="31"/>
      <c r="P43" s="32">
        <v>13.5</v>
      </c>
      <c r="Q43" s="28"/>
      <c r="R43" s="56">
        <f t="shared" si="3"/>
        <v>12.666666666666666</v>
      </c>
      <c r="S43" s="166" t="str">
        <f t="shared" si="4"/>
        <v>TRANSITA</v>
      </c>
      <c r="T43" s="58"/>
      <c r="U43" s="31"/>
      <c r="V43" s="27"/>
      <c r="W43" s="32" t="e">
        <f t="shared" si="5"/>
        <v>#DIV/0!</v>
      </c>
      <c r="X43" s="28"/>
      <c r="Y43" s="56" t="e">
        <f t="shared" si="6"/>
        <v>#DIV/0!</v>
      </c>
      <c r="Z43" s="48" t="e">
        <f t="shared" si="1"/>
        <v>#DIV/0!</v>
      </c>
      <c r="AA43" s="41" t="e">
        <f t="shared" si="7"/>
        <v>#DIV/0!</v>
      </c>
      <c r="AB43" s="61"/>
      <c r="AC43" s="51">
        <f t="shared" ref="AC43:AC44" si="42">AB43*0.6</f>
        <v>0</v>
      </c>
      <c r="AD43" s="65" t="e">
        <f t="shared" ref="AD43:AD44" si="43">AVERAGE(AA43+AC43)</f>
        <v>#DIV/0!</v>
      </c>
      <c r="AE43" s="162" t="e">
        <f t="shared" si="10"/>
        <v>#DIV/0!</v>
      </c>
    </row>
    <row r="44" spans="2:31" ht="15.75" customHeight="1" x14ac:dyDescent="0.3">
      <c r="B44" s="35">
        <v>35</v>
      </c>
      <c r="C44" s="197" t="s">
        <v>131</v>
      </c>
      <c r="D44" s="45"/>
      <c r="E44" s="38"/>
      <c r="F44" s="59">
        <v>12.6</v>
      </c>
      <c r="G44" s="27">
        <v>12.5</v>
      </c>
      <c r="H44" s="27"/>
      <c r="I44" s="32">
        <v>17.5</v>
      </c>
      <c r="J44" s="28"/>
      <c r="K44" s="56">
        <f t="shared" si="26"/>
        <v>14.200000000000001</v>
      </c>
      <c r="L44" s="166" t="str">
        <f t="shared" si="2"/>
        <v>TRANSITA</v>
      </c>
      <c r="M44" s="58">
        <v>11</v>
      </c>
      <c r="N44" s="31">
        <v>19</v>
      </c>
      <c r="O44" s="31"/>
      <c r="P44" s="32">
        <v>12.5</v>
      </c>
      <c r="Q44" s="28"/>
      <c r="R44" s="56">
        <f t="shared" si="3"/>
        <v>14.166666666666666</v>
      </c>
      <c r="S44" s="166" t="str">
        <f t="shared" si="4"/>
        <v>TRANSITA</v>
      </c>
      <c r="T44" s="58"/>
      <c r="U44" s="31"/>
      <c r="V44" s="27"/>
      <c r="W44" s="32" t="e">
        <f t="shared" si="5"/>
        <v>#DIV/0!</v>
      </c>
      <c r="X44" s="28"/>
      <c r="Y44" s="56" t="e">
        <f t="shared" si="6"/>
        <v>#DIV/0!</v>
      </c>
      <c r="Z44" s="48" t="e">
        <f t="shared" si="1"/>
        <v>#DIV/0!</v>
      </c>
      <c r="AA44" s="41" t="e">
        <f t="shared" si="7"/>
        <v>#DIV/0!</v>
      </c>
      <c r="AB44" s="61"/>
      <c r="AC44" s="51">
        <f t="shared" si="42"/>
        <v>0</v>
      </c>
      <c r="AD44" s="65" t="e">
        <f t="shared" si="43"/>
        <v>#DIV/0!</v>
      </c>
      <c r="AE44" s="162" t="e">
        <f t="shared" si="10"/>
        <v>#DIV/0!</v>
      </c>
    </row>
    <row r="45" spans="2:31" ht="15.75" customHeight="1" x14ac:dyDescent="0.3">
      <c r="B45" s="35">
        <v>36</v>
      </c>
      <c r="C45" s="197" t="s">
        <v>132</v>
      </c>
      <c r="D45" s="45"/>
      <c r="E45" s="38"/>
      <c r="F45" s="59">
        <v>10</v>
      </c>
      <c r="G45" s="27">
        <v>7.5</v>
      </c>
      <c r="H45" s="27"/>
      <c r="I45" s="32">
        <v>16.5</v>
      </c>
      <c r="J45" s="28"/>
      <c r="K45" s="56">
        <f t="shared" si="26"/>
        <v>11.333333333333334</v>
      </c>
      <c r="L45" s="166" t="str">
        <f t="shared" si="2"/>
        <v>TRANSITA</v>
      </c>
      <c r="M45" s="58">
        <v>11</v>
      </c>
      <c r="N45" s="31">
        <v>17</v>
      </c>
      <c r="O45" s="31"/>
      <c r="P45" s="32">
        <v>11</v>
      </c>
      <c r="Q45" s="28"/>
      <c r="R45" s="56">
        <f t="shared" si="3"/>
        <v>13</v>
      </c>
      <c r="S45" s="166" t="str">
        <f t="shared" si="4"/>
        <v>TRANSITA</v>
      </c>
      <c r="T45" s="58"/>
      <c r="U45" s="31"/>
      <c r="V45" s="27"/>
      <c r="W45" s="32" t="e">
        <f t="shared" si="5"/>
        <v>#DIV/0!</v>
      </c>
      <c r="X45" s="28"/>
      <c r="Y45" s="56" t="e">
        <f t="shared" si="6"/>
        <v>#DIV/0!</v>
      </c>
      <c r="Z45" s="48" t="e">
        <f t="shared" si="1"/>
        <v>#DIV/0!</v>
      </c>
      <c r="AA45" s="41" t="e">
        <f t="shared" si="7"/>
        <v>#DIV/0!</v>
      </c>
      <c r="AB45" s="61"/>
      <c r="AC45" s="51">
        <f t="shared" si="11"/>
        <v>0</v>
      </c>
      <c r="AD45" s="65" t="e">
        <f t="shared" si="12"/>
        <v>#DIV/0!</v>
      </c>
      <c r="AE45" s="162" t="e">
        <f t="shared" si="10"/>
        <v>#DIV/0!</v>
      </c>
    </row>
    <row r="46" spans="2:31" ht="15.75" customHeight="1" x14ac:dyDescent="0.3">
      <c r="B46" s="35">
        <v>37</v>
      </c>
      <c r="C46" s="197" t="s">
        <v>133</v>
      </c>
      <c r="D46" s="45"/>
      <c r="E46" s="38"/>
      <c r="F46" s="59">
        <v>13.8</v>
      </c>
      <c r="G46" s="27">
        <v>7</v>
      </c>
      <c r="H46" s="27"/>
      <c r="I46" s="32">
        <v>18.5</v>
      </c>
      <c r="J46" s="28"/>
      <c r="K46" s="56">
        <f t="shared" si="26"/>
        <v>13.1</v>
      </c>
      <c r="L46" s="166" t="str">
        <f t="shared" si="2"/>
        <v>TRANSITA</v>
      </c>
      <c r="M46" s="58">
        <v>8.3000000000000007</v>
      </c>
      <c r="N46" s="31">
        <v>18</v>
      </c>
      <c r="O46" s="31"/>
      <c r="P46" s="32">
        <v>14</v>
      </c>
      <c r="Q46" s="28"/>
      <c r="R46" s="56">
        <f t="shared" si="3"/>
        <v>13.433333333333332</v>
      </c>
      <c r="S46" s="166" t="str">
        <f t="shared" si="4"/>
        <v>TRANSITA</v>
      </c>
      <c r="T46" s="58"/>
      <c r="U46" s="31"/>
      <c r="V46" s="27"/>
      <c r="W46" s="32" t="e">
        <f t="shared" si="5"/>
        <v>#DIV/0!</v>
      </c>
      <c r="X46" s="28"/>
      <c r="Y46" s="56" t="e">
        <f t="shared" si="6"/>
        <v>#DIV/0!</v>
      </c>
      <c r="Z46" s="48" t="e">
        <f t="shared" si="1"/>
        <v>#DIV/0!</v>
      </c>
      <c r="AA46" s="41" t="e">
        <f t="shared" si="7"/>
        <v>#DIV/0!</v>
      </c>
      <c r="AB46" s="61"/>
      <c r="AC46" s="51">
        <f t="shared" ref="AC46:AC51" si="44">AB46*0.6</f>
        <v>0</v>
      </c>
      <c r="AD46" s="65" t="e">
        <f t="shared" ref="AD46:AD51" si="45">AVERAGE(AA46+AC46)</f>
        <v>#DIV/0!</v>
      </c>
      <c r="AE46" s="162" t="e">
        <f t="shared" si="10"/>
        <v>#DIV/0!</v>
      </c>
    </row>
    <row r="47" spans="2:31" ht="15.75" customHeight="1" x14ac:dyDescent="0.3">
      <c r="B47" s="35">
        <v>38</v>
      </c>
      <c r="C47" s="197" t="s">
        <v>134</v>
      </c>
      <c r="D47" s="45"/>
      <c r="E47" s="38"/>
      <c r="F47" s="59">
        <v>4</v>
      </c>
      <c r="G47" s="27">
        <v>5.5</v>
      </c>
      <c r="H47" s="27"/>
      <c r="I47" s="32">
        <v>11</v>
      </c>
      <c r="J47" s="28"/>
      <c r="K47" s="56">
        <f t="shared" si="26"/>
        <v>6.833333333333333</v>
      </c>
      <c r="L47" s="166" t="str">
        <f t="shared" si="2"/>
        <v>N/TRANSITA</v>
      </c>
      <c r="M47" s="58"/>
      <c r="N47" s="31"/>
      <c r="O47" s="31"/>
      <c r="P47" s="32">
        <v>6</v>
      </c>
      <c r="Q47" s="28"/>
      <c r="R47" s="56">
        <f t="shared" si="3"/>
        <v>3</v>
      </c>
      <c r="S47" s="166" t="str">
        <f t="shared" si="4"/>
        <v>N/TRANSITA</v>
      </c>
      <c r="T47" s="58"/>
      <c r="U47" s="31"/>
      <c r="V47" s="27"/>
      <c r="W47" s="32" t="e">
        <f t="shared" si="5"/>
        <v>#DIV/0!</v>
      </c>
      <c r="X47" s="28"/>
      <c r="Y47" s="56" t="e">
        <f t="shared" si="6"/>
        <v>#DIV/0!</v>
      </c>
      <c r="Z47" s="48" t="e">
        <f t="shared" si="1"/>
        <v>#DIV/0!</v>
      </c>
      <c r="AA47" s="41" t="e">
        <f t="shared" si="7"/>
        <v>#DIV/0!</v>
      </c>
      <c r="AB47" s="61"/>
      <c r="AC47" s="51">
        <f t="shared" si="44"/>
        <v>0</v>
      </c>
      <c r="AD47" s="65" t="e">
        <f t="shared" si="45"/>
        <v>#DIV/0!</v>
      </c>
      <c r="AE47" s="162" t="e">
        <f t="shared" si="10"/>
        <v>#DIV/0!</v>
      </c>
    </row>
    <row r="48" spans="2:31" ht="15.75" customHeight="1" x14ac:dyDescent="0.3">
      <c r="B48" s="35">
        <v>39</v>
      </c>
      <c r="C48" s="197" t="s">
        <v>135</v>
      </c>
      <c r="D48" s="45"/>
      <c r="E48" s="38"/>
      <c r="F48" s="59">
        <v>12.4</v>
      </c>
      <c r="G48" s="27"/>
      <c r="H48" s="27"/>
      <c r="I48" s="32">
        <v>17.5</v>
      </c>
      <c r="J48" s="28"/>
      <c r="K48" s="56">
        <f t="shared" si="26"/>
        <v>9.9666666666666668</v>
      </c>
      <c r="L48" s="166" t="str">
        <f t="shared" si="2"/>
        <v>N/TRANSITA</v>
      </c>
      <c r="M48" s="58">
        <v>14.7</v>
      </c>
      <c r="N48" s="31">
        <v>16.5</v>
      </c>
      <c r="O48" s="31"/>
      <c r="P48" s="32">
        <v>14</v>
      </c>
      <c r="Q48" s="28"/>
      <c r="R48" s="56">
        <f t="shared" si="3"/>
        <v>15.066666666666668</v>
      </c>
      <c r="S48" s="166" t="str">
        <f t="shared" si="4"/>
        <v>TRANSITA</v>
      </c>
      <c r="T48" s="58"/>
      <c r="U48" s="31"/>
      <c r="V48" s="27"/>
      <c r="W48" s="32" t="e">
        <f t="shared" si="5"/>
        <v>#DIV/0!</v>
      </c>
      <c r="X48" s="28"/>
      <c r="Y48" s="56" t="e">
        <f t="shared" si="6"/>
        <v>#DIV/0!</v>
      </c>
      <c r="Z48" s="48" t="e">
        <f t="shared" si="1"/>
        <v>#DIV/0!</v>
      </c>
      <c r="AA48" s="41" t="e">
        <f t="shared" si="7"/>
        <v>#DIV/0!</v>
      </c>
      <c r="AB48" s="61"/>
      <c r="AC48" s="51">
        <f t="shared" si="44"/>
        <v>0</v>
      </c>
      <c r="AD48" s="65" t="e">
        <f t="shared" si="45"/>
        <v>#DIV/0!</v>
      </c>
      <c r="AE48" s="162" t="e">
        <f t="shared" si="10"/>
        <v>#DIV/0!</v>
      </c>
    </row>
    <row r="49" spans="1:31" ht="15.75" customHeight="1" x14ac:dyDescent="0.3">
      <c r="B49" s="35">
        <v>40</v>
      </c>
      <c r="C49" s="197" t="s">
        <v>136</v>
      </c>
      <c r="D49" s="45">
        <v>0</v>
      </c>
      <c r="E49" s="38"/>
      <c r="F49" s="59">
        <v>13.5</v>
      </c>
      <c r="G49" s="27">
        <v>10</v>
      </c>
      <c r="H49" s="27"/>
      <c r="I49" s="32">
        <v>19</v>
      </c>
      <c r="J49" s="28"/>
      <c r="K49" s="56">
        <f t="shared" si="26"/>
        <v>14.166666666666666</v>
      </c>
      <c r="L49" s="166" t="str">
        <f t="shared" si="2"/>
        <v>TRANSITA</v>
      </c>
      <c r="M49" s="58">
        <v>14.6</v>
      </c>
      <c r="N49" s="31">
        <v>19.5</v>
      </c>
      <c r="O49" s="31"/>
      <c r="P49" s="32">
        <v>17.5</v>
      </c>
      <c r="Q49" s="28"/>
      <c r="R49" s="56">
        <f t="shared" si="3"/>
        <v>17.2</v>
      </c>
      <c r="S49" s="166" t="str">
        <f t="shared" si="4"/>
        <v>TRANSITA</v>
      </c>
      <c r="T49" s="58"/>
      <c r="U49" s="31"/>
      <c r="V49" s="27"/>
      <c r="W49" s="32" t="e">
        <f t="shared" si="5"/>
        <v>#DIV/0!</v>
      </c>
      <c r="X49" s="28"/>
      <c r="Y49" s="56" t="e">
        <f t="shared" si="6"/>
        <v>#DIV/0!</v>
      </c>
      <c r="Z49" s="48" t="e">
        <f t="shared" si="1"/>
        <v>#DIV/0!</v>
      </c>
      <c r="AA49" s="41" t="e">
        <f t="shared" si="7"/>
        <v>#DIV/0!</v>
      </c>
      <c r="AB49" s="61"/>
      <c r="AC49" s="51">
        <f t="shared" ref="AC49:AC50" si="46">AB49*0.6</f>
        <v>0</v>
      </c>
      <c r="AD49" s="65" t="e">
        <f t="shared" ref="AD49:AD50" si="47">AVERAGE(AA49+AC49)</f>
        <v>#DIV/0!</v>
      </c>
      <c r="AE49" s="162" t="e">
        <f t="shared" si="10"/>
        <v>#DIV/0!</v>
      </c>
    </row>
    <row r="50" spans="1:31" ht="15.75" customHeight="1" x14ac:dyDescent="0.3">
      <c r="B50" s="35">
        <v>41</v>
      </c>
      <c r="C50" s="197" t="s">
        <v>137</v>
      </c>
      <c r="D50" s="45"/>
      <c r="E50" s="38"/>
      <c r="F50" s="59">
        <v>10</v>
      </c>
      <c r="G50" s="27">
        <v>9</v>
      </c>
      <c r="H50" s="27"/>
      <c r="I50" s="32">
        <v>18.5</v>
      </c>
      <c r="J50" s="28"/>
      <c r="K50" s="56">
        <f t="shared" si="26"/>
        <v>12.5</v>
      </c>
      <c r="L50" s="166" t="str">
        <f t="shared" si="2"/>
        <v>TRANSITA</v>
      </c>
      <c r="M50" s="58">
        <v>4</v>
      </c>
      <c r="N50" s="31">
        <v>18.5</v>
      </c>
      <c r="O50" s="31"/>
      <c r="P50" s="32">
        <v>9</v>
      </c>
      <c r="Q50" s="28"/>
      <c r="R50" s="56">
        <f t="shared" si="3"/>
        <v>10.5</v>
      </c>
      <c r="S50" s="166" t="str">
        <f t="shared" si="4"/>
        <v>TRANSITA</v>
      </c>
      <c r="T50" s="58"/>
      <c r="U50" s="31"/>
      <c r="V50" s="27"/>
      <c r="W50" s="32" t="e">
        <f t="shared" si="5"/>
        <v>#DIV/0!</v>
      </c>
      <c r="X50" s="28"/>
      <c r="Y50" s="56" t="e">
        <f t="shared" si="6"/>
        <v>#DIV/0!</v>
      </c>
      <c r="Z50" s="48" t="e">
        <f t="shared" si="1"/>
        <v>#DIV/0!</v>
      </c>
      <c r="AA50" s="41" t="e">
        <f t="shared" si="7"/>
        <v>#DIV/0!</v>
      </c>
      <c r="AB50" s="61"/>
      <c r="AC50" s="51">
        <f t="shared" si="46"/>
        <v>0</v>
      </c>
      <c r="AD50" s="65" t="e">
        <f t="shared" si="47"/>
        <v>#DIV/0!</v>
      </c>
      <c r="AE50" s="162" t="e">
        <f t="shared" si="10"/>
        <v>#DIV/0!</v>
      </c>
    </row>
    <row r="51" spans="1:31" ht="15.75" customHeight="1" thickBot="1" x14ac:dyDescent="0.35">
      <c r="B51" s="35">
        <v>42</v>
      </c>
      <c r="C51" s="198" t="s">
        <v>138</v>
      </c>
      <c r="D51" s="46"/>
      <c r="E51" s="39"/>
      <c r="F51" s="60">
        <v>11</v>
      </c>
      <c r="G51" s="29">
        <v>9</v>
      </c>
      <c r="H51" s="29"/>
      <c r="I51" s="137">
        <v>14.1</v>
      </c>
      <c r="J51" s="30"/>
      <c r="K51" s="57">
        <f t="shared" si="26"/>
        <v>11.366666666666667</v>
      </c>
      <c r="L51" s="167" t="str">
        <f t="shared" si="2"/>
        <v>TRANSITA</v>
      </c>
      <c r="M51" s="193">
        <v>8.5</v>
      </c>
      <c r="N51" s="194">
        <v>16.5</v>
      </c>
      <c r="O51" s="194"/>
      <c r="P51" s="137">
        <v>12</v>
      </c>
      <c r="Q51" s="30"/>
      <c r="R51" s="57">
        <f t="shared" si="3"/>
        <v>12.333333333333334</v>
      </c>
      <c r="S51" s="167" t="str">
        <f t="shared" si="4"/>
        <v>TRANSITA</v>
      </c>
      <c r="T51" s="193"/>
      <c r="U51" s="194"/>
      <c r="V51" s="29"/>
      <c r="W51" s="137" t="e">
        <f t="shared" si="5"/>
        <v>#DIV/0!</v>
      </c>
      <c r="X51" s="30"/>
      <c r="Y51" s="57" t="e">
        <f t="shared" si="6"/>
        <v>#DIV/0!</v>
      </c>
      <c r="Z51" s="49" t="e">
        <f t="shared" si="1"/>
        <v>#DIV/0!</v>
      </c>
      <c r="AA51" s="42" t="e">
        <f t="shared" si="7"/>
        <v>#DIV/0!</v>
      </c>
      <c r="AB51" s="195"/>
      <c r="AC51" s="52">
        <f t="shared" si="44"/>
        <v>0</v>
      </c>
      <c r="AD51" s="66" t="e">
        <f t="shared" si="45"/>
        <v>#DIV/0!</v>
      </c>
      <c r="AE51" s="164" t="e">
        <f t="shared" si="10"/>
        <v>#DIV/0!</v>
      </c>
    </row>
    <row r="52" spans="1:31" ht="12" customHeight="1" thickTop="1" x14ac:dyDescent="0.3">
      <c r="B52" s="3"/>
      <c r="C52" s="4"/>
      <c r="D52" s="4"/>
      <c r="E52" s="4"/>
      <c r="F52" s="5"/>
      <c r="G52" s="5"/>
      <c r="H52" s="5"/>
      <c r="I52" s="6"/>
      <c r="J52" s="6"/>
      <c r="K52" s="7"/>
      <c r="L52" s="7"/>
      <c r="M52" s="8"/>
      <c r="N52" s="8"/>
      <c r="O52" s="8"/>
      <c r="P52" s="8"/>
      <c r="Q52" s="8"/>
      <c r="R52" s="7"/>
      <c r="S52" s="7"/>
      <c r="T52" s="9"/>
      <c r="U52" s="9"/>
      <c r="V52" s="9"/>
      <c r="W52" s="10"/>
      <c r="X52" s="10"/>
      <c r="Y52" s="7"/>
      <c r="Z52" s="11"/>
      <c r="AA52" s="12"/>
      <c r="AB52" s="13"/>
      <c r="AC52" s="12"/>
      <c r="AD52" s="12"/>
      <c r="AE52" s="14"/>
    </row>
    <row r="53" spans="1:31" ht="16.5" customHeight="1" x14ac:dyDescent="0.3">
      <c r="A53" s="284" t="s">
        <v>140</v>
      </c>
      <c r="B53" s="284"/>
      <c r="C53" s="284"/>
      <c r="D53" s="284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  <c r="AA53" s="284"/>
      <c r="AB53" s="284"/>
      <c r="AC53" s="284"/>
      <c r="AD53" s="284"/>
      <c r="AE53" s="284"/>
    </row>
    <row r="54" spans="1:31" ht="16.5" customHeight="1" x14ac:dyDescent="0.3">
      <c r="A54" s="21"/>
      <c r="B54" s="21"/>
      <c r="C54" s="21"/>
      <c r="D54" s="21"/>
      <c r="E54" s="21"/>
      <c r="F54" s="21"/>
      <c r="G54" s="21"/>
      <c r="H54" s="25"/>
      <c r="I54" s="21"/>
      <c r="J54" s="25"/>
      <c r="K54" s="21"/>
      <c r="L54" s="21"/>
      <c r="M54" s="21"/>
      <c r="N54" s="21"/>
      <c r="O54" s="25"/>
      <c r="P54" s="21"/>
      <c r="Q54" s="25"/>
      <c r="R54" s="21"/>
      <c r="S54" s="21"/>
      <c r="T54" s="21"/>
      <c r="U54" s="21"/>
      <c r="V54" s="25"/>
      <c r="W54" s="21"/>
      <c r="X54" s="25"/>
      <c r="Y54" s="21"/>
      <c r="Z54" s="21"/>
      <c r="AA54" s="21"/>
      <c r="AB54" s="21"/>
      <c r="AC54" s="21"/>
      <c r="AD54" s="21"/>
      <c r="AE54" s="21"/>
    </row>
    <row r="55" spans="1:31" ht="20.25" customHeight="1" x14ac:dyDescent="0.35">
      <c r="A55" s="309" t="s">
        <v>41</v>
      </c>
      <c r="B55" s="309"/>
      <c r="C55" s="309"/>
      <c r="D55" s="309"/>
      <c r="E55" s="309"/>
      <c r="F55" s="309"/>
      <c r="G55" s="19"/>
      <c r="H55" s="23"/>
      <c r="I55" s="20"/>
      <c r="J55" s="20"/>
      <c r="K55" s="20"/>
      <c r="L55" s="20"/>
      <c r="M55" s="20"/>
      <c r="N55" s="20"/>
      <c r="O55" s="20"/>
      <c r="P55" s="20"/>
      <c r="Q55" s="20"/>
      <c r="R55" s="309" t="s">
        <v>10</v>
      </c>
      <c r="S55" s="309"/>
      <c r="T55" s="309"/>
      <c r="U55" s="309"/>
      <c r="V55" s="309"/>
      <c r="W55" s="309"/>
      <c r="X55" s="309"/>
      <c r="Y55" s="309"/>
      <c r="Z55" s="309"/>
      <c r="AA55" s="309"/>
      <c r="AB55" s="309"/>
      <c r="AC55" s="309"/>
      <c r="AD55" s="309"/>
      <c r="AE55" s="309"/>
    </row>
    <row r="56" spans="1:31" ht="20.399999999999999" x14ac:dyDescent="0.35">
      <c r="A56" s="20"/>
      <c r="B56" s="309" t="s">
        <v>11</v>
      </c>
      <c r="C56" s="309"/>
      <c r="D56" s="309"/>
      <c r="E56" s="309"/>
      <c r="F56" s="309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309"/>
      <c r="S56" s="309"/>
      <c r="T56" s="309"/>
      <c r="U56" s="309"/>
      <c r="V56" s="309"/>
      <c r="W56" s="309"/>
      <c r="X56" s="309"/>
      <c r="Y56" s="309"/>
      <c r="Z56" s="309"/>
      <c r="AA56" s="19"/>
      <c r="AB56" s="19"/>
      <c r="AC56" s="19"/>
      <c r="AD56" s="19"/>
      <c r="AE56" s="20"/>
    </row>
    <row r="57" spans="1:31" ht="21.6" x14ac:dyDescent="0.4">
      <c r="A57" s="20"/>
      <c r="B57" s="310"/>
      <c r="C57" s="310"/>
      <c r="D57" s="310"/>
      <c r="E57" s="310"/>
      <c r="F57" s="31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310" t="s">
        <v>12</v>
      </c>
      <c r="S57" s="310"/>
      <c r="T57" s="310"/>
      <c r="U57" s="310"/>
      <c r="V57" s="310"/>
      <c r="W57" s="310"/>
      <c r="X57" s="310"/>
      <c r="Y57" s="310"/>
      <c r="Z57" s="310"/>
      <c r="AA57" s="310"/>
      <c r="AB57" s="310"/>
      <c r="AC57" s="310"/>
      <c r="AD57" s="310"/>
      <c r="AE57" s="310"/>
    </row>
  </sheetData>
  <mergeCells count="28">
    <mergeCell ref="B7:AE7"/>
    <mergeCell ref="A1:AE1"/>
    <mergeCell ref="B4:C4"/>
    <mergeCell ref="Y4:AE4"/>
    <mergeCell ref="B6:C6"/>
    <mergeCell ref="Y6:AE6"/>
    <mergeCell ref="L3:S3"/>
    <mergeCell ref="C8:C9"/>
    <mergeCell ref="D8:E8"/>
    <mergeCell ref="F8:K8"/>
    <mergeCell ref="M8:R8"/>
    <mergeCell ref="L8:L9"/>
    <mergeCell ref="S8:S9"/>
    <mergeCell ref="B56:F56"/>
    <mergeCell ref="R56:Z56"/>
    <mergeCell ref="B57:F57"/>
    <mergeCell ref="R57:AE57"/>
    <mergeCell ref="A53:AE53"/>
    <mergeCell ref="AD8:AD9"/>
    <mergeCell ref="AE8:AE9"/>
    <mergeCell ref="A55:F55"/>
    <mergeCell ref="R55:AE55"/>
    <mergeCell ref="T8:Y8"/>
    <mergeCell ref="Z8:Z9"/>
    <mergeCell ref="AA8:AA9"/>
    <mergeCell ref="AB8:AB9"/>
    <mergeCell ref="AC8:AC9"/>
    <mergeCell ref="B8:B9"/>
  </mergeCells>
  <conditionalFormatting sqref="K52:L52 R52:Y52 Q10:Q51 T10:X51">
    <cfRule type="cellIs" dxfId="753" priority="379" stopIfTrue="1" operator="lessThan">
      <formula>10</formula>
    </cfRule>
    <cfRule type="cellIs" dxfId="752" priority="380" stopIfTrue="1" operator="greaterThan">
      <formula>9</formula>
    </cfRule>
  </conditionalFormatting>
  <conditionalFormatting sqref="K52:L52 R52:Y52 Q10:Q51 T10:X51">
    <cfRule type="cellIs" dxfId="751" priority="377" stopIfTrue="1" operator="lessThan">
      <formula>10</formula>
    </cfRule>
    <cfRule type="cellIs" dxfId="750" priority="378" stopIfTrue="1" operator="greaterThan">
      <formula>9</formula>
    </cfRule>
  </conditionalFormatting>
  <conditionalFormatting sqref="Z10:AD52">
    <cfRule type="cellIs" dxfId="749" priority="375" stopIfTrue="1" operator="greaterThan">
      <formula>9.5</formula>
    </cfRule>
    <cfRule type="cellIs" dxfId="748" priority="376" stopIfTrue="1" operator="lessThanOrEqual">
      <formula>9.5</formula>
    </cfRule>
  </conditionalFormatting>
  <conditionalFormatting sqref="F52:J52">
    <cfRule type="cellIs" dxfId="747" priority="373" stopIfTrue="1" operator="lessThan">
      <formula>10</formula>
    </cfRule>
    <cfRule type="cellIs" dxfId="746" priority="374" stopIfTrue="1" operator="greaterThan">
      <formula>9</formula>
    </cfRule>
  </conditionalFormatting>
  <conditionalFormatting sqref="F52:J52">
    <cfRule type="cellIs" dxfId="745" priority="371" stopIfTrue="1" operator="lessThan">
      <formula>10</formula>
    </cfRule>
    <cfRule type="cellIs" dxfId="744" priority="372" stopIfTrue="1" operator="greaterThan">
      <formula>9</formula>
    </cfRule>
  </conditionalFormatting>
  <conditionalFormatting sqref="M52:Q52 T10:X52 Q10:Q51">
    <cfRule type="cellIs" dxfId="743" priority="367" stopIfTrue="1" operator="lessThan">
      <formula>10</formula>
    </cfRule>
    <cfRule type="cellIs" dxfId="742" priority="368" stopIfTrue="1" operator="greaterThan">
      <formula>9</formula>
    </cfRule>
    <cfRule type="cellIs" dxfId="741" priority="369" stopIfTrue="1" operator="lessThan">
      <formula>10</formula>
    </cfRule>
    <cfRule type="cellIs" dxfId="740" priority="370" stopIfTrue="1" operator="greaterThan">
      <formula>9</formula>
    </cfRule>
  </conditionalFormatting>
  <conditionalFormatting sqref="AB10:AB52">
    <cfRule type="cellIs" dxfId="739" priority="365" stopIfTrue="1" operator="greaterThan">
      <formula>9.5</formula>
    </cfRule>
    <cfRule type="cellIs" dxfId="738" priority="366" stopIfTrue="1" operator="lessThanOrEqual">
      <formula>9.5</formula>
    </cfRule>
  </conditionalFormatting>
  <conditionalFormatting sqref="R10:R51 Y10:Y51">
    <cfRule type="cellIs" dxfId="737" priority="305" stopIfTrue="1" operator="lessThan">
      <formula>10</formula>
    </cfRule>
    <cfRule type="cellIs" dxfId="736" priority="306" stopIfTrue="1" operator="greaterThanOrEqual">
      <formula>10</formula>
    </cfRule>
  </conditionalFormatting>
  <conditionalFormatting sqref="F51:J51 M10:P51">
    <cfRule type="cellIs" dxfId="735" priority="67" stopIfTrue="1" operator="lessThan">
      <formula>10</formula>
    </cfRule>
    <cfRule type="cellIs" dxfId="734" priority="68" stopIfTrue="1" operator="greaterThan">
      <formula>9</formula>
    </cfRule>
  </conditionalFormatting>
  <conditionalFormatting sqref="F51:J51 M10:P51">
    <cfRule type="cellIs" dxfId="733" priority="65" stopIfTrue="1" operator="lessThan">
      <formula>10</formula>
    </cfRule>
    <cfRule type="cellIs" dxfId="732" priority="66" stopIfTrue="1" operator="greaterThan">
      <formula>9</formula>
    </cfRule>
  </conditionalFormatting>
  <conditionalFormatting sqref="F51:J51 M10:P51">
    <cfRule type="cellIs" dxfId="731" priority="61" stopIfTrue="1" operator="lessThan">
      <formula>10</formula>
    </cfRule>
    <cfRule type="cellIs" dxfId="730" priority="62" stopIfTrue="1" operator="greaterThan">
      <formula>9</formula>
    </cfRule>
    <cfRule type="cellIs" dxfId="729" priority="63" stopIfTrue="1" operator="lessThan">
      <formula>10</formula>
    </cfRule>
    <cfRule type="cellIs" dxfId="728" priority="64" stopIfTrue="1" operator="greaterThan">
      <formula>9</formula>
    </cfRule>
  </conditionalFormatting>
  <conditionalFormatting sqref="K10:K51">
    <cfRule type="cellIs" dxfId="727" priority="59" stopIfTrue="1" operator="lessThan">
      <formula>10</formula>
    </cfRule>
    <cfRule type="cellIs" dxfId="726" priority="60" stopIfTrue="1" operator="greaterThanOrEqual">
      <formula>10</formula>
    </cfRule>
  </conditionalFormatting>
  <conditionalFormatting sqref="J10:J50">
    <cfRule type="cellIs" dxfId="725" priority="57" stopIfTrue="1" operator="lessThan">
      <formula>10</formula>
    </cfRule>
    <cfRule type="cellIs" dxfId="724" priority="58" stopIfTrue="1" operator="greaterThan">
      <formula>9</formula>
    </cfRule>
  </conditionalFormatting>
  <conditionalFormatting sqref="J10:J50">
    <cfRule type="cellIs" dxfId="723" priority="55" stopIfTrue="1" operator="lessThan">
      <formula>10</formula>
    </cfRule>
    <cfRule type="cellIs" dxfId="722" priority="56" stopIfTrue="1" operator="greaterThan">
      <formula>9</formula>
    </cfRule>
  </conditionalFormatting>
  <conditionalFormatting sqref="J10:J50">
    <cfRule type="cellIs" dxfId="721" priority="51" stopIfTrue="1" operator="lessThan">
      <formula>10</formula>
    </cfRule>
    <cfRule type="cellIs" dxfId="720" priority="52" stopIfTrue="1" operator="greaterThan">
      <formula>9</formula>
    </cfRule>
    <cfRule type="cellIs" dxfId="719" priority="53" stopIfTrue="1" operator="lessThan">
      <formula>10</formula>
    </cfRule>
    <cfRule type="cellIs" dxfId="718" priority="54" stopIfTrue="1" operator="greaterThan">
      <formula>9</formula>
    </cfRule>
  </conditionalFormatting>
  <conditionalFormatting sqref="F20:G23">
    <cfRule type="cellIs" dxfId="717" priority="15" stopIfTrue="1" operator="lessThan">
      <formula>10</formula>
    </cfRule>
    <cfRule type="cellIs" dxfId="716" priority="16" stopIfTrue="1" operator="greaterThan">
      <formula>9</formula>
    </cfRule>
  </conditionalFormatting>
  <conditionalFormatting sqref="F20:G23">
    <cfRule type="cellIs" dxfId="715" priority="13" stopIfTrue="1" operator="lessThan">
      <formula>10</formula>
    </cfRule>
    <cfRule type="cellIs" dxfId="714" priority="14" stopIfTrue="1" operator="greaterThan">
      <formula>9</formula>
    </cfRule>
  </conditionalFormatting>
  <conditionalFormatting sqref="F20:G23">
    <cfRule type="cellIs" dxfId="713" priority="9" stopIfTrue="1" operator="lessThan">
      <formula>10</formula>
    </cfRule>
    <cfRule type="cellIs" dxfId="712" priority="10" stopIfTrue="1" operator="greaterThan">
      <formula>9</formula>
    </cfRule>
    <cfRule type="cellIs" dxfId="711" priority="11" stopIfTrue="1" operator="lessThan">
      <formula>10</formula>
    </cfRule>
    <cfRule type="cellIs" dxfId="710" priority="12" stopIfTrue="1" operator="greaterThan">
      <formula>9</formula>
    </cfRule>
  </conditionalFormatting>
  <conditionalFormatting sqref="F24:G39 F45:G50 H10:I50">
    <cfRule type="cellIs" dxfId="709" priority="47" stopIfTrue="1" operator="lessThan">
      <formula>10</formula>
    </cfRule>
    <cfRule type="cellIs" dxfId="708" priority="48" stopIfTrue="1" operator="greaterThan">
      <formula>9</formula>
    </cfRule>
  </conditionalFormatting>
  <conditionalFormatting sqref="F24:G39 F45:G50 H10:I50">
    <cfRule type="cellIs" dxfId="707" priority="45" stopIfTrue="1" operator="lessThan">
      <formula>10</formula>
    </cfRule>
    <cfRule type="cellIs" dxfId="706" priority="46" stopIfTrue="1" operator="greaterThan">
      <formula>9</formula>
    </cfRule>
  </conditionalFormatting>
  <conditionalFormatting sqref="F24:G39 F45:G50 H10:I50">
    <cfRule type="cellIs" dxfId="705" priority="41" stopIfTrue="1" operator="lessThan">
      <formula>10</formula>
    </cfRule>
    <cfRule type="cellIs" dxfId="704" priority="42" stopIfTrue="1" operator="greaterThan">
      <formula>9</formula>
    </cfRule>
    <cfRule type="cellIs" dxfId="703" priority="43" stopIfTrue="1" operator="lessThan">
      <formula>10</formula>
    </cfRule>
    <cfRule type="cellIs" dxfId="702" priority="44" stopIfTrue="1" operator="greaterThan">
      <formula>9</formula>
    </cfRule>
  </conditionalFormatting>
  <conditionalFormatting sqref="F10:G12">
    <cfRule type="cellIs" dxfId="701" priority="39" stopIfTrue="1" operator="lessThan">
      <formula>10</formula>
    </cfRule>
    <cfRule type="cellIs" dxfId="700" priority="40" stopIfTrue="1" operator="greaterThan">
      <formula>9</formula>
    </cfRule>
  </conditionalFormatting>
  <conditionalFormatting sqref="F10:G12">
    <cfRule type="cellIs" dxfId="699" priority="37" stopIfTrue="1" operator="lessThan">
      <formula>10</formula>
    </cfRule>
    <cfRule type="cellIs" dxfId="698" priority="38" stopIfTrue="1" operator="greaterThan">
      <formula>9</formula>
    </cfRule>
  </conditionalFormatting>
  <conditionalFormatting sqref="F10:G12">
    <cfRule type="cellIs" dxfId="697" priority="33" stopIfTrue="1" operator="lessThan">
      <formula>10</formula>
    </cfRule>
    <cfRule type="cellIs" dxfId="696" priority="34" stopIfTrue="1" operator="greaterThan">
      <formula>9</formula>
    </cfRule>
    <cfRule type="cellIs" dxfId="695" priority="35" stopIfTrue="1" operator="lessThan">
      <formula>10</formula>
    </cfRule>
    <cfRule type="cellIs" dxfId="694" priority="36" stopIfTrue="1" operator="greaterThan">
      <formula>9</formula>
    </cfRule>
  </conditionalFormatting>
  <conditionalFormatting sqref="F13:G15">
    <cfRule type="cellIs" dxfId="693" priority="31" stopIfTrue="1" operator="lessThan">
      <formula>10</formula>
    </cfRule>
    <cfRule type="cellIs" dxfId="692" priority="32" stopIfTrue="1" operator="greaterThan">
      <formula>9</formula>
    </cfRule>
  </conditionalFormatting>
  <conditionalFormatting sqref="F13:G15">
    <cfRule type="cellIs" dxfId="691" priority="29" stopIfTrue="1" operator="lessThan">
      <formula>10</formula>
    </cfRule>
    <cfRule type="cellIs" dxfId="690" priority="30" stopIfTrue="1" operator="greaterThan">
      <formula>9</formula>
    </cfRule>
  </conditionalFormatting>
  <conditionalFormatting sqref="F13:G15">
    <cfRule type="cellIs" dxfId="689" priority="25" stopIfTrue="1" operator="lessThan">
      <formula>10</formula>
    </cfRule>
    <cfRule type="cellIs" dxfId="688" priority="26" stopIfTrue="1" operator="greaterThan">
      <formula>9</formula>
    </cfRule>
    <cfRule type="cellIs" dxfId="687" priority="27" stopIfTrue="1" operator="lessThan">
      <formula>10</formula>
    </cfRule>
    <cfRule type="cellIs" dxfId="686" priority="28" stopIfTrue="1" operator="greaterThan">
      <formula>9</formula>
    </cfRule>
  </conditionalFormatting>
  <conditionalFormatting sqref="F16:G19">
    <cfRule type="cellIs" dxfId="685" priority="23" stopIfTrue="1" operator="lessThan">
      <formula>10</formula>
    </cfRule>
    <cfRule type="cellIs" dxfId="684" priority="24" stopIfTrue="1" operator="greaterThan">
      <formula>9</formula>
    </cfRule>
  </conditionalFormatting>
  <conditionalFormatting sqref="F16:G19">
    <cfRule type="cellIs" dxfId="683" priority="21" stopIfTrue="1" operator="lessThan">
      <formula>10</formula>
    </cfRule>
    <cfRule type="cellIs" dxfId="682" priority="22" stopIfTrue="1" operator="greaterThan">
      <formula>9</formula>
    </cfRule>
  </conditionalFormatting>
  <conditionalFormatting sqref="F16:G19">
    <cfRule type="cellIs" dxfId="681" priority="17" stopIfTrue="1" operator="lessThan">
      <formula>10</formula>
    </cfRule>
    <cfRule type="cellIs" dxfId="680" priority="18" stopIfTrue="1" operator="greaterThan">
      <formula>9</formula>
    </cfRule>
    <cfRule type="cellIs" dxfId="679" priority="19" stopIfTrue="1" operator="lessThan">
      <formula>10</formula>
    </cfRule>
    <cfRule type="cellIs" dxfId="678" priority="20" stopIfTrue="1" operator="greaterThan">
      <formula>9</formula>
    </cfRule>
  </conditionalFormatting>
  <conditionalFormatting sqref="F40:G44">
    <cfRule type="cellIs" dxfId="677" priority="7" stopIfTrue="1" operator="lessThan">
      <formula>10</formula>
    </cfRule>
    <cfRule type="cellIs" dxfId="676" priority="8" stopIfTrue="1" operator="greaterThan">
      <formula>9</formula>
    </cfRule>
  </conditionalFormatting>
  <conditionalFormatting sqref="F40:G44">
    <cfRule type="cellIs" dxfId="675" priority="5" stopIfTrue="1" operator="lessThan">
      <formula>10</formula>
    </cfRule>
    <cfRule type="cellIs" dxfId="674" priority="6" stopIfTrue="1" operator="greaterThan">
      <formula>9</formula>
    </cfRule>
  </conditionalFormatting>
  <conditionalFormatting sqref="F40:G44">
    <cfRule type="cellIs" dxfId="673" priority="1" stopIfTrue="1" operator="lessThan">
      <formula>10</formula>
    </cfRule>
    <cfRule type="cellIs" dxfId="672" priority="2" stopIfTrue="1" operator="greaterThan">
      <formula>9</formula>
    </cfRule>
    <cfRule type="cellIs" dxfId="671" priority="3" stopIfTrue="1" operator="lessThan">
      <formula>10</formula>
    </cfRule>
    <cfRule type="cellIs" dxfId="670" priority="4" stopIfTrue="1" operator="greaterThan">
      <formula>9</formula>
    </cfRule>
  </conditionalFormatting>
  <dataValidations count="1">
    <dataValidation type="decimal" allowBlank="1" showInputMessage="1" showErrorMessage="1" errorTitle="ATENÇÃO!" error="O valor introduzido não é válido. Grato!" sqref="M10:Q51 AB10:AB51 F10:J51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86" orientation="portrait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9" stopIfTrue="1" operator="containsText" id="{3BFC0470-EBF5-47DF-AB03-5130AE53C12D}">
            <xm:f>NOT(ISERROR(SEARCH("N/TRANSITA",S10)))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30" stopIfTrue="1" operator="containsText" id="{EBAFBDB2-92B1-415C-A00B-0640BFA67595}">
            <xm:f>NOT(ISERROR(SEARCH("TRANSITA",S10)))</xm:f>
            <xm:f>"TRANSITA"</xm:f>
            <x14:dxf>
              <font>
                <b/>
                <i val="0"/>
                <color rgb="FF0070C0"/>
              </font>
            </x14:dxf>
          </x14:cfRule>
          <xm:sqref>S10:S51</xm:sqref>
        </x14:conditionalFormatting>
        <x14:conditionalFormatting xmlns:xm="http://schemas.microsoft.com/office/excel/2006/main">
          <x14:cfRule type="containsText" priority="125" stopIfTrue="1" operator="containsText" id="{9FD668C7-4835-4C55-A914-B3959BB782BE}">
            <xm:f>NOT(ISERROR(SEARCH("APROVADO/A",AE10)))</xm:f>
            <xm:f>"APROVADO/A"</xm:f>
            <x14:dxf>
              <font>
                <b/>
                <i val="0"/>
                <color rgb="FF0000FF"/>
              </font>
            </x14:dxf>
          </x14:cfRule>
          <x14:cfRule type="containsText" priority="126" stopIfTrue="1" operator="containsText" id="{06F8E92B-11D9-49BA-8A63-07A5CA9933D8}">
            <xm:f>NOT(ISERROR(SEARCH("REPROVADO/A",AE10)))</xm:f>
            <xm:f>"REPROVADO/A"</xm:f>
            <x14:dxf>
              <font>
                <b/>
                <i val="0"/>
                <color rgb="FFFF0000"/>
              </font>
            </x14:dxf>
          </x14:cfRule>
          <xm:sqref>AE10:AE51</xm:sqref>
        </x14:conditionalFormatting>
        <x14:conditionalFormatting xmlns:xm="http://schemas.microsoft.com/office/excel/2006/main">
          <x14:cfRule type="containsText" priority="49" stopIfTrue="1" operator="containsText" id="{6CD0E954-7095-400F-9C78-029B6EA59606}">
            <xm:f>NOT(ISERROR(SEARCH("N/TRANSITA",L10)))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50" stopIfTrue="1" operator="containsText" id="{D73B4991-F08E-4441-9EC8-2D32333AB90D}">
            <xm:f>NOT(ISERROR(SEARCH("TRANSITA",L10)))</xm:f>
            <xm:f>"TRANSITA"</xm:f>
            <x14:dxf>
              <font>
                <b/>
                <i val="0"/>
                <color rgb="FF0070C0"/>
              </font>
            </x14:dxf>
          </x14:cfRule>
          <xm:sqref>L10:L51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3">
    <tabColor rgb="FF00B050"/>
  </sheetPr>
  <dimension ref="A1:AE57"/>
  <sheetViews>
    <sheetView showGridLines="0" zoomScaleNormal="100" zoomScalePageLayoutView="85" workbookViewId="0">
      <selection activeCell="I19" sqref="I19"/>
    </sheetView>
  </sheetViews>
  <sheetFormatPr defaultRowHeight="14.4" x14ac:dyDescent="0.3"/>
  <cols>
    <col min="1" max="1" width="1.6640625" customWidth="1"/>
    <col min="2" max="2" width="3.6640625" customWidth="1"/>
    <col min="3" max="3" width="36.33203125" customWidth="1"/>
    <col min="4" max="4" width="2.6640625" customWidth="1"/>
    <col min="5" max="5" width="2.88671875" customWidth="1"/>
    <col min="6" max="11" width="4.44140625" customWidth="1"/>
    <col min="12" max="12" width="11.88671875" customWidth="1"/>
    <col min="13" max="18" width="4.44140625" customWidth="1"/>
    <col min="19" max="19" width="11.44140625" customWidth="1"/>
    <col min="20" max="25" width="4.44140625" customWidth="1"/>
    <col min="26" max="26" width="6.109375" customWidth="1"/>
    <col min="27" max="27" width="4.44140625" customWidth="1"/>
    <col min="28" max="28" width="5.88671875" customWidth="1"/>
    <col min="29" max="29" width="4.44140625" customWidth="1"/>
    <col min="30" max="30" width="6.33203125" customWidth="1"/>
    <col min="31" max="31" width="13.109375" customWidth="1"/>
    <col min="32" max="32" width="3.44140625" customWidth="1"/>
    <col min="33" max="33" width="5" customWidth="1"/>
    <col min="267" max="267" width="1.6640625" customWidth="1"/>
    <col min="268" max="268" width="3.6640625" customWidth="1"/>
    <col min="269" max="269" width="23.44140625" customWidth="1"/>
    <col min="270" max="281" width="4.44140625" customWidth="1"/>
    <col min="282" max="282" width="6.109375" customWidth="1"/>
    <col min="283" max="283" width="4.44140625" customWidth="1"/>
    <col min="284" max="284" width="7.5546875" customWidth="1"/>
    <col min="285" max="285" width="4.44140625" customWidth="1"/>
    <col min="286" max="286" width="6.33203125" customWidth="1"/>
    <col min="287" max="287" width="7.88671875" customWidth="1"/>
    <col min="288" max="288" width="3.44140625" customWidth="1"/>
    <col min="289" max="289" width="5" customWidth="1"/>
    <col min="523" max="523" width="1.6640625" customWidth="1"/>
    <col min="524" max="524" width="3.6640625" customWidth="1"/>
    <col min="525" max="525" width="23.44140625" customWidth="1"/>
    <col min="526" max="537" width="4.44140625" customWidth="1"/>
    <col min="538" max="538" width="6.109375" customWidth="1"/>
    <col min="539" max="539" width="4.44140625" customWidth="1"/>
    <col min="540" max="540" width="7.5546875" customWidth="1"/>
    <col min="541" max="541" width="4.44140625" customWidth="1"/>
    <col min="542" max="542" width="6.33203125" customWidth="1"/>
    <col min="543" max="543" width="7.88671875" customWidth="1"/>
    <col min="544" max="544" width="3.44140625" customWidth="1"/>
    <col min="545" max="545" width="5" customWidth="1"/>
    <col min="779" max="779" width="1.6640625" customWidth="1"/>
    <col min="780" max="780" width="3.6640625" customWidth="1"/>
    <col min="781" max="781" width="23.44140625" customWidth="1"/>
    <col min="782" max="793" width="4.44140625" customWidth="1"/>
    <col min="794" max="794" width="6.109375" customWidth="1"/>
    <col min="795" max="795" width="4.44140625" customWidth="1"/>
    <col min="796" max="796" width="7.5546875" customWidth="1"/>
    <col min="797" max="797" width="4.44140625" customWidth="1"/>
    <col min="798" max="798" width="6.33203125" customWidth="1"/>
    <col min="799" max="799" width="7.88671875" customWidth="1"/>
    <col min="800" max="800" width="3.44140625" customWidth="1"/>
    <col min="801" max="801" width="5" customWidth="1"/>
    <col min="1035" max="1035" width="1.6640625" customWidth="1"/>
    <col min="1036" max="1036" width="3.6640625" customWidth="1"/>
    <col min="1037" max="1037" width="23.44140625" customWidth="1"/>
    <col min="1038" max="1049" width="4.44140625" customWidth="1"/>
    <col min="1050" max="1050" width="6.109375" customWidth="1"/>
    <col min="1051" max="1051" width="4.44140625" customWidth="1"/>
    <col min="1052" max="1052" width="7.5546875" customWidth="1"/>
    <col min="1053" max="1053" width="4.44140625" customWidth="1"/>
    <col min="1054" max="1054" width="6.33203125" customWidth="1"/>
    <col min="1055" max="1055" width="7.88671875" customWidth="1"/>
    <col min="1056" max="1056" width="3.44140625" customWidth="1"/>
    <col min="1057" max="1057" width="5" customWidth="1"/>
    <col min="1291" max="1291" width="1.6640625" customWidth="1"/>
    <col min="1292" max="1292" width="3.6640625" customWidth="1"/>
    <col min="1293" max="1293" width="23.44140625" customWidth="1"/>
    <col min="1294" max="1305" width="4.44140625" customWidth="1"/>
    <col min="1306" max="1306" width="6.109375" customWidth="1"/>
    <col min="1307" max="1307" width="4.44140625" customWidth="1"/>
    <col min="1308" max="1308" width="7.5546875" customWidth="1"/>
    <col min="1309" max="1309" width="4.44140625" customWidth="1"/>
    <col min="1310" max="1310" width="6.33203125" customWidth="1"/>
    <col min="1311" max="1311" width="7.88671875" customWidth="1"/>
    <col min="1312" max="1312" width="3.44140625" customWidth="1"/>
    <col min="1313" max="1313" width="5" customWidth="1"/>
    <col min="1547" max="1547" width="1.6640625" customWidth="1"/>
    <col min="1548" max="1548" width="3.6640625" customWidth="1"/>
    <col min="1549" max="1549" width="23.44140625" customWidth="1"/>
    <col min="1550" max="1561" width="4.44140625" customWidth="1"/>
    <col min="1562" max="1562" width="6.109375" customWidth="1"/>
    <col min="1563" max="1563" width="4.44140625" customWidth="1"/>
    <col min="1564" max="1564" width="7.5546875" customWidth="1"/>
    <col min="1565" max="1565" width="4.44140625" customWidth="1"/>
    <col min="1566" max="1566" width="6.33203125" customWidth="1"/>
    <col min="1567" max="1567" width="7.88671875" customWidth="1"/>
    <col min="1568" max="1568" width="3.44140625" customWidth="1"/>
    <col min="1569" max="1569" width="5" customWidth="1"/>
    <col min="1803" max="1803" width="1.6640625" customWidth="1"/>
    <col min="1804" max="1804" width="3.6640625" customWidth="1"/>
    <col min="1805" max="1805" width="23.44140625" customWidth="1"/>
    <col min="1806" max="1817" width="4.44140625" customWidth="1"/>
    <col min="1818" max="1818" width="6.109375" customWidth="1"/>
    <col min="1819" max="1819" width="4.44140625" customWidth="1"/>
    <col min="1820" max="1820" width="7.5546875" customWidth="1"/>
    <col min="1821" max="1821" width="4.44140625" customWidth="1"/>
    <col min="1822" max="1822" width="6.33203125" customWidth="1"/>
    <col min="1823" max="1823" width="7.88671875" customWidth="1"/>
    <col min="1824" max="1824" width="3.44140625" customWidth="1"/>
    <col min="1825" max="1825" width="5" customWidth="1"/>
    <col min="2059" max="2059" width="1.6640625" customWidth="1"/>
    <col min="2060" max="2060" width="3.6640625" customWidth="1"/>
    <col min="2061" max="2061" width="23.44140625" customWidth="1"/>
    <col min="2062" max="2073" width="4.44140625" customWidth="1"/>
    <col min="2074" max="2074" width="6.109375" customWidth="1"/>
    <col min="2075" max="2075" width="4.44140625" customWidth="1"/>
    <col min="2076" max="2076" width="7.5546875" customWidth="1"/>
    <col min="2077" max="2077" width="4.44140625" customWidth="1"/>
    <col min="2078" max="2078" width="6.33203125" customWidth="1"/>
    <col min="2079" max="2079" width="7.88671875" customWidth="1"/>
    <col min="2080" max="2080" width="3.44140625" customWidth="1"/>
    <col min="2081" max="2081" width="5" customWidth="1"/>
    <col min="2315" max="2315" width="1.6640625" customWidth="1"/>
    <col min="2316" max="2316" width="3.6640625" customWidth="1"/>
    <col min="2317" max="2317" width="23.44140625" customWidth="1"/>
    <col min="2318" max="2329" width="4.44140625" customWidth="1"/>
    <col min="2330" max="2330" width="6.109375" customWidth="1"/>
    <col min="2331" max="2331" width="4.44140625" customWidth="1"/>
    <col min="2332" max="2332" width="7.5546875" customWidth="1"/>
    <col min="2333" max="2333" width="4.44140625" customWidth="1"/>
    <col min="2334" max="2334" width="6.33203125" customWidth="1"/>
    <col min="2335" max="2335" width="7.88671875" customWidth="1"/>
    <col min="2336" max="2336" width="3.44140625" customWidth="1"/>
    <col min="2337" max="2337" width="5" customWidth="1"/>
    <col min="2571" max="2571" width="1.6640625" customWidth="1"/>
    <col min="2572" max="2572" width="3.6640625" customWidth="1"/>
    <col min="2573" max="2573" width="23.44140625" customWidth="1"/>
    <col min="2574" max="2585" width="4.44140625" customWidth="1"/>
    <col min="2586" max="2586" width="6.109375" customWidth="1"/>
    <col min="2587" max="2587" width="4.44140625" customWidth="1"/>
    <col min="2588" max="2588" width="7.5546875" customWidth="1"/>
    <col min="2589" max="2589" width="4.44140625" customWidth="1"/>
    <col min="2590" max="2590" width="6.33203125" customWidth="1"/>
    <col min="2591" max="2591" width="7.88671875" customWidth="1"/>
    <col min="2592" max="2592" width="3.44140625" customWidth="1"/>
    <col min="2593" max="2593" width="5" customWidth="1"/>
    <col min="2827" max="2827" width="1.6640625" customWidth="1"/>
    <col min="2828" max="2828" width="3.6640625" customWidth="1"/>
    <col min="2829" max="2829" width="23.44140625" customWidth="1"/>
    <col min="2830" max="2841" width="4.44140625" customWidth="1"/>
    <col min="2842" max="2842" width="6.109375" customWidth="1"/>
    <col min="2843" max="2843" width="4.44140625" customWidth="1"/>
    <col min="2844" max="2844" width="7.5546875" customWidth="1"/>
    <col min="2845" max="2845" width="4.44140625" customWidth="1"/>
    <col min="2846" max="2846" width="6.33203125" customWidth="1"/>
    <col min="2847" max="2847" width="7.88671875" customWidth="1"/>
    <col min="2848" max="2848" width="3.44140625" customWidth="1"/>
    <col min="2849" max="2849" width="5" customWidth="1"/>
    <col min="3083" max="3083" width="1.6640625" customWidth="1"/>
    <col min="3084" max="3084" width="3.6640625" customWidth="1"/>
    <col min="3085" max="3085" width="23.44140625" customWidth="1"/>
    <col min="3086" max="3097" width="4.44140625" customWidth="1"/>
    <col min="3098" max="3098" width="6.109375" customWidth="1"/>
    <col min="3099" max="3099" width="4.44140625" customWidth="1"/>
    <col min="3100" max="3100" width="7.5546875" customWidth="1"/>
    <col min="3101" max="3101" width="4.44140625" customWidth="1"/>
    <col min="3102" max="3102" width="6.33203125" customWidth="1"/>
    <col min="3103" max="3103" width="7.88671875" customWidth="1"/>
    <col min="3104" max="3104" width="3.44140625" customWidth="1"/>
    <col min="3105" max="3105" width="5" customWidth="1"/>
    <col min="3339" max="3339" width="1.6640625" customWidth="1"/>
    <col min="3340" max="3340" width="3.6640625" customWidth="1"/>
    <col min="3341" max="3341" width="23.44140625" customWidth="1"/>
    <col min="3342" max="3353" width="4.44140625" customWidth="1"/>
    <col min="3354" max="3354" width="6.109375" customWidth="1"/>
    <col min="3355" max="3355" width="4.44140625" customWidth="1"/>
    <col min="3356" max="3356" width="7.5546875" customWidth="1"/>
    <col min="3357" max="3357" width="4.44140625" customWidth="1"/>
    <col min="3358" max="3358" width="6.33203125" customWidth="1"/>
    <col min="3359" max="3359" width="7.88671875" customWidth="1"/>
    <col min="3360" max="3360" width="3.44140625" customWidth="1"/>
    <col min="3361" max="3361" width="5" customWidth="1"/>
    <col min="3595" max="3595" width="1.6640625" customWidth="1"/>
    <col min="3596" max="3596" width="3.6640625" customWidth="1"/>
    <col min="3597" max="3597" width="23.44140625" customWidth="1"/>
    <col min="3598" max="3609" width="4.44140625" customWidth="1"/>
    <col min="3610" max="3610" width="6.109375" customWidth="1"/>
    <col min="3611" max="3611" width="4.44140625" customWidth="1"/>
    <col min="3612" max="3612" width="7.5546875" customWidth="1"/>
    <col min="3613" max="3613" width="4.44140625" customWidth="1"/>
    <col min="3614" max="3614" width="6.33203125" customWidth="1"/>
    <col min="3615" max="3615" width="7.88671875" customWidth="1"/>
    <col min="3616" max="3616" width="3.44140625" customWidth="1"/>
    <col min="3617" max="3617" width="5" customWidth="1"/>
    <col min="3851" max="3851" width="1.6640625" customWidth="1"/>
    <col min="3852" max="3852" width="3.6640625" customWidth="1"/>
    <col min="3853" max="3853" width="23.44140625" customWidth="1"/>
    <col min="3854" max="3865" width="4.44140625" customWidth="1"/>
    <col min="3866" max="3866" width="6.109375" customWidth="1"/>
    <col min="3867" max="3867" width="4.44140625" customWidth="1"/>
    <col min="3868" max="3868" width="7.5546875" customWidth="1"/>
    <col min="3869" max="3869" width="4.44140625" customWidth="1"/>
    <col min="3870" max="3870" width="6.33203125" customWidth="1"/>
    <col min="3871" max="3871" width="7.88671875" customWidth="1"/>
    <col min="3872" max="3872" width="3.44140625" customWidth="1"/>
    <col min="3873" max="3873" width="5" customWidth="1"/>
    <col min="4107" max="4107" width="1.6640625" customWidth="1"/>
    <col min="4108" max="4108" width="3.6640625" customWidth="1"/>
    <col min="4109" max="4109" width="23.44140625" customWidth="1"/>
    <col min="4110" max="4121" width="4.44140625" customWidth="1"/>
    <col min="4122" max="4122" width="6.109375" customWidth="1"/>
    <col min="4123" max="4123" width="4.44140625" customWidth="1"/>
    <col min="4124" max="4124" width="7.5546875" customWidth="1"/>
    <col min="4125" max="4125" width="4.44140625" customWidth="1"/>
    <col min="4126" max="4126" width="6.33203125" customWidth="1"/>
    <col min="4127" max="4127" width="7.88671875" customWidth="1"/>
    <col min="4128" max="4128" width="3.44140625" customWidth="1"/>
    <col min="4129" max="4129" width="5" customWidth="1"/>
    <col min="4363" max="4363" width="1.6640625" customWidth="1"/>
    <col min="4364" max="4364" width="3.6640625" customWidth="1"/>
    <col min="4365" max="4365" width="23.44140625" customWidth="1"/>
    <col min="4366" max="4377" width="4.44140625" customWidth="1"/>
    <col min="4378" max="4378" width="6.109375" customWidth="1"/>
    <col min="4379" max="4379" width="4.44140625" customWidth="1"/>
    <col min="4380" max="4380" width="7.5546875" customWidth="1"/>
    <col min="4381" max="4381" width="4.44140625" customWidth="1"/>
    <col min="4382" max="4382" width="6.33203125" customWidth="1"/>
    <col min="4383" max="4383" width="7.88671875" customWidth="1"/>
    <col min="4384" max="4384" width="3.44140625" customWidth="1"/>
    <col min="4385" max="4385" width="5" customWidth="1"/>
    <col min="4619" max="4619" width="1.6640625" customWidth="1"/>
    <col min="4620" max="4620" width="3.6640625" customWidth="1"/>
    <col min="4621" max="4621" width="23.44140625" customWidth="1"/>
    <col min="4622" max="4633" width="4.44140625" customWidth="1"/>
    <col min="4634" max="4634" width="6.109375" customWidth="1"/>
    <col min="4635" max="4635" width="4.44140625" customWidth="1"/>
    <col min="4636" max="4636" width="7.5546875" customWidth="1"/>
    <col min="4637" max="4637" width="4.44140625" customWidth="1"/>
    <col min="4638" max="4638" width="6.33203125" customWidth="1"/>
    <col min="4639" max="4639" width="7.88671875" customWidth="1"/>
    <col min="4640" max="4640" width="3.44140625" customWidth="1"/>
    <col min="4641" max="4641" width="5" customWidth="1"/>
    <col min="4875" max="4875" width="1.6640625" customWidth="1"/>
    <col min="4876" max="4876" width="3.6640625" customWidth="1"/>
    <col min="4877" max="4877" width="23.44140625" customWidth="1"/>
    <col min="4878" max="4889" width="4.44140625" customWidth="1"/>
    <col min="4890" max="4890" width="6.109375" customWidth="1"/>
    <col min="4891" max="4891" width="4.44140625" customWidth="1"/>
    <col min="4892" max="4892" width="7.5546875" customWidth="1"/>
    <col min="4893" max="4893" width="4.44140625" customWidth="1"/>
    <col min="4894" max="4894" width="6.33203125" customWidth="1"/>
    <col min="4895" max="4895" width="7.88671875" customWidth="1"/>
    <col min="4896" max="4896" width="3.44140625" customWidth="1"/>
    <col min="4897" max="4897" width="5" customWidth="1"/>
    <col min="5131" max="5131" width="1.6640625" customWidth="1"/>
    <col min="5132" max="5132" width="3.6640625" customWidth="1"/>
    <col min="5133" max="5133" width="23.44140625" customWidth="1"/>
    <col min="5134" max="5145" width="4.44140625" customWidth="1"/>
    <col min="5146" max="5146" width="6.109375" customWidth="1"/>
    <col min="5147" max="5147" width="4.44140625" customWidth="1"/>
    <col min="5148" max="5148" width="7.5546875" customWidth="1"/>
    <col min="5149" max="5149" width="4.44140625" customWidth="1"/>
    <col min="5150" max="5150" width="6.33203125" customWidth="1"/>
    <col min="5151" max="5151" width="7.88671875" customWidth="1"/>
    <col min="5152" max="5152" width="3.44140625" customWidth="1"/>
    <col min="5153" max="5153" width="5" customWidth="1"/>
    <col min="5387" max="5387" width="1.6640625" customWidth="1"/>
    <col min="5388" max="5388" width="3.6640625" customWidth="1"/>
    <col min="5389" max="5389" width="23.44140625" customWidth="1"/>
    <col min="5390" max="5401" width="4.44140625" customWidth="1"/>
    <col min="5402" max="5402" width="6.109375" customWidth="1"/>
    <col min="5403" max="5403" width="4.44140625" customWidth="1"/>
    <col min="5404" max="5404" width="7.5546875" customWidth="1"/>
    <col min="5405" max="5405" width="4.44140625" customWidth="1"/>
    <col min="5406" max="5406" width="6.33203125" customWidth="1"/>
    <col min="5407" max="5407" width="7.88671875" customWidth="1"/>
    <col min="5408" max="5408" width="3.44140625" customWidth="1"/>
    <col min="5409" max="5409" width="5" customWidth="1"/>
    <col min="5643" max="5643" width="1.6640625" customWidth="1"/>
    <col min="5644" max="5644" width="3.6640625" customWidth="1"/>
    <col min="5645" max="5645" width="23.44140625" customWidth="1"/>
    <col min="5646" max="5657" width="4.44140625" customWidth="1"/>
    <col min="5658" max="5658" width="6.109375" customWidth="1"/>
    <col min="5659" max="5659" width="4.44140625" customWidth="1"/>
    <col min="5660" max="5660" width="7.5546875" customWidth="1"/>
    <col min="5661" max="5661" width="4.44140625" customWidth="1"/>
    <col min="5662" max="5662" width="6.33203125" customWidth="1"/>
    <col min="5663" max="5663" width="7.88671875" customWidth="1"/>
    <col min="5664" max="5664" width="3.44140625" customWidth="1"/>
    <col min="5665" max="5665" width="5" customWidth="1"/>
    <col min="5899" max="5899" width="1.6640625" customWidth="1"/>
    <col min="5900" max="5900" width="3.6640625" customWidth="1"/>
    <col min="5901" max="5901" width="23.44140625" customWidth="1"/>
    <col min="5902" max="5913" width="4.44140625" customWidth="1"/>
    <col min="5914" max="5914" width="6.109375" customWidth="1"/>
    <col min="5915" max="5915" width="4.44140625" customWidth="1"/>
    <col min="5916" max="5916" width="7.5546875" customWidth="1"/>
    <col min="5917" max="5917" width="4.44140625" customWidth="1"/>
    <col min="5918" max="5918" width="6.33203125" customWidth="1"/>
    <col min="5919" max="5919" width="7.88671875" customWidth="1"/>
    <col min="5920" max="5920" width="3.44140625" customWidth="1"/>
    <col min="5921" max="5921" width="5" customWidth="1"/>
    <col min="6155" max="6155" width="1.6640625" customWidth="1"/>
    <col min="6156" max="6156" width="3.6640625" customWidth="1"/>
    <col min="6157" max="6157" width="23.44140625" customWidth="1"/>
    <col min="6158" max="6169" width="4.44140625" customWidth="1"/>
    <col min="6170" max="6170" width="6.109375" customWidth="1"/>
    <col min="6171" max="6171" width="4.44140625" customWidth="1"/>
    <col min="6172" max="6172" width="7.5546875" customWidth="1"/>
    <col min="6173" max="6173" width="4.44140625" customWidth="1"/>
    <col min="6174" max="6174" width="6.33203125" customWidth="1"/>
    <col min="6175" max="6175" width="7.88671875" customWidth="1"/>
    <col min="6176" max="6176" width="3.44140625" customWidth="1"/>
    <col min="6177" max="6177" width="5" customWidth="1"/>
    <col min="6411" max="6411" width="1.6640625" customWidth="1"/>
    <col min="6412" max="6412" width="3.6640625" customWidth="1"/>
    <col min="6413" max="6413" width="23.44140625" customWidth="1"/>
    <col min="6414" max="6425" width="4.44140625" customWidth="1"/>
    <col min="6426" max="6426" width="6.109375" customWidth="1"/>
    <col min="6427" max="6427" width="4.44140625" customWidth="1"/>
    <col min="6428" max="6428" width="7.5546875" customWidth="1"/>
    <col min="6429" max="6429" width="4.44140625" customWidth="1"/>
    <col min="6430" max="6430" width="6.33203125" customWidth="1"/>
    <col min="6431" max="6431" width="7.88671875" customWidth="1"/>
    <col min="6432" max="6432" width="3.44140625" customWidth="1"/>
    <col min="6433" max="6433" width="5" customWidth="1"/>
    <col min="6667" max="6667" width="1.6640625" customWidth="1"/>
    <col min="6668" max="6668" width="3.6640625" customWidth="1"/>
    <col min="6669" max="6669" width="23.44140625" customWidth="1"/>
    <col min="6670" max="6681" width="4.44140625" customWidth="1"/>
    <col min="6682" max="6682" width="6.109375" customWidth="1"/>
    <col min="6683" max="6683" width="4.44140625" customWidth="1"/>
    <col min="6684" max="6684" width="7.5546875" customWidth="1"/>
    <col min="6685" max="6685" width="4.44140625" customWidth="1"/>
    <col min="6686" max="6686" width="6.33203125" customWidth="1"/>
    <col min="6687" max="6687" width="7.88671875" customWidth="1"/>
    <col min="6688" max="6688" width="3.44140625" customWidth="1"/>
    <col min="6689" max="6689" width="5" customWidth="1"/>
    <col min="6923" max="6923" width="1.6640625" customWidth="1"/>
    <col min="6924" max="6924" width="3.6640625" customWidth="1"/>
    <col min="6925" max="6925" width="23.44140625" customWidth="1"/>
    <col min="6926" max="6937" width="4.44140625" customWidth="1"/>
    <col min="6938" max="6938" width="6.109375" customWidth="1"/>
    <col min="6939" max="6939" width="4.44140625" customWidth="1"/>
    <col min="6940" max="6940" width="7.5546875" customWidth="1"/>
    <col min="6941" max="6941" width="4.44140625" customWidth="1"/>
    <col min="6942" max="6942" width="6.33203125" customWidth="1"/>
    <col min="6943" max="6943" width="7.88671875" customWidth="1"/>
    <col min="6944" max="6944" width="3.44140625" customWidth="1"/>
    <col min="6945" max="6945" width="5" customWidth="1"/>
    <col min="7179" max="7179" width="1.6640625" customWidth="1"/>
    <col min="7180" max="7180" width="3.6640625" customWidth="1"/>
    <col min="7181" max="7181" width="23.44140625" customWidth="1"/>
    <col min="7182" max="7193" width="4.44140625" customWidth="1"/>
    <col min="7194" max="7194" width="6.109375" customWidth="1"/>
    <col min="7195" max="7195" width="4.44140625" customWidth="1"/>
    <col min="7196" max="7196" width="7.5546875" customWidth="1"/>
    <col min="7197" max="7197" width="4.44140625" customWidth="1"/>
    <col min="7198" max="7198" width="6.33203125" customWidth="1"/>
    <col min="7199" max="7199" width="7.88671875" customWidth="1"/>
    <col min="7200" max="7200" width="3.44140625" customWidth="1"/>
    <col min="7201" max="7201" width="5" customWidth="1"/>
    <col min="7435" max="7435" width="1.6640625" customWidth="1"/>
    <col min="7436" max="7436" width="3.6640625" customWidth="1"/>
    <col min="7437" max="7437" width="23.44140625" customWidth="1"/>
    <col min="7438" max="7449" width="4.44140625" customWidth="1"/>
    <col min="7450" max="7450" width="6.109375" customWidth="1"/>
    <col min="7451" max="7451" width="4.44140625" customWidth="1"/>
    <col min="7452" max="7452" width="7.5546875" customWidth="1"/>
    <col min="7453" max="7453" width="4.44140625" customWidth="1"/>
    <col min="7454" max="7454" width="6.33203125" customWidth="1"/>
    <col min="7455" max="7455" width="7.88671875" customWidth="1"/>
    <col min="7456" max="7456" width="3.44140625" customWidth="1"/>
    <col min="7457" max="7457" width="5" customWidth="1"/>
    <col min="7691" max="7691" width="1.6640625" customWidth="1"/>
    <col min="7692" max="7692" width="3.6640625" customWidth="1"/>
    <col min="7693" max="7693" width="23.44140625" customWidth="1"/>
    <col min="7694" max="7705" width="4.44140625" customWidth="1"/>
    <col min="7706" max="7706" width="6.109375" customWidth="1"/>
    <col min="7707" max="7707" width="4.44140625" customWidth="1"/>
    <col min="7708" max="7708" width="7.5546875" customWidth="1"/>
    <col min="7709" max="7709" width="4.44140625" customWidth="1"/>
    <col min="7710" max="7710" width="6.33203125" customWidth="1"/>
    <col min="7711" max="7711" width="7.88671875" customWidth="1"/>
    <col min="7712" max="7712" width="3.44140625" customWidth="1"/>
    <col min="7713" max="7713" width="5" customWidth="1"/>
    <col min="7947" max="7947" width="1.6640625" customWidth="1"/>
    <col min="7948" max="7948" width="3.6640625" customWidth="1"/>
    <col min="7949" max="7949" width="23.44140625" customWidth="1"/>
    <col min="7950" max="7961" width="4.44140625" customWidth="1"/>
    <col min="7962" max="7962" width="6.109375" customWidth="1"/>
    <col min="7963" max="7963" width="4.44140625" customWidth="1"/>
    <col min="7964" max="7964" width="7.5546875" customWidth="1"/>
    <col min="7965" max="7965" width="4.44140625" customWidth="1"/>
    <col min="7966" max="7966" width="6.33203125" customWidth="1"/>
    <col min="7967" max="7967" width="7.88671875" customWidth="1"/>
    <col min="7968" max="7968" width="3.44140625" customWidth="1"/>
    <col min="7969" max="7969" width="5" customWidth="1"/>
    <col min="8203" max="8203" width="1.6640625" customWidth="1"/>
    <col min="8204" max="8204" width="3.6640625" customWidth="1"/>
    <col min="8205" max="8205" width="23.44140625" customWidth="1"/>
    <col min="8206" max="8217" width="4.44140625" customWidth="1"/>
    <col min="8218" max="8218" width="6.109375" customWidth="1"/>
    <col min="8219" max="8219" width="4.44140625" customWidth="1"/>
    <col min="8220" max="8220" width="7.5546875" customWidth="1"/>
    <col min="8221" max="8221" width="4.44140625" customWidth="1"/>
    <col min="8222" max="8222" width="6.33203125" customWidth="1"/>
    <col min="8223" max="8223" width="7.88671875" customWidth="1"/>
    <col min="8224" max="8224" width="3.44140625" customWidth="1"/>
    <col min="8225" max="8225" width="5" customWidth="1"/>
    <col min="8459" max="8459" width="1.6640625" customWidth="1"/>
    <col min="8460" max="8460" width="3.6640625" customWidth="1"/>
    <col min="8461" max="8461" width="23.44140625" customWidth="1"/>
    <col min="8462" max="8473" width="4.44140625" customWidth="1"/>
    <col min="8474" max="8474" width="6.109375" customWidth="1"/>
    <col min="8475" max="8475" width="4.44140625" customWidth="1"/>
    <col min="8476" max="8476" width="7.5546875" customWidth="1"/>
    <col min="8477" max="8477" width="4.44140625" customWidth="1"/>
    <col min="8478" max="8478" width="6.33203125" customWidth="1"/>
    <col min="8479" max="8479" width="7.88671875" customWidth="1"/>
    <col min="8480" max="8480" width="3.44140625" customWidth="1"/>
    <col min="8481" max="8481" width="5" customWidth="1"/>
    <col min="8715" max="8715" width="1.6640625" customWidth="1"/>
    <col min="8716" max="8716" width="3.6640625" customWidth="1"/>
    <col min="8717" max="8717" width="23.44140625" customWidth="1"/>
    <col min="8718" max="8729" width="4.44140625" customWidth="1"/>
    <col min="8730" max="8730" width="6.109375" customWidth="1"/>
    <col min="8731" max="8731" width="4.44140625" customWidth="1"/>
    <col min="8732" max="8732" width="7.5546875" customWidth="1"/>
    <col min="8733" max="8733" width="4.44140625" customWidth="1"/>
    <col min="8734" max="8734" width="6.33203125" customWidth="1"/>
    <col min="8735" max="8735" width="7.88671875" customWidth="1"/>
    <col min="8736" max="8736" width="3.44140625" customWidth="1"/>
    <col min="8737" max="8737" width="5" customWidth="1"/>
    <col min="8971" max="8971" width="1.6640625" customWidth="1"/>
    <col min="8972" max="8972" width="3.6640625" customWidth="1"/>
    <col min="8973" max="8973" width="23.44140625" customWidth="1"/>
    <col min="8974" max="8985" width="4.44140625" customWidth="1"/>
    <col min="8986" max="8986" width="6.109375" customWidth="1"/>
    <col min="8987" max="8987" width="4.44140625" customWidth="1"/>
    <col min="8988" max="8988" width="7.5546875" customWidth="1"/>
    <col min="8989" max="8989" width="4.44140625" customWidth="1"/>
    <col min="8990" max="8990" width="6.33203125" customWidth="1"/>
    <col min="8991" max="8991" width="7.88671875" customWidth="1"/>
    <col min="8992" max="8992" width="3.44140625" customWidth="1"/>
    <col min="8993" max="8993" width="5" customWidth="1"/>
    <col min="9227" max="9227" width="1.6640625" customWidth="1"/>
    <col min="9228" max="9228" width="3.6640625" customWidth="1"/>
    <col min="9229" max="9229" width="23.44140625" customWidth="1"/>
    <col min="9230" max="9241" width="4.44140625" customWidth="1"/>
    <col min="9242" max="9242" width="6.109375" customWidth="1"/>
    <col min="9243" max="9243" width="4.44140625" customWidth="1"/>
    <col min="9244" max="9244" width="7.5546875" customWidth="1"/>
    <col min="9245" max="9245" width="4.44140625" customWidth="1"/>
    <col min="9246" max="9246" width="6.33203125" customWidth="1"/>
    <col min="9247" max="9247" width="7.88671875" customWidth="1"/>
    <col min="9248" max="9248" width="3.44140625" customWidth="1"/>
    <col min="9249" max="9249" width="5" customWidth="1"/>
    <col min="9483" max="9483" width="1.6640625" customWidth="1"/>
    <col min="9484" max="9484" width="3.6640625" customWidth="1"/>
    <col min="9485" max="9485" width="23.44140625" customWidth="1"/>
    <col min="9486" max="9497" width="4.44140625" customWidth="1"/>
    <col min="9498" max="9498" width="6.109375" customWidth="1"/>
    <col min="9499" max="9499" width="4.44140625" customWidth="1"/>
    <col min="9500" max="9500" width="7.5546875" customWidth="1"/>
    <col min="9501" max="9501" width="4.44140625" customWidth="1"/>
    <col min="9502" max="9502" width="6.33203125" customWidth="1"/>
    <col min="9503" max="9503" width="7.88671875" customWidth="1"/>
    <col min="9504" max="9504" width="3.44140625" customWidth="1"/>
    <col min="9505" max="9505" width="5" customWidth="1"/>
    <col min="9739" max="9739" width="1.6640625" customWidth="1"/>
    <col min="9740" max="9740" width="3.6640625" customWidth="1"/>
    <col min="9741" max="9741" width="23.44140625" customWidth="1"/>
    <col min="9742" max="9753" width="4.44140625" customWidth="1"/>
    <col min="9754" max="9754" width="6.109375" customWidth="1"/>
    <col min="9755" max="9755" width="4.44140625" customWidth="1"/>
    <col min="9756" max="9756" width="7.5546875" customWidth="1"/>
    <col min="9757" max="9757" width="4.44140625" customWidth="1"/>
    <col min="9758" max="9758" width="6.33203125" customWidth="1"/>
    <col min="9759" max="9759" width="7.88671875" customWidth="1"/>
    <col min="9760" max="9760" width="3.44140625" customWidth="1"/>
    <col min="9761" max="9761" width="5" customWidth="1"/>
    <col min="9995" max="9995" width="1.6640625" customWidth="1"/>
    <col min="9996" max="9996" width="3.6640625" customWidth="1"/>
    <col min="9997" max="9997" width="23.44140625" customWidth="1"/>
    <col min="9998" max="10009" width="4.44140625" customWidth="1"/>
    <col min="10010" max="10010" width="6.109375" customWidth="1"/>
    <col min="10011" max="10011" width="4.44140625" customWidth="1"/>
    <col min="10012" max="10012" width="7.5546875" customWidth="1"/>
    <col min="10013" max="10013" width="4.44140625" customWidth="1"/>
    <col min="10014" max="10014" width="6.33203125" customWidth="1"/>
    <col min="10015" max="10015" width="7.88671875" customWidth="1"/>
    <col min="10016" max="10016" width="3.44140625" customWidth="1"/>
    <col min="10017" max="10017" width="5" customWidth="1"/>
    <col min="10251" max="10251" width="1.6640625" customWidth="1"/>
    <col min="10252" max="10252" width="3.6640625" customWidth="1"/>
    <col min="10253" max="10253" width="23.44140625" customWidth="1"/>
    <col min="10254" max="10265" width="4.44140625" customWidth="1"/>
    <col min="10266" max="10266" width="6.109375" customWidth="1"/>
    <col min="10267" max="10267" width="4.44140625" customWidth="1"/>
    <col min="10268" max="10268" width="7.5546875" customWidth="1"/>
    <col min="10269" max="10269" width="4.44140625" customWidth="1"/>
    <col min="10270" max="10270" width="6.33203125" customWidth="1"/>
    <col min="10271" max="10271" width="7.88671875" customWidth="1"/>
    <col min="10272" max="10272" width="3.44140625" customWidth="1"/>
    <col min="10273" max="10273" width="5" customWidth="1"/>
    <col min="10507" max="10507" width="1.6640625" customWidth="1"/>
    <col min="10508" max="10508" width="3.6640625" customWidth="1"/>
    <col min="10509" max="10509" width="23.44140625" customWidth="1"/>
    <col min="10510" max="10521" width="4.44140625" customWidth="1"/>
    <col min="10522" max="10522" width="6.109375" customWidth="1"/>
    <col min="10523" max="10523" width="4.44140625" customWidth="1"/>
    <col min="10524" max="10524" width="7.5546875" customWidth="1"/>
    <col min="10525" max="10525" width="4.44140625" customWidth="1"/>
    <col min="10526" max="10526" width="6.33203125" customWidth="1"/>
    <col min="10527" max="10527" width="7.88671875" customWidth="1"/>
    <col min="10528" max="10528" width="3.44140625" customWidth="1"/>
    <col min="10529" max="10529" width="5" customWidth="1"/>
    <col min="10763" max="10763" width="1.6640625" customWidth="1"/>
    <col min="10764" max="10764" width="3.6640625" customWidth="1"/>
    <col min="10765" max="10765" width="23.44140625" customWidth="1"/>
    <col min="10766" max="10777" width="4.44140625" customWidth="1"/>
    <col min="10778" max="10778" width="6.109375" customWidth="1"/>
    <col min="10779" max="10779" width="4.44140625" customWidth="1"/>
    <col min="10780" max="10780" width="7.5546875" customWidth="1"/>
    <col min="10781" max="10781" width="4.44140625" customWidth="1"/>
    <col min="10782" max="10782" width="6.33203125" customWidth="1"/>
    <col min="10783" max="10783" width="7.88671875" customWidth="1"/>
    <col min="10784" max="10784" width="3.44140625" customWidth="1"/>
    <col min="10785" max="10785" width="5" customWidth="1"/>
    <col min="11019" max="11019" width="1.6640625" customWidth="1"/>
    <col min="11020" max="11020" width="3.6640625" customWidth="1"/>
    <col min="11021" max="11021" width="23.44140625" customWidth="1"/>
    <col min="11022" max="11033" width="4.44140625" customWidth="1"/>
    <col min="11034" max="11034" width="6.109375" customWidth="1"/>
    <col min="11035" max="11035" width="4.44140625" customWidth="1"/>
    <col min="11036" max="11036" width="7.5546875" customWidth="1"/>
    <col min="11037" max="11037" width="4.44140625" customWidth="1"/>
    <col min="11038" max="11038" width="6.33203125" customWidth="1"/>
    <col min="11039" max="11039" width="7.88671875" customWidth="1"/>
    <col min="11040" max="11040" width="3.44140625" customWidth="1"/>
    <col min="11041" max="11041" width="5" customWidth="1"/>
    <col min="11275" max="11275" width="1.6640625" customWidth="1"/>
    <col min="11276" max="11276" width="3.6640625" customWidth="1"/>
    <col min="11277" max="11277" width="23.44140625" customWidth="1"/>
    <col min="11278" max="11289" width="4.44140625" customWidth="1"/>
    <col min="11290" max="11290" width="6.109375" customWidth="1"/>
    <col min="11291" max="11291" width="4.44140625" customWidth="1"/>
    <col min="11292" max="11292" width="7.5546875" customWidth="1"/>
    <col min="11293" max="11293" width="4.44140625" customWidth="1"/>
    <col min="11294" max="11294" width="6.33203125" customWidth="1"/>
    <col min="11295" max="11295" width="7.88671875" customWidth="1"/>
    <col min="11296" max="11296" width="3.44140625" customWidth="1"/>
    <col min="11297" max="11297" width="5" customWidth="1"/>
    <col min="11531" max="11531" width="1.6640625" customWidth="1"/>
    <col min="11532" max="11532" width="3.6640625" customWidth="1"/>
    <col min="11533" max="11533" width="23.44140625" customWidth="1"/>
    <col min="11534" max="11545" width="4.44140625" customWidth="1"/>
    <col min="11546" max="11546" width="6.109375" customWidth="1"/>
    <col min="11547" max="11547" width="4.44140625" customWidth="1"/>
    <col min="11548" max="11548" width="7.5546875" customWidth="1"/>
    <col min="11549" max="11549" width="4.44140625" customWidth="1"/>
    <col min="11550" max="11550" width="6.33203125" customWidth="1"/>
    <col min="11551" max="11551" width="7.88671875" customWidth="1"/>
    <col min="11552" max="11552" width="3.44140625" customWidth="1"/>
    <col min="11553" max="11553" width="5" customWidth="1"/>
    <col min="11787" max="11787" width="1.6640625" customWidth="1"/>
    <col min="11788" max="11788" width="3.6640625" customWidth="1"/>
    <col min="11789" max="11789" width="23.44140625" customWidth="1"/>
    <col min="11790" max="11801" width="4.44140625" customWidth="1"/>
    <col min="11802" max="11802" width="6.109375" customWidth="1"/>
    <col min="11803" max="11803" width="4.44140625" customWidth="1"/>
    <col min="11804" max="11804" width="7.5546875" customWidth="1"/>
    <col min="11805" max="11805" width="4.44140625" customWidth="1"/>
    <col min="11806" max="11806" width="6.33203125" customWidth="1"/>
    <col min="11807" max="11807" width="7.88671875" customWidth="1"/>
    <col min="11808" max="11808" width="3.44140625" customWidth="1"/>
    <col min="11809" max="11809" width="5" customWidth="1"/>
    <col min="12043" max="12043" width="1.6640625" customWidth="1"/>
    <col min="12044" max="12044" width="3.6640625" customWidth="1"/>
    <col min="12045" max="12045" width="23.44140625" customWidth="1"/>
    <col min="12046" max="12057" width="4.44140625" customWidth="1"/>
    <col min="12058" max="12058" width="6.109375" customWidth="1"/>
    <col min="12059" max="12059" width="4.44140625" customWidth="1"/>
    <col min="12060" max="12060" width="7.5546875" customWidth="1"/>
    <col min="12061" max="12061" width="4.44140625" customWidth="1"/>
    <col min="12062" max="12062" width="6.33203125" customWidth="1"/>
    <col min="12063" max="12063" width="7.88671875" customWidth="1"/>
    <col min="12064" max="12064" width="3.44140625" customWidth="1"/>
    <col min="12065" max="12065" width="5" customWidth="1"/>
    <col min="12299" max="12299" width="1.6640625" customWidth="1"/>
    <col min="12300" max="12300" width="3.6640625" customWidth="1"/>
    <col min="12301" max="12301" width="23.44140625" customWidth="1"/>
    <col min="12302" max="12313" width="4.44140625" customWidth="1"/>
    <col min="12314" max="12314" width="6.109375" customWidth="1"/>
    <col min="12315" max="12315" width="4.44140625" customWidth="1"/>
    <col min="12316" max="12316" width="7.5546875" customWidth="1"/>
    <col min="12317" max="12317" width="4.44140625" customWidth="1"/>
    <col min="12318" max="12318" width="6.33203125" customWidth="1"/>
    <col min="12319" max="12319" width="7.88671875" customWidth="1"/>
    <col min="12320" max="12320" width="3.44140625" customWidth="1"/>
    <col min="12321" max="12321" width="5" customWidth="1"/>
    <col min="12555" max="12555" width="1.6640625" customWidth="1"/>
    <col min="12556" max="12556" width="3.6640625" customWidth="1"/>
    <col min="12557" max="12557" width="23.44140625" customWidth="1"/>
    <col min="12558" max="12569" width="4.44140625" customWidth="1"/>
    <col min="12570" max="12570" width="6.109375" customWidth="1"/>
    <col min="12571" max="12571" width="4.44140625" customWidth="1"/>
    <col min="12572" max="12572" width="7.5546875" customWidth="1"/>
    <col min="12573" max="12573" width="4.44140625" customWidth="1"/>
    <col min="12574" max="12574" width="6.33203125" customWidth="1"/>
    <col min="12575" max="12575" width="7.88671875" customWidth="1"/>
    <col min="12576" max="12576" width="3.44140625" customWidth="1"/>
    <col min="12577" max="12577" width="5" customWidth="1"/>
    <col min="12811" max="12811" width="1.6640625" customWidth="1"/>
    <col min="12812" max="12812" width="3.6640625" customWidth="1"/>
    <col min="12813" max="12813" width="23.44140625" customWidth="1"/>
    <col min="12814" max="12825" width="4.44140625" customWidth="1"/>
    <col min="12826" max="12826" width="6.109375" customWidth="1"/>
    <col min="12827" max="12827" width="4.44140625" customWidth="1"/>
    <col min="12828" max="12828" width="7.5546875" customWidth="1"/>
    <col min="12829" max="12829" width="4.44140625" customWidth="1"/>
    <col min="12830" max="12830" width="6.33203125" customWidth="1"/>
    <col min="12831" max="12831" width="7.88671875" customWidth="1"/>
    <col min="12832" max="12832" width="3.44140625" customWidth="1"/>
    <col min="12833" max="12833" width="5" customWidth="1"/>
    <col min="13067" max="13067" width="1.6640625" customWidth="1"/>
    <col min="13068" max="13068" width="3.6640625" customWidth="1"/>
    <col min="13069" max="13069" width="23.44140625" customWidth="1"/>
    <col min="13070" max="13081" width="4.44140625" customWidth="1"/>
    <col min="13082" max="13082" width="6.109375" customWidth="1"/>
    <col min="13083" max="13083" width="4.44140625" customWidth="1"/>
    <col min="13084" max="13084" width="7.5546875" customWidth="1"/>
    <col min="13085" max="13085" width="4.44140625" customWidth="1"/>
    <col min="13086" max="13086" width="6.33203125" customWidth="1"/>
    <col min="13087" max="13087" width="7.88671875" customWidth="1"/>
    <col min="13088" max="13088" width="3.44140625" customWidth="1"/>
    <col min="13089" max="13089" width="5" customWidth="1"/>
    <col min="13323" max="13323" width="1.6640625" customWidth="1"/>
    <col min="13324" max="13324" width="3.6640625" customWidth="1"/>
    <col min="13325" max="13325" width="23.44140625" customWidth="1"/>
    <col min="13326" max="13337" width="4.44140625" customWidth="1"/>
    <col min="13338" max="13338" width="6.109375" customWidth="1"/>
    <col min="13339" max="13339" width="4.44140625" customWidth="1"/>
    <col min="13340" max="13340" width="7.5546875" customWidth="1"/>
    <col min="13341" max="13341" width="4.44140625" customWidth="1"/>
    <col min="13342" max="13342" width="6.33203125" customWidth="1"/>
    <col min="13343" max="13343" width="7.88671875" customWidth="1"/>
    <col min="13344" max="13344" width="3.44140625" customWidth="1"/>
    <col min="13345" max="13345" width="5" customWidth="1"/>
    <col min="13579" max="13579" width="1.6640625" customWidth="1"/>
    <col min="13580" max="13580" width="3.6640625" customWidth="1"/>
    <col min="13581" max="13581" width="23.44140625" customWidth="1"/>
    <col min="13582" max="13593" width="4.44140625" customWidth="1"/>
    <col min="13594" max="13594" width="6.109375" customWidth="1"/>
    <col min="13595" max="13595" width="4.44140625" customWidth="1"/>
    <col min="13596" max="13596" width="7.5546875" customWidth="1"/>
    <col min="13597" max="13597" width="4.44140625" customWidth="1"/>
    <col min="13598" max="13598" width="6.33203125" customWidth="1"/>
    <col min="13599" max="13599" width="7.88671875" customWidth="1"/>
    <col min="13600" max="13600" width="3.44140625" customWidth="1"/>
    <col min="13601" max="13601" width="5" customWidth="1"/>
    <col min="13835" max="13835" width="1.6640625" customWidth="1"/>
    <col min="13836" max="13836" width="3.6640625" customWidth="1"/>
    <col min="13837" max="13837" width="23.44140625" customWidth="1"/>
    <col min="13838" max="13849" width="4.44140625" customWidth="1"/>
    <col min="13850" max="13850" width="6.109375" customWidth="1"/>
    <col min="13851" max="13851" width="4.44140625" customWidth="1"/>
    <col min="13852" max="13852" width="7.5546875" customWidth="1"/>
    <col min="13853" max="13853" width="4.44140625" customWidth="1"/>
    <col min="13854" max="13854" width="6.33203125" customWidth="1"/>
    <col min="13855" max="13855" width="7.88671875" customWidth="1"/>
    <col min="13856" max="13856" width="3.44140625" customWidth="1"/>
    <col min="13857" max="13857" width="5" customWidth="1"/>
    <col min="14091" max="14091" width="1.6640625" customWidth="1"/>
    <col min="14092" max="14092" width="3.6640625" customWidth="1"/>
    <col min="14093" max="14093" width="23.44140625" customWidth="1"/>
    <col min="14094" max="14105" width="4.44140625" customWidth="1"/>
    <col min="14106" max="14106" width="6.109375" customWidth="1"/>
    <col min="14107" max="14107" width="4.44140625" customWidth="1"/>
    <col min="14108" max="14108" width="7.5546875" customWidth="1"/>
    <col min="14109" max="14109" width="4.44140625" customWidth="1"/>
    <col min="14110" max="14110" width="6.33203125" customWidth="1"/>
    <col min="14111" max="14111" width="7.88671875" customWidth="1"/>
    <col min="14112" max="14112" width="3.44140625" customWidth="1"/>
    <col min="14113" max="14113" width="5" customWidth="1"/>
    <col min="14347" max="14347" width="1.6640625" customWidth="1"/>
    <col min="14348" max="14348" width="3.6640625" customWidth="1"/>
    <col min="14349" max="14349" width="23.44140625" customWidth="1"/>
    <col min="14350" max="14361" width="4.44140625" customWidth="1"/>
    <col min="14362" max="14362" width="6.109375" customWidth="1"/>
    <col min="14363" max="14363" width="4.44140625" customWidth="1"/>
    <col min="14364" max="14364" width="7.5546875" customWidth="1"/>
    <col min="14365" max="14365" width="4.44140625" customWidth="1"/>
    <col min="14366" max="14366" width="6.33203125" customWidth="1"/>
    <col min="14367" max="14367" width="7.88671875" customWidth="1"/>
    <col min="14368" max="14368" width="3.44140625" customWidth="1"/>
    <col min="14369" max="14369" width="5" customWidth="1"/>
    <col min="14603" max="14603" width="1.6640625" customWidth="1"/>
    <col min="14604" max="14604" width="3.6640625" customWidth="1"/>
    <col min="14605" max="14605" width="23.44140625" customWidth="1"/>
    <col min="14606" max="14617" width="4.44140625" customWidth="1"/>
    <col min="14618" max="14618" width="6.109375" customWidth="1"/>
    <col min="14619" max="14619" width="4.44140625" customWidth="1"/>
    <col min="14620" max="14620" width="7.5546875" customWidth="1"/>
    <col min="14621" max="14621" width="4.44140625" customWidth="1"/>
    <col min="14622" max="14622" width="6.33203125" customWidth="1"/>
    <col min="14623" max="14623" width="7.88671875" customWidth="1"/>
    <col min="14624" max="14624" width="3.44140625" customWidth="1"/>
    <col min="14625" max="14625" width="5" customWidth="1"/>
    <col min="14859" max="14859" width="1.6640625" customWidth="1"/>
    <col min="14860" max="14860" width="3.6640625" customWidth="1"/>
    <col min="14861" max="14861" width="23.44140625" customWidth="1"/>
    <col min="14862" max="14873" width="4.44140625" customWidth="1"/>
    <col min="14874" max="14874" width="6.109375" customWidth="1"/>
    <col min="14875" max="14875" width="4.44140625" customWidth="1"/>
    <col min="14876" max="14876" width="7.5546875" customWidth="1"/>
    <col min="14877" max="14877" width="4.44140625" customWidth="1"/>
    <col min="14878" max="14878" width="6.33203125" customWidth="1"/>
    <col min="14879" max="14879" width="7.88671875" customWidth="1"/>
    <col min="14880" max="14880" width="3.44140625" customWidth="1"/>
    <col min="14881" max="14881" width="5" customWidth="1"/>
    <col min="15115" max="15115" width="1.6640625" customWidth="1"/>
    <col min="15116" max="15116" width="3.6640625" customWidth="1"/>
    <col min="15117" max="15117" width="23.44140625" customWidth="1"/>
    <col min="15118" max="15129" width="4.44140625" customWidth="1"/>
    <col min="15130" max="15130" width="6.109375" customWidth="1"/>
    <col min="15131" max="15131" width="4.44140625" customWidth="1"/>
    <col min="15132" max="15132" width="7.5546875" customWidth="1"/>
    <col min="15133" max="15133" width="4.44140625" customWidth="1"/>
    <col min="15134" max="15134" width="6.33203125" customWidth="1"/>
    <col min="15135" max="15135" width="7.88671875" customWidth="1"/>
    <col min="15136" max="15136" width="3.44140625" customWidth="1"/>
    <col min="15137" max="15137" width="5" customWidth="1"/>
    <col min="15371" max="15371" width="1.6640625" customWidth="1"/>
    <col min="15372" max="15372" width="3.6640625" customWidth="1"/>
    <col min="15373" max="15373" width="23.44140625" customWidth="1"/>
    <col min="15374" max="15385" width="4.44140625" customWidth="1"/>
    <col min="15386" max="15386" width="6.109375" customWidth="1"/>
    <col min="15387" max="15387" width="4.44140625" customWidth="1"/>
    <col min="15388" max="15388" width="7.5546875" customWidth="1"/>
    <col min="15389" max="15389" width="4.44140625" customWidth="1"/>
    <col min="15390" max="15390" width="6.33203125" customWidth="1"/>
    <col min="15391" max="15391" width="7.88671875" customWidth="1"/>
    <col min="15392" max="15392" width="3.44140625" customWidth="1"/>
    <col min="15393" max="15393" width="5" customWidth="1"/>
    <col min="15627" max="15627" width="1.6640625" customWidth="1"/>
    <col min="15628" max="15628" width="3.6640625" customWidth="1"/>
    <col min="15629" max="15629" width="23.44140625" customWidth="1"/>
    <col min="15630" max="15641" width="4.44140625" customWidth="1"/>
    <col min="15642" max="15642" width="6.109375" customWidth="1"/>
    <col min="15643" max="15643" width="4.44140625" customWidth="1"/>
    <col min="15644" max="15644" width="7.5546875" customWidth="1"/>
    <col min="15645" max="15645" width="4.44140625" customWidth="1"/>
    <col min="15646" max="15646" width="6.33203125" customWidth="1"/>
    <col min="15647" max="15647" width="7.88671875" customWidth="1"/>
    <col min="15648" max="15648" width="3.44140625" customWidth="1"/>
    <col min="15649" max="15649" width="5" customWidth="1"/>
    <col min="15883" max="15883" width="1.6640625" customWidth="1"/>
    <col min="15884" max="15884" width="3.6640625" customWidth="1"/>
    <col min="15885" max="15885" width="23.44140625" customWidth="1"/>
    <col min="15886" max="15897" width="4.44140625" customWidth="1"/>
    <col min="15898" max="15898" width="6.109375" customWidth="1"/>
    <col min="15899" max="15899" width="4.44140625" customWidth="1"/>
    <col min="15900" max="15900" width="7.5546875" customWidth="1"/>
    <col min="15901" max="15901" width="4.44140625" customWidth="1"/>
    <col min="15902" max="15902" width="6.33203125" customWidth="1"/>
    <col min="15903" max="15903" width="7.88671875" customWidth="1"/>
    <col min="15904" max="15904" width="3.44140625" customWidth="1"/>
    <col min="15905" max="15905" width="5" customWidth="1"/>
    <col min="16139" max="16139" width="1.6640625" customWidth="1"/>
    <col min="16140" max="16140" width="3.6640625" customWidth="1"/>
    <col min="16141" max="16141" width="23.44140625" customWidth="1"/>
    <col min="16142" max="16153" width="4.44140625" customWidth="1"/>
    <col min="16154" max="16154" width="6.109375" customWidth="1"/>
    <col min="16155" max="16155" width="4.44140625" customWidth="1"/>
    <col min="16156" max="16156" width="7.5546875" customWidth="1"/>
    <col min="16157" max="16157" width="4.44140625" customWidth="1"/>
    <col min="16158" max="16158" width="6.33203125" customWidth="1"/>
    <col min="16159" max="16159" width="7.88671875" customWidth="1"/>
    <col min="16160" max="16160" width="3.44140625" customWidth="1"/>
    <col min="16161" max="16161" width="5" customWidth="1"/>
  </cols>
  <sheetData>
    <row r="1" spans="1:31" ht="34.5" customHeight="1" x14ac:dyDescent="0.3">
      <c r="A1" s="280" t="s">
        <v>21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</row>
    <row r="2" spans="1:31" ht="26.25" customHeight="1" x14ac:dyDescent="0.3">
      <c r="B2" s="1"/>
      <c r="C2" s="1"/>
      <c r="D2" s="1"/>
      <c r="E2" s="1"/>
      <c r="F2" s="1"/>
      <c r="G2" s="1"/>
      <c r="H2" s="24"/>
      <c r="I2" s="1"/>
      <c r="J2" s="24"/>
      <c r="K2" s="1"/>
      <c r="L2" s="1"/>
      <c r="M2" s="1"/>
      <c r="N2" s="1"/>
      <c r="O2" s="24"/>
      <c r="P2" s="1"/>
      <c r="Q2" s="24"/>
      <c r="R2" s="1"/>
      <c r="S2" s="1"/>
      <c r="T2" s="1"/>
      <c r="U2" s="1"/>
      <c r="V2" s="24"/>
      <c r="W2" s="1"/>
      <c r="X2" s="24"/>
      <c r="Y2" s="1"/>
    </row>
    <row r="3" spans="1:31" ht="13.5" customHeight="1" x14ac:dyDescent="0.3">
      <c r="B3" s="1"/>
      <c r="C3" s="1"/>
      <c r="D3" s="1"/>
      <c r="E3" s="1"/>
      <c r="F3" s="1"/>
      <c r="G3" s="1"/>
      <c r="H3" s="24"/>
      <c r="I3" s="1"/>
      <c r="J3" s="24"/>
      <c r="K3" s="1"/>
      <c r="L3" s="283"/>
      <c r="M3" s="283"/>
      <c r="N3" s="283"/>
      <c r="O3" s="283"/>
      <c r="P3" s="283"/>
      <c r="Q3" s="283"/>
      <c r="R3" s="283"/>
      <c r="S3" s="283"/>
      <c r="T3" s="1"/>
      <c r="U3" s="1"/>
      <c r="V3" s="24"/>
      <c r="W3" s="1"/>
      <c r="X3" s="24"/>
      <c r="Y3" s="1"/>
    </row>
    <row r="4" spans="1:31" ht="15.75" customHeight="1" x14ac:dyDescent="0.3">
      <c r="B4" s="278" t="s">
        <v>13</v>
      </c>
      <c r="C4" s="278"/>
      <c r="D4" s="16"/>
      <c r="E4" s="16"/>
      <c r="G4" s="18"/>
      <c r="H4" s="18"/>
      <c r="I4" s="18"/>
      <c r="J4" s="18"/>
      <c r="K4" s="18"/>
      <c r="L4" s="18" t="s">
        <v>32</v>
      </c>
      <c r="M4" s="18"/>
      <c r="N4" s="18"/>
      <c r="O4" s="18"/>
      <c r="P4" s="18"/>
      <c r="Q4" s="18"/>
      <c r="R4" s="18"/>
      <c r="S4" s="18"/>
      <c r="T4" s="15"/>
      <c r="U4" s="15"/>
      <c r="V4" s="15"/>
      <c r="W4" s="15"/>
      <c r="X4" s="15"/>
      <c r="Y4" s="279" t="s">
        <v>139</v>
      </c>
      <c r="Z4" s="279"/>
      <c r="AA4" s="279"/>
      <c r="AB4" s="279"/>
      <c r="AC4" s="279"/>
      <c r="AD4" s="279"/>
      <c r="AE4" s="279"/>
    </row>
    <row r="5" spans="1:31" ht="6.75" customHeight="1" x14ac:dyDescent="0.3">
      <c r="B5" s="16"/>
      <c r="C5" s="16"/>
      <c r="D5" s="16"/>
      <c r="E5" s="16"/>
      <c r="F5" s="16"/>
      <c r="G5" s="16"/>
      <c r="H5" s="22"/>
      <c r="I5" s="16"/>
      <c r="J5" s="22"/>
      <c r="K5" s="16"/>
      <c r="L5" s="16"/>
      <c r="M5" s="16"/>
      <c r="N5" s="16"/>
      <c r="O5" s="22"/>
      <c r="P5" s="16"/>
      <c r="Q5" s="22"/>
      <c r="R5" s="16"/>
      <c r="S5" s="16"/>
      <c r="T5" s="15"/>
      <c r="U5" s="15"/>
      <c r="V5" s="15"/>
      <c r="W5" s="15"/>
      <c r="X5" s="15"/>
      <c r="Y5" s="17"/>
      <c r="Z5" s="17"/>
      <c r="AA5" s="17"/>
      <c r="AB5" s="17"/>
      <c r="AC5" s="17"/>
      <c r="AD5" s="17"/>
      <c r="AE5" s="17"/>
    </row>
    <row r="6" spans="1:31" ht="16.2" customHeight="1" x14ac:dyDescent="0.3">
      <c r="B6" s="278" t="s">
        <v>19</v>
      </c>
      <c r="C6" s="278"/>
      <c r="D6" s="16"/>
      <c r="E6" s="16"/>
      <c r="L6" s="18" t="s">
        <v>91</v>
      </c>
      <c r="M6" s="18"/>
      <c r="N6" s="18"/>
      <c r="O6" s="18"/>
      <c r="P6" s="18"/>
      <c r="Q6" s="18"/>
      <c r="R6" s="18"/>
      <c r="S6" s="18"/>
      <c r="T6" s="18"/>
      <c r="U6" s="15"/>
      <c r="V6" s="15"/>
      <c r="W6" s="15"/>
      <c r="X6" s="15"/>
      <c r="Y6" s="279" t="s">
        <v>43</v>
      </c>
      <c r="Z6" s="279"/>
      <c r="AA6" s="279"/>
      <c r="AB6" s="279"/>
      <c r="AC6" s="279"/>
      <c r="AD6" s="279"/>
      <c r="AE6" s="279"/>
    </row>
    <row r="7" spans="1:31" ht="28.5" customHeight="1" thickBot="1" x14ac:dyDescent="0.85">
      <c r="B7" s="285" t="s">
        <v>25</v>
      </c>
      <c r="C7" s="285"/>
      <c r="D7" s="285"/>
      <c r="E7" s="285"/>
      <c r="F7" s="285"/>
      <c r="G7" s="285"/>
      <c r="H7" s="285"/>
      <c r="I7" s="285"/>
      <c r="J7" s="285"/>
      <c r="K7" s="285"/>
      <c r="L7" s="285"/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5"/>
      <c r="AB7" s="285"/>
      <c r="AC7" s="285"/>
      <c r="AD7" s="285"/>
      <c r="AE7" s="285"/>
    </row>
    <row r="8" spans="1:31" ht="21" customHeight="1" thickTop="1" x14ac:dyDescent="0.3">
      <c r="B8" s="286" t="s">
        <v>16</v>
      </c>
      <c r="C8" s="288" t="s">
        <v>0</v>
      </c>
      <c r="D8" s="290" t="s">
        <v>15</v>
      </c>
      <c r="E8" s="291"/>
      <c r="F8" s="292" t="s">
        <v>22</v>
      </c>
      <c r="G8" s="293"/>
      <c r="H8" s="293"/>
      <c r="I8" s="293"/>
      <c r="J8" s="293"/>
      <c r="K8" s="294"/>
      <c r="L8" s="295" t="s">
        <v>3</v>
      </c>
      <c r="M8" s="292" t="s">
        <v>23</v>
      </c>
      <c r="N8" s="293"/>
      <c r="O8" s="293"/>
      <c r="P8" s="293"/>
      <c r="Q8" s="293"/>
      <c r="R8" s="294"/>
      <c r="S8" s="295" t="s">
        <v>3</v>
      </c>
      <c r="T8" s="292" t="s">
        <v>24</v>
      </c>
      <c r="U8" s="293"/>
      <c r="V8" s="293"/>
      <c r="W8" s="293"/>
      <c r="X8" s="293"/>
      <c r="Y8" s="294"/>
      <c r="Z8" s="297" t="s">
        <v>1</v>
      </c>
      <c r="AA8" s="299" t="s">
        <v>39</v>
      </c>
      <c r="AB8" s="301" t="s">
        <v>20</v>
      </c>
      <c r="AC8" s="303" t="s">
        <v>40</v>
      </c>
      <c r="AD8" s="305" t="s">
        <v>2</v>
      </c>
      <c r="AE8" s="307" t="s">
        <v>3</v>
      </c>
    </row>
    <row r="9" spans="1:31" ht="16.5" customHeight="1" thickBot="1" x14ac:dyDescent="0.35">
      <c r="B9" s="287"/>
      <c r="C9" s="289"/>
      <c r="D9" s="43" t="s">
        <v>17</v>
      </c>
      <c r="E9" s="36" t="s">
        <v>18</v>
      </c>
      <c r="F9" s="53" t="s">
        <v>4</v>
      </c>
      <c r="G9" s="33" t="s">
        <v>5</v>
      </c>
      <c r="H9" s="33" t="s">
        <v>37</v>
      </c>
      <c r="I9" s="33" t="s">
        <v>6</v>
      </c>
      <c r="J9" s="33" t="s">
        <v>38</v>
      </c>
      <c r="K9" s="54" t="s">
        <v>7</v>
      </c>
      <c r="L9" s="296"/>
      <c r="M9" s="53" t="s">
        <v>4</v>
      </c>
      <c r="N9" s="33" t="s">
        <v>5</v>
      </c>
      <c r="O9" s="33" t="s">
        <v>37</v>
      </c>
      <c r="P9" s="33" t="s">
        <v>6</v>
      </c>
      <c r="Q9" s="33" t="s">
        <v>38</v>
      </c>
      <c r="R9" s="54" t="s">
        <v>8</v>
      </c>
      <c r="S9" s="296"/>
      <c r="T9" s="53" t="s">
        <v>4</v>
      </c>
      <c r="U9" s="33" t="s">
        <v>5</v>
      </c>
      <c r="V9" s="33" t="s">
        <v>37</v>
      </c>
      <c r="W9" s="33" t="s">
        <v>6</v>
      </c>
      <c r="X9" s="33" t="s">
        <v>38</v>
      </c>
      <c r="Y9" s="54" t="s">
        <v>9</v>
      </c>
      <c r="Z9" s="298"/>
      <c r="AA9" s="300"/>
      <c r="AB9" s="302"/>
      <c r="AC9" s="304"/>
      <c r="AD9" s="306"/>
      <c r="AE9" s="308"/>
    </row>
    <row r="10" spans="1:31" ht="15.75" customHeight="1" thickTop="1" x14ac:dyDescent="0.3">
      <c r="B10" s="34">
        <v>1</v>
      </c>
      <c r="C10" s="196" t="s">
        <v>99</v>
      </c>
      <c r="D10" s="44"/>
      <c r="E10" s="37"/>
      <c r="F10" s="58">
        <v>12</v>
      </c>
      <c r="G10" s="31">
        <v>12</v>
      </c>
      <c r="H10" s="31"/>
      <c r="I10" s="32">
        <v>12</v>
      </c>
      <c r="J10" s="32"/>
      <c r="K10" s="55">
        <f t="shared" ref="K10:K51" si="0">AVERAGE(F10,MAX(G10:H10),MAX(I10:J10))</f>
        <v>12</v>
      </c>
      <c r="L10" s="165" t="str">
        <f t="shared" ref="L10:L51" si="1">IF(K10&gt;=10,"TRANSITA","N/TRANSITA")</f>
        <v>TRANSITA</v>
      </c>
      <c r="M10" s="58">
        <v>14</v>
      </c>
      <c r="N10" s="31">
        <v>14</v>
      </c>
      <c r="O10" s="31"/>
      <c r="P10" s="32">
        <v>0</v>
      </c>
      <c r="Q10" s="32"/>
      <c r="R10" s="55">
        <f>AVERAGE(M10,MAX(N10:O10),MAX(P10:Q10))</f>
        <v>9.3333333333333339</v>
      </c>
      <c r="S10" s="165" t="str">
        <f>IF(R10&gt;=10,"TRANSITA","N/TRANSITA")</f>
        <v>N/TRANSITA</v>
      </c>
      <c r="T10" s="58"/>
      <c r="U10" s="31"/>
      <c r="V10" s="31"/>
      <c r="W10" s="32" t="e">
        <f>AVERAGE(T10:U10)</f>
        <v>#DIV/0!</v>
      </c>
      <c r="X10" s="32"/>
      <c r="Y10" s="55" t="e">
        <f>AVERAGE(T10,MAX(U10:V10),MAX(W10:X10))</f>
        <v>#DIV/0!</v>
      </c>
      <c r="Z10" s="47" t="e">
        <f t="shared" ref="Z10:Z51" si="2">SUM(K10,R10,Y10)/3</f>
        <v>#DIV/0!</v>
      </c>
      <c r="AA10" s="40" t="e">
        <f>Z10*0.4</f>
        <v>#DIV/0!</v>
      </c>
      <c r="AB10" s="61"/>
      <c r="AC10" s="50">
        <f>AB10*0.6</f>
        <v>0</v>
      </c>
      <c r="AD10" s="64" t="e">
        <f>AVERAGE(AA10+AC10)</f>
        <v>#DIV/0!</v>
      </c>
      <c r="AE10" s="163" t="e">
        <f>IF(AD10&gt;=10,"APROVADO/A","REPROVADO/A")</f>
        <v>#DIV/0!</v>
      </c>
    </row>
    <row r="11" spans="1:31" ht="15.75" customHeight="1" x14ac:dyDescent="0.3">
      <c r="B11" s="35">
        <v>2</v>
      </c>
      <c r="C11" s="197" t="s">
        <v>100</v>
      </c>
      <c r="D11" s="45"/>
      <c r="E11" s="38"/>
      <c r="F11" s="58">
        <v>12</v>
      </c>
      <c r="G11" s="31">
        <v>12</v>
      </c>
      <c r="H11" s="31"/>
      <c r="I11" s="32">
        <v>12</v>
      </c>
      <c r="J11" s="28"/>
      <c r="K11" s="56">
        <f t="shared" si="0"/>
        <v>12</v>
      </c>
      <c r="L11" s="166" t="str">
        <f t="shared" si="1"/>
        <v>TRANSITA</v>
      </c>
      <c r="M11" s="58">
        <v>14</v>
      </c>
      <c r="N11" s="31">
        <v>14</v>
      </c>
      <c r="O11" s="27"/>
      <c r="P11" s="32">
        <v>17</v>
      </c>
      <c r="Q11" s="28"/>
      <c r="R11" s="56">
        <f t="shared" ref="R11:R51" si="3">AVERAGE(M11,MAX(N11:O11),MAX(P11:Q11))</f>
        <v>15</v>
      </c>
      <c r="S11" s="166" t="str">
        <f t="shared" ref="S11:S51" si="4">IF(R11&gt;=10,"TRANSITA","N/TRANSITA")</f>
        <v>TRANSITA</v>
      </c>
      <c r="T11" s="59"/>
      <c r="U11" s="27"/>
      <c r="V11" s="27"/>
      <c r="W11" s="32" t="e">
        <f t="shared" ref="W11:W51" si="5">AVERAGE(T11:U11)</f>
        <v>#DIV/0!</v>
      </c>
      <c r="X11" s="28"/>
      <c r="Y11" s="56" t="e">
        <f t="shared" ref="Y11:Y51" si="6">AVERAGE(T11,MAX(U11:V11),MAX(W11:X11))</f>
        <v>#DIV/0!</v>
      </c>
      <c r="Z11" s="48" t="e">
        <f t="shared" si="2"/>
        <v>#DIV/0!</v>
      </c>
      <c r="AA11" s="41" t="e">
        <f t="shared" ref="AA11:AA51" si="7">Z11*0.4</f>
        <v>#DIV/0!</v>
      </c>
      <c r="AB11" s="62"/>
      <c r="AC11" s="51">
        <f t="shared" ref="AC11" si="8">AB11*0.6</f>
        <v>0</v>
      </c>
      <c r="AD11" s="65" t="e">
        <f t="shared" ref="AD11" si="9">AVERAGE(AA11+AC11)</f>
        <v>#DIV/0!</v>
      </c>
      <c r="AE11" s="162" t="e">
        <f t="shared" ref="AE11:AE51" si="10">IF(AD11&gt;=10,"APROVADO/A","REPROVADO/A")</f>
        <v>#DIV/0!</v>
      </c>
    </row>
    <row r="12" spans="1:31" ht="15.75" customHeight="1" x14ac:dyDescent="0.3">
      <c r="B12" s="35">
        <v>3</v>
      </c>
      <c r="C12" s="197" t="s">
        <v>101</v>
      </c>
      <c r="D12" s="45"/>
      <c r="E12" s="38"/>
      <c r="F12" s="58">
        <v>12</v>
      </c>
      <c r="G12" s="31">
        <v>12</v>
      </c>
      <c r="H12" s="31"/>
      <c r="I12" s="32">
        <v>12</v>
      </c>
      <c r="J12" s="28"/>
      <c r="K12" s="56">
        <f t="shared" si="0"/>
        <v>12</v>
      </c>
      <c r="L12" s="166" t="str">
        <f t="shared" si="1"/>
        <v>TRANSITA</v>
      </c>
      <c r="M12" s="58">
        <v>14</v>
      </c>
      <c r="N12" s="31">
        <v>14</v>
      </c>
      <c r="O12" s="27"/>
      <c r="P12" s="32"/>
      <c r="Q12" s="28"/>
      <c r="R12" s="56">
        <f t="shared" si="3"/>
        <v>9.3333333333333339</v>
      </c>
      <c r="S12" s="166" t="str">
        <f t="shared" si="4"/>
        <v>N/TRANSITA</v>
      </c>
      <c r="T12" s="59"/>
      <c r="U12" s="27"/>
      <c r="V12" s="27"/>
      <c r="W12" s="32" t="e">
        <f t="shared" si="5"/>
        <v>#DIV/0!</v>
      </c>
      <c r="X12" s="28"/>
      <c r="Y12" s="56" t="e">
        <f t="shared" si="6"/>
        <v>#DIV/0!</v>
      </c>
      <c r="Z12" s="48" t="e">
        <f t="shared" si="2"/>
        <v>#DIV/0!</v>
      </c>
      <c r="AA12" s="41" t="e">
        <f t="shared" si="7"/>
        <v>#DIV/0!</v>
      </c>
      <c r="AB12" s="62"/>
      <c r="AC12" s="51">
        <f t="shared" ref="AC12:AC45" si="11">AB12*0.6</f>
        <v>0</v>
      </c>
      <c r="AD12" s="65" t="e">
        <f t="shared" ref="AD12:AD45" si="12">AVERAGE(AA12+AC12)</f>
        <v>#DIV/0!</v>
      </c>
      <c r="AE12" s="162" t="e">
        <f t="shared" si="10"/>
        <v>#DIV/0!</v>
      </c>
    </row>
    <row r="13" spans="1:31" ht="15.75" customHeight="1" x14ac:dyDescent="0.3">
      <c r="B13" s="35">
        <v>4</v>
      </c>
      <c r="C13" s="197" t="s">
        <v>102</v>
      </c>
      <c r="D13" s="45"/>
      <c r="E13" s="38"/>
      <c r="F13" s="58">
        <v>12</v>
      </c>
      <c r="G13" s="31">
        <v>12</v>
      </c>
      <c r="H13" s="31"/>
      <c r="I13" s="32">
        <v>12</v>
      </c>
      <c r="J13" s="28"/>
      <c r="K13" s="56">
        <f t="shared" si="0"/>
        <v>12</v>
      </c>
      <c r="L13" s="166" t="str">
        <f t="shared" si="1"/>
        <v>TRANSITA</v>
      </c>
      <c r="M13" s="58">
        <v>14</v>
      </c>
      <c r="N13" s="31">
        <v>14</v>
      </c>
      <c r="O13" s="27"/>
      <c r="P13" s="32">
        <v>19</v>
      </c>
      <c r="Q13" s="28"/>
      <c r="R13" s="56">
        <f t="shared" si="3"/>
        <v>15.666666666666666</v>
      </c>
      <c r="S13" s="166" t="str">
        <f t="shared" si="4"/>
        <v>TRANSITA</v>
      </c>
      <c r="T13" s="59"/>
      <c r="U13" s="27"/>
      <c r="V13" s="27"/>
      <c r="W13" s="32" t="e">
        <f t="shared" si="5"/>
        <v>#DIV/0!</v>
      </c>
      <c r="X13" s="28"/>
      <c r="Y13" s="56" t="e">
        <f t="shared" si="6"/>
        <v>#DIV/0!</v>
      </c>
      <c r="Z13" s="48" t="e">
        <f t="shared" si="2"/>
        <v>#DIV/0!</v>
      </c>
      <c r="AA13" s="41" t="e">
        <f t="shared" si="7"/>
        <v>#DIV/0!</v>
      </c>
      <c r="AB13" s="62"/>
      <c r="AC13" s="51">
        <f t="shared" si="11"/>
        <v>0</v>
      </c>
      <c r="AD13" s="65" t="e">
        <f t="shared" si="12"/>
        <v>#DIV/0!</v>
      </c>
      <c r="AE13" s="162" t="e">
        <f t="shared" si="10"/>
        <v>#DIV/0!</v>
      </c>
    </row>
    <row r="14" spans="1:31" ht="15.75" customHeight="1" x14ac:dyDescent="0.3">
      <c r="B14" s="35">
        <v>5</v>
      </c>
      <c r="C14" s="197" t="s">
        <v>103</v>
      </c>
      <c r="D14" s="45"/>
      <c r="E14" s="38"/>
      <c r="F14" s="58">
        <v>12</v>
      </c>
      <c r="G14" s="31">
        <v>12</v>
      </c>
      <c r="H14" s="31"/>
      <c r="I14" s="32">
        <v>12</v>
      </c>
      <c r="J14" s="28"/>
      <c r="K14" s="56">
        <f t="shared" si="0"/>
        <v>12</v>
      </c>
      <c r="L14" s="166" t="str">
        <f t="shared" si="1"/>
        <v>TRANSITA</v>
      </c>
      <c r="M14" s="58">
        <v>14</v>
      </c>
      <c r="N14" s="31">
        <v>14</v>
      </c>
      <c r="O14" s="27"/>
      <c r="P14" s="32">
        <v>16.5</v>
      </c>
      <c r="Q14" s="28"/>
      <c r="R14" s="56">
        <f t="shared" si="3"/>
        <v>14.833333333333334</v>
      </c>
      <c r="S14" s="166" t="str">
        <f t="shared" si="4"/>
        <v>TRANSITA</v>
      </c>
      <c r="T14" s="59"/>
      <c r="U14" s="27"/>
      <c r="V14" s="27"/>
      <c r="W14" s="32" t="e">
        <f t="shared" si="5"/>
        <v>#DIV/0!</v>
      </c>
      <c r="X14" s="28"/>
      <c r="Y14" s="56" t="e">
        <f t="shared" si="6"/>
        <v>#DIV/0!</v>
      </c>
      <c r="Z14" s="48" t="e">
        <f t="shared" si="2"/>
        <v>#DIV/0!</v>
      </c>
      <c r="AA14" s="41" t="e">
        <f t="shared" si="7"/>
        <v>#DIV/0!</v>
      </c>
      <c r="AB14" s="62"/>
      <c r="AC14" s="51">
        <f t="shared" si="11"/>
        <v>0</v>
      </c>
      <c r="AD14" s="65" t="e">
        <f t="shared" si="12"/>
        <v>#DIV/0!</v>
      </c>
      <c r="AE14" s="162" t="e">
        <f t="shared" si="10"/>
        <v>#DIV/0!</v>
      </c>
    </row>
    <row r="15" spans="1:31" ht="15.75" customHeight="1" x14ac:dyDescent="0.3">
      <c r="B15" s="35">
        <v>6</v>
      </c>
      <c r="C15" s="197" t="s">
        <v>104</v>
      </c>
      <c r="D15" s="45"/>
      <c r="E15" s="38"/>
      <c r="F15" s="58">
        <v>12</v>
      </c>
      <c r="G15" s="31">
        <v>12</v>
      </c>
      <c r="H15" s="31"/>
      <c r="I15" s="32">
        <v>12</v>
      </c>
      <c r="J15" s="151"/>
      <c r="K15" s="56">
        <f t="shared" si="0"/>
        <v>12</v>
      </c>
      <c r="L15" s="166" t="str">
        <f t="shared" si="1"/>
        <v>TRANSITA</v>
      </c>
      <c r="M15" s="58">
        <v>14</v>
      </c>
      <c r="N15" s="31">
        <v>14</v>
      </c>
      <c r="O15" s="148"/>
      <c r="P15" s="32">
        <v>15</v>
      </c>
      <c r="Q15" s="151"/>
      <c r="R15" s="56">
        <f t="shared" si="3"/>
        <v>14.333333333333334</v>
      </c>
      <c r="S15" s="166" t="str">
        <f t="shared" si="4"/>
        <v>TRANSITA</v>
      </c>
      <c r="T15" s="149"/>
      <c r="U15" s="148"/>
      <c r="V15" s="148"/>
      <c r="W15" s="32" t="e">
        <f t="shared" si="5"/>
        <v>#DIV/0!</v>
      </c>
      <c r="X15" s="151"/>
      <c r="Y15" s="56" t="e">
        <f t="shared" si="6"/>
        <v>#DIV/0!</v>
      </c>
      <c r="Z15" s="48" t="e">
        <f t="shared" si="2"/>
        <v>#DIV/0!</v>
      </c>
      <c r="AA15" s="41" t="e">
        <f t="shared" si="7"/>
        <v>#DIV/0!</v>
      </c>
      <c r="AB15" s="62"/>
      <c r="AC15" s="51">
        <f t="shared" si="11"/>
        <v>0</v>
      </c>
      <c r="AD15" s="65" t="e">
        <f t="shared" si="12"/>
        <v>#DIV/0!</v>
      </c>
      <c r="AE15" s="162" t="e">
        <f t="shared" si="10"/>
        <v>#DIV/0!</v>
      </c>
    </row>
    <row r="16" spans="1:31" ht="15.75" customHeight="1" x14ac:dyDescent="0.3">
      <c r="B16" s="35">
        <v>7</v>
      </c>
      <c r="C16" s="197" t="s">
        <v>105</v>
      </c>
      <c r="D16" s="45"/>
      <c r="E16" s="38"/>
      <c r="F16" s="58">
        <v>12</v>
      </c>
      <c r="G16" s="31">
        <v>12</v>
      </c>
      <c r="H16" s="31"/>
      <c r="I16" s="32">
        <v>12</v>
      </c>
      <c r="J16" s="28"/>
      <c r="K16" s="56">
        <f t="shared" si="0"/>
        <v>12</v>
      </c>
      <c r="L16" s="166" t="str">
        <f t="shared" si="1"/>
        <v>TRANSITA</v>
      </c>
      <c r="M16" s="58">
        <v>14</v>
      </c>
      <c r="N16" s="31">
        <v>14</v>
      </c>
      <c r="O16" s="27"/>
      <c r="P16" s="32">
        <v>16.5</v>
      </c>
      <c r="Q16" s="28"/>
      <c r="R16" s="56">
        <f t="shared" si="3"/>
        <v>14.833333333333334</v>
      </c>
      <c r="S16" s="166" t="str">
        <f t="shared" si="4"/>
        <v>TRANSITA</v>
      </c>
      <c r="T16" s="59"/>
      <c r="U16" s="27"/>
      <c r="V16" s="27"/>
      <c r="W16" s="32" t="e">
        <f t="shared" si="5"/>
        <v>#DIV/0!</v>
      </c>
      <c r="X16" s="28"/>
      <c r="Y16" s="56" t="e">
        <f t="shared" si="6"/>
        <v>#DIV/0!</v>
      </c>
      <c r="Z16" s="48" t="e">
        <f t="shared" si="2"/>
        <v>#DIV/0!</v>
      </c>
      <c r="AA16" s="41" t="e">
        <f t="shared" si="7"/>
        <v>#DIV/0!</v>
      </c>
      <c r="AB16" s="62"/>
      <c r="AC16" s="51">
        <f t="shared" si="11"/>
        <v>0</v>
      </c>
      <c r="AD16" s="65" t="e">
        <f t="shared" si="12"/>
        <v>#DIV/0!</v>
      </c>
      <c r="AE16" s="162" t="e">
        <f t="shared" si="10"/>
        <v>#DIV/0!</v>
      </c>
    </row>
    <row r="17" spans="2:31" ht="15.75" customHeight="1" x14ac:dyDescent="0.3">
      <c r="B17" s="35">
        <v>8</v>
      </c>
      <c r="C17" s="197" t="s">
        <v>106</v>
      </c>
      <c r="D17" s="45"/>
      <c r="E17" s="38"/>
      <c r="F17" s="58">
        <v>12</v>
      </c>
      <c r="G17" s="31">
        <v>12</v>
      </c>
      <c r="H17" s="31"/>
      <c r="I17" s="32">
        <v>12</v>
      </c>
      <c r="J17" s="28"/>
      <c r="K17" s="56">
        <f t="shared" si="0"/>
        <v>12</v>
      </c>
      <c r="L17" s="166" t="str">
        <f t="shared" si="1"/>
        <v>TRANSITA</v>
      </c>
      <c r="M17" s="58">
        <v>14</v>
      </c>
      <c r="N17" s="31">
        <v>14</v>
      </c>
      <c r="O17" s="27"/>
      <c r="P17" s="32"/>
      <c r="Q17" s="28"/>
      <c r="R17" s="56">
        <f t="shared" si="3"/>
        <v>9.3333333333333339</v>
      </c>
      <c r="S17" s="166" t="str">
        <f t="shared" si="4"/>
        <v>N/TRANSITA</v>
      </c>
      <c r="T17" s="59"/>
      <c r="U17" s="27"/>
      <c r="V17" s="27"/>
      <c r="W17" s="32" t="e">
        <f t="shared" si="5"/>
        <v>#DIV/0!</v>
      </c>
      <c r="X17" s="28"/>
      <c r="Y17" s="56" t="e">
        <f t="shared" si="6"/>
        <v>#DIV/0!</v>
      </c>
      <c r="Z17" s="48" t="e">
        <f t="shared" si="2"/>
        <v>#DIV/0!</v>
      </c>
      <c r="AA17" s="41" t="e">
        <f t="shared" si="7"/>
        <v>#DIV/0!</v>
      </c>
      <c r="AB17" s="62"/>
      <c r="AC17" s="51">
        <f t="shared" si="11"/>
        <v>0</v>
      </c>
      <c r="AD17" s="65" t="e">
        <f t="shared" si="12"/>
        <v>#DIV/0!</v>
      </c>
      <c r="AE17" s="162" t="e">
        <f t="shared" si="10"/>
        <v>#DIV/0!</v>
      </c>
    </row>
    <row r="18" spans="2:31" ht="15.75" customHeight="1" x14ac:dyDescent="0.3">
      <c r="B18" s="35">
        <v>9</v>
      </c>
      <c r="C18" s="197" t="s">
        <v>144</v>
      </c>
      <c r="D18" s="45"/>
      <c r="E18" s="38"/>
      <c r="F18" s="58"/>
      <c r="G18" s="31"/>
      <c r="H18" s="31"/>
      <c r="I18" s="32"/>
      <c r="J18" s="28"/>
      <c r="K18" s="56">
        <f t="shared" si="0"/>
        <v>0</v>
      </c>
      <c r="L18" s="166" t="str">
        <f t="shared" si="1"/>
        <v>N/TRANSITA</v>
      </c>
      <c r="M18" s="58">
        <v>14</v>
      </c>
      <c r="N18" s="31">
        <v>14</v>
      </c>
      <c r="O18" s="27"/>
      <c r="P18" s="32">
        <v>14</v>
      </c>
      <c r="Q18" s="28"/>
      <c r="R18" s="56">
        <f t="shared" ref="R18" si="13">AVERAGE(M18,MAX(N18:O18),MAX(P18:Q18))</f>
        <v>14</v>
      </c>
      <c r="S18" s="166" t="str">
        <f t="shared" ref="S18" si="14">IF(R18&gt;=10,"TRANSITA","N/TRANSITA")</f>
        <v>TRANSITA</v>
      </c>
      <c r="T18" s="59"/>
      <c r="U18" s="27"/>
      <c r="V18" s="27"/>
      <c r="W18" s="32" t="e">
        <f t="shared" ref="W18" si="15">AVERAGE(T18:U18)</f>
        <v>#DIV/0!</v>
      </c>
      <c r="X18" s="28"/>
      <c r="Y18" s="56" t="e">
        <f t="shared" ref="Y18" si="16">AVERAGE(T18,MAX(U18:V18),MAX(W18:X18))</f>
        <v>#DIV/0!</v>
      </c>
      <c r="Z18" s="48" t="e">
        <f t="shared" ref="Z18" si="17">SUM(K18,R18,Y18)/3</f>
        <v>#DIV/0!</v>
      </c>
      <c r="AA18" s="41" t="e">
        <f t="shared" ref="AA18" si="18">Z18*0.4</f>
        <v>#DIV/0!</v>
      </c>
      <c r="AB18" s="62"/>
      <c r="AC18" s="51">
        <f t="shared" ref="AC18" si="19">AB18*0.6</f>
        <v>0</v>
      </c>
      <c r="AD18" s="65" t="e">
        <f t="shared" ref="AD18" si="20">AVERAGE(AA18+AC18)</f>
        <v>#DIV/0!</v>
      </c>
      <c r="AE18" s="162" t="e">
        <f t="shared" ref="AE18" si="21">IF(AD18&gt;=10,"APROVADO/A","REPROVADO/A")</f>
        <v>#DIV/0!</v>
      </c>
    </row>
    <row r="19" spans="2:31" ht="15.75" customHeight="1" x14ac:dyDescent="0.3">
      <c r="B19" s="35">
        <v>10</v>
      </c>
      <c r="C19" s="197" t="s">
        <v>107</v>
      </c>
      <c r="D19" s="45"/>
      <c r="E19" s="38"/>
      <c r="F19" s="58">
        <v>16</v>
      </c>
      <c r="G19" s="31">
        <v>20</v>
      </c>
      <c r="H19" s="31"/>
      <c r="I19" s="32">
        <v>12</v>
      </c>
      <c r="J19" s="28"/>
      <c r="K19" s="56">
        <f t="shared" si="0"/>
        <v>16</v>
      </c>
      <c r="L19" s="166" t="str">
        <f t="shared" si="1"/>
        <v>TRANSITA</v>
      </c>
      <c r="M19" s="58">
        <v>14</v>
      </c>
      <c r="N19" s="31">
        <v>14</v>
      </c>
      <c r="O19" s="27"/>
      <c r="P19" s="32">
        <v>12.5</v>
      </c>
      <c r="Q19" s="28"/>
      <c r="R19" s="56">
        <f t="shared" si="3"/>
        <v>13.5</v>
      </c>
      <c r="S19" s="166" t="str">
        <f t="shared" si="4"/>
        <v>TRANSITA</v>
      </c>
      <c r="T19" s="59"/>
      <c r="U19" s="27"/>
      <c r="V19" s="27"/>
      <c r="W19" s="32" t="e">
        <f t="shared" si="5"/>
        <v>#DIV/0!</v>
      </c>
      <c r="X19" s="28"/>
      <c r="Y19" s="56" t="e">
        <f t="shared" si="6"/>
        <v>#DIV/0!</v>
      </c>
      <c r="Z19" s="48" t="e">
        <f t="shared" si="2"/>
        <v>#DIV/0!</v>
      </c>
      <c r="AA19" s="41" t="e">
        <f t="shared" si="7"/>
        <v>#DIV/0!</v>
      </c>
      <c r="AB19" s="62"/>
      <c r="AC19" s="51">
        <f t="shared" si="11"/>
        <v>0</v>
      </c>
      <c r="AD19" s="65" t="e">
        <f t="shared" si="12"/>
        <v>#DIV/0!</v>
      </c>
      <c r="AE19" s="162" t="e">
        <f t="shared" si="10"/>
        <v>#DIV/0!</v>
      </c>
    </row>
    <row r="20" spans="2:31" ht="15.75" customHeight="1" x14ac:dyDescent="0.3">
      <c r="B20" s="35">
        <v>11</v>
      </c>
      <c r="C20" s="197" t="s">
        <v>108</v>
      </c>
      <c r="D20" s="45"/>
      <c r="E20" s="38"/>
      <c r="F20" s="58">
        <v>12</v>
      </c>
      <c r="G20" s="31">
        <v>12</v>
      </c>
      <c r="H20" s="31"/>
      <c r="I20" s="32">
        <v>12</v>
      </c>
      <c r="J20" s="28"/>
      <c r="K20" s="56">
        <f t="shared" si="0"/>
        <v>12</v>
      </c>
      <c r="L20" s="166" t="str">
        <f t="shared" si="1"/>
        <v>TRANSITA</v>
      </c>
      <c r="M20" s="58">
        <v>14</v>
      </c>
      <c r="N20" s="31">
        <v>14</v>
      </c>
      <c r="O20" s="27"/>
      <c r="P20" s="32">
        <v>15.5</v>
      </c>
      <c r="Q20" s="28"/>
      <c r="R20" s="56">
        <f t="shared" si="3"/>
        <v>14.5</v>
      </c>
      <c r="S20" s="166" t="str">
        <f t="shared" si="4"/>
        <v>TRANSITA</v>
      </c>
      <c r="T20" s="59"/>
      <c r="U20" s="27"/>
      <c r="V20" s="27"/>
      <c r="W20" s="32" t="e">
        <f t="shared" si="5"/>
        <v>#DIV/0!</v>
      </c>
      <c r="X20" s="28"/>
      <c r="Y20" s="56" t="e">
        <f t="shared" si="6"/>
        <v>#DIV/0!</v>
      </c>
      <c r="Z20" s="48" t="e">
        <f t="shared" si="2"/>
        <v>#DIV/0!</v>
      </c>
      <c r="AA20" s="41" t="e">
        <f t="shared" si="7"/>
        <v>#DIV/0!</v>
      </c>
      <c r="AB20" s="62"/>
      <c r="AC20" s="51">
        <f t="shared" ref="AC20" si="22">AB20*0.6</f>
        <v>0</v>
      </c>
      <c r="AD20" s="65" t="e">
        <f t="shared" ref="AD20" si="23">AVERAGE(AA20+AC20)</f>
        <v>#DIV/0!</v>
      </c>
      <c r="AE20" s="162" t="e">
        <f t="shared" si="10"/>
        <v>#DIV/0!</v>
      </c>
    </row>
    <row r="21" spans="2:31" ht="15.75" customHeight="1" x14ac:dyDescent="0.3">
      <c r="B21" s="35">
        <v>12</v>
      </c>
      <c r="C21" s="197" t="s">
        <v>109</v>
      </c>
      <c r="D21" s="45"/>
      <c r="E21" s="38"/>
      <c r="F21" s="58">
        <v>12</v>
      </c>
      <c r="G21" s="31">
        <v>12</v>
      </c>
      <c r="H21" s="31"/>
      <c r="I21" s="32">
        <v>12</v>
      </c>
      <c r="J21" s="151"/>
      <c r="K21" s="56">
        <f t="shared" si="0"/>
        <v>12</v>
      </c>
      <c r="L21" s="166" t="str">
        <f t="shared" si="1"/>
        <v>TRANSITA</v>
      </c>
      <c r="M21" s="58">
        <v>14</v>
      </c>
      <c r="N21" s="31">
        <v>14</v>
      </c>
      <c r="O21" s="148"/>
      <c r="P21" s="32">
        <v>19</v>
      </c>
      <c r="Q21" s="151"/>
      <c r="R21" s="56">
        <f t="shared" si="3"/>
        <v>15.666666666666666</v>
      </c>
      <c r="S21" s="166" t="str">
        <f t="shared" si="4"/>
        <v>TRANSITA</v>
      </c>
      <c r="T21" s="149"/>
      <c r="U21" s="148"/>
      <c r="V21" s="148"/>
      <c r="W21" s="32" t="e">
        <f t="shared" si="5"/>
        <v>#DIV/0!</v>
      </c>
      <c r="X21" s="151"/>
      <c r="Y21" s="56" t="e">
        <f t="shared" si="6"/>
        <v>#DIV/0!</v>
      </c>
      <c r="Z21" s="48" t="e">
        <f t="shared" si="2"/>
        <v>#DIV/0!</v>
      </c>
      <c r="AA21" s="41" t="e">
        <f t="shared" si="7"/>
        <v>#DIV/0!</v>
      </c>
      <c r="AB21" s="62"/>
      <c r="AC21" s="51">
        <f t="shared" ref="AC21" si="24">AB21*0.6</f>
        <v>0</v>
      </c>
      <c r="AD21" s="65" t="e">
        <f t="shared" ref="AD21" si="25">AVERAGE(AA21+AC21)</f>
        <v>#DIV/0!</v>
      </c>
      <c r="AE21" s="162" t="e">
        <f t="shared" si="10"/>
        <v>#DIV/0!</v>
      </c>
    </row>
    <row r="22" spans="2:31" ht="15.75" customHeight="1" x14ac:dyDescent="0.3">
      <c r="B22" s="35">
        <v>13</v>
      </c>
      <c r="C22" s="197" t="s">
        <v>110</v>
      </c>
      <c r="D22" s="45"/>
      <c r="E22" s="38"/>
      <c r="F22" s="58">
        <v>12</v>
      </c>
      <c r="G22" s="31">
        <v>12</v>
      </c>
      <c r="H22" s="31"/>
      <c r="I22" s="32">
        <v>12</v>
      </c>
      <c r="J22" s="28"/>
      <c r="K22" s="56">
        <f t="shared" si="0"/>
        <v>12</v>
      </c>
      <c r="L22" s="166" t="str">
        <f t="shared" si="1"/>
        <v>TRANSITA</v>
      </c>
      <c r="M22" s="58">
        <v>14</v>
      </c>
      <c r="N22" s="31">
        <v>14</v>
      </c>
      <c r="O22" s="27"/>
      <c r="P22" s="32">
        <v>16</v>
      </c>
      <c r="Q22" s="28"/>
      <c r="R22" s="56">
        <f t="shared" si="3"/>
        <v>14.666666666666666</v>
      </c>
      <c r="S22" s="166" t="str">
        <f t="shared" si="4"/>
        <v>TRANSITA</v>
      </c>
      <c r="T22" s="59"/>
      <c r="U22" s="27"/>
      <c r="V22" s="27"/>
      <c r="W22" s="32" t="e">
        <f t="shared" si="5"/>
        <v>#DIV/0!</v>
      </c>
      <c r="X22" s="28"/>
      <c r="Y22" s="56" t="e">
        <f t="shared" si="6"/>
        <v>#DIV/0!</v>
      </c>
      <c r="Z22" s="48" t="e">
        <f t="shared" si="2"/>
        <v>#DIV/0!</v>
      </c>
      <c r="AA22" s="41" t="e">
        <f t="shared" si="7"/>
        <v>#DIV/0!</v>
      </c>
      <c r="AB22" s="62"/>
      <c r="AC22" s="51">
        <f t="shared" si="11"/>
        <v>0</v>
      </c>
      <c r="AD22" s="65" t="e">
        <f t="shared" si="12"/>
        <v>#DIV/0!</v>
      </c>
      <c r="AE22" s="162" t="e">
        <f t="shared" si="10"/>
        <v>#DIV/0!</v>
      </c>
    </row>
    <row r="23" spans="2:31" ht="15.75" customHeight="1" x14ac:dyDescent="0.3">
      <c r="B23" s="35">
        <v>14</v>
      </c>
      <c r="C23" s="197" t="s">
        <v>111</v>
      </c>
      <c r="D23" s="45"/>
      <c r="E23" s="38"/>
      <c r="F23" s="58">
        <v>12</v>
      </c>
      <c r="G23" s="31">
        <v>12</v>
      </c>
      <c r="H23" s="31"/>
      <c r="I23" s="32">
        <v>12</v>
      </c>
      <c r="J23" s="28"/>
      <c r="K23" s="56">
        <f t="shared" si="0"/>
        <v>12</v>
      </c>
      <c r="L23" s="166" t="str">
        <f t="shared" si="1"/>
        <v>TRANSITA</v>
      </c>
      <c r="M23" s="58">
        <v>14</v>
      </c>
      <c r="N23" s="31">
        <v>14</v>
      </c>
      <c r="O23" s="27"/>
      <c r="P23" s="32">
        <v>18</v>
      </c>
      <c r="Q23" s="28"/>
      <c r="R23" s="56">
        <f t="shared" si="3"/>
        <v>15.333333333333334</v>
      </c>
      <c r="S23" s="166" t="str">
        <f t="shared" si="4"/>
        <v>TRANSITA</v>
      </c>
      <c r="T23" s="59"/>
      <c r="U23" s="27"/>
      <c r="V23" s="27"/>
      <c r="W23" s="32" t="e">
        <f t="shared" si="5"/>
        <v>#DIV/0!</v>
      </c>
      <c r="X23" s="28"/>
      <c r="Y23" s="56" t="e">
        <f t="shared" si="6"/>
        <v>#DIV/0!</v>
      </c>
      <c r="Z23" s="48" t="e">
        <f t="shared" si="2"/>
        <v>#DIV/0!</v>
      </c>
      <c r="AA23" s="41" t="e">
        <f t="shared" si="7"/>
        <v>#DIV/0!</v>
      </c>
      <c r="AB23" s="62"/>
      <c r="AC23" s="51">
        <f t="shared" si="11"/>
        <v>0</v>
      </c>
      <c r="AD23" s="65" t="e">
        <f t="shared" si="12"/>
        <v>#DIV/0!</v>
      </c>
      <c r="AE23" s="162" t="e">
        <f t="shared" si="10"/>
        <v>#DIV/0!</v>
      </c>
    </row>
    <row r="24" spans="2:31" ht="15.75" customHeight="1" x14ac:dyDescent="0.3">
      <c r="B24" s="35">
        <v>15</v>
      </c>
      <c r="C24" s="197" t="s">
        <v>112</v>
      </c>
      <c r="D24" s="45"/>
      <c r="E24" s="38"/>
      <c r="F24" s="58">
        <v>12</v>
      </c>
      <c r="G24" s="31">
        <v>12</v>
      </c>
      <c r="H24" s="31"/>
      <c r="I24" s="32">
        <v>12</v>
      </c>
      <c r="J24" s="28"/>
      <c r="K24" s="56">
        <f t="shared" si="0"/>
        <v>12</v>
      </c>
      <c r="L24" s="166" t="str">
        <f t="shared" si="1"/>
        <v>TRANSITA</v>
      </c>
      <c r="M24" s="58">
        <v>14</v>
      </c>
      <c r="N24" s="31">
        <v>14</v>
      </c>
      <c r="O24" s="27"/>
      <c r="P24" s="32">
        <v>19.5</v>
      </c>
      <c r="Q24" s="28"/>
      <c r="R24" s="56">
        <f t="shared" si="3"/>
        <v>15.833333333333334</v>
      </c>
      <c r="S24" s="166" t="str">
        <f t="shared" si="4"/>
        <v>TRANSITA</v>
      </c>
      <c r="T24" s="59"/>
      <c r="U24" s="27"/>
      <c r="V24" s="27"/>
      <c r="W24" s="32" t="e">
        <f t="shared" si="5"/>
        <v>#DIV/0!</v>
      </c>
      <c r="X24" s="28"/>
      <c r="Y24" s="56" t="e">
        <f t="shared" si="6"/>
        <v>#DIV/0!</v>
      </c>
      <c r="Z24" s="48" t="e">
        <f t="shared" si="2"/>
        <v>#DIV/0!</v>
      </c>
      <c r="AA24" s="41" t="e">
        <f t="shared" si="7"/>
        <v>#DIV/0!</v>
      </c>
      <c r="AB24" s="62"/>
      <c r="AC24" s="51">
        <f t="shared" si="11"/>
        <v>0</v>
      </c>
      <c r="AD24" s="65" t="e">
        <f t="shared" si="12"/>
        <v>#DIV/0!</v>
      </c>
      <c r="AE24" s="162" t="e">
        <f t="shared" si="10"/>
        <v>#DIV/0!</v>
      </c>
    </row>
    <row r="25" spans="2:31" ht="15.75" customHeight="1" x14ac:dyDescent="0.3">
      <c r="B25" s="35">
        <v>16</v>
      </c>
      <c r="C25" s="197" t="s">
        <v>113</v>
      </c>
      <c r="D25" s="45"/>
      <c r="E25" s="38"/>
      <c r="F25" s="58">
        <v>12</v>
      </c>
      <c r="G25" s="31">
        <v>12</v>
      </c>
      <c r="H25" s="31"/>
      <c r="I25" s="32">
        <v>12</v>
      </c>
      <c r="J25" s="28"/>
      <c r="K25" s="56">
        <f t="shared" si="0"/>
        <v>12</v>
      </c>
      <c r="L25" s="166" t="str">
        <f t="shared" si="1"/>
        <v>TRANSITA</v>
      </c>
      <c r="M25" s="58">
        <v>14</v>
      </c>
      <c r="N25" s="31">
        <v>14</v>
      </c>
      <c r="O25" s="27"/>
      <c r="P25" s="32">
        <v>16</v>
      </c>
      <c r="Q25" s="28"/>
      <c r="R25" s="56">
        <f t="shared" si="3"/>
        <v>14.666666666666666</v>
      </c>
      <c r="S25" s="166" t="str">
        <f t="shared" si="4"/>
        <v>TRANSITA</v>
      </c>
      <c r="T25" s="59"/>
      <c r="U25" s="27"/>
      <c r="V25" s="27"/>
      <c r="W25" s="32" t="e">
        <f t="shared" si="5"/>
        <v>#DIV/0!</v>
      </c>
      <c r="X25" s="28"/>
      <c r="Y25" s="56" t="e">
        <f t="shared" si="6"/>
        <v>#DIV/0!</v>
      </c>
      <c r="Z25" s="48" t="e">
        <f t="shared" si="2"/>
        <v>#DIV/0!</v>
      </c>
      <c r="AA25" s="41" t="e">
        <f t="shared" si="7"/>
        <v>#DIV/0!</v>
      </c>
      <c r="AB25" s="62"/>
      <c r="AC25" s="51">
        <f t="shared" si="11"/>
        <v>0</v>
      </c>
      <c r="AD25" s="65" t="e">
        <f t="shared" si="12"/>
        <v>#DIV/0!</v>
      </c>
      <c r="AE25" s="162" t="e">
        <f t="shared" si="10"/>
        <v>#DIV/0!</v>
      </c>
    </row>
    <row r="26" spans="2:31" ht="15.75" customHeight="1" x14ac:dyDescent="0.3">
      <c r="B26" s="35">
        <v>17</v>
      </c>
      <c r="C26" s="197" t="s">
        <v>114</v>
      </c>
      <c r="D26" s="45"/>
      <c r="E26" s="38"/>
      <c r="F26" s="58">
        <v>12</v>
      </c>
      <c r="G26" s="31">
        <v>12</v>
      </c>
      <c r="H26" s="31"/>
      <c r="I26" s="32">
        <v>12</v>
      </c>
      <c r="J26" s="28"/>
      <c r="K26" s="56">
        <f t="shared" si="0"/>
        <v>12</v>
      </c>
      <c r="L26" s="166" t="str">
        <f t="shared" si="1"/>
        <v>TRANSITA</v>
      </c>
      <c r="M26" s="58">
        <v>14</v>
      </c>
      <c r="N26" s="31">
        <v>14</v>
      </c>
      <c r="O26" s="27"/>
      <c r="P26" s="32">
        <v>15.5</v>
      </c>
      <c r="Q26" s="28"/>
      <c r="R26" s="56">
        <f t="shared" si="3"/>
        <v>14.5</v>
      </c>
      <c r="S26" s="166" t="str">
        <f t="shared" si="4"/>
        <v>TRANSITA</v>
      </c>
      <c r="T26" s="59"/>
      <c r="U26" s="27"/>
      <c r="V26" s="27"/>
      <c r="W26" s="32" t="e">
        <f t="shared" si="5"/>
        <v>#DIV/0!</v>
      </c>
      <c r="X26" s="28"/>
      <c r="Y26" s="56" t="e">
        <f t="shared" si="6"/>
        <v>#DIV/0!</v>
      </c>
      <c r="Z26" s="48" t="e">
        <f t="shared" si="2"/>
        <v>#DIV/0!</v>
      </c>
      <c r="AA26" s="41" t="e">
        <f t="shared" si="7"/>
        <v>#DIV/0!</v>
      </c>
      <c r="AB26" s="62"/>
      <c r="AC26" s="51">
        <f t="shared" ref="AC26:AC39" si="26">AB26*0.6</f>
        <v>0</v>
      </c>
      <c r="AD26" s="65" t="e">
        <f t="shared" ref="AD26:AD39" si="27">AVERAGE(AA26+AC26)</f>
        <v>#DIV/0!</v>
      </c>
      <c r="AE26" s="162" t="e">
        <f t="shared" si="10"/>
        <v>#DIV/0!</v>
      </c>
    </row>
    <row r="27" spans="2:31" ht="15.75" customHeight="1" x14ac:dyDescent="0.3">
      <c r="B27" s="35">
        <v>18</v>
      </c>
      <c r="C27" s="197" t="s">
        <v>115</v>
      </c>
      <c r="D27" s="45"/>
      <c r="E27" s="38"/>
      <c r="F27" s="58">
        <v>12</v>
      </c>
      <c r="G27" s="31">
        <v>12</v>
      </c>
      <c r="H27" s="31"/>
      <c r="I27" s="32">
        <v>12</v>
      </c>
      <c r="J27" s="28"/>
      <c r="K27" s="56">
        <f t="shared" si="0"/>
        <v>12</v>
      </c>
      <c r="L27" s="166" t="str">
        <f t="shared" si="1"/>
        <v>TRANSITA</v>
      </c>
      <c r="M27" s="58">
        <v>14</v>
      </c>
      <c r="N27" s="31">
        <v>14</v>
      </c>
      <c r="O27" s="27"/>
      <c r="P27" s="32">
        <v>16</v>
      </c>
      <c r="Q27" s="28"/>
      <c r="R27" s="56">
        <f t="shared" si="3"/>
        <v>14.666666666666666</v>
      </c>
      <c r="S27" s="166" t="str">
        <f t="shared" si="4"/>
        <v>TRANSITA</v>
      </c>
      <c r="T27" s="59"/>
      <c r="U27" s="27"/>
      <c r="V27" s="27"/>
      <c r="W27" s="32" t="e">
        <f t="shared" si="5"/>
        <v>#DIV/0!</v>
      </c>
      <c r="X27" s="28"/>
      <c r="Y27" s="56" t="e">
        <f t="shared" si="6"/>
        <v>#DIV/0!</v>
      </c>
      <c r="Z27" s="48" t="e">
        <f t="shared" si="2"/>
        <v>#DIV/0!</v>
      </c>
      <c r="AA27" s="41" t="e">
        <f t="shared" si="7"/>
        <v>#DIV/0!</v>
      </c>
      <c r="AB27" s="62"/>
      <c r="AC27" s="51">
        <f t="shared" si="26"/>
        <v>0</v>
      </c>
      <c r="AD27" s="65" t="e">
        <f t="shared" si="27"/>
        <v>#DIV/0!</v>
      </c>
      <c r="AE27" s="162" t="e">
        <f t="shared" si="10"/>
        <v>#DIV/0!</v>
      </c>
    </row>
    <row r="28" spans="2:31" ht="15.75" customHeight="1" x14ac:dyDescent="0.3">
      <c r="B28" s="35">
        <v>19</v>
      </c>
      <c r="C28" s="197" t="s">
        <v>116</v>
      </c>
      <c r="D28" s="45"/>
      <c r="E28" s="38"/>
      <c r="F28" s="58">
        <v>12</v>
      </c>
      <c r="G28" s="31">
        <v>12</v>
      </c>
      <c r="H28" s="31"/>
      <c r="I28" s="32">
        <v>12</v>
      </c>
      <c r="J28" s="28"/>
      <c r="K28" s="56">
        <f t="shared" si="0"/>
        <v>12</v>
      </c>
      <c r="L28" s="166" t="str">
        <f t="shared" si="1"/>
        <v>TRANSITA</v>
      </c>
      <c r="M28" s="58">
        <v>14</v>
      </c>
      <c r="N28" s="31">
        <v>14</v>
      </c>
      <c r="O28" s="27"/>
      <c r="P28" s="32">
        <v>17.5</v>
      </c>
      <c r="Q28" s="28"/>
      <c r="R28" s="56">
        <f t="shared" si="3"/>
        <v>15.166666666666666</v>
      </c>
      <c r="S28" s="166" t="str">
        <f t="shared" si="4"/>
        <v>TRANSITA</v>
      </c>
      <c r="T28" s="59"/>
      <c r="U28" s="27"/>
      <c r="V28" s="27"/>
      <c r="W28" s="32" t="e">
        <f t="shared" si="5"/>
        <v>#DIV/0!</v>
      </c>
      <c r="X28" s="28"/>
      <c r="Y28" s="56" t="e">
        <f t="shared" si="6"/>
        <v>#DIV/0!</v>
      </c>
      <c r="Z28" s="48" t="e">
        <f t="shared" si="2"/>
        <v>#DIV/0!</v>
      </c>
      <c r="AA28" s="41" t="e">
        <f t="shared" si="7"/>
        <v>#DIV/0!</v>
      </c>
      <c r="AB28" s="62"/>
      <c r="AC28" s="51">
        <f t="shared" ref="AC28:AC29" si="28">AB28*0.6</f>
        <v>0</v>
      </c>
      <c r="AD28" s="65" t="e">
        <f t="shared" ref="AD28:AD29" si="29">AVERAGE(AA28+AC28)</f>
        <v>#DIV/0!</v>
      </c>
      <c r="AE28" s="162" t="e">
        <f t="shared" si="10"/>
        <v>#DIV/0!</v>
      </c>
    </row>
    <row r="29" spans="2:31" ht="15.75" customHeight="1" x14ac:dyDescent="0.3">
      <c r="B29" s="35">
        <v>20</v>
      </c>
      <c r="C29" s="197" t="s">
        <v>117</v>
      </c>
      <c r="D29" s="45"/>
      <c r="E29" s="38"/>
      <c r="F29" s="58">
        <v>12</v>
      </c>
      <c r="G29" s="31">
        <v>12</v>
      </c>
      <c r="H29" s="31"/>
      <c r="I29" s="32">
        <v>12</v>
      </c>
      <c r="J29" s="28"/>
      <c r="K29" s="56">
        <f t="shared" si="0"/>
        <v>12</v>
      </c>
      <c r="L29" s="166" t="str">
        <f t="shared" si="1"/>
        <v>TRANSITA</v>
      </c>
      <c r="M29" s="58">
        <v>14</v>
      </c>
      <c r="N29" s="31">
        <v>14</v>
      </c>
      <c r="O29" s="27"/>
      <c r="P29" s="32"/>
      <c r="Q29" s="28"/>
      <c r="R29" s="56">
        <f t="shared" si="3"/>
        <v>9.3333333333333339</v>
      </c>
      <c r="S29" s="166" t="str">
        <f t="shared" si="4"/>
        <v>N/TRANSITA</v>
      </c>
      <c r="T29" s="59"/>
      <c r="U29" s="27"/>
      <c r="V29" s="27"/>
      <c r="W29" s="32" t="e">
        <f t="shared" si="5"/>
        <v>#DIV/0!</v>
      </c>
      <c r="X29" s="28"/>
      <c r="Y29" s="56" t="e">
        <f t="shared" si="6"/>
        <v>#DIV/0!</v>
      </c>
      <c r="Z29" s="48" t="e">
        <f t="shared" si="2"/>
        <v>#DIV/0!</v>
      </c>
      <c r="AA29" s="41" t="e">
        <f t="shared" si="7"/>
        <v>#DIV/0!</v>
      </c>
      <c r="AB29" s="62"/>
      <c r="AC29" s="51">
        <f t="shared" si="28"/>
        <v>0</v>
      </c>
      <c r="AD29" s="65" t="e">
        <f t="shared" si="29"/>
        <v>#DIV/0!</v>
      </c>
      <c r="AE29" s="162" t="e">
        <f t="shared" si="10"/>
        <v>#DIV/0!</v>
      </c>
    </row>
    <row r="30" spans="2:31" ht="15.75" customHeight="1" x14ac:dyDescent="0.3">
      <c r="B30" s="35">
        <v>21</v>
      </c>
      <c r="C30" s="197" t="s">
        <v>118</v>
      </c>
      <c r="D30" s="45"/>
      <c r="E30" s="38"/>
      <c r="F30" s="58">
        <v>12</v>
      </c>
      <c r="G30" s="31">
        <v>12</v>
      </c>
      <c r="H30" s="31"/>
      <c r="I30" s="32">
        <v>12</v>
      </c>
      <c r="J30" s="158"/>
      <c r="K30" s="56">
        <f t="shared" si="0"/>
        <v>12</v>
      </c>
      <c r="L30" s="166" t="str">
        <f t="shared" si="1"/>
        <v>TRANSITA</v>
      </c>
      <c r="M30" s="58">
        <v>14</v>
      </c>
      <c r="N30" s="31">
        <v>14</v>
      </c>
      <c r="O30" s="155"/>
      <c r="P30" s="32">
        <v>20</v>
      </c>
      <c r="Q30" s="158"/>
      <c r="R30" s="56">
        <f t="shared" si="3"/>
        <v>16</v>
      </c>
      <c r="S30" s="166" t="str">
        <f t="shared" si="4"/>
        <v>TRANSITA</v>
      </c>
      <c r="T30" s="156"/>
      <c r="U30" s="155"/>
      <c r="V30" s="155"/>
      <c r="W30" s="32" t="e">
        <f t="shared" si="5"/>
        <v>#DIV/0!</v>
      </c>
      <c r="X30" s="158"/>
      <c r="Y30" s="56" t="e">
        <f t="shared" si="6"/>
        <v>#DIV/0!</v>
      </c>
      <c r="Z30" s="48" t="e">
        <f t="shared" si="2"/>
        <v>#DIV/0!</v>
      </c>
      <c r="AA30" s="41" t="e">
        <f t="shared" si="7"/>
        <v>#DIV/0!</v>
      </c>
      <c r="AB30" s="62"/>
      <c r="AC30" s="51">
        <f t="shared" ref="AC30" si="30">AB30*0.6</f>
        <v>0</v>
      </c>
      <c r="AD30" s="65" t="e">
        <f t="shared" ref="AD30" si="31">AVERAGE(AA30+AC30)</f>
        <v>#DIV/0!</v>
      </c>
      <c r="AE30" s="162" t="e">
        <f t="shared" si="10"/>
        <v>#DIV/0!</v>
      </c>
    </row>
    <row r="31" spans="2:31" ht="15.75" customHeight="1" x14ac:dyDescent="0.3">
      <c r="B31" s="35">
        <v>22</v>
      </c>
      <c r="C31" s="197" t="s">
        <v>119</v>
      </c>
      <c r="D31" s="45"/>
      <c r="E31" s="38"/>
      <c r="F31" s="58">
        <v>12</v>
      </c>
      <c r="G31" s="31">
        <v>12</v>
      </c>
      <c r="H31" s="31"/>
      <c r="I31" s="32">
        <v>12</v>
      </c>
      <c r="J31" s="28"/>
      <c r="K31" s="56">
        <f t="shared" si="0"/>
        <v>12</v>
      </c>
      <c r="L31" s="166" t="str">
        <f t="shared" si="1"/>
        <v>TRANSITA</v>
      </c>
      <c r="M31" s="58">
        <v>14</v>
      </c>
      <c r="N31" s="31">
        <v>14</v>
      </c>
      <c r="O31" s="27"/>
      <c r="P31" s="32">
        <v>14</v>
      </c>
      <c r="Q31" s="28"/>
      <c r="R31" s="56">
        <f t="shared" si="3"/>
        <v>14</v>
      </c>
      <c r="S31" s="166" t="str">
        <f t="shared" si="4"/>
        <v>TRANSITA</v>
      </c>
      <c r="T31" s="59"/>
      <c r="U31" s="27"/>
      <c r="V31" s="27"/>
      <c r="W31" s="32" t="e">
        <f t="shared" si="5"/>
        <v>#DIV/0!</v>
      </c>
      <c r="X31" s="28"/>
      <c r="Y31" s="56" t="e">
        <f t="shared" si="6"/>
        <v>#DIV/0!</v>
      </c>
      <c r="Z31" s="48" t="e">
        <f t="shared" si="2"/>
        <v>#DIV/0!</v>
      </c>
      <c r="AA31" s="41" t="e">
        <f t="shared" si="7"/>
        <v>#DIV/0!</v>
      </c>
      <c r="AB31" s="62"/>
      <c r="AC31" s="51">
        <f t="shared" si="26"/>
        <v>0</v>
      </c>
      <c r="AD31" s="65" t="e">
        <f t="shared" si="27"/>
        <v>#DIV/0!</v>
      </c>
      <c r="AE31" s="162" t="e">
        <f t="shared" si="10"/>
        <v>#DIV/0!</v>
      </c>
    </row>
    <row r="32" spans="2:31" ht="15.75" customHeight="1" x14ac:dyDescent="0.3">
      <c r="B32" s="35">
        <v>23</v>
      </c>
      <c r="C32" s="197" t="s">
        <v>120</v>
      </c>
      <c r="D32" s="45"/>
      <c r="E32" s="38"/>
      <c r="F32" s="58">
        <v>12</v>
      </c>
      <c r="G32" s="31">
        <v>12</v>
      </c>
      <c r="H32" s="31"/>
      <c r="I32" s="32">
        <v>12</v>
      </c>
      <c r="J32" s="28"/>
      <c r="K32" s="56">
        <f t="shared" si="0"/>
        <v>12</v>
      </c>
      <c r="L32" s="166" t="str">
        <f t="shared" si="1"/>
        <v>TRANSITA</v>
      </c>
      <c r="M32" s="58">
        <v>14</v>
      </c>
      <c r="N32" s="31">
        <v>14</v>
      </c>
      <c r="O32" s="27"/>
      <c r="P32" s="32">
        <v>12.5</v>
      </c>
      <c r="Q32" s="28"/>
      <c r="R32" s="56">
        <f t="shared" si="3"/>
        <v>13.5</v>
      </c>
      <c r="S32" s="166" t="str">
        <f t="shared" si="4"/>
        <v>TRANSITA</v>
      </c>
      <c r="T32" s="59"/>
      <c r="U32" s="27"/>
      <c r="V32" s="27"/>
      <c r="W32" s="32" t="e">
        <f t="shared" si="5"/>
        <v>#DIV/0!</v>
      </c>
      <c r="X32" s="28"/>
      <c r="Y32" s="56" t="e">
        <f t="shared" si="6"/>
        <v>#DIV/0!</v>
      </c>
      <c r="Z32" s="48" t="e">
        <f t="shared" si="2"/>
        <v>#DIV/0!</v>
      </c>
      <c r="AA32" s="41" t="e">
        <f t="shared" si="7"/>
        <v>#DIV/0!</v>
      </c>
      <c r="AB32" s="62"/>
      <c r="AC32" s="51">
        <f t="shared" si="26"/>
        <v>0</v>
      </c>
      <c r="AD32" s="65" t="e">
        <f t="shared" si="27"/>
        <v>#DIV/0!</v>
      </c>
      <c r="AE32" s="162" t="e">
        <f t="shared" si="10"/>
        <v>#DIV/0!</v>
      </c>
    </row>
    <row r="33" spans="2:31" ht="15.75" customHeight="1" x14ac:dyDescent="0.3">
      <c r="B33" s="35">
        <v>24</v>
      </c>
      <c r="C33" s="197" t="s">
        <v>121</v>
      </c>
      <c r="D33" s="45"/>
      <c r="E33" s="38"/>
      <c r="F33" s="58">
        <v>12</v>
      </c>
      <c r="G33" s="31">
        <v>12</v>
      </c>
      <c r="H33" s="31"/>
      <c r="I33" s="32">
        <v>12</v>
      </c>
      <c r="J33" s="28"/>
      <c r="K33" s="56">
        <f t="shared" si="0"/>
        <v>12</v>
      </c>
      <c r="L33" s="166" t="str">
        <f t="shared" si="1"/>
        <v>TRANSITA</v>
      </c>
      <c r="M33" s="58">
        <v>14</v>
      </c>
      <c r="N33" s="31">
        <v>14</v>
      </c>
      <c r="O33" s="27"/>
      <c r="P33" s="32">
        <v>14</v>
      </c>
      <c r="Q33" s="28"/>
      <c r="R33" s="56">
        <f t="shared" si="3"/>
        <v>14</v>
      </c>
      <c r="S33" s="166" t="str">
        <f t="shared" si="4"/>
        <v>TRANSITA</v>
      </c>
      <c r="T33" s="59"/>
      <c r="U33" s="27"/>
      <c r="V33" s="27"/>
      <c r="W33" s="32" t="e">
        <f t="shared" si="5"/>
        <v>#DIV/0!</v>
      </c>
      <c r="X33" s="28"/>
      <c r="Y33" s="56" t="e">
        <f t="shared" si="6"/>
        <v>#DIV/0!</v>
      </c>
      <c r="Z33" s="48" t="e">
        <f t="shared" si="2"/>
        <v>#DIV/0!</v>
      </c>
      <c r="AA33" s="41" t="e">
        <f t="shared" si="7"/>
        <v>#DIV/0!</v>
      </c>
      <c r="AB33" s="62"/>
      <c r="AC33" s="51">
        <f t="shared" si="26"/>
        <v>0</v>
      </c>
      <c r="AD33" s="65" t="e">
        <f t="shared" si="27"/>
        <v>#DIV/0!</v>
      </c>
      <c r="AE33" s="162" t="e">
        <f t="shared" si="10"/>
        <v>#DIV/0!</v>
      </c>
    </row>
    <row r="34" spans="2:31" ht="15.75" customHeight="1" x14ac:dyDescent="0.3">
      <c r="B34" s="35">
        <v>25</v>
      </c>
      <c r="C34" s="197" t="s">
        <v>122</v>
      </c>
      <c r="D34" s="45"/>
      <c r="E34" s="38"/>
      <c r="F34" s="58">
        <v>12</v>
      </c>
      <c r="G34" s="31">
        <v>12</v>
      </c>
      <c r="H34" s="31"/>
      <c r="I34" s="32">
        <v>12</v>
      </c>
      <c r="J34" s="28"/>
      <c r="K34" s="56">
        <f t="shared" si="0"/>
        <v>12</v>
      </c>
      <c r="L34" s="166" t="str">
        <f t="shared" si="1"/>
        <v>TRANSITA</v>
      </c>
      <c r="M34" s="58">
        <v>14</v>
      </c>
      <c r="N34" s="31">
        <v>14</v>
      </c>
      <c r="O34" s="27"/>
      <c r="P34" s="32">
        <v>16</v>
      </c>
      <c r="Q34" s="28"/>
      <c r="R34" s="56">
        <f t="shared" si="3"/>
        <v>14.666666666666666</v>
      </c>
      <c r="S34" s="166" t="str">
        <f t="shared" si="4"/>
        <v>TRANSITA</v>
      </c>
      <c r="T34" s="59"/>
      <c r="U34" s="27"/>
      <c r="V34" s="27"/>
      <c r="W34" s="32" t="e">
        <f t="shared" si="5"/>
        <v>#DIV/0!</v>
      </c>
      <c r="X34" s="28"/>
      <c r="Y34" s="56" t="e">
        <f t="shared" si="6"/>
        <v>#DIV/0!</v>
      </c>
      <c r="Z34" s="48" t="e">
        <f t="shared" si="2"/>
        <v>#DIV/0!</v>
      </c>
      <c r="AA34" s="41" t="e">
        <f t="shared" si="7"/>
        <v>#DIV/0!</v>
      </c>
      <c r="AB34" s="62"/>
      <c r="AC34" s="51">
        <f t="shared" si="26"/>
        <v>0</v>
      </c>
      <c r="AD34" s="65" t="e">
        <f t="shared" si="27"/>
        <v>#DIV/0!</v>
      </c>
      <c r="AE34" s="162" t="e">
        <f t="shared" si="10"/>
        <v>#DIV/0!</v>
      </c>
    </row>
    <row r="35" spans="2:31" ht="15.75" customHeight="1" x14ac:dyDescent="0.3">
      <c r="B35" s="35">
        <v>26</v>
      </c>
      <c r="C35" s="197" t="s">
        <v>123</v>
      </c>
      <c r="D35" s="45"/>
      <c r="E35" s="38"/>
      <c r="F35" s="58">
        <v>12</v>
      </c>
      <c r="G35" s="31">
        <v>12</v>
      </c>
      <c r="H35" s="31"/>
      <c r="I35" s="32">
        <v>12</v>
      </c>
      <c r="J35" s="28"/>
      <c r="K35" s="56">
        <f t="shared" si="0"/>
        <v>12</v>
      </c>
      <c r="L35" s="166" t="str">
        <f t="shared" si="1"/>
        <v>TRANSITA</v>
      </c>
      <c r="M35" s="58">
        <v>14</v>
      </c>
      <c r="N35" s="31">
        <v>14</v>
      </c>
      <c r="O35" s="27"/>
      <c r="P35" s="32">
        <v>14.5</v>
      </c>
      <c r="Q35" s="28"/>
      <c r="R35" s="56">
        <f t="shared" si="3"/>
        <v>14.166666666666666</v>
      </c>
      <c r="S35" s="166" t="str">
        <f t="shared" si="4"/>
        <v>TRANSITA</v>
      </c>
      <c r="T35" s="59"/>
      <c r="U35" s="27"/>
      <c r="V35" s="27"/>
      <c r="W35" s="32" t="e">
        <f t="shared" si="5"/>
        <v>#DIV/0!</v>
      </c>
      <c r="X35" s="28"/>
      <c r="Y35" s="56" t="e">
        <f t="shared" si="6"/>
        <v>#DIV/0!</v>
      </c>
      <c r="Z35" s="48" t="e">
        <f t="shared" si="2"/>
        <v>#DIV/0!</v>
      </c>
      <c r="AA35" s="41" t="e">
        <f t="shared" si="7"/>
        <v>#DIV/0!</v>
      </c>
      <c r="AB35" s="62"/>
      <c r="AC35" s="51">
        <f t="shared" si="26"/>
        <v>0</v>
      </c>
      <c r="AD35" s="65" t="e">
        <f t="shared" si="27"/>
        <v>#DIV/0!</v>
      </c>
      <c r="AE35" s="162" t="e">
        <f t="shared" si="10"/>
        <v>#DIV/0!</v>
      </c>
    </row>
    <row r="36" spans="2:31" ht="15.75" customHeight="1" x14ac:dyDescent="0.3">
      <c r="B36" s="35">
        <v>27</v>
      </c>
      <c r="C36" s="197" t="s">
        <v>124</v>
      </c>
      <c r="D36" s="45"/>
      <c r="E36" s="38"/>
      <c r="F36" s="58">
        <v>12</v>
      </c>
      <c r="G36" s="31">
        <v>12</v>
      </c>
      <c r="H36" s="31"/>
      <c r="I36" s="32">
        <v>12</v>
      </c>
      <c r="J36" s="28"/>
      <c r="K36" s="56">
        <f t="shared" si="0"/>
        <v>12</v>
      </c>
      <c r="L36" s="166" t="str">
        <f t="shared" si="1"/>
        <v>TRANSITA</v>
      </c>
      <c r="M36" s="58">
        <v>14</v>
      </c>
      <c r="N36" s="31">
        <v>14</v>
      </c>
      <c r="O36" s="27"/>
      <c r="P36" s="32">
        <v>18</v>
      </c>
      <c r="Q36" s="28"/>
      <c r="R36" s="56">
        <f t="shared" si="3"/>
        <v>15.333333333333334</v>
      </c>
      <c r="S36" s="166" t="str">
        <f t="shared" si="4"/>
        <v>TRANSITA</v>
      </c>
      <c r="T36" s="59"/>
      <c r="U36" s="27"/>
      <c r="V36" s="27"/>
      <c r="W36" s="32" t="e">
        <f t="shared" si="5"/>
        <v>#DIV/0!</v>
      </c>
      <c r="X36" s="28"/>
      <c r="Y36" s="56" t="e">
        <f t="shared" si="6"/>
        <v>#DIV/0!</v>
      </c>
      <c r="Z36" s="48" t="e">
        <f t="shared" si="2"/>
        <v>#DIV/0!</v>
      </c>
      <c r="AA36" s="41" t="e">
        <f t="shared" si="7"/>
        <v>#DIV/0!</v>
      </c>
      <c r="AB36" s="62"/>
      <c r="AC36" s="51">
        <f t="shared" si="26"/>
        <v>0</v>
      </c>
      <c r="AD36" s="65" t="e">
        <f t="shared" si="27"/>
        <v>#DIV/0!</v>
      </c>
      <c r="AE36" s="162" t="e">
        <f t="shared" si="10"/>
        <v>#DIV/0!</v>
      </c>
    </row>
    <row r="37" spans="2:31" ht="15.75" customHeight="1" x14ac:dyDescent="0.3">
      <c r="B37" s="35">
        <v>28</v>
      </c>
      <c r="C37" s="197" t="s">
        <v>125</v>
      </c>
      <c r="D37" s="45"/>
      <c r="E37" s="38"/>
      <c r="F37" s="58">
        <v>12</v>
      </c>
      <c r="G37" s="31">
        <v>12</v>
      </c>
      <c r="H37" s="31"/>
      <c r="I37" s="32">
        <v>12</v>
      </c>
      <c r="J37" s="151"/>
      <c r="K37" s="56">
        <f t="shared" si="0"/>
        <v>12</v>
      </c>
      <c r="L37" s="166" t="str">
        <f t="shared" si="1"/>
        <v>TRANSITA</v>
      </c>
      <c r="M37" s="58">
        <v>14</v>
      </c>
      <c r="N37" s="31">
        <v>14</v>
      </c>
      <c r="O37" s="148"/>
      <c r="P37" s="32">
        <v>19</v>
      </c>
      <c r="Q37" s="151"/>
      <c r="R37" s="56">
        <f t="shared" si="3"/>
        <v>15.666666666666666</v>
      </c>
      <c r="S37" s="166" t="str">
        <f t="shared" si="4"/>
        <v>TRANSITA</v>
      </c>
      <c r="T37" s="149"/>
      <c r="U37" s="148"/>
      <c r="V37" s="148"/>
      <c r="W37" s="32" t="e">
        <f t="shared" si="5"/>
        <v>#DIV/0!</v>
      </c>
      <c r="X37" s="151"/>
      <c r="Y37" s="56" t="e">
        <f t="shared" si="6"/>
        <v>#DIV/0!</v>
      </c>
      <c r="Z37" s="48" t="e">
        <f t="shared" si="2"/>
        <v>#DIV/0!</v>
      </c>
      <c r="AA37" s="41" t="e">
        <f t="shared" si="7"/>
        <v>#DIV/0!</v>
      </c>
      <c r="AB37" s="62"/>
      <c r="AC37" s="51">
        <f t="shared" si="26"/>
        <v>0</v>
      </c>
      <c r="AD37" s="65" t="e">
        <f t="shared" si="27"/>
        <v>#DIV/0!</v>
      </c>
      <c r="AE37" s="162" t="e">
        <f t="shared" si="10"/>
        <v>#DIV/0!</v>
      </c>
    </row>
    <row r="38" spans="2:31" ht="15.75" customHeight="1" x14ac:dyDescent="0.3">
      <c r="B38" s="35">
        <v>29</v>
      </c>
      <c r="C38" s="197" t="s">
        <v>126</v>
      </c>
      <c r="D38" s="45"/>
      <c r="E38" s="38"/>
      <c r="F38" s="58">
        <v>12</v>
      </c>
      <c r="G38" s="31">
        <v>12</v>
      </c>
      <c r="H38" s="31"/>
      <c r="I38" s="32">
        <v>12</v>
      </c>
      <c r="J38" s="28"/>
      <c r="K38" s="56">
        <f t="shared" si="0"/>
        <v>12</v>
      </c>
      <c r="L38" s="166" t="str">
        <f t="shared" si="1"/>
        <v>TRANSITA</v>
      </c>
      <c r="M38" s="58">
        <v>14</v>
      </c>
      <c r="N38" s="31">
        <v>14</v>
      </c>
      <c r="O38" s="27"/>
      <c r="P38" s="32"/>
      <c r="Q38" s="28"/>
      <c r="R38" s="56">
        <f t="shared" si="3"/>
        <v>9.3333333333333339</v>
      </c>
      <c r="S38" s="166" t="str">
        <f t="shared" si="4"/>
        <v>N/TRANSITA</v>
      </c>
      <c r="T38" s="59"/>
      <c r="U38" s="27"/>
      <c r="V38" s="27"/>
      <c r="W38" s="32" t="e">
        <f t="shared" si="5"/>
        <v>#DIV/0!</v>
      </c>
      <c r="X38" s="28"/>
      <c r="Y38" s="56" t="e">
        <f t="shared" si="6"/>
        <v>#DIV/0!</v>
      </c>
      <c r="Z38" s="48" t="e">
        <f t="shared" si="2"/>
        <v>#DIV/0!</v>
      </c>
      <c r="AA38" s="41" t="e">
        <f t="shared" si="7"/>
        <v>#DIV/0!</v>
      </c>
      <c r="AB38" s="62"/>
      <c r="AC38" s="51">
        <f t="shared" si="26"/>
        <v>0</v>
      </c>
      <c r="AD38" s="65" t="e">
        <f t="shared" si="27"/>
        <v>#DIV/0!</v>
      </c>
      <c r="AE38" s="162" t="e">
        <f t="shared" si="10"/>
        <v>#DIV/0!</v>
      </c>
    </row>
    <row r="39" spans="2:31" ht="15.75" customHeight="1" x14ac:dyDescent="0.3">
      <c r="B39" s="35">
        <v>30</v>
      </c>
      <c r="C39" s="197" t="s">
        <v>127</v>
      </c>
      <c r="D39" s="45"/>
      <c r="E39" s="38"/>
      <c r="F39" s="58">
        <v>12</v>
      </c>
      <c r="G39" s="31">
        <v>20</v>
      </c>
      <c r="H39" s="31"/>
      <c r="I39" s="32">
        <v>12</v>
      </c>
      <c r="J39" s="28"/>
      <c r="K39" s="56">
        <f t="shared" si="0"/>
        <v>14.666666666666666</v>
      </c>
      <c r="L39" s="166" t="str">
        <f t="shared" si="1"/>
        <v>TRANSITA</v>
      </c>
      <c r="M39" s="58">
        <v>14</v>
      </c>
      <c r="N39" s="31">
        <v>14</v>
      </c>
      <c r="O39" s="27"/>
      <c r="P39" s="32">
        <v>20</v>
      </c>
      <c r="Q39" s="28"/>
      <c r="R39" s="56">
        <f t="shared" si="3"/>
        <v>16</v>
      </c>
      <c r="S39" s="166" t="str">
        <f t="shared" si="4"/>
        <v>TRANSITA</v>
      </c>
      <c r="T39" s="59"/>
      <c r="U39" s="27"/>
      <c r="V39" s="27"/>
      <c r="W39" s="32" t="e">
        <f t="shared" si="5"/>
        <v>#DIV/0!</v>
      </c>
      <c r="X39" s="28"/>
      <c r="Y39" s="56" t="e">
        <f t="shared" si="6"/>
        <v>#DIV/0!</v>
      </c>
      <c r="Z39" s="48" t="e">
        <f t="shared" si="2"/>
        <v>#DIV/0!</v>
      </c>
      <c r="AA39" s="41" t="e">
        <f t="shared" si="7"/>
        <v>#DIV/0!</v>
      </c>
      <c r="AB39" s="62"/>
      <c r="AC39" s="51">
        <f t="shared" si="26"/>
        <v>0</v>
      </c>
      <c r="AD39" s="65" t="e">
        <f t="shared" si="27"/>
        <v>#DIV/0!</v>
      </c>
      <c r="AE39" s="162" t="e">
        <f t="shared" si="10"/>
        <v>#DIV/0!</v>
      </c>
    </row>
    <row r="40" spans="2:31" ht="15.75" customHeight="1" x14ac:dyDescent="0.3">
      <c r="B40" s="35">
        <v>31</v>
      </c>
      <c r="C40" s="197" t="s">
        <v>128</v>
      </c>
      <c r="D40" s="45"/>
      <c r="E40" s="38"/>
      <c r="F40" s="58">
        <v>12</v>
      </c>
      <c r="G40" s="31">
        <v>12</v>
      </c>
      <c r="H40" s="31"/>
      <c r="I40" s="32">
        <v>12</v>
      </c>
      <c r="J40" s="28"/>
      <c r="K40" s="56">
        <f t="shared" si="0"/>
        <v>12</v>
      </c>
      <c r="L40" s="166" t="str">
        <f t="shared" si="1"/>
        <v>TRANSITA</v>
      </c>
      <c r="M40" s="58">
        <v>14</v>
      </c>
      <c r="N40" s="31">
        <v>14</v>
      </c>
      <c r="O40" s="27"/>
      <c r="P40" s="32">
        <v>17</v>
      </c>
      <c r="Q40" s="28"/>
      <c r="R40" s="56">
        <f t="shared" si="3"/>
        <v>15</v>
      </c>
      <c r="S40" s="166" t="str">
        <f t="shared" si="4"/>
        <v>TRANSITA</v>
      </c>
      <c r="T40" s="59"/>
      <c r="U40" s="27"/>
      <c r="V40" s="27"/>
      <c r="W40" s="32" t="e">
        <f t="shared" si="5"/>
        <v>#DIV/0!</v>
      </c>
      <c r="X40" s="28"/>
      <c r="Y40" s="56" t="e">
        <f t="shared" si="6"/>
        <v>#DIV/0!</v>
      </c>
      <c r="Z40" s="48" t="e">
        <f t="shared" si="2"/>
        <v>#DIV/0!</v>
      </c>
      <c r="AA40" s="41" t="e">
        <f t="shared" si="7"/>
        <v>#DIV/0!</v>
      </c>
      <c r="AB40" s="62"/>
      <c r="AC40" s="51">
        <f t="shared" si="11"/>
        <v>0</v>
      </c>
      <c r="AD40" s="65" t="e">
        <f t="shared" si="12"/>
        <v>#DIV/0!</v>
      </c>
      <c r="AE40" s="162" t="e">
        <f t="shared" si="10"/>
        <v>#DIV/0!</v>
      </c>
    </row>
    <row r="41" spans="2:31" ht="15.75" customHeight="1" x14ac:dyDescent="0.3">
      <c r="B41" s="35">
        <v>32</v>
      </c>
      <c r="C41" s="197" t="s">
        <v>142</v>
      </c>
      <c r="D41" s="45"/>
      <c r="E41" s="38"/>
      <c r="F41" s="58"/>
      <c r="G41" s="31"/>
      <c r="H41" s="31"/>
      <c r="I41" s="32"/>
      <c r="J41" s="28"/>
      <c r="K41" s="56">
        <f t="shared" si="0"/>
        <v>0</v>
      </c>
      <c r="L41" s="166" t="str">
        <f t="shared" si="1"/>
        <v>N/TRANSITA</v>
      </c>
      <c r="M41" s="58">
        <v>14</v>
      </c>
      <c r="N41" s="31">
        <v>14</v>
      </c>
      <c r="O41" s="27"/>
      <c r="P41" s="32">
        <v>20</v>
      </c>
      <c r="Q41" s="28"/>
      <c r="R41" s="56">
        <f t="shared" ref="R41" si="32">AVERAGE(M41,MAX(N41:O41),MAX(P41:Q41))</f>
        <v>16</v>
      </c>
      <c r="S41" s="166" t="str">
        <f t="shared" ref="S41" si="33">IF(R41&gt;=10,"TRANSITA","N/TRANSITA")</f>
        <v>TRANSITA</v>
      </c>
      <c r="T41" s="59"/>
      <c r="U41" s="27"/>
      <c r="V41" s="27"/>
      <c r="W41" s="32" t="e">
        <f t="shared" ref="W41" si="34">AVERAGE(T41:U41)</f>
        <v>#DIV/0!</v>
      </c>
      <c r="X41" s="28"/>
      <c r="Y41" s="56" t="e">
        <f t="shared" ref="Y41" si="35">AVERAGE(T41,MAX(U41:V41),MAX(W41:X41))</f>
        <v>#DIV/0!</v>
      </c>
      <c r="Z41" s="48" t="e">
        <f t="shared" ref="Z41" si="36">SUM(K41,R41,Y41)/3</f>
        <v>#DIV/0!</v>
      </c>
      <c r="AA41" s="41" t="e">
        <f t="shared" ref="AA41" si="37">Z41*0.4</f>
        <v>#DIV/0!</v>
      </c>
      <c r="AB41" s="62"/>
      <c r="AC41" s="51">
        <f t="shared" ref="AC41" si="38">AB41*0.6</f>
        <v>0</v>
      </c>
      <c r="AD41" s="65" t="e">
        <f t="shared" ref="AD41" si="39">AVERAGE(AA41+AC41)</f>
        <v>#DIV/0!</v>
      </c>
      <c r="AE41" s="162"/>
    </row>
    <row r="42" spans="2:31" ht="15.75" customHeight="1" x14ac:dyDescent="0.3">
      <c r="B42" s="35">
        <v>33</v>
      </c>
      <c r="C42" s="197" t="s">
        <v>129</v>
      </c>
      <c r="D42" s="45"/>
      <c r="E42" s="38"/>
      <c r="F42" s="58">
        <v>12</v>
      </c>
      <c r="G42" s="31">
        <v>12</v>
      </c>
      <c r="H42" s="31"/>
      <c r="I42" s="32">
        <v>12</v>
      </c>
      <c r="J42" s="28"/>
      <c r="K42" s="56">
        <f t="shared" si="0"/>
        <v>12</v>
      </c>
      <c r="L42" s="166" t="str">
        <f t="shared" si="1"/>
        <v>TRANSITA</v>
      </c>
      <c r="M42" s="58">
        <v>14</v>
      </c>
      <c r="N42" s="31">
        <v>14</v>
      </c>
      <c r="O42" s="27"/>
      <c r="P42" s="32">
        <v>7</v>
      </c>
      <c r="Q42" s="28"/>
      <c r="R42" s="56">
        <f t="shared" si="3"/>
        <v>11.666666666666666</v>
      </c>
      <c r="S42" s="166" t="str">
        <f t="shared" si="4"/>
        <v>TRANSITA</v>
      </c>
      <c r="T42" s="59"/>
      <c r="U42" s="27"/>
      <c r="V42" s="27"/>
      <c r="W42" s="32" t="e">
        <f t="shared" si="5"/>
        <v>#DIV/0!</v>
      </c>
      <c r="X42" s="28"/>
      <c r="Y42" s="56" t="e">
        <f t="shared" si="6"/>
        <v>#DIV/0!</v>
      </c>
      <c r="Z42" s="48" t="e">
        <f t="shared" si="2"/>
        <v>#DIV/0!</v>
      </c>
      <c r="AA42" s="41" t="e">
        <f t="shared" si="7"/>
        <v>#DIV/0!</v>
      </c>
      <c r="AB42" s="62"/>
      <c r="AC42" s="51">
        <f t="shared" si="11"/>
        <v>0</v>
      </c>
      <c r="AD42" s="65" t="e">
        <f t="shared" si="12"/>
        <v>#DIV/0!</v>
      </c>
      <c r="AE42" s="162" t="e">
        <f t="shared" si="10"/>
        <v>#DIV/0!</v>
      </c>
    </row>
    <row r="43" spans="2:31" ht="15.75" customHeight="1" x14ac:dyDescent="0.3">
      <c r="B43" s="35">
        <v>34</v>
      </c>
      <c r="C43" s="197" t="s">
        <v>130</v>
      </c>
      <c r="D43" s="45"/>
      <c r="E43" s="38"/>
      <c r="F43" s="58">
        <v>12</v>
      </c>
      <c r="G43" s="31">
        <v>12</v>
      </c>
      <c r="H43" s="31"/>
      <c r="I43" s="32">
        <v>12</v>
      </c>
      <c r="J43" s="28"/>
      <c r="K43" s="56">
        <f t="shared" si="0"/>
        <v>12</v>
      </c>
      <c r="L43" s="166" t="str">
        <f t="shared" si="1"/>
        <v>TRANSITA</v>
      </c>
      <c r="M43" s="58">
        <v>14</v>
      </c>
      <c r="N43" s="31">
        <v>14</v>
      </c>
      <c r="O43" s="27"/>
      <c r="P43" s="32">
        <v>16</v>
      </c>
      <c r="Q43" s="28"/>
      <c r="R43" s="56">
        <f t="shared" si="3"/>
        <v>14.666666666666666</v>
      </c>
      <c r="S43" s="166" t="str">
        <f t="shared" si="4"/>
        <v>TRANSITA</v>
      </c>
      <c r="T43" s="59"/>
      <c r="U43" s="27"/>
      <c r="V43" s="27"/>
      <c r="W43" s="32" t="e">
        <f t="shared" si="5"/>
        <v>#DIV/0!</v>
      </c>
      <c r="X43" s="28"/>
      <c r="Y43" s="56" t="e">
        <f t="shared" si="6"/>
        <v>#DIV/0!</v>
      </c>
      <c r="Z43" s="48" t="e">
        <f t="shared" si="2"/>
        <v>#DIV/0!</v>
      </c>
      <c r="AA43" s="41" t="e">
        <f t="shared" si="7"/>
        <v>#DIV/0!</v>
      </c>
      <c r="AB43" s="62"/>
      <c r="AC43" s="51">
        <f t="shared" ref="AC43:AC44" si="40">AB43*0.6</f>
        <v>0</v>
      </c>
      <c r="AD43" s="65" t="e">
        <f t="shared" ref="AD43:AD44" si="41">AVERAGE(AA43+AC43)</f>
        <v>#DIV/0!</v>
      </c>
      <c r="AE43" s="162" t="e">
        <f t="shared" si="10"/>
        <v>#DIV/0!</v>
      </c>
    </row>
    <row r="44" spans="2:31" ht="15.75" customHeight="1" x14ac:dyDescent="0.3">
      <c r="B44" s="35">
        <v>35</v>
      </c>
      <c r="C44" s="197" t="s">
        <v>131</v>
      </c>
      <c r="D44" s="45"/>
      <c r="E44" s="38"/>
      <c r="F44" s="58">
        <v>12</v>
      </c>
      <c r="G44" s="31">
        <v>12</v>
      </c>
      <c r="H44" s="31"/>
      <c r="I44" s="32">
        <v>12</v>
      </c>
      <c r="J44" s="28"/>
      <c r="K44" s="56">
        <f t="shared" si="0"/>
        <v>12</v>
      </c>
      <c r="L44" s="166" t="str">
        <f t="shared" si="1"/>
        <v>TRANSITA</v>
      </c>
      <c r="M44" s="58">
        <v>14</v>
      </c>
      <c r="N44" s="31">
        <v>14</v>
      </c>
      <c r="O44" s="27"/>
      <c r="P44" s="32">
        <v>20</v>
      </c>
      <c r="Q44" s="28"/>
      <c r="R44" s="56">
        <f t="shared" si="3"/>
        <v>16</v>
      </c>
      <c r="S44" s="166" t="str">
        <f t="shared" si="4"/>
        <v>TRANSITA</v>
      </c>
      <c r="T44" s="59"/>
      <c r="U44" s="27"/>
      <c r="V44" s="27"/>
      <c r="W44" s="32" t="e">
        <f t="shared" si="5"/>
        <v>#DIV/0!</v>
      </c>
      <c r="X44" s="28"/>
      <c r="Y44" s="56" t="e">
        <f t="shared" si="6"/>
        <v>#DIV/0!</v>
      </c>
      <c r="Z44" s="48" t="e">
        <f t="shared" si="2"/>
        <v>#DIV/0!</v>
      </c>
      <c r="AA44" s="41" t="e">
        <f t="shared" si="7"/>
        <v>#DIV/0!</v>
      </c>
      <c r="AB44" s="62"/>
      <c r="AC44" s="51">
        <f t="shared" si="40"/>
        <v>0</v>
      </c>
      <c r="AD44" s="65" t="e">
        <f t="shared" si="41"/>
        <v>#DIV/0!</v>
      </c>
      <c r="AE44" s="162" t="e">
        <f t="shared" si="10"/>
        <v>#DIV/0!</v>
      </c>
    </row>
    <row r="45" spans="2:31" ht="15.75" customHeight="1" x14ac:dyDescent="0.3">
      <c r="B45" s="35">
        <v>36</v>
      </c>
      <c r="C45" s="197" t="s">
        <v>132</v>
      </c>
      <c r="D45" s="45"/>
      <c r="E45" s="38"/>
      <c r="F45" s="58">
        <v>12</v>
      </c>
      <c r="G45" s="31">
        <v>12</v>
      </c>
      <c r="H45" s="31"/>
      <c r="I45" s="32">
        <v>12</v>
      </c>
      <c r="J45" s="28"/>
      <c r="K45" s="56">
        <f t="shared" si="0"/>
        <v>12</v>
      </c>
      <c r="L45" s="166" t="str">
        <f t="shared" si="1"/>
        <v>TRANSITA</v>
      </c>
      <c r="M45" s="58">
        <v>14</v>
      </c>
      <c r="N45" s="31">
        <v>14</v>
      </c>
      <c r="O45" s="27"/>
      <c r="P45" s="32">
        <v>16</v>
      </c>
      <c r="Q45" s="28"/>
      <c r="R45" s="56">
        <f t="shared" si="3"/>
        <v>14.666666666666666</v>
      </c>
      <c r="S45" s="166" t="str">
        <f t="shared" si="4"/>
        <v>TRANSITA</v>
      </c>
      <c r="T45" s="59"/>
      <c r="U45" s="27"/>
      <c r="V45" s="27"/>
      <c r="W45" s="32" t="e">
        <f t="shared" si="5"/>
        <v>#DIV/0!</v>
      </c>
      <c r="X45" s="28"/>
      <c r="Y45" s="56" t="e">
        <f t="shared" si="6"/>
        <v>#DIV/0!</v>
      </c>
      <c r="Z45" s="48" t="e">
        <f t="shared" si="2"/>
        <v>#DIV/0!</v>
      </c>
      <c r="AA45" s="41" t="e">
        <f t="shared" si="7"/>
        <v>#DIV/0!</v>
      </c>
      <c r="AB45" s="62"/>
      <c r="AC45" s="51">
        <f t="shared" si="11"/>
        <v>0</v>
      </c>
      <c r="AD45" s="65" t="e">
        <f t="shared" si="12"/>
        <v>#DIV/0!</v>
      </c>
      <c r="AE45" s="162" t="e">
        <f t="shared" si="10"/>
        <v>#DIV/0!</v>
      </c>
    </row>
    <row r="46" spans="2:31" ht="15.75" customHeight="1" x14ac:dyDescent="0.3">
      <c r="B46" s="35">
        <v>37</v>
      </c>
      <c r="C46" s="197" t="s">
        <v>133</v>
      </c>
      <c r="D46" s="45"/>
      <c r="E46" s="38"/>
      <c r="F46" s="58">
        <v>12</v>
      </c>
      <c r="G46" s="31">
        <v>12</v>
      </c>
      <c r="H46" s="31"/>
      <c r="I46" s="32">
        <v>12</v>
      </c>
      <c r="J46" s="28"/>
      <c r="K46" s="56">
        <f t="shared" si="0"/>
        <v>12</v>
      </c>
      <c r="L46" s="166" t="str">
        <f t="shared" si="1"/>
        <v>TRANSITA</v>
      </c>
      <c r="M46" s="58">
        <v>14</v>
      </c>
      <c r="N46" s="31">
        <v>14</v>
      </c>
      <c r="O46" s="27"/>
      <c r="P46" s="32">
        <v>20</v>
      </c>
      <c r="Q46" s="28"/>
      <c r="R46" s="56">
        <f t="shared" si="3"/>
        <v>16</v>
      </c>
      <c r="S46" s="166" t="str">
        <f t="shared" si="4"/>
        <v>TRANSITA</v>
      </c>
      <c r="T46" s="59"/>
      <c r="U46" s="27"/>
      <c r="V46" s="27"/>
      <c r="W46" s="32" t="e">
        <f t="shared" si="5"/>
        <v>#DIV/0!</v>
      </c>
      <c r="X46" s="28"/>
      <c r="Y46" s="56" t="e">
        <f t="shared" si="6"/>
        <v>#DIV/0!</v>
      </c>
      <c r="Z46" s="48" t="e">
        <f t="shared" si="2"/>
        <v>#DIV/0!</v>
      </c>
      <c r="AA46" s="41" t="e">
        <f t="shared" si="7"/>
        <v>#DIV/0!</v>
      </c>
      <c r="AB46" s="62"/>
      <c r="AC46" s="51">
        <f t="shared" ref="AC46:AC51" si="42">AB46*0.6</f>
        <v>0</v>
      </c>
      <c r="AD46" s="65" t="e">
        <f t="shared" ref="AD46:AD51" si="43">AVERAGE(AA46+AC46)</f>
        <v>#DIV/0!</v>
      </c>
      <c r="AE46" s="162" t="e">
        <f t="shared" si="10"/>
        <v>#DIV/0!</v>
      </c>
    </row>
    <row r="47" spans="2:31" ht="15.75" customHeight="1" x14ac:dyDescent="0.3">
      <c r="B47" s="35">
        <v>38</v>
      </c>
      <c r="C47" s="197" t="s">
        <v>134</v>
      </c>
      <c r="D47" s="45"/>
      <c r="E47" s="38"/>
      <c r="F47" s="58">
        <v>12</v>
      </c>
      <c r="G47" s="31">
        <v>12</v>
      </c>
      <c r="H47" s="31"/>
      <c r="I47" s="32">
        <v>12</v>
      </c>
      <c r="J47" s="28"/>
      <c r="K47" s="56">
        <f t="shared" si="0"/>
        <v>12</v>
      </c>
      <c r="L47" s="166" t="str">
        <f t="shared" si="1"/>
        <v>TRANSITA</v>
      </c>
      <c r="M47" s="58">
        <v>14</v>
      </c>
      <c r="N47" s="31">
        <v>14</v>
      </c>
      <c r="O47" s="27"/>
      <c r="P47" s="32"/>
      <c r="Q47" s="28"/>
      <c r="R47" s="56">
        <f t="shared" si="3"/>
        <v>9.3333333333333339</v>
      </c>
      <c r="S47" s="166" t="str">
        <f t="shared" si="4"/>
        <v>N/TRANSITA</v>
      </c>
      <c r="T47" s="59"/>
      <c r="U47" s="27"/>
      <c r="V47" s="27"/>
      <c r="W47" s="32" t="e">
        <f t="shared" si="5"/>
        <v>#DIV/0!</v>
      </c>
      <c r="X47" s="28"/>
      <c r="Y47" s="56" t="e">
        <f t="shared" si="6"/>
        <v>#DIV/0!</v>
      </c>
      <c r="Z47" s="48" t="e">
        <f t="shared" si="2"/>
        <v>#DIV/0!</v>
      </c>
      <c r="AA47" s="41" t="e">
        <f t="shared" si="7"/>
        <v>#DIV/0!</v>
      </c>
      <c r="AB47" s="62"/>
      <c r="AC47" s="51">
        <f t="shared" si="42"/>
        <v>0</v>
      </c>
      <c r="AD47" s="65" t="e">
        <f t="shared" si="43"/>
        <v>#DIV/0!</v>
      </c>
      <c r="AE47" s="162" t="e">
        <f t="shared" si="10"/>
        <v>#DIV/0!</v>
      </c>
    </row>
    <row r="48" spans="2:31" ht="15.75" customHeight="1" x14ac:dyDescent="0.3">
      <c r="B48" s="35">
        <v>39</v>
      </c>
      <c r="C48" s="197" t="s">
        <v>135</v>
      </c>
      <c r="D48" s="45"/>
      <c r="E48" s="38"/>
      <c r="F48" s="58">
        <v>12</v>
      </c>
      <c r="G48" s="31">
        <v>12</v>
      </c>
      <c r="H48" s="31"/>
      <c r="I48" s="32">
        <v>12</v>
      </c>
      <c r="J48" s="28"/>
      <c r="K48" s="56">
        <f t="shared" si="0"/>
        <v>12</v>
      </c>
      <c r="L48" s="166" t="str">
        <f t="shared" si="1"/>
        <v>TRANSITA</v>
      </c>
      <c r="M48" s="58">
        <v>14</v>
      </c>
      <c r="N48" s="31">
        <v>14</v>
      </c>
      <c r="O48" s="27"/>
      <c r="P48" s="32">
        <v>15.5</v>
      </c>
      <c r="Q48" s="28"/>
      <c r="R48" s="56">
        <f t="shared" si="3"/>
        <v>14.5</v>
      </c>
      <c r="S48" s="166" t="str">
        <f t="shared" si="4"/>
        <v>TRANSITA</v>
      </c>
      <c r="T48" s="59"/>
      <c r="U48" s="27"/>
      <c r="V48" s="27"/>
      <c r="W48" s="32" t="e">
        <f t="shared" si="5"/>
        <v>#DIV/0!</v>
      </c>
      <c r="X48" s="28"/>
      <c r="Y48" s="56" t="e">
        <f t="shared" si="6"/>
        <v>#DIV/0!</v>
      </c>
      <c r="Z48" s="48" t="e">
        <f t="shared" si="2"/>
        <v>#DIV/0!</v>
      </c>
      <c r="AA48" s="41" t="e">
        <f t="shared" si="7"/>
        <v>#DIV/0!</v>
      </c>
      <c r="AB48" s="62"/>
      <c r="AC48" s="51">
        <f t="shared" si="42"/>
        <v>0</v>
      </c>
      <c r="AD48" s="65" t="e">
        <f t="shared" si="43"/>
        <v>#DIV/0!</v>
      </c>
      <c r="AE48" s="162" t="e">
        <f t="shared" si="10"/>
        <v>#DIV/0!</v>
      </c>
    </row>
    <row r="49" spans="1:31" ht="15.75" customHeight="1" x14ac:dyDescent="0.3">
      <c r="B49" s="35">
        <v>40</v>
      </c>
      <c r="C49" s="197" t="s">
        <v>136</v>
      </c>
      <c r="D49" s="45">
        <v>0</v>
      </c>
      <c r="E49" s="38"/>
      <c r="F49" s="58">
        <v>12</v>
      </c>
      <c r="G49" s="31">
        <v>12</v>
      </c>
      <c r="H49" s="31"/>
      <c r="I49" s="32">
        <v>12</v>
      </c>
      <c r="J49" s="28"/>
      <c r="K49" s="56">
        <f t="shared" si="0"/>
        <v>12</v>
      </c>
      <c r="L49" s="166" t="str">
        <f t="shared" si="1"/>
        <v>TRANSITA</v>
      </c>
      <c r="M49" s="58">
        <v>14</v>
      </c>
      <c r="N49" s="31">
        <v>14</v>
      </c>
      <c r="O49" s="27"/>
      <c r="P49" s="32">
        <v>17</v>
      </c>
      <c r="Q49" s="28"/>
      <c r="R49" s="56">
        <f t="shared" si="3"/>
        <v>15</v>
      </c>
      <c r="S49" s="166" t="str">
        <f t="shared" si="4"/>
        <v>TRANSITA</v>
      </c>
      <c r="T49" s="59"/>
      <c r="U49" s="27"/>
      <c r="V49" s="27"/>
      <c r="W49" s="32" t="e">
        <f t="shared" si="5"/>
        <v>#DIV/0!</v>
      </c>
      <c r="X49" s="28"/>
      <c r="Y49" s="56" t="e">
        <f t="shared" si="6"/>
        <v>#DIV/0!</v>
      </c>
      <c r="Z49" s="48" t="e">
        <f t="shared" si="2"/>
        <v>#DIV/0!</v>
      </c>
      <c r="AA49" s="41" t="e">
        <f t="shared" si="7"/>
        <v>#DIV/0!</v>
      </c>
      <c r="AB49" s="62"/>
      <c r="AC49" s="51">
        <f t="shared" ref="AC49:AC50" si="44">AB49*0.6</f>
        <v>0</v>
      </c>
      <c r="AD49" s="65" t="e">
        <f t="shared" ref="AD49:AD50" si="45">AVERAGE(AA49+AC49)</f>
        <v>#DIV/0!</v>
      </c>
      <c r="AE49" s="162" t="e">
        <f t="shared" si="10"/>
        <v>#DIV/0!</v>
      </c>
    </row>
    <row r="50" spans="1:31" ht="15.75" customHeight="1" x14ac:dyDescent="0.3">
      <c r="B50" s="35">
        <v>41</v>
      </c>
      <c r="C50" s="197" t="s">
        <v>137</v>
      </c>
      <c r="D50" s="45"/>
      <c r="E50" s="38"/>
      <c r="F50" s="58">
        <v>12</v>
      </c>
      <c r="G50" s="31">
        <v>12</v>
      </c>
      <c r="H50" s="31"/>
      <c r="I50" s="32">
        <v>12</v>
      </c>
      <c r="J50" s="28"/>
      <c r="K50" s="56">
        <f t="shared" si="0"/>
        <v>12</v>
      </c>
      <c r="L50" s="166" t="str">
        <f t="shared" si="1"/>
        <v>TRANSITA</v>
      </c>
      <c r="M50" s="58">
        <v>14</v>
      </c>
      <c r="N50" s="31">
        <v>14</v>
      </c>
      <c r="O50" s="27"/>
      <c r="P50" s="32">
        <v>16</v>
      </c>
      <c r="Q50" s="28"/>
      <c r="R50" s="56">
        <f t="shared" si="3"/>
        <v>14.666666666666666</v>
      </c>
      <c r="S50" s="166" t="str">
        <f t="shared" si="4"/>
        <v>TRANSITA</v>
      </c>
      <c r="T50" s="59"/>
      <c r="U50" s="27"/>
      <c r="V50" s="27"/>
      <c r="W50" s="32" t="e">
        <f t="shared" si="5"/>
        <v>#DIV/0!</v>
      </c>
      <c r="X50" s="28"/>
      <c r="Y50" s="56" t="e">
        <f t="shared" si="6"/>
        <v>#DIV/0!</v>
      </c>
      <c r="Z50" s="48" t="e">
        <f t="shared" si="2"/>
        <v>#DIV/0!</v>
      </c>
      <c r="AA50" s="41" t="e">
        <f t="shared" si="7"/>
        <v>#DIV/0!</v>
      </c>
      <c r="AB50" s="62"/>
      <c r="AC50" s="51">
        <f t="shared" si="44"/>
        <v>0</v>
      </c>
      <c r="AD50" s="65" t="e">
        <f t="shared" si="45"/>
        <v>#DIV/0!</v>
      </c>
      <c r="AE50" s="162" t="e">
        <f t="shared" si="10"/>
        <v>#DIV/0!</v>
      </c>
    </row>
    <row r="51" spans="1:31" ht="15.75" customHeight="1" thickBot="1" x14ac:dyDescent="0.35">
      <c r="B51" s="35">
        <v>42</v>
      </c>
      <c r="C51" s="198" t="s">
        <v>138</v>
      </c>
      <c r="D51" s="46"/>
      <c r="E51" s="39"/>
      <c r="F51" s="58">
        <v>12</v>
      </c>
      <c r="G51" s="31">
        <v>12</v>
      </c>
      <c r="H51" s="31"/>
      <c r="I51" s="32">
        <v>12</v>
      </c>
      <c r="J51" s="30"/>
      <c r="K51" s="57">
        <f t="shared" si="0"/>
        <v>12</v>
      </c>
      <c r="L51" s="167" t="str">
        <f t="shared" si="1"/>
        <v>TRANSITA</v>
      </c>
      <c r="M51" s="58">
        <v>14</v>
      </c>
      <c r="N51" s="31">
        <v>14</v>
      </c>
      <c r="O51" s="29"/>
      <c r="P51" s="137">
        <v>10</v>
      </c>
      <c r="Q51" s="30"/>
      <c r="R51" s="57">
        <f t="shared" si="3"/>
        <v>12.666666666666666</v>
      </c>
      <c r="S51" s="167" t="str">
        <f t="shared" si="4"/>
        <v>TRANSITA</v>
      </c>
      <c r="T51" s="60"/>
      <c r="U51" s="29"/>
      <c r="V51" s="29"/>
      <c r="W51" s="137" t="e">
        <f t="shared" si="5"/>
        <v>#DIV/0!</v>
      </c>
      <c r="X51" s="30"/>
      <c r="Y51" s="57" t="e">
        <f t="shared" si="6"/>
        <v>#DIV/0!</v>
      </c>
      <c r="Z51" s="49" t="e">
        <f t="shared" si="2"/>
        <v>#DIV/0!</v>
      </c>
      <c r="AA51" s="42" t="e">
        <f t="shared" si="7"/>
        <v>#DIV/0!</v>
      </c>
      <c r="AB51" s="63"/>
      <c r="AC51" s="52">
        <f t="shared" si="42"/>
        <v>0</v>
      </c>
      <c r="AD51" s="66" t="e">
        <f t="shared" si="43"/>
        <v>#DIV/0!</v>
      </c>
      <c r="AE51" s="164" t="e">
        <f t="shared" si="10"/>
        <v>#DIV/0!</v>
      </c>
    </row>
    <row r="52" spans="1:31" ht="12" customHeight="1" thickTop="1" x14ac:dyDescent="0.3">
      <c r="B52" s="3"/>
      <c r="C52" s="4"/>
      <c r="D52" s="4"/>
      <c r="E52" s="4"/>
      <c r="F52" s="5"/>
      <c r="G52" s="5"/>
      <c r="H52" s="5"/>
      <c r="I52" s="6"/>
      <c r="J52" s="6"/>
      <c r="K52" s="7"/>
      <c r="L52" s="7"/>
      <c r="M52" s="8"/>
      <c r="N52" s="8"/>
      <c r="O52" s="8"/>
      <c r="P52" s="8"/>
      <c r="Q52" s="8"/>
      <c r="R52" s="7"/>
      <c r="S52" s="7"/>
      <c r="T52" s="9"/>
      <c r="U52" s="9"/>
      <c r="V52" s="9"/>
      <c r="W52" s="10"/>
      <c r="X52" s="10"/>
      <c r="Y52" s="7"/>
      <c r="Z52" s="11"/>
      <c r="AA52" s="12"/>
      <c r="AB52" s="13"/>
      <c r="AC52" s="12"/>
      <c r="AD52" s="12"/>
      <c r="AE52" s="14"/>
    </row>
    <row r="53" spans="1:31" ht="16.5" customHeight="1" x14ac:dyDescent="0.3">
      <c r="A53" s="284" t="s">
        <v>140</v>
      </c>
      <c r="B53" s="284"/>
      <c r="C53" s="284"/>
      <c r="D53" s="284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  <c r="AA53" s="284"/>
      <c r="AB53" s="284"/>
      <c r="AC53" s="284"/>
      <c r="AD53" s="284"/>
      <c r="AE53" s="284"/>
    </row>
    <row r="54" spans="1:31" ht="16.5" customHeight="1" x14ac:dyDescent="0.3">
      <c r="A54" s="21"/>
      <c r="B54" s="21"/>
      <c r="C54" s="21"/>
      <c r="D54" s="21"/>
      <c r="E54" s="21"/>
      <c r="F54" s="21"/>
      <c r="G54" s="21"/>
      <c r="H54" s="25"/>
      <c r="I54" s="21"/>
      <c r="J54" s="25"/>
      <c r="K54" s="21"/>
      <c r="L54" s="21"/>
      <c r="M54" s="21"/>
      <c r="N54" s="21"/>
      <c r="O54" s="25"/>
      <c r="P54" s="21"/>
      <c r="Q54" s="25"/>
      <c r="R54" s="21"/>
      <c r="S54" s="21"/>
      <c r="T54" s="21"/>
      <c r="U54" s="21"/>
      <c r="V54" s="25"/>
      <c r="W54" s="21"/>
      <c r="X54" s="25"/>
      <c r="Y54" s="21"/>
      <c r="Z54" s="21"/>
      <c r="AA54" s="21"/>
      <c r="AB54" s="21"/>
      <c r="AC54" s="21"/>
      <c r="AD54" s="21"/>
      <c r="AE54" s="21"/>
    </row>
    <row r="55" spans="1:31" ht="20.25" customHeight="1" x14ac:dyDescent="0.35">
      <c r="A55" s="309" t="s">
        <v>41</v>
      </c>
      <c r="B55" s="309"/>
      <c r="C55" s="309"/>
      <c r="D55" s="309"/>
      <c r="E55" s="309"/>
      <c r="F55" s="309"/>
      <c r="G55" s="19"/>
      <c r="H55" s="23"/>
      <c r="I55" s="20"/>
      <c r="J55" s="20"/>
      <c r="K55" s="20"/>
      <c r="L55" s="20"/>
      <c r="M55" s="20"/>
      <c r="N55" s="20"/>
      <c r="O55" s="20"/>
      <c r="P55" s="20"/>
      <c r="Q55" s="20"/>
      <c r="R55" s="309" t="s">
        <v>10</v>
      </c>
      <c r="S55" s="309"/>
      <c r="T55" s="309"/>
      <c r="U55" s="309"/>
      <c r="V55" s="309"/>
      <c r="W55" s="309"/>
      <c r="X55" s="309"/>
      <c r="Y55" s="309"/>
      <c r="Z55" s="309"/>
      <c r="AA55" s="309"/>
      <c r="AB55" s="309"/>
      <c r="AC55" s="309"/>
      <c r="AD55" s="309"/>
      <c r="AE55" s="309"/>
    </row>
    <row r="56" spans="1:31" ht="20.399999999999999" x14ac:dyDescent="0.35">
      <c r="A56" s="20"/>
      <c r="B56" s="309" t="s">
        <v>11</v>
      </c>
      <c r="C56" s="309"/>
      <c r="D56" s="309"/>
      <c r="E56" s="309"/>
      <c r="F56" s="309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309"/>
      <c r="S56" s="309"/>
      <c r="T56" s="309"/>
      <c r="U56" s="309"/>
      <c r="V56" s="309"/>
      <c r="W56" s="309"/>
      <c r="X56" s="309"/>
      <c r="Y56" s="309"/>
      <c r="Z56" s="309"/>
      <c r="AA56" s="19"/>
      <c r="AB56" s="19"/>
      <c r="AC56" s="19"/>
      <c r="AD56" s="19"/>
      <c r="AE56" s="20"/>
    </row>
    <row r="57" spans="1:31" ht="21.6" x14ac:dyDescent="0.4">
      <c r="A57" s="20"/>
      <c r="B57" s="310"/>
      <c r="C57" s="310"/>
      <c r="D57" s="310"/>
      <c r="E57" s="310"/>
      <c r="F57" s="31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310" t="s">
        <v>12</v>
      </c>
      <c r="S57" s="310"/>
      <c r="T57" s="310"/>
      <c r="U57" s="310"/>
      <c r="V57" s="310"/>
      <c r="W57" s="310"/>
      <c r="X57" s="310"/>
      <c r="Y57" s="310"/>
      <c r="Z57" s="310"/>
      <c r="AA57" s="310"/>
      <c r="AB57" s="310"/>
      <c r="AC57" s="310"/>
      <c r="AD57" s="310"/>
      <c r="AE57" s="310"/>
    </row>
  </sheetData>
  <mergeCells count="28">
    <mergeCell ref="B7:AE7"/>
    <mergeCell ref="A1:AE1"/>
    <mergeCell ref="B4:C4"/>
    <mergeCell ref="Y4:AE4"/>
    <mergeCell ref="B6:C6"/>
    <mergeCell ref="Y6:AE6"/>
    <mergeCell ref="L3:S3"/>
    <mergeCell ref="C8:C9"/>
    <mergeCell ref="D8:E8"/>
    <mergeCell ref="F8:K8"/>
    <mergeCell ref="M8:R8"/>
    <mergeCell ref="L8:L9"/>
    <mergeCell ref="S8:S9"/>
    <mergeCell ref="B56:F56"/>
    <mergeCell ref="R56:Z56"/>
    <mergeCell ref="B57:F57"/>
    <mergeCell ref="R57:AE57"/>
    <mergeCell ref="A53:AE53"/>
    <mergeCell ref="AD8:AD9"/>
    <mergeCell ref="AE8:AE9"/>
    <mergeCell ref="A55:F55"/>
    <mergeCell ref="R55:AE55"/>
    <mergeCell ref="T8:Y8"/>
    <mergeCell ref="Z8:Z9"/>
    <mergeCell ref="AA8:AA9"/>
    <mergeCell ref="AB8:AB9"/>
    <mergeCell ref="AC8:AC9"/>
    <mergeCell ref="B8:B9"/>
  </mergeCells>
  <conditionalFormatting sqref="K52:L52 R52:Y52 T51:V51 Q10:Q51 W11:X51">
    <cfRule type="cellIs" dxfId="663" priority="601" stopIfTrue="1" operator="lessThan">
      <formula>10</formula>
    </cfRule>
    <cfRule type="cellIs" dxfId="662" priority="602" stopIfTrue="1" operator="greaterThan">
      <formula>9</formula>
    </cfRule>
  </conditionalFormatting>
  <conditionalFormatting sqref="K52:L52 R52:Y52 T51:V51 Q10:Q51 W11:X51">
    <cfRule type="cellIs" dxfId="661" priority="599" stopIfTrue="1" operator="lessThan">
      <formula>10</formula>
    </cfRule>
    <cfRule type="cellIs" dxfId="660" priority="600" stopIfTrue="1" operator="greaterThan">
      <formula>9</formula>
    </cfRule>
  </conditionalFormatting>
  <conditionalFormatting sqref="Z10:AD52">
    <cfRule type="cellIs" dxfId="659" priority="597" stopIfTrue="1" operator="greaterThan">
      <formula>9.5</formula>
    </cfRule>
    <cfRule type="cellIs" dxfId="658" priority="598" stopIfTrue="1" operator="lessThanOrEqual">
      <formula>9.5</formula>
    </cfRule>
  </conditionalFormatting>
  <conditionalFormatting sqref="F52:J52">
    <cfRule type="cellIs" dxfId="657" priority="595" stopIfTrue="1" operator="lessThan">
      <formula>10</formula>
    </cfRule>
    <cfRule type="cellIs" dxfId="656" priority="596" stopIfTrue="1" operator="greaterThan">
      <formula>9</formula>
    </cfRule>
  </conditionalFormatting>
  <conditionalFormatting sqref="F52:J52">
    <cfRule type="cellIs" dxfId="655" priority="593" stopIfTrue="1" operator="lessThan">
      <formula>10</formula>
    </cfRule>
    <cfRule type="cellIs" dxfId="654" priority="594" stopIfTrue="1" operator="greaterThan">
      <formula>9</formula>
    </cfRule>
  </conditionalFormatting>
  <conditionalFormatting sqref="T52:X52 T51:V51 M52:Q52 W11:X51 Q10:Q51">
    <cfRule type="cellIs" dxfId="653" priority="589" stopIfTrue="1" operator="lessThan">
      <formula>10</formula>
    </cfRule>
    <cfRule type="cellIs" dxfId="652" priority="590" stopIfTrue="1" operator="greaterThan">
      <formula>9</formula>
    </cfRule>
    <cfRule type="cellIs" dxfId="651" priority="591" stopIfTrue="1" operator="lessThan">
      <formula>10</formula>
    </cfRule>
    <cfRule type="cellIs" dxfId="650" priority="592" stopIfTrue="1" operator="greaterThan">
      <formula>9</formula>
    </cfRule>
  </conditionalFormatting>
  <conditionalFormatting sqref="AB10:AB52">
    <cfRule type="cellIs" dxfId="649" priority="587" stopIfTrue="1" operator="greaterThan">
      <formula>9.5</formula>
    </cfRule>
    <cfRule type="cellIs" dxfId="648" priority="588" stopIfTrue="1" operator="lessThanOrEqual">
      <formula>9.5</formula>
    </cfRule>
  </conditionalFormatting>
  <conditionalFormatting sqref="R10:R51 Y10:Y51">
    <cfRule type="cellIs" dxfId="647" priority="207" stopIfTrue="1" operator="lessThan">
      <formula>10</formula>
    </cfRule>
    <cfRule type="cellIs" dxfId="646" priority="208" stopIfTrue="1" operator="greaterThanOrEqual">
      <formula>10</formula>
    </cfRule>
  </conditionalFormatting>
  <conditionalFormatting sqref="T24:U39 T45:U50 V10:X10 V11:V50">
    <cfRule type="cellIs" dxfId="645" priority="197" stopIfTrue="1" operator="lessThan">
      <formula>10</formula>
    </cfRule>
    <cfRule type="cellIs" dxfId="644" priority="198" stopIfTrue="1" operator="greaterThan">
      <formula>9</formula>
    </cfRule>
  </conditionalFormatting>
  <conditionalFormatting sqref="T24:U39 T45:U50 V10:X10 V11:V50">
    <cfRule type="cellIs" dxfId="643" priority="195" stopIfTrue="1" operator="lessThan">
      <formula>10</formula>
    </cfRule>
    <cfRule type="cellIs" dxfId="642" priority="196" stopIfTrue="1" operator="greaterThan">
      <formula>9</formula>
    </cfRule>
  </conditionalFormatting>
  <conditionalFormatting sqref="T24:U39 T45:U50 V10:X10 V11:V50">
    <cfRule type="cellIs" dxfId="641" priority="191" stopIfTrue="1" operator="lessThan">
      <formula>10</formula>
    </cfRule>
    <cfRule type="cellIs" dxfId="640" priority="192" stopIfTrue="1" operator="greaterThan">
      <formula>9</formula>
    </cfRule>
    <cfRule type="cellIs" dxfId="639" priority="193" stopIfTrue="1" operator="lessThan">
      <formula>10</formula>
    </cfRule>
    <cfRule type="cellIs" dxfId="638" priority="194" stopIfTrue="1" operator="greaterThan">
      <formula>9</formula>
    </cfRule>
  </conditionalFormatting>
  <conditionalFormatting sqref="T10:U12">
    <cfRule type="cellIs" dxfId="637" priority="189" stopIfTrue="1" operator="lessThan">
      <formula>10</formula>
    </cfRule>
    <cfRule type="cellIs" dxfId="636" priority="190" stopIfTrue="1" operator="greaterThan">
      <formula>9</formula>
    </cfRule>
  </conditionalFormatting>
  <conditionalFormatting sqref="T10:U12">
    <cfRule type="cellIs" dxfId="635" priority="187" stopIfTrue="1" operator="lessThan">
      <formula>10</formula>
    </cfRule>
    <cfRule type="cellIs" dxfId="634" priority="188" stopIfTrue="1" operator="greaterThan">
      <formula>9</formula>
    </cfRule>
  </conditionalFormatting>
  <conditionalFormatting sqref="T10:U12">
    <cfRule type="cellIs" dxfId="633" priority="183" stopIfTrue="1" operator="lessThan">
      <formula>10</formula>
    </cfRule>
    <cfRule type="cellIs" dxfId="632" priority="184" stopIfTrue="1" operator="greaterThan">
      <formula>9</formula>
    </cfRule>
    <cfRule type="cellIs" dxfId="631" priority="185" stopIfTrue="1" operator="lessThan">
      <formula>10</formula>
    </cfRule>
    <cfRule type="cellIs" dxfId="630" priority="186" stopIfTrue="1" operator="greaterThan">
      <formula>9</formula>
    </cfRule>
  </conditionalFormatting>
  <conditionalFormatting sqref="T13:U15">
    <cfRule type="cellIs" dxfId="629" priority="181" stopIfTrue="1" operator="lessThan">
      <formula>10</formula>
    </cfRule>
    <cfRule type="cellIs" dxfId="628" priority="182" stopIfTrue="1" operator="greaterThan">
      <formula>9</formula>
    </cfRule>
  </conditionalFormatting>
  <conditionalFormatting sqref="T13:U15">
    <cfRule type="cellIs" dxfId="627" priority="179" stopIfTrue="1" operator="lessThan">
      <formula>10</formula>
    </cfRule>
    <cfRule type="cellIs" dxfId="626" priority="180" stopIfTrue="1" operator="greaterThan">
      <formula>9</formula>
    </cfRule>
  </conditionalFormatting>
  <conditionalFormatting sqref="T13:U15">
    <cfRule type="cellIs" dxfId="625" priority="175" stopIfTrue="1" operator="lessThan">
      <formula>10</formula>
    </cfRule>
    <cfRule type="cellIs" dxfId="624" priority="176" stopIfTrue="1" operator="greaterThan">
      <formula>9</formula>
    </cfRule>
    <cfRule type="cellIs" dxfId="623" priority="177" stopIfTrue="1" operator="lessThan">
      <formula>10</formula>
    </cfRule>
    <cfRule type="cellIs" dxfId="622" priority="178" stopIfTrue="1" operator="greaterThan">
      <formula>9</formula>
    </cfRule>
  </conditionalFormatting>
  <conditionalFormatting sqref="T16:U19">
    <cfRule type="cellIs" dxfId="621" priority="173" stopIfTrue="1" operator="lessThan">
      <formula>10</formula>
    </cfRule>
    <cfRule type="cellIs" dxfId="620" priority="174" stopIfTrue="1" operator="greaterThan">
      <formula>9</formula>
    </cfRule>
  </conditionalFormatting>
  <conditionalFormatting sqref="T16:U19">
    <cfRule type="cellIs" dxfId="619" priority="171" stopIfTrue="1" operator="lessThan">
      <formula>10</formula>
    </cfRule>
    <cfRule type="cellIs" dxfId="618" priority="172" stopIfTrue="1" operator="greaterThan">
      <formula>9</formula>
    </cfRule>
  </conditionalFormatting>
  <conditionalFormatting sqref="T16:U19">
    <cfRule type="cellIs" dxfId="617" priority="167" stopIfTrue="1" operator="lessThan">
      <formula>10</formula>
    </cfRule>
    <cfRule type="cellIs" dxfId="616" priority="168" stopIfTrue="1" operator="greaterThan">
      <formula>9</formula>
    </cfRule>
    <cfRule type="cellIs" dxfId="615" priority="169" stopIfTrue="1" operator="lessThan">
      <formula>10</formula>
    </cfRule>
    <cfRule type="cellIs" dxfId="614" priority="170" stopIfTrue="1" operator="greaterThan">
      <formula>9</formula>
    </cfRule>
  </conditionalFormatting>
  <conditionalFormatting sqref="T20:U23">
    <cfRule type="cellIs" dxfId="613" priority="165" stopIfTrue="1" operator="lessThan">
      <formula>10</formula>
    </cfRule>
    <cfRule type="cellIs" dxfId="612" priority="166" stopIfTrue="1" operator="greaterThan">
      <formula>9</formula>
    </cfRule>
  </conditionalFormatting>
  <conditionalFormatting sqref="T20:U23">
    <cfRule type="cellIs" dxfId="611" priority="163" stopIfTrue="1" operator="lessThan">
      <formula>10</formula>
    </cfRule>
    <cfRule type="cellIs" dxfId="610" priority="164" stopIfTrue="1" operator="greaterThan">
      <formula>9</formula>
    </cfRule>
  </conditionalFormatting>
  <conditionalFormatting sqref="T20:U23">
    <cfRule type="cellIs" dxfId="609" priority="159" stopIfTrue="1" operator="lessThan">
      <formula>10</formula>
    </cfRule>
    <cfRule type="cellIs" dxfId="608" priority="160" stopIfTrue="1" operator="greaterThan">
      <formula>9</formula>
    </cfRule>
    <cfRule type="cellIs" dxfId="607" priority="161" stopIfTrue="1" operator="lessThan">
      <formula>10</formula>
    </cfRule>
    <cfRule type="cellIs" dxfId="606" priority="162" stopIfTrue="1" operator="greaterThan">
      <formula>9</formula>
    </cfRule>
  </conditionalFormatting>
  <conditionalFormatting sqref="T40:U44">
    <cfRule type="cellIs" dxfId="605" priority="157" stopIfTrue="1" operator="lessThan">
      <formula>10</formula>
    </cfRule>
    <cfRule type="cellIs" dxfId="604" priority="158" stopIfTrue="1" operator="greaterThan">
      <formula>9</formula>
    </cfRule>
  </conditionalFormatting>
  <conditionalFormatting sqref="T40:U44">
    <cfRule type="cellIs" dxfId="603" priority="155" stopIfTrue="1" operator="lessThan">
      <formula>10</formula>
    </cfRule>
    <cfRule type="cellIs" dxfId="602" priority="156" stopIfTrue="1" operator="greaterThan">
      <formula>9</formula>
    </cfRule>
  </conditionalFormatting>
  <conditionalFormatting sqref="T40:U44">
    <cfRule type="cellIs" dxfId="601" priority="151" stopIfTrue="1" operator="lessThan">
      <formula>10</formula>
    </cfRule>
    <cfRule type="cellIs" dxfId="600" priority="152" stopIfTrue="1" operator="greaterThan">
      <formula>9</formula>
    </cfRule>
    <cfRule type="cellIs" dxfId="599" priority="153" stopIfTrue="1" operator="lessThan">
      <formula>10</formula>
    </cfRule>
    <cfRule type="cellIs" dxfId="598" priority="154" stopIfTrue="1" operator="greaterThan">
      <formula>9</formula>
    </cfRule>
  </conditionalFormatting>
  <conditionalFormatting sqref="F10:J51 O51:P51">
    <cfRule type="cellIs" dxfId="597" priority="27" stopIfTrue="1" operator="lessThan">
      <formula>10</formula>
    </cfRule>
    <cfRule type="cellIs" dxfId="596" priority="28" stopIfTrue="1" operator="greaterThan">
      <formula>9</formula>
    </cfRule>
  </conditionalFormatting>
  <conditionalFormatting sqref="F10:J51 O51:P51">
    <cfRule type="cellIs" dxfId="595" priority="25" stopIfTrue="1" operator="lessThan">
      <formula>10</formula>
    </cfRule>
    <cfRule type="cellIs" dxfId="594" priority="26" stopIfTrue="1" operator="greaterThan">
      <formula>9</formula>
    </cfRule>
  </conditionalFormatting>
  <conditionalFormatting sqref="F10:J51 O51:P51">
    <cfRule type="cellIs" dxfId="593" priority="21" stopIfTrue="1" operator="lessThan">
      <formula>10</formula>
    </cfRule>
    <cfRule type="cellIs" dxfId="592" priority="22" stopIfTrue="1" operator="greaterThan">
      <formula>9</formula>
    </cfRule>
    <cfRule type="cellIs" dxfId="591" priority="23" stopIfTrue="1" operator="lessThan">
      <formula>10</formula>
    </cfRule>
    <cfRule type="cellIs" dxfId="590" priority="24" stopIfTrue="1" operator="greaterThan">
      <formula>9</formula>
    </cfRule>
  </conditionalFormatting>
  <conditionalFormatting sqref="K10:K51">
    <cfRule type="cellIs" dxfId="589" priority="19" stopIfTrue="1" operator="lessThan">
      <formula>10</formula>
    </cfRule>
    <cfRule type="cellIs" dxfId="588" priority="20" stopIfTrue="1" operator="greaterThanOrEqual">
      <formula>10</formula>
    </cfRule>
  </conditionalFormatting>
  <conditionalFormatting sqref="O10:P50">
    <cfRule type="cellIs" dxfId="587" priority="15" stopIfTrue="1" operator="lessThan">
      <formula>10</formula>
    </cfRule>
    <cfRule type="cellIs" dxfId="586" priority="16" stopIfTrue="1" operator="greaterThan">
      <formula>9</formula>
    </cfRule>
  </conditionalFormatting>
  <conditionalFormatting sqref="O10:P50">
    <cfRule type="cellIs" dxfId="585" priority="13" stopIfTrue="1" operator="lessThan">
      <formula>10</formula>
    </cfRule>
    <cfRule type="cellIs" dxfId="584" priority="14" stopIfTrue="1" operator="greaterThan">
      <formula>9</formula>
    </cfRule>
  </conditionalFormatting>
  <conditionalFormatting sqref="O10:P50">
    <cfRule type="cellIs" dxfId="583" priority="9" stopIfTrue="1" operator="lessThan">
      <formula>10</formula>
    </cfRule>
    <cfRule type="cellIs" dxfId="582" priority="10" stopIfTrue="1" operator="greaterThan">
      <formula>9</formula>
    </cfRule>
    <cfRule type="cellIs" dxfId="581" priority="11" stopIfTrue="1" operator="lessThan">
      <formula>10</formula>
    </cfRule>
    <cfRule type="cellIs" dxfId="580" priority="12" stopIfTrue="1" operator="greaterThan">
      <formula>9</formula>
    </cfRule>
  </conditionalFormatting>
  <conditionalFormatting sqref="M10:N51">
    <cfRule type="cellIs" dxfId="579" priority="7" stopIfTrue="1" operator="lessThan">
      <formula>10</formula>
    </cfRule>
    <cfRule type="cellIs" dxfId="578" priority="8" stopIfTrue="1" operator="greaterThan">
      <formula>9</formula>
    </cfRule>
  </conditionalFormatting>
  <conditionalFormatting sqref="M10:N51">
    <cfRule type="cellIs" dxfId="577" priority="5" stopIfTrue="1" operator="lessThan">
      <formula>10</formula>
    </cfRule>
    <cfRule type="cellIs" dxfId="576" priority="6" stopIfTrue="1" operator="greaterThan">
      <formula>9</formula>
    </cfRule>
  </conditionalFormatting>
  <conditionalFormatting sqref="M10:N51">
    <cfRule type="cellIs" dxfId="575" priority="1" stopIfTrue="1" operator="lessThan">
      <formula>10</formula>
    </cfRule>
    <cfRule type="cellIs" dxfId="574" priority="2" stopIfTrue="1" operator="greaterThan">
      <formula>9</formula>
    </cfRule>
    <cfRule type="cellIs" dxfId="573" priority="3" stopIfTrue="1" operator="lessThan">
      <formula>10</formula>
    </cfRule>
    <cfRule type="cellIs" dxfId="572" priority="4" stopIfTrue="1" operator="greaterThan">
      <formula>9</formula>
    </cfRule>
  </conditionalFormatting>
  <dataValidations count="1">
    <dataValidation type="decimal" allowBlank="1" showInputMessage="1" showErrorMessage="1" errorTitle="ATENÇÃO!" error="O valor introduzido não é válido. Grato!" sqref="M10:Q51 AB10:AB51 F10:J51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86" orientation="portrait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79" stopIfTrue="1" operator="containsText" id="{64AB0B77-A7E8-43D2-B8B5-A76F73318BA3}">
            <xm:f>NOT(ISERROR(SEARCH("APROVADO/A",AE10)))</xm:f>
            <xm:f>"APROVADO/A"</xm:f>
            <x14:dxf>
              <font>
                <b/>
                <i val="0"/>
                <color rgb="FF0000FF"/>
              </font>
            </x14:dxf>
          </x14:cfRule>
          <x14:cfRule type="containsText" priority="380" stopIfTrue="1" operator="containsText" id="{5AEB5968-95FF-4DB7-B16F-ACCB1D28F4B1}">
            <xm:f>NOT(ISERROR(SEARCH("REPROVADO/A",AE10)))</xm:f>
            <xm:f>"REPROVADO/A"</xm:f>
            <x14:dxf>
              <font>
                <b/>
                <i val="0"/>
                <color rgb="FFFF0000"/>
              </font>
            </x14:dxf>
          </x14:cfRule>
          <xm:sqref>AE10:AE51</xm:sqref>
        </x14:conditionalFormatting>
        <x14:conditionalFormatting xmlns:xm="http://schemas.microsoft.com/office/excel/2006/main">
          <x14:cfRule type="containsText" priority="149" stopIfTrue="1" operator="containsText" id="{22FD17D3-B76E-4CF7-8CB3-1C5EAC0B4020}">
            <xm:f>NOT(ISERROR(SEARCH("N/TRANSITA",S10)))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50" stopIfTrue="1" operator="containsText" id="{3DDF526A-336C-4EC9-83D6-0A934E16D2E2}">
            <xm:f>NOT(ISERROR(SEARCH("TRANSITA",S10)))</xm:f>
            <xm:f>"TRANSITA"</xm:f>
            <x14:dxf>
              <font>
                <b/>
                <i val="0"/>
                <color rgb="FF0070C0"/>
              </font>
            </x14:dxf>
          </x14:cfRule>
          <xm:sqref>S10:S51</xm:sqref>
        </x14:conditionalFormatting>
        <x14:conditionalFormatting xmlns:xm="http://schemas.microsoft.com/office/excel/2006/main">
          <x14:cfRule type="containsText" priority="17" stopIfTrue="1" operator="containsText" id="{22097131-B352-4B70-89A5-E1A32E012354}">
            <xm:f>NOT(ISERROR(SEARCH("N/TRANSITA",L10)))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8" stopIfTrue="1" operator="containsText" id="{D14585AA-EB82-47B4-9DF0-25A59A86298F}">
            <xm:f>NOT(ISERROR(SEARCH("TRANSITA",L10)))</xm:f>
            <xm:f>"TRANSITA"</xm:f>
            <x14:dxf>
              <font>
                <b/>
                <i val="0"/>
                <color rgb="FF0070C0"/>
              </font>
            </x14:dxf>
          </x14:cfRule>
          <xm:sqref>L10:L51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6">
    <tabColor rgb="FF00B050"/>
  </sheetPr>
  <dimension ref="A1:AE57"/>
  <sheetViews>
    <sheetView showGridLines="0" zoomScaleNormal="100" zoomScalePageLayoutView="85" workbookViewId="0">
      <selection activeCell="H17" sqref="H17"/>
    </sheetView>
  </sheetViews>
  <sheetFormatPr defaultRowHeight="14.4" x14ac:dyDescent="0.3"/>
  <cols>
    <col min="1" max="1" width="1.6640625" customWidth="1"/>
    <col min="2" max="2" width="3.6640625" customWidth="1"/>
    <col min="3" max="3" width="36.33203125" customWidth="1"/>
    <col min="4" max="4" width="2.6640625" customWidth="1"/>
    <col min="5" max="5" width="2.88671875" customWidth="1"/>
    <col min="6" max="11" width="4.44140625" customWidth="1"/>
    <col min="12" max="12" width="11.88671875" customWidth="1"/>
    <col min="13" max="18" width="4.44140625" customWidth="1"/>
    <col min="19" max="19" width="11.44140625" customWidth="1"/>
    <col min="20" max="25" width="4.44140625" customWidth="1"/>
    <col min="26" max="26" width="6.109375" customWidth="1"/>
    <col min="27" max="27" width="4.44140625" customWidth="1"/>
    <col min="28" max="28" width="5.88671875" customWidth="1"/>
    <col min="29" max="29" width="4.44140625" customWidth="1"/>
    <col min="30" max="30" width="6.33203125" customWidth="1"/>
    <col min="31" max="31" width="13.109375" customWidth="1"/>
    <col min="32" max="32" width="3.44140625" customWidth="1"/>
    <col min="33" max="33" width="5" customWidth="1"/>
    <col min="267" max="267" width="1.6640625" customWidth="1"/>
    <col min="268" max="268" width="3.6640625" customWidth="1"/>
    <col min="269" max="269" width="23.44140625" customWidth="1"/>
    <col min="270" max="281" width="4.44140625" customWidth="1"/>
    <col min="282" max="282" width="6.109375" customWidth="1"/>
    <col min="283" max="283" width="4.44140625" customWidth="1"/>
    <col min="284" max="284" width="7.5546875" customWidth="1"/>
    <col min="285" max="285" width="4.44140625" customWidth="1"/>
    <col min="286" max="286" width="6.33203125" customWidth="1"/>
    <col min="287" max="287" width="7.88671875" customWidth="1"/>
    <col min="288" max="288" width="3.44140625" customWidth="1"/>
    <col min="289" max="289" width="5" customWidth="1"/>
    <col min="523" max="523" width="1.6640625" customWidth="1"/>
    <col min="524" max="524" width="3.6640625" customWidth="1"/>
    <col min="525" max="525" width="23.44140625" customWidth="1"/>
    <col min="526" max="537" width="4.44140625" customWidth="1"/>
    <col min="538" max="538" width="6.109375" customWidth="1"/>
    <col min="539" max="539" width="4.44140625" customWidth="1"/>
    <col min="540" max="540" width="7.5546875" customWidth="1"/>
    <col min="541" max="541" width="4.44140625" customWidth="1"/>
    <col min="542" max="542" width="6.33203125" customWidth="1"/>
    <col min="543" max="543" width="7.88671875" customWidth="1"/>
    <col min="544" max="544" width="3.44140625" customWidth="1"/>
    <col min="545" max="545" width="5" customWidth="1"/>
    <col min="779" max="779" width="1.6640625" customWidth="1"/>
    <col min="780" max="780" width="3.6640625" customWidth="1"/>
    <col min="781" max="781" width="23.44140625" customWidth="1"/>
    <col min="782" max="793" width="4.44140625" customWidth="1"/>
    <col min="794" max="794" width="6.109375" customWidth="1"/>
    <col min="795" max="795" width="4.44140625" customWidth="1"/>
    <col min="796" max="796" width="7.5546875" customWidth="1"/>
    <col min="797" max="797" width="4.44140625" customWidth="1"/>
    <col min="798" max="798" width="6.33203125" customWidth="1"/>
    <col min="799" max="799" width="7.88671875" customWidth="1"/>
    <col min="800" max="800" width="3.44140625" customWidth="1"/>
    <col min="801" max="801" width="5" customWidth="1"/>
    <col min="1035" max="1035" width="1.6640625" customWidth="1"/>
    <col min="1036" max="1036" width="3.6640625" customWidth="1"/>
    <col min="1037" max="1037" width="23.44140625" customWidth="1"/>
    <col min="1038" max="1049" width="4.44140625" customWidth="1"/>
    <col min="1050" max="1050" width="6.109375" customWidth="1"/>
    <col min="1051" max="1051" width="4.44140625" customWidth="1"/>
    <col min="1052" max="1052" width="7.5546875" customWidth="1"/>
    <col min="1053" max="1053" width="4.44140625" customWidth="1"/>
    <col min="1054" max="1054" width="6.33203125" customWidth="1"/>
    <col min="1055" max="1055" width="7.88671875" customWidth="1"/>
    <col min="1056" max="1056" width="3.44140625" customWidth="1"/>
    <col min="1057" max="1057" width="5" customWidth="1"/>
    <col min="1291" max="1291" width="1.6640625" customWidth="1"/>
    <col min="1292" max="1292" width="3.6640625" customWidth="1"/>
    <col min="1293" max="1293" width="23.44140625" customWidth="1"/>
    <col min="1294" max="1305" width="4.44140625" customWidth="1"/>
    <col min="1306" max="1306" width="6.109375" customWidth="1"/>
    <col min="1307" max="1307" width="4.44140625" customWidth="1"/>
    <col min="1308" max="1308" width="7.5546875" customWidth="1"/>
    <col min="1309" max="1309" width="4.44140625" customWidth="1"/>
    <col min="1310" max="1310" width="6.33203125" customWidth="1"/>
    <col min="1311" max="1311" width="7.88671875" customWidth="1"/>
    <col min="1312" max="1312" width="3.44140625" customWidth="1"/>
    <col min="1313" max="1313" width="5" customWidth="1"/>
    <col min="1547" max="1547" width="1.6640625" customWidth="1"/>
    <col min="1548" max="1548" width="3.6640625" customWidth="1"/>
    <col min="1549" max="1549" width="23.44140625" customWidth="1"/>
    <col min="1550" max="1561" width="4.44140625" customWidth="1"/>
    <col min="1562" max="1562" width="6.109375" customWidth="1"/>
    <col min="1563" max="1563" width="4.44140625" customWidth="1"/>
    <col min="1564" max="1564" width="7.5546875" customWidth="1"/>
    <col min="1565" max="1565" width="4.44140625" customWidth="1"/>
    <col min="1566" max="1566" width="6.33203125" customWidth="1"/>
    <col min="1567" max="1567" width="7.88671875" customWidth="1"/>
    <col min="1568" max="1568" width="3.44140625" customWidth="1"/>
    <col min="1569" max="1569" width="5" customWidth="1"/>
    <col min="1803" max="1803" width="1.6640625" customWidth="1"/>
    <col min="1804" max="1804" width="3.6640625" customWidth="1"/>
    <col min="1805" max="1805" width="23.44140625" customWidth="1"/>
    <col min="1806" max="1817" width="4.44140625" customWidth="1"/>
    <col min="1818" max="1818" width="6.109375" customWidth="1"/>
    <col min="1819" max="1819" width="4.44140625" customWidth="1"/>
    <col min="1820" max="1820" width="7.5546875" customWidth="1"/>
    <col min="1821" max="1821" width="4.44140625" customWidth="1"/>
    <col min="1822" max="1822" width="6.33203125" customWidth="1"/>
    <col min="1823" max="1823" width="7.88671875" customWidth="1"/>
    <col min="1824" max="1824" width="3.44140625" customWidth="1"/>
    <col min="1825" max="1825" width="5" customWidth="1"/>
    <col min="2059" max="2059" width="1.6640625" customWidth="1"/>
    <col min="2060" max="2060" width="3.6640625" customWidth="1"/>
    <col min="2061" max="2061" width="23.44140625" customWidth="1"/>
    <col min="2062" max="2073" width="4.44140625" customWidth="1"/>
    <col min="2074" max="2074" width="6.109375" customWidth="1"/>
    <col min="2075" max="2075" width="4.44140625" customWidth="1"/>
    <col min="2076" max="2076" width="7.5546875" customWidth="1"/>
    <col min="2077" max="2077" width="4.44140625" customWidth="1"/>
    <col min="2078" max="2078" width="6.33203125" customWidth="1"/>
    <col min="2079" max="2079" width="7.88671875" customWidth="1"/>
    <col min="2080" max="2080" width="3.44140625" customWidth="1"/>
    <col min="2081" max="2081" width="5" customWidth="1"/>
    <col min="2315" max="2315" width="1.6640625" customWidth="1"/>
    <col min="2316" max="2316" width="3.6640625" customWidth="1"/>
    <col min="2317" max="2317" width="23.44140625" customWidth="1"/>
    <col min="2318" max="2329" width="4.44140625" customWidth="1"/>
    <col min="2330" max="2330" width="6.109375" customWidth="1"/>
    <col min="2331" max="2331" width="4.44140625" customWidth="1"/>
    <col min="2332" max="2332" width="7.5546875" customWidth="1"/>
    <col min="2333" max="2333" width="4.44140625" customWidth="1"/>
    <col min="2334" max="2334" width="6.33203125" customWidth="1"/>
    <col min="2335" max="2335" width="7.88671875" customWidth="1"/>
    <col min="2336" max="2336" width="3.44140625" customWidth="1"/>
    <col min="2337" max="2337" width="5" customWidth="1"/>
    <col min="2571" max="2571" width="1.6640625" customWidth="1"/>
    <col min="2572" max="2572" width="3.6640625" customWidth="1"/>
    <col min="2573" max="2573" width="23.44140625" customWidth="1"/>
    <col min="2574" max="2585" width="4.44140625" customWidth="1"/>
    <col min="2586" max="2586" width="6.109375" customWidth="1"/>
    <col min="2587" max="2587" width="4.44140625" customWidth="1"/>
    <col min="2588" max="2588" width="7.5546875" customWidth="1"/>
    <col min="2589" max="2589" width="4.44140625" customWidth="1"/>
    <col min="2590" max="2590" width="6.33203125" customWidth="1"/>
    <col min="2591" max="2591" width="7.88671875" customWidth="1"/>
    <col min="2592" max="2592" width="3.44140625" customWidth="1"/>
    <col min="2593" max="2593" width="5" customWidth="1"/>
    <col min="2827" max="2827" width="1.6640625" customWidth="1"/>
    <col min="2828" max="2828" width="3.6640625" customWidth="1"/>
    <col min="2829" max="2829" width="23.44140625" customWidth="1"/>
    <col min="2830" max="2841" width="4.44140625" customWidth="1"/>
    <col min="2842" max="2842" width="6.109375" customWidth="1"/>
    <col min="2843" max="2843" width="4.44140625" customWidth="1"/>
    <col min="2844" max="2844" width="7.5546875" customWidth="1"/>
    <col min="2845" max="2845" width="4.44140625" customWidth="1"/>
    <col min="2846" max="2846" width="6.33203125" customWidth="1"/>
    <col min="2847" max="2847" width="7.88671875" customWidth="1"/>
    <col min="2848" max="2848" width="3.44140625" customWidth="1"/>
    <col min="2849" max="2849" width="5" customWidth="1"/>
    <col min="3083" max="3083" width="1.6640625" customWidth="1"/>
    <col min="3084" max="3084" width="3.6640625" customWidth="1"/>
    <col min="3085" max="3085" width="23.44140625" customWidth="1"/>
    <col min="3086" max="3097" width="4.44140625" customWidth="1"/>
    <col min="3098" max="3098" width="6.109375" customWidth="1"/>
    <col min="3099" max="3099" width="4.44140625" customWidth="1"/>
    <col min="3100" max="3100" width="7.5546875" customWidth="1"/>
    <col min="3101" max="3101" width="4.44140625" customWidth="1"/>
    <col min="3102" max="3102" width="6.33203125" customWidth="1"/>
    <col min="3103" max="3103" width="7.88671875" customWidth="1"/>
    <col min="3104" max="3104" width="3.44140625" customWidth="1"/>
    <col min="3105" max="3105" width="5" customWidth="1"/>
    <col min="3339" max="3339" width="1.6640625" customWidth="1"/>
    <col min="3340" max="3340" width="3.6640625" customWidth="1"/>
    <col min="3341" max="3341" width="23.44140625" customWidth="1"/>
    <col min="3342" max="3353" width="4.44140625" customWidth="1"/>
    <col min="3354" max="3354" width="6.109375" customWidth="1"/>
    <col min="3355" max="3355" width="4.44140625" customWidth="1"/>
    <col min="3356" max="3356" width="7.5546875" customWidth="1"/>
    <col min="3357" max="3357" width="4.44140625" customWidth="1"/>
    <col min="3358" max="3358" width="6.33203125" customWidth="1"/>
    <col min="3359" max="3359" width="7.88671875" customWidth="1"/>
    <col min="3360" max="3360" width="3.44140625" customWidth="1"/>
    <col min="3361" max="3361" width="5" customWidth="1"/>
    <col min="3595" max="3595" width="1.6640625" customWidth="1"/>
    <col min="3596" max="3596" width="3.6640625" customWidth="1"/>
    <col min="3597" max="3597" width="23.44140625" customWidth="1"/>
    <col min="3598" max="3609" width="4.44140625" customWidth="1"/>
    <col min="3610" max="3610" width="6.109375" customWidth="1"/>
    <col min="3611" max="3611" width="4.44140625" customWidth="1"/>
    <col min="3612" max="3612" width="7.5546875" customWidth="1"/>
    <col min="3613" max="3613" width="4.44140625" customWidth="1"/>
    <col min="3614" max="3614" width="6.33203125" customWidth="1"/>
    <col min="3615" max="3615" width="7.88671875" customWidth="1"/>
    <col min="3616" max="3616" width="3.44140625" customWidth="1"/>
    <col min="3617" max="3617" width="5" customWidth="1"/>
    <col min="3851" max="3851" width="1.6640625" customWidth="1"/>
    <col min="3852" max="3852" width="3.6640625" customWidth="1"/>
    <col min="3853" max="3853" width="23.44140625" customWidth="1"/>
    <col min="3854" max="3865" width="4.44140625" customWidth="1"/>
    <col min="3866" max="3866" width="6.109375" customWidth="1"/>
    <col min="3867" max="3867" width="4.44140625" customWidth="1"/>
    <col min="3868" max="3868" width="7.5546875" customWidth="1"/>
    <col min="3869" max="3869" width="4.44140625" customWidth="1"/>
    <col min="3870" max="3870" width="6.33203125" customWidth="1"/>
    <col min="3871" max="3871" width="7.88671875" customWidth="1"/>
    <col min="3872" max="3872" width="3.44140625" customWidth="1"/>
    <col min="3873" max="3873" width="5" customWidth="1"/>
    <col min="4107" max="4107" width="1.6640625" customWidth="1"/>
    <col min="4108" max="4108" width="3.6640625" customWidth="1"/>
    <col min="4109" max="4109" width="23.44140625" customWidth="1"/>
    <col min="4110" max="4121" width="4.44140625" customWidth="1"/>
    <col min="4122" max="4122" width="6.109375" customWidth="1"/>
    <col min="4123" max="4123" width="4.44140625" customWidth="1"/>
    <col min="4124" max="4124" width="7.5546875" customWidth="1"/>
    <col min="4125" max="4125" width="4.44140625" customWidth="1"/>
    <col min="4126" max="4126" width="6.33203125" customWidth="1"/>
    <col min="4127" max="4127" width="7.88671875" customWidth="1"/>
    <col min="4128" max="4128" width="3.44140625" customWidth="1"/>
    <col min="4129" max="4129" width="5" customWidth="1"/>
    <col min="4363" max="4363" width="1.6640625" customWidth="1"/>
    <col min="4364" max="4364" width="3.6640625" customWidth="1"/>
    <col min="4365" max="4365" width="23.44140625" customWidth="1"/>
    <col min="4366" max="4377" width="4.44140625" customWidth="1"/>
    <col min="4378" max="4378" width="6.109375" customWidth="1"/>
    <col min="4379" max="4379" width="4.44140625" customWidth="1"/>
    <col min="4380" max="4380" width="7.5546875" customWidth="1"/>
    <col min="4381" max="4381" width="4.44140625" customWidth="1"/>
    <col min="4382" max="4382" width="6.33203125" customWidth="1"/>
    <col min="4383" max="4383" width="7.88671875" customWidth="1"/>
    <col min="4384" max="4384" width="3.44140625" customWidth="1"/>
    <col min="4385" max="4385" width="5" customWidth="1"/>
    <col min="4619" max="4619" width="1.6640625" customWidth="1"/>
    <col min="4620" max="4620" width="3.6640625" customWidth="1"/>
    <col min="4621" max="4621" width="23.44140625" customWidth="1"/>
    <col min="4622" max="4633" width="4.44140625" customWidth="1"/>
    <col min="4634" max="4634" width="6.109375" customWidth="1"/>
    <col min="4635" max="4635" width="4.44140625" customWidth="1"/>
    <col min="4636" max="4636" width="7.5546875" customWidth="1"/>
    <col min="4637" max="4637" width="4.44140625" customWidth="1"/>
    <col min="4638" max="4638" width="6.33203125" customWidth="1"/>
    <col min="4639" max="4639" width="7.88671875" customWidth="1"/>
    <col min="4640" max="4640" width="3.44140625" customWidth="1"/>
    <col min="4641" max="4641" width="5" customWidth="1"/>
    <col min="4875" max="4875" width="1.6640625" customWidth="1"/>
    <col min="4876" max="4876" width="3.6640625" customWidth="1"/>
    <col min="4877" max="4877" width="23.44140625" customWidth="1"/>
    <col min="4878" max="4889" width="4.44140625" customWidth="1"/>
    <col min="4890" max="4890" width="6.109375" customWidth="1"/>
    <col min="4891" max="4891" width="4.44140625" customWidth="1"/>
    <col min="4892" max="4892" width="7.5546875" customWidth="1"/>
    <col min="4893" max="4893" width="4.44140625" customWidth="1"/>
    <col min="4894" max="4894" width="6.33203125" customWidth="1"/>
    <col min="4895" max="4895" width="7.88671875" customWidth="1"/>
    <col min="4896" max="4896" width="3.44140625" customWidth="1"/>
    <col min="4897" max="4897" width="5" customWidth="1"/>
    <col min="5131" max="5131" width="1.6640625" customWidth="1"/>
    <col min="5132" max="5132" width="3.6640625" customWidth="1"/>
    <col min="5133" max="5133" width="23.44140625" customWidth="1"/>
    <col min="5134" max="5145" width="4.44140625" customWidth="1"/>
    <col min="5146" max="5146" width="6.109375" customWidth="1"/>
    <col min="5147" max="5147" width="4.44140625" customWidth="1"/>
    <col min="5148" max="5148" width="7.5546875" customWidth="1"/>
    <col min="5149" max="5149" width="4.44140625" customWidth="1"/>
    <col min="5150" max="5150" width="6.33203125" customWidth="1"/>
    <col min="5151" max="5151" width="7.88671875" customWidth="1"/>
    <col min="5152" max="5152" width="3.44140625" customWidth="1"/>
    <col min="5153" max="5153" width="5" customWidth="1"/>
    <col min="5387" max="5387" width="1.6640625" customWidth="1"/>
    <col min="5388" max="5388" width="3.6640625" customWidth="1"/>
    <col min="5389" max="5389" width="23.44140625" customWidth="1"/>
    <col min="5390" max="5401" width="4.44140625" customWidth="1"/>
    <col min="5402" max="5402" width="6.109375" customWidth="1"/>
    <col min="5403" max="5403" width="4.44140625" customWidth="1"/>
    <col min="5404" max="5404" width="7.5546875" customWidth="1"/>
    <col min="5405" max="5405" width="4.44140625" customWidth="1"/>
    <col min="5406" max="5406" width="6.33203125" customWidth="1"/>
    <col min="5407" max="5407" width="7.88671875" customWidth="1"/>
    <col min="5408" max="5408" width="3.44140625" customWidth="1"/>
    <col min="5409" max="5409" width="5" customWidth="1"/>
    <col min="5643" max="5643" width="1.6640625" customWidth="1"/>
    <col min="5644" max="5644" width="3.6640625" customWidth="1"/>
    <col min="5645" max="5645" width="23.44140625" customWidth="1"/>
    <col min="5646" max="5657" width="4.44140625" customWidth="1"/>
    <col min="5658" max="5658" width="6.109375" customWidth="1"/>
    <col min="5659" max="5659" width="4.44140625" customWidth="1"/>
    <col min="5660" max="5660" width="7.5546875" customWidth="1"/>
    <col min="5661" max="5661" width="4.44140625" customWidth="1"/>
    <col min="5662" max="5662" width="6.33203125" customWidth="1"/>
    <col min="5663" max="5663" width="7.88671875" customWidth="1"/>
    <col min="5664" max="5664" width="3.44140625" customWidth="1"/>
    <col min="5665" max="5665" width="5" customWidth="1"/>
    <col min="5899" max="5899" width="1.6640625" customWidth="1"/>
    <col min="5900" max="5900" width="3.6640625" customWidth="1"/>
    <col min="5901" max="5901" width="23.44140625" customWidth="1"/>
    <col min="5902" max="5913" width="4.44140625" customWidth="1"/>
    <col min="5914" max="5914" width="6.109375" customWidth="1"/>
    <col min="5915" max="5915" width="4.44140625" customWidth="1"/>
    <col min="5916" max="5916" width="7.5546875" customWidth="1"/>
    <col min="5917" max="5917" width="4.44140625" customWidth="1"/>
    <col min="5918" max="5918" width="6.33203125" customWidth="1"/>
    <col min="5919" max="5919" width="7.88671875" customWidth="1"/>
    <col min="5920" max="5920" width="3.44140625" customWidth="1"/>
    <col min="5921" max="5921" width="5" customWidth="1"/>
    <col min="6155" max="6155" width="1.6640625" customWidth="1"/>
    <col min="6156" max="6156" width="3.6640625" customWidth="1"/>
    <col min="6157" max="6157" width="23.44140625" customWidth="1"/>
    <col min="6158" max="6169" width="4.44140625" customWidth="1"/>
    <col min="6170" max="6170" width="6.109375" customWidth="1"/>
    <col min="6171" max="6171" width="4.44140625" customWidth="1"/>
    <col min="6172" max="6172" width="7.5546875" customWidth="1"/>
    <col min="6173" max="6173" width="4.44140625" customWidth="1"/>
    <col min="6174" max="6174" width="6.33203125" customWidth="1"/>
    <col min="6175" max="6175" width="7.88671875" customWidth="1"/>
    <col min="6176" max="6176" width="3.44140625" customWidth="1"/>
    <col min="6177" max="6177" width="5" customWidth="1"/>
    <col min="6411" max="6411" width="1.6640625" customWidth="1"/>
    <col min="6412" max="6412" width="3.6640625" customWidth="1"/>
    <col min="6413" max="6413" width="23.44140625" customWidth="1"/>
    <col min="6414" max="6425" width="4.44140625" customWidth="1"/>
    <col min="6426" max="6426" width="6.109375" customWidth="1"/>
    <col min="6427" max="6427" width="4.44140625" customWidth="1"/>
    <col min="6428" max="6428" width="7.5546875" customWidth="1"/>
    <col min="6429" max="6429" width="4.44140625" customWidth="1"/>
    <col min="6430" max="6430" width="6.33203125" customWidth="1"/>
    <col min="6431" max="6431" width="7.88671875" customWidth="1"/>
    <col min="6432" max="6432" width="3.44140625" customWidth="1"/>
    <col min="6433" max="6433" width="5" customWidth="1"/>
    <col min="6667" max="6667" width="1.6640625" customWidth="1"/>
    <col min="6668" max="6668" width="3.6640625" customWidth="1"/>
    <col min="6669" max="6669" width="23.44140625" customWidth="1"/>
    <col min="6670" max="6681" width="4.44140625" customWidth="1"/>
    <col min="6682" max="6682" width="6.109375" customWidth="1"/>
    <col min="6683" max="6683" width="4.44140625" customWidth="1"/>
    <col min="6684" max="6684" width="7.5546875" customWidth="1"/>
    <col min="6685" max="6685" width="4.44140625" customWidth="1"/>
    <col min="6686" max="6686" width="6.33203125" customWidth="1"/>
    <col min="6687" max="6687" width="7.88671875" customWidth="1"/>
    <col min="6688" max="6688" width="3.44140625" customWidth="1"/>
    <col min="6689" max="6689" width="5" customWidth="1"/>
    <col min="6923" max="6923" width="1.6640625" customWidth="1"/>
    <col min="6924" max="6924" width="3.6640625" customWidth="1"/>
    <col min="6925" max="6925" width="23.44140625" customWidth="1"/>
    <col min="6926" max="6937" width="4.44140625" customWidth="1"/>
    <col min="6938" max="6938" width="6.109375" customWidth="1"/>
    <col min="6939" max="6939" width="4.44140625" customWidth="1"/>
    <col min="6940" max="6940" width="7.5546875" customWidth="1"/>
    <col min="6941" max="6941" width="4.44140625" customWidth="1"/>
    <col min="6942" max="6942" width="6.33203125" customWidth="1"/>
    <col min="6943" max="6943" width="7.88671875" customWidth="1"/>
    <col min="6944" max="6944" width="3.44140625" customWidth="1"/>
    <col min="6945" max="6945" width="5" customWidth="1"/>
    <col min="7179" max="7179" width="1.6640625" customWidth="1"/>
    <col min="7180" max="7180" width="3.6640625" customWidth="1"/>
    <col min="7181" max="7181" width="23.44140625" customWidth="1"/>
    <col min="7182" max="7193" width="4.44140625" customWidth="1"/>
    <col min="7194" max="7194" width="6.109375" customWidth="1"/>
    <col min="7195" max="7195" width="4.44140625" customWidth="1"/>
    <col min="7196" max="7196" width="7.5546875" customWidth="1"/>
    <col min="7197" max="7197" width="4.44140625" customWidth="1"/>
    <col min="7198" max="7198" width="6.33203125" customWidth="1"/>
    <col min="7199" max="7199" width="7.88671875" customWidth="1"/>
    <col min="7200" max="7200" width="3.44140625" customWidth="1"/>
    <col min="7201" max="7201" width="5" customWidth="1"/>
    <col min="7435" max="7435" width="1.6640625" customWidth="1"/>
    <col min="7436" max="7436" width="3.6640625" customWidth="1"/>
    <col min="7437" max="7437" width="23.44140625" customWidth="1"/>
    <col min="7438" max="7449" width="4.44140625" customWidth="1"/>
    <col min="7450" max="7450" width="6.109375" customWidth="1"/>
    <col min="7451" max="7451" width="4.44140625" customWidth="1"/>
    <col min="7452" max="7452" width="7.5546875" customWidth="1"/>
    <col min="7453" max="7453" width="4.44140625" customWidth="1"/>
    <col min="7454" max="7454" width="6.33203125" customWidth="1"/>
    <col min="7455" max="7455" width="7.88671875" customWidth="1"/>
    <col min="7456" max="7456" width="3.44140625" customWidth="1"/>
    <col min="7457" max="7457" width="5" customWidth="1"/>
    <col min="7691" max="7691" width="1.6640625" customWidth="1"/>
    <col min="7692" max="7692" width="3.6640625" customWidth="1"/>
    <col min="7693" max="7693" width="23.44140625" customWidth="1"/>
    <col min="7694" max="7705" width="4.44140625" customWidth="1"/>
    <col min="7706" max="7706" width="6.109375" customWidth="1"/>
    <col min="7707" max="7707" width="4.44140625" customWidth="1"/>
    <col min="7708" max="7708" width="7.5546875" customWidth="1"/>
    <col min="7709" max="7709" width="4.44140625" customWidth="1"/>
    <col min="7710" max="7710" width="6.33203125" customWidth="1"/>
    <col min="7711" max="7711" width="7.88671875" customWidth="1"/>
    <col min="7712" max="7712" width="3.44140625" customWidth="1"/>
    <col min="7713" max="7713" width="5" customWidth="1"/>
    <col min="7947" max="7947" width="1.6640625" customWidth="1"/>
    <col min="7948" max="7948" width="3.6640625" customWidth="1"/>
    <col min="7949" max="7949" width="23.44140625" customWidth="1"/>
    <col min="7950" max="7961" width="4.44140625" customWidth="1"/>
    <col min="7962" max="7962" width="6.109375" customWidth="1"/>
    <col min="7963" max="7963" width="4.44140625" customWidth="1"/>
    <col min="7964" max="7964" width="7.5546875" customWidth="1"/>
    <col min="7965" max="7965" width="4.44140625" customWidth="1"/>
    <col min="7966" max="7966" width="6.33203125" customWidth="1"/>
    <col min="7967" max="7967" width="7.88671875" customWidth="1"/>
    <col min="7968" max="7968" width="3.44140625" customWidth="1"/>
    <col min="7969" max="7969" width="5" customWidth="1"/>
    <col min="8203" max="8203" width="1.6640625" customWidth="1"/>
    <col min="8204" max="8204" width="3.6640625" customWidth="1"/>
    <col min="8205" max="8205" width="23.44140625" customWidth="1"/>
    <col min="8206" max="8217" width="4.44140625" customWidth="1"/>
    <col min="8218" max="8218" width="6.109375" customWidth="1"/>
    <col min="8219" max="8219" width="4.44140625" customWidth="1"/>
    <col min="8220" max="8220" width="7.5546875" customWidth="1"/>
    <col min="8221" max="8221" width="4.44140625" customWidth="1"/>
    <col min="8222" max="8222" width="6.33203125" customWidth="1"/>
    <col min="8223" max="8223" width="7.88671875" customWidth="1"/>
    <col min="8224" max="8224" width="3.44140625" customWidth="1"/>
    <col min="8225" max="8225" width="5" customWidth="1"/>
    <col min="8459" max="8459" width="1.6640625" customWidth="1"/>
    <col min="8460" max="8460" width="3.6640625" customWidth="1"/>
    <col min="8461" max="8461" width="23.44140625" customWidth="1"/>
    <col min="8462" max="8473" width="4.44140625" customWidth="1"/>
    <col min="8474" max="8474" width="6.109375" customWidth="1"/>
    <col min="8475" max="8475" width="4.44140625" customWidth="1"/>
    <col min="8476" max="8476" width="7.5546875" customWidth="1"/>
    <col min="8477" max="8477" width="4.44140625" customWidth="1"/>
    <col min="8478" max="8478" width="6.33203125" customWidth="1"/>
    <col min="8479" max="8479" width="7.88671875" customWidth="1"/>
    <col min="8480" max="8480" width="3.44140625" customWidth="1"/>
    <col min="8481" max="8481" width="5" customWidth="1"/>
    <col min="8715" max="8715" width="1.6640625" customWidth="1"/>
    <col min="8716" max="8716" width="3.6640625" customWidth="1"/>
    <col min="8717" max="8717" width="23.44140625" customWidth="1"/>
    <col min="8718" max="8729" width="4.44140625" customWidth="1"/>
    <col min="8730" max="8730" width="6.109375" customWidth="1"/>
    <col min="8731" max="8731" width="4.44140625" customWidth="1"/>
    <col min="8732" max="8732" width="7.5546875" customWidth="1"/>
    <col min="8733" max="8733" width="4.44140625" customWidth="1"/>
    <col min="8734" max="8734" width="6.33203125" customWidth="1"/>
    <col min="8735" max="8735" width="7.88671875" customWidth="1"/>
    <col min="8736" max="8736" width="3.44140625" customWidth="1"/>
    <col min="8737" max="8737" width="5" customWidth="1"/>
    <col min="8971" max="8971" width="1.6640625" customWidth="1"/>
    <col min="8972" max="8972" width="3.6640625" customWidth="1"/>
    <col min="8973" max="8973" width="23.44140625" customWidth="1"/>
    <col min="8974" max="8985" width="4.44140625" customWidth="1"/>
    <col min="8986" max="8986" width="6.109375" customWidth="1"/>
    <col min="8987" max="8987" width="4.44140625" customWidth="1"/>
    <col min="8988" max="8988" width="7.5546875" customWidth="1"/>
    <col min="8989" max="8989" width="4.44140625" customWidth="1"/>
    <col min="8990" max="8990" width="6.33203125" customWidth="1"/>
    <col min="8991" max="8991" width="7.88671875" customWidth="1"/>
    <col min="8992" max="8992" width="3.44140625" customWidth="1"/>
    <col min="8993" max="8993" width="5" customWidth="1"/>
    <col min="9227" max="9227" width="1.6640625" customWidth="1"/>
    <col min="9228" max="9228" width="3.6640625" customWidth="1"/>
    <col min="9229" max="9229" width="23.44140625" customWidth="1"/>
    <col min="9230" max="9241" width="4.44140625" customWidth="1"/>
    <col min="9242" max="9242" width="6.109375" customWidth="1"/>
    <col min="9243" max="9243" width="4.44140625" customWidth="1"/>
    <col min="9244" max="9244" width="7.5546875" customWidth="1"/>
    <col min="9245" max="9245" width="4.44140625" customWidth="1"/>
    <col min="9246" max="9246" width="6.33203125" customWidth="1"/>
    <col min="9247" max="9247" width="7.88671875" customWidth="1"/>
    <col min="9248" max="9248" width="3.44140625" customWidth="1"/>
    <col min="9249" max="9249" width="5" customWidth="1"/>
    <col min="9483" max="9483" width="1.6640625" customWidth="1"/>
    <col min="9484" max="9484" width="3.6640625" customWidth="1"/>
    <col min="9485" max="9485" width="23.44140625" customWidth="1"/>
    <col min="9486" max="9497" width="4.44140625" customWidth="1"/>
    <col min="9498" max="9498" width="6.109375" customWidth="1"/>
    <col min="9499" max="9499" width="4.44140625" customWidth="1"/>
    <col min="9500" max="9500" width="7.5546875" customWidth="1"/>
    <col min="9501" max="9501" width="4.44140625" customWidth="1"/>
    <col min="9502" max="9502" width="6.33203125" customWidth="1"/>
    <col min="9503" max="9503" width="7.88671875" customWidth="1"/>
    <col min="9504" max="9504" width="3.44140625" customWidth="1"/>
    <col min="9505" max="9505" width="5" customWidth="1"/>
    <col min="9739" max="9739" width="1.6640625" customWidth="1"/>
    <col min="9740" max="9740" width="3.6640625" customWidth="1"/>
    <col min="9741" max="9741" width="23.44140625" customWidth="1"/>
    <col min="9742" max="9753" width="4.44140625" customWidth="1"/>
    <col min="9754" max="9754" width="6.109375" customWidth="1"/>
    <col min="9755" max="9755" width="4.44140625" customWidth="1"/>
    <col min="9756" max="9756" width="7.5546875" customWidth="1"/>
    <col min="9757" max="9757" width="4.44140625" customWidth="1"/>
    <col min="9758" max="9758" width="6.33203125" customWidth="1"/>
    <col min="9759" max="9759" width="7.88671875" customWidth="1"/>
    <col min="9760" max="9760" width="3.44140625" customWidth="1"/>
    <col min="9761" max="9761" width="5" customWidth="1"/>
    <col min="9995" max="9995" width="1.6640625" customWidth="1"/>
    <col min="9996" max="9996" width="3.6640625" customWidth="1"/>
    <col min="9997" max="9997" width="23.44140625" customWidth="1"/>
    <col min="9998" max="10009" width="4.44140625" customWidth="1"/>
    <col min="10010" max="10010" width="6.109375" customWidth="1"/>
    <col min="10011" max="10011" width="4.44140625" customWidth="1"/>
    <col min="10012" max="10012" width="7.5546875" customWidth="1"/>
    <col min="10013" max="10013" width="4.44140625" customWidth="1"/>
    <col min="10014" max="10014" width="6.33203125" customWidth="1"/>
    <col min="10015" max="10015" width="7.88671875" customWidth="1"/>
    <col min="10016" max="10016" width="3.44140625" customWidth="1"/>
    <col min="10017" max="10017" width="5" customWidth="1"/>
    <col min="10251" max="10251" width="1.6640625" customWidth="1"/>
    <col min="10252" max="10252" width="3.6640625" customWidth="1"/>
    <col min="10253" max="10253" width="23.44140625" customWidth="1"/>
    <col min="10254" max="10265" width="4.44140625" customWidth="1"/>
    <col min="10266" max="10266" width="6.109375" customWidth="1"/>
    <col min="10267" max="10267" width="4.44140625" customWidth="1"/>
    <col min="10268" max="10268" width="7.5546875" customWidth="1"/>
    <col min="10269" max="10269" width="4.44140625" customWidth="1"/>
    <col min="10270" max="10270" width="6.33203125" customWidth="1"/>
    <col min="10271" max="10271" width="7.88671875" customWidth="1"/>
    <col min="10272" max="10272" width="3.44140625" customWidth="1"/>
    <col min="10273" max="10273" width="5" customWidth="1"/>
    <col min="10507" max="10507" width="1.6640625" customWidth="1"/>
    <col min="10508" max="10508" width="3.6640625" customWidth="1"/>
    <col min="10509" max="10509" width="23.44140625" customWidth="1"/>
    <col min="10510" max="10521" width="4.44140625" customWidth="1"/>
    <col min="10522" max="10522" width="6.109375" customWidth="1"/>
    <col min="10523" max="10523" width="4.44140625" customWidth="1"/>
    <col min="10524" max="10524" width="7.5546875" customWidth="1"/>
    <col min="10525" max="10525" width="4.44140625" customWidth="1"/>
    <col min="10526" max="10526" width="6.33203125" customWidth="1"/>
    <col min="10527" max="10527" width="7.88671875" customWidth="1"/>
    <col min="10528" max="10528" width="3.44140625" customWidth="1"/>
    <col min="10529" max="10529" width="5" customWidth="1"/>
    <col min="10763" max="10763" width="1.6640625" customWidth="1"/>
    <col min="10764" max="10764" width="3.6640625" customWidth="1"/>
    <col min="10765" max="10765" width="23.44140625" customWidth="1"/>
    <col min="10766" max="10777" width="4.44140625" customWidth="1"/>
    <col min="10778" max="10778" width="6.109375" customWidth="1"/>
    <col min="10779" max="10779" width="4.44140625" customWidth="1"/>
    <col min="10780" max="10780" width="7.5546875" customWidth="1"/>
    <col min="10781" max="10781" width="4.44140625" customWidth="1"/>
    <col min="10782" max="10782" width="6.33203125" customWidth="1"/>
    <col min="10783" max="10783" width="7.88671875" customWidth="1"/>
    <col min="10784" max="10784" width="3.44140625" customWidth="1"/>
    <col min="10785" max="10785" width="5" customWidth="1"/>
    <col min="11019" max="11019" width="1.6640625" customWidth="1"/>
    <col min="11020" max="11020" width="3.6640625" customWidth="1"/>
    <col min="11021" max="11021" width="23.44140625" customWidth="1"/>
    <col min="11022" max="11033" width="4.44140625" customWidth="1"/>
    <col min="11034" max="11034" width="6.109375" customWidth="1"/>
    <col min="11035" max="11035" width="4.44140625" customWidth="1"/>
    <col min="11036" max="11036" width="7.5546875" customWidth="1"/>
    <col min="11037" max="11037" width="4.44140625" customWidth="1"/>
    <col min="11038" max="11038" width="6.33203125" customWidth="1"/>
    <col min="11039" max="11039" width="7.88671875" customWidth="1"/>
    <col min="11040" max="11040" width="3.44140625" customWidth="1"/>
    <col min="11041" max="11041" width="5" customWidth="1"/>
    <col min="11275" max="11275" width="1.6640625" customWidth="1"/>
    <col min="11276" max="11276" width="3.6640625" customWidth="1"/>
    <col min="11277" max="11277" width="23.44140625" customWidth="1"/>
    <col min="11278" max="11289" width="4.44140625" customWidth="1"/>
    <col min="11290" max="11290" width="6.109375" customWidth="1"/>
    <col min="11291" max="11291" width="4.44140625" customWidth="1"/>
    <col min="11292" max="11292" width="7.5546875" customWidth="1"/>
    <col min="11293" max="11293" width="4.44140625" customWidth="1"/>
    <col min="11294" max="11294" width="6.33203125" customWidth="1"/>
    <col min="11295" max="11295" width="7.88671875" customWidth="1"/>
    <col min="11296" max="11296" width="3.44140625" customWidth="1"/>
    <col min="11297" max="11297" width="5" customWidth="1"/>
    <col min="11531" max="11531" width="1.6640625" customWidth="1"/>
    <col min="11532" max="11532" width="3.6640625" customWidth="1"/>
    <col min="11533" max="11533" width="23.44140625" customWidth="1"/>
    <col min="11534" max="11545" width="4.44140625" customWidth="1"/>
    <col min="11546" max="11546" width="6.109375" customWidth="1"/>
    <col min="11547" max="11547" width="4.44140625" customWidth="1"/>
    <col min="11548" max="11548" width="7.5546875" customWidth="1"/>
    <col min="11549" max="11549" width="4.44140625" customWidth="1"/>
    <col min="11550" max="11550" width="6.33203125" customWidth="1"/>
    <col min="11551" max="11551" width="7.88671875" customWidth="1"/>
    <col min="11552" max="11552" width="3.44140625" customWidth="1"/>
    <col min="11553" max="11553" width="5" customWidth="1"/>
    <col min="11787" max="11787" width="1.6640625" customWidth="1"/>
    <col min="11788" max="11788" width="3.6640625" customWidth="1"/>
    <col min="11789" max="11789" width="23.44140625" customWidth="1"/>
    <col min="11790" max="11801" width="4.44140625" customWidth="1"/>
    <col min="11802" max="11802" width="6.109375" customWidth="1"/>
    <col min="11803" max="11803" width="4.44140625" customWidth="1"/>
    <col min="11804" max="11804" width="7.5546875" customWidth="1"/>
    <col min="11805" max="11805" width="4.44140625" customWidth="1"/>
    <col min="11806" max="11806" width="6.33203125" customWidth="1"/>
    <col min="11807" max="11807" width="7.88671875" customWidth="1"/>
    <col min="11808" max="11808" width="3.44140625" customWidth="1"/>
    <col min="11809" max="11809" width="5" customWidth="1"/>
    <col min="12043" max="12043" width="1.6640625" customWidth="1"/>
    <col min="12044" max="12044" width="3.6640625" customWidth="1"/>
    <col min="12045" max="12045" width="23.44140625" customWidth="1"/>
    <col min="12046" max="12057" width="4.44140625" customWidth="1"/>
    <col min="12058" max="12058" width="6.109375" customWidth="1"/>
    <col min="12059" max="12059" width="4.44140625" customWidth="1"/>
    <col min="12060" max="12060" width="7.5546875" customWidth="1"/>
    <col min="12061" max="12061" width="4.44140625" customWidth="1"/>
    <col min="12062" max="12062" width="6.33203125" customWidth="1"/>
    <col min="12063" max="12063" width="7.88671875" customWidth="1"/>
    <col min="12064" max="12064" width="3.44140625" customWidth="1"/>
    <col min="12065" max="12065" width="5" customWidth="1"/>
    <col min="12299" max="12299" width="1.6640625" customWidth="1"/>
    <col min="12300" max="12300" width="3.6640625" customWidth="1"/>
    <col min="12301" max="12301" width="23.44140625" customWidth="1"/>
    <col min="12302" max="12313" width="4.44140625" customWidth="1"/>
    <col min="12314" max="12314" width="6.109375" customWidth="1"/>
    <col min="12315" max="12315" width="4.44140625" customWidth="1"/>
    <col min="12316" max="12316" width="7.5546875" customWidth="1"/>
    <col min="12317" max="12317" width="4.44140625" customWidth="1"/>
    <col min="12318" max="12318" width="6.33203125" customWidth="1"/>
    <col min="12319" max="12319" width="7.88671875" customWidth="1"/>
    <col min="12320" max="12320" width="3.44140625" customWidth="1"/>
    <col min="12321" max="12321" width="5" customWidth="1"/>
    <col min="12555" max="12555" width="1.6640625" customWidth="1"/>
    <col min="12556" max="12556" width="3.6640625" customWidth="1"/>
    <col min="12557" max="12557" width="23.44140625" customWidth="1"/>
    <col min="12558" max="12569" width="4.44140625" customWidth="1"/>
    <col min="12570" max="12570" width="6.109375" customWidth="1"/>
    <col min="12571" max="12571" width="4.44140625" customWidth="1"/>
    <col min="12572" max="12572" width="7.5546875" customWidth="1"/>
    <col min="12573" max="12573" width="4.44140625" customWidth="1"/>
    <col min="12574" max="12574" width="6.33203125" customWidth="1"/>
    <col min="12575" max="12575" width="7.88671875" customWidth="1"/>
    <col min="12576" max="12576" width="3.44140625" customWidth="1"/>
    <col min="12577" max="12577" width="5" customWidth="1"/>
    <col min="12811" max="12811" width="1.6640625" customWidth="1"/>
    <col min="12812" max="12812" width="3.6640625" customWidth="1"/>
    <col min="12813" max="12813" width="23.44140625" customWidth="1"/>
    <col min="12814" max="12825" width="4.44140625" customWidth="1"/>
    <col min="12826" max="12826" width="6.109375" customWidth="1"/>
    <col min="12827" max="12827" width="4.44140625" customWidth="1"/>
    <col min="12828" max="12828" width="7.5546875" customWidth="1"/>
    <col min="12829" max="12829" width="4.44140625" customWidth="1"/>
    <col min="12830" max="12830" width="6.33203125" customWidth="1"/>
    <col min="12831" max="12831" width="7.88671875" customWidth="1"/>
    <col min="12832" max="12832" width="3.44140625" customWidth="1"/>
    <col min="12833" max="12833" width="5" customWidth="1"/>
    <col min="13067" max="13067" width="1.6640625" customWidth="1"/>
    <col min="13068" max="13068" width="3.6640625" customWidth="1"/>
    <col min="13069" max="13069" width="23.44140625" customWidth="1"/>
    <col min="13070" max="13081" width="4.44140625" customWidth="1"/>
    <col min="13082" max="13082" width="6.109375" customWidth="1"/>
    <col min="13083" max="13083" width="4.44140625" customWidth="1"/>
    <col min="13084" max="13084" width="7.5546875" customWidth="1"/>
    <col min="13085" max="13085" width="4.44140625" customWidth="1"/>
    <col min="13086" max="13086" width="6.33203125" customWidth="1"/>
    <col min="13087" max="13087" width="7.88671875" customWidth="1"/>
    <col min="13088" max="13088" width="3.44140625" customWidth="1"/>
    <col min="13089" max="13089" width="5" customWidth="1"/>
    <col min="13323" max="13323" width="1.6640625" customWidth="1"/>
    <col min="13324" max="13324" width="3.6640625" customWidth="1"/>
    <col min="13325" max="13325" width="23.44140625" customWidth="1"/>
    <col min="13326" max="13337" width="4.44140625" customWidth="1"/>
    <col min="13338" max="13338" width="6.109375" customWidth="1"/>
    <col min="13339" max="13339" width="4.44140625" customWidth="1"/>
    <col min="13340" max="13340" width="7.5546875" customWidth="1"/>
    <col min="13341" max="13341" width="4.44140625" customWidth="1"/>
    <col min="13342" max="13342" width="6.33203125" customWidth="1"/>
    <col min="13343" max="13343" width="7.88671875" customWidth="1"/>
    <col min="13344" max="13344" width="3.44140625" customWidth="1"/>
    <col min="13345" max="13345" width="5" customWidth="1"/>
    <col min="13579" max="13579" width="1.6640625" customWidth="1"/>
    <col min="13580" max="13580" width="3.6640625" customWidth="1"/>
    <col min="13581" max="13581" width="23.44140625" customWidth="1"/>
    <col min="13582" max="13593" width="4.44140625" customWidth="1"/>
    <col min="13594" max="13594" width="6.109375" customWidth="1"/>
    <col min="13595" max="13595" width="4.44140625" customWidth="1"/>
    <col min="13596" max="13596" width="7.5546875" customWidth="1"/>
    <col min="13597" max="13597" width="4.44140625" customWidth="1"/>
    <col min="13598" max="13598" width="6.33203125" customWidth="1"/>
    <col min="13599" max="13599" width="7.88671875" customWidth="1"/>
    <col min="13600" max="13600" width="3.44140625" customWidth="1"/>
    <col min="13601" max="13601" width="5" customWidth="1"/>
    <col min="13835" max="13835" width="1.6640625" customWidth="1"/>
    <col min="13836" max="13836" width="3.6640625" customWidth="1"/>
    <col min="13837" max="13837" width="23.44140625" customWidth="1"/>
    <col min="13838" max="13849" width="4.44140625" customWidth="1"/>
    <col min="13850" max="13850" width="6.109375" customWidth="1"/>
    <col min="13851" max="13851" width="4.44140625" customWidth="1"/>
    <col min="13852" max="13852" width="7.5546875" customWidth="1"/>
    <col min="13853" max="13853" width="4.44140625" customWidth="1"/>
    <col min="13854" max="13854" width="6.33203125" customWidth="1"/>
    <col min="13855" max="13855" width="7.88671875" customWidth="1"/>
    <col min="13856" max="13856" width="3.44140625" customWidth="1"/>
    <col min="13857" max="13857" width="5" customWidth="1"/>
    <col min="14091" max="14091" width="1.6640625" customWidth="1"/>
    <col min="14092" max="14092" width="3.6640625" customWidth="1"/>
    <col min="14093" max="14093" width="23.44140625" customWidth="1"/>
    <col min="14094" max="14105" width="4.44140625" customWidth="1"/>
    <col min="14106" max="14106" width="6.109375" customWidth="1"/>
    <col min="14107" max="14107" width="4.44140625" customWidth="1"/>
    <col min="14108" max="14108" width="7.5546875" customWidth="1"/>
    <col min="14109" max="14109" width="4.44140625" customWidth="1"/>
    <col min="14110" max="14110" width="6.33203125" customWidth="1"/>
    <col min="14111" max="14111" width="7.88671875" customWidth="1"/>
    <col min="14112" max="14112" width="3.44140625" customWidth="1"/>
    <col min="14113" max="14113" width="5" customWidth="1"/>
    <col min="14347" max="14347" width="1.6640625" customWidth="1"/>
    <col min="14348" max="14348" width="3.6640625" customWidth="1"/>
    <col min="14349" max="14349" width="23.44140625" customWidth="1"/>
    <col min="14350" max="14361" width="4.44140625" customWidth="1"/>
    <col min="14362" max="14362" width="6.109375" customWidth="1"/>
    <col min="14363" max="14363" width="4.44140625" customWidth="1"/>
    <col min="14364" max="14364" width="7.5546875" customWidth="1"/>
    <col min="14365" max="14365" width="4.44140625" customWidth="1"/>
    <col min="14366" max="14366" width="6.33203125" customWidth="1"/>
    <col min="14367" max="14367" width="7.88671875" customWidth="1"/>
    <col min="14368" max="14368" width="3.44140625" customWidth="1"/>
    <col min="14369" max="14369" width="5" customWidth="1"/>
    <col min="14603" max="14603" width="1.6640625" customWidth="1"/>
    <col min="14604" max="14604" width="3.6640625" customWidth="1"/>
    <col min="14605" max="14605" width="23.44140625" customWidth="1"/>
    <col min="14606" max="14617" width="4.44140625" customWidth="1"/>
    <col min="14618" max="14618" width="6.109375" customWidth="1"/>
    <col min="14619" max="14619" width="4.44140625" customWidth="1"/>
    <col min="14620" max="14620" width="7.5546875" customWidth="1"/>
    <col min="14621" max="14621" width="4.44140625" customWidth="1"/>
    <col min="14622" max="14622" width="6.33203125" customWidth="1"/>
    <col min="14623" max="14623" width="7.88671875" customWidth="1"/>
    <col min="14624" max="14624" width="3.44140625" customWidth="1"/>
    <col min="14625" max="14625" width="5" customWidth="1"/>
    <col min="14859" max="14859" width="1.6640625" customWidth="1"/>
    <col min="14860" max="14860" width="3.6640625" customWidth="1"/>
    <col min="14861" max="14861" width="23.44140625" customWidth="1"/>
    <col min="14862" max="14873" width="4.44140625" customWidth="1"/>
    <col min="14874" max="14874" width="6.109375" customWidth="1"/>
    <col min="14875" max="14875" width="4.44140625" customWidth="1"/>
    <col min="14876" max="14876" width="7.5546875" customWidth="1"/>
    <col min="14877" max="14877" width="4.44140625" customWidth="1"/>
    <col min="14878" max="14878" width="6.33203125" customWidth="1"/>
    <col min="14879" max="14879" width="7.88671875" customWidth="1"/>
    <col min="14880" max="14880" width="3.44140625" customWidth="1"/>
    <col min="14881" max="14881" width="5" customWidth="1"/>
    <col min="15115" max="15115" width="1.6640625" customWidth="1"/>
    <col min="15116" max="15116" width="3.6640625" customWidth="1"/>
    <col min="15117" max="15117" width="23.44140625" customWidth="1"/>
    <col min="15118" max="15129" width="4.44140625" customWidth="1"/>
    <col min="15130" max="15130" width="6.109375" customWidth="1"/>
    <col min="15131" max="15131" width="4.44140625" customWidth="1"/>
    <col min="15132" max="15132" width="7.5546875" customWidth="1"/>
    <col min="15133" max="15133" width="4.44140625" customWidth="1"/>
    <col min="15134" max="15134" width="6.33203125" customWidth="1"/>
    <col min="15135" max="15135" width="7.88671875" customWidth="1"/>
    <col min="15136" max="15136" width="3.44140625" customWidth="1"/>
    <col min="15137" max="15137" width="5" customWidth="1"/>
    <col min="15371" max="15371" width="1.6640625" customWidth="1"/>
    <col min="15372" max="15372" width="3.6640625" customWidth="1"/>
    <col min="15373" max="15373" width="23.44140625" customWidth="1"/>
    <col min="15374" max="15385" width="4.44140625" customWidth="1"/>
    <col min="15386" max="15386" width="6.109375" customWidth="1"/>
    <col min="15387" max="15387" width="4.44140625" customWidth="1"/>
    <col min="15388" max="15388" width="7.5546875" customWidth="1"/>
    <col min="15389" max="15389" width="4.44140625" customWidth="1"/>
    <col min="15390" max="15390" width="6.33203125" customWidth="1"/>
    <col min="15391" max="15391" width="7.88671875" customWidth="1"/>
    <col min="15392" max="15392" width="3.44140625" customWidth="1"/>
    <col min="15393" max="15393" width="5" customWidth="1"/>
    <col min="15627" max="15627" width="1.6640625" customWidth="1"/>
    <col min="15628" max="15628" width="3.6640625" customWidth="1"/>
    <col min="15629" max="15629" width="23.44140625" customWidth="1"/>
    <col min="15630" max="15641" width="4.44140625" customWidth="1"/>
    <col min="15642" max="15642" width="6.109375" customWidth="1"/>
    <col min="15643" max="15643" width="4.44140625" customWidth="1"/>
    <col min="15644" max="15644" width="7.5546875" customWidth="1"/>
    <col min="15645" max="15645" width="4.44140625" customWidth="1"/>
    <col min="15646" max="15646" width="6.33203125" customWidth="1"/>
    <col min="15647" max="15647" width="7.88671875" customWidth="1"/>
    <col min="15648" max="15648" width="3.44140625" customWidth="1"/>
    <col min="15649" max="15649" width="5" customWidth="1"/>
    <col min="15883" max="15883" width="1.6640625" customWidth="1"/>
    <col min="15884" max="15884" width="3.6640625" customWidth="1"/>
    <col min="15885" max="15885" width="23.44140625" customWidth="1"/>
    <col min="15886" max="15897" width="4.44140625" customWidth="1"/>
    <col min="15898" max="15898" width="6.109375" customWidth="1"/>
    <col min="15899" max="15899" width="4.44140625" customWidth="1"/>
    <col min="15900" max="15900" width="7.5546875" customWidth="1"/>
    <col min="15901" max="15901" width="4.44140625" customWidth="1"/>
    <col min="15902" max="15902" width="6.33203125" customWidth="1"/>
    <col min="15903" max="15903" width="7.88671875" customWidth="1"/>
    <col min="15904" max="15904" width="3.44140625" customWidth="1"/>
    <col min="15905" max="15905" width="5" customWidth="1"/>
    <col min="16139" max="16139" width="1.6640625" customWidth="1"/>
    <col min="16140" max="16140" width="3.6640625" customWidth="1"/>
    <col min="16141" max="16141" width="23.44140625" customWidth="1"/>
    <col min="16142" max="16153" width="4.44140625" customWidth="1"/>
    <col min="16154" max="16154" width="6.109375" customWidth="1"/>
    <col min="16155" max="16155" width="4.44140625" customWidth="1"/>
    <col min="16156" max="16156" width="7.5546875" customWidth="1"/>
    <col min="16157" max="16157" width="4.44140625" customWidth="1"/>
    <col min="16158" max="16158" width="6.33203125" customWidth="1"/>
    <col min="16159" max="16159" width="7.88671875" customWidth="1"/>
    <col min="16160" max="16160" width="3.44140625" customWidth="1"/>
    <col min="16161" max="16161" width="5" customWidth="1"/>
  </cols>
  <sheetData>
    <row r="1" spans="1:31" ht="34.5" customHeight="1" x14ac:dyDescent="0.3">
      <c r="A1" s="280" t="s">
        <v>21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</row>
    <row r="2" spans="1:31" ht="26.25" customHeight="1" x14ac:dyDescent="0.3">
      <c r="B2" s="1"/>
      <c r="C2" s="1"/>
      <c r="D2" s="1"/>
      <c r="E2" s="1"/>
      <c r="F2" s="1"/>
      <c r="G2" s="1"/>
      <c r="H2" s="24"/>
      <c r="I2" s="1"/>
      <c r="J2" s="24"/>
      <c r="K2" s="1"/>
      <c r="L2" s="1"/>
      <c r="M2" s="1"/>
      <c r="N2" s="1"/>
      <c r="O2" s="24"/>
      <c r="P2" s="1"/>
      <c r="Q2" s="24"/>
      <c r="R2" s="1"/>
      <c r="S2" s="1"/>
      <c r="T2" s="1"/>
      <c r="U2" s="1"/>
      <c r="V2" s="24"/>
      <c r="W2" s="1"/>
      <c r="X2" s="24"/>
      <c r="Y2" s="1"/>
    </row>
    <row r="3" spans="1:31" ht="13.5" customHeight="1" x14ac:dyDescent="0.3">
      <c r="B3" s="1"/>
      <c r="C3" s="1"/>
      <c r="D3" s="1"/>
      <c r="E3" s="1"/>
      <c r="F3" s="1"/>
      <c r="G3" s="1"/>
      <c r="H3" s="24"/>
      <c r="I3" s="1"/>
      <c r="J3" s="24"/>
      <c r="K3" s="1"/>
      <c r="L3" s="283"/>
      <c r="M3" s="283"/>
      <c r="N3" s="283"/>
      <c r="O3" s="283"/>
      <c r="P3" s="283"/>
      <c r="Q3" s="283"/>
      <c r="R3" s="283"/>
      <c r="S3" s="283"/>
      <c r="T3" s="1"/>
      <c r="U3" s="1"/>
      <c r="V3" s="24"/>
      <c r="W3" s="1"/>
      <c r="X3" s="24"/>
      <c r="Y3" s="1"/>
    </row>
    <row r="4" spans="1:31" ht="15.75" customHeight="1" x14ac:dyDescent="0.3">
      <c r="B4" s="278" t="s">
        <v>13</v>
      </c>
      <c r="C4" s="278"/>
      <c r="D4" s="16"/>
      <c r="E4" s="16"/>
      <c r="G4" s="18"/>
      <c r="H4" s="18"/>
      <c r="I4" s="18"/>
      <c r="J4" s="18"/>
      <c r="K4" s="18"/>
      <c r="L4" s="18" t="s">
        <v>35</v>
      </c>
      <c r="M4" s="18"/>
      <c r="N4" s="18"/>
      <c r="O4" s="18"/>
      <c r="P4" s="18"/>
      <c r="Q4" s="18"/>
      <c r="R4" s="18"/>
      <c r="S4" s="18"/>
      <c r="T4" s="15"/>
      <c r="U4" s="15"/>
      <c r="V4" s="15"/>
      <c r="W4" s="15"/>
      <c r="X4" s="15"/>
      <c r="Y4" s="279" t="s">
        <v>139</v>
      </c>
      <c r="Z4" s="279"/>
      <c r="AA4" s="279"/>
      <c r="AB4" s="279"/>
      <c r="AC4" s="279"/>
      <c r="AD4" s="279"/>
      <c r="AE4" s="279"/>
    </row>
    <row r="5" spans="1:31" ht="6.75" customHeight="1" x14ac:dyDescent="0.3">
      <c r="B5" s="16"/>
      <c r="C5" s="16"/>
      <c r="D5" s="16"/>
      <c r="E5" s="16"/>
      <c r="F5" s="16"/>
      <c r="G5" s="16"/>
      <c r="H5" s="22"/>
      <c r="I5" s="16"/>
      <c r="J5" s="22"/>
      <c r="K5" s="16"/>
      <c r="L5" s="16"/>
      <c r="M5" s="16"/>
      <c r="N5" s="16"/>
      <c r="O5" s="22"/>
      <c r="P5" s="16"/>
      <c r="Q5" s="22"/>
      <c r="R5" s="16"/>
      <c r="S5" s="16"/>
      <c r="T5" s="15"/>
      <c r="U5" s="15"/>
      <c r="V5" s="15"/>
      <c r="W5" s="15"/>
      <c r="X5" s="15"/>
      <c r="Y5" s="17"/>
      <c r="Z5" s="17"/>
      <c r="AA5" s="17"/>
      <c r="AB5" s="17"/>
      <c r="AC5" s="17"/>
      <c r="AD5" s="17"/>
      <c r="AE5" s="17"/>
    </row>
    <row r="6" spans="1:31" ht="16.2" customHeight="1" x14ac:dyDescent="0.3">
      <c r="B6" s="278" t="s">
        <v>19</v>
      </c>
      <c r="C6" s="278"/>
      <c r="D6" s="16"/>
      <c r="E6" s="16"/>
      <c r="L6" s="18" t="s">
        <v>91</v>
      </c>
      <c r="M6" s="18"/>
      <c r="N6" s="18"/>
      <c r="O6" s="18"/>
      <c r="P6" s="18"/>
      <c r="Q6" s="18"/>
      <c r="R6" s="18"/>
      <c r="S6" s="18"/>
      <c r="T6" s="18"/>
      <c r="U6" s="15"/>
      <c r="V6" s="15"/>
      <c r="W6" s="15"/>
      <c r="X6" s="15"/>
      <c r="Y6" s="279" t="s">
        <v>43</v>
      </c>
      <c r="Z6" s="279"/>
      <c r="AA6" s="279"/>
      <c r="AB6" s="279"/>
      <c r="AC6" s="279"/>
      <c r="AD6" s="279"/>
      <c r="AE6" s="279"/>
    </row>
    <row r="7" spans="1:31" ht="28.5" customHeight="1" thickBot="1" x14ac:dyDescent="0.85">
      <c r="B7" s="285" t="s">
        <v>25</v>
      </c>
      <c r="C7" s="285"/>
      <c r="D7" s="285"/>
      <c r="E7" s="285"/>
      <c r="F7" s="285"/>
      <c r="G7" s="285"/>
      <c r="H7" s="285"/>
      <c r="I7" s="285"/>
      <c r="J7" s="285"/>
      <c r="K7" s="285"/>
      <c r="L7" s="285"/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5"/>
      <c r="AB7" s="285"/>
      <c r="AC7" s="285"/>
      <c r="AD7" s="285"/>
      <c r="AE7" s="285"/>
    </row>
    <row r="8" spans="1:31" ht="21" customHeight="1" thickTop="1" x14ac:dyDescent="0.3">
      <c r="B8" s="286" t="s">
        <v>16</v>
      </c>
      <c r="C8" s="288" t="s">
        <v>0</v>
      </c>
      <c r="D8" s="290" t="s">
        <v>15</v>
      </c>
      <c r="E8" s="291"/>
      <c r="F8" s="292" t="s">
        <v>22</v>
      </c>
      <c r="G8" s="293"/>
      <c r="H8" s="293"/>
      <c r="I8" s="293"/>
      <c r="J8" s="293"/>
      <c r="K8" s="294"/>
      <c r="L8" s="295" t="s">
        <v>3</v>
      </c>
      <c r="M8" s="292" t="s">
        <v>23</v>
      </c>
      <c r="N8" s="293"/>
      <c r="O8" s="293"/>
      <c r="P8" s="293"/>
      <c r="Q8" s="293"/>
      <c r="R8" s="294"/>
      <c r="S8" s="295" t="s">
        <v>3</v>
      </c>
      <c r="T8" s="292" t="s">
        <v>24</v>
      </c>
      <c r="U8" s="293"/>
      <c r="V8" s="293"/>
      <c r="W8" s="293"/>
      <c r="X8" s="293"/>
      <c r="Y8" s="294"/>
      <c r="Z8" s="297" t="s">
        <v>1</v>
      </c>
      <c r="AA8" s="299" t="s">
        <v>39</v>
      </c>
      <c r="AB8" s="301" t="s">
        <v>20</v>
      </c>
      <c r="AC8" s="303" t="s">
        <v>40</v>
      </c>
      <c r="AD8" s="305" t="s">
        <v>2</v>
      </c>
      <c r="AE8" s="307" t="s">
        <v>3</v>
      </c>
    </row>
    <row r="9" spans="1:31" ht="16.5" customHeight="1" thickBot="1" x14ac:dyDescent="0.35">
      <c r="B9" s="287"/>
      <c r="C9" s="289"/>
      <c r="D9" s="43" t="s">
        <v>17</v>
      </c>
      <c r="E9" s="36" t="s">
        <v>18</v>
      </c>
      <c r="F9" s="53" t="s">
        <v>4</v>
      </c>
      <c r="G9" s="33" t="s">
        <v>5</v>
      </c>
      <c r="H9" s="33" t="s">
        <v>37</v>
      </c>
      <c r="I9" s="33" t="s">
        <v>6</v>
      </c>
      <c r="J9" s="33" t="s">
        <v>38</v>
      </c>
      <c r="K9" s="54" t="s">
        <v>7</v>
      </c>
      <c r="L9" s="296"/>
      <c r="M9" s="53" t="s">
        <v>4</v>
      </c>
      <c r="N9" s="33" t="s">
        <v>5</v>
      </c>
      <c r="O9" s="33" t="s">
        <v>37</v>
      </c>
      <c r="P9" s="33" t="s">
        <v>6</v>
      </c>
      <c r="Q9" s="33" t="s">
        <v>38</v>
      </c>
      <c r="R9" s="54" t="s">
        <v>8</v>
      </c>
      <c r="S9" s="296"/>
      <c r="T9" s="53" t="s">
        <v>4</v>
      </c>
      <c r="U9" s="33" t="s">
        <v>5</v>
      </c>
      <c r="V9" s="33" t="s">
        <v>37</v>
      </c>
      <c r="W9" s="33" t="s">
        <v>6</v>
      </c>
      <c r="X9" s="33" t="s">
        <v>38</v>
      </c>
      <c r="Y9" s="54" t="s">
        <v>9</v>
      </c>
      <c r="Z9" s="298"/>
      <c r="AA9" s="300"/>
      <c r="AB9" s="302"/>
      <c r="AC9" s="304"/>
      <c r="AD9" s="306"/>
      <c r="AE9" s="308"/>
    </row>
    <row r="10" spans="1:31" ht="15.75" customHeight="1" thickTop="1" x14ac:dyDescent="0.3">
      <c r="B10" s="34">
        <v>1</v>
      </c>
      <c r="C10" s="196" t="s">
        <v>99</v>
      </c>
      <c r="D10" s="44"/>
      <c r="E10" s="37"/>
      <c r="F10" s="32"/>
      <c r="G10" s="32"/>
      <c r="H10" s="31"/>
      <c r="I10" s="32"/>
      <c r="J10" s="32"/>
      <c r="K10" s="55">
        <f>AVERAGE(F10,MAX(G10:H10),MAX(I10:J10))</f>
        <v>0</v>
      </c>
      <c r="L10" s="165" t="str">
        <f>IF(K10&gt;=10,"TRANSITA","N/TRANSITA")</f>
        <v>N/TRANSITA</v>
      </c>
      <c r="M10" s="58"/>
      <c r="N10" s="32"/>
      <c r="O10" s="31"/>
      <c r="P10" s="32"/>
      <c r="Q10" s="32"/>
      <c r="R10" s="55">
        <f>AVERAGE(M10,MAX(N10:O10),MAX(P10:Q10))</f>
        <v>0</v>
      </c>
      <c r="S10" s="165" t="str">
        <f>IF(R10&gt;=10,"TRANSITA","N/TRANSITA")</f>
        <v>N/TRANSITA</v>
      </c>
      <c r="T10" s="58"/>
      <c r="U10" s="32"/>
      <c r="V10" s="31"/>
      <c r="W10" s="32" t="e">
        <f>AVERAGE(T10:U10)</f>
        <v>#DIV/0!</v>
      </c>
      <c r="X10" s="32"/>
      <c r="Y10" s="55" t="e">
        <f>AVERAGE(T10,MAX(U10:V10),MAX(W10:X10))</f>
        <v>#DIV/0!</v>
      </c>
      <c r="Z10" s="47" t="e">
        <f t="shared" ref="Z10:Z51" si="0">SUM(K10,R10,Y10)/3</f>
        <v>#DIV/0!</v>
      </c>
      <c r="AA10" s="40" t="e">
        <f>Z10*0.4</f>
        <v>#DIV/0!</v>
      </c>
      <c r="AB10" s="32"/>
      <c r="AC10" s="50">
        <f>AB10*0.6</f>
        <v>0</v>
      </c>
      <c r="AD10" s="64" t="e">
        <f>AVERAGE(AA10+AC10)</f>
        <v>#DIV/0!</v>
      </c>
      <c r="AE10" s="163" t="e">
        <f>IF(AD10&gt;=10,"APROVADO/A","REPROVADO/A")</f>
        <v>#DIV/0!</v>
      </c>
    </row>
    <row r="11" spans="1:31" ht="15.75" customHeight="1" x14ac:dyDescent="0.3">
      <c r="B11" s="35">
        <v>2</v>
      </c>
      <c r="C11" s="197" t="s">
        <v>100</v>
      </c>
      <c r="D11" s="45"/>
      <c r="E11" s="38"/>
      <c r="F11" s="32">
        <v>18</v>
      </c>
      <c r="G11" s="32">
        <v>10</v>
      </c>
      <c r="H11" s="27"/>
      <c r="I11" s="32">
        <v>18</v>
      </c>
      <c r="J11" s="28"/>
      <c r="K11" s="56">
        <f t="shared" ref="K11:K51" si="1">AVERAGE(F11,MAX(G11:H11),MAX(I11:J11))</f>
        <v>15.333333333333334</v>
      </c>
      <c r="L11" s="166" t="str">
        <f t="shared" ref="L11:L51" si="2">IF(K11&gt;=10,"TRANSITA","N/TRANSITA")</f>
        <v>TRANSITA</v>
      </c>
      <c r="M11" s="32">
        <v>18</v>
      </c>
      <c r="N11" s="32">
        <v>16</v>
      </c>
      <c r="O11" s="27"/>
      <c r="P11" s="32">
        <v>16</v>
      </c>
      <c r="Q11" s="28"/>
      <c r="R11" s="56">
        <f t="shared" ref="R11:R51" si="3">AVERAGE(M11,MAX(N11:O11),MAX(P11:Q11))</f>
        <v>16.666666666666668</v>
      </c>
      <c r="S11" s="166" t="str">
        <f t="shared" ref="S11:S51" si="4">IF(R11&gt;=10,"TRANSITA","N/TRANSITA")</f>
        <v>TRANSITA</v>
      </c>
      <c r="T11" s="59"/>
      <c r="U11" s="32"/>
      <c r="V11" s="27"/>
      <c r="W11" s="32" t="e">
        <f t="shared" ref="W11:W51" si="5">AVERAGE(T11:U11)</f>
        <v>#DIV/0!</v>
      </c>
      <c r="X11" s="28"/>
      <c r="Y11" s="56" t="e">
        <f t="shared" ref="Y11:Y51" si="6">AVERAGE(T11,MAX(U11:V11),MAX(W11:X11))</f>
        <v>#DIV/0!</v>
      </c>
      <c r="Z11" s="48" t="e">
        <f t="shared" si="0"/>
        <v>#DIV/0!</v>
      </c>
      <c r="AA11" s="41" t="e">
        <f t="shared" ref="AA11:AA51" si="7">Z11*0.4</f>
        <v>#DIV/0!</v>
      </c>
      <c r="AB11" s="32"/>
      <c r="AC11" s="51">
        <f t="shared" ref="AC11" si="8">AB11*0.6</f>
        <v>0</v>
      </c>
      <c r="AD11" s="65" t="e">
        <f t="shared" ref="AD11" si="9">AVERAGE(AA11+AC11)</f>
        <v>#DIV/0!</v>
      </c>
      <c r="AE11" s="162" t="e">
        <f t="shared" ref="AE11:AE51" si="10">IF(AD11&gt;=10,"APROVADO/A","REPROVADO/A")</f>
        <v>#DIV/0!</v>
      </c>
    </row>
    <row r="12" spans="1:31" ht="15.75" customHeight="1" x14ac:dyDescent="0.3">
      <c r="B12" s="35">
        <v>3</v>
      </c>
      <c r="C12" s="197" t="s">
        <v>101</v>
      </c>
      <c r="D12" s="45"/>
      <c r="E12" s="38"/>
      <c r="F12" s="32">
        <v>18</v>
      </c>
      <c r="G12" s="32">
        <v>17</v>
      </c>
      <c r="H12" s="27"/>
      <c r="I12" s="32">
        <v>17</v>
      </c>
      <c r="J12" s="28"/>
      <c r="K12" s="56">
        <f t="shared" si="1"/>
        <v>17.333333333333332</v>
      </c>
      <c r="L12" s="166" t="str">
        <f t="shared" si="2"/>
        <v>TRANSITA</v>
      </c>
      <c r="M12" s="32">
        <v>18</v>
      </c>
      <c r="N12" s="32">
        <v>16.5</v>
      </c>
      <c r="O12" s="27"/>
      <c r="P12" s="32">
        <v>16.5</v>
      </c>
      <c r="Q12" s="28"/>
      <c r="R12" s="56">
        <f t="shared" si="3"/>
        <v>17</v>
      </c>
      <c r="S12" s="166" t="str">
        <f t="shared" si="4"/>
        <v>TRANSITA</v>
      </c>
      <c r="T12" s="59"/>
      <c r="U12" s="32"/>
      <c r="V12" s="27"/>
      <c r="W12" s="32" t="e">
        <f t="shared" si="5"/>
        <v>#DIV/0!</v>
      </c>
      <c r="X12" s="28"/>
      <c r="Y12" s="56" t="e">
        <f t="shared" si="6"/>
        <v>#DIV/0!</v>
      </c>
      <c r="Z12" s="48" t="e">
        <f t="shared" si="0"/>
        <v>#DIV/0!</v>
      </c>
      <c r="AA12" s="41" t="e">
        <f t="shared" si="7"/>
        <v>#DIV/0!</v>
      </c>
      <c r="AB12" s="32"/>
      <c r="AC12" s="51">
        <f t="shared" ref="AC12:AC45" si="11">AB12*0.6</f>
        <v>0</v>
      </c>
      <c r="AD12" s="65" t="e">
        <f t="shared" ref="AD12:AD45" si="12">AVERAGE(AA12+AC12)</f>
        <v>#DIV/0!</v>
      </c>
      <c r="AE12" s="162" t="e">
        <f t="shared" si="10"/>
        <v>#DIV/0!</v>
      </c>
    </row>
    <row r="13" spans="1:31" ht="15.75" customHeight="1" x14ac:dyDescent="0.3">
      <c r="B13" s="35">
        <v>4</v>
      </c>
      <c r="C13" s="197" t="s">
        <v>102</v>
      </c>
      <c r="D13" s="45"/>
      <c r="E13" s="38"/>
      <c r="F13" s="32">
        <v>18</v>
      </c>
      <c r="G13" s="32">
        <v>17.5</v>
      </c>
      <c r="H13" s="27"/>
      <c r="I13" s="32">
        <v>17.5</v>
      </c>
      <c r="J13" s="28"/>
      <c r="K13" s="56">
        <f t="shared" si="1"/>
        <v>17.666666666666668</v>
      </c>
      <c r="L13" s="166" t="str">
        <f t="shared" si="2"/>
        <v>TRANSITA</v>
      </c>
      <c r="M13" s="32">
        <v>17</v>
      </c>
      <c r="N13" s="32">
        <v>16.5</v>
      </c>
      <c r="O13" s="27"/>
      <c r="P13" s="32">
        <v>16.5</v>
      </c>
      <c r="Q13" s="28"/>
      <c r="R13" s="56">
        <f t="shared" si="3"/>
        <v>16.666666666666668</v>
      </c>
      <c r="S13" s="166" t="str">
        <f t="shared" si="4"/>
        <v>TRANSITA</v>
      </c>
      <c r="T13" s="59"/>
      <c r="U13" s="32"/>
      <c r="V13" s="27"/>
      <c r="W13" s="32" t="e">
        <f t="shared" si="5"/>
        <v>#DIV/0!</v>
      </c>
      <c r="X13" s="28"/>
      <c r="Y13" s="56" t="e">
        <f t="shared" si="6"/>
        <v>#DIV/0!</v>
      </c>
      <c r="Z13" s="48" t="e">
        <f t="shared" si="0"/>
        <v>#DIV/0!</v>
      </c>
      <c r="AA13" s="41" t="e">
        <f t="shared" si="7"/>
        <v>#DIV/0!</v>
      </c>
      <c r="AB13" s="32"/>
      <c r="AC13" s="51">
        <f t="shared" si="11"/>
        <v>0</v>
      </c>
      <c r="AD13" s="65" t="e">
        <f t="shared" si="12"/>
        <v>#DIV/0!</v>
      </c>
      <c r="AE13" s="162" t="e">
        <f t="shared" si="10"/>
        <v>#DIV/0!</v>
      </c>
    </row>
    <row r="14" spans="1:31" ht="15.75" customHeight="1" x14ac:dyDescent="0.3">
      <c r="B14" s="35">
        <v>5</v>
      </c>
      <c r="C14" s="197" t="s">
        <v>103</v>
      </c>
      <c r="D14" s="45"/>
      <c r="E14" s="38"/>
      <c r="F14" s="32">
        <v>20</v>
      </c>
      <c r="G14" s="32">
        <v>19</v>
      </c>
      <c r="H14" s="27"/>
      <c r="I14" s="32">
        <v>19</v>
      </c>
      <c r="J14" s="28"/>
      <c r="K14" s="56">
        <f t="shared" si="1"/>
        <v>19.333333333333332</v>
      </c>
      <c r="L14" s="166" t="str">
        <f t="shared" si="2"/>
        <v>TRANSITA</v>
      </c>
      <c r="M14" s="32">
        <v>20</v>
      </c>
      <c r="N14" s="32">
        <v>16.5</v>
      </c>
      <c r="O14" s="27"/>
      <c r="P14" s="32">
        <v>16.5</v>
      </c>
      <c r="Q14" s="28"/>
      <c r="R14" s="56">
        <f t="shared" si="3"/>
        <v>17.666666666666668</v>
      </c>
      <c r="S14" s="166" t="str">
        <f t="shared" si="4"/>
        <v>TRANSITA</v>
      </c>
      <c r="T14" s="59"/>
      <c r="U14" s="32"/>
      <c r="V14" s="27"/>
      <c r="W14" s="32" t="e">
        <f t="shared" si="5"/>
        <v>#DIV/0!</v>
      </c>
      <c r="X14" s="28"/>
      <c r="Y14" s="56" t="e">
        <f t="shared" si="6"/>
        <v>#DIV/0!</v>
      </c>
      <c r="Z14" s="48" t="e">
        <f t="shared" si="0"/>
        <v>#DIV/0!</v>
      </c>
      <c r="AA14" s="41" t="e">
        <f t="shared" si="7"/>
        <v>#DIV/0!</v>
      </c>
      <c r="AB14" s="32"/>
      <c r="AC14" s="51">
        <f t="shared" si="11"/>
        <v>0</v>
      </c>
      <c r="AD14" s="65" t="e">
        <f t="shared" si="12"/>
        <v>#DIV/0!</v>
      </c>
      <c r="AE14" s="162" t="e">
        <f t="shared" si="10"/>
        <v>#DIV/0!</v>
      </c>
    </row>
    <row r="15" spans="1:31" ht="15.75" customHeight="1" x14ac:dyDescent="0.3">
      <c r="B15" s="35">
        <v>6</v>
      </c>
      <c r="C15" s="197" t="s">
        <v>104</v>
      </c>
      <c r="D15" s="45"/>
      <c r="E15" s="38"/>
      <c r="F15" s="150">
        <v>14</v>
      </c>
      <c r="G15" s="150">
        <v>1</v>
      </c>
      <c r="H15" s="148"/>
      <c r="I15" s="150">
        <v>13</v>
      </c>
      <c r="J15" s="151"/>
      <c r="K15" s="56">
        <f t="shared" si="1"/>
        <v>9.3333333333333339</v>
      </c>
      <c r="L15" s="166" t="str">
        <f t="shared" si="2"/>
        <v>N/TRANSITA</v>
      </c>
      <c r="M15" s="150">
        <v>16</v>
      </c>
      <c r="N15" s="150">
        <v>16</v>
      </c>
      <c r="O15" s="148"/>
      <c r="P15" s="150">
        <v>16</v>
      </c>
      <c r="Q15" s="151"/>
      <c r="R15" s="56">
        <f t="shared" si="3"/>
        <v>16</v>
      </c>
      <c r="S15" s="166" t="str">
        <f t="shared" si="4"/>
        <v>TRANSITA</v>
      </c>
      <c r="T15" s="149"/>
      <c r="U15" s="150"/>
      <c r="V15" s="148"/>
      <c r="W15" s="32" t="e">
        <f t="shared" si="5"/>
        <v>#DIV/0!</v>
      </c>
      <c r="X15" s="151"/>
      <c r="Y15" s="56" t="e">
        <f t="shared" si="6"/>
        <v>#DIV/0!</v>
      </c>
      <c r="Z15" s="48" t="e">
        <f t="shared" si="0"/>
        <v>#DIV/0!</v>
      </c>
      <c r="AA15" s="41" t="e">
        <f t="shared" si="7"/>
        <v>#DIV/0!</v>
      </c>
      <c r="AB15" s="150"/>
      <c r="AC15" s="51">
        <f t="shared" si="11"/>
        <v>0</v>
      </c>
      <c r="AD15" s="65" t="e">
        <f t="shared" si="12"/>
        <v>#DIV/0!</v>
      </c>
      <c r="AE15" s="162" t="e">
        <f t="shared" si="10"/>
        <v>#DIV/0!</v>
      </c>
    </row>
    <row r="16" spans="1:31" ht="15.75" customHeight="1" x14ac:dyDescent="0.3">
      <c r="B16" s="35">
        <v>7</v>
      </c>
      <c r="C16" s="197" t="s">
        <v>105</v>
      </c>
      <c r="D16" s="45"/>
      <c r="E16" s="38"/>
      <c r="F16" s="32">
        <v>19</v>
      </c>
      <c r="G16" s="32">
        <v>17</v>
      </c>
      <c r="H16" s="27"/>
      <c r="I16" s="32">
        <v>19</v>
      </c>
      <c r="J16" s="28"/>
      <c r="K16" s="56">
        <f t="shared" si="1"/>
        <v>18.333333333333332</v>
      </c>
      <c r="L16" s="166" t="str">
        <f t="shared" si="2"/>
        <v>TRANSITA</v>
      </c>
      <c r="M16" s="32">
        <v>20</v>
      </c>
      <c r="N16" s="32">
        <v>17.5</v>
      </c>
      <c r="O16" s="27"/>
      <c r="P16" s="32">
        <v>17.5</v>
      </c>
      <c r="Q16" s="28"/>
      <c r="R16" s="56">
        <f t="shared" si="3"/>
        <v>18.333333333333332</v>
      </c>
      <c r="S16" s="166" t="str">
        <f t="shared" si="4"/>
        <v>TRANSITA</v>
      </c>
      <c r="T16" s="59"/>
      <c r="U16" s="32"/>
      <c r="V16" s="27"/>
      <c r="W16" s="32" t="e">
        <f t="shared" si="5"/>
        <v>#DIV/0!</v>
      </c>
      <c r="X16" s="28"/>
      <c r="Y16" s="56" t="e">
        <f t="shared" si="6"/>
        <v>#DIV/0!</v>
      </c>
      <c r="Z16" s="48" t="e">
        <f t="shared" si="0"/>
        <v>#DIV/0!</v>
      </c>
      <c r="AA16" s="41" t="e">
        <f t="shared" si="7"/>
        <v>#DIV/0!</v>
      </c>
      <c r="AB16" s="32"/>
      <c r="AC16" s="51">
        <f t="shared" si="11"/>
        <v>0</v>
      </c>
      <c r="AD16" s="65" t="e">
        <f t="shared" si="12"/>
        <v>#DIV/0!</v>
      </c>
      <c r="AE16" s="162" t="e">
        <f t="shared" si="10"/>
        <v>#DIV/0!</v>
      </c>
    </row>
    <row r="17" spans="2:31" ht="15.75" customHeight="1" x14ac:dyDescent="0.3">
      <c r="B17" s="35">
        <v>8</v>
      </c>
      <c r="C17" s="197" t="s">
        <v>106</v>
      </c>
      <c r="D17" s="45"/>
      <c r="E17" s="38"/>
      <c r="F17" s="32">
        <v>18</v>
      </c>
      <c r="G17" s="32">
        <v>14</v>
      </c>
      <c r="H17" s="27"/>
      <c r="I17" s="32">
        <v>16</v>
      </c>
      <c r="J17" s="28"/>
      <c r="K17" s="56">
        <f t="shared" si="1"/>
        <v>16</v>
      </c>
      <c r="L17" s="166" t="str">
        <f t="shared" si="2"/>
        <v>TRANSITA</v>
      </c>
      <c r="M17" s="32">
        <v>16</v>
      </c>
      <c r="N17" s="32">
        <v>15.5</v>
      </c>
      <c r="O17" s="27"/>
      <c r="P17" s="32">
        <v>15.5</v>
      </c>
      <c r="Q17" s="28"/>
      <c r="R17" s="56">
        <f t="shared" si="3"/>
        <v>15.666666666666666</v>
      </c>
      <c r="S17" s="166" t="str">
        <f t="shared" si="4"/>
        <v>TRANSITA</v>
      </c>
      <c r="T17" s="59"/>
      <c r="U17" s="32"/>
      <c r="V17" s="27"/>
      <c r="W17" s="32" t="e">
        <f t="shared" si="5"/>
        <v>#DIV/0!</v>
      </c>
      <c r="X17" s="28"/>
      <c r="Y17" s="56" t="e">
        <f t="shared" si="6"/>
        <v>#DIV/0!</v>
      </c>
      <c r="Z17" s="48" t="e">
        <f t="shared" si="0"/>
        <v>#DIV/0!</v>
      </c>
      <c r="AA17" s="41" t="e">
        <f t="shared" si="7"/>
        <v>#DIV/0!</v>
      </c>
      <c r="AB17" s="32"/>
      <c r="AC17" s="51">
        <f t="shared" si="11"/>
        <v>0</v>
      </c>
      <c r="AD17" s="65" t="e">
        <f t="shared" si="12"/>
        <v>#DIV/0!</v>
      </c>
      <c r="AE17" s="162" t="e">
        <f t="shared" si="10"/>
        <v>#DIV/0!</v>
      </c>
    </row>
    <row r="18" spans="2:31" ht="15.75" customHeight="1" x14ac:dyDescent="0.3">
      <c r="B18" s="35">
        <v>9</v>
      </c>
      <c r="C18" s="197" t="s">
        <v>144</v>
      </c>
      <c r="D18" s="45"/>
      <c r="E18" s="38"/>
      <c r="F18" s="32"/>
      <c r="G18" s="32"/>
      <c r="H18" s="27"/>
      <c r="I18" s="32"/>
      <c r="J18" s="28"/>
      <c r="K18" s="56">
        <f t="shared" si="1"/>
        <v>0</v>
      </c>
      <c r="L18" s="166" t="str">
        <f t="shared" si="2"/>
        <v>N/TRANSITA</v>
      </c>
      <c r="M18" s="32"/>
      <c r="N18" s="32"/>
      <c r="O18" s="27"/>
      <c r="P18" s="32"/>
      <c r="Q18" s="28"/>
      <c r="R18" s="56">
        <f t="shared" ref="R18" si="13">AVERAGE(M18,MAX(N18:O18),MAX(P18:Q18))</f>
        <v>0</v>
      </c>
      <c r="S18" s="166" t="str">
        <f t="shared" ref="S18" si="14">IF(R18&gt;=10,"TRANSITA","N/TRANSITA")</f>
        <v>N/TRANSITA</v>
      </c>
      <c r="T18" s="59"/>
      <c r="U18" s="32"/>
      <c r="V18" s="27"/>
      <c r="W18" s="32" t="e">
        <f t="shared" ref="W18" si="15">AVERAGE(T18:U18)</f>
        <v>#DIV/0!</v>
      </c>
      <c r="X18" s="28"/>
      <c r="Y18" s="56" t="e">
        <f t="shared" ref="Y18" si="16">AVERAGE(T18,MAX(U18:V18),MAX(W18:X18))</f>
        <v>#DIV/0!</v>
      </c>
      <c r="Z18" s="48" t="e">
        <f t="shared" ref="Z18" si="17">SUM(K18,R18,Y18)/3</f>
        <v>#DIV/0!</v>
      </c>
      <c r="AA18" s="41" t="e">
        <f t="shared" ref="AA18" si="18">Z18*0.4</f>
        <v>#DIV/0!</v>
      </c>
      <c r="AB18" s="32"/>
      <c r="AC18" s="51">
        <f t="shared" ref="AC18" si="19">AB18*0.6</f>
        <v>0</v>
      </c>
      <c r="AD18" s="65" t="e">
        <f t="shared" ref="AD18" si="20">AVERAGE(AA18+AC18)</f>
        <v>#DIV/0!</v>
      </c>
      <c r="AE18" s="162" t="e">
        <f t="shared" ref="AE18" si="21">IF(AD18&gt;=10,"APROVADO/A","REPROVADO/A")</f>
        <v>#DIV/0!</v>
      </c>
    </row>
    <row r="19" spans="2:31" ht="15.75" customHeight="1" x14ac:dyDescent="0.3">
      <c r="B19" s="35">
        <v>10</v>
      </c>
      <c r="C19" s="197" t="s">
        <v>107</v>
      </c>
      <c r="D19" s="45"/>
      <c r="E19" s="38"/>
      <c r="F19" s="32">
        <v>18</v>
      </c>
      <c r="G19" s="32">
        <v>14</v>
      </c>
      <c r="H19" s="27"/>
      <c r="I19" s="32">
        <v>18</v>
      </c>
      <c r="J19" s="28"/>
      <c r="K19" s="56">
        <f t="shared" si="1"/>
        <v>16.666666666666668</v>
      </c>
      <c r="L19" s="166" t="str">
        <f t="shared" si="2"/>
        <v>TRANSITA</v>
      </c>
      <c r="M19" s="32">
        <v>16</v>
      </c>
      <c r="N19" s="32">
        <v>17.5</v>
      </c>
      <c r="O19" s="27"/>
      <c r="P19" s="32">
        <v>17.5</v>
      </c>
      <c r="Q19" s="28"/>
      <c r="R19" s="56">
        <f t="shared" si="3"/>
        <v>17</v>
      </c>
      <c r="S19" s="166" t="str">
        <f t="shared" si="4"/>
        <v>TRANSITA</v>
      </c>
      <c r="T19" s="59"/>
      <c r="U19" s="32"/>
      <c r="V19" s="27"/>
      <c r="W19" s="32" t="e">
        <f t="shared" si="5"/>
        <v>#DIV/0!</v>
      </c>
      <c r="X19" s="28"/>
      <c r="Y19" s="56" t="e">
        <f t="shared" si="6"/>
        <v>#DIV/0!</v>
      </c>
      <c r="Z19" s="48" t="e">
        <f t="shared" si="0"/>
        <v>#DIV/0!</v>
      </c>
      <c r="AA19" s="41" t="e">
        <f t="shared" si="7"/>
        <v>#DIV/0!</v>
      </c>
      <c r="AB19" s="32"/>
      <c r="AC19" s="51">
        <f t="shared" si="11"/>
        <v>0</v>
      </c>
      <c r="AD19" s="65" t="e">
        <f t="shared" si="12"/>
        <v>#DIV/0!</v>
      </c>
      <c r="AE19" s="162" t="e">
        <f t="shared" si="10"/>
        <v>#DIV/0!</v>
      </c>
    </row>
    <row r="20" spans="2:31" ht="15.75" customHeight="1" x14ac:dyDescent="0.3">
      <c r="B20" s="35">
        <v>11</v>
      </c>
      <c r="C20" s="197" t="s">
        <v>108</v>
      </c>
      <c r="D20" s="45"/>
      <c r="E20" s="38"/>
      <c r="F20" s="32">
        <v>17</v>
      </c>
      <c r="G20" s="32">
        <v>17</v>
      </c>
      <c r="H20" s="27"/>
      <c r="I20" s="32">
        <v>17</v>
      </c>
      <c r="J20" s="28"/>
      <c r="K20" s="56">
        <f t="shared" si="1"/>
        <v>17</v>
      </c>
      <c r="L20" s="166" t="str">
        <f t="shared" si="2"/>
        <v>TRANSITA</v>
      </c>
      <c r="M20" s="32">
        <v>16</v>
      </c>
      <c r="N20" s="32">
        <v>17</v>
      </c>
      <c r="O20" s="27"/>
      <c r="P20" s="32">
        <v>17</v>
      </c>
      <c r="Q20" s="28"/>
      <c r="R20" s="56">
        <f t="shared" si="3"/>
        <v>16.666666666666668</v>
      </c>
      <c r="S20" s="166" t="str">
        <f t="shared" si="4"/>
        <v>TRANSITA</v>
      </c>
      <c r="T20" s="59"/>
      <c r="U20" s="32"/>
      <c r="V20" s="27"/>
      <c r="W20" s="32" t="e">
        <f t="shared" si="5"/>
        <v>#DIV/0!</v>
      </c>
      <c r="X20" s="28"/>
      <c r="Y20" s="56" t="e">
        <f t="shared" si="6"/>
        <v>#DIV/0!</v>
      </c>
      <c r="Z20" s="48" t="e">
        <f t="shared" si="0"/>
        <v>#DIV/0!</v>
      </c>
      <c r="AA20" s="41" t="e">
        <f t="shared" si="7"/>
        <v>#DIV/0!</v>
      </c>
      <c r="AB20" s="32"/>
      <c r="AC20" s="51">
        <f t="shared" ref="AC20" si="22">AB20*0.6</f>
        <v>0</v>
      </c>
      <c r="AD20" s="65" t="e">
        <f t="shared" ref="AD20" si="23">AVERAGE(AA20+AC20)</f>
        <v>#DIV/0!</v>
      </c>
      <c r="AE20" s="162" t="e">
        <f t="shared" si="10"/>
        <v>#DIV/0!</v>
      </c>
    </row>
    <row r="21" spans="2:31" ht="15.75" customHeight="1" x14ac:dyDescent="0.3">
      <c r="B21" s="35">
        <v>12</v>
      </c>
      <c r="C21" s="197" t="s">
        <v>109</v>
      </c>
      <c r="D21" s="45"/>
      <c r="E21" s="38"/>
      <c r="F21" s="150">
        <v>16</v>
      </c>
      <c r="G21" s="150">
        <v>15</v>
      </c>
      <c r="H21" s="148"/>
      <c r="I21" s="150">
        <v>15</v>
      </c>
      <c r="J21" s="151"/>
      <c r="K21" s="56">
        <f t="shared" si="1"/>
        <v>15.333333333333334</v>
      </c>
      <c r="L21" s="166" t="str">
        <f t="shared" si="2"/>
        <v>TRANSITA</v>
      </c>
      <c r="M21" s="150">
        <v>16</v>
      </c>
      <c r="N21" s="150">
        <v>16</v>
      </c>
      <c r="O21" s="148"/>
      <c r="P21" s="150">
        <v>16</v>
      </c>
      <c r="Q21" s="151"/>
      <c r="R21" s="56">
        <f t="shared" si="3"/>
        <v>16</v>
      </c>
      <c r="S21" s="166" t="str">
        <f t="shared" si="4"/>
        <v>TRANSITA</v>
      </c>
      <c r="T21" s="149"/>
      <c r="U21" s="150"/>
      <c r="V21" s="148"/>
      <c r="W21" s="32" t="e">
        <f t="shared" si="5"/>
        <v>#DIV/0!</v>
      </c>
      <c r="X21" s="151"/>
      <c r="Y21" s="56" t="e">
        <f t="shared" si="6"/>
        <v>#DIV/0!</v>
      </c>
      <c r="Z21" s="48" t="e">
        <f t="shared" si="0"/>
        <v>#DIV/0!</v>
      </c>
      <c r="AA21" s="41" t="e">
        <f t="shared" si="7"/>
        <v>#DIV/0!</v>
      </c>
      <c r="AB21" s="150"/>
      <c r="AC21" s="51">
        <f t="shared" ref="AC21" si="24">AB21*0.6</f>
        <v>0</v>
      </c>
      <c r="AD21" s="65" t="e">
        <f t="shared" ref="AD21" si="25">AVERAGE(AA21+AC21)</f>
        <v>#DIV/0!</v>
      </c>
      <c r="AE21" s="162" t="e">
        <f t="shared" si="10"/>
        <v>#DIV/0!</v>
      </c>
    </row>
    <row r="22" spans="2:31" ht="15.75" customHeight="1" x14ac:dyDescent="0.3">
      <c r="B22" s="35">
        <v>13</v>
      </c>
      <c r="C22" s="197" t="s">
        <v>110</v>
      </c>
      <c r="D22" s="45"/>
      <c r="E22" s="38"/>
      <c r="F22" s="32">
        <v>16</v>
      </c>
      <c r="G22" s="32">
        <v>15.5</v>
      </c>
      <c r="H22" s="27"/>
      <c r="I22" s="32">
        <v>15.5</v>
      </c>
      <c r="J22" s="28"/>
      <c r="K22" s="56">
        <f t="shared" si="1"/>
        <v>15.666666666666666</v>
      </c>
      <c r="L22" s="166" t="str">
        <f t="shared" si="2"/>
        <v>TRANSITA</v>
      </c>
      <c r="M22" s="32">
        <v>16</v>
      </c>
      <c r="N22" s="32">
        <v>15</v>
      </c>
      <c r="O22" s="27"/>
      <c r="P22" s="32">
        <v>15</v>
      </c>
      <c r="Q22" s="28"/>
      <c r="R22" s="56">
        <f t="shared" si="3"/>
        <v>15.333333333333334</v>
      </c>
      <c r="S22" s="166" t="str">
        <f t="shared" si="4"/>
        <v>TRANSITA</v>
      </c>
      <c r="T22" s="59"/>
      <c r="U22" s="32"/>
      <c r="V22" s="27"/>
      <c r="W22" s="32" t="e">
        <f t="shared" si="5"/>
        <v>#DIV/0!</v>
      </c>
      <c r="X22" s="28"/>
      <c r="Y22" s="56" t="e">
        <f t="shared" si="6"/>
        <v>#DIV/0!</v>
      </c>
      <c r="Z22" s="48" t="e">
        <f t="shared" si="0"/>
        <v>#DIV/0!</v>
      </c>
      <c r="AA22" s="41" t="e">
        <f t="shared" si="7"/>
        <v>#DIV/0!</v>
      </c>
      <c r="AB22" s="32"/>
      <c r="AC22" s="51">
        <f t="shared" si="11"/>
        <v>0</v>
      </c>
      <c r="AD22" s="65" t="e">
        <f t="shared" si="12"/>
        <v>#DIV/0!</v>
      </c>
      <c r="AE22" s="162" t="e">
        <f t="shared" si="10"/>
        <v>#DIV/0!</v>
      </c>
    </row>
    <row r="23" spans="2:31" ht="15.75" customHeight="1" x14ac:dyDescent="0.3">
      <c r="B23" s="35">
        <v>14</v>
      </c>
      <c r="C23" s="197" t="s">
        <v>111</v>
      </c>
      <c r="D23" s="45"/>
      <c r="E23" s="38"/>
      <c r="F23" s="32">
        <v>16</v>
      </c>
      <c r="G23" s="32">
        <v>16</v>
      </c>
      <c r="H23" s="27"/>
      <c r="I23" s="32">
        <v>16</v>
      </c>
      <c r="J23" s="28"/>
      <c r="K23" s="56">
        <f t="shared" si="1"/>
        <v>16</v>
      </c>
      <c r="L23" s="166" t="str">
        <f t="shared" si="2"/>
        <v>TRANSITA</v>
      </c>
      <c r="M23" s="32">
        <v>18</v>
      </c>
      <c r="N23" s="32">
        <v>17.5</v>
      </c>
      <c r="O23" s="27"/>
      <c r="P23" s="32">
        <v>17.5</v>
      </c>
      <c r="Q23" s="28"/>
      <c r="R23" s="56">
        <f t="shared" si="3"/>
        <v>17.666666666666668</v>
      </c>
      <c r="S23" s="166" t="str">
        <f t="shared" si="4"/>
        <v>TRANSITA</v>
      </c>
      <c r="T23" s="59"/>
      <c r="U23" s="32"/>
      <c r="V23" s="27"/>
      <c r="W23" s="32" t="e">
        <f t="shared" si="5"/>
        <v>#DIV/0!</v>
      </c>
      <c r="X23" s="28"/>
      <c r="Y23" s="56" t="e">
        <f t="shared" si="6"/>
        <v>#DIV/0!</v>
      </c>
      <c r="Z23" s="48" t="e">
        <f t="shared" si="0"/>
        <v>#DIV/0!</v>
      </c>
      <c r="AA23" s="41" t="e">
        <f t="shared" si="7"/>
        <v>#DIV/0!</v>
      </c>
      <c r="AB23" s="32"/>
      <c r="AC23" s="51">
        <f t="shared" si="11"/>
        <v>0</v>
      </c>
      <c r="AD23" s="65" t="e">
        <f t="shared" si="12"/>
        <v>#DIV/0!</v>
      </c>
      <c r="AE23" s="162" t="e">
        <f t="shared" si="10"/>
        <v>#DIV/0!</v>
      </c>
    </row>
    <row r="24" spans="2:31" ht="15.75" customHeight="1" x14ac:dyDescent="0.3">
      <c r="B24" s="35">
        <v>15</v>
      </c>
      <c r="C24" s="197" t="s">
        <v>112</v>
      </c>
      <c r="D24" s="45"/>
      <c r="E24" s="38"/>
      <c r="F24" s="32">
        <v>18</v>
      </c>
      <c r="G24" s="32">
        <v>19</v>
      </c>
      <c r="H24" s="27"/>
      <c r="I24" s="32">
        <v>19</v>
      </c>
      <c r="J24" s="28"/>
      <c r="K24" s="56">
        <f t="shared" si="1"/>
        <v>18.666666666666668</v>
      </c>
      <c r="L24" s="166" t="str">
        <f t="shared" si="2"/>
        <v>TRANSITA</v>
      </c>
      <c r="M24" s="32">
        <v>18</v>
      </c>
      <c r="N24" s="32">
        <v>17</v>
      </c>
      <c r="O24" s="27"/>
      <c r="P24" s="32">
        <v>17</v>
      </c>
      <c r="Q24" s="28"/>
      <c r="R24" s="56">
        <f t="shared" si="3"/>
        <v>17.333333333333332</v>
      </c>
      <c r="S24" s="166" t="str">
        <f t="shared" si="4"/>
        <v>TRANSITA</v>
      </c>
      <c r="T24" s="59"/>
      <c r="U24" s="32"/>
      <c r="V24" s="27"/>
      <c r="W24" s="32" t="e">
        <f t="shared" si="5"/>
        <v>#DIV/0!</v>
      </c>
      <c r="X24" s="28"/>
      <c r="Y24" s="56" t="e">
        <f t="shared" si="6"/>
        <v>#DIV/0!</v>
      </c>
      <c r="Z24" s="48" t="e">
        <f t="shared" si="0"/>
        <v>#DIV/0!</v>
      </c>
      <c r="AA24" s="41" t="e">
        <f t="shared" si="7"/>
        <v>#DIV/0!</v>
      </c>
      <c r="AB24" s="32"/>
      <c r="AC24" s="51">
        <f t="shared" si="11"/>
        <v>0</v>
      </c>
      <c r="AD24" s="65" t="e">
        <f t="shared" si="12"/>
        <v>#DIV/0!</v>
      </c>
      <c r="AE24" s="162" t="e">
        <f t="shared" si="10"/>
        <v>#DIV/0!</v>
      </c>
    </row>
    <row r="25" spans="2:31" ht="15.75" customHeight="1" x14ac:dyDescent="0.3">
      <c r="B25" s="35">
        <v>16</v>
      </c>
      <c r="C25" s="197" t="s">
        <v>113</v>
      </c>
      <c r="D25" s="45"/>
      <c r="E25" s="38"/>
      <c r="F25" s="32">
        <v>18</v>
      </c>
      <c r="G25" s="32">
        <v>16</v>
      </c>
      <c r="H25" s="27"/>
      <c r="I25" s="32">
        <v>16</v>
      </c>
      <c r="J25" s="28"/>
      <c r="K25" s="56">
        <f t="shared" si="1"/>
        <v>16.666666666666668</v>
      </c>
      <c r="L25" s="166" t="str">
        <f t="shared" si="2"/>
        <v>TRANSITA</v>
      </c>
      <c r="M25" s="32">
        <v>18</v>
      </c>
      <c r="N25" s="32">
        <v>17</v>
      </c>
      <c r="O25" s="27"/>
      <c r="P25" s="32">
        <v>17</v>
      </c>
      <c r="Q25" s="28"/>
      <c r="R25" s="56">
        <f t="shared" si="3"/>
        <v>17.333333333333332</v>
      </c>
      <c r="S25" s="166" t="str">
        <f t="shared" si="4"/>
        <v>TRANSITA</v>
      </c>
      <c r="T25" s="59"/>
      <c r="U25" s="32"/>
      <c r="V25" s="27"/>
      <c r="W25" s="32" t="e">
        <f t="shared" si="5"/>
        <v>#DIV/0!</v>
      </c>
      <c r="X25" s="28"/>
      <c r="Y25" s="56" t="e">
        <f t="shared" si="6"/>
        <v>#DIV/0!</v>
      </c>
      <c r="Z25" s="48" t="e">
        <f t="shared" si="0"/>
        <v>#DIV/0!</v>
      </c>
      <c r="AA25" s="41" t="e">
        <f t="shared" si="7"/>
        <v>#DIV/0!</v>
      </c>
      <c r="AB25" s="32"/>
      <c r="AC25" s="51">
        <f t="shared" si="11"/>
        <v>0</v>
      </c>
      <c r="AD25" s="65" t="e">
        <f t="shared" si="12"/>
        <v>#DIV/0!</v>
      </c>
      <c r="AE25" s="162" t="e">
        <f t="shared" si="10"/>
        <v>#DIV/0!</v>
      </c>
    </row>
    <row r="26" spans="2:31" ht="15.75" customHeight="1" x14ac:dyDescent="0.3">
      <c r="B26" s="35">
        <v>17</v>
      </c>
      <c r="C26" s="197" t="s">
        <v>114</v>
      </c>
      <c r="D26" s="45"/>
      <c r="E26" s="38"/>
      <c r="F26" s="32">
        <v>19</v>
      </c>
      <c r="G26" s="32">
        <v>19</v>
      </c>
      <c r="H26" s="27"/>
      <c r="I26" s="32">
        <v>19</v>
      </c>
      <c r="J26" s="28"/>
      <c r="K26" s="56">
        <f t="shared" si="1"/>
        <v>19</v>
      </c>
      <c r="L26" s="166" t="str">
        <f t="shared" si="2"/>
        <v>TRANSITA</v>
      </c>
      <c r="M26" s="32">
        <v>18</v>
      </c>
      <c r="N26" s="32">
        <v>17</v>
      </c>
      <c r="O26" s="27"/>
      <c r="P26" s="32">
        <v>17</v>
      </c>
      <c r="Q26" s="28"/>
      <c r="R26" s="56">
        <f t="shared" si="3"/>
        <v>17.333333333333332</v>
      </c>
      <c r="S26" s="166" t="str">
        <f t="shared" si="4"/>
        <v>TRANSITA</v>
      </c>
      <c r="T26" s="59"/>
      <c r="U26" s="32"/>
      <c r="V26" s="27"/>
      <c r="W26" s="32" t="e">
        <f t="shared" si="5"/>
        <v>#DIV/0!</v>
      </c>
      <c r="X26" s="28"/>
      <c r="Y26" s="56" t="e">
        <f t="shared" si="6"/>
        <v>#DIV/0!</v>
      </c>
      <c r="Z26" s="48" t="e">
        <f t="shared" si="0"/>
        <v>#DIV/0!</v>
      </c>
      <c r="AA26" s="41" t="e">
        <f t="shared" si="7"/>
        <v>#DIV/0!</v>
      </c>
      <c r="AB26" s="32"/>
      <c r="AC26" s="51">
        <f t="shared" ref="AC26:AC39" si="26">AB26*0.6</f>
        <v>0</v>
      </c>
      <c r="AD26" s="65" t="e">
        <f t="shared" ref="AD26:AD39" si="27">AVERAGE(AA26+AC26)</f>
        <v>#DIV/0!</v>
      </c>
      <c r="AE26" s="162" t="e">
        <f t="shared" si="10"/>
        <v>#DIV/0!</v>
      </c>
    </row>
    <row r="27" spans="2:31" ht="15.75" customHeight="1" x14ac:dyDescent="0.3">
      <c r="B27" s="35">
        <v>18</v>
      </c>
      <c r="C27" s="197" t="s">
        <v>115</v>
      </c>
      <c r="D27" s="45"/>
      <c r="E27" s="38"/>
      <c r="F27" s="32">
        <v>16</v>
      </c>
      <c r="G27" s="32">
        <v>15</v>
      </c>
      <c r="H27" s="27"/>
      <c r="I27" s="32">
        <v>15</v>
      </c>
      <c r="J27" s="28"/>
      <c r="K27" s="56">
        <f t="shared" si="1"/>
        <v>15.333333333333334</v>
      </c>
      <c r="L27" s="166" t="str">
        <f t="shared" si="2"/>
        <v>TRANSITA</v>
      </c>
      <c r="M27" s="32">
        <v>18</v>
      </c>
      <c r="N27" s="32">
        <v>17.5</v>
      </c>
      <c r="O27" s="27"/>
      <c r="P27" s="32">
        <v>17.5</v>
      </c>
      <c r="Q27" s="28"/>
      <c r="R27" s="56">
        <f t="shared" si="3"/>
        <v>17.666666666666668</v>
      </c>
      <c r="S27" s="166" t="str">
        <f t="shared" si="4"/>
        <v>TRANSITA</v>
      </c>
      <c r="T27" s="59"/>
      <c r="U27" s="32"/>
      <c r="V27" s="27"/>
      <c r="W27" s="32" t="e">
        <f t="shared" si="5"/>
        <v>#DIV/0!</v>
      </c>
      <c r="X27" s="28"/>
      <c r="Y27" s="56" t="e">
        <f t="shared" si="6"/>
        <v>#DIV/0!</v>
      </c>
      <c r="Z27" s="48" t="e">
        <f t="shared" si="0"/>
        <v>#DIV/0!</v>
      </c>
      <c r="AA27" s="41" t="e">
        <f t="shared" si="7"/>
        <v>#DIV/0!</v>
      </c>
      <c r="AB27" s="32"/>
      <c r="AC27" s="51">
        <f t="shared" si="26"/>
        <v>0</v>
      </c>
      <c r="AD27" s="65" t="e">
        <f t="shared" si="27"/>
        <v>#DIV/0!</v>
      </c>
      <c r="AE27" s="162" t="e">
        <f t="shared" si="10"/>
        <v>#DIV/0!</v>
      </c>
    </row>
    <row r="28" spans="2:31" ht="15.75" customHeight="1" x14ac:dyDescent="0.3">
      <c r="B28" s="35">
        <v>19</v>
      </c>
      <c r="C28" s="197" t="s">
        <v>116</v>
      </c>
      <c r="D28" s="45"/>
      <c r="E28" s="38"/>
      <c r="F28" s="32">
        <v>16</v>
      </c>
      <c r="G28" s="32">
        <v>14</v>
      </c>
      <c r="H28" s="27"/>
      <c r="I28" s="32">
        <v>14</v>
      </c>
      <c r="J28" s="28"/>
      <c r="K28" s="56">
        <f t="shared" si="1"/>
        <v>14.666666666666666</v>
      </c>
      <c r="L28" s="166" t="str">
        <f t="shared" si="2"/>
        <v>TRANSITA</v>
      </c>
      <c r="M28" s="32">
        <v>18</v>
      </c>
      <c r="N28" s="32">
        <v>14.5</v>
      </c>
      <c r="O28" s="27"/>
      <c r="P28" s="32">
        <v>14.5</v>
      </c>
      <c r="Q28" s="28"/>
      <c r="R28" s="56">
        <f t="shared" si="3"/>
        <v>15.666666666666666</v>
      </c>
      <c r="S28" s="166" t="str">
        <f t="shared" si="4"/>
        <v>TRANSITA</v>
      </c>
      <c r="T28" s="59"/>
      <c r="U28" s="32"/>
      <c r="V28" s="27"/>
      <c r="W28" s="32" t="e">
        <f t="shared" si="5"/>
        <v>#DIV/0!</v>
      </c>
      <c r="X28" s="28"/>
      <c r="Y28" s="56" t="e">
        <f t="shared" si="6"/>
        <v>#DIV/0!</v>
      </c>
      <c r="Z28" s="48" t="e">
        <f t="shared" si="0"/>
        <v>#DIV/0!</v>
      </c>
      <c r="AA28" s="41" t="e">
        <f t="shared" si="7"/>
        <v>#DIV/0!</v>
      </c>
      <c r="AB28" s="32"/>
      <c r="AC28" s="51">
        <f t="shared" ref="AC28:AC29" si="28">AB28*0.6</f>
        <v>0</v>
      </c>
      <c r="AD28" s="65" t="e">
        <f t="shared" ref="AD28:AD29" si="29">AVERAGE(AA28+AC28)</f>
        <v>#DIV/0!</v>
      </c>
      <c r="AE28" s="162" t="e">
        <f t="shared" si="10"/>
        <v>#DIV/0!</v>
      </c>
    </row>
    <row r="29" spans="2:31" ht="15.75" customHeight="1" x14ac:dyDescent="0.3">
      <c r="B29" s="35">
        <v>20</v>
      </c>
      <c r="C29" s="197" t="s">
        <v>117</v>
      </c>
      <c r="D29" s="45"/>
      <c r="E29" s="38"/>
      <c r="F29" s="32">
        <v>17</v>
      </c>
      <c r="G29" s="32">
        <v>17</v>
      </c>
      <c r="H29" s="27"/>
      <c r="I29" s="32">
        <v>17</v>
      </c>
      <c r="J29" s="28"/>
      <c r="K29" s="56">
        <f t="shared" si="1"/>
        <v>17</v>
      </c>
      <c r="L29" s="166" t="str">
        <f t="shared" si="2"/>
        <v>TRANSITA</v>
      </c>
      <c r="M29" s="32">
        <v>17</v>
      </c>
      <c r="N29" s="32"/>
      <c r="O29" s="27"/>
      <c r="P29" s="32"/>
      <c r="Q29" s="28"/>
      <c r="R29" s="56">
        <f t="shared" si="3"/>
        <v>5.666666666666667</v>
      </c>
      <c r="S29" s="166" t="str">
        <f t="shared" si="4"/>
        <v>N/TRANSITA</v>
      </c>
      <c r="T29" s="59"/>
      <c r="U29" s="32"/>
      <c r="V29" s="27"/>
      <c r="W29" s="32" t="e">
        <f t="shared" si="5"/>
        <v>#DIV/0!</v>
      </c>
      <c r="X29" s="28"/>
      <c r="Y29" s="56" t="e">
        <f t="shared" si="6"/>
        <v>#DIV/0!</v>
      </c>
      <c r="Z29" s="48" t="e">
        <f t="shared" si="0"/>
        <v>#DIV/0!</v>
      </c>
      <c r="AA29" s="41" t="e">
        <f t="shared" si="7"/>
        <v>#DIV/0!</v>
      </c>
      <c r="AB29" s="32"/>
      <c r="AC29" s="51">
        <f t="shared" si="28"/>
        <v>0</v>
      </c>
      <c r="AD29" s="65" t="e">
        <f t="shared" si="29"/>
        <v>#DIV/0!</v>
      </c>
      <c r="AE29" s="162" t="e">
        <f t="shared" si="10"/>
        <v>#DIV/0!</v>
      </c>
    </row>
    <row r="30" spans="2:31" ht="15.75" customHeight="1" x14ac:dyDescent="0.3">
      <c r="B30" s="35">
        <v>21</v>
      </c>
      <c r="C30" s="197" t="s">
        <v>118</v>
      </c>
      <c r="D30" s="45"/>
      <c r="E30" s="38"/>
      <c r="F30" s="157">
        <v>18</v>
      </c>
      <c r="G30" s="157">
        <v>16</v>
      </c>
      <c r="H30" s="155"/>
      <c r="I30" s="157">
        <v>19</v>
      </c>
      <c r="J30" s="158"/>
      <c r="K30" s="56">
        <f t="shared" si="1"/>
        <v>17.666666666666668</v>
      </c>
      <c r="L30" s="166" t="str">
        <f t="shared" si="2"/>
        <v>TRANSITA</v>
      </c>
      <c r="M30" s="157">
        <v>18</v>
      </c>
      <c r="N30" s="157">
        <v>17</v>
      </c>
      <c r="O30" s="155"/>
      <c r="P30" s="157">
        <v>17</v>
      </c>
      <c r="Q30" s="158"/>
      <c r="R30" s="56">
        <f t="shared" si="3"/>
        <v>17.333333333333332</v>
      </c>
      <c r="S30" s="166" t="str">
        <f t="shared" si="4"/>
        <v>TRANSITA</v>
      </c>
      <c r="T30" s="156"/>
      <c r="U30" s="157"/>
      <c r="V30" s="155"/>
      <c r="W30" s="32" t="e">
        <f t="shared" si="5"/>
        <v>#DIV/0!</v>
      </c>
      <c r="X30" s="158"/>
      <c r="Y30" s="56" t="e">
        <f t="shared" si="6"/>
        <v>#DIV/0!</v>
      </c>
      <c r="Z30" s="48" t="e">
        <f t="shared" si="0"/>
        <v>#DIV/0!</v>
      </c>
      <c r="AA30" s="41" t="e">
        <f t="shared" si="7"/>
        <v>#DIV/0!</v>
      </c>
      <c r="AB30" s="157"/>
      <c r="AC30" s="51">
        <f t="shared" ref="AC30" si="30">AB30*0.6</f>
        <v>0</v>
      </c>
      <c r="AD30" s="65" t="e">
        <f t="shared" ref="AD30" si="31">AVERAGE(AA30+AC30)</f>
        <v>#DIV/0!</v>
      </c>
      <c r="AE30" s="162" t="e">
        <f t="shared" si="10"/>
        <v>#DIV/0!</v>
      </c>
    </row>
    <row r="31" spans="2:31" ht="15.75" customHeight="1" x14ac:dyDescent="0.3">
      <c r="B31" s="35">
        <v>22</v>
      </c>
      <c r="C31" s="197" t="s">
        <v>119</v>
      </c>
      <c r="D31" s="45"/>
      <c r="E31" s="38"/>
      <c r="F31" s="32"/>
      <c r="G31" s="32"/>
      <c r="H31" s="27"/>
      <c r="I31" s="32"/>
      <c r="J31" s="28"/>
      <c r="K31" s="56">
        <f t="shared" si="1"/>
        <v>0</v>
      </c>
      <c r="L31" s="166" t="str">
        <f t="shared" si="2"/>
        <v>N/TRANSITA</v>
      </c>
      <c r="M31" s="32">
        <v>16</v>
      </c>
      <c r="N31" s="32">
        <v>17.5</v>
      </c>
      <c r="O31" s="27"/>
      <c r="P31" s="32">
        <v>17.5</v>
      </c>
      <c r="Q31" s="28"/>
      <c r="R31" s="56">
        <f t="shared" si="3"/>
        <v>17</v>
      </c>
      <c r="S31" s="166" t="str">
        <f t="shared" si="4"/>
        <v>TRANSITA</v>
      </c>
      <c r="T31" s="59"/>
      <c r="U31" s="32"/>
      <c r="V31" s="27"/>
      <c r="W31" s="32" t="e">
        <f t="shared" si="5"/>
        <v>#DIV/0!</v>
      </c>
      <c r="X31" s="28"/>
      <c r="Y31" s="56" t="e">
        <f t="shared" si="6"/>
        <v>#DIV/0!</v>
      </c>
      <c r="Z31" s="48" t="e">
        <f t="shared" si="0"/>
        <v>#DIV/0!</v>
      </c>
      <c r="AA31" s="41" t="e">
        <f t="shared" si="7"/>
        <v>#DIV/0!</v>
      </c>
      <c r="AB31" s="32"/>
      <c r="AC31" s="51">
        <f t="shared" si="26"/>
        <v>0</v>
      </c>
      <c r="AD31" s="65" t="e">
        <f t="shared" si="27"/>
        <v>#DIV/0!</v>
      </c>
      <c r="AE31" s="162" t="e">
        <f t="shared" si="10"/>
        <v>#DIV/0!</v>
      </c>
    </row>
    <row r="32" spans="2:31" ht="15.75" customHeight="1" x14ac:dyDescent="0.3">
      <c r="B32" s="35">
        <v>23</v>
      </c>
      <c r="C32" s="197" t="s">
        <v>120</v>
      </c>
      <c r="D32" s="45"/>
      <c r="E32" s="38"/>
      <c r="F32" s="32">
        <v>18</v>
      </c>
      <c r="G32" s="32">
        <v>10.5</v>
      </c>
      <c r="H32" s="27"/>
      <c r="I32" s="32">
        <v>10.5</v>
      </c>
      <c r="J32" s="28"/>
      <c r="K32" s="56">
        <f t="shared" si="1"/>
        <v>13</v>
      </c>
      <c r="L32" s="166" t="str">
        <f t="shared" si="2"/>
        <v>TRANSITA</v>
      </c>
      <c r="M32" s="32">
        <v>18</v>
      </c>
      <c r="N32" s="32">
        <v>17.5</v>
      </c>
      <c r="O32" s="27"/>
      <c r="P32" s="32">
        <v>17.5</v>
      </c>
      <c r="Q32" s="28"/>
      <c r="R32" s="56">
        <f t="shared" si="3"/>
        <v>17.666666666666668</v>
      </c>
      <c r="S32" s="166" t="str">
        <f t="shared" si="4"/>
        <v>TRANSITA</v>
      </c>
      <c r="T32" s="59"/>
      <c r="U32" s="32"/>
      <c r="V32" s="27"/>
      <c r="W32" s="32" t="e">
        <f t="shared" si="5"/>
        <v>#DIV/0!</v>
      </c>
      <c r="X32" s="28"/>
      <c r="Y32" s="56" t="e">
        <f t="shared" si="6"/>
        <v>#DIV/0!</v>
      </c>
      <c r="Z32" s="48" t="e">
        <f t="shared" si="0"/>
        <v>#DIV/0!</v>
      </c>
      <c r="AA32" s="41" t="e">
        <f t="shared" si="7"/>
        <v>#DIV/0!</v>
      </c>
      <c r="AB32" s="32"/>
      <c r="AC32" s="51">
        <f t="shared" si="26"/>
        <v>0</v>
      </c>
      <c r="AD32" s="65" t="e">
        <f t="shared" si="27"/>
        <v>#DIV/0!</v>
      </c>
      <c r="AE32" s="162" t="e">
        <f t="shared" si="10"/>
        <v>#DIV/0!</v>
      </c>
    </row>
    <row r="33" spans="2:31" ht="15.75" customHeight="1" x14ac:dyDescent="0.3">
      <c r="B33" s="35">
        <v>24</v>
      </c>
      <c r="C33" s="197" t="s">
        <v>121</v>
      </c>
      <c r="D33" s="45"/>
      <c r="E33" s="38"/>
      <c r="F33" s="32"/>
      <c r="G33" s="32">
        <v>0</v>
      </c>
      <c r="H33" s="27"/>
      <c r="I33" s="32">
        <v>0</v>
      </c>
      <c r="J33" s="28"/>
      <c r="K33" s="56">
        <f t="shared" si="1"/>
        <v>0</v>
      </c>
      <c r="L33" s="166" t="str">
        <f t="shared" si="2"/>
        <v>N/TRANSITA</v>
      </c>
      <c r="M33" s="32">
        <v>10</v>
      </c>
      <c r="N33" s="32">
        <v>9</v>
      </c>
      <c r="O33" s="27"/>
      <c r="P33" s="32">
        <v>9</v>
      </c>
      <c r="Q33" s="28"/>
      <c r="R33" s="56">
        <f t="shared" si="3"/>
        <v>9.3333333333333339</v>
      </c>
      <c r="S33" s="166" t="str">
        <f t="shared" si="4"/>
        <v>N/TRANSITA</v>
      </c>
      <c r="T33" s="59"/>
      <c r="U33" s="32"/>
      <c r="V33" s="27"/>
      <c r="W33" s="32" t="e">
        <f t="shared" si="5"/>
        <v>#DIV/0!</v>
      </c>
      <c r="X33" s="28"/>
      <c r="Y33" s="56" t="e">
        <f t="shared" si="6"/>
        <v>#DIV/0!</v>
      </c>
      <c r="Z33" s="48" t="e">
        <f t="shared" si="0"/>
        <v>#DIV/0!</v>
      </c>
      <c r="AA33" s="41" t="e">
        <f t="shared" si="7"/>
        <v>#DIV/0!</v>
      </c>
      <c r="AB33" s="32"/>
      <c r="AC33" s="51">
        <f t="shared" si="26"/>
        <v>0</v>
      </c>
      <c r="AD33" s="65" t="e">
        <f t="shared" si="27"/>
        <v>#DIV/0!</v>
      </c>
      <c r="AE33" s="162" t="e">
        <f t="shared" si="10"/>
        <v>#DIV/0!</v>
      </c>
    </row>
    <row r="34" spans="2:31" ht="15.75" customHeight="1" x14ac:dyDescent="0.3">
      <c r="B34" s="35">
        <v>25</v>
      </c>
      <c r="C34" s="197" t="s">
        <v>122</v>
      </c>
      <c r="D34" s="45"/>
      <c r="E34" s="38"/>
      <c r="F34" s="32">
        <v>20</v>
      </c>
      <c r="G34" s="32">
        <v>19</v>
      </c>
      <c r="H34" s="27"/>
      <c r="I34" s="32">
        <v>19</v>
      </c>
      <c r="J34" s="28"/>
      <c r="K34" s="56">
        <f t="shared" si="1"/>
        <v>19.333333333333332</v>
      </c>
      <c r="L34" s="166" t="str">
        <f t="shared" si="2"/>
        <v>TRANSITA</v>
      </c>
      <c r="M34" s="32">
        <v>20</v>
      </c>
      <c r="N34" s="32">
        <v>17</v>
      </c>
      <c r="O34" s="27"/>
      <c r="P34" s="32">
        <v>17</v>
      </c>
      <c r="Q34" s="28"/>
      <c r="R34" s="56">
        <f t="shared" si="3"/>
        <v>18</v>
      </c>
      <c r="S34" s="166" t="str">
        <f t="shared" si="4"/>
        <v>TRANSITA</v>
      </c>
      <c r="T34" s="59"/>
      <c r="U34" s="32"/>
      <c r="V34" s="27"/>
      <c r="W34" s="32" t="e">
        <f t="shared" si="5"/>
        <v>#DIV/0!</v>
      </c>
      <c r="X34" s="28"/>
      <c r="Y34" s="56" t="e">
        <f t="shared" si="6"/>
        <v>#DIV/0!</v>
      </c>
      <c r="Z34" s="48" t="e">
        <f t="shared" si="0"/>
        <v>#DIV/0!</v>
      </c>
      <c r="AA34" s="41" t="e">
        <f t="shared" si="7"/>
        <v>#DIV/0!</v>
      </c>
      <c r="AB34" s="32"/>
      <c r="AC34" s="51">
        <f t="shared" si="26"/>
        <v>0</v>
      </c>
      <c r="AD34" s="65" t="e">
        <f t="shared" si="27"/>
        <v>#DIV/0!</v>
      </c>
      <c r="AE34" s="162" t="e">
        <f t="shared" si="10"/>
        <v>#DIV/0!</v>
      </c>
    </row>
    <row r="35" spans="2:31" ht="15.75" customHeight="1" x14ac:dyDescent="0.3">
      <c r="B35" s="35">
        <v>26</v>
      </c>
      <c r="C35" s="197" t="s">
        <v>123</v>
      </c>
      <c r="D35" s="45"/>
      <c r="E35" s="38"/>
      <c r="F35" s="32">
        <v>12</v>
      </c>
      <c r="G35" s="32">
        <v>8</v>
      </c>
      <c r="H35" s="27"/>
      <c r="I35" s="32">
        <v>8</v>
      </c>
      <c r="J35" s="28"/>
      <c r="K35" s="56">
        <f t="shared" si="1"/>
        <v>9.3333333333333339</v>
      </c>
      <c r="L35" s="166" t="str">
        <f t="shared" si="2"/>
        <v>N/TRANSITA</v>
      </c>
      <c r="M35" s="32">
        <v>10</v>
      </c>
      <c r="N35" s="32">
        <v>10.5</v>
      </c>
      <c r="O35" s="27"/>
      <c r="P35" s="32">
        <v>10.5</v>
      </c>
      <c r="Q35" s="28"/>
      <c r="R35" s="56">
        <f t="shared" si="3"/>
        <v>10.333333333333334</v>
      </c>
      <c r="S35" s="166" t="str">
        <f t="shared" si="4"/>
        <v>TRANSITA</v>
      </c>
      <c r="T35" s="59"/>
      <c r="U35" s="32"/>
      <c r="V35" s="27"/>
      <c r="W35" s="32" t="e">
        <f t="shared" si="5"/>
        <v>#DIV/0!</v>
      </c>
      <c r="X35" s="28"/>
      <c r="Y35" s="56" t="e">
        <f t="shared" si="6"/>
        <v>#DIV/0!</v>
      </c>
      <c r="Z35" s="48" t="e">
        <f t="shared" si="0"/>
        <v>#DIV/0!</v>
      </c>
      <c r="AA35" s="41" t="e">
        <f t="shared" si="7"/>
        <v>#DIV/0!</v>
      </c>
      <c r="AB35" s="32"/>
      <c r="AC35" s="51">
        <f t="shared" si="26"/>
        <v>0</v>
      </c>
      <c r="AD35" s="65" t="e">
        <f t="shared" si="27"/>
        <v>#DIV/0!</v>
      </c>
      <c r="AE35" s="162" t="e">
        <f t="shared" si="10"/>
        <v>#DIV/0!</v>
      </c>
    </row>
    <row r="36" spans="2:31" ht="15.75" customHeight="1" x14ac:dyDescent="0.3">
      <c r="B36" s="35">
        <v>27</v>
      </c>
      <c r="C36" s="197" t="s">
        <v>124</v>
      </c>
      <c r="D36" s="45"/>
      <c r="E36" s="38"/>
      <c r="F36" s="32">
        <v>18</v>
      </c>
      <c r="G36" s="32">
        <v>15</v>
      </c>
      <c r="H36" s="27"/>
      <c r="I36" s="32">
        <v>15</v>
      </c>
      <c r="J36" s="28"/>
      <c r="K36" s="56">
        <f t="shared" si="1"/>
        <v>16</v>
      </c>
      <c r="L36" s="166" t="str">
        <f t="shared" si="2"/>
        <v>TRANSITA</v>
      </c>
      <c r="M36" s="32">
        <v>16</v>
      </c>
      <c r="N36" s="32">
        <v>17</v>
      </c>
      <c r="O36" s="27"/>
      <c r="P36" s="32">
        <v>17</v>
      </c>
      <c r="Q36" s="28"/>
      <c r="R36" s="56">
        <f t="shared" si="3"/>
        <v>16.666666666666668</v>
      </c>
      <c r="S36" s="166" t="str">
        <f t="shared" si="4"/>
        <v>TRANSITA</v>
      </c>
      <c r="T36" s="59"/>
      <c r="U36" s="32"/>
      <c r="V36" s="27"/>
      <c r="W36" s="32" t="e">
        <f t="shared" si="5"/>
        <v>#DIV/0!</v>
      </c>
      <c r="X36" s="28"/>
      <c r="Y36" s="56" t="e">
        <f t="shared" si="6"/>
        <v>#DIV/0!</v>
      </c>
      <c r="Z36" s="48" t="e">
        <f t="shared" si="0"/>
        <v>#DIV/0!</v>
      </c>
      <c r="AA36" s="41" t="e">
        <f t="shared" si="7"/>
        <v>#DIV/0!</v>
      </c>
      <c r="AB36" s="32"/>
      <c r="AC36" s="51">
        <f t="shared" si="26"/>
        <v>0</v>
      </c>
      <c r="AD36" s="65" t="e">
        <f t="shared" si="27"/>
        <v>#DIV/0!</v>
      </c>
      <c r="AE36" s="162" t="e">
        <f t="shared" si="10"/>
        <v>#DIV/0!</v>
      </c>
    </row>
    <row r="37" spans="2:31" ht="15.75" customHeight="1" x14ac:dyDescent="0.3">
      <c r="B37" s="35">
        <v>28</v>
      </c>
      <c r="C37" s="197" t="s">
        <v>125</v>
      </c>
      <c r="D37" s="45"/>
      <c r="E37" s="38"/>
      <c r="F37" s="150">
        <v>18</v>
      </c>
      <c r="G37" s="150">
        <v>11.5</v>
      </c>
      <c r="H37" s="148"/>
      <c r="I37" s="150">
        <v>11.5</v>
      </c>
      <c r="J37" s="151"/>
      <c r="K37" s="56">
        <f t="shared" si="1"/>
        <v>13.666666666666666</v>
      </c>
      <c r="L37" s="166" t="str">
        <f t="shared" si="2"/>
        <v>TRANSITA</v>
      </c>
      <c r="M37" s="150">
        <v>20</v>
      </c>
      <c r="N37" s="150">
        <v>17.5</v>
      </c>
      <c r="O37" s="148"/>
      <c r="P37" s="150">
        <v>17.5</v>
      </c>
      <c r="Q37" s="151"/>
      <c r="R37" s="56">
        <f t="shared" si="3"/>
        <v>18.333333333333332</v>
      </c>
      <c r="S37" s="166" t="str">
        <f t="shared" si="4"/>
        <v>TRANSITA</v>
      </c>
      <c r="T37" s="149"/>
      <c r="U37" s="150"/>
      <c r="V37" s="148"/>
      <c r="W37" s="32" t="e">
        <f t="shared" si="5"/>
        <v>#DIV/0!</v>
      </c>
      <c r="X37" s="151"/>
      <c r="Y37" s="56" t="e">
        <f t="shared" si="6"/>
        <v>#DIV/0!</v>
      </c>
      <c r="Z37" s="48" t="e">
        <f t="shared" si="0"/>
        <v>#DIV/0!</v>
      </c>
      <c r="AA37" s="41" t="e">
        <f t="shared" si="7"/>
        <v>#DIV/0!</v>
      </c>
      <c r="AB37" s="150"/>
      <c r="AC37" s="51">
        <f t="shared" si="26"/>
        <v>0</v>
      </c>
      <c r="AD37" s="65" t="e">
        <f t="shared" si="27"/>
        <v>#DIV/0!</v>
      </c>
      <c r="AE37" s="162" t="e">
        <f t="shared" si="10"/>
        <v>#DIV/0!</v>
      </c>
    </row>
    <row r="38" spans="2:31" ht="15.75" customHeight="1" x14ac:dyDescent="0.3">
      <c r="B38" s="35">
        <v>29</v>
      </c>
      <c r="C38" s="197" t="s">
        <v>126</v>
      </c>
      <c r="D38" s="45"/>
      <c r="E38" s="38"/>
      <c r="F38" s="32"/>
      <c r="G38" s="32">
        <v>0</v>
      </c>
      <c r="H38" s="27"/>
      <c r="I38" s="32">
        <v>0</v>
      </c>
      <c r="J38" s="28"/>
      <c r="K38" s="56">
        <f t="shared" si="1"/>
        <v>0</v>
      </c>
      <c r="L38" s="166" t="str">
        <f t="shared" si="2"/>
        <v>N/TRANSITA</v>
      </c>
      <c r="M38" s="32">
        <v>10</v>
      </c>
      <c r="N38" s="32">
        <v>8</v>
      </c>
      <c r="O38" s="27"/>
      <c r="P38" s="32">
        <v>8</v>
      </c>
      <c r="Q38" s="28"/>
      <c r="R38" s="56">
        <f t="shared" si="3"/>
        <v>8.6666666666666661</v>
      </c>
      <c r="S38" s="166" t="str">
        <f t="shared" si="4"/>
        <v>N/TRANSITA</v>
      </c>
      <c r="T38" s="59"/>
      <c r="U38" s="32"/>
      <c r="V38" s="27"/>
      <c r="W38" s="32" t="e">
        <f t="shared" si="5"/>
        <v>#DIV/0!</v>
      </c>
      <c r="X38" s="28"/>
      <c r="Y38" s="56" t="e">
        <f t="shared" si="6"/>
        <v>#DIV/0!</v>
      </c>
      <c r="Z38" s="48" t="e">
        <f t="shared" si="0"/>
        <v>#DIV/0!</v>
      </c>
      <c r="AA38" s="41" t="e">
        <f t="shared" si="7"/>
        <v>#DIV/0!</v>
      </c>
      <c r="AB38" s="32"/>
      <c r="AC38" s="51">
        <f t="shared" si="26"/>
        <v>0</v>
      </c>
      <c r="AD38" s="65" t="e">
        <f t="shared" si="27"/>
        <v>#DIV/0!</v>
      </c>
      <c r="AE38" s="162" t="e">
        <f t="shared" si="10"/>
        <v>#DIV/0!</v>
      </c>
    </row>
    <row r="39" spans="2:31" ht="15.75" customHeight="1" x14ac:dyDescent="0.3">
      <c r="B39" s="35">
        <v>30</v>
      </c>
      <c r="C39" s="197" t="s">
        <v>127</v>
      </c>
      <c r="D39" s="45"/>
      <c r="E39" s="38"/>
      <c r="F39" s="32">
        <v>20</v>
      </c>
      <c r="G39" s="32">
        <v>18</v>
      </c>
      <c r="H39" s="27"/>
      <c r="I39" s="32">
        <v>18</v>
      </c>
      <c r="J39" s="28"/>
      <c r="K39" s="56">
        <f t="shared" si="1"/>
        <v>18.666666666666668</v>
      </c>
      <c r="L39" s="166" t="str">
        <f t="shared" si="2"/>
        <v>TRANSITA</v>
      </c>
      <c r="M39" s="32">
        <v>20</v>
      </c>
      <c r="N39" s="32">
        <v>17.5</v>
      </c>
      <c r="O39" s="27"/>
      <c r="P39" s="32">
        <v>17.5</v>
      </c>
      <c r="Q39" s="28"/>
      <c r="R39" s="56">
        <f t="shared" si="3"/>
        <v>18.333333333333332</v>
      </c>
      <c r="S39" s="166" t="str">
        <f t="shared" si="4"/>
        <v>TRANSITA</v>
      </c>
      <c r="T39" s="59"/>
      <c r="U39" s="32"/>
      <c r="V39" s="27"/>
      <c r="W39" s="32" t="e">
        <f t="shared" si="5"/>
        <v>#DIV/0!</v>
      </c>
      <c r="X39" s="28"/>
      <c r="Y39" s="56" t="e">
        <f t="shared" si="6"/>
        <v>#DIV/0!</v>
      </c>
      <c r="Z39" s="48" t="e">
        <f t="shared" si="0"/>
        <v>#DIV/0!</v>
      </c>
      <c r="AA39" s="41" t="e">
        <f t="shared" si="7"/>
        <v>#DIV/0!</v>
      </c>
      <c r="AB39" s="32"/>
      <c r="AC39" s="51">
        <f t="shared" si="26"/>
        <v>0</v>
      </c>
      <c r="AD39" s="65" t="e">
        <f t="shared" si="27"/>
        <v>#DIV/0!</v>
      </c>
      <c r="AE39" s="162" t="e">
        <f t="shared" si="10"/>
        <v>#DIV/0!</v>
      </c>
    </row>
    <row r="40" spans="2:31" ht="15.75" customHeight="1" x14ac:dyDescent="0.3">
      <c r="B40" s="35">
        <v>31</v>
      </c>
      <c r="C40" s="197" t="s">
        <v>128</v>
      </c>
      <c r="D40" s="45"/>
      <c r="E40" s="38"/>
      <c r="F40" s="32">
        <v>18</v>
      </c>
      <c r="G40" s="32">
        <v>19</v>
      </c>
      <c r="H40" s="27"/>
      <c r="I40" s="32">
        <v>19</v>
      </c>
      <c r="J40" s="28"/>
      <c r="K40" s="56">
        <f t="shared" si="1"/>
        <v>18.666666666666668</v>
      </c>
      <c r="L40" s="166" t="str">
        <f t="shared" si="2"/>
        <v>TRANSITA</v>
      </c>
      <c r="M40" s="32">
        <v>20</v>
      </c>
      <c r="N40" s="32">
        <v>17.5</v>
      </c>
      <c r="O40" s="27"/>
      <c r="P40" s="32">
        <v>17.5</v>
      </c>
      <c r="Q40" s="28"/>
      <c r="R40" s="56">
        <f t="shared" si="3"/>
        <v>18.333333333333332</v>
      </c>
      <c r="S40" s="166" t="str">
        <f t="shared" si="4"/>
        <v>TRANSITA</v>
      </c>
      <c r="T40" s="59"/>
      <c r="U40" s="32"/>
      <c r="V40" s="27"/>
      <c r="W40" s="32" t="e">
        <f t="shared" si="5"/>
        <v>#DIV/0!</v>
      </c>
      <c r="X40" s="28"/>
      <c r="Y40" s="56" t="e">
        <f t="shared" si="6"/>
        <v>#DIV/0!</v>
      </c>
      <c r="Z40" s="48" t="e">
        <f t="shared" si="0"/>
        <v>#DIV/0!</v>
      </c>
      <c r="AA40" s="41" t="e">
        <f t="shared" si="7"/>
        <v>#DIV/0!</v>
      </c>
      <c r="AB40" s="32"/>
      <c r="AC40" s="51">
        <f t="shared" si="11"/>
        <v>0</v>
      </c>
      <c r="AD40" s="65" t="e">
        <f t="shared" si="12"/>
        <v>#DIV/0!</v>
      </c>
      <c r="AE40" s="162" t="e">
        <f t="shared" si="10"/>
        <v>#DIV/0!</v>
      </c>
    </row>
    <row r="41" spans="2:31" ht="15.75" customHeight="1" x14ac:dyDescent="0.3">
      <c r="B41" s="35">
        <v>32</v>
      </c>
      <c r="C41" s="197" t="s">
        <v>142</v>
      </c>
      <c r="D41" s="45"/>
      <c r="E41" s="38"/>
      <c r="F41" s="32"/>
      <c r="G41" s="32"/>
      <c r="H41" s="27"/>
      <c r="I41" s="32"/>
      <c r="J41" s="28"/>
      <c r="K41" s="56">
        <f t="shared" si="1"/>
        <v>0</v>
      </c>
      <c r="L41" s="166" t="str">
        <f t="shared" si="2"/>
        <v>N/TRANSITA</v>
      </c>
      <c r="M41" s="32"/>
      <c r="N41" s="32"/>
      <c r="O41" s="27"/>
      <c r="P41" s="32"/>
      <c r="Q41" s="28"/>
      <c r="R41" s="56">
        <f t="shared" ref="R41" si="32">AVERAGE(M41,MAX(N41:O41),MAX(P41:Q41))</f>
        <v>0</v>
      </c>
      <c r="S41" s="166" t="str">
        <f t="shared" ref="S41" si="33">IF(R41&gt;=10,"TRANSITA","N/TRANSITA")</f>
        <v>N/TRANSITA</v>
      </c>
      <c r="T41" s="59"/>
      <c r="U41" s="32"/>
      <c r="V41" s="27"/>
      <c r="W41" s="32" t="e">
        <f t="shared" ref="W41" si="34">AVERAGE(T41:U41)</f>
        <v>#DIV/0!</v>
      </c>
      <c r="X41" s="28"/>
      <c r="Y41" s="56" t="e">
        <f t="shared" ref="Y41" si="35">AVERAGE(T41,MAX(U41:V41),MAX(W41:X41))</f>
        <v>#DIV/0!</v>
      </c>
      <c r="Z41" s="48" t="e">
        <f t="shared" ref="Z41" si="36">SUM(K41,R41,Y41)/3</f>
        <v>#DIV/0!</v>
      </c>
      <c r="AA41" s="41" t="e">
        <f t="shared" ref="AA41" si="37">Z41*0.4</f>
        <v>#DIV/0!</v>
      </c>
      <c r="AB41" s="32"/>
      <c r="AC41" s="51">
        <f t="shared" ref="AC41" si="38">AB41*0.6</f>
        <v>0</v>
      </c>
      <c r="AD41" s="65" t="e">
        <f t="shared" ref="AD41" si="39">AVERAGE(AA41+AC41)</f>
        <v>#DIV/0!</v>
      </c>
      <c r="AE41" s="162"/>
    </row>
    <row r="42" spans="2:31" ht="15.75" customHeight="1" x14ac:dyDescent="0.3">
      <c r="B42" s="35">
        <v>33</v>
      </c>
      <c r="C42" s="197" t="s">
        <v>129</v>
      </c>
      <c r="D42" s="45"/>
      <c r="E42" s="38"/>
      <c r="F42" s="32"/>
      <c r="G42" s="32"/>
      <c r="H42" s="27"/>
      <c r="I42" s="32"/>
      <c r="J42" s="28"/>
      <c r="K42" s="56">
        <f t="shared" si="1"/>
        <v>0</v>
      </c>
      <c r="L42" s="166" t="str">
        <f t="shared" si="2"/>
        <v>N/TRANSITA</v>
      </c>
      <c r="M42" s="32"/>
      <c r="N42" s="32"/>
      <c r="O42" s="27"/>
      <c r="P42" s="32"/>
      <c r="Q42" s="28"/>
      <c r="R42" s="56">
        <f t="shared" si="3"/>
        <v>0</v>
      </c>
      <c r="S42" s="166" t="str">
        <f t="shared" si="4"/>
        <v>N/TRANSITA</v>
      </c>
      <c r="T42" s="59"/>
      <c r="U42" s="32"/>
      <c r="V42" s="27"/>
      <c r="W42" s="32" t="e">
        <f t="shared" si="5"/>
        <v>#DIV/0!</v>
      </c>
      <c r="X42" s="28"/>
      <c r="Y42" s="56" t="e">
        <f t="shared" si="6"/>
        <v>#DIV/0!</v>
      </c>
      <c r="Z42" s="48" t="e">
        <f t="shared" si="0"/>
        <v>#DIV/0!</v>
      </c>
      <c r="AA42" s="41" t="e">
        <f t="shared" si="7"/>
        <v>#DIV/0!</v>
      </c>
      <c r="AB42" s="32"/>
      <c r="AC42" s="51">
        <f t="shared" si="11"/>
        <v>0</v>
      </c>
      <c r="AD42" s="65" t="e">
        <f t="shared" si="12"/>
        <v>#DIV/0!</v>
      </c>
      <c r="AE42" s="162" t="e">
        <f t="shared" si="10"/>
        <v>#DIV/0!</v>
      </c>
    </row>
    <row r="43" spans="2:31" ht="15.75" customHeight="1" x14ac:dyDescent="0.3">
      <c r="B43" s="35">
        <v>34</v>
      </c>
      <c r="C43" s="197" t="s">
        <v>130</v>
      </c>
      <c r="D43" s="45"/>
      <c r="E43" s="38"/>
      <c r="F43" s="32">
        <v>16</v>
      </c>
      <c r="G43" s="32">
        <v>15.5</v>
      </c>
      <c r="H43" s="27"/>
      <c r="I43" s="32">
        <v>15.5</v>
      </c>
      <c r="J43" s="28"/>
      <c r="K43" s="56">
        <f t="shared" si="1"/>
        <v>15.666666666666666</v>
      </c>
      <c r="L43" s="166" t="str">
        <f t="shared" si="2"/>
        <v>TRANSITA</v>
      </c>
      <c r="M43" s="32">
        <v>14</v>
      </c>
      <c r="N43" s="32">
        <v>16.5</v>
      </c>
      <c r="O43" s="27"/>
      <c r="P43" s="32">
        <v>16.5</v>
      </c>
      <c r="Q43" s="28"/>
      <c r="R43" s="56">
        <f t="shared" si="3"/>
        <v>15.666666666666666</v>
      </c>
      <c r="S43" s="166" t="str">
        <f t="shared" si="4"/>
        <v>TRANSITA</v>
      </c>
      <c r="T43" s="59"/>
      <c r="U43" s="32"/>
      <c r="V43" s="27"/>
      <c r="W43" s="32" t="e">
        <f t="shared" si="5"/>
        <v>#DIV/0!</v>
      </c>
      <c r="X43" s="28"/>
      <c r="Y43" s="56" t="e">
        <f t="shared" si="6"/>
        <v>#DIV/0!</v>
      </c>
      <c r="Z43" s="48" t="e">
        <f t="shared" si="0"/>
        <v>#DIV/0!</v>
      </c>
      <c r="AA43" s="41" t="e">
        <f t="shared" si="7"/>
        <v>#DIV/0!</v>
      </c>
      <c r="AB43" s="32"/>
      <c r="AC43" s="51">
        <f t="shared" ref="AC43:AC44" si="40">AB43*0.6</f>
        <v>0</v>
      </c>
      <c r="AD43" s="65" t="e">
        <f t="shared" ref="AD43:AD44" si="41">AVERAGE(AA43+AC43)</f>
        <v>#DIV/0!</v>
      </c>
      <c r="AE43" s="162" t="e">
        <f t="shared" si="10"/>
        <v>#DIV/0!</v>
      </c>
    </row>
    <row r="44" spans="2:31" ht="15.75" customHeight="1" x14ac:dyDescent="0.3">
      <c r="B44" s="35">
        <v>35</v>
      </c>
      <c r="C44" s="197" t="s">
        <v>131</v>
      </c>
      <c r="D44" s="45"/>
      <c r="E44" s="38"/>
      <c r="F44" s="32">
        <v>18</v>
      </c>
      <c r="G44" s="32">
        <v>18</v>
      </c>
      <c r="H44" s="27"/>
      <c r="I44" s="32">
        <v>18</v>
      </c>
      <c r="J44" s="28"/>
      <c r="K44" s="56">
        <f t="shared" si="1"/>
        <v>18</v>
      </c>
      <c r="L44" s="166" t="str">
        <f t="shared" si="2"/>
        <v>TRANSITA</v>
      </c>
      <c r="M44" s="32">
        <v>16</v>
      </c>
      <c r="N44" s="32">
        <v>16.5</v>
      </c>
      <c r="O44" s="27"/>
      <c r="P44" s="32">
        <v>16.5</v>
      </c>
      <c r="Q44" s="28"/>
      <c r="R44" s="56">
        <f t="shared" si="3"/>
        <v>16.333333333333332</v>
      </c>
      <c r="S44" s="166" t="str">
        <f t="shared" si="4"/>
        <v>TRANSITA</v>
      </c>
      <c r="T44" s="59"/>
      <c r="U44" s="32"/>
      <c r="V44" s="27"/>
      <c r="W44" s="32" t="e">
        <f t="shared" si="5"/>
        <v>#DIV/0!</v>
      </c>
      <c r="X44" s="28"/>
      <c r="Y44" s="56" t="e">
        <f t="shared" si="6"/>
        <v>#DIV/0!</v>
      </c>
      <c r="Z44" s="48" t="e">
        <f t="shared" si="0"/>
        <v>#DIV/0!</v>
      </c>
      <c r="AA44" s="41" t="e">
        <f t="shared" si="7"/>
        <v>#DIV/0!</v>
      </c>
      <c r="AB44" s="32"/>
      <c r="AC44" s="51">
        <f t="shared" si="40"/>
        <v>0</v>
      </c>
      <c r="AD44" s="65" t="e">
        <f t="shared" si="41"/>
        <v>#DIV/0!</v>
      </c>
      <c r="AE44" s="162" t="e">
        <f t="shared" si="10"/>
        <v>#DIV/0!</v>
      </c>
    </row>
    <row r="45" spans="2:31" ht="15.75" customHeight="1" x14ac:dyDescent="0.3">
      <c r="B45" s="35">
        <v>36</v>
      </c>
      <c r="C45" s="197" t="s">
        <v>132</v>
      </c>
      <c r="D45" s="45"/>
      <c r="E45" s="38"/>
      <c r="F45" s="32">
        <v>16</v>
      </c>
      <c r="G45" s="32">
        <v>13.5</v>
      </c>
      <c r="H45" s="27"/>
      <c r="I45" s="32">
        <v>13.5</v>
      </c>
      <c r="J45" s="28"/>
      <c r="K45" s="56">
        <f t="shared" si="1"/>
        <v>14.333333333333334</v>
      </c>
      <c r="L45" s="166" t="str">
        <f t="shared" si="2"/>
        <v>TRANSITA</v>
      </c>
      <c r="M45" s="32">
        <v>16</v>
      </c>
      <c r="N45" s="32">
        <v>16.5</v>
      </c>
      <c r="O45" s="27"/>
      <c r="P45" s="32">
        <v>16.5</v>
      </c>
      <c r="Q45" s="28"/>
      <c r="R45" s="56">
        <f t="shared" si="3"/>
        <v>16.333333333333332</v>
      </c>
      <c r="S45" s="166" t="str">
        <f t="shared" si="4"/>
        <v>TRANSITA</v>
      </c>
      <c r="T45" s="59"/>
      <c r="U45" s="32"/>
      <c r="V45" s="27"/>
      <c r="W45" s="32" t="e">
        <f t="shared" si="5"/>
        <v>#DIV/0!</v>
      </c>
      <c r="X45" s="28"/>
      <c r="Y45" s="56" t="e">
        <f t="shared" si="6"/>
        <v>#DIV/0!</v>
      </c>
      <c r="Z45" s="48" t="e">
        <f t="shared" si="0"/>
        <v>#DIV/0!</v>
      </c>
      <c r="AA45" s="41" t="e">
        <f t="shared" si="7"/>
        <v>#DIV/0!</v>
      </c>
      <c r="AB45" s="32"/>
      <c r="AC45" s="51">
        <f t="shared" si="11"/>
        <v>0</v>
      </c>
      <c r="AD45" s="65" t="e">
        <f t="shared" si="12"/>
        <v>#DIV/0!</v>
      </c>
      <c r="AE45" s="162" t="e">
        <f t="shared" si="10"/>
        <v>#DIV/0!</v>
      </c>
    </row>
    <row r="46" spans="2:31" ht="15.75" customHeight="1" x14ac:dyDescent="0.3">
      <c r="B46" s="35">
        <v>37</v>
      </c>
      <c r="C46" s="197" t="s">
        <v>133</v>
      </c>
      <c r="D46" s="45"/>
      <c r="E46" s="38"/>
      <c r="F46" s="32">
        <v>16</v>
      </c>
      <c r="G46" s="32">
        <v>12.5</v>
      </c>
      <c r="H46" s="27"/>
      <c r="I46" s="32">
        <v>12.5</v>
      </c>
      <c r="J46" s="28"/>
      <c r="K46" s="56">
        <f t="shared" si="1"/>
        <v>13.666666666666666</v>
      </c>
      <c r="L46" s="166" t="str">
        <f t="shared" si="2"/>
        <v>TRANSITA</v>
      </c>
      <c r="M46" s="32">
        <v>18</v>
      </c>
      <c r="N46" s="32">
        <v>16.5</v>
      </c>
      <c r="O46" s="27"/>
      <c r="P46" s="32">
        <v>16.5</v>
      </c>
      <c r="Q46" s="28"/>
      <c r="R46" s="56">
        <f t="shared" si="3"/>
        <v>17</v>
      </c>
      <c r="S46" s="166" t="str">
        <f t="shared" si="4"/>
        <v>TRANSITA</v>
      </c>
      <c r="T46" s="59"/>
      <c r="U46" s="32"/>
      <c r="V46" s="27"/>
      <c r="W46" s="32" t="e">
        <f t="shared" si="5"/>
        <v>#DIV/0!</v>
      </c>
      <c r="X46" s="28"/>
      <c r="Y46" s="56" t="e">
        <f t="shared" si="6"/>
        <v>#DIV/0!</v>
      </c>
      <c r="Z46" s="48" t="e">
        <f t="shared" si="0"/>
        <v>#DIV/0!</v>
      </c>
      <c r="AA46" s="41" t="e">
        <f t="shared" si="7"/>
        <v>#DIV/0!</v>
      </c>
      <c r="AB46" s="32"/>
      <c r="AC46" s="51">
        <f t="shared" ref="AC46:AC51" si="42">AB46*0.6</f>
        <v>0</v>
      </c>
      <c r="AD46" s="65" t="e">
        <f t="shared" ref="AD46:AD51" si="43">AVERAGE(AA46+AC46)</f>
        <v>#DIV/0!</v>
      </c>
      <c r="AE46" s="162" t="e">
        <f t="shared" si="10"/>
        <v>#DIV/0!</v>
      </c>
    </row>
    <row r="47" spans="2:31" ht="15.75" customHeight="1" x14ac:dyDescent="0.3">
      <c r="B47" s="35">
        <v>38</v>
      </c>
      <c r="C47" s="197" t="s">
        <v>134</v>
      </c>
      <c r="D47" s="45"/>
      <c r="E47" s="38"/>
      <c r="F47" s="32"/>
      <c r="G47" s="32">
        <v>0</v>
      </c>
      <c r="H47" s="27"/>
      <c r="I47" s="32">
        <v>0</v>
      </c>
      <c r="J47" s="28"/>
      <c r="K47" s="56">
        <f t="shared" si="1"/>
        <v>0</v>
      </c>
      <c r="L47" s="166" t="str">
        <f t="shared" si="2"/>
        <v>N/TRANSITA</v>
      </c>
      <c r="M47" s="32">
        <v>12</v>
      </c>
      <c r="N47" s="32">
        <v>5</v>
      </c>
      <c r="O47" s="27"/>
      <c r="P47" s="32">
        <v>5</v>
      </c>
      <c r="Q47" s="28"/>
      <c r="R47" s="56">
        <f t="shared" si="3"/>
        <v>7.333333333333333</v>
      </c>
      <c r="S47" s="166" t="str">
        <f t="shared" si="4"/>
        <v>N/TRANSITA</v>
      </c>
      <c r="T47" s="59"/>
      <c r="U47" s="32"/>
      <c r="V47" s="27"/>
      <c r="W47" s="32" t="e">
        <f t="shared" si="5"/>
        <v>#DIV/0!</v>
      </c>
      <c r="X47" s="28"/>
      <c r="Y47" s="56" t="e">
        <f t="shared" si="6"/>
        <v>#DIV/0!</v>
      </c>
      <c r="Z47" s="48" t="e">
        <f t="shared" si="0"/>
        <v>#DIV/0!</v>
      </c>
      <c r="AA47" s="41" t="e">
        <f t="shared" si="7"/>
        <v>#DIV/0!</v>
      </c>
      <c r="AB47" s="32"/>
      <c r="AC47" s="51">
        <f t="shared" si="42"/>
        <v>0</v>
      </c>
      <c r="AD47" s="65" t="e">
        <f t="shared" si="43"/>
        <v>#DIV/0!</v>
      </c>
      <c r="AE47" s="162" t="e">
        <f t="shared" si="10"/>
        <v>#DIV/0!</v>
      </c>
    </row>
    <row r="48" spans="2:31" ht="15.75" customHeight="1" x14ac:dyDescent="0.3">
      <c r="B48" s="35">
        <v>39</v>
      </c>
      <c r="C48" s="197" t="s">
        <v>135</v>
      </c>
      <c r="D48" s="45"/>
      <c r="E48" s="38"/>
      <c r="F48" s="32">
        <v>18</v>
      </c>
      <c r="G48" s="32">
        <v>18</v>
      </c>
      <c r="H48" s="27"/>
      <c r="I48" s="32">
        <v>18</v>
      </c>
      <c r="J48" s="28"/>
      <c r="K48" s="56">
        <f t="shared" si="1"/>
        <v>18</v>
      </c>
      <c r="L48" s="166" t="str">
        <f t="shared" si="2"/>
        <v>TRANSITA</v>
      </c>
      <c r="M48" s="32">
        <v>16</v>
      </c>
      <c r="N48" s="32">
        <v>17</v>
      </c>
      <c r="O48" s="27"/>
      <c r="P48" s="32">
        <v>17</v>
      </c>
      <c r="Q48" s="28"/>
      <c r="R48" s="56">
        <f t="shared" si="3"/>
        <v>16.666666666666668</v>
      </c>
      <c r="S48" s="166" t="str">
        <f t="shared" si="4"/>
        <v>TRANSITA</v>
      </c>
      <c r="T48" s="59"/>
      <c r="U48" s="32"/>
      <c r="V48" s="27"/>
      <c r="W48" s="32" t="e">
        <f t="shared" si="5"/>
        <v>#DIV/0!</v>
      </c>
      <c r="X48" s="28"/>
      <c r="Y48" s="56" t="e">
        <f t="shared" si="6"/>
        <v>#DIV/0!</v>
      </c>
      <c r="Z48" s="48" t="e">
        <f t="shared" si="0"/>
        <v>#DIV/0!</v>
      </c>
      <c r="AA48" s="41" t="e">
        <f t="shared" si="7"/>
        <v>#DIV/0!</v>
      </c>
      <c r="AB48" s="32"/>
      <c r="AC48" s="51">
        <f t="shared" si="42"/>
        <v>0</v>
      </c>
      <c r="AD48" s="65" t="e">
        <f t="shared" si="43"/>
        <v>#DIV/0!</v>
      </c>
      <c r="AE48" s="162" t="e">
        <f t="shared" si="10"/>
        <v>#DIV/0!</v>
      </c>
    </row>
    <row r="49" spans="1:31" ht="15.75" customHeight="1" x14ac:dyDescent="0.3">
      <c r="B49" s="35">
        <v>40</v>
      </c>
      <c r="C49" s="197" t="s">
        <v>136</v>
      </c>
      <c r="D49" s="45">
        <v>0</v>
      </c>
      <c r="E49" s="38"/>
      <c r="F49" s="32">
        <v>18</v>
      </c>
      <c r="G49" s="32">
        <v>16</v>
      </c>
      <c r="H49" s="27"/>
      <c r="I49" s="32">
        <v>19</v>
      </c>
      <c r="J49" s="28"/>
      <c r="K49" s="56">
        <f t="shared" si="1"/>
        <v>17.666666666666668</v>
      </c>
      <c r="L49" s="166" t="str">
        <f t="shared" si="2"/>
        <v>TRANSITA</v>
      </c>
      <c r="M49" s="32">
        <v>20</v>
      </c>
      <c r="N49" s="32">
        <v>17.5</v>
      </c>
      <c r="O49" s="27"/>
      <c r="P49" s="32">
        <v>17.5</v>
      </c>
      <c r="Q49" s="28"/>
      <c r="R49" s="56">
        <f t="shared" si="3"/>
        <v>18.333333333333332</v>
      </c>
      <c r="S49" s="166" t="str">
        <f t="shared" si="4"/>
        <v>TRANSITA</v>
      </c>
      <c r="T49" s="59"/>
      <c r="U49" s="32"/>
      <c r="V49" s="27"/>
      <c r="W49" s="32" t="e">
        <f t="shared" si="5"/>
        <v>#DIV/0!</v>
      </c>
      <c r="X49" s="28"/>
      <c r="Y49" s="56" t="e">
        <f t="shared" si="6"/>
        <v>#DIV/0!</v>
      </c>
      <c r="Z49" s="48" t="e">
        <f t="shared" si="0"/>
        <v>#DIV/0!</v>
      </c>
      <c r="AA49" s="41" t="e">
        <f t="shared" si="7"/>
        <v>#DIV/0!</v>
      </c>
      <c r="AB49" s="32"/>
      <c r="AC49" s="51">
        <f t="shared" ref="AC49:AC50" si="44">AB49*0.6</f>
        <v>0</v>
      </c>
      <c r="AD49" s="65" t="e">
        <f t="shared" ref="AD49:AD50" si="45">AVERAGE(AA49+AC49)</f>
        <v>#DIV/0!</v>
      </c>
      <c r="AE49" s="162" t="e">
        <f t="shared" si="10"/>
        <v>#DIV/0!</v>
      </c>
    </row>
    <row r="50" spans="1:31" ht="15.75" customHeight="1" x14ac:dyDescent="0.3">
      <c r="B50" s="35">
        <v>41</v>
      </c>
      <c r="C50" s="197" t="s">
        <v>137</v>
      </c>
      <c r="D50" s="45"/>
      <c r="E50" s="38"/>
      <c r="F50" s="32">
        <v>16</v>
      </c>
      <c r="G50" s="32">
        <v>16</v>
      </c>
      <c r="H50" s="27"/>
      <c r="I50" s="32">
        <v>16</v>
      </c>
      <c r="J50" s="28"/>
      <c r="K50" s="56">
        <f t="shared" si="1"/>
        <v>16</v>
      </c>
      <c r="L50" s="166" t="str">
        <f t="shared" si="2"/>
        <v>TRANSITA</v>
      </c>
      <c r="M50" s="32">
        <v>18</v>
      </c>
      <c r="N50" s="32">
        <v>14.5</v>
      </c>
      <c r="O50" s="27"/>
      <c r="P50" s="32">
        <v>14.5</v>
      </c>
      <c r="Q50" s="28"/>
      <c r="R50" s="56">
        <f t="shared" si="3"/>
        <v>15.666666666666666</v>
      </c>
      <c r="S50" s="166" t="str">
        <f t="shared" si="4"/>
        <v>TRANSITA</v>
      </c>
      <c r="T50" s="59"/>
      <c r="U50" s="32"/>
      <c r="V50" s="27"/>
      <c r="W50" s="32" t="e">
        <f t="shared" si="5"/>
        <v>#DIV/0!</v>
      </c>
      <c r="X50" s="28"/>
      <c r="Y50" s="56" t="e">
        <f t="shared" si="6"/>
        <v>#DIV/0!</v>
      </c>
      <c r="Z50" s="48" t="e">
        <f t="shared" si="0"/>
        <v>#DIV/0!</v>
      </c>
      <c r="AA50" s="41" t="e">
        <f t="shared" si="7"/>
        <v>#DIV/0!</v>
      </c>
      <c r="AB50" s="32"/>
      <c r="AC50" s="51">
        <f t="shared" si="44"/>
        <v>0</v>
      </c>
      <c r="AD50" s="65" t="e">
        <f t="shared" si="45"/>
        <v>#DIV/0!</v>
      </c>
      <c r="AE50" s="162" t="e">
        <f t="shared" si="10"/>
        <v>#DIV/0!</v>
      </c>
    </row>
    <row r="51" spans="1:31" ht="15.75" customHeight="1" thickBot="1" x14ac:dyDescent="0.35">
      <c r="B51" s="35">
        <v>42</v>
      </c>
      <c r="C51" s="198" t="s">
        <v>138</v>
      </c>
      <c r="D51" s="46"/>
      <c r="E51" s="39"/>
      <c r="F51" s="137">
        <v>18</v>
      </c>
      <c r="G51" s="137">
        <v>12</v>
      </c>
      <c r="H51" s="29"/>
      <c r="I51" s="137">
        <v>10</v>
      </c>
      <c r="J51" s="30"/>
      <c r="K51" s="57">
        <f t="shared" si="1"/>
        <v>13.333333333333334</v>
      </c>
      <c r="L51" s="167" t="str">
        <f t="shared" si="2"/>
        <v>TRANSITA</v>
      </c>
      <c r="M51" s="137">
        <v>14</v>
      </c>
      <c r="N51" s="137">
        <v>16.5</v>
      </c>
      <c r="O51" s="29"/>
      <c r="P51" s="137">
        <v>16.5</v>
      </c>
      <c r="Q51" s="30"/>
      <c r="R51" s="57">
        <f t="shared" si="3"/>
        <v>15.666666666666666</v>
      </c>
      <c r="S51" s="167" t="str">
        <f t="shared" si="4"/>
        <v>TRANSITA</v>
      </c>
      <c r="T51" s="60"/>
      <c r="U51" s="137"/>
      <c r="V51" s="29"/>
      <c r="W51" s="137" t="e">
        <f t="shared" si="5"/>
        <v>#DIV/0!</v>
      </c>
      <c r="X51" s="30"/>
      <c r="Y51" s="57" t="e">
        <f t="shared" si="6"/>
        <v>#DIV/0!</v>
      </c>
      <c r="Z51" s="49" t="e">
        <f t="shared" si="0"/>
        <v>#DIV/0!</v>
      </c>
      <c r="AA51" s="42" t="e">
        <f t="shared" si="7"/>
        <v>#DIV/0!</v>
      </c>
      <c r="AB51" s="137"/>
      <c r="AC51" s="52">
        <f t="shared" si="42"/>
        <v>0</v>
      </c>
      <c r="AD51" s="66" t="e">
        <f t="shared" si="43"/>
        <v>#DIV/0!</v>
      </c>
      <c r="AE51" s="164" t="e">
        <f t="shared" si="10"/>
        <v>#DIV/0!</v>
      </c>
    </row>
    <row r="52" spans="1:31" ht="12" customHeight="1" thickTop="1" x14ac:dyDescent="0.3">
      <c r="B52" s="3"/>
      <c r="C52" s="4"/>
      <c r="D52" s="4"/>
      <c r="E52" s="4"/>
      <c r="F52" s="5"/>
      <c r="G52" s="5"/>
      <c r="H52" s="5"/>
      <c r="I52" s="6"/>
      <c r="J52" s="6"/>
      <c r="K52" s="7"/>
      <c r="L52" s="7"/>
      <c r="M52" s="8"/>
      <c r="N52" s="8"/>
      <c r="O52" s="8"/>
      <c r="P52" s="8"/>
      <c r="Q52" s="8"/>
      <c r="R52" s="7"/>
      <c r="S52" s="7"/>
      <c r="T52" s="9"/>
      <c r="U52" s="9"/>
      <c r="V52" s="9"/>
      <c r="W52" s="10"/>
      <c r="X52" s="10"/>
      <c r="Y52" s="7"/>
      <c r="Z52" s="11"/>
      <c r="AA52" s="12"/>
      <c r="AB52" s="13"/>
      <c r="AC52" s="12"/>
      <c r="AD52" s="12"/>
      <c r="AE52" s="14"/>
    </row>
    <row r="53" spans="1:31" ht="16.5" customHeight="1" x14ac:dyDescent="0.3">
      <c r="A53" s="284" t="s">
        <v>140</v>
      </c>
      <c r="B53" s="284"/>
      <c r="C53" s="284"/>
      <c r="D53" s="284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  <c r="AA53" s="284"/>
      <c r="AB53" s="284"/>
      <c r="AC53" s="284"/>
      <c r="AD53" s="284"/>
      <c r="AE53" s="284"/>
    </row>
    <row r="54" spans="1:31" ht="16.5" customHeight="1" x14ac:dyDescent="0.3">
      <c r="A54" s="21"/>
      <c r="B54" s="21"/>
      <c r="C54" s="21"/>
      <c r="D54" s="21"/>
      <c r="E54" s="21"/>
      <c r="F54" s="21"/>
      <c r="G54" s="21"/>
      <c r="H54" s="25"/>
      <c r="I54" s="21"/>
      <c r="J54" s="25"/>
      <c r="K54" s="21"/>
      <c r="L54" s="21"/>
      <c r="M54" s="21"/>
      <c r="N54" s="21"/>
      <c r="O54" s="25"/>
      <c r="P54" s="21"/>
      <c r="Q54" s="25"/>
      <c r="R54" s="21"/>
      <c r="S54" s="21"/>
      <c r="T54" s="21"/>
      <c r="U54" s="21"/>
      <c r="V54" s="25"/>
      <c r="W54" s="21"/>
      <c r="X54" s="25"/>
      <c r="Y54" s="21"/>
      <c r="Z54" s="21"/>
      <c r="AA54" s="21"/>
      <c r="AB54" s="21"/>
      <c r="AC54" s="21"/>
      <c r="AD54" s="21"/>
      <c r="AE54" s="21"/>
    </row>
    <row r="55" spans="1:31" ht="20.25" customHeight="1" x14ac:dyDescent="0.35">
      <c r="A55" s="309" t="s">
        <v>41</v>
      </c>
      <c r="B55" s="309"/>
      <c r="C55" s="309"/>
      <c r="D55" s="309"/>
      <c r="E55" s="309"/>
      <c r="F55" s="309"/>
      <c r="G55" s="19"/>
      <c r="H55" s="23"/>
      <c r="I55" s="20"/>
      <c r="J55" s="20"/>
      <c r="K55" s="20"/>
      <c r="L55" s="20"/>
      <c r="M55" s="20"/>
      <c r="N55" s="20"/>
      <c r="O55" s="20"/>
      <c r="P55" s="20"/>
      <c r="Q55" s="20"/>
      <c r="R55" s="309" t="s">
        <v>10</v>
      </c>
      <c r="S55" s="309"/>
      <c r="T55" s="309"/>
      <c r="U55" s="309"/>
      <c r="V55" s="309"/>
      <c r="W55" s="309"/>
      <c r="X55" s="309"/>
      <c r="Y55" s="309"/>
      <c r="Z55" s="309"/>
      <c r="AA55" s="309"/>
      <c r="AB55" s="309"/>
      <c r="AC55" s="309"/>
      <c r="AD55" s="309"/>
      <c r="AE55" s="309"/>
    </row>
    <row r="56" spans="1:31" ht="20.399999999999999" x14ac:dyDescent="0.35">
      <c r="A56" s="20"/>
      <c r="B56" s="309" t="s">
        <v>11</v>
      </c>
      <c r="C56" s="309"/>
      <c r="D56" s="309"/>
      <c r="E56" s="309"/>
      <c r="F56" s="309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309"/>
      <c r="S56" s="309"/>
      <c r="T56" s="309"/>
      <c r="U56" s="309"/>
      <c r="V56" s="309"/>
      <c r="W56" s="309"/>
      <c r="X56" s="309"/>
      <c r="Y56" s="309"/>
      <c r="Z56" s="309"/>
      <c r="AA56" s="19"/>
      <c r="AB56" s="19"/>
      <c r="AC56" s="19"/>
      <c r="AD56" s="19"/>
      <c r="AE56" s="20"/>
    </row>
    <row r="57" spans="1:31" ht="21.6" x14ac:dyDescent="0.4">
      <c r="A57" s="20"/>
      <c r="B57" s="310"/>
      <c r="C57" s="310"/>
      <c r="D57" s="310"/>
      <c r="E57" s="310"/>
      <c r="F57" s="31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310" t="s">
        <v>12</v>
      </c>
      <c r="S57" s="310"/>
      <c r="T57" s="310"/>
      <c r="U57" s="310"/>
      <c r="V57" s="310"/>
      <c r="W57" s="310"/>
      <c r="X57" s="310"/>
      <c r="Y57" s="310"/>
      <c r="Z57" s="310"/>
      <c r="AA57" s="310"/>
      <c r="AB57" s="310"/>
      <c r="AC57" s="310"/>
      <c r="AD57" s="310"/>
      <c r="AE57" s="310"/>
    </row>
  </sheetData>
  <mergeCells count="28">
    <mergeCell ref="B7:AE7"/>
    <mergeCell ref="A1:AE1"/>
    <mergeCell ref="B4:C4"/>
    <mergeCell ref="Y4:AE4"/>
    <mergeCell ref="B6:C6"/>
    <mergeCell ref="Y6:AE6"/>
    <mergeCell ref="L3:S3"/>
    <mergeCell ref="C8:C9"/>
    <mergeCell ref="D8:E8"/>
    <mergeCell ref="F8:K8"/>
    <mergeCell ref="M8:R8"/>
    <mergeCell ref="L8:L9"/>
    <mergeCell ref="S8:S9"/>
    <mergeCell ref="B56:F56"/>
    <mergeCell ref="R56:Z56"/>
    <mergeCell ref="B57:F57"/>
    <mergeCell ref="R57:AE57"/>
    <mergeCell ref="A53:AE53"/>
    <mergeCell ref="AD8:AD9"/>
    <mergeCell ref="AE8:AE9"/>
    <mergeCell ref="A55:F55"/>
    <mergeCell ref="R55:AE55"/>
    <mergeCell ref="T8:Y8"/>
    <mergeCell ref="Z8:Z9"/>
    <mergeCell ref="AA8:AA9"/>
    <mergeCell ref="AB8:AB9"/>
    <mergeCell ref="AC8:AC9"/>
    <mergeCell ref="B8:B9"/>
  </mergeCells>
  <conditionalFormatting sqref="K52:L52 R52:Y52 T45:T51 Q10:Q51 U10:X51 AB10:AB51">
    <cfRule type="cellIs" dxfId="565" priority="793" stopIfTrue="1" operator="lessThan">
      <formula>10</formula>
    </cfRule>
    <cfRule type="cellIs" dxfId="564" priority="794" stopIfTrue="1" operator="greaterThan">
      <formula>9</formula>
    </cfRule>
  </conditionalFormatting>
  <conditionalFormatting sqref="K52:L52 R52:Y52 T45:T51 Q10:Q51 U10:X51 AB10:AB51">
    <cfRule type="cellIs" dxfId="563" priority="791" stopIfTrue="1" operator="lessThan">
      <formula>10</formula>
    </cfRule>
    <cfRule type="cellIs" dxfId="562" priority="792" stopIfTrue="1" operator="greaterThan">
      <formula>9</formula>
    </cfRule>
  </conditionalFormatting>
  <conditionalFormatting sqref="Z52:AD52 AC10:AD51 Z10:AA51">
    <cfRule type="cellIs" dxfId="561" priority="789" stopIfTrue="1" operator="greaterThan">
      <formula>9.5</formula>
    </cfRule>
    <cfRule type="cellIs" dxfId="560" priority="790" stopIfTrue="1" operator="lessThanOrEqual">
      <formula>9.5</formula>
    </cfRule>
  </conditionalFormatting>
  <conditionalFormatting sqref="F52:J52">
    <cfRule type="cellIs" dxfId="559" priority="787" stopIfTrue="1" operator="lessThan">
      <formula>10</formula>
    </cfRule>
    <cfRule type="cellIs" dxfId="558" priority="788" stopIfTrue="1" operator="greaterThan">
      <formula>9</formula>
    </cfRule>
  </conditionalFormatting>
  <conditionalFormatting sqref="F52:J52">
    <cfRule type="cellIs" dxfId="557" priority="785" stopIfTrue="1" operator="lessThan">
      <formula>10</formula>
    </cfRule>
    <cfRule type="cellIs" dxfId="556" priority="786" stopIfTrue="1" operator="greaterThan">
      <formula>9</formula>
    </cfRule>
  </conditionalFormatting>
  <conditionalFormatting sqref="M52:Q52 T52:X52 T45:T51 Q10:Q51 U10:X51 AB10:AB51">
    <cfRule type="cellIs" dxfId="555" priority="781" stopIfTrue="1" operator="lessThan">
      <formula>10</formula>
    </cfRule>
    <cfRule type="cellIs" dxfId="554" priority="782" stopIfTrue="1" operator="greaterThan">
      <formula>9</formula>
    </cfRule>
    <cfRule type="cellIs" dxfId="553" priority="783" stopIfTrue="1" operator="lessThan">
      <formula>10</formula>
    </cfRule>
    <cfRule type="cellIs" dxfId="552" priority="784" stopIfTrue="1" operator="greaterThan">
      <formula>9</formula>
    </cfRule>
  </conditionalFormatting>
  <conditionalFormatting sqref="AB52">
    <cfRule type="cellIs" dxfId="551" priority="779" stopIfTrue="1" operator="greaterThan">
      <formula>9.5</formula>
    </cfRule>
    <cfRule type="cellIs" dxfId="550" priority="780" stopIfTrue="1" operator="lessThanOrEqual">
      <formula>9.5</formula>
    </cfRule>
  </conditionalFormatting>
  <conditionalFormatting sqref="R10:R51 Y10:Y51">
    <cfRule type="cellIs" dxfId="549" priority="291" stopIfTrue="1" operator="lessThan">
      <formula>10</formula>
    </cfRule>
    <cfRule type="cellIs" dxfId="548" priority="292" stopIfTrue="1" operator="greaterThanOrEqual">
      <formula>10</formula>
    </cfRule>
  </conditionalFormatting>
  <conditionalFormatting sqref="T24:T39">
    <cfRule type="cellIs" dxfId="547" priority="147" stopIfTrue="1" operator="lessThan">
      <formula>10</formula>
    </cfRule>
    <cfRule type="cellIs" dxfId="546" priority="148" stopIfTrue="1" operator="greaterThan">
      <formula>9</formula>
    </cfRule>
  </conditionalFormatting>
  <conditionalFormatting sqref="T24:T39">
    <cfRule type="cellIs" dxfId="545" priority="145" stopIfTrue="1" operator="lessThan">
      <formula>10</formula>
    </cfRule>
    <cfRule type="cellIs" dxfId="544" priority="146" stopIfTrue="1" operator="greaterThan">
      <formula>9</formula>
    </cfRule>
  </conditionalFormatting>
  <conditionalFormatting sqref="T24:T39">
    <cfRule type="cellIs" dxfId="543" priority="141" stopIfTrue="1" operator="lessThan">
      <formula>10</formula>
    </cfRule>
    <cfRule type="cellIs" dxfId="542" priority="142" stopIfTrue="1" operator="greaterThan">
      <formula>9</formula>
    </cfRule>
    <cfRule type="cellIs" dxfId="541" priority="143" stopIfTrue="1" operator="lessThan">
      <formula>10</formula>
    </cfRule>
    <cfRule type="cellIs" dxfId="540" priority="144" stopIfTrue="1" operator="greaterThan">
      <formula>9</formula>
    </cfRule>
  </conditionalFormatting>
  <conditionalFormatting sqref="T10:T12">
    <cfRule type="cellIs" dxfId="539" priority="139" stopIfTrue="1" operator="lessThan">
      <formula>10</formula>
    </cfRule>
    <cfRule type="cellIs" dxfId="538" priority="140" stopIfTrue="1" operator="greaterThan">
      <formula>9</formula>
    </cfRule>
  </conditionalFormatting>
  <conditionalFormatting sqref="T10:T12">
    <cfRule type="cellIs" dxfId="537" priority="137" stopIfTrue="1" operator="lessThan">
      <formula>10</formula>
    </cfRule>
    <cfRule type="cellIs" dxfId="536" priority="138" stopIfTrue="1" operator="greaterThan">
      <formula>9</formula>
    </cfRule>
  </conditionalFormatting>
  <conditionalFormatting sqref="T10:T12">
    <cfRule type="cellIs" dxfId="535" priority="133" stopIfTrue="1" operator="lessThan">
      <formula>10</formula>
    </cfRule>
    <cfRule type="cellIs" dxfId="534" priority="134" stopIfTrue="1" operator="greaterThan">
      <formula>9</formula>
    </cfRule>
    <cfRule type="cellIs" dxfId="533" priority="135" stopIfTrue="1" operator="lessThan">
      <formula>10</formula>
    </cfRule>
    <cfRule type="cellIs" dxfId="532" priority="136" stopIfTrue="1" operator="greaterThan">
      <formula>9</formula>
    </cfRule>
  </conditionalFormatting>
  <conditionalFormatting sqref="T13:T15">
    <cfRule type="cellIs" dxfId="531" priority="131" stopIfTrue="1" operator="lessThan">
      <formula>10</formula>
    </cfRule>
    <cfRule type="cellIs" dxfId="530" priority="132" stopIfTrue="1" operator="greaterThan">
      <formula>9</formula>
    </cfRule>
  </conditionalFormatting>
  <conditionalFormatting sqref="T13:T15">
    <cfRule type="cellIs" dxfId="529" priority="129" stopIfTrue="1" operator="lessThan">
      <formula>10</formula>
    </cfRule>
    <cfRule type="cellIs" dxfId="528" priority="130" stopIfTrue="1" operator="greaterThan">
      <formula>9</formula>
    </cfRule>
  </conditionalFormatting>
  <conditionalFormatting sqref="T13:T15">
    <cfRule type="cellIs" dxfId="527" priority="125" stopIfTrue="1" operator="lessThan">
      <formula>10</formula>
    </cfRule>
    <cfRule type="cellIs" dxfId="526" priority="126" stopIfTrue="1" operator="greaterThan">
      <formula>9</formula>
    </cfRule>
    <cfRule type="cellIs" dxfId="525" priority="127" stopIfTrue="1" operator="lessThan">
      <formula>10</formula>
    </cfRule>
    <cfRule type="cellIs" dxfId="524" priority="128" stopIfTrue="1" operator="greaterThan">
      <formula>9</formula>
    </cfRule>
  </conditionalFormatting>
  <conditionalFormatting sqref="T16:T19">
    <cfRule type="cellIs" dxfId="523" priority="123" stopIfTrue="1" operator="lessThan">
      <formula>10</formula>
    </cfRule>
    <cfRule type="cellIs" dxfId="522" priority="124" stopIfTrue="1" operator="greaterThan">
      <formula>9</formula>
    </cfRule>
  </conditionalFormatting>
  <conditionalFormatting sqref="T16:T19">
    <cfRule type="cellIs" dxfId="521" priority="121" stopIfTrue="1" operator="lessThan">
      <formula>10</formula>
    </cfRule>
    <cfRule type="cellIs" dxfId="520" priority="122" stopIfTrue="1" operator="greaterThan">
      <formula>9</formula>
    </cfRule>
  </conditionalFormatting>
  <conditionalFormatting sqref="T16:T19">
    <cfRule type="cellIs" dxfId="519" priority="117" stopIfTrue="1" operator="lessThan">
      <formula>10</formula>
    </cfRule>
    <cfRule type="cellIs" dxfId="518" priority="118" stopIfTrue="1" operator="greaterThan">
      <formula>9</formula>
    </cfRule>
    <cfRule type="cellIs" dxfId="517" priority="119" stopIfTrue="1" operator="lessThan">
      <formula>10</formula>
    </cfRule>
    <cfRule type="cellIs" dxfId="516" priority="120" stopIfTrue="1" operator="greaterThan">
      <formula>9</formula>
    </cfRule>
  </conditionalFormatting>
  <conditionalFormatting sqref="T20:T23">
    <cfRule type="cellIs" dxfId="515" priority="115" stopIfTrue="1" operator="lessThan">
      <formula>10</formula>
    </cfRule>
    <cfRule type="cellIs" dxfId="514" priority="116" stopIfTrue="1" operator="greaterThan">
      <formula>9</formula>
    </cfRule>
  </conditionalFormatting>
  <conditionalFormatting sqref="T20:T23">
    <cfRule type="cellIs" dxfId="513" priority="113" stopIfTrue="1" operator="lessThan">
      <formula>10</formula>
    </cfRule>
    <cfRule type="cellIs" dxfId="512" priority="114" stopIfTrue="1" operator="greaterThan">
      <formula>9</formula>
    </cfRule>
  </conditionalFormatting>
  <conditionalFormatting sqref="T20:T23">
    <cfRule type="cellIs" dxfId="511" priority="109" stopIfTrue="1" operator="lessThan">
      <formula>10</formula>
    </cfRule>
    <cfRule type="cellIs" dxfId="510" priority="110" stopIfTrue="1" operator="greaterThan">
      <formula>9</formula>
    </cfRule>
    <cfRule type="cellIs" dxfId="509" priority="111" stopIfTrue="1" operator="lessThan">
      <formula>10</formula>
    </cfRule>
    <cfRule type="cellIs" dxfId="508" priority="112" stopIfTrue="1" operator="greaterThan">
      <formula>9</formula>
    </cfRule>
  </conditionalFormatting>
  <conditionalFormatting sqref="T40:T44">
    <cfRule type="cellIs" dxfId="507" priority="107" stopIfTrue="1" operator="lessThan">
      <formula>10</formula>
    </cfRule>
    <cfRule type="cellIs" dxfId="506" priority="108" stopIfTrue="1" operator="greaterThan">
      <formula>9</formula>
    </cfRule>
  </conditionalFormatting>
  <conditionalFormatting sqref="T40:T44">
    <cfRule type="cellIs" dxfId="505" priority="105" stopIfTrue="1" operator="lessThan">
      <formula>10</formula>
    </cfRule>
    <cfRule type="cellIs" dxfId="504" priority="106" stopIfTrue="1" operator="greaterThan">
      <formula>9</formula>
    </cfRule>
  </conditionalFormatting>
  <conditionalFormatting sqref="T40:T44">
    <cfRule type="cellIs" dxfId="503" priority="101" stopIfTrue="1" operator="lessThan">
      <formula>10</formula>
    </cfRule>
    <cfRule type="cellIs" dxfId="502" priority="102" stopIfTrue="1" operator="greaterThan">
      <formula>9</formula>
    </cfRule>
    <cfRule type="cellIs" dxfId="501" priority="103" stopIfTrue="1" operator="lessThan">
      <formula>10</formula>
    </cfRule>
    <cfRule type="cellIs" dxfId="500" priority="104" stopIfTrue="1" operator="greaterThan">
      <formula>9</formula>
    </cfRule>
  </conditionalFormatting>
  <conditionalFormatting sqref="J10:J50 F51:J51 N10:P51">
    <cfRule type="cellIs" dxfId="499" priority="51" stopIfTrue="1" operator="lessThan">
      <formula>10</formula>
    </cfRule>
    <cfRule type="cellIs" dxfId="498" priority="52" stopIfTrue="1" operator="greaterThan">
      <formula>9</formula>
    </cfRule>
  </conditionalFormatting>
  <conditionalFormatting sqref="J10:J50 F51:J51 N10:P51">
    <cfRule type="cellIs" dxfId="497" priority="49" stopIfTrue="1" operator="lessThan">
      <formula>10</formula>
    </cfRule>
    <cfRule type="cellIs" dxfId="496" priority="50" stopIfTrue="1" operator="greaterThan">
      <formula>9</formula>
    </cfRule>
  </conditionalFormatting>
  <conditionalFormatting sqref="J10:J50 F51:J51 N10:P51">
    <cfRule type="cellIs" dxfId="495" priority="45" stopIfTrue="1" operator="lessThan">
      <formula>10</formula>
    </cfRule>
    <cfRule type="cellIs" dxfId="494" priority="46" stopIfTrue="1" operator="greaterThan">
      <formula>9</formula>
    </cfRule>
    <cfRule type="cellIs" dxfId="493" priority="47" stopIfTrue="1" operator="lessThan">
      <formula>10</formula>
    </cfRule>
    <cfRule type="cellIs" dxfId="492" priority="48" stopIfTrue="1" operator="greaterThan">
      <formula>9</formula>
    </cfRule>
  </conditionalFormatting>
  <conditionalFormatting sqref="K10:K51">
    <cfRule type="cellIs" dxfId="491" priority="43" stopIfTrue="1" operator="lessThan">
      <formula>10</formula>
    </cfRule>
    <cfRule type="cellIs" dxfId="490" priority="44" stopIfTrue="1" operator="greaterThanOrEqual">
      <formula>10</formula>
    </cfRule>
  </conditionalFormatting>
  <conditionalFormatting sqref="M10">
    <cfRule type="cellIs" dxfId="489" priority="39" stopIfTrue="1" operator="lessThan">
      <formula>10</formula>
    </cfRule>
    <cfRule type="cellIs" dxfId="488" priority="40" stopIfTrue="1" operator="greaterThan">
      <formula>9</formula>
    </cfRule>
  </conditionalFormatting>
  <conditionalFormatting sqref="M10">
    <cfRule type="cellIs" dxfId="487" priority="37" stopIfTrue="1" operator="lessThan">
      <formula>10</formula>
    </cfRule>
    <cfRule type="cellIs" dxfId="486" priority="38" stopIfTrue="1" operator="greaterThan">
      <formula>9</formula>
    </cfRule>
  </conditionalFormatting>
  <conditionalFormatting sqref="M10">
    <cfRule type="cellIs" dxfId="485" priority="33" stopIfTrue="1" operator="lessThan">
      <formula>10</formula>
    </cfRule>
    <cfRule type="cellIs" dxfId="484" priority="34" stopIfTrue="1" operator="greaterThan">
      <formula>9</formula>
    </cfRule>
    <cfRule type="cellIs" dxfId="483" priority="35" stopIfTrue="1" operator="lessThan">
      <formula>10</formula>
    </cfRule>
    <cfRule type="cellIs" dxfId="482" priority="36" stopIfTrue="1" operator="greaterThan">
      <formula>9</formula>
    </cfRule>
  </conditionalFormatting>
  <conditionalFormatting sqref="H10:I50">
    <cfRule type="cellIs" dxfId="481" priority="31" stopIfTrue="1" operator="lessThan">
      <formula>10</formula>
    </cfRule>
    <cfRule type="cellIs" dxfId="480" priority="32" stopIfTrue="1" operator="greaterThan">
      <formula>9</formula>
    </cfRule>
  </conditionalFormatting>
  <conditionalFormatting sqref="H10:I50">
    <cfRule type="cellIs" dxfId="479" priority="29" stopIfTrue="1" operator="lessThan">
      <formula>10</formula>
    </cfRule>
    <cfRule type="cellIs" dxfId="478" priority="30" stopIfTrue="1" operator="greaterThan">
      <formula>9</formula>
    </cfRule>
  </conditionalFormatting>
  <conditionalFormatting sqref="H10:I50">
    <cfRule type="cellIs" dxfId="477" priority="25" stopIfTrue="1" operator="lessThan">
      <formula>10</formula>
    </cfRule>
    <cfRule type="cellIs" dxfId="476" priority="26" stopIfTrue="1" operator="greaterThan">
      <formula>9</formula>
    </cfRule>
    <cfRule type="cellIs" dxfId="475" priority="27" stopIfTrue="1" operator="lessThan">
      <formula>10</formula>
    </cfRule>
    <cfRule type="cellIs" dxfId="474" priority="28" stopIfTrue="1" operator="greaterThan">
      <formula>9</formula>
    </cfRule>
  </conditionalFormatting>
  <conditionalFormatting sqref="F10:G50">
    <cfRule type="cellIs" dxfId="473" priority="23" stopIfTrue="1" operator="lessThan">
      <formula>10</formula>
    </cfRule>
    <cfRule type="cellIs" dxfId="472" priority="24" stopIfTrue="1" operator="greaterThan">
      <formula>9</formula>
    </cfRule>
  </conditionalFormatting>
  <conditionalFormatting sqref="F10:G50">
    <cfRule type="cellIs" dxfId="471" priority="21" stopIfTrue="1" operator="lessThan">
      <formula>10</formula>
    </cfRule>
    <cfRule type="cellIs" dxfId="470" priority="22" stopIfTrue="1" operator="greaterThan">
      <formula>9</formula>
    </cfRule>
  </conditionalFormatting>
  <conditionalFormatting sqref="F10:G50">
    <cfRule type="cellIs" dxfId="469" priority="17" stopIfTrue="1" operator="lessThan">
      <formula>10</formula>
    </cfRule>
    <cfRule type="cellIs" dxfId="468" priority="18" stopIfTrue="1" operator="greaterThan">
      <formula>9</formula>
    </cfRule>
    <cfRule type="cellIs" dxfId="467" priority="19" stopIfTrue="1" operator="lessThan">
      <formula>10</formula>
    </cfRule>
    <cfRule type="cellIs" dxfId="466" priority="20" stopIfTrue="1" operator="greaterThan">
      <formula>9</formula>
    </cfRule>
  </conditionalFormatting>
  <conditionalFormatting sqref="M51">
    <cfRule type="cellIs" dxfId="465" priority="15" stopIfTrue="1" operator="lessThan">
      <formula>10</formula>
    </cfRule>
    <cfRule type="cellIs" dxfId="464" priority="16" stopIfTrue="1" operator="greaterThan">
      <formula>9</formula>
    </cfRule>
  </conditionalFormatting>
  <conditionalFormatting sqref="M51">
    <cfRule type="cellIs" dxfId="463" priority="13" stopIfTrue="1" operator="lessThan">
      <formula>10</formula>
    </cfRule>
    <cfRule type="cellIs" dxfId="462" priority="14" stopIfTrue="1" operator="greaterThan">
      <formula>9</formula>
    </cfRule>
  </conditionalFormatting>
  <conditionalFormatting sqref="M51">
    <cfRule type="cellIs" dxfId="461" priority="9" stopIfTrue="1" operator="lessThan">
      <formula>10</formula>
    </cfRule>
    <cfRule type="cellIs" dxfId="460" priority="10" stopIfTrue="1" operator="greaterThan">
      <formula>9</formula>
    </cfRule>
    <cfRule type="cellIs" dxfId="459" priority="11" stopIfTrue="1" operator="lessThan">
      <formula>10</formula>
    </cfRule>
    <cfRule type="cellIs" dxfId="458" priority="12" stopIfTrue="1" operator="greaterThan">
      <formula>9</formula>
    </cfRule>
  </conditionalFormatting>
  <conditionalFormatting sqref="M11:M50">
    <cfRule type="cellIs" dxfId="457" priority="7" stopIfTrue="1" operator="lessThan">
      <formula>10</formula>
    </cfRule>
    <cfRule type="cellIs" dxfId="456" priority="8" stopIfTrue="1" operator="greaterThan">
      <formula>9</formula>
    </cfRule>
  </conditionalFormatting>
  <conditionalFormatting sqref="M11:M50">
    <cfRule type="cellIs" dxfId="455" priority="5" stopIfTrue="1" operator="lessThan">
      <formula>10</formula>
    </cfRule>
    <cfRule type="cellIs" dxfId="454" priority="6" stopIfTrue="1" operator="greaterThan">
      <formula>9</formula>
    </cfRule>
  </conditionalFormatting>
  <conditionalFormatting sqref="M11:M50">
    <cfRule type="cellIs" dxfId="453" priority="1" stopIfTrue="1" operator="lessThan">
      <formula>10</formula>
    </cfRule>
    <cfRule type="cellIs" dxfId="452" priority="2" stopIfTrue="1" operator="greaterThan">
      <formula>9</formula>
    </cfRule>
    <cfRule type="cellIs" dxfId="451" priority="3" stopIfTrue="1" operator="lessThan">
      <formula>10</formula>
    </cfRule>
    <cfRule type="cellIs" dxfId="450" priority="4" stopIfTrue="1" operator="greaterThan">
      <formula>9</formula>
    </cfRule>
  </conditionalFormatting>
  <dataValidations count="1">
    <dataValidation type="decimal" allowBlank="1" showInputMessage="1" showErrorMessage="1" errorTitle="ATENÇÃO!" error="O valor introduzido não é válido. Grato!" sqref="M10:Q51 AB10:AB51 T10:U51 F10:J51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86" orientation="portrait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79" stopIfTrue="1" operator="containsText" id="{F907BD8B-CD56-4932-9EF4-95C05BF9C483}">
            <xm:f>NOT(ISERROR(SEARCH("APROVADO/A",AE10)))</xm:f>
            <xm:f>"APROVADO/A"</xm:f>
            <x14:dxf>
              <font>
                <b/>
                <i val="0"/>
                <color rgb="FF0000FF"/>
              </font>
            </x14:dxf>
          </x14:cfRule>
          <x14:cfRule type="containsText" priority="480" stopIfTrue="1" operator="containsText" id="{DFBFAA86-112A-4B81-B97E-D6F8D5388AA4}">
            <xm:f>NOT(ISERROR(SEARCH("REPROVADO/A",AE10)))</xm:f>
            <xm:f>"REPROVADO/A"</xm:f>
            <x14:dxf>
              <font>
                <b/>
                <i val="0"/>
                <color rgb="FFFF0000"/>
              </font>
            </x14:dxf>
          </x14:cfRule>
          <xm:sqref>AE10:AE51</xm:sqref>
        </x14:conditionalFormatting>
        <x14:conditionalFormatting xmlns:xm="http://schemas.microsoft.com/office/excel/2006/main">
          <x14:cfRule type="containsText" priority="273" stopIfTrue="1" operator="containsText" id="{D6091232-AD16-4673-8108-5AB3B3A2A8C2}">
            <xm:f>NOT(ISERROR(SEARCH("N/TRANSITA",S10)))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74" stopIfTrue="1" operator="containsText" id="{9CBCCD7B-B901-4CCF-A24E-DF56D28F8E89}">
            <xm:f>NOT(ISERROR(SEARCH("TRANSITA",S10)))</xm:f>
            <xm:f>"TRANSITA"</xm:f>
            <x14:dxf>
              <font>
                <b/>
                <i val="0"/>
                <color rgb="FF0070C0"/>
              </font>
            </x14:dxf>
          </x14:cfRule>
          <xm:sqref>S10:S51</xm:sqref>
        </x14:conditionalFormatting>
        <x14:conditionalFormatting xmlns:xm="http://schemas.microsoft.com/office/excel/2006/main">
          <x14:cfRule type="containsText" priority="41" stopIfTrue="1" operator="containsText" id="{96BC9AD4-84E7-4A0B-8038-24ACDBC705C2}">
            <xm:f>NOT(ISERROR(SEARCH("N/TRANSITA",L10)))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42" stopIfTrue="1" operator="containsText" id="{DEFBBEB2-C67D-48A4-B48F-FE03A0622E7D}">
            <xm:f>NOT(ISERROR(SEARCH("TRANSITA",L10)))</xm:f>
            <xm:f>"TRANSITA"</xm:f>
            <x14:dxf>
              <font>
                <b/>
                <i val="0"/>
                <color rgb="FF0070C0"/>
              </font>
            </x14:dxf>
          </x14:cfRule>
          <xm:sqref>L10:L51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4">
    <tabColor rgb="FF00B050"/>
  </sheetPr>
  <dimension ref="A1:AE57"/>
  <sheetViews>
    <sheetView showGridLines="0" zoomScaleNormal="100" zoomScalePageLayoutView="85" workbookViewId="0">
      <selection activeCell="I19" sqref="I19"/>
    </sheetView>
  </sheetViews>
  <sheetFormatPr defaultRowHeight="14.4" x14ac:dyDescent="0.3"/>
  <cols>
    <col min="1" max="1" width="1.6640625" customWidth="1"/>
    <col min="2" max="2" width="3.6640625" customWidth="1"/>
    <col min="3" max="3" width="36.33203125" customWidth="1"/>
    <col min="4" max="4" width="2.6640625" customWidth="1"/>
    <col min="5" max="5" width="2.88671875" customWidth="1"/>
    <col min="6" max="11" width="4.44140625" customWidth="1"/>
    <col min="12" max="12" width="11.88671875" customWidth="1"/>
    <col min="13" max="18" width="4.44140625" customWidth="1"/>
    <col min="19" max="19" width="11.44140625" customWidth="1"/>
    <col min="20" max="25" width="4.44140625" customWidth="1"/>
    <col min="26" max="26" width="6.109375" customWidth="1"/>
    <col min="27" max="27" width="4.44140625" customWidth="1"/>
    <col min="28" max="28" width="5.88671875" customWidth="1"/>
    <col min="29" max="29" width="4.44140625" customWidth="1"/>
    <col min="30" max="30" width="6.33203125" customWidth="1"/>
    <col min="31" max="31" width="13.109375" customWidth="1"/>
    <col min="32" max="32" width="3.44140625" customWidth="1"/>
    <col min="33" max="33" width="5" customWidth="1"/>
    <col min="267" max="267" width="1.6640625" customWidth="1"/>
    <col min="268" max="268" width="3.6640625" customWidth="1"/>
    <col min="269" max="269" width="23.44140625" customWidth="1"/>
    <col min="270" max="281" width="4.44140625" customWidth="1"/>
    <col min="282" max="282" width="6.109375" customWidth="1"/>
    <col min="283" max="283" width="4.44140625" customWidth="1"/>
    <col min="284" max="284" width="7.5546875" customWidth="1"/>
    <col min="285" max="285" width="4.44140625" customWidth="1"/>
    <col min="286" max="286" width="6.33203125" customWidth="1"/>
    <col min="287" max="287" width="7.88671875" customWidth="1"/>
    <col min="288" max="288" width="3.44140625" customWidth="1"/>
    <col min="289" max="289" width="5" customWidth="1"/>
    <col min="523" max="523" width="1.6640625" customWidth="1"/>
    <col min="524" max="524" width="3.6640625" customWidth="1"/>
    <col min="525" max="525" width="23.44140625" customWidth="1"/>
    <col min="526" max="537" width="4.44140625" customWidth="1"/>
    <col min="538" max="538" width="6.109375" customWidth="1"/>
    <col min="539" max="539" width="4.44140625" customWidth="1"/>
    <col min="540" max="540" width="7.5546875" customWidth="1"/>
    <col min="541" max="541" width="4.44140625" customWidth="1"/>
    <col min="542" max="542" width="6.33203125" customWidth="1"/>
    <col min="543" max="543" width="7.88671875" customWidth="1"/>
    <col min="544" max="544" width="3.44140625" customWidth="1"/>
    <col min="545" max="545" width="5" customWidth="1"/>
    <col min="779" max="779" width="1.6640625" customWidth="1"/>
    <col min="780" max="780" width="3.6640625" customWidth="1"/>
    <col min="781" max="781" width="23.44140625" customWidth="1"/>
    <col min="782" max="793" width="4.44140625" customWidth="1"/>
    <col min="794" max="794" width="6.109375" customWidth="1"/>
    <col min="795" max="795" width="4.44140625" customWidth="1"/>
    <col min="796" max="796" width="7.5546875" customWidth="1"/>
    <col min="797" max="797" width="4.44140625" customWidth="1"/>
    <col min="798" max="798" width="6.33203125" customWidth="1"/>
    <col min="799" max="799" width="7.88671875" customWidth="1"/>
    <col min="800" max="800" width="3.44140625" customWidth="1"/>
    <col min="801" max="801" width="5" customWidth="1"/>
    <col min="1035" max="1035" width="1.6640625" customWidth="1"/>
    <col min="1036" max="1036" width="3.6640625" customWidth="1"/>
    <col min="1037" max="1037" width="23.44140625" customWidth="1"/>
    <col min="1038" max="1049" width="4.44140625" customWidth="1"/>
    <col min="1050" max="1050" width="6.109375" customWidth="1"/>
    <col min="1051" max="1051" width="4.44140625" customWidth="1"/>
    <col min="1052" max="1052" width="7.5546875" customWidth="1"/>
    <col min="1053" max="1053" width="4.44140625" customWidth="1"/>
    <col min="1054" max="1054" width="6.33203125" customWidth="1"/>
    <col min="1055" max="1055" width="7.88671875" customWidth="1"/>
    <col min="1056" max="1056" width="3.44140625" customWidth="1"/>
    <col min="1057" max="1057" width="5" customWidth="1"/>
    <col min="1291" max="1291" width="1.6640625" customWidth="1"/>
    <col min="1292" max="1292" width="3.6640625" customWidth="1"/>
    <col min="1293" max="1293" width="23.44140625" customWidth="1"/>
    <col min="1294" max="1305" width="4.44140625" customWidth="1"/>
    <col min="1306" max="1306" width="6.109375" customWidth="1"/>
    <col min="1307" max="1307" width="4.44140625" customWidth="1"/>
    <col min="1308" max="1308" width="7.5546875" customWidth="1"/>
    <col min="1309" max="1309" width="4.44140625" customWidth="1"/>
    <col min="1310" max="1310" width="6.33203125" customWidth="1"/>
    <col min="1311" max="1311" width="7.88671875" customWidth="1"/>
    <col min="1312" max="1312" width="3.44140625" customWidth="1"/>
    <col min="1313" max="1313" width="5" customWidth="1"/>
    <col min="1547" max="1547" width="1.6640625" customWidth="1"/>
    <col min="1548" max="1548" width="3.6640625" customWidth="1"/>
    <col min="1549" max="1549" width="23.44140625" customWidth="1"/>
    <col min="1550" max="1561" width="4.44140625" customWidth="1"/>
    <col min="1562" max="1562" width="6.109375" customWidth="1"/>
    <col min="1563" max="1563" width="4.44140625" customWidth="1"/>
    <col min="1564" max="1564" width="7.5546875" customWidth="1"/>
    <col min="1565" max="1565" width="4.44140625" customWidth="1"/>
    <col min="1566" max="1566" width="6.33203125" customWidth="1"/>
    <col min="1567" max="1567" width="7.88671875" customWidth="1"/>
    <col min="1568" max="1568" width="3.44140625" customWidth="1"/>
    <col min="1569" max="1569" width="5" customWidth="1"/>
    <col min="1803" max="1803" width="1.6640625" customWidth="1"/>
    <col min="1804" max="1804" width="3.6640625" customWidth="1"/>
    <col min="1805" max="1805" width="23.44140625" customWidth="1"/>
    <col min="1806" max="1817" width="4.44140625" customWidth="1"/>
    <col min="1818" max="1818" width="6.109375" customWidth="1"/>
    <col min="1819" max="1819" width="4.44140625" customWidth="1"/>
    <col min="1820" max="1820" width="7.5546875" customWidth="1"/>
    <col min="1821" max="1821" width="4.44140625" customWidth="1"/>
    <col min="1822" max="1822" width="6.33203125" customWidth="1"/>
    <col min="1823" max="1823" width="7.88671875" customWidth="1"/>
    <col min="1824" max="1824" width="3.44140625" customWidth="1"/>
    <col min="1825" max="1825" width="5" customWidth="1"/>
    <col min="2059" max="2059" width="1.6640625" customWidth="1"/>
    <col min="2060" max="2060" width="3.6640625" customWidth="1"/>
    <col min="2061" max="2061" width="23.44140625" customWidth="1"/>
    <col min="2062" max="2073" width="4.44140625" customWidth="1"/>
    <col min="2074" max="2074" width="6.109375" customWidth="1"/>
    <col min="2075" max="2075" width="4.44140625" customWidth="1"/>
    <col min="2076" max="2076" width="7.5546875" customWidth="1"/>
    <col min="2077" max="2077" width="4.44140625" customWidth="1"/>
    <col min="2078" max="2078" width="6.33203125" customWidth="1"/>
    <col min="2079" max="2079" width="7.88671875" customWidth="1"/>
    <col min="2080" max="2080" width="3.44140625" customWidth="1"/>
    <col min="2081" max="2081" width="5" customWidth="1"/>
    <col min="2315" max="2315" width="1.6640625" customWidth="1"/>
    <col min="2316" max="2316" width="3.6640625" customWidth="1"/>
    <col min="2317" max="2317" width="23.44140625" customWidth="1"/>
    <col min="2318" max="2329" width="4.44140625" customWidth="1"/>
    <col min="2330" max="2330" width="6.109375" customWidth="1"/>
    <col min="2331" max="2331" width="4.44140625" customWidth="1"/>
    <col min="2332" max="2332" width="7.5546875" customWidth="1"/>
    <col min="2333" max="2333" width="4.44140625" customWidth="1"/>
    <col min="2334" max="2334" width="6.33203125" customWidth="1"/>
    <col min="2335" max="2335" width="7.88671875" customWidth="1"/>
    <col min="2336" max="2336" width="3.44140625" customWidth="1"/>
    <col min="2337" max="2337" width="5" customWidth="1"/>
    <col min="2571" max="2571" width="1.6640625" customWidth="1"/>
    <col min="2572" max="2572" width="3.6640625" customWidth="1"/>
    <col min="2573" max="2573" width="23.44140625" customWidth="1"/>
    <col min="2574" max="2585" width="4.44140625" customWidth="1"/>
    <col min="2586" max="2586" width="6.109375" customWidth="1"/>
    <col min="2587" max="2587" width="4.44140625" customWidth="1"/>
    <col min="2588" max="2588" width="7.5546875" customWidth="1"/>
    <col min="2589" max="2589" width="4.44140625" customWidth="1"/>
    <col min="2590" max="2590" width="6.33203125" customWidth="1"/>
    <col min="2591" max="2591" width="7.88671875" customWidth="1"/>
    <col min="2592" max="2592" width="3.44140625" customWidth="1"/>
    <col min="2593" max="2593" width="5" customWidth="1"/>
    <col min="2827" max="2827" width="1.6640625" customWidth="1"/>
    <col min="2828" max="2828" width="3.6640625" customWidth="1"/>
    <col min="2829" max="2829" width="23.44140625" customWidth="1"/>
    <col min="2830" max="2841" width="4.44140625" customWidth="1"/>
    <col min="2842" max="2842" width="6.109375" customWidth="1"/>
    <col min="2843" max="2843" width="4.44140625" customWidth="1"/>
    <col min="2844" max="2844" width="7.5546875" customWidth="1"/>
    <col min="2845" max="2845" width="4.44140625" customWidth="1"/>
    <col min="2846" max="2846" width="6.33203125" customWidth="1"/>
    <col min="2847" max="2847" width="7.88671875" customWidth="1"/>
    <col min="2848" max="2848" width="3.44140625" customWidth="1"/>
    <col min="2849" max="2849" width="5" customWidth="1"/>
    <col min="3083" max="3083" width="1.6640625" customWidth="1"/>
    <col min="3084" max="3084" width="3.6640625" customWidth="1"/>
    <col min="3085" max="3085" width="23.44140625" customWidth="1"/>
    <col min="3086" max="3097" width="4.44140625" customWidth="1"/>
    <col min="3098" max="3098" width="6.109375" customWidth="1"/>
    <col min="3099" max="3099" width="4.44140625" customWidth="1"/>
    <col min="3100" max="3100" width="7.5546875" customWidth="1"/>
    <col min="3101" max="3101" width="4.44140625" customWidth="1"/>
    <col min="3102" max="3102" width="6.33203125" customWidth="1"/>
    <col min="3103" max="3103" width="7.88671875" customWidth="1"/>
    <col min="3104" max="3104" width="3.44140625" customWidth="1"/>
    <col min="3105" max="3105" width="5" customWidth="1"/>
    <col min="3339" max="3339" width="1.6640625" customWidth="1"/>
    <col min="3340" max="3340" width="3.6640625" customWidth="1"/>
    <col min="3341" max="3341" width="23.44140625" customWidth="1"/>
    <col min="3342" max="3353" width="4.44140625" customWidth="1"/>
    <col min="3354" max="3354" width="6.109375" customWidth="1"/>
    <col min="3355" max="3355" width="4.44140625" customWidth="1"/>
    <col min="3356" max="3356" width="7.5546875" customWidth="1"/>
    <col min="3357" max="3357" width="4.44140625" customWidth="1"/>
    <col min="3358" max="3358" width="6.33203125" customWidth="1"/>
    <col min="3359" max="3359" width="7.88671875" customWidth="1"/>
    <col min="3360" max="3360" width="3.44140625" customWidth="1"/>
    <col min="3361" max="3361" width="5" customWidth="1"/>
    <col min="3595" max="3595" width="1.6640625" customWidth="1"/>
    <col min="3596" max="3596" width="3.6640625" customWidth="1"/>
    <col min="3597" max="3597" width="23.44140625" customWidth="1"/>
    <col min="3598" max="3609" width="4.44140625" customWidth="1"/>
    <col min="3610" max="3610" width="6.109375" customWidth="1"/>
    <col min="3611" max="3611" width="4.44140625" customWidth="1"/>
    <col min="3612" max="3612" width="7.5546875" customWidth="1"/>
    <col min="3613" max="3613" width="4.44140625" customWidth="1"/>
    <col min="3614" max="3614" width="6.33203125" customWidth="1"/>
    <col min="3615" max="3615" width="7.88671875" customWidth="1"/>
    <col min="3616" max="3616" width="3.44140625" customWidth="1"/>
    <col min="3617" max="3617" width="5" customWidth="1"/>
    <col min="3851" max="3851" width="1.6640625" customWidth="1"/>
    <col min="3852" max="3852" width="3.6640625" customWidth="1"/>
    <col min="3853" max="3853" width="23.44140625" customWidth="1"/>
    <col min="3854" max="3865" width="4.44140625" customWidth="1"/>
    <col min="3866" max="3866" width="6.109375" customWidth="1"/>
    <col min="3867" max="3867" width="4.44140625" customWidth="1"/>
    <col min="3868" max="3868" width="7.5546875" customWidth="1"/>
    <col min="3869" max="3869" width="4.44140625" customWidth="1"/>
    <col min="3870" max="3870" width="6.33203125" customWidth="1"/>
    <col min="3871" max="3871" width="7.88671875" customWidth="1"/>
    <col min="3872" max="3872" width="3.44140625" customWidth="1"/>
    <col min="3873" max="3873" width="5" customWidth="1"/>
    <col min="4107" max="4107" width="1.6640625" customWidth="1"/>
    <col min="4108" max="4108" width="3.6640625" customWidth="1"/>
    <col min="4109" max="4109" width="23.44140625" customWidth="1"/>
    <col min="4110" max="4121" width="4.44140625" customWidth="1"/>
    <col min="4122" max="4122" width="6.109375" customWidth="1"/>
    <col min="4123" max="4123" width="4.44140625" customWidth="1"/>
    <col min="4124" max="4124" width="7.5546875" customWidth="1"/>
    <col min="4125" max="4125" width="4.44140625" customWidth="1"/>
    <col min="4126" max="4126" width="6.33203125" customWidth="1"/>
    <col min="4127" max="4127" width="7.88671875" customWidth="1"/>
    <col min="4128" max="4128" width="3.44140625" customWidth="1"/>
    <col min="4129" max="4129" width="5" customWidth="1"/>
    <col min="4363" max="4363" width="1.6640625" customWidth="1"/>
    <col min="4364" max="4364" width="3.6640625" customWidth="1"/>
    <col min="4365" max="4365" width="23.44140625" customWidth="1"/>
    <col min="4366" max="4377" width="4.44140625" customWidth="1"/>
    <col min="4378" max="4378" width="6.109375" customWidth="1"/>
    <col min="4379" max="4379" width="4.44140625" customWidth="1"/>
    <col min="4380" max="4380" width="7.5546875" customWidth="1"/>
    <col min="4381" max="4381" width="4.44140625" customWidth="1"/>
    <col min="4382" max="4382" width="6.33203125" customWidth="1"/>
    <col min="4383" max="4383" width="7.88671875" customWidth="1"/>
    <col min="4384" max="4384" width="3.44140625" customWidth="1"/>
    <col min="4385" max="4385" width="5" customWidth="1"/>
    <col min="4619" max="4619" width="1.6640625" customWidth="1"/>
    <col min="4620" max="4620" width="3.6640625" customWidth="1"/>
    <col min="4621" max="4621" width="23.44140625" customWidth="1"/>
    <col min="4622" max="4633" width="4.44140625" customWidth="1"/>
    <col min="4634" max="4634" width="6.109375" customWidth="1"/>
    <col min="4635" max="4635" width="4.44140625" customWidth="1"/>
    <col min="4636" max="4636" width="7.5546875" customWidth="1"/>
    <col min="4637" max="4637" width="4.44140625" customWidth="1"/>
    <col min="4638" max="4638" width="6.33203125" customWidth="1"/>
    <col min="4639" max="4639" width="7.88671875" customWidth="1"/>
    <col min="4640" max="4640" width="3.44140625" customWidth="1"/>
    <col min="4641" max="4641" width="5" customWidth="1"/>
    <col min="4875" max="4875" width="1.6640625" customWidth="1"/>
    <col min="4876" max="4876" width="3.6640625" customWidth="1"/>
    <col min="4877" max="4877" width="23.44140625" customWidth="1"/>
    <col min="4878" max="4889" width="4.44140625" customWidth="1"/>
    <col min="4890" max="4890" width="6.109375" customWidth="1"/>
    <col min="4891" max="4891" width="4.44140625" customWidth="1"/>
    <col min="4892" max="4892" width="7.5546875" customWidth="1"/>
    <col min="4893" max="4893" width="4.44140625" customWidth="1"/>
    <col min="4894" max="4894" width="6.33203125" customWidth="1"/>
    <col min="4895" max="4895" width="7.88671875" customWidth="1"/>
    <col min="4896" max="4896" width="3.44140625" customWidth="1"/>
    <col min="4897" max="4897" width="5" customWidth="1"/>
    <col min="5131" max="5131" width="1.6640625" customWidth="1"/>
    <col min="5132" max="5132" width="3.6640625" customWidth="1"/>
    <col min="5133" max="5133" width="23.44140625" customWidth="1"/>
    <col min="5134" max="5145" width="4.44140625" customWidth="1"/>
    <col min="5146" max="5146" width="6.109375" customWidth="1"/>
    <col min="5147" max="5147" width="4.44140625" customWidth="1"/>
    <col min="5148" max="5148" width="7.5546875" customWidth="1"/>
    <col min="5149" max="5149" width="4.44140625" customWidth="1"/>
    <col min="5150" max="5150" width="6.33203125" customWidth="1"/>
    <col min="5151" max="5151" width="7.88671875" customWidth="1"/>
    <col min="5152" max="5152" width="3.44140625" customWidth="1"/>
    <col min="5153" max="5153" width="5" customWidth="1"/>
    <col min="5387" max="5387" width="1.6640625" customWidth="1"/>
    <col min="5388" max="5388" width="3.6640625" customWidth="1"/>
    <col min="5389" max="5389" width="23.44140625" customWidth="1"/>
    <col min="5390" max="5401" width="4.44140625" customWidth="1"/>
    <col min="5402" max="5402" width="6.109375" customWidth="1"/>
    <col min="5403" max="5403" width="4.44140625" customWidth="1"/>
    <col min="5404" max="5404" width="7.5546875" customWidth="1"/>
    <col min="5405" max="5405" width="4.44140625" customWidth="1"/>
    <col min="5406" max="5406" width="6.33203125" customWidth="1"/>
    <col min="5407" max="5407" width="7.88671875" customWidth="1"/>
    <col min="5408" max="5408" width="3.44140625" customWidth="1"/>
    <col min="5409" max="5409" width="5" customWidth="1"/>
    <col min="5643" max="5643" width="1.6640625" customWidth="1"/>
    <col min="5644" max="5644" width="3.6640625" customWidth="1"/>
    <col min="5645" max="5645" width="23.44140625" customWidth="1"/>
    <col min="5646" max="5657" width="4.44140625" customWidth="1"/>
    <col min="5658" max="5658" width="6.109375" customWidth="1"/>
    <col min="5659" max="5659" width="4.44140625" customWidth="1"/>
    <col min="5660" max="5660" width="7.5546875" customWidth="1"/>
    <col min="5661" max="5661" width="4.44140625" customWidth="1"/>
    <col min="5662" max="5662" width="6.33203125" customWidth="1"/>
    <col min="5663" max="5663" width="7.88671875" customWidth="1"/>
    <col min="5664" max="5664" width="3.44140625" customWidth="1"/>
    <col min="5665" max="5665" width="5" customWidth="1"/>
    <col min="5899" max="5899" width="1.6640625" customWidth="1"/>
    <col min="5900" max="5900" width="3.6640625" customWidth="1"/>
    <col min="5901" max="5901" width="23.44140625" customWidth="1"/>
    <col min="5902" max="5913" width="4.44140625" customWidth="1"/>
    <col min="5914" max="5914" width="6.109375" customWidth="1"/>
    <col min="5915" max="5915" width="4.44140625" customWidth="1"/>
    <col min="5916" max="5916" width="7.5546875" customWidth="1"/>
    <col min="5917" max="5917" width="4.44140625" customWidth="1"/>
    <col min="5918" max="5918" width="6.33203125" customWidth="1"/>
    <col min="5919" max="5919" width="7.88671875" customWidth="1"/>
    <col min="5920" max="5920" width="3.44140625" customWidth="1"/>
    <col min="5921" max="5921" width="5" customWidth="1"/>
    <col min="6155" max="6155" width="1.6640625" customWidth="1"/>
    <col min="6156" max="6156" width="3.6640625" customWidth="1"/>
    <col min="6157" max="6157" width="23.44140625" customWidth="1"/>
    <col min="6158" max="6169" width="4.44140625" customWidth="1"/>
    <col min="6170" max="6170" width="6.109375" customWidth="1"/>
    <col min="6171" max="6171" width="4.44140625" customWidth="1"/>
    <col min="6172" max="6172" width="7.5546875" customWidth="1"/>
    <col min="6173" max="6173" width="4.44140625" customWidth="1"/>
    <col min="6174" max="6174" width="6.33203125" customWidth="1"/>
    <col min="6175" max="6175" width="7.88671875" customWidth="1"/>
    <col min="6176" max="6176" width="3.44140625" customWidth="1"/>
    <col min="6177" max="6177" width="5" customWidth="1"/>
    <col min="6411" max="6411" width="1.6640625" customWidth="1"/>
    <col min="6412" max="6412" width="3.6640625" customWidth="1"/>
    <col min="6413" max="6413" width="23.44140625" customWidth="1"/>
    <col min="6414" max="6425" width="4.44140625" customWidth="1"/>
    <col min="6426" max="6426" width="6.109375" customWidth="1"/>
    <col min="6427" max="6427" width="4.44140625" customWidth="1"/>
    <col min="6428" max="6428" width="7.5546875" customWidth="1"/>
    <col min="6429" max="6429" width="4.44140625" customWidth="1"/>
    <col min="6430" max="6430" width="6.33203125" customWidth="1"/>
    <col min="6431" max="6431" width="7.88671875" customWidth="1"/>
    <col min="6432" max="6432" width="3.44140625" customWidth="1"/>
    <col min="6433" max="6433" width="5" customWidth="1"/>
    <col min="6667" max="6667" width="1.6640625" customWidth="1"/>
    <col min="6668" max="6668" width="3.6640625" customWidth="1"/>
    <col min="6669" max="6669" width="23.44140625" customWidth="1"/>
    <col min="6670" max="6681" width="4.44140625" customWidth="1"/>
    <col min="6682" max="6682" width="6.109375" customWidth="1"/>
    <col min="6683" max="6683" width="4.44140625" customWidth="1"/>
    <col min="6684" max="6684" width="7.5546875" customWidth="1"/>
    <col min="6685" max="6685" width="4.44140625" customWidth="1"/>
    <col min="6686" max="6686" width="6.33203125" customWidth="1"/>
    <col min="6687" max="6687" width="7.88671875" customWidth="1"/>
    <col min="6688" max="6688" width="3.44140625" customWidth="1"/>
    <col min="6689" max="6689" width="5" customWidth="1"/>
    <col min="6923" max="6923" width="1.6640625" customWidth="1"/>
    <col min="6924" max="6924" width="3.6640625" customWidth="1"/>
    <col min="6925" max="6925" width="23.44140625" customWidth="1"/>
    <col min="6926" max="6937" width="4.44140625" customWidth="1"/>
    <col min="6938" max="6938" width="6.109375" customWidth="1"/>
    <col min="6939" max="6939" width="4.44140625" customWidth="1"/>
    <col min="6940" max="6940" width="7.5546875" customWidth="1"/>
    <col min="6941" max="6941" width="4.44140625" customWidth="1"/>
    <col min="6942" max="6942" width="6.33203125" customWidth="1"/>
    <col min="6943" max="6943" width="7.88671875" customWidth="1"/>
    <col min="6944" max="6944" width="3.44140625" customWidth="1"/>
    <col min="6945" max="6945" width="5" customWidth="1"/>
    <col min="7179" max="7179" width="1.6640625" customWidth="1"/>
    <col min="7180" max="7180" width="3.6640625" customWidth="1"/>
    <col min="7181" max="7181" width="23.44140625" customWidth="1"/>
    <col min="7182" max="7193" width="4.44140625" customWidth="1"/>
    <col min="7194" max="7194" width="6.109375" customWidth="1"/>
    <col min="7195" max="7195" width="4.44140625" customWidth="1"/>
    <col min="7196" max="7196" width="7.5546875" customWidth="1"/>
    <col min="7197" max="7197" width="4.44140625" customWidth="1"/>
    <col min="7198" max="7198" width="6.33203125" customWidth="1"/>
    <col min="7199" max="7199" width="7.88671875" customWidth="1"/>
    <col min="7200" max="7200" width="3.44140625" customWidth="1"/>
    <col min="7201" max="7201" width="5" customWidth="1"/>
    <col min="7435" max="7435" width="1.6640625" customWidth="1"/>
    <col min="7436" max="7436" width="3.6640625" customWidth="1"/>
    <col min="7437" max="7437" width="23.44140625" customWidth="1"/>
    <col min="7438" max="7449" width="4.44140625" customWidth="1"/>
    <col min="7450" max="7450" width="6.109375" customWidth="1"/>
    <col min="7451" max="7451" width="4.44140625" customWidth="1"/>
    <col min="7452" max="7452" width="7.5546875" customWidth="1"/>
    <col min="7453" max="7453" width="4.44140625" customWidth="1"/>
    <col min="7454" max="7454" width="6.33203125" customWidth="1"/>
    <col min="7455" max="7455" width="7.88671875" customWidth="1"/>
    <col min="7456" max="7456" width="3.44140625" customWidth="1"/>
    <col min="7457" max="7457" width="5" customWidth="1"/>
    <col min="7691" max="7691" width="1.6640625" customWidth="1"/>
    <col min="7692" max="7692" width="3.6640625" customWidth="1"/>
    <col min="7693" max="7693" width="23.44140625" customWidth="1"/>
    <col min="7694" max="7705" width="4.44140625" customWidth="1"/>
    <col min="7706" max="7706" width="6.109375" customWidth="1"/>
    <col min="7707" max="7707" width="4.44140625" customWidth="1"/>
    <col min="7708" max="7708" width="7.5546875" customWidth="1"/>
    <col min="7709" max="7709" width="4.44140625" customWidth="1"/>
    <col min="7710" max="7710" width="6.33203125" customWidth="1"/>
    <col min="7711" max="7711" width="7.88671875" customWidth="1"/>
    <col min="7712" max="7712" width="3.44140625" customWidth="1"/>
    <col min="7713" max="7713" width="5" customWidth="1"/>
    <col min="7947" max="7947" width="1.6640625" customWidth="1"/>
    <col min="7948" max="7948" width="3.6640625" customWidth="1"/>
    <col min="7949" max="7949" width="23.44140625" customWidth="1"/>
    <col min="7950" max="7961" width="4.44140625" customWidth="1"/>
    <col min="7962" max="7962" width="6.109375" customWidth="1"/>
    <col min="7963" max="7963" width="4.44140625" customWidth="1"/>
    <col min="7964" max="7964" width="7.5546875" customWidth="1"/>
    <col min="7965" max="7965" width="4.44140625" customWidth="1"/>
    <col min="7966" max="7966" width="6.33203125" customWidth="1"/>
    <col min="7967" max="7967" width="7.88671875" customWidth="1"/>
    <col min="7968" max="7968" width="3.44140625" customWidth="1"/>
    <col min="7969" max="7969" width="5" customWidth="1"/>
    <col min="8203" max="8203" width="1.6640625" customWidth="1"/>
    <col min="8204" max="8204" width="3.6640625" customWidth="1"/>
    <col min="8205" max="8205" width="23.44140625" customWidth="1"/>
    <col min="8206" max="8217" width="4.44140625" customWidth="1"/>
    <col min="8218" max="8218" width="6.109375" customWidth="1"/>
    <col min="8219" max="8219" width="4.44140625" customWidth="1"/>
    <col min="8220" max="8220" width="7.5546875" customWidth="1"/>
    <col min="8221" max="8221" width="4.44140625" customWidth="1"/>
    <col min="8222" max="8222" width="6.33203125" customWidth="1"/>
    <col min="8223" max="8223" width="7.88671875" customWidth="1"/>
    <col min="8224" max="8224" width="3.44140625" customWidth="1"/>
    <col min="8225" max="8225" width="5" customWidth="1"/>
    <col min="8459" max="8459" width="1.6640625" customWidth="1"/>
    <col min="8460" max="8460" width="3.6640625" customWidth="1"/>
    <col min="8461" max="8461" width="23.44140625" customWidth="1"/>
    <col min="8462" max="8473" width="4.44140625" customWidth="1"/>
    <col min="8474" max="8474" width="6.109375" customWidth="1"/>
    <col min="8475" max="8475" width="4.44140625" customWidth="1"/>
    <col min="8476" max="8476" width="7.5546875" customWidth="1"/>
    <col min="8477" max="8477" width="4.44140625" customWidth="1"/>
    <col min="8478" max="8478" width="6.33203125" customWidth="1"/>
    <col min="8479" max="8479" width="7.88671875" customWidth="1"/>
    <col min="8480" max="8480" width="3.44140625" customWidth="1"/>
    <col min="8481" max="8481" width="5" customWidth="1"/>
    <col min="8715" max="8715" width="1.6640625" customWidth="1"/>
    <col min="8716" max="8716" width="3.6640625" customWidth="1"/>
    <col min="8717" max="8717" width="23.44140625" customWidth="1"/>
    <col min="8718" max="8729" width="4.44140625" customWidth="1"/>
    <col min="8730" max="8730" width="6.109375" customWidth="1"/>
    <col min="8731" max="8731" width="4.44140625" customWidth="1"/>
    <col min="8732" max="8732" width="7.5546875" customWidth="1"/>
    <col min="8733" max="8733" width="4.44140625" customWidth="1"/>
    <col min="8734" max="8734" width="6.33203125" customWidth="1"/>
    <col min="8735" max="8735" width="7.88671875" customWidth="1"/>
    <col min="8736" max="8736" width="3.44140625" customWidth="1"/>
    <col min="8737" max="8737" width="5" customWidth="1"/>
    <col min="8971" max="8971" width="1.6640625" customWidth="1"/>
    <col min="8972" max="8972" width="3.6640625" customWidth="1"/>
    <col min="8973" max="8973" width="23.44140625" customWidth="1"/>
    <col min="8974" max="8985" width="4.44140625" customWidth="1"/>
    <col min="8986" max="8986" width="6.109375" customWidth="1"/>
    <col min="8987" max="8987" width="4.44140625" customWidth="1"/>
    <col min="8988" max="8988" width="7.5546875" customWidth="1"/>
    <col min="8989" max="8989" width="4.44140625" customWidth="1"/>
    <col min="8990" max="8990" width="6.33203125" customWidth="1"/>
    <col min="8991" max="8991" width="7.88671875" customWidth="1"/>
    <col min="8992" max="8992" width="3.44140625" customWidth="1"/>
    <col min="8993" max="8993" width="5" customWidth="1"/>
    <col min="9227" max="9227" width="1.6640625" customWidth="1"/>
    <col min="9228" max="9228" width="3.6640625" customWidth="1"/>
    <col min="9229" max="9229" width="23.44140625" customWidth="1"/>
    <col min="9230" max="9241" width="4.44140625" customWidth="1"/>
    <col min="9242" max="9242" width="6.109375" customWidth="1"/>
    <col min="9243" max="9243" width="4.44140625" customWidth="1"/>
    <col min="9244" max="9244" width="7.5546875" customWidth="1"/>
    <col min="9245" max="9245" width="4.44140625" customWidth="1"/>
    <col min="9246" max="9246" width="6.33203125" customWidth="1"/>
    <col min="9247" max="9247" width="7.88671875" customWidth="1"/>
    <col min="9248" max="9248" width="3.44140625" customWidth="1"/>
    <col min="9249" max="9249" width="5" customWidth="1"/>
    <col min="9483" max="9483" width="1.6640625" customWidth="1"/>
    <col min="9484" max="9484" width="3.6640625" customWidth="1"/>
    <col min="9485" max="9485" width="23.44140625" customWidth="1"/>
    <col min="9486" max="9497" width="4.44140625" customWidth="1"/>
    <col min="9498" max="9498" width="6.109375" customWidth="1"/>
    <col min="9499" max="9499" width="4.44140625" customWidth="1"/>
    <col min="9500" max="9500" width="7.5546875" customWidth="1"/>
    <col min="9501" max="9501" width="4.44140625" customWidth="1"/>
    <col min="9502" max="9502" width="6.33203125" customWidth="1"/>
    <col min="9503" max="9503" width="7.88671875" customWidth="1"/>
    <col min="9504" max="9504" width="3.44140625" customWidth="1"/>
    <col min="9505" max="9505" width="5" customWidth="1"/>
    <col min="9739" max="9739" width="1.6640625" customWidth="1"/>
    <col min="9740" max="9740" width="3.6640625" customWidth="1"/>
    <col min="9741" max="9741" width="23.44140625" customWidth="1"/>
    <col min="9742" max="9753" width="4.44140625" customWidth="1"/>
    <col min="9754" max="9754" width="6.109375" customWidth="1"/>
    <col min="9755" max="9755" width="4.44140625" customWidth="1"/>
    <col min="9756" max="9756" width="7.5546875" customWidth="1"/>
    <col min="9757" max="9757" width="4.44140625" customWidth="1"/>
    <col min="9758" max="9758" width="6.33203125" customWidth="1"/>
    <col min="9759" max="9759" width="7.88671875" customWidth="1"/>
    <col min="9760" max="9760" width="3.44140625" customWidth="1"/>
    <col min="9761" max="9761" width="5" customWidth="1"/>
    <col min="9995" max="9995" width="1.6640625" customWidth="1"/>
    <col min="9996" max="9996" width="3.6640625" customWidth="1"/>
    <col min="9997" max="9997" width="23.44140625" customWidth="1"/>
    <col min="9998" max="10009" width="4.44140625" customWidth="1"/>
    <col min="10010" max="10010" width="6.109375" customWidth="1"/>
    <col min="10011" max="10011" width="4.44140625" customWidth="1"/>
    <col min="10012" max="10012" width="7.5546875" customWidth="1"/>
    <col min="10013" max="10013" width="4.44140625" customWidth="1"/>
    <col min="10014" max="10014" width="6.33203125" customWidth="1"/>
    <col min="10015" max="10015" width="7.88671875" customWidth="1"/>
    <col min="10016" max="10016" width="3.44140625" customWidth="1"/>
    <col min="10017" max="10017" width="5" customWidth="1"/>
    <col min="10251" max="10251" width="1.6640625" customWidth="1"/>
    <col min="10252" max="10252" width="3.6640625" customWidth="1"/>
    <col min="10253" max="10253" width="23.44140625" customWidth="1"/>
    <col min="10254" max="10265" width="4.44140625" customWidth="1"/>
    <col min="10266" max="10266" width="6.109375" customWidth="1"/>
    <col min="10267" max="10267" width="4.44140625" customWidth="1"/>
    <col min="10268" max="10268" width="7.5546875" customWidth="1"/>
    <col min="10269" max="10269" width="4.44140625" customWidth="1"/>
    <col min="10270" max="10270" width="6.33203125" customWidth="1"/>
    <col min="10271" max="10271" width="7.88671875" customWidth="1"/>
    <col min="10272" max="10272" width="3.44140625" customWidth="1"/>
    <col min="10273" max="10273" width="5" customWidth="1"/>
    <col min="10507" max="10507" width="1.6640625" customWidth="1"/>
    <col min="10508" max="10508" width="3.6640625" customWidth="1"/>
    <col min="10509" max="10509" width="23.44140625" customWidth="1"/>
    <col min="10510" max="10521" width="4.44140625" customWidth="1"/>
    <col min="10522" max="10522" width="6.109375" customWidth="1"/>
    <col min="10523" max="10523" width="4.44140625" customWidth="1"/>
    <col min="10524" max="10524" width="7.5546875" customWidth="1"/>
    <col min="10525" max="10525" width="4.44140625" customWidth="1"/>
    <col min="10526" max="10526" width="6.33203125" customWidth="1"/>
    <col min="10527" max="10527" width="7.88671875" customWidth="1"/>
    <col min="10528" max="10528" width="3.44140625" customWidth="1"/>
    <col min="10529" max="10529" width="5" customWidth="1"/>
    <col min="10763" max="10763" width="1.6640625" customWidth="1"/>
    <col min="10764" max="10764" width="3.6640625" customWidth="1"/>
    <col min="10765" max="10765" width="23.44140625" customWidth="1"/>
    <col min="10766" max="10777" width="4.44140625" customWidth="1"/>
    <col min="10778" max="10778" width="6.109375" customWidth="1"/>
    <col min="10779" max="10779" width="4.44140625" customWidth="1"/>
    <col min="10780" max="10780" width="7.5546875" customWidth="1"/>
    <col min="10781" max="10781" width="4.44140625" customWidth="1"/>
    <col min="10782" max="10782" width="6.33203125" customWidth="1"/>
    <col min="10783" max="10783" width="7.88671875" customWidth="1"/>
    <col min="10784" max="10784" width="3.44140625" customWidth="1"/>
    <col min="10785" max="10785" width="5" customWidth="1"/>
    <col min="11019" max="11019" width="1.6640625" customWidth="1"/>
    <col min="11020" max="11020" width="3.6640625" customWidth="1"/>
    <col min="11021" max="11021" width="23.44140625" customWidth="1"/>
    <col min="11022" max="11033" width="4.44140625" customWidth="1"/>
    <col min="11034" max="11034" width="6.109375" customWidth="1"/>
    <col min="11035" max="11035" width="4.44140625" customWidth="1"/>
    <col min="11036" max="11036" width="7.5546875" customWidth="1"/>
    <col min="11037" max="11037" width="4.44140625" customWidth="1"/>
    <col min="11038" max="11038" width="6.33203125" customWidth="1"/>
    <col min="11039" max="11039" width="7.88671875" customWidth="1"/>
    <col min="11040" max="11040" width="3.44140625" customWidth="1"/>
    <col min="11041" max="11041" width="5" customWidth="1"/>
    <col min="11275" max="11275" width="1.6640625" customWidth="1"/>
    <col min="11276" max="11276" width="3.6640625" customWidth="1"/>
    <col min="11277" max="11277" width="23.44140625" customWidth="1"/>
    <col min="11278" max="11289" width="4.44140625" customWidth="1"/>
    <col min="11290" max="11290" width="6.109375" customWidth="1"/>
    <col min="11291" max="11291" width="4.44140625" customWidth="1"/>
    <col min="11292" max="11292" width="7.5546875" customWidth="1"/>
    <col min="11293" max="11293" width="4.44140625" customWidth="1"/>
    <col min="11294" max="11294" width="6.33203125" customWidth="1"/>
    <col min="11295" max="11295" width="7.88671875" customWidth="1"/>
    <col min="11296" max="11296" width="3.44140625" customWidth="1"/>
    <col min="11297" max="11297" width="5" customWidth="1"/>
    <col min="11531" max="11531" width="1.6640625" customWidth="1"/>
    <col min="11532" max="11532" width="3.6640625" customWidth="1"/>
    <col min="11533" max="11533" width="23.44140625" customWidth="1"/>
    <col min="11534" max="11545" width="4.44140625" customWidth="1"/>
    <col min="11546" max="11546" width="6.109375" customWidth="1"/>
    <col min="11547" max="11547" width="4.44140625" customWidth="1"/>
    <col min="11548" max="11548" width="7.5546875" customWidth="1"/>
    <col min="11549" max="11549" width="4.44140625" customWidth="1"/>
    <col min="11550" max="11550" width="6.33203125" customWidth="1"/>
    <col min="11551" max="11551" width="7.88671875" customWidth="1"/>
    <col min="11552" max="11552" width="3.44140625" customWidth="1"/>
    <col min="11553" max="11553" width="5" customWidth="1"/>
    <col min="11787" max="11787" width="1.6640625" customWidth="1"/>
    <col min="11788" max="11788" width="3.6640625" customWidth="1"/>
    <col min="11789" max="11789" width="23.44140625" customWidth="1"/>
    <col min="11790" max="11801" width="4.44140625" customWidth="1"/>
    <col min="11802" max="11802" width="6.109375" customWidth="1"/>
    <col min="11803" max="11803" width="4.44140625" customWidth="1"/>
    <col min="11804" max="11804" width="7.5546875" customWidth="1"/>
    <col min="11805" max="11805" width="4.44140625" customWidth="1"/>
    <col min="11806" max="11806" width="6.33203125" customWidth="1"/>
    <col min="11807" max="11807" width="7.88671875" customWidth="1"/>
    <col min="11808" max="11808" width="3.44140625" customWidth="1"/>
    <col min="11809" max="11809" width="5" customWidth="1"/>
    <col min="12043" max="12043" width="1.6640625" customWidth="1"/>
    <col min="12044" max="12044" width="3.6640625" customWidth="1"/>
    <col min="12045" max="12045" width="23.44140625" customWidth="1"/>
    <col min="12046" max="12057" width="4.44140625" customWidth="1"/>
    <col min="12058" max="12058" width="6.109375" customWidth="1"/>
    <col min="12059" max="12059" width="4.44140625" customWidth="1"/>
    <col min="12060" max="12060" width="7.5546875" customWidth="1"/>
    <col min="12061" max="12061" width="4.44140625" customWidth="1"/>
    <col min="12062" max="12062" width="6.33203125" customWidth="1"/>
    <col min="12063" max="12063" width="7.88671875" customWidth="1"/>
    <col min="12064" max="12064" width="3.44140625" customWidth="1"/>
    <col min="12065" max="12065" width="5" customWidth="1"/>
    <col min="12299" max="12299" width="1.6640625" customWidth="1"/>
    <col min="12300" max="12300" width="3.6640625" customWidth="1"/>
    <col min="12301" max="12301" width="23.44140625" customWidth="1"/>
    <col min="12302" max="12313" width="4.44140625" customWidth="1"/>
    <col min="12314" max="12314" width="6.109375" customWidth="1"/>
    <col min="12315" max="12315" width="4.44140625" customWidth="1"/>
    <col min="12316" max="12316" width="7.5546875" customWidth="1"/>
    <col min="12317" max="12317" width="4.44140625" customWidth="1"/>
    <col min="12318" max="12318" width="6.33203125" customWidth="1"/>
    <col min="12319" max="12319" width="7.88671875" customWidth="1"/>
    <col min="12320" max="12320" width="3.44140625" customWidth="1"/>
    <col min="12321" max="12321" width="5" customWidth="1"/>
    <col min="12555" max="12555" width="1.6640625" customWidth="1"/>
    <col min="12556" max="12556" width="3.6640625" customWidth="1"/>
    <col min="12557" max="12557" width="23.44140625" customWidth="1"/>
    <col min="12558" max="12569" width="4.44140625" customWidth="1"/>
    <col min="12570" max="12570" width="6.109375" customWidth="1"/>
    <col min="12571" max="12571" width="4.44140625" customWidth="1"/>
    <col min="12572" max="12572" width="7.5546875" customWidth="1"/>
    <col min="12573" max="12573" width="4.44140625" customWidth="1"/>
    <col min="12574" max="12574" width="6.33203125" customWidth="1"/>
    <col min="12575" max="12575" width="7.88671875" customWidth="1"/>
    <col min="12576" max="12576" width="3.44140625" customWidth="1"/>
    <col min="12577" max="12577" width="5" customWidth="1"/>
    <col min="12811" max="12811" width="1.6640625" customWidth="1"/>
    <col min="12812" max="12812" width="3.6640625" customWidth="1"/>
    <col min="12813" max="12813" width="23.44140625" customWidth="1"/>
    <col min="12814" max="12825" width="4.44140625" customWidth="1"/>
    <col min="12826" max="12826" width="6.109375" customWidth="1"/>
    <col min="12827" max="12827" width="4.44140625" customWidth="1"/>
    <col min="12828" max="12828" width="7.5546875" customWidth="1"/>
    <col min="12829" max="12829" width="4.44140625" customWidth="1"/>
    <col min="12830" max="12830" width="6.33203125" customWidth="1"/>
    <col min="12831" max="12831" width="7.88671875" customWidth="1"/>
    <col min="12832" max="12832" width="3.44140625" customWidth="1"/>
    <col min="12833" max="12833" width="5" customWidth="1"/>
    <col min="13067" max="13067" width="1.6640625" customWidth="1"/>
    <col min="13068" max="13068" width="3.6640625" customWidth="1"/>
    <col min="13069" max="13069" width="23.44140625" customWidth="1"/>
    <col min="13070" max="13081" width="4.44140625" customWidth="1"/>
    <col min="13082" max="13082" width="6.109375" customWidth="1"/>
    <col min="13083" max="13083" width="4.44140625" customWidth="1"/>
    <col min="13084" max="13084" width="7.5546875" customWidth="1"/>
    <col min="13085" max="13085" width="4.44140625" customWidth="1"/>
    <col min="13086" max="13086" width="6.33203125" customWidth="1"/>
    <col min="13087" max="13087" width="7.88671875" customWidth="1"/>
    <col min="13088" max="13088" width="3.44140625" customWidth="1"/>
    <col min="13089" max="13089" width="5" customWidth="1"/>
    <col min="13323" max="13323" width="1.6640625" customWidth="1"/>
    <col min="13324" max="13324" width="3.6640625" customWidth="1"/>
    <col min="13325" max="13325" width="23.44140625" customWidth="1"/>
    <col min="13326" max="13337" width="4.44140625" customWidth="1"/>
    <col min="13338" max="13338" width="6.109375" customWidth="1"/>
    <col min="13339" max="13339" width="4.44140625" customWidth="1"/>
    <col min="13340" max="13340" width="7.5546875" customWidth="1"/>
    <col min="13341" max="13341" width="4.44140625" customWidth="1"/>
    <col min="13342" max="13342" width="6.33203125" customWidth="1"/>
    <col min="13343" max="13343" width="7.88671875" customWidth="1"/>
    <col min="13344" max="13344" width="3.44140625" customWidth="1"/>
    <col min="13345" max="13345" width="5" customWidth="1"/>
    <col min="13579" max="13579" width="1.6640625" customWidth="1"/>
    <col min="13580" max="13580" width="3.6640625" customWidth="1"/>
    <col min="13581" max="13581" width="23.44140625" customWidth="1"/>
    <col min="13582" max="13593" width="4.44140625" customWidth="1"/>
    <col min="13594" max="13594" width="6.109375" customWidth="1"/>
    <col min="13595" max="13595" width="4.44140625" customWidth="1"/>
    <col min="13596" max="13596" width="7.5546875" customWidth="1"/>
    <col min="13597" max="13597" width="4.44140625" customWidth="1"/>
    <col min="13598" max="13598" width="6.33203125" customWidth="1"/>
    <col min="13599" max="13599" width="7.88671875" customWidth="1"/>
    <col min="13600" max="13600" width="3.44140625" customWidth="1"/>
    <col min="13601" max="13601" width="5" customWidth="1"/>
    <col min="13835" max="13835" width="1.6640625" customWidth="1"/>
    <col min="13836" max="13836" width="3.6640625" customWidth="1"/>
    <col min="13837" max="13837" width="23.44140625" customWidth="1"/>
    <col min="13838" max="13849" width="4.44140625" customWidth="1"/>
    <col min="13850" max="13850" width="6.109375" customWidth="1"/>
    <col min="13851" max="13851" width="4.44140625" customWidth="1"/>
    <col min="13852" max="13852" width="7.5546875" customWidth="1"/>
    <col min="13853" max="13853" width="4.44140625" customWidth="1"/>
    <col min="13854" max="13854" width="6.33203125" customWidth="1"/>
    <col min="13855" max="13855" width="7.88671875" customWidth="1"/>
    <col min="13856" max="13856" width="3.44140625" customWidth="1"/>
    <col min="13857" max="13857" width="5" customWidth="1"/>
    <col min="14091" max="14091" width="1.6640625" customWidth="1"/>
    <col min="14092" max="14092" width="3.6640625" customWidth="1"/>
    <col min="14093" max="14093" width="23.44140625" customWidth="1"/>
    <col min="14094" max="14105" width="4.44140625" customWidth="1"/>
    <col min="14106" max="14106" width="6.109375" customWidth="1"/>
    <col min="14107" max="14107" width="4.44140625" customWidth="1"/>
    <col min="14108" max="14108" width="7.5546875" customWidth="1"/>
    <col min="14109" max="14109" width="4.44140625" customWidth="1"/>
    <col min="14110" max="14110" width="6.33203125" customWidth="1"/>
    <col min="14111" max="14111" width="7.88671875" customWidth="1"/>
    <col min="14112" max="14112" width="3.44140625" customWidth="1"/>
    <col min="14113" max="14113" width="5" customWidth="1"/>
    <col min="14347" max="14347" width="1.6640625" customWidth="1"/>
    <col min="14348" max="14348" width="3.6640625" customWidth="1"/>
    <col min="14349" max="14349" width="23.44140625" customWidth="1"/>
    <col min="14350" max="14361" width="4.44140625" customWidth="1"/>
    <col min="14362" max="14362" width="6.109375" customWidth="1"/>
    <col min="14363" max="14363" width="4.44140625" customWidth="1"/>
    <col min="14364" max="14364" width="7.5546875" customWidth="1"/>
    <col min="14365" max="14365" width="4.44140625" customWidth="1"/>
    <col min="14366" max="14366" width="6.33203125" customWidth="1"/>
    <col min="14367" max="14367" width="7.88671875" customWidth="1"/>
    <col min="14368" max="14368" width="3.44140625" customWidth="1"/>
    <col min="14369" max="14369" width="5" customWidth="1"/>
    <col min="14603" max="14603" width="1.6640625" customWidth="1"/>
    <col min="14604" max="14604" width="3.6640625" customWidth="1"/>
    <col min="14605" max="14605" width="23.44140625" customWidth="1"/>
    <col min="14606" max="14617" width="4.44140625" customWidth="1"/>
    <col min="14618" max="14618" width="6.109375" customWidth="1"/>
    <col min="14619" max="14619" width="4.44140625" customWidth="1"/>
    <col min="14620" max="14620" width="7.5546875" customWidth="1"/>
    <col min="14621" max="14621" width="4.44140625" customWidth="1"/>
    <col min="14622" max="14622" width="6.33203125" customWidth="1"/>
    <col min="14623" max="14623" width="7.88671875" customWidth="1"/>
    <col min="14624" max="14624" width="3.44140625" customWidth="1"/>
    <col min="14625" max="14625" width="5" customWidth="1"/>
    <col min="14859" max="14859" width="1.6640625" customWidth="1"/>
    <col min="14860" max="14860" width="3.6640625" customWidth="1"/>
    <col min="14861" max="14861" width="23.44140625" customWidth="1"/>
    <col min="14862" max="14873" width="4.44140625" customWidth="1"/>
    <col min="14874" max="14874" width="6.109375" customWidth="1"/>
    <col min="14875" max="14875" width="4.44140625" customWidth="1"/>
    <col min="14876" max="14876" width="7.5546875" customWidth="1"/>
    <col min="14877" max="14877" width="4.44140625" customWidth="1"/>
    <col min="14878" max="14878" width="6.33203125" customWidth="1"/>
    <col min="14879" max="14879" width="7.88671875" customWidth="1"/>
    <col min="14880" max="14880" width="3.44140625" customWidth="1"/>
    <col min="14881" max="14881" width="5" customWidth="1"/>
    <col min="15115" max="15115" width="1.6640625" customWidth="1"/>
    <col min="15116" max="15116" width="3.6640625" customWidth="1"/>
    <col min="15117" max="15117" width="23.44140625" customWidth="1"/>
    <col min="15118" max="15129" width="4.44140625" customWidth="1"/>
    <col min="15130" max="15130" width="6.109375" customWidth="1"/>
    <col min="15131" max="15131" width="4.44140625" customWidth="1"/>
    <col min="15132" max="15132" width="7.5546875" customWidth="1"/>
    <col min="15133" max="15133" width="4.44140625" customWidth="1"/>
    <col min="15134" max="15134" width="6.33203125" customWidth="1"/>
    <col min="15135" max="15135" width="7.88671875" customWidth="1"/>
    <col min="15136" max="15136" width="3.44140625" customWidth="1"/>
    <col min="15137" max="15137" width="5" customWidth="1"/>
    <col min="15371" max="15371" width="1.6640625" customWidth="1"/>
    <col min="15372" max="15372" width="3.6640625" customWidth="1"/>
    <col min="15373" max="15373" width="23.44140625" customWidth="1"/>
    <col min="15374" max="15385" width="4.44140625" customWidth="1"/>
    <col min="15386" max="15386" width="6.109375" customWidth="1"/>
    <col min="15387" max="15387" width="4.44140625" customWidth="1"/>
    <col min="15388" max="15388" width="7.5546875" customWidth="1"/>
    <col min="15389" max="15389" width="4.44140625" customWidth="1"/>
    <col min="15390" max="15390" width="6.33203125" customWidth="1"/>
    <col min="15391" max="15391" width="7.88671875" customWidth="1"/>
    <col min="15392" max="15392" width="3.44140625" customWidth="1"/>
    <col min="15393" max="15393" width="5" customWidth="1"/>
    <col min="15627" max="15627" width="1.6640625" customWidth="1"/>
    <col min="15628" max="15628" width="3.6640625" customWidth="1"/>
    <col min="15629" max="15629" width="23.44140625" customWidth="1"/>
    <col min="15630" max="15641" width="4.44140625" customWidth="1"/>
    <col min="15642" max="15642" width="6.109375" customWidth="1"/>
    <col min="15643" max="15643" width="4.44140625" customWidth="1"/>
    <col min="15644" max="15644" width="7.5546875" customWidth="1"/>
    <col min="15645" max="15645" width="4.44140625" customWidth="1"/>
    <col min="15646" max="15646" width="6.33203125" customWidth="1"/>
    <col min="15647" max="15647" width="7.88671875" customWidth="1"/>
    <col min="15648" max="15648" width="3.44140625" customWidth="1"/>
    <col min="15649" max="15649" width="5" customWidth="1"/>
    <col min="15883" max="15883" width="1.6640625" customWidth="1"/>
    <col min="15884" max="15884" width="3.6640625" customWidth="1"/>
    <col min="15885" max="15885" width="23.44140625" customWidth="1"/>
    <col min="15886" max="15897" width="4.44140625" customWidth="1"/>
    <col min="15898" max="15898" width="6.109375" customWidth="1"/>
    <col min="15899" max="15899" width="4.44140625" customWidth="1"/>
    <col min="15900" max="15900" width="7.5546875" customWidth="1"/>
    <col min="15901" max="15901" width="4.44140625" customWidth="1"/>
    <col min="15902" max="15902" width="6.33203125" customWidth="1"/>
    <col min="15903" max="15903" width="7.88671875" customWidth="1"/>
    <col min="15904" max="15904" width="3.44140625" customWidth="1"/>
    <col min="15905" max="15905" width="5" customWidth="1"/>
    <col min="16139" max="16139" width="1.6640625" customWidth="1"/>
    <col min="16140" max="16140" width="3.6640625" customWidth="1"/>
    <col min="16141" max="16141" width="23.44140625" customWidth="1"/>
    <col min="16142" max="16153" width="4.44140625" customWidth="1"/>
    <col min="16154" max="16154" width="6.109375" customWidth="1"/>
    <col min="16155" max="16155" width="4.44140625" customWidth="1"/>
    <col min="16156" max="16156" width="7.5546875" customWidth="1"/>
    <col min="16157" max="16157" width="4.44140625" customWidth="1"/>
    <col min="16158" max="16158" width="6.33203125" customWidth="1"/>
    <col min="16159" max="16159" width="7.88671875" customWidth="1"/>
    <col min="16160" max="16160" width="3.44140625" customWidth="1"/>
    <col min="16161" max="16161" width="5" customWidth="1"/>
  </cols>
  <sheetData>
    <row r="1" spans="1:31" ht="34.5" customHeight="1" x14ac:dyDescent="0.3">
      <c r="A1" s="280" t="s">
        <v>21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</row>
    <row r="2" spans="1:31" ht="26.25" customHeight="1" x14ac:dyDescent="0.3">
      <c r="B2" s="1"/>
      <c r="C2" s="1"/>
      <c r="D2" s="1"/>
      <c r="E2" s="1"/>
      <c r="F2" s="1"/>
      <c r="G2" s="1"/>
      <c r="H2" s="24"/>
      <c r="I2" s="1"/>
      <c r="J2" s="24"/>
      <c r="K2" s="1"/>
      <c r="L2" s="1"/>
      <c r="M2" s="1"/>
      <c r="N2" s="1"/>
      <c r="O2" s="24"/>
      <c r="P2" s="1"/>
      <c r="Q2" s="24"/>
      <c r="R2" s="1"/>
      <c r="S2" s="1"/>
      <c r="T2" s="1"/>
      <c r="U2" s="1"/>
      <c r="V2" s="24"/>
      <c r="W2" s="1"/>
      <c r="X2" s="24"/>
      <c r="Y2" s="1"/>
    </row>
    <row r="3" spans="1:31" ht="13.5" customHeight="1" x14ac:dyDescent="0.3">
      <c r="B3" s="1"/>
      <c r="C3" s="1"/>
      <c r="D3" s="1"/>
      <c r="E3" s="1"/>
      <c r="F3" s="1"/>
      <c r="G3" s="1"/>
      <c r="H3" s="24"/>
      <c r="I3" s="1"/>
      <c r="J3" s="24"/>
      <c r="K3" s="1"/>
      <c r="L3" s="283"/>
      <c r="M3" s="283"/>
      <c r="N3" s="283"/>
      <c r="O3" s="283"/>
      <c r="P3" s="283"/>
      <c r="Q3" s="283"/>
      <c r="R3" s="283"/>
      <c r="S3" s="283"/>
      <c r="T3" s="1"/>
      <c r="U3" s="1"/>
      <c r="V3" s="24"/>
      <c r="W3" s="1"/>
      <c r="X3" s="24"/>
      <c r="Y3" s="1"/>
    </row>
    <row r="4" spans="1:31" ht="15.75" customHeight="1" x14ac:dyDescent="0.3">
      <c r="B4" s="278" t="s">
        <v>13</v>
      </c>
      <c r="C4" s="278"/>
      <c r="D4" s="16"/>
      <c r="E4" s="16"/>
      <c r="G4" s="18"/>
      <c r="H4" s="18"/>
      <c r="I4" s="18"/>
      <c r="J4" s="18"/>
      <c r="K4" s="18"/>
      <c r="L4" s="18" t="s">
        <v>33</v>
      </c>
      <c r="M4" s="18"/>
      <c r="N4" s="18"/>
      <c r="O4" s="18"/>
      <c r="P4" s="18"/>
      <c r="Q4" s="18"/>
      <c r="R4" s="18"/>
      <c r="S4" s="18"/>
      <c r="T4" s="15"/>
      <c r="U4" s="15"/>
      <c r="V4" s="15"/>
      <c r="W4" s="15"/>
      <c r="X4" s="15"/>
      <c r="Y4" s="279" t="s">
        <v>139</v>
      </c>
      <c r="Z4" s="279"/>
      <c r="AA4" s="279"/>
      <c r="AB4" s="279"/>
      <c r="AC4" s="279"/>
      <c r="AD4" s="279"/>
      <c r="AE4" s="279"/>
    </row>
    <row r="5" spans="1:31" ht="6.75" customHeight="1" x14ac:dyDescent="0.3">
      <c r="B5" s="16"/>
      <c r="C5" s="16"/>
      <c r="D5" s="16"/>
      <c r="E5" s="16"/>
      <c r="F5" s="16"/>
      <c r="G5" s="16"/>
      <c r="H5" s="22"/>
      <c r="I5" s="16"/>
      <c r="J5" s="22"/>
      <c r="K5" s="16"/>
      <c r="L5" s="16"/>
      <c r="M5" s="16"/>
      <c r="N5" s="16"/>
      <c r="O5" s="22"/>
      <c r="P5" s="16"/>
      <c r="Q5" s="22"/>
      <c r="R5" s="16"/>
      <c r="S5" s="16"/>
      <c r="T5" s="15"/>
      <c r="U5" s="15"/>
      <c r="V5" s="15"/>
      <c r="W5" s="15"/>
      <c r="X5" s="15"/>
      <c r="Y5" s="17"/>
      <c r="Z5" s="17"/>
      <c r="AA5" s="17"/>
      <c r="AB5" s="17"/>
      <c r="AC5" s="17"/>
      <c r="AD5" s="17"/>
      <c r="AE5" s="17"/>
    </row>
    <row r="6" spans="1:31" ht="16.2" customHeight="1" x14ac:dyDescent="0.3">
      <c r="B6" s="278" t="s">
        <v>19</v>
      </c>
      <c r="C6" s="278"/>
      <c r="D6" s="16"/>
      <c r="E6" s="16"/>
      <c r="L6" s="18" t="s">
        <v>91</v>
      </c>
      <c r="M6" s="18"/>
      <c r="N6" s="18"/>
      <c r="O6" s="18"/>
      <c r="P6" s="18"/>
      <c r="Q6" s="18"/>
      <c r="R6" s="18"/>
      <c r="S6" s="18"/>
      <c r="T6" s="18"/>
      <c r="U6" s="15"/>
      <c r="V6" s="15"/>
      <c r="W6" s="15"/>
      <c r="X6" s="15"/>
      <c r="Y6" s="279" t="s">
        <v>43</v>
      </c>
      <c r="Z6" s="279"/>
      <c r="AA6" s="279"/>
      <c r="AB6" s="279"/>
      <c r="AC6" s="279"/>
      <c r="AD6" s="279"/>
      <c r="AE6" s="279"/>
    </row>
    <row r="7" spans="1:31" ht="28.5" customHeight="1" thickBot="1" x14ac:dyDescent="0.85">
      <c r="B7" s="285" t="s">
        <v>25</v>
      </c>
      <c r="C7" s="285"/>
      <c r="D7" s="285"/>
      <c r="E7" s="285"/>
      <c r="F7" s="285"/>
      <c r="G7" s="285"/>
      <c r="H7" s="285"/>
      <c r="I7" s="285"/>
      <c r="J7" s="285"/>
      <c r="K7" s="285"/>
      <c r="L7" s="285"/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5"/>
      <c r="AB7" s="285"/>
      <c r="AC7" s="285"/>
      <c r="AD7" s="285"/>
      <c r="AE7" s="285"/>
    </row>
    <row r="8" spans="1:31" ht="21" customHeight="1" thickTop="1" x14ac:dyDescent="0.3">
      <c r="B8" s="286" t="s">
        <v>16</v>
      </c>
      <c r="C8" s="288" t="s">
        <v>0</v>
      </c>
      <c r="D8" s="290" t="s">
        <v>15</v>
      </c>
      <c r="E8" s="291"/>
      <c r="F8" s="292" t="s">
        <v>22</v>
      </c>
      <c r="G8" s="293"/>
      <c r="H8" s="293"/>
      <c r="I8" s="293"/>
      <c r="J8" s="293"/>
      <c r="K8" s="294"/>
      <c r="L8" s="295" t="s">
        <v>3</v>
      </c>
      <c r="M8" s="292" t="s">
        <v>23</v>
      </c>
      <c r="N8" s="293"/>
      <c r="O8" s="293"/>
      <c r="P8" s="293"/>
      <c r="Q8" s="293"/>
      <c r="R8" s="294"/>
      <c r="S8" s="295" t="s">
        <v>3</v>
      </c>
      <c r="T8" s="292" t="s">
        <v>24</v>
      </c>
      <c r="U8" s="293"/>
      <c r="V8" s="293"/>
      <c r="W8" s="293"/>
      <c r="X8" s="293"/>
      <c r="Y8" s="294"/>
      <c r="Z8" s="297" t="s">
        <v>1</v>
      </c>
      <c r="AA8" s="299" t="s">
        <v>39</v>
      </c>
      <c r="AB8" s="301" t="s">
        <v>20</v>
      </c>
      <c r="AC8" s="303" t="s">
        <v>40</v>
      </c>
      <c r="AD8" s="305" t="s">
        <v>2</v>
      </c>
      <c r="AE8" s="307" t="s">
        <v>3</v>
      </c>
    </row>
    <row r="9" spans="1:31" ht="16.5" customHeight="1" thickBot="1" x14ac:dyDescent="0.35">
      <c r="B9" s="287"/>
      <c r="C9" s="289"/>
      <c r="D9" s="43" t="s">
        <v>17</v>
      </c>
      <c r="E9" s="36" t="s">
        <v>18</v>
      </c>
      <c r="F9" s="53" t="s">
        <v>4</v>
      </c>
      <c r="G9" s="33" t="s">
        <v>5</v>
      </c>
      <c r="H9" s="33" t="s">
        <v>37</v>
      </c>
      <c r="I9" s="33" t="s">
        <v>6</v>
      </c>
      <c r="J9" s="33" t="s">
        <v>38</v>
      </c>
      <c r="K9" s="54" t="s">
        <v>7</v>
      </c>
      <c r="L9" s="296"/>
      <c r="M9" s="53" t="s">
        <v>4</v>
      </c>
      <c r="N9" s="33" t="s">
        <v>5</v>
      </c>
      <c r="O9" s="33" t="s">
        <v>37</v>
      </c>
      <c r="P9" s="33" t="s">
        <v>6</v>
      </c>
      <c r="Q9" s="33" t="s">
        <v>38</v>
      </c>
      <c r="R9" s="54" t="s">
        <v>8</v>
      </c>
      <c r="S9" s="296"/>
      <c r="T9" s="53" t="s">
        <v>4</v>
      </c>
      <c r="U9" s="33" t="s">
        <v>5</v>
      </c>
      <c r="V9" s="33" t="s">
        <v>37</v>
      </c>
      <c r="W9" s="33" t="s">
        <v>6</v>
      </c>
      <c r="X9" s="33" t="s">
        <v>38</v>
      </c>
      <c r="Y9" s="54" t="s">
        <v>9</v>
      </c>
      <c r="Z9" s="298"/>
      <c r="AA9" s="300"/>
      <c r="AB9" s="302"/>
      <c r="AC9" s="304"/>
      <c r="AD9" s="306"/>
      <c r="AE9" s="308"/>
    </row>
    <row r="10" spans="1:31" ht="15.75" customHeight="1" thickTop="1" x14ac:dyDescent="0.3">
      <c r="B10" s="34">
        <v>1</v>
      </c>
      <c r="C10" s="196" t="s">
        <v>99</v>
      </c>
      <c r="D10" s="44"/>
      <c r="E10" s="37"/>
      <c r="F10" s="32">
        <v>14</v>
      </c>
      <c r="G10" s="32">
        <v>10</v>
      </c>
      <c r="H10" s="31"/>
      <c r="I10" s="32">
        <v>14</v>
      </c>
      <c r="J10" s="32"/>
      <c r="K10" s="55">
        <f>AVERAGE(F10,MAX(G10:H10),MAX(I10:J10))</f>
        <v>12.666666666666666</v>
      </c>
      <c r="L10" s="165" t="str">
        <f>IF(K10&gt;=10,"TRANSITA","N/TRANSITA")</f>
        <v>TRANSITA</v>
      </c>
      <c r="M10" s="58"/>
      <c r="N10" s="31">
        <v>7</v>
      </c>
      <c r="O10" s="31"/>
      <c r="P10" s="32">
        <v>10</v>
      </c>
      <c r="Q10" s="32"/>
      <c r="R10" s="55">
        <f>AVERAGE(M10,MAX(N10:O10),MAX(P10:Q10))</f>
        <v>8.5</v>
      </c>
      <c r="S10" s="165" t="str">
        <f>IF(R10&gt;=10,"TRANSITA","N/TRANSITA")</f>
        <v>N/TRANSITA</v>
      </c>
      <c r="T10" s="58"/>
      <c r="U10" s="31"/>
      <c r="V10" s="31"/>
      <c r="W10" s="32" t="e">
        <f>AVERAGE(T10:U10)</f>
        <v>#DIV/0!</v>
      </c>
      <c r="X10" s="32"/>
      <c r="Y10" s="55" t="e">
        <f>AVERAGE(T10,MAX(U10:V10),MAX(W10:X10))</f>
        <v>#DIV/0!</v>
      </c>
      <c r="Z10" s="47" t="e">
        <f t="shared" ref="Z10:Z51" si="0">SUM(K10,R10,Y10)/3</f>
        <v>#DIV/0!</v>
      </c>
      <c r="AA10" s="40" t="e">
        <f>Z10*0.4</f>
        <v>#DIV/0!</v>
      </c>
      <c r="AB10" s="61"/>
      <c r="AC10" s="50">
        <f>AB10*0.6</f>
        <v>0</v>
      </c>
      <c r="AD10" s="64" t="e">
        <f>AVERAGE(AA10+AC10)</f>
        <v>#DIV/0!</v>
      </c>
      <c r="AE10" s="163" t="e">
        <f>IF(AD10&gt;=10,"APROVADO/A","REPROVADO/A")</f>
        <v>#DIV/0!</v>
      </c>
    </row>
    <row r="11" spans="1:31" ht="15.75" customHeight="1" x14ac:dyDescent="0.3">
      <c r="B11" s="35">
        <v>2</v>
      </c>
      <c r="C11" s="197" t="s">
        <v>100</v>
      </c>
      <c r="D11" s="45"/>
      <c r="E11" s="38"/>
      <c r="F11" s="32">
        <v>14.5</v>
      </c>
      <c r="G11" s="32">
        <v>17.5</v>
      </c>
      <c r="H11" s="27"/>
      <c r="I11" s="32">
        <v>18</v>
      </c>
      <c r="J11" s="28"/>
      <c r="K11" s="56">
        <f t="shared" ref="K11:K51" si="1">AVERAGE(F11,MAX(G11:H11),MAX(I11:J11))</f>
        <v>16.666666666666668</v>
      </c>
      <c r="L11" s="166" t="str">
        <f t="shared" ref="L11:L51" si="2">IF(K11&gt;=10,"TRANSITA","N/TRANSITA")</f>
        <v>TRANSITA</v>
      </c>
      <c r="M11" s="58">
        <v>10</v>
      </c>
      <c r="N11" s="27">
        <v>10</v>
      </c>
      <c r="O11" s="27"/>
      <c r="P11" s="32">
        <v>12</v>
      </c>
      <c r="Q11" s="28"/>
      <c r="R11" s="56">
        <f t="shared" ref="R11:R51" si="3">AVERAGE(M11,MAX(N11:O11),MAX(P11:Q11))</f>
        <v>10.666666666666666</v>
      </c>
      <c r="S11" s="166" t="str">
        <f t="shared" ref="S11:S51" si="4">IF(R11&gt;=10,"TRANSITA","N/TRANSITA")</f>
        <v>TRANSITA</v>
      </c>
      <c r="T11" s="59"/>
      <c r="U11" s="27"/>
      <c r="V11" s="27"/>
      <c r="W11" s="32" t="e">
        <f t="shared" ref="W11:W51" si="5">AVERAGE(T11:U11)</f>
        <v>#DIV/0!</v>
      </c>
      <c r="X11" s="28"/>
      <c r="Y11" s="56" t="e">
        <f t="shared" ref="Y11:Y51" si="6">AVERAGE(T11,MAX(U11:V11),MAX(W11:X11))</f>
        <v>#DIV/0!</v>
      </c>
      <c r="Z11" s="48" t="e">
        <f t="shared" si="0"/>
        <v>#DIV/0!</v>
      </c>
      <c r="AA11" s="41" t="e">
        <f t="shared" ref="AA11:AA51" si="7">Z11*0.4</f>
        <v>#DIV/0!</v>
      </c>
      <c r="AB11" s="62"/>
      <c r="AC11" s="51">
        <f t="shared" ref="AC11" si="8">AB11*0.6</f>
        <v>0</v>
      </c>
      <c r="AD11" s="65" t="e">
        <f t="shared" ref="AD11" si="9">AVERAGE(AA11+AC11)</f>
        <v>#DIV/0!</v>
      </c>
      <c r="AE11" s="162" t="e">
        <f t="shared" ref="AE11:AE51" si="10">IF(AD11&gt;=10,"APROVADO/A","REPROVADO/A")</f>
        <v>#DIV/0!</v>
      </c>
    </row>
    <row r="12" spans="1:31" ht="15.75" customHeight="1" x14ac:dyDescent="0.3">
      <c r="B12" s="35">
        <v>3</v>
      </c>
      <c r="C12" s="197" t="s">
        <v>101</v>
      </c>
      <c r="D12" s="45"/>
      <c r="E12" s="38"/>
      <c r="F12" s="157">
        <v>16</v>
      </c>
      <c r="G12" s="157">
        <v>18.5</v>
      </c>
      <c r="H12" s="155"/>
      <c r="I12" s="157">
        <v>18.5</v>
      </c>
      <c r="J12" s="28"/>
      <c r="K12" s="56">
        <f t="shared" si="1"/>
        <v>17.666666666666668</v>
      </c>
      <c r="L12" s="166" t="str">
        <f t="shared" si="2"/>
        <v>TRANSITA</v>
      </c>
      <c r="M12" s="58">
        <v>12</v>
      </c>
      <c r="N12" s="27">
        <v>10</v>
      </c>
      <c r="O12" s="27"/>
      <c r="P12" s="32">
        <v>18</v>
      </c>
      <c r="Q12" s="28"/>
      <c r="R12" s="56">
        <f t="shared" si="3"/>
        <v>13.333333333333334</v>
      </c>
      <c r="S12" s="166" t="str">
        <f t="shared" si="4"/>
        <v>TRANSITA</v>
      </c>
      <c r="T12" s="59"/>
      <c r="U12" s="27"/>
      <c r="V12" s="27"/>
      <c r="W12" s="32" t="e">
        <f t="shared" si="5"/>
        <v>#DIV/0!</v>
      </c>
      <c r="X12" s="28"/>
      <c r="Y12" s="56" t="e">
        <f t="shared" si="6"/>
        <v>#DIV/0!</v>
      </c>
      <c r="Z12" s="48" t="e">
        <f t="shared" si="0"/>
        <v>#DIV/0!</v>
      </c>
      <c r="AA12" s="41" t="e">
        <f t="shared" si="7"/>
        <v>#DIV/0!</v>
      </c>
      <c r="AB12" s="62"/>
      <c r="AC12" s="51">
        <f t="shared" ref="AC12:AC45" si="11">AB12*0.6</f>
        <v>0</v>
      </c>
      <c r="AD12" s="65" t="e">
        <f t="shared" ref="AD12:AD45" si="12">AVERAGE(AA12+AC12)</f>
        <v>#DIV/0!</v>
      </c>
      <c r="AE12" s="162" t="e">
        <f t="shared" si="10"/>
        <v>#DIV/0!</v>
      </c>
    </row>
    <row r="13" spans="1:31" ht="15.75" customHeight="1" x14ac:dyDescent="0.3">
      <c r="B13" s="35">
        <v>4</v>
      </c>
      <c r="C13" s="197" t="s">
        <v>102</v>
      </c>
      <c r="D13" s="45"/>
      <c r="E13" s="38"/>
      <c r="F13" s="32">
        <v>16</v>
      </c>
      <c r="G13" s="32">
        <v>19</v>
      </c>
      <c r="H13" s="27"/>
      <c r="I13" s="32">
        <v>18.5</v>
      </c>
      <c r="J13" s="28"/>
      <c r="K13" s="56">
        <f t="shared" si="1"/>
        <v>17.833333333333332</v>
      </c>
      <c r="L13" s="166" t="str">
        <f t="shared" si="2"/>
        <v>TRANSITA</v>
      </c>
      <c r="M13" s="58">
        <v>11</v>
      </c>
      <c r="N13" s="27">
        <v>15</v>
      </c>
      <c r="O13" s="27"/>
      <c r="P13" s="32">
        <v>16</v>
      </c>
      <c r="Q13" s="28"/>
      <c r="R13" s="56">
        <f t="shared" si="3"/>
        <v>14</v>
      </c>
      <c r="S13" s="166" t="str">
        <f t="shared" si="4"/>
        <v>TRANSITA</v>
      </c>
      <c r="T13" s="59"/>
      <c r="U13" s="27"/>
      <c r="V13" s="27"/>
      <c r="W13" s="32" t="e">
        <f t="shared" si="5"/>
        <v>#DIV/0!</v>
      </c>
      <c r="X13" s="28"/>
      <c r="Y13" s="56" t="e">
        <f t="shared" si="6"/>
        <v>#DIV/0!</v>
      </c>
      <c r="Z13" s="48" t="e">
        <f t="shared" si="0"/>
        <v>#DIV/0!</v>
      </c>
      <c r="AA13" s="41" t="e">
        <f t="shared" si="7"/>
        <v>#DIV/0!</v>
      </c>
      <c r="AB13" s="62"/>
      <c r="AC13" s="51">
        <f t="shared" si="11"/>
        <v>0</v>
      </c>
      <c r="AD13" s="65" t="e">
        <f t="shared" si="12"/>
        <v>#DIV/0!</v>
      </c>
      <c r="AE13" s="162" t="e">
        <f t="shared" si="10"/>
        <v>#DIV/0!</v>
      </c>
    </row>
    <row r="14" spans="1:31" ht="15.75" customHeight="1" x14ac:dyDescent="0.3">
      <c r="B14" s="35">
        <v>5</v>
      </c>
      <c r="C14" s="197" t="s">
        <v>103</v>
      </c>
      <c r="D14" s="45"/>
      <c r="E14" s="38"/>
      <c r="F14" s="32">
        <v>16</v>
      </c>
      <c r="G14" s="32">
        <v>19</v>
      </c>
      <c r="H14" s="27"/>
      <c r="I14" s="32">
        <v>18.5</v>
      </c>
      <c r="J14" s="28"/>
      <c r="K14" s="56">
        <f t="shared" si="1"/>
        <v>17.833333333333332</v>
      </c>
      <c r="L14" s="166" t="str">
        <f t="shared" si="2"/>
        <v>TRANSITA</v>
      </c>
      <c r="M14" s="58">
        <v>15</v>
      </c>
      <c r="N14" s="27">
        <v>12</v>
      </c>
      <c r="O14" s="27"/>
      <c r="P14" s="32">
        <v>16</v>
      </c>
      <c r="Q14" s="28"/>
      <c r="R14" s="56">
        <f t="shared" si="3"/>
        <v>14.333333333333334</v>
      </c>
      <c r="S14" s="166" t="str">
        <f t="shared" si="4"/>
        <v>TRANSITA</v>
      </c>
      <c r="T14" s="59"/>
      <c r="U14" s="27"/>
      <c r="V14" s="27"/>
      <c r="W14" s="32" t="e">
        <f t="shared" si="5"/>
        <v>#DIV/0!</v>
      </c>
      <c r="X14" s="28"/>
      <c r="Y14" s="56" t="e">
        <f t="shared" si="6"/>
        <v>#DIV/0!</v>
      </c>
      <c r="Z14" s="48" t="e">
        <f t="shared" si="0"/>
        <v>#DIV/0!</v>
      </c>
      <c r="AA14" s="41" t="e">
        <f t="shared" si="7"/>
        <v>#DIV/0!</v>
      </c>
      <c r="AB14" s="62"/>
      <c r="AC14" s="51">
        <f t="shared" si="11"/>
        <v>0</v>
      </c>
      <c r="AD14" s="65" t="e">
        <f t="shared" si="12"/>
        <v>#DIV/0!</v>
      </c>
      <c r="AE14" s="162" t="e">
        <f t="shared" si="10"/>
        <v>#DIV/0!</v>
      </c>
    </row>
    <row r="15" spans="1:31" ht="15.75" customHeight="1" x14ac:dyDescent="0.3">
      <c r="B15" s="35">
        <v>6</v>
      </c>
      <c r="C15" s="197" t="s">
        <v>104</v>
      </c>
      <c r="D15" s="45"/>
      <c r="E15" s="38"/>
      <c r="F15" s="150">
        <v>14.5</v>
      </c>
      <c r="G15" s="150">
        <v>15.5</v>
      </c>
      <c r="H15" s="148"/>
      <c r="I15" s="150">
        <v>16</v>
      </c>
      <c r="J15" s="151"/>
      <c r="K15" s="56">
        <f t="shared" si="1"/>
        <v>15.333333333333334</v>
      </c>
      <c r="L15" s="166" t="str">
        <f t="shared" si="2"/>
        <v>TRANSITA</v>
      </c>
      <c r="M15" s="58">
        <v>14</v>
      </c>
      <c r="N15" s="148">
        <v>7</v>
      </c>
      <c r="O15" s="148"/>
      <c r="P15" s="32">
        <v>16</v>
      </c>
      <c r="Q15" s="151"/>
      <c r="R15" s="56">
        <f t="shared" si="3"/>
        <v>12.333333333333334</v>
      </c>
      <c r="S15" s="166" t="str">
        <f t="shared" si="4"/>
        <v>TRANSITA</v>
      </c>
      <c r="T15" s="149"/>
      <c r="U15" s="148"/>
      <c r="V15" s="148"/>
      <c r="W15" s="32" t="e">
        <f t="shared" si="5"/>
        <v>#DIV/0!</v>
      </c>
      <c r="X15" s="151"/>
      <c r="Y15" s="56" t="e">
        <f t="shared" si="6"/>
        <v>#DIV/0!</v>
      </c>
      <c r="Z15" s="48" t="e">
        <f t="shared" si="0"/>
        <v>#DIV/0!</v>
      </c>
      <c r="AA15" s="41" t="e">
        <f t="shared" si="7"/>
        <v>#DIV/0!</v>
      </c>
      <c r="AB15" s="62"/>
      <c r="AC15" s="51">
        <f t="shared" si="11"/>
        <v>0</v>
      </c>
      <c r="AD15" s="65" t="e">
        <f t="shared" si="12"/>
        <v>#DIV/0!</v>
      </c>
      <c r="AE15" s="162" t="e">
        <f t="shared" si="10"/>
        <v>#DIV/0!</v>
      </c>
    </row>
    <row r="16" spans="1:31" ht="15.75" customHeight="1" x14ac:dyDescent="0.3">
      <c r="B16" s="35">
        <v>7</v>
      </c>
      <c r="C16" s="197" t="s">
        <v>105</v>
      </c>
      <c r="D16" s="45"/>
      <c r="E16" s="38"/>
      <c r="F16" s="32">
        <v>16</v>
      </c>
      <c r="G16" s="32">
        <v>18</v>
      </c>
      <c r="H16" s="27"/>
      <c r="I16" s="32">
        <v>18.5</v>
      </c>
      <c r="J16" s="28"/>
      <c r="K16" s="56">
        <f t="shared" si="1"/>
        <v>17.5</v>
      </c>
      <c r="L16" s="166" t="str">
        <f t="shared" si="2"/>
        <v>TRANSITA</v>
      </c>
      <c r="M16" s="58">
        <v>14</v>
      </c>
      <c r="N16" s="27">
        <v>14</v>
      </c>
      <c r="O16" s="27"/>
      <c r="P16" s="32">
        <v>13</v>
      </c>
      <c r="Q16" s="28"/>
      <c r="R16" s="56">
        <f t="shared" si="3"/>
        <v>13.666666666666666</v>
      </c>
      <c r="S16" s="166" t="str">
        <f t="shared" si="4"/>
        <v>TRANSITA</v>
      </c>
      <c r="T16" s="59"/>
      <c r="U16" s="27"/>
      <c r="V16" s="27"/>
      <c r="W16" s="32" t="e">
        <f t="shared" si="5"/>
        <v>#DIV/0!</v>
      </c>
      <c r="X16" s="28"/>
      <c r="Y16" s="56" t="e">
        <f t="shared" si="6"/>
        <v>#DIV/0!</v>
      </c>
      <c r="Z16" s="48" t="e">
        <f t="shared" si="0"/>
        <v>#DIV/0!</v>
      </c>
      <c r="AA16" s="41" t="e">
        <f t="shared" si="7"/>
        <v>#DIV/0!</v>
      </c>
      <c r="AB16" s="62"/>
      <c r="AC16" s="51">
        <f t="shared" si="11"/>
        <v>0</v>
      </c>
      <c r="AD16" s="65" t="e">
        <f t="shared" si="12"/>
        <v>#DIV/0!</v>
      </c>
      <c r="AE16" s="162" t="e">
        <f t="shared" si="10"/>
        <v>#DIV/0!</v>
      </c>
    </row>
    <row r="17" spans="2:31" ht="15.75" customHeight="1" x14ac:dyDescent="0.3">
      <c r="B17" s="35">
        <v>8</v>
      </c>
      <c r="C17" s="197" t="s">
        <v>106</v>
      </c>
      <c r="D17" s="45"/>
      <c r="E17" s="38"/>
      <c r="F17" s="32">
        <v>15</v>
      </c>
      <c r="G17" s="32">
        <v>9</v>
      </c>
      <c r="H17" s="27"/>
      <c r="I17" s="32">
        <v>18</v>
      </c>
      <c r="J17" s="28"/>
      <c r="K17" s="56">
        <f t="shared" si="1"/>
        <v>14</v>
      </c>
      <c r="L17" s="166" t="str">
        <f t="shared" si="2"/>
        <v>TRANSITA</v>
      </c>
      <c r="M17" s="58">
        <v>13</v>
      </c>
      <c r="N17" s="27">
        <v>10</v>
      </c>
      <c r="O17" s="27"/>
      <c r="P17" s="32">
        <v>16.5</v>
      </c>
      <c r="Q17" s="28"/>
      <c r="R17" s="56">
        <f t="shared" si="3"/>
        <v>13.166666666666666</v>
      </c>
      <c r="S17" s="166" t="str">
        <f t="shared" si="4"/>
        <v>TRANSITA</v>
      </c>
      <c r="T17" s="59"/>
      <c r="U17" s="27"/>
      <c r="V17" s="27"/>
      <c r="W17" s="32" t="e">
        <f t="shared" si="5"/>
        <v>#DIV/0!</v>
      </c>
      <c r="X17" s="28"/>
      <c r="Y17" s="56" t="e">
        <f t="shared" si="6"/>
        <v>#DIV/0!</v>
      </c>
      <c r="Z17" s="48" t="e">
        <f t="shared" si="0"/>
        <v>#DIV/0!</v>
      </c>
      <c r="AA17" s="41" t="e">
        <f t="shared" si="7"/>
        <v>#DIV/0!</v>
      </c>
      <c r="AB17" s="62"/>
      <c r="AC17" s="51">
        <f t="shared" si="11"/>
        <v>0</v>
      </c>
      <c r="AD17" s="65" t="e">
        <f t="shared" si="12"/>
        <v>#DIV/0!</v>
      </c>
      <c r="AE17" s="162" t="e">
        <f t="shared" si="10"/>
        <v>#DIV/0!</v>
      </c>
    </row>
    <row r="18" spans="2:31" ht="15.75" customHeight="1" x14ac:dyDescent="0.3">
      <c r="B18" s="35">
        <v>9</v>
      </c>
      <c r="C18" s="197" t="s">
        <v>144</v>
      </c>
      <c r="D18" s="45"/>
      <c r="E18" s="38"/>
      <c r="F18" s="32">
        <v>10</v>
      </c>
      <c r="G18" s="32">
        <v>5</v>
      </c>
      <c r="H18" s="27"/>
      <c r="I18" s="32">
        <v>5</v>
      </c>
      <c r="J18" s="28"/>
      <c r="K18" s="56">
        <f t="shared" si="1"/>
        <v>6.666666666666667</v>
      </c>
      <c r="L18" s="166" t="str">
        <f t="shared" si="2"/>
        <v>N/TRANSITA</v>
      </c>
      <c r="M18" s="58">
        <v>10</v>
      </c>
      <c r="N18" s="27">
        <v>7</v>
      </c>
      <c r="O18" s="27"/>
      <c r="P18" s="32">
        <v>12</v>
      </c>
      <c r="Q18" s="28"/>
      <c r="R18" s="56">
        <f t="shared" ref="R18" si="13">AVERAGE(M18,MAX(N18:O18),MAX(P18:Q18))</f>
        <v>9.6666666666666661</v>
      </c>
      <c r="S18" s="166" t="str">
        <f t="shared" ref="S18" si="14">IF(R18&gt;=10,"TRANSITA","N/TRANSITA")</f>
        <v>N/TRANSITA</v>
      </c>
      <c r="T18" s="59"/>
      <c r="U18" s="27"/>
      <c r="V18" s="27"/>
      <c r="W18" s="32" t="e">
        <f t="shared" ref="W18" si="15">AVERAGE(T18:U18)</f>
        <v>#DIV/0!</v>
      </c>
      <c r="X18" s="28"/>
      <c r="Y18" s="56" t="e">
        <f t="shared" ref="Y18" si="16">AVERAGE(T18,MAX(U18:V18),MAX(W18:X18))</f>
        <v>#DIV/0!</v>
      </c>
      <c r="Z18" s="48" t="e">
        <f t="shared" ref="Z18" si="17">SUM(K18,R18,Y18)/3</f>
        <v>#DIV/0!</v>
      </c>
      <c r="AA18" s="41" t="e">
        <f t="shared" ref="AA18" si="18">Z18*0.4</f>
        <v>#DIV/0!</v>
      </c>
      <c r="AB18" s="62"/>
      <c r="AC18" s="51">
        <f t="shared" ref="AC18" si="19">AB18*0.6</f>
        <v>0</v>
      </c>
      <c r="AD18" s="65" t="e">
        <f t="shared" ref="AD18" si="20">AVERAGE(AA18+AC18)</f>
        <v>#DIV/0!</v>
      </c>
      <c r="AE18" s="162" t="e">
        <f t="shared" ref="AE18" si="21">IF(AD18&gt;=10,"APROVADO/A","REPROVADO/A")</f>
        <v>#DIV/0!</v>
      </c>
    </row>
    <row r="19" spans="2:31" ht="15.75" customHeight="1" x14ac:dyDescent="0.3">
      <c r="B19" s="35">
        <v>10</v>
      </c>
      <c r="C19" s="197" t="s">
        <v>107</v>
      </c>
      <c r="D19" s="45"/>
      <c r="E19" s="38"/>
      <c r="F19" s="32">
        <v>7</v>
      </c>
      <c r="G19" s="32">
        <v>13</v>
      </c>
      <c r="H19" s="27"/>
      <c r="I19" s="32">
        <v>18.5</v>
      </c>
      <c r="J19" s="28"/>
      <c r="K19" s="56">
        <f t="shared" si="1"/>
        <v>12.833333333333334</v>
      </c>
      <c r="L19" s="166" t="str">
        <f t="shared" si="2"/>
        <v>TRANSITA</v>
      </c>
      <c r="M19" s="58">
        <v>11</v>
      </c>
      <c r="N19" s="27">
        <v>10</v>
      </c>
      <c r="O19" s="27"/>
      <c r="P19" s="32">
        <v>14</v>
      </c>
      <c r="Q19" s="28"/>
      <c r="R19" s="56">
        <f t="shared" si="3"/>
        <v>11.666666666666666</v>
      </c>
      <c r="S19" s="166" t="str">
        <f t="shared" si="4"/>
        <v>TRANSITA</v>
      </c>
      <c r="T19" s="59"/>
      <c r="U19" s="27"/>
      <c r="V19" s="27"/>
      <c r="W19" s="32" t="e">
        <f t="shared" si="5"/>
        <v>#DIV/0!</v>
      </c>
      <c r="X19" s="28"/>
      <c r="Y19" s="56" t="e">
        <f t="shared" si="6"/>
        <v>#DIV/0!</v>
      </c>
      <c r="Z19" s="48" t="e">
        <f t="shared" si="0"/>
        <v>#DIV/0!</v>
      </c>
      <c r="AA19" s="41" t="e">
        <f t="shared" si="7"/>
        <v>#DIV/0!</v>
      </c>
      <c r="AB19" s="62"/>
      <c r="AC19" s="51">
        <f t="shared" si="11"/>
        <v>0</v>
      </c>
      <c r="AD19" s="65" t="e">
        <f t="shared" si="12"/>
        <v>#DIV/0!</v>
      </c>
      <c r="AE19" s="162" t="e">
        <f t="shared" si="10"/>
        <v>#DIV/0!</v>
      </c>
    </row>
    <row r="20" spans="2:31" ht="15.75" customHeight="1" x14ac:dyDescent="0.3">
      <c r="B20" s="35">
        <v>11</v>
      </c>
      <c r="C20" s="197" t="s">
        <v>108</v>
      </c>
      <c r="D20" s="45"/>
      <c r="E20" s="38"/>
      <c r="F20" s="32">
        <v>16</v>
      </c>
      <c r="G20" s="32">
        <v>18</v>
      </c>
      <c r="H20" s="27"/>
      <c r="I20" s="32">
        <v>18.5</v>
      </c>
      <c r="J20" s="28"/>
      <c r="K20" s="56">
        <f t="shared" si="1"/>
        <v>17.5</v>
      </c>
      <c r="L20" s="166" t="str">
        <f t="shared" si="2"/>
        <v>TRANSITA</v>
      </c>
      <c r="M20" s="58">
        <v>15</v>
      </c>
      <c r="N20" s="27">
        <v>16</v>
      </c>
      <c r="O20" s="27"/>
      <c r="P20" s="32">
        <v>14</v>
      </c>
      <c r="Q20" s="28"/>
      <c r="R20" s="56">
        <f t="shared" si="3"/>
        <v>15</v>
      </c>
      <c r="S20" s="166" t="str">
        <f t="shared" si="4"/>
        <v>TRANSITA</v>
      </c>
      <c r="T20" s="59"/>
      <c r="U20" s="27"/>
      <c r="V20" s="27"/>
      <c r="W20" s="32" t="e">
        <f t="shared" si="5"/>
        <v>#DIV/0!</v>
      </c>
      <c r="X20" s="28"/>
      <c r="Y20" s="56" t="e">
        <f t="shared" si="6"/>
        <v>#DIV/0!</v>
      </c>
      <c r="Z20" s="48" t="e">
        <f t="shared" si="0"/>
        <v>#DIV/0!</v>
      </c>
      <c r="AA20" s="41" t="e">
        <f t="shared" si="7"/>
        <v>#DIV/0!</v>
      </c>
      <c r="AB20" s="62"/>
      <c r="AC20" s="51">
        <f t="shared" ref="AC20" si="22">AB20*0.6</f>
        <v>0</v>
      </c>
      <c r="AD20" s="65" t="e">
        <f t="shared" ref="AD20" si="23">AVERAGE(AA20+AC20)</f>
        <v>#DIV/0!</v>
      </c>
      <c r="AE20" s="162" t="e">
        <f t="shared" si="10"/>
        <v>#DIV/0!</v>
      </c>
    </row>
    <row r="21" spans="2:31" ht="15.75" customHeight="1" x14ac:dyDescent="0.3">
      <c r="B21" s="35">
        <v>12</v>
      </c>
      <c r="C21" s="197" t="s">
        <v>109</v>
      </c>
      <c r="D21" s="45"/>
      <c r="E21" s="38"/>
      <c r="F21" s="150">
        <v>14.5</v>
      </c>
      <c r="G21" s="150">
        <v>18.5</v>
      </c>
      <c r="H21" s="148"/>
      <c r="I21" s="150">
        <v>18</v>
      </c>
      <c r="J21" s="151"/>
      <c r="K21" s="56">
        <f t="shared" si="1"/>
        <v>17</v>
      </c>
      <c r="L21" s="166" t="str">
        <f t="shared" si="2"/>
        <v>TRANSITA</v>
      </c>
      <c r="M21" s="58">
        <v>13</v>
      </c>
      <c r="N21" s="148">
        <v>15</v>
      </c>
      <c r="O21" s="148"/>
      <c r="P21" s="32">
        <v>15.5</v>
      </c>
      <c r="Q21" s="151"/>
      <c r="R21" s="56">
        <f t="shared" si="3"/>
        <v>14.5</v>
      </c>
      <c r="S21" s="166" t="str">
        <f t="shared" si="4"/>
        <v>TRANSITA</v>
      </c>
      <c r="T21" s="149"/>
      <c r="U21" s="148"/>
      <c r="V21" s="148"/>
      <c r="W21" s="32" t="e">
        <f t="shared" si="5"/>
        <v>#DIV/0!</v>
      </c>
      <c r="X21" s="151"/>
      <c r="Y21" s="56" t="e">
        <f t="shared" si="6"/>
        <v>#DIV/0!</v>
      </c>
      <c r="Z21" s="48" t="e">
        <f t="shared" si="0"/>
        <v>#DIV/0!</v>
      </c>
      <c r="AA21" s="41" t="e">
        <f t="shared" si="7"/>
        <v>#DIV/0!</v>
      </c>
      <c r="AB21" s="62"/>
      <c r="AC21" s="51">
        <f t="shared" ref="AC21" si="24">AB21*0.6</f>
        <v>0</v>
      </c>
      <c r="AD21" s="65" t="e">
        <f t="shared" ref="AD21" si="25">AVERAGE(AA21+AC21)</f>
        <v>#DIV/0!</v>
      </c>
      <c r="AE21" s="162" t="e">
        <f t="shared" si="10"/>
        <v>#DIV/0!</v>
      </c>
    </row>
    <row r="22" spans="2:31" ht="15.75" customHeight="1" x14ac:dyDescent="0.3">
      <c r="B22" s="35">
        <v>13</v>
      </c>
      <c r="C22" s="197" t="s">
        <v>110</v>
      </c>
      <c r="D22" s="45"/>
      <c r="E22" s="38"/>
      <c r="F22" s="32">
        <v>15.5</v>
      </c>
      <c r="G22" s="32">
        <v>17</v>
      </c>
      <c r="H22" s="27"/>
      <c r="I22" s="32">
        <v>18.5</v>
      </c>
      <c r="J22" s="28"/>
      <c r="K22" s="56">
        <f t="shared" si="1"/>
        <v>17</v>
      </c>
      <c r="L22" s="166" t="str">
        <f t="shared" si="2"/>
        <v>TRANSITA</v>
      </c>
      <c r="M22" s="58">
        <v>13</v>
      </c>
      <c r="N22" s="27">
        <v>7</v>
      </c>
      <c r="O22" s="27"/>
      <c r="P22" s="32">
        <v>14</v>
      </c>
      <c r="Q22" s="28"/>
      <c r="R22" s="56">
        <f t="shared" si="3"/>
        <v>11.333333333333334</v>
      </c>
      <c r="S22" s="166" t="str">
        <f t="shared" si="4"/>
        <v>TRANSITA</v>
      </c>
      <c r="T22" s="59"/>
      <c r="U22" s="27"/>
      <c r="V22" s="27"/>
      <c r="W22" s="32" t="e">
        <f t="shared" si="5"/>
        <v>#DIV/0!</v>
      </c>
      <c r="X22" s="28"/>
      <c r="Y22" s="56" t="e">
        <f t="shared" si="6"/>
        <v>#DIV/0!</v>
      </c>
      <c r="Z22" s="48" t="e">
        <f t="shared" si="0"/>
        <v>#DIV/0!</v>
      </c>
      <c r="AA22" s="41" t="e">
        <f t="shared" si="7"/>
        <v>#DIV/0!</v>
      </c>
      <c r="AB22" s="62"/>
      <c r="AC22" s="51">
        <f t="shared" si="11"/>
        <v>0</v>
      </c>
      <c r="AD22" s="65" t="e">
        <f t="shared" si="12"/>
        <v>#DIV/0!</v>
      </c>
      <c r="AE22" s="162" t="e">
        <f t="shared" si="10"/>
        <v>#DIV/0!</v>
      </c>
    </row>
    <row r="23" spans="2:31" ht="15.75" customHeight="1" x14ac:dyDescent="0.3">
      <c r="B23" s="35">
        <v>14</v>
      </c>
      <c r="C23" s="197" t="s">
        <v>111</v>
      </c>
      <c r="D23" s="45"/>
      <c r="E23" s="38"/>
      <c r="F23" s="32">
        <v>14</v>
      </c>
      <c r="G23" s="32">
        <v>18</v>
      </c>
      <c r="H23" s="27"/>
      <c r="I23" s="32">
        <v>17.5</v>
      </c>
      <c r="J23" s="28"/>
      <c r="K23" s="56">
        <f t="shared" si="1"/>
        <v>16.5</v>
      </c>
      <c r="L23" s="166" t="str">
        <f t="shared" si="2"/>
        <v>TRANSITA</v>
      </c>
      <c r="M23" s="58">
        <v>13</v>
      </c>
      <c r="N23" s="27">
        <v>13</v>
      </c>
      <c r="O23" s="27"/>
      <c r="P23" s="32">
        <v>14</v>
      </c>
      <c r="Q23" s="28"/>
      <c r="R23" s="56">
        <f t="shared" si="3"/>
        <v>13.333333333333334</v>
      </c>
      <c r="S23" s="166" t="str">
        <f t="shared" si="4"/>
        <v>TRANSITA</v>
      </c>
      <c r="T23" s="59"/>
      <c r="U23" s="27"/>
      <c r="V23" s="27"/>
      <c r="W23" s="32" t="e">
        <f t="shared" si="5"/>
        <v>#DIV/0!</v>
      </c>
      <c r="X23" s="28"/>
      <c r="Y23" s="56" t="e">
        <f t="shared" si="6"/>
        <v>#DIV/0!</v>
      </c>
      <c r="Z23" s="48" t="e">
        <f t="shared" si="0"/>
        <v>#DIV/0!</v>
      </c>
      <c r="AA23" s="41" t="e">
        <f t="shared" si="7"/>
        <v>#DIV/0!</v>
      </c>
      <c r="AB23" s="62"/>
      <c r="AC23" s="51">
        <f t="shared" si="11"/>
        <v>0</v>
      </c>
      <c r="AD23" s="65" t="e">
        <f t="shared" si="12"/>
        <v>#DIV/0!</v>
      </c>
      <c r="AE23" s="162" t="e">
        <f t="shared" si="10"/>
        <v>#DIV/0!</v>
      </c>
    </row>
    <row r="24" spans="2:31" ht="15.75" customHeight="1" x14ac:dyDescent="0.3">
      <c r="B24" s="35">
        <v>15</v>
      </c>
      <c r="C24" s="197" t="s">
        <v>112</v>
      </c>
      <c r="D24" s="45"/>
      <c r="E24" s="38"/>
      <c r="F24" s="32">
        <v>16</v>
      </c>
      <c r="G24" s="32">
        <v>20</v>
      </c>
      <c r="H24" s="27"/>
      <c r="I24" s="32">
        <v>18.5</v>
      </c>
      <c r="J24" s="28"/>
      <c r="K24" s="56">
        <f t="shared" si="1"/>
        <v>18.166666666666668</v>
      </c>
      <c r="L24" s="166" t="str">
        <f t="shared" si="2"/>
        <v>TRANSITA</v>
      </c>
      <c r="M24" s="58">
        <v>12</v>
      </c>
      <c r="N24" s="27">
        <v>15</v>
      </c>
      <c r="O24" s="27"/>
      <c r="P24" s="32">
        <v>12</v>
      </c>
      <c r="Q24" s="28"/>
      <c r="R24" s="56">
        <f t="shared" si="3"/>
        <v>13</v>
      </c>
      <c r="S24" s="166" t="str">
        <f t="shared" si="4"/>
        <v>TRANSITA</v>
      </c>
      <c r="T24" s="59"/>
      <c r="U24" s="27"/>
      <c r="V24" s="27"/>
      <c r="W24" s="32" t="e">
        <f t="shared" si="5"/>
        <v>#DIV/0!</v>
      </c>
      <c r="X24" s="28"/>
      <c r="Y24" s="56" t="e">
        <f t="shared" si="6"/>
        <v>#DIV/0!</v>
      </c>
      <c r="Z24" s="48" t="e">
        <f t="shared" si="0"/>
        <v>#DIV/0!</v>
      </c>
      <c r="AA24" s="41" t="e">
        <f t="shared" si="7"/>
        <v>#DIV/0!</v>
      </c>
      <c r="AB24" s="62"/>
      <c r="AC24" s="51">
        <f t="shared" si="11"/>
        <v>0</v>
      </c>
      <c r="AD24" s="65" t="e">
        <f t="shared" si="12"/>
        <v>#DIV/0!</v>
      </c>
      <c r="AE24" s="162" t="e">
        <f t="shared" si="10"/>
        <v>#DIV/0!</v>
      </c>
    </row>
    <row r="25" spans="2:31" ht="15.75" customHeight="1" x14ac:dyDescent="0.3">
      <c r="B25" s="35">
        <v>16</v>
      </c>
      <c r="C25" s="197" t="s">
        <v>113</v>
      </c>
      <c r="D25" s="45"/>
      <c r="E25" s="38"/>
      <c r="F25" s="32">
        <v>16</v>
      </c>
      <c r="G25" s="32">
        <v>15</v>
      </c>
      <c r="H25" s="27"/>
      <c r="I25" s="32">
        <v>18.5</v>
      </c>
      <c r="J25" s="28"/>
      <c r="K25" s="56">
        <f t="shared" si="1"/>
        <v>16.5</v>
      </c>
      <c r="L25" s="166" t="str">
        <f t="shared" si="2"/>
        <v>TRANSITA</v>
      </c>
      <c r="M25" s="58">
        <v>12</v>
      </c>
      <c r="N25" s="27">
        <v>10</v>
      </c>
      <c r="O25" s="27"/>
      <c r="P25" s="32">
        <v>16</v>
      </c>
      <c r="Q25" s="28"/>
      <c r="R25" s="56">
        <f t="shared" si="3"/>
        <v>12.666666666666666</v>
      </c>
      <c r="S25" s="166" t="str">
        <f t="shared" si="4"/>
        <v>TRANSITA</v>
      </c>
      <c r="T25" s="59"/>
      <c r="U25" s="27"/>
      <c r="V25" s="27"/>
      <c r="W25" s="32" t="e">
        <f t="shared" si="5"/>
        <v>#DIV/0!</v>
      </c>
      <c r="X25" s="28"/>
      <c r="Y25" s="56" t="e">
        <f t="shared" si="6"/>
        <v>#DIV/0!</v>
      </c>
      <c r="Z25" s="48" t="e">
        <f t="shared" si="0"/>
        <v>#DIV/0!</v>
      </c>
      <c r="AA25" s="41" t="e">
        <f t="shared" si="7"/>
        <v>#DIV/0!</v>
      </c>
      <c r="AB25" s="62"/>
      <c r="AC25" s="51">
        <f t="shared" si="11"/>
        <v>0</v>
      </c>
      <c r="AD25" s="65" t="e">
        <f t="shared" si="12"/>
        <v>#DIV/0!</v>
      </c>
      <c r="AE25" s="162" t="e">
        <f t="shared" si="10"/>
        <v>#DIV/0!</v>
      </c>
    </row>
    <row r="26" spans="2:31" ht="15.75" customHeight="1" x14ac:dyDescent="0.3">
      <c r="B26" s="35">
        <v>17</v>
      </c>
      <c r="C26" s="197" t="s">
        <v>114</v>
      </c>
      <c r="D26" s="45"/>
      <c r="E26" s="38"/>
      <c r="F26" s="32">
        <v>16.5</v>
      </c>
      <c r="G26" s="32">
        <v>19</v>
      </c>
      <c r="H26" s="27"/>
      <c r="I26" s="32">
        <v>18.5</v>
      </c>
      <c r="J26" s="28"/>
      <c r="K26" s="56">
        <f t="shared" si="1"/>
        <v>18</v>
      </c>
      <c r="L26" s="166" t="str">
        <f t="shared" si="2"/>
        <v>TRANSITA</v>
      </c>
      <c r="M26" s="58">
        <v>15</v>
      </c>
      <c r="N26" s="27">
        <v>15</v>
      </c>
      <c r="O26" s="27"/>
      <c r="P26" s="32">
        <v>10</v>
      </c>
      <c r="Q26" s="28"/>
      <c r="R26" s="56">
        <f t="shared" si="3"/>
        <v>13.333333333333334</v>
      </c>
      <c r="S26" s="166" t="str">
        <f t="shared" si="4"/>
        <v>TRANSITA</v>
      </c>
      <c r="T26" s="59"/>
      <c r="U26" s="27"/>
      <c r="V26" s="27"/>
      <c r="W26" s="32" t="e">
        <f t="shared" si="5"/>
        <v>#DIV/0!</v>
      </c>
      <c r="X26" s="28"/>
      <c r="Y26" s="56" t="e">
        <f t="shared" si="6"/>
        <v>#DIV/0!</v>
      </c>
      <c r="Z26" s="48" t="e">
        <f t="shared" si="0"/>
        <v>#DIV/0!</v>
      </c>
      <c r="AA26" s="41" t="e">
        <f t="shared" si="7"/>
        <v>#DIV/0!</v>
      </c>
      <c r="AB26" s="62"/>
      <c r="AC26" s="51">
        <f t="shared" ref="AC26:AC39" si="26">AB26*0.6</f>
        <v>0</v>
      </c>
      <c r="AD26" s="65" t="e">
        <f t="shared" ref="AD26:AD39" si="27">AVERAGE(AA26+AC26)</f>
        <v>#DIV/0!</v>
      </c>
      <c r="AE26" s="162" t="e">
        <f t="shared" si="10"/>
        <v>#DIV/0!</v>
      </c>
    </row>
    <row r="27" spans="2:31" ht="15.75" customHeight="1" x14ac:dyDescent="0.3">
      <c r="B27" s="35">
        <v>18</v>
      </c>
      <c r="C27" s="197" t="s">
        <v>115</v>
      </c>
      <c r="D27" s="45"/>
      <c r="E27" s="38"/>
      <c r="F27" s="32">
        <v>16</v>
      </c>
      <c r="G27" s="32">
        <v>17.5</v>
      </c>
      <c r="H27" s="27"/>
      <c r="I27" s="32">
        <v>18.5</v>
      </c>
      <c r="J27" s="28"/>
      <c r="K27" s="56">
        <f t="shared" si="1"/>
        <v>17.333333333333332</v>
      </c>
      <c r="L27" s="166" t="str">
        <f t="shared" si="2"/>
        <v>TRANSITA</v>
      </c>
      <c r="M27" s="58">
        <v>13</v>
      </c>
      <c r="N27" s="27">
        <v>10</v>
      </c>
      <c r="O27" s="27"/>
      <c r="P27" s="32">
        <v>16</v>
      </c>
      <c r="Q27" s="28"/>
      <c r="R27" s="56">
        <f t="shared" si="3"/>
        <v>13</v>
      </c>
      <c r="S27" s="166" t="str">
        <f t="shared" si="4"/>
        <v>TRANSITA</v>
      </c>
      <c r="T27" s="59"/>
      <c r="U27" s="27"/>
      <c r="V27" s="27"/>
      <c r="W27" s="32" t="e">
        <f t="shared" si="5"/>
        <v>#DIV/0!</v>
      </c>
      <c r="X27" s="28"/>
      <c r="Y27" s="56" t="e">
        <f t="shared" si="6"/>
        <v>#DIV/0!</v>
      </c>
      <c r="Z27" s="48" t="e">
        <f t="shared" si="0"/>
        <v>#DIV/0!</v>
      </c>
      <c r="AA27" s="41" t="e">
        <f t="shared" si="7"/>
        <v>#DIV/0!</v>
      </c>
      <c r="AB27" s="62"/>
      <c r="AC27" s="51">
        <f t="shared" si="26"/>
        <v>0</v>
      </c>
      <c r="AD27" s="65" t="e">
        <f t="shared" si="27"/>
        <v>#DIV/0!</v>
      </c>
      <c r="AE27" s="162" t="e">
        <f t="shared" si="10"/>
        <v>#DIV/0!</v>
      </c>
    </row>
    <row r="28" spans="2:31" ht="15.75" customHeight="1" x14ac:dyDescent="0.3">
      <c r="B28" s="35">
        <v>19</v>
      </c>
      <c r="C28" s="197" t="s">
        <v>116</v>
      </c>
      <c r="D28" s="45"/>
      <c r="E28" s="38"/>
      <c r="F28" s="32">
        <v>16</v>
      </c>
      <c r="G28" s="32">
        <v>15</v>
      </c>
      <c r="H28" s="27"/>
      <c r="I28" s="32">
        <v>17.5</v>
      </c>
      <c r="J28" s="28"/>
      <c r="K28" s="56">
        <f t="shared" si="1"/>
        <v>16.166666666666668</v>
      </c>
      <c r="L28" s="166" t="str">
        <f t="shared" si="2"/>
        <v>TRANSITA</v>
      </c>
      <c r="M28" s="58">
        <v>13</v>
      </c>
      <c r="N28" s="27">
        <v>15</v>
      </c>
      <c r="O28" s="27"/>
      <c r="P28" s="32">
        <v>15</v>
      </c>
      <c r="Q28" s="28"/>
      <c r="R28" s="56">
        <f t="shared" si="3"/>
        <v>14.333333333333334</v>
      </c>
      <c r="S28" s="166" t="str">
        <f t="shared" si="4"/>
        <v>TRANSITA</v>
      </c>
      <c r="T28" s="59"/>
      <c r="U28" s="27"/>
      <c r="V28" s="27"/>
      <c r="W28" s="32" t="e">
        <f t="shared" si="5"/>
        <v>#DIV/0!</v>
      </c>
      <c r="X28" s="28"/>
      <c r="Y28" s="56" t="e">
        <f t="shared" si="6"/>
        <v>#DIV/0!</v>
      </c>
      <c r="Z28" s="48" t="e">
        <f t="shared" si="0"/>
        <v>#DIV/0!</v>
      </c>
      <c r="AA28" s="41" t="e">
        <f t="shared" si="7"/>
        <v>#DIV/0!</v>
      </c>
      <c r="AB28" s="62"/>
      <c r="AC28" s="51">
        <f t="shared" ref="AC28:AC29" si="28">AB28*0.6</f>
        <v>0</v>
      </c>
      <c r="AD28" s="65" t="e">
        <f t="shared" ref="AD28:AD29" si="29">AVERAGE(AA28+AC28)</f>
        <v>#DIV/0!</v>
      </c>
      <c r="AE28" s="162" t="e">
        <f t="shared" si="10"/>
        <v>#DIV/0!</v>
      </c>
    </row>
    <row r="29" spans="2:31" ht="15.75" customHeight="1" x14ac:dyDescent="0.3">
      <c r="B29" s="35">
        <v>20</v>
      </c>
      <c r="C29" s="197" t="s">
        <v>117</v>
      </c>
      <c r="D29" s="45"/>
      <c r="E29" s="38"/>
      <c r="F29" s="32">
        <v>14</v>
      </c>
      <c r="G29" s="32">
        <v>18</v>
      </c>
      <c r="H29" s="27"/>
      <c r="I29" s="32">
        <v>18.5</v>
      </c>
      <c r="J29" s="28"/>
      <c r="K29" s="56">
        <f t="shared" si="1"/>
        <v>16.833333333333332</v>
      </c>
      <c r="L29" s="166" t="str">
        <f t="shared" si="2"/>
        <v>TRANSITA</v>
      </c>
      <c r="M29" s="58"/>
      <c r="N29" s="27"/>
      <c r="O29" s="27"/>
      <c r="P29" s="32"/>
      <c r="Q29" s="28"/>
      <c r="R29" s="56">
        <f t="shared" si="3"/>
        <v>0</v>
      </c>
      <c r="S29" s="166" t="str">
        <f t="shared" si="4"/>
        <v>N/TRANSITA</v>
      </c>
      <c r="T29" s="59"/>
      <c r="U29" s="27"/>
      <c r="V29" s="27"/>
      <c r="W29" s="32" t="e">
        <f t="shared" si="5"/>
        <v>#DIV/0!</v>
      </c>
      <c r="X29" s="28"/>
      <c r="Y29" s="56" t="e">
        <f t="shared" si="6"/>
        <v>#DIV/0!</v>
      </c>
      <c r="Z29" s="48" t="e">
        <f t="shared" si="0"/>
        <v>#DIV/0!</v>
      </c>
      <c r="AA29" s="41" t="e">
        <f t="shared" si="7"/>
        <v>#DIV/0!</v>
      </c>
      <c r="AB29" s="62"/>
      <c r="AC29" s="51">
        <f t="shared" si="28"/>
        <v>0</v>
      </c>
      <c r="AD29" s="65" t="e">
        <f t="shared" si="29"/>
        <v>#DIV/0!</v>
      </c>
      <c r="AE29" s="162" t="e">
        <f t="shared" si="10"/>
        <v>#DIV/0!</v>
      </c>
    </row>
    <row r="30" spans="2:31" ht="15.75" customHeight="1" x14ac:dyDescent="0.3">
      <c r="B30" s="35">
        <v>21</v>
      </c>
      <c r="C30" s="197" t="s">
        <v>118</v>
      </c>
      <c r="D30" s="45"/>
      <c r="E30" s="38"/>
      <c r="F30" s="157">
        <v>15</v>
      </c>
      <c r="G30" s="157">
        <v>18</v>
      </c>
      <c r="H30" s="155"/>
      <c r="I30" s="157">
        <v>18.5</v>
      </c>
      <c r="J30" s="158"/>
      <c r="K30" s="56">
        <f t="shared" si="1"/>
        <v>17.166666666666668</v>
      </c>
      <c r="L30" s="166" t="str">
        <f t="shared" si="2"/>
        <v>TRANSITA</v>
      </c>
      <c r="M30" s="58">
        <v>15</v>
      </c>
      <c r="N30" s="155">
        <v>15</v>
      </c>
      <c r="O30" s="155"/>
      <c r="P30" s="32">
        <v>13</v>
      </c>
      <c r="Q30" s="158"/>
      <c r="R30" s="56">
        <f t="shared" si="3"/>
        <v>14.333333333333334</v>
      </c>
      <c r="S30" s="166" t="str">
        <f t="shared" si="4"/>
        <v>TRANSITA</v>
      </c>
      <c r="T30" s="156"/>
      <c r="U30" s="155"/>
      <c r="V30" s="155"/>
      <c r="W30" s="32" t="e">
        <f t="shared" si="5"/>
        <v>#DIV/0!</v>
      </c>
      <c r="X30" s="158"/>
      <c r="Y30" s="56" t="e">
        <f t="shared" si="6"/>
        <v>#DIV/0!</v>
      </c>
      <c r="Z30" s="48" t="e">
        <f t="shared" si="0"/>
        <v>#DIV/0!</v>
      </c>
      <c r="AA30" s="41" t="e">
        <f t="shared" si="7"/>
        <v>#DIV/0!</v>
      </c>
      <c r="AB30" s="62"/>
      <c r="AC30" s="51">
        <f t="shared" ref="AC30" si="30">AB30*0.6</f>
        <v>0</v>
      </c>
      <c r="AD30" s="65" t="e">
        <f t="shared" ref="AD30" si="31">AVERAGE(AA30+AC30)</f>
        <v>#DIV/0!</v>
      </c>
      <c r="AE30" s="162" t="e">
        <f t="shared" si="10"/>
        <v>#DIV/0!</v>
      </c>
    </row>
    <row r="31" spans="2:31" ht="15.75" customHeight="1" x14ac:dyDescent="0.3">
      <c r="B31" s="35">
        <v>22</v>
      </c>
      <c r="C31" s="197" t="s">
        <v>119</v>
      </c>
      <c r="D31" s="45"/>
      <c r="E31" s="38"/>
      <c r="F31" s="32">
        <v>16.5</v>
      </c>
      <c r="G31" s="32">
        <v>20</v>
      </c>
      <c r="H31" s="27"/>
      <c r="I31" s="32">
        <v>15.5</v>
      </c>
      <c r="J31" s="28"/>
      <c r="K31" s="56">
        <f t="shared" si="1"/>
        <v>17.333333333333332</v>
      </c>
      <c r="L31" s="166" t="str">
        <f t="shared" si="2"/>
        <v>TRANSITA</v>
      </c>
      <c r="M31" s="58">
        <v>12</v>
      </c>
      <c r="N31" s="27">
        <v>10</v>
      </c>
      <c r="O31" s="27"/>
      <c r="P31" s="32">
        <v>16</v>
      </c>
      <c r="Q31" s="28"/>
      <c r="R31" s="56">
        <f t="shared" si="3"/>
        <v>12.666666666666666</v>
      </c>
      <c r="S31" s="166" t="str">
        <f t="shared" si="4"/>
        <v>TRANSITA</v>
      </c>
      <c r="T31" s="59"/>
      <c r="U31" s="27"/>
      <c r="V31" s="27"/>
      <c r="W31" s="32" t="e">
        <f t="shared" si="5"/>
        <v>#DIV/0!</v>
      </c>
      <c r="X31" s="28"/>
      <c r="Y31" s="56" t="e">
        <f t="shared" si="6"/>
        <v>#DIV/0!</v>
      </c>
      <c r="Z31" s="48" t="e">
        <f t="shared" si="0"/>
        <v>#DIV/0!</v>
      </c>
      <c r="AA31" s="41" t="e">
        <f t="shared" si="7"/>
        <v>#DIV/0!</v>
      </c>
      <c r="AB31" s="62"/>
      <c r="AC31" s="51">
        <f t="shared" si="26"/>
        <v>0</v>
      </c>
      <c r="AD31" s="65" t="e">
        <f t="shared" si="27"/>
        <v>#DIV/0!</v>
      </c>
      <c r="AE31" s="162" t="e">
        <f t="shared" si="10"/>
        <v>#DIV/0!</v>
      </c>
    </row>
    <row r="32" spans="2:31" ht="15.75" customHeight="1" x14ac:dyDescent="0.3">
      <c r="B32" s="35">
        <v>23</v>
      </c>
      <c r="C32" s="197" t="s">
        <v>120</v>
      </c>
      <c r="D32" s="45"/>
      <c r="E32" s="38"/>
      <c r="F32" s="32">
        <v>15.5</v>
      </c>
      <c r="G32" s="32">
        <v>20</v>
      </c>
      <c r="H32" s="27"/>
      <c r="I32" s="32">
        <v>10</v>
      </c>
      <c r="J32" s="28"/>
      <c r="K32" s="56">
        <f t="shared" si="1"/>
        <v>15.166666666666666</v>
      </c>
      <c r="L32" s="166" t="str">
        <f t="shared" si="2"/>
        <v>TRANSITA</v>
      </c>
      <c r="M32" s="58">
        <v>14</v>
      </c>
      <c r="N32" s="27">
        <v>15</v>
      </c>
      <c r="O32" s="27"/>
      <c r="P32" s="32">
        <v>17.5</v>
      </c>
      <c r="Q32" s="28"/>
      <c r="R32" s="56">
        <f t="shared" si="3"/>
        <v>15.5</v>
      </c>
      <c r="S32" s="166" t="str">
        <f t="shared" si="4"/>
        <v>TRANSITA</v>
      </c>
      <c r="T32" s="59"/>
      <c r="U32" s="27"/>
      <c r="V32" s="27"/>
      <c r="W32" s="32" t="e">
        <f t="shared" si="5"/>
        <v>#DIV/0!</v>
      </c>
      <c r="X32" s="28"/>
      <c r="Y32" s="56" t="e">
        <f t="shared" si="6"/>
        <v>#DIV/0!</v>
      </c>
      <c r="Z32" s="48" t="e">
        <f t="shared" si="0"/>
        <v>#DIV/0!</v>
      </c>
      <c r="AA32" s="41" t="e">
        <f t="shared" si="7"/>
        <v>#DIV/0!</v>
      </c>
      <c r="AB32" s="62"/>
      <c r="AC32" s="51">
        <f t="shared" si="26"/>
        <v>0</v>
      </c>
      <c r="AD32" s="65" t="e">
        <f t="shared" si="27"/>
        <v>#DIV/0!</v>
      </c>
      <c r="AE32" s="162" t="e">
        <f t="shared" si="10"/>
        <v>#DIV/0!</v>
      </c>
    </row>
    <row r="33" spans="2:31" ht="15.75" customHeight="1" x14ac:dyDescent="0.3">
      <c r="B33" s="35">
        <v>24</v>
      </c>
      <c r="C33" s="197" t="s">
        <v>121</v>
      </c>
      <c r="D33" s="45"/>
      <c r="E33" s="38"/>
      <c r="F33" s="32">
        <v>14</v>
      </c>
      <c r="G33" s="32">
        <v>10</v>
      </c>
      <c r="H33" s="27"/>
      <c r="I33" s="32">
        <v>12</v>
      </c>
      <c r="J33" s="28"/>
      <c r="K33" s="56">
        <f t="shared" si="1"/>
        <v>12</v>
      </c>
      <c r="L33" s="166" t="str">
        <f t="shared" si="2"/>
        <v>TRANSITA</v>
      </c>
      <c r="M33" s="58">
        <v>10</v>
      </c>
      <c r="N33" s="27">
        <v>7</v>
      </c>
      <c r="O33" s="27"/>
      <c r="P33" s="32">
        <v>13</v>
      </c>
      <c r="Q33" s="28"/>
      <c r="R33" s="56">
        <f t="shared" si="3"/>
        <v>10</v>
      </c>
      <c r="S33" s="166" t="str">
        <f t="shared" si="4"/>
        <v>TRANSITA</v>
      </c>
      <c r="T33" s="59"/>
      <c r="U33" s="27"/>
      <c r="V33" s="27"/>
      <c r="W33" s="32" t="e">
        <f t="shared" si="5"/>
        <v>#DIV/0!</v>
      </c>
      <c r="X33" s="28"/>
      <c r="Y33" s="56" t="e">
        <f t="shared" si="6"/>
        <v>#DIV/0!</v>
      </c>
      <c r="Z33" s="48" t="e">
        <f t="shared" si="0"/>
        <v>#DIV/0!</v>
      </c>
      <c r="AA33" s="41" t="e">
        <f t="shared" si="7"/>
        <v>#DIV/0!</v>
      </c>
      <c r="AB33" s="62"/>
      <c r="AC33" s="51">
        <f t="shared" si="26"/>
        <v>0</v>
      </c>
      <c r="AD33" s="65" t="e">
        <f t="shared" si="27"/>
        <v>#DIV/0!</v>
      </c>
      <c r="AE33" s="162" t="e">
        <f t="shared" si="10"/>
        <v>#DIV/0!</v>
      </c>
    </row>
    <row r="34" spans="2:31" ht="15.75" customHeight="1" x14ac:dyDescent="0.3">
      <c r="B34" s="35">
        <v>25</v>
      </c>
      <c r="C34" s="197" t="s">
        <v>122</v>
      </c>
      <c r="D34" s="45"/>
      <c r="E34" s="38"/>
      <c r="F34" s="32">
        <v>15.5</v>
      </c>
      <c r="G34" s="32">
        <v>18.5</v>
      </c>
      <c r="H34" s="27"/>
      <c r="I34" s="32">
        <v>18.5</v>
      </c>
      <c r="J34" s="28"/>
      <c r="K34" s="56">
        <f t="shared" si="1"/>
        <v>17.5</v>
      </c>
      <c r="L34" s="166" t="str">
        <f t="shared" si="2"/>
        <v>TRANSITA</v>
      </c>
      <c r="M34" s="58">
        <v>15</v>
      </c>
      <c r="N34" s="27">
        <v>15</v>
      </c>
      <c r="O34" s="27"/>
      <c r="P34" s="32">
        <v>16</v>
      </c>
      <c r="Q34" s="28"/>
      <c r="R34" s="56">
        <f t="shared" si="3"/>
        <v>15.333333333333334</v>
      </c>
      <c r="S34" s="166" t="str">
        <f t="shared" si="4"/>
        <v>TRANSITA</v>
      </c>
      <c r="T34" s="59"/>
      <c r="U34" s="27"/>
      <c r="V34" s="27"/>
      <c r="W34" s="32" t="e">
        <f t="shared" si="5"/>
        <v>#DIV/0!</v>
      </c>
      <c r="X34" s="28"/>
      <c r="Y34" s="56" t="e">
        <f t="shared" si="6"/>
        <v>#DIV/0!</v>
      </c>
      <c r="Z34" s="48" t="e">
        <f t="shared" si="0"/>
        <v>#DIV/0!</v>
      </c>
      <c r="AA34" s="41" t="e">
        <f t="shared" si="7"/>
        <v>#DIV/0!</v>
      </c>
      <c r="AB34" s="62"/>
      <c r="AC34" s="51">
        <f t="shared" si="26"/>
        <v>0</v>
      </c>
      <c r="AD34" s="65" t="e">
        <f t="shared" si="27"/>
        <v>#DIV/0!</v>
      </c>
      <c r="AE34" s="162" t="e">
        <f t="shared" si="10"/>
        <v>#DIV/0!</v>
      </c>
    </row>
    <row r="35" spans="2:31" ht="15.75" customHeight="1" x14ac:dyDescent="0.3">
      <c r="B35" s="35">
        <v>26</v>
      </c>
      <c r="C35" s="197" t="s">
        <v>123</v>
      </c>
      <c r="D35" s="45"/>
      <c r="E35" s="38"/>
      <c r="F35" s="32">
        <v>15</v>
      </c>
      <c r="G35" s="32">
        <v>10</v>
      </c>
      <c r="H35" s="27"/>
      <c r="I35" s="32">
        <v>15.5</v>
      </c>
      <c r="J35" s="28"/>
      <c r="K35" s="56">
        <f t="shared" si="1"/>
        <v>13.5</v>
      </c>
      <c r="L35" s="166" t="str">
        <f t="shared" si="2"/>
        <v>TRANSITA</v>
      </c>
      <c r="M35" s="58">
        <v>10</v>
      </c>
      <c r="N35" s="27">
        <v>7</v>
      </c>
      <c r="O35" s="27"/>
      <c r="P35" s="32">
        <v>18</v>
      </c>
      <c r="Q35" s="28"/>
      <c r="R35" s="56">
        <f t="shared" si="3"/>
        <v>11.666666666666666</v>
      </c>
      <c r="S35" s="166" t="str">
        <f t="shared" si="4"/>
        <v>TRANSITA</v>
      </c>
      <c r="T35" s="59"/>
      <c r="U35" s="27"/>
      <c r="V35" s="27"/>
      <c r="W35" s="32" t="e">
        <f t="shared" si="5"/>
        <v>#DIV/0!</v>
      </c>
      <c r="X35" s="28"/>
      <c r="Y35" s="56" t="e">
        <f t="shared" si="6"/>
        <v>#DIV/0!</v>
      </c>
      <c r="Z35" s="48" t="e">
        <f t="shared" si="0"/>
        <v>#DIV/0!</v>
      </c>
      <c r="AA35" s="41" t="e">
        <f t="shared" si="7"/>
        <v>#DIV/0!</v>
      </c>
      <c r="AB35" s="62"/>
      <c r="AC35" s="51">
        <f t="shared" si="26"/>
        <v>0</v>
      </c>
      <c r="AD35" s="65" t="e">
        <f t="shared" si="27"/>
        <v>#DIV/0!</v>
      </c>
      <c r="AE35" s="162" t="e">
        <f t="shared" si="10"/>
        <v>#DIV/0!</v>
      </c>
    </row>
    <row r="36" spans="2:31" ht="15.75" customHeight="1" x14ac:dyDescent="0.3">
      <c r="B36" s="35">
        <v>27</v>
      </c>
      <c r="C36" s="197" t="s">
        <v>124</v>
      </c>
      <c r="D36" s="45"/>
      <c r="E36" s="38"/>
      <c r="F36" s="32">
        <v>16</v>
      </c>
      <c r="G36" s="32">
        <v>14.5</v>
      </c>
      <c r="H36" s="27"/>
      <c r="I36" s="32">
        <v>16</v>
      </c>
      <c r="J36" s="28"/>
      <c r="K36" s="56">
        <f t="shared" si="1"/>
        <v>15.5</v>
      </c>
      <c r="L36" s="166" t="str">
        <f t="shared" si="2"/>
        <v>TRANSITA</v>
      </c>
      <c r="M36" s="58">
        <v>11</v>
      </c>
      <c r="N36" s="27">
        <v>7</v>
      </c>
      <c r="O36" s="27"/>
      <c r="P36" s="32">
        <v>12</v>
      </c>
      <c r="Q36" s="28"/>
      <c r="R36" s="56">
        <f t="shared" si="3"/>
        <v>10</v>
      </c>
      <c r="S36" s="166" t="str">
        <f t="shared" si="4"/>
        <v>TRANSITA</v>
      </c>
      <c r="T36" s="59"/>
      <c r="U36" s="27"/>
      <c r="V36" s="27"/>
      <c r="W36" s="32" t="e">
        <f t="shared" si="5"/>
        <v>#DIV/0!</v>
      </c>
      <c r="X36" s="28"/>
      <c r="Y36" s="56" t="e">
        <f t="shared" si="6"/>
        <v>#DIV/0!</v>
      </c>
      <c r="Z36" s="48" t="e">
        <f t="shared" si="0"/>
        <v>#DIV/0!</v>
      </c>
      <c r="AA36" s="41" t="e">
        <f t="shared" si="7"/>
        <v>#DIV/0!</v>
      </c>
      <c r="AB36" s="62"/>
      <c r="AC36" s="51">
        <f t="shared" si="26"/>
        <v>0</v>
      </c>
      <c r="AD36" s="65" t="e">
        <f t="shared" si="27"/>
        <v>#DIV/0!</v>
      </c>
      <c r="AE36" s="162" t="e">
        <f t="shared" si="10"/>
        <v>#DIV/0!</v>
      </c>
    </row>
    <row r="37" spans="2:31" ht="15.75" customHeight="1" x14ac:dyDescent="0.3">
      <c r="B37" s="35">
        <v>28</v>
      </c>
      <c r="C37" s="197" t="s">
        <v>125</v>
      </c>
      <c r="D37" s="45"/>
      <c r="E37" s="38"/>
      <c r="F37" s="150">
        <v>14</v>
      </c>
      <c r="G37" s="150">
        <v>18.5</v>
      </c>
      <c r="H37" s="148"/>
      <c r="I37" s="150">
        <v>18.5</v>
      </c>
      <c r="J37" s="151"/>
      <c r="K37" s="56">
        <f t="shared" si="1"/>
        <v>17</v>
      </c>
      <c r="L37" s="166" t="str">
        <f t="shared" si="2"/>
        <v>TRANSITA</v>
      </c>
      <c r="M37" s="58">
        <v>10</v>
      </c>
      <c r="N37" s="148">
        <v>5</v>
      </c>
      <c r="O37" s="148"/>
      <c r="P37" s="32">
        <v>14</v>
      </c>
      <c r="Q37" s="151"/>
      <c r="R37" s="56">
        <f t="shared" si="3"/>
        <v>9.6666666666666661</v>
      </c>
      <c r="S37" s="166" t="str">
        <f t="shared" si="4"/>
        <v>N/TRANSITA</v>
      </c>
      <c r="T37" s="149"/>
      <c r="U37" s="148"/>
      <c r="V37" s="148"/>
      <c r="W37" s="32" t="e">
        <f t="shared" si="5"/>
        <v>#DIV/0!</v>
      </c>
      <c r="X37" s="151"/>
      <c r="Y37" s="56" t="e">
        <f t="shared" si="6"/>
        <v>#DIV/0!</v>
      </c>
      <c r="Z37" s="48" t="e">
        <f t="shared" si="0"/>
        <v>#DIV/0!</v>
      </c>
      <c r="AA37" s="41" t="e">
        <f t="shared" si="7"/>
        <v>#DIV/0!</v>
      </c>
      <c r="AB37" s="62"/>
      <c r="AC37" s="51">
        <f t="shared" si="26"/>
        <v>0</v>
      </c>
      <c r="AD37" s="65" t="e">
        <f t="shared" si="27"/>
        <v>#DIV/0!</v>
      </c>
      <c r="AE37" s="162" t="e">
        <f t="shared" si="10"/>
        <v>#DIV/0!</v>
      </c>
    </row>
    <row r="38" spans="2:31" ht="15.75" customHeight="1" x14ac:dyDescent="0.3">
      <c r="B38" s="35">
        <v>29</v>
      </c>
      <c r="C38" s="197" t="s">
        <v>126</v>
      </c>
      <c r="D38" s="45"/>
      <c r="E38" s="38"/>
      <c r="F38" s="32">
        <v>7</v>
      </c>
      <c r="G38" s="32">
        <v>18</v>
      </c>
      <c r="H38" s="27"/>
      <c r="I38" s="32">
        <v>18.5</v>
      </c>
      <c r="J38" s="28"/>
      <c r="K38" s="56">
        <f t="shared" si="1"/>
        <v>14.5</v>
      </c>
      <c r="L38" s="166" t="str">
        <f t="shared" si="2"/>
        <v>TRANSITA</v>
      </c>
      <c r="M38" s="58">
        <v>10</v>
      </c>
      <c r="N38" s="27">
        <v>5</v>
      </c>
      <c r="O38" s="27"/>
      <c r="P38" s="32">
        <v>20</v>
      </c>
      <c r="Q38" s="28"/>
      <c r="R38" s="56">
        <f t="shared" si="3"/>
        <v>11.666666666666666</v>
      </c>
      <c r="S38" s="166" t="str">
        <f t="shared" si="4"/>
        <v>TRANSITA</v>
      </c>
      <c r="T38" s="59"/>
      <c r="U38" s="27"/>
      <c r="V38" s="27"/>
      <c r="W38" s="32" t="e">
        <f t="shared" si="5"/>
        <v>#DIV/0!</v>
      </c>
      <c r="X38" s="28"/>
      <c r="Y38" s="56" t="e">
        <f t="shared" si="6"/>
        <v>#DIV/0!</v>
      </c>
      <c r="Z38" s="48" t="e">
        <f t="shared" si="0"/>
        <v>#DIV/0!</v>
      </c>
      <c r="AA38" s="41" t="e">
        <f t="shared" si="7"/>
        <v>#DIV/0!</v>
      </c>
      <c r="AB38" s="62"/>
      <c r="AC38" s="51">
        <f t="shared" si="26"/>
        <v>0</v>
      </c>
      <c r="AD38" s="65" t="e">
        <f t="shared" si="27"/>
        <v>#DIV/0!</v>
      </c>
      <c r="AE38" s="162" t="e">
        <f t="shared" si="10"/>
        <v>#DIV/0!</v>
      </c>
    </row>
    <row r="39" spans="2:31" ht="15.75" customHeight="1" x14ac:dyDescent="0.3">
      <c r="B39" s="35">
        <v>30</v>
      </c>
      <c r="C39" s="197" t="s">
        <v>127</v>
      </c>
      <c r="D39" s="45"/>
      <c r="E39" s="38"/>
      <c r="F39" s="32">
        <v>16</v>
      </c>
      <c r="G39" s="32">
        <v>19</v>
      </c>
      <c r="H39" s="27"/>
      <c r="I39" s="32">
        <v>18.5</v>
      </c>
      <c r="J39" s="28"/>
      <c r="K39" s="56">
        <f t="shared" si="1"/>
        <v>17.833333333333332</v>
      </c>
      <c r="L39" s="166" t="str">
        <f t="shared" si="2"/>
        <v>TRANSITA</v>
      </c>
      <c r="M39" s="58">
        <v>17</v>
      </c>
      <c r="N39" s="27">
        <v>17</v>
      </c>
      <c r="O39" s="27"/>
      <c r="P39" s="32">
        <v>14</v>
      </c>
      <c r="Q39" s="28"/>
      <c r="R39" s="56">
        <f t="shared" si="3"/>
        <v>16</v>
      </c>
      <c r="S39" s="166" t="str">
        <f t="shared" si="4"/>
        <v>TRANSITA</v>
      </c>
      <c r="T39" s="59"/>
      <c r="U39" s="27"/>
      <c r="V39" s="27"/>
      <c r="W39" s="32" t="e">
        <f t="shared" si="5"/>
        <v>#DIV/0!</v>
      </c>
      <c r="X39" s="28"/>
      <c r="Y39" s="56" t="e">
        <f t="shared" si="6"/>
        <v>#DIV/0!</v>
      </c>
      <c r="Z39" s="48" t="e">
        <f t="shared" si="0"/>
        <v>#DIV/0!</v>
      </c>
      <c r="AA39" s="41" t="e">
        <f t="shared" si="7"/>
        <v>#DIV/0!</v>
      </c>
      <c r="AB39" s="62"/>
      <c r="AC39" s="51">
        <f t="shared" si="26"/>
        <v>0</v>
      </c>
      <c r="AD39" s="65" t="e">
        <f t="shared" si="27"/>
        <v>#DIV/0!</v>
      </c>
      <c r="AE39" s="162" t="e">
        <f t="shared" si="10"/>
        <v>#DIV/0!</v>
      </c>
    </row>
    <row r="40" spans="2:31" ht="15.75" customHeight="1" x14ac:dyDescent="0.3">
      <c r="B40" s="35">
        <v>31</v>
      </c>
      <c r="C40" s="197" t="s">
        <v>128</v>
      </c>
      <c r="D40" s="45"/>
      <c r="E40" s="38"/>
      <c r="F40" s="32">
        <v>14</v>
      </c>
      <c r="G40" s="32">
        <v>12.5</v>
      </c>
      <c r="H40" s="27"/>
      <c r="I40" s="32">
        <v>18.5</v>
      </c>
      <c r="J40" s="28"/>
      <c r="K40" s="56">
        <f t="shared" si="1"/>
        <v>15</v>
      </c>
      <c r="L40" s="166" t="str">
        <f t="shared" si="2"/>
        <v>TRANSITA</v>
      </c>
      <c r="M40" s="58">
        <v>13</v>
      </c>
      <c r="N40" s="27">
        <v>10</v>
      </c>
      <c r="O40" s="27"/>
      <c r="P40" s="32">
        <v>15</v>
      </c>
      <c r="Q40" s="28"/>
      <c r="R40" s="56">
        <f t="shared" si="3"/>
        <v>12.666666666666666</v>
      </c>
      <c r="S40" s="166" t="str">
        <f t="shared" si="4"/>
        <v>TRANSITA</v>
      </c>
      <c r="T40" s="59"/>
      <c r="U40" s="27"/>
      <c r="V40" s="27"/>
      <c r="W40" s="32" t="e">
        <f t="shared" si="5"/>
        <v>#DIV/0!</v>
      </c>
      <c r="X40" s="28"/>
      <c r="Y40" s="56" t="e">
        <f t="shared" si="6"/>
        <v>#DIV/0!</v>
      </c>
      <c r="Z40" s="48" t="e">
        <f t="shared" si="0"/>
        <v>#DIV/0!</v>
      </c>
      <c r="AA40" s="41" t="e">
        <f t="shared" si="7"/>
        <v>#DIV/0!</v>
      </c>
      <c r="AB40" s="62"/>
      <c r="AC40" s="51">
        <f t="shared" si="11"/>
        <v>0</v>
      </c>
      <c r="AD40" s="65" t="e">
        <f t="shared" si="12"/>
        <v>#DIV/0!</v>
      </c>
      <c r="AE40" s="162" t="e">
        <f t="shared" si="10"/>
        <v>#DIV/0!</v>
      </c>
    </row>
    <row r="41" spans="2:31" ht="15.75" customHeight="1" x14ac:dyDescent="0.3">
      <c r="B41" s="35">
        <v>32</v>
      </c>
      <c r="C41" s="197" t="s">
        <v>142</v>
      </c>
      <c r="D41" s="45"/>
      <c r="E41" s="38"/>
      <c r="F41" s="32">
        <v>10</v>
      </c>
      <c r="G41" s="32">
        <v>10</v>
      </c>
      <c r="H41" s="27"/>
      <c r="I41" s="32">
        <v>10</v>
      </c>
      <c r="J41" s="28"/>
      <c r="K41" s="56">
        <f t="shared" si="1"/>
        <v>10</v>
      </c>
      <c r="L41" s="166" t="str">
        <f t="shared" si="2"/>
        <v>TRANSITA</v>
      </c>
      <c r="M41" s="58">
        <v>14</v>
      </c>
      <c r="N41" s="27">
        <v>15</v>
      </c>
      <c r="O41" s="27"/>
      <c r="P41" s="32">
        <v>13</v>
      </c>
      <c r="Q41" s="28"/>
      <c r="R41" s="56">
        <f t="shared" ref="R41" si="32">AVERAGE(M41,MAX(N41:O41),MAX(P41:Q41))</f>
        <v>14</v>
      </c>
      <c r="S41" s="166" t="str">
        <f t="shared" ref="S41" si="33">IF(R41&gt;=10,"TRANSITA","N/TRANSITA")</f>
        <v>TRANSITA</v>
      </c>
      <c r="T41" s="59"/>
      <c r="U41" s="27"/>
      <c r="V41" s="27"/>
      <c r="W41" s="32" t="e">
        <f t="shared" ref="W41" si="34">AVERAGE(T41:U41)</f>
        <v>#DIV/0!</v>
      </c>
      <c r="X41" s="28"/>
      <c r="Y41" s="56" t="e">
        <f t="shared" ref="Y41" si="35">AVERAGE(T41,MAX(U41:V41),MAX(W41:X41))</f>
        <v>#DIV/0!</v>
      </c>
      <c r="Z41" s="48" t="e">
        <f t="shared" ref="Z41" si="36">SUM(K41,R41,Y41)/3</f>
        <v>#DIV/0!</v>
      </c>
      <c r="AA41" s="41" t="e">
        <f t="shared" ref="AA41" si="37">Z41*0.4</f>
        <v>#DIV/0!</v>
      </c>
      <c r="AB41" s="62"/>
      <c r="AC41" s="51">
        <f t="shared" ref="AC41" si="38">AB41*0.6</f>
        <v>0</v>
      </c>
      <c r="AD41" s="65" t="e">
        <f t="shared" ref="AD41" si="39">AVERAGE(AA41+AC41)</f>
        <v>#DIV/0!</v>
      </c>
      <c r="AE41" s="162"/>
    </row>
    <row r="42" spans="2:31" ht="15.75" customHeight="1" x14ac:dyDescent="0.3">
      <c r="B42" s="35">
        <v>33</v>
      </c>
      <c r="C42" s="197" t="s">
        <v>129</v>
      </c>
      <c r="D42" s="45"/>
      <c r="E42" s="38"/>
      <c r="F42" s="32">
        <v>10</v>
      </c>
      <c r="G42" s="32">
        <v>9</v>
      </c>
      <c r="H42" s="27"/>
      <c r="I42" s="32">
        <v>18.5</v>
      </c>
      <c r="J42" s="28"/>
      <c r="K42" s="56">
        <f t="shared" si="1"/>
        <v>12.5</v>
      </c>
      <c r="L42" s="166" t="str">
        <f t="shared" si="2"/>
        <v>TRANSITA</v>
      </c>
      <c r="M42" s="58">
        <v>13</v>
      </c>
      <c r="N42" s="27">
        <v>7</v>
      </c>
      <c r="O42" s="27"/>
      <c r="P42" s="32">
        <v>8</v>
      </c>
      <c r="Q42" s="28"/>
      <c r="R42" s="56">
        <f t="shared" si="3"/>
        <v>9.3333333333333339</v>
      </c>
      <c r="S42" s="166" t="str">
        <f t="shared" si="4"/>
        <v>N/TRANSITA</v>
      </c>
      <c r="T42" s="59"/>
      <c r="U42" s="27"/>
      <c r="V42" s="27"/>
      <c r="W42" s="32" t="e">
        <f t="shared" si="5"/>
        <v>#DIV/0!</v>
      </c>
      <c r="X42" s="28"/>
      <c r="Y42" s="56" t="e">
        <f t="shared" si="6"/>
        <v>#DIV/0!</v>
      </c>
      <c r="Z42" s="48" t="e">
        <f t="shared" si="0"/>
        <v>#DIV/0!</v>
      </c>
      <c r="AA42" s="41" t="e">
        <f t="shared" si="7"/>
        <v>#DIV/0!</v>
      </c>
      <c r="AB42" s="62"/>
      <c r="AC42" s="51">
        <f t="shared" si="11"/>
        <v>0</v>
      </c>
      <c r="AD42" s="65" t="e">
        <f t="shared" si="12"/>
        <v>#DIV/0!</v>
      </c>
      <c r="AE42" s="162" t="e">
        <f t="shared" si="10"/>
        <v>#DIV/0!</v>
      </c>
    </row>
    <row r="43" spans="2:31" ht="15.75" customHeight="1" x14ac:dyDescent="0.3">
      <c r="B43" s="35">
        <v>34</v>
      </c>
      <c r="C43" s="197" t="s">
        <v>130</v>
      </c>
      <c r="D43" s="45"/>
      <c r="E43" s="38"/>
      <c r="F43" s="32">
        <v>16</v>
      </c>
      <c r="G43" s="32">
        <v>16</v>
      </c>
      <c r="H43" s="27"/>
      <c r="I43" s="32">
        <v>18.5</v>
      </c>
      <c r="J43" s="28"/>
      <c r="K43" s="56">
        <f t="shared" si="1"/>
        <v>16.833333333333332</v>
      </c>
      <c r="L43" s="166" t="str">
        <f t="shared" si="2"/>
        <v>TRANSITA</v>
      </c>
      <c r="M43" s="58">
        <v>14</v>
      </c>
      <c r="N43" s="27">
        <v>15</v>
      </c>
      <c r="O43" s="27"/>
      <c r="P43" s="32">
        <v>14</v>
      </c>
      <c r="Q43" s="28"/>
      <c r="R43" s="56">
        <f t="shared" si="3"/>
        <v>14.333333333333334</v>
      </c>
      <c r="S43" s="166" t="str">
        <f t="shared" si="4"/>
        <v>TRANSITA</v>
      </c>
      <c r="T43" s="59"/>
      <c r="U43" s="27"/>
      <c r="V43" s="27"/>
      <c r="W43" s="32" t="e">
        <f t="shared" si="5"/>
        <v>#DIV/0!</v>
      </c>
      <c r="X43" s="28"/>
      <c r="Y43" s="56" t="e">
        <f t="shared" si="6"/>
        <v>#DIV/0!</v>
      </c>
      <c r="Z43" s="48" t="e">
        <f t="shared" si="0"/>
        <v>#DIV/0!</v>
      </c>
      <c r="AA43" s="41" t="e">
        <f t="shared" si="7"/>
        <v>#DIV/0!</v>
      </c>
      <c r="AB43" s="62"/>
      <c r="AC43" s="51">
        <f t="shared" ref="AC43:AC44" si="40">AB43*0.6</f>
        <v>0</v>
      </c>
      <c r="AD43" s="65" t="e">
        <f t="shared" ref="AD43:AD44" si="41">AVERAGE(AA43+AC43)</f>
        <v>#DIV/0!</v>
      </c>
      <c r="AE43" s="162" t="e">
        <f t="shared" si="10"/>
        <v>#DIV/0!</v>
      </c>
    </row>
    <row r="44" spans="2:31" ht="15.75" customHeight="1" x14ac:dyDescent="0.3">
      <c r="B44" s="35">
        <v>35</v>
      </c>
      <c r="C44" s="197" t="s">
        <v>131</v>
      </c>
      <c r="D44" s="45"/>
      <c r="E44" s="38"/>
      <c r="F44" s="32">
        <v>14</v>
      </c>
      <c r="G44" s="32">
        <v>17</v>
      </c>
      <c r="H44" s="27"/>
      <c r="I44" s="32">
        <v>18.5</v>
      </c>
      <c r="J44" s="28"/>
      <c r="K44" s="56">
        <f t="shared" si="1"/>
        <v>16.5</v>
      </c>
      <c r="L44" s="166" t="str">
        <f t="shared" si="2"/>
        <v>TRANSITA</v>
      </c>
      <c r="M44" s="58">
        <v>15</v>
      </c>
      <c r="N44" s="27">
        <v>15</v>
      </c>
      <c r="O44" s="27"/>
      <c r="P44" s="32">
        <v>13.5</v>
      </c>
      <c r="Q44" s="28"/>
      <c r="R44" s="56">
        <f t="shared" si="3"/>
        <v>14.5</v>
      </c>
      <c r="S44" s="166" t="str">
        <f t="shared" si="4"/>
        <v>TRANSITA</v>
      </c>
      <c r="T44" s="59"/>
      <c r="U44" s="27"/>
      <c r="V44" s="27"/>
      <c r="W44" s="32" t="e">
        <f t="shared" si="5"/>
        <v>#DIV/0!</v>
      </c>
      <c r="X44" s="28"/>
      <c r="Y44" s="56" t="e">
        <f t="shared" si="6"/>
        <v>#DIV/0!</v>
      </c>
      <c r="Z44" s="48" t="e">
        <f t="shared" si="0"/>
        <v>#DIV/0!</v>
      </c>
      <c r="AA44" s="41" t="e">
        <f t="shared" si="7"/>
        <v>#DIV/0!</v>
      </c>
      <c r="AB44" s="62"/>
      <c r="AC44" s="51">
        <f t="shared" si="40"/>
        <v>0</v>
      </c>
      <c r="AD44" s="65" t="e">
        <f t="shared" si="41"/>
        <v>#DIV/0!</v>
      </c>
      <c r="AE44" s="162" t="e">
        <f t="shared" si="10"/>
        <v>#DIV/0!</v>
      </c>
    </row>
    <row r="45" spans="2:31" ht="15.75" customHeight="1" x14ac:dyDescent="0.3">
      <c r="B45" s="35">
        <v>36</v>
      </c>
      <c r="C45" s="197" t="s">
        <v>132</v>
      </c>
      <c r="D45" s="45"/>
      <c r="E45" s="38"/>
      <c r="F45" s="32">
        <v>14</v>
      </c>
      <c r="G45" s="32">
        <v>15</v>
      </c>
      <c r="H45" s="27"/>
      <c r="I45" s="32">
        <v>18</v>
      </c>
      <c r="J45" s="28"/>
      <c r="K45" s="56">
        <f t="shared" si="1"/>
        <v>15.666666666666666</v>
      </c>
      <c r="L45" s="166" t="str">
        <f t="shared" si="2"/>
        <v>TRANSITA</v>
      </c>
      <c r="M45" s="58">
        <v>13</v>
      </c>
      <c r="N45" s="27">
        <v>10</v>
      </c>
      <c r="O45" s="27"/>
      <c r="P45" s="32">
        <v>17</v>
      </c>
      <c r="Q45" s="28"/>
      <c r="R45" s="56">
        <f t="shared" si="3"/>
        <v>13.333333333333334</v>
      </c>
      <c r="S45" s="166" t="str">
        <f t="shared" si="4"/>
        <v>TRANSITA</v>
      </c>
      <c r="T45" s="59"/>
      <c r="U45" s="27"/>
      <c r="V45" s="27"/>
      <c r="W45" s="32" t="e">
        <f t="shared" si="5"/>
        <v>#DIV/0!</v>
      </c>
      <c r="X45" s="28"/>
      <c r="Y45" s="56" t="e">
        <f t="shared" si="6"/>
        <v>#DIV/0!</v>
      </c>
      <c r="Z45" s="48" t="e">
        <f t="shared" si="0"/>
        <v>#DIV/0!</v>
      </c>
      <c r="AA45" s="41" t="e">
        <f t="shared" si="7"/>
        <v>#DIV/0!</v>
      </c>
      <c r="AB45" s="62"/>
      <c r="AC45" s="51">
        <f t="shared" si="11"/>
        <v>0</v>
      </c>
      <c r="AD45" s="65" t="e">
        <f t="shared" si="12"/>
        <v>#DIV/0!</v>
      </c>
      <c r="AE45" s="162" t="e">
        <f t="shared" si="10"/>
        <v>#DIV/0!</v>
      </c>
    </row>
    <row r="46" spans="2:31" ht="15.75" customHeight="1" x14ac:dyDescent="0.3">
      <c r="B46" s="35">
        <v>37</v>
      </c>
      <c r="C46" s="197" t="s">
        <v>133</v>
      </c>
      <c r="D46" s="45"/>
      <c r="E46" s="38"/>
      <c r="F46" s="32">
        <v>14</v>
      </c>
      <c r="G46" s="32">
        <v>18</v>
      </c>
      <c r="H46" s="27"/>
      <c r="I46" s="32">
        <v>18.5</v>
      </c>
      <c r="J46" s="28"/>
      <c r="K46" s="56">
        <f t="shared" si="1"/>
        <v>16.833333333333332</v>
      </c>
      <c r="L46" s="166" t="str">
        <f t="shared" si="2"/>
        <v>TRANSITA</v>
      </c>
      <c r="M46" s="58">
        <v>13</v>
      </c>
      <c r="N46" s="27">
        <v>13</v>
      </c>
      <c r="O46" s="27"/>
      <c r="P46" s="32">
        <v>12</v>
      </c>
      <c r="Q46" s="28"/>
      <c r="R46" s="56">
        <f t="shared" si="3"/>
        <v>12.666666666666666</v>
      </c>
      <c r="S46" s="166" t="str">
        <f t="shared" si="4"/>
        <v>TRANSITA</v>
      </c>
      <c r="T46" s="59"/>
      <c r="U46" s="27"/>
      <c r="V46" s="27"/>
      <c r="W46" s="32" t="e">
        <f t="shared" si="5"/>
        <v>#DIV/0!</v>
      </c>
      <c r="X46" s="28"/>
      <c r="Y46" s="56" t="e">
        <f t="shared" si="6"/>
        <v>#DIV/0!</v>
      </c>
      <c r="Z46" s="48" t="e">
        <f t="shared" si="0"/>
        <v>#DIV/0!</v>
      </c>
      <c r="AA46" s="41" t="e">
        <f t="shared" si="7"/>
        <v>#DIV/0!</v>
      </c>
      <c r="AB46" s="62"/>
      <c r="AC46" s="51">
        <f t="shared" ref="AC46:AC51" si="42">AB46*0.6</f>
        <v>0</v>
      </c>
      <c r="AD46" s="65" t="e">
        <f t="shared" ref="AD46:AD51" si="43">AVERAGE(AA46+AC46)</f>
        <v>#DIV/0!</v>
      </c>
      <c r="AE46" s="162" t="e">
        <f t="shared" si="10"/>
        <v>#DIV/0!</v>
      </c>
    </row>
    <row r="47" spans="2:31" ht="15.75" customHeight="1" x14ac:dyDescent="0.3">
      <c r="B47" s="35">
        <v>38</v>
      </c>
      <c r="C47" s="197" t="s">
        <v>134</v>
      </c>
      <c r="D47" s="45"/>
      <c r="E47" s="38"/>
      <c r="F47" s="32">
        <v>7</v>
      </c>
      <c r="G47" s="32">
        <v>11.5</v>
      </c>
      <c r="H47" s="27"/>
      <c r="I47" s="32">
        <v>1</v>
      </c>
      <c r="J47" s="28"/>
      <c r="K47" s="56">
        <f t="shared" si="1"/>
        <v>6.5</v>
      </c>
      <c r="L47" s="166" t="str">
        <f t="shared" si="2"/>
        <v>N/TRANSITA</v>
      </c>
      <c r="M47" s="58">
        <v>10</v>
      </c>
      <c r="N47" s="27">
        <v>10</v>
      </c>
      <c r="O47" s="27"/>
      <c r="P47" s="32">
        <v>10</v>
      </c>
      <c r="Q47" s="28"/>
      <c r="R47" s="56">
        <f t="shared" si="3"/>
        <v>10</v>
      </c>
      <c r="S47" s="166" t="str">
        <f t="shared" si="4"/>
        <v>TRANSITA</v>
      </c>
      <c r="T47" s="59"/>
      <c r="U47" s="27"/>
      <c r="V47" s="27"/>
      <c r="W47" s="32" t="e">
        <f t="shared" si="5"/>
        <v>#DIV/0!</v>
      </c>
      <c r="X47" s="28"/>
      <c r="Y47" s="56" t="e">
        <f t="shared" si="6"/>
        <v>#DIV/0!</v>
      </c>
      <c r="Z47" s="48" t="e">
        <f t="shared" si="0"/>
        <v>#DIV/0!</v>
      </c>
      <c r="AA47" s="41" t="e">
        <f t="shared" si="7"/>
        <v>#DIV/0!</v>
      </c>
      <c r="AB47" s="62"/>
      <c r="AC47" s="51">
        <f t="shared" si="42"/>
        <v>0</v>
      </c>
      <c r="AD47" s="65" t="e">
        <f t="shared" si="43"/>
        <v>#DIV/0!</v>
      </c>
      <c r="AE47" s="162" t="e">
        <f t="shared" si="10"/>
        <v>#DIV/0!</v>
      </c>
    </row>
    <row r="48" spans="2:31" ht="15.75" customHeight="1" x14ac:dyDescent="0.3">
      <c r="B48" s="35">
        <v>39</v>
      </c>
      <c r="C48" s="197" t="s">
        <v>135</v>
      </c>
      <c r="D48" s="45"/>
      <c r="E48" s="38"/>
      <c r="F48" s="32">
        <v>15</v>
      </c>
      <c r="G48" s="32">
        <v>11.5</v>
      </c>
      <c r="H48" s="27"/>
      <c r="I48" s="32">
        <v>10</v>
      </c>
      <c r="J48" s="28"/>
      <c r="K48" s="56">
        <f t="shared" si="1"/>
        <v>12.166666666666666</v>
      </c>
      <c r="L48" s="166" t="str">
        <f t="shared" si="2"/>
        <v>TRANSITA</v>
      </c>
      <c r="M48" s="58">
        <v>14</v>
      </c>
      <c r="N48" s="27">
        <v>10</v>
      </c>
      <c r="O48" s="27"/>
      <c r="P48" s="32">
        <v>16.5</v>
      </c>
      <c r="Q48" s="28"/>
      <c r="R48" s="56">
        <f t="shared" si="3"/>
        <v>13.5</v>
      </c>
      <c r="S48" s="166" t="str">
        <f t="shared" si="4"/>
        <v>TRANSITA</v>
      </c>
      <c r="T48" s="59"/>
      <c r="U48" s="27"/>
      <c r="V48" s="27"/>
      <c r="W48" s="32" t="e">
        <f t="shared" si="5"/>
        <v>#DIV/0!</v>
      </c>
      <c r="X48" s="28"/>
      <c r="Y48" s="56" t="e">
        <f t="shared" si="6"/>
        <v>#DIV/0!</v>
      </c>
      <c r="Z48" s="48" t="e">
        <f t="shared" si="0"/>
        <v>#DIV/0!</v>
      </c>
      <c r="AA48" s="41" t="e">
        <f t="shared" si="7"/>
        <v>#DIV/0!</v>
      </c>
      <c r="AB48" s="62"/>
      <c r="AC48" s="51">
        <f t="shared" si="42"/>
        <v>0</v>
      </c>
      <c r="AD48" s="65" t="e">
        <f t="shared" si="43"/>
        <v>#DIV/0!</v>
      </c>
      <c r="AE48" s="162" t="e">
        <f t="shared" si="10"/>
        <v>#DIV/0!</v>
      </c>
    </row>
    <row r="49" spans="1:31" ht="15.75" customHeight="1" x14ac:dyDescent="0.3">
      <c r="B49" s="35">
        <v>40</v>
      </c>
      <c r="C49" s="197" t="s">
        <v>136</v>
      </c>
      <c r="D49" s="45">
        <v>0</v>
      </c>
      <c r="E49" s="38"/>
      <c r="F49" s="32">
        <v>16.5</v>
      </c>
      <c r="G49" s="32">
        <v>19</v>
      </c>
      <c r="H49" s="27"/>
      <c r="I49" s="32">
        <v>18.5</v>
      </c>
      <c r="J49" s="28"/>
      <c r="K49" s="56">
        <f t="shared" si="1"/>
        <v>18</v>
      </c>
      <c r="L49" s="166" t="str">
        <f t="shared" si="2"/>
        <v>TRANSITA</v>
      </c>
      <c r="M49" s="58">
        <v>16</v>
      </c>
      <c r="N49" s="27">
        <v>15</v>
      </c>
      <c r="O49" s="27"/>
      <c r="P49" s="32">
        <v>16</v>
      </c>
      <c r="Q49" s="28"/>
      <c r="R49" s="56">
        <f t="shared" si="3"/>
        <v>15.666666666666666</v>
      </c>
      <c r="S49" s="166" t="str">
        <f t="shared" si="4"/>
        <v>TRANSITA</v>
      </c>
      <c r="T49" s="59"/>
      <c r="U49" s="27"/>
      <c r="V49" s="27"/>
      <c r="W49" s="32" t="e">
        <f t="shared" si="5"/>
        <v>#DIV/0!</v>
      </c>
      <c r="X49" s="28"/>
      <c r="Y49" s="56" t="e">
        <f t="shared" si="6"/>
        <v>#DIV/0!</v>
      </c>
      <c r="Z49" s="48" t="e">
        <f t="shared" si="0"/>
        <v>#DIV/0!</v>
      </c>
      <c r="AA49" s="41" t="e">
        <f t="shared" si="7"/>
        <v>#DIV/0!</v>
      </c>
      <c r="AB49" s="62"/>
      <c r="AC49" s="51">
        <f t="shared" ref="AC49:AC50" si="44">AB49*0.6</f>
        <v>0</v>
      </c>
      <c r="AD49" s="65" t="e">
        <f t="shared" ref="AD49:AD50" si="45">AVERAGE(AA49+AC49)</f>
        <v>#DIV/0!</v>
      </c>
      <c r="AE49" s="162" t="e">
        <f t="shared" si="10"/>
        <v>#DIV/0!</v>
      </c>
    </row>
    <row r="50" spans="1:31" ht="15.75" customHeight="1" x14ac:dyDescent="0.3">
      <c r="B50" s="35">
        <v>41</v>
      </c>
      <c r="C50" s="197" t="s">
        <v>137</v>
      </c>
      <c r="D50" s="45"/>
      <c r="E50" s="38"/>
      <c r="F50" s="32">
        <v>14</v>
      </c>
      <c r="G50" s="32">
        <v>18</v>
      </c>
      <c r="H50" s="27"/>
      <c r="I50" s="32">
        <v>18.5</v>
      </c>
      <c r="J50" s="28"/>
      <c r="K50" s="56">
        <f t="shared" si="1"/>
        <v>16.833333333333332</v>
      </c>
      <c r="L50" s="166" t="str">
        <f t="shared" si="2"/>
        <v>TRANSITA</v>
      </c>
      <c r="M50" s="58">
        <v>12</v>
      </c>
      <c r="N50" s="27">
        <v>10</v>
      </c>
      <c r="O50" s="27"/>
      <c r="P50" s="32">
        <v>15</v>
      </c>
      <c r="Q50" s="28"/>
      <c r="R50" s="56">
        <f t="shared" si="3"/>
        <v>12.333333333333334</v>
      </c>
      <c r="S50" s="166" t="str">
        <f t="shared" si="4"/>
        <v>TRANSITA</v>
      </c>
      <c r="T50" s="59"/>
      <c r="U50" s="27"/>
      <c r="V50" s="27"/>
      <c r="W50" s="32" t="e">
        <f t="shared" si="5"/>
        <v>#DIV/0!</v>
      </c>
      <c r="X50" s="28"/>
      <c r="Y50" s="56" t="e">
        <f t="shared" si="6"/>
        <v>#DIV/0!</v>
      </c>
      <c r="Z50" s="48" t="e">
        <f t="shared" si="0"/>
        <v>#DIV/0!</v>
      </c>
      <c r="AA50" s="41" t="e">
        <f t="shared" si="7"/>
        <v>#DIV/0!</v>
      </c>
      <c r="AB50" s="62"/>
      <c r="AC50" s="51">
        <f t="shared" si="44"/>
        <v>0</v>
      </c>
      <c r="AD50" s="65" t="e">
        <f t="shared" si="45"/>
        <v>#DIV/0!</v>
      </c>
      <c r="AE50" s="162" t="e">
        <f t="shared" si="10"/>
        <v>#DIV/0!</v>
      </c>
    </row>
    <row r="51" spans="1:31" ht="15.75" customHeight="1" thickBot="1" x14ac:dyDescent="0.35">
      <c r="B51" s="35">
        <v>42</v>
      </c>
      <c r="C51" s="198" t="s">
        <v>138</v>
      </c>
      <c r="D51" s="46"/>
      <c r="E51" s="39"/>
      <c r="F51" s="137">
        <v>16</v>
      </c>
      <c r="G51" s="137">
        <v>16</v>
      </c>
      <c r="H51" s="29"/>
      <c r="I51" s="137">
        <v>18.5</v>
      </c>
      <c r="J51" s="30"/>
      <c r="K51" s="57">
        <f t="shared" si="1"/>
        <v>16.833333333333332</v>
      </c>
      <c r="L51" s="167" t="str">
        <f t="shared" si="2"/>
        <v>TRANSITA</v>
      </c>
      <c r="M51" s="193">
        <v>13</v>
      </c>
      <c r="N51" s="29">
        <v>10</v>
      </c>
      <c r="O51" s="29"/>
      <c r="P51" s="137">
        <v>16</v>
      </c>
      <c r="Q51" s="30"/>
      <c r="R51" s="57">
        <f t="shared" si="3"/>
        <v>13</v>
      </c>
      <c r="S51" s="167" t="str">
        <f t="shared" si="4"/>
        <v>TRANSITA</v>
      </c>
      <c r="T51" s="60"/>
      <c r="U51" s="29"/>
      <c r="V51" s="29"/>
      <c r="W51" s="137" t="e">
        <f t="shared" si="5"/>
        <v>#DIV/0!</v>
      </c>
      <c r="X51" s="30"/>
      <c r="Y51" s="57" t="e">
        <f t="shared" si="6"/>
        <v>#DIV/0!</v>
      </c>
      <c r="Z51" s="49" t="e">
        <f t="shared" si="0"/>
        <v>#DIV/0!</v>
      </c>
      <c r="AA51" s="42" t="e">
        <f t="shared" si="7"/>
        <v>#DIV/0!</v>
      </c>
      <c r="AB51" s="63"/>
      <c r="AC51" s="52">
        <f t="shared" si="42"/>
        <v>0</v>
      </c>
      <c r="AD51" s="66" t="e">
        <f t="shared" si="43"/>
        <v>#DIV/0!</v>
      </c>
      <c r="AE51" s="164" t="e">
        <f t="shared" si="10"/>
        <v>#DIV/0!</v>
      </c>
    </row>
    <row r="52" spans="1:31" ht="12" customHeight="1" thickTop="1" x14ac:dyDescent="0.3">
      <c r="B52" s="3"/>
      <c r="C52" s="4"/>
      <c r="D52" s="4"/>
      <c r="E52" s="4"/>
      <c r="F52" s="5"/>
      <c r="G52" s="5"/>
      <c r="H52" s="5"/>
      <c r="I52" s="6"/>
      <c r="J52" s="6"/>
      <c r="K52" s="7"/>
      <c r="L52" s="7"/>
      <c r="M52" s="8" t="s">
        <v>87</v>
      </c>
      <c r="N52" s="8"/>
      <c r="O52" s="8"/>
      <c r="P52" s="8"/>
      <c r="Q52" s="8"/>
      <c r="R52" s="7"/>
      <c r="S52" s="7"/>
      <c r="T52" s="9"/>
      <c r="U52" s="9"/>
      <c r="V52" s="9"/>
      <c r="W52" s="10"/>
      <c r="X52" s="10"/>
      <c r="Y52" s="7"/>
      <c r="Z52" s="11"/>
      <c r="AA52" s="12"/>
      <c r="AB52" s="13"/>
      <c r="AC52" s="12"/>
      <c r="AD52" s="12"/>
      <c r="AE52" s="14"/>
    </row>
    <row r="53" spans="1:31" ht="16.5" customHeight="1" x14ac:dyDescent="0.3">
      <c r="A53" s="284" t="s">
        <v>140</v>
      </c>
      <c r="B53" s="284"/>
      <c r="C53" s="284"/>
      <c r="D53" s="284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  <c r="AA53" s="284"/>
      <c r="AB53" s="284"/>
      <c r="AC53" s="284"/>
      <c r="AD53" s="284"/>
      <c r="AE53" s="284"/>
    </row>
    <row r="54" spans="1:31" ht="16.5" customHeight="1" x14ac:dyDescent="0.3">
      <c r="A54" s="21"/>
      <c r="B54" s="21"/>
      <c r="C54" s="21"/>
      <c r="D54" s="21"/>
      <c r="E54" s="21"/>
      <c r="F54" s="21"/>
      <c r="G54" s="21"/>
      <c r="H54" s="25"/>
      <c r="I54" s="21"/>
      <c r="J54" s="25"/>
      <c r="K54" s="21"/>
      <c r="L54" s="21"/>
      <c r="M54" s="21"/>
      <c r="N54" s="21"/>
      <c r="O54" s="25"/>
      <c r="P54" s="21"/>
      <c r="Q54" s="25"/>
      <c r="R54" s="21"/>
      <c r="S54" s="21"/>
      <c r="T54" s="21"/>
      <c r="U54" s="21"/>
      <c r="V54" s="25"/>
      <c r="W54" s="21"/>
      <c r="X54" s="25"/>
      <c r="Y54" s="21"/>
      <c r="Z54" s="21"/>
      <c r="AA54" s="21"/>
      <c r="AB54" s="21"/>
      <c r="AC54" s="21"/>
      <c r="AD54" s="21"/>
      <c r="AE54" s="21"/>
    </row>
    <row r="55" spans="1:31" ht="20.25" customHeight="1" x14ac:dyDescent="0.35">
      <c r="A55" s="309" t="s">
        <v>41</v>
      </c>
      <c r="B55" s="309"/>
      <c r="C55" s="309"/>
      <c r="D55" s="309"/>
      <c r="E55" s="309"/>
      <c r="F55" s="309"/>
      <c r="G55" s="19"/>
      <c r="H55" s="23"/>
      <c r="I55" s="20"/>
      <c r="J55" s="20"/>
      <c r="K55" s="20"/>
      <c r="L55" s="20"/>
      <c r="M55" s="20"/>
      <c r="N55" s="20"/>
      <c r="O55" s="20"/>
      <c r="P55" s="20"/>
      <c r="Q55" s="20"/>
      <c r="R55" s="309" t="s">
        <v>10</v>
      </c>
      <c r="S55" s="309"/>
      <c r="T55" s="309"/>
      <c r="U55" s="309"/>
      <c r="V55" s="309"/>
      <c r="W55" s="309"/>
      <c r="X55" s="309"/>
      <c r="Y55" s="309"/>
      <c r="Z55" s="309"/>
      <c r="AA55" s="309"/>
      <c r="AB55" s="309"/>
      <c r="AC55" s="309"/>
      <c r="AD55" s="309"/>
      <c r="AE55" s="309"/>
    </row>
    <row r="56" spans="1:31" ht="20.399999999999999" x14ac:dyDescent="0.35">
      <c r="A56" s="20"/>
      <c r="B56" s="309" t="s">
        <v>11</v>
      </c>
      <c r="C56" s="309"/>
      <c r="D56" s="309"/>
      <c r="E56" s="309"/>
      <c r="F56" s="309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309"/>
      <c r="S56" s="309"/>
      <c r="T56" s="309"/>
      <c r="U56" s="309"/>
      <c r="V56" s="309"/>
      <c r="W56" s="309"/>
      <c r="X56" s="309"/>
      <c r="Y56" s="309"/>
      <c r="Z56" s="309"/>
      <c r="AA56" s="19"/>
      <c r="AB56" s="19"/>
      <c r="AC56" s="19"/>
      <c r="AD56" s="19"/>
      <c r="AE56" s="20"/>
    </row>
    <row r="57" spans="1:31" ht="21.6" x14ac:dyDescent="0.4">
      <c r="A57" s="20"/>
      <c r="B57" s="310"/>
      <c r="C57" s="310"/>
      <c r="D57" s="310"/>
      <c r="E57" s="310"/>
      <c r="F57" s="31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310" t="s">
        <v>12</v>
      </c>
      <c r="S57" s="310"/>
      <c r="T57" s="310"/>
      <c r="U57" s="310"/>
      <c r="V57" s="310"/>
      <c r="W57" s="310"/>
      <c r="X57" s="310"/>
      <c r="Y57" s="310"/>
      <c r="Z57" s="310"/>
      <c r="AA57" s="310"/>
      <c r="AB57" s="310"/>
      <c r="AC57" s="310"/>
      <c r="AD57" s="310"/>
      <c r="AE57" s="310"/>
    </row>
  </sheetData>
  <mergeCells count="28">
    <mergeCell ref="B7:AE7"/>
    <mergeCell ref="A1:AE1"/>
    <mergeCell ref="B4:C4"/>
    <mergeCell ref="Y4:AE4"/>
    <mergeCell ref="B6:C6"/>
    <mergeCell ref="Y6:AE6"/>
    <mergeCell ref="L3:S3"/>
    <mergeCell ref="C8:C9"/>
    <mergeCell ref="D8:E8"/>
    <mergeCell ref="F8:K8"/>
    <mergeCell ref="M8:R8"/>
    <mergeCell ref="L8:L9"/>
    <mergeCell ref="S8:S9"/>
    <mergeCell ref="B56:F56"/>
    <mergeCell ref="R56:Z56"/>
    <mergeCell ref="B57:F57"/>
    <mergeCell ref="R57:AE57"/>
    <mergeCell ref="A53:AE53"/>
    <mergeCell ref="AD8:AD9"/>
    <mergeCell ref="AE8:AE9"/>
    <mergeCell ref="A55:F55"/>
    <mergeCell ref="R55:AE55"/>
    <mergeCell ref="T8:Y8"/>
    <mergeCell ref="Z8:Z9"/>
    <mergeCell ref="AA8:AA9"/>
    <mergeCell ref="AB8:AB9"/>
    <mergeCell ref="AC8:AC9"/>
    <mergeCell ref="B8:B9"/>
  </mergeCells>
  <conditionalFormatting sqref="K52:L52 R52:Y52 T51:V51 Q10:Q51 W11:X51">
    <cfRule type="cellIs" dxfId="443" priority="767" stopIfTrue="1" operator="lessThan">
      <formula>10</formula>
    </cfRule>
    <cfRule type="cellIs" dxfId="442" priority="768" stopIfTrue="1" operator="greaterThan">
      <formula>9</formula>
    </cfRule>
  </conditionalFormatting>
  <conditionalFormatting sqref="K52:L52 R52:Y52 T51:V51 Q10:Q51 W11:X51">
    <cfRule type="cellIs" dxfId="441" priority="765" stopIfTrue="1" operator="lessThan">
      <formula>10</formula>
    </cfRule>
    <cfRule type="cellIs" dxfId="440" priority="766" stopIfTrue="1" operator="greaterThan">
      <formula>9</formula>
    </cfRule>
  </conditionalFormatting>
  <conditionalFormatting sqref="Z10:AD52">
    <cfRule type="cellIs" dxfId="439" priority="763" stopIfTrue="1" operator="greaterThan">
      <formula>9.5</formula>
    </cfRule>
    <cfRule type="cellIs" dxfId="438" priority="764" stopIfTrue="1" operator="lessThanOrEqual">
      <formula>9.5</formula>
    </cfRule>
  </conditionalFormatting>
  <conditionalFormatting sqref="F52:J52">
    <cfRule type="cellIs" dxfId="437" priority="761" stopIfTrue="1" operator="lessThan">
      <formula>10</formula>
    </cfRule>
    <cfRule type="cellIs" dxfId="436" priority="762" stopIfTrue="1" operator="greaterThan">
      <formula>9</formula>
    </cfRule>
  </conditionalFormatting>
  <conditionalFormatting sqref="F52:J52">
    <cfRule type="cellIs" dxfId="435" priority="759" stopIfTrue="1" operator="lessThan">
      <formula>10</formula>
    </cfRule>
    <cfRule type="cellIs" dxfId="434" priority="760" stopIfTrue="1" operator="greaterThan">
      <formula>9</formula>
    </cfRule>
  </conditionalFormatting>
  <conditionalFormatting sqref="T52:X52 T51:V51 M52:Q52 W11:X51 Q10:Q51">
    <cfRule type="cellIs" dxfId="433" priority="755" stopIfTrue="1" operator="lessThan">
      <formula>10</formula>
    </cfRule>
    <cfRule type="cellIs" dxfId="432" priority="756" stopIfTrue="1" operator="greaterThan">
      <formula>9</formula>
    </cfRule>
    <cfRule type="cellIs" dxfId="431" priority="757" stopIfTrue="1" operator="lessThan">
      <formula>10</formula>
    </cfRule>
    <cfRule type="cellIs" dxfId="430" priority="758" stopIfTrue="1" operator="greaterThan">
      <formula>9</formula>
    </cfRule>
  </conditionalFormatting>
  <conditionalFormatting sqref="AB10:AB52">
    <cfRule type="cellIs" dxfId="429" priority="753" stopIfTrue="1" operator="greaterThan">
      <formula>9.5</formula>
    </cfRule>
    <cfRule type="cellIs" dxfId="428" priority="754" stopIfTrue="1" operator="lessThanOrEqual">
      <formula>9.5</formula>
    </cfRule>
  </conditionalFormatting>
  <conditionalFormatting sqref="R10:R51 Y10:Y51">
    <cfRule type="cellIs" dxfId="427" priority="375" stopIfTrue="1" operator="lessThan">
      <formula>10</formula>
    </cfRule>
    <cfRule type="cellIs" dxfId="426" priority="376" stopIfTrue="1" operator="greaterThanOrEqual">
      <formula>10</formula>
    </cfRule>
  </conditionalFormatting>
  <conditionalFormatting sqref="T24:U39 T45:U50 V10:X10 V11:V50">
    <cfRule type="cellIs" dxfId="425" priority="365" stopIfTrue="1" operator="lessThan">
      <formula>10</formula>
    </cfRule>
    <cfRule type="cellIs" dxfId="424" priority="366" stopIfTrue="1" operator="greaterThan">
      <formula>9</formula>
    </cfRule>
  </conditionalFormatting>
  <conditionalFormatting sqref="T24:U39 T45:U50 V10:X10 V11:V50">
    <cfRule type="cellIs" dxfId="423" priority="363" stopIfTrue="1" operator="lessThan">
      <formula>10</formula>
    </cfRule>
    <cfRule type="cellIs" dxfId="422" priority="364" stopIfTrue="1" operator="greaterThan">
      <formula>9</formula>
    </cfRule>
  </conditionalFormatting>
  <conditionalFormatting sqref="T24:U39 T45:U50 V10:X10 V11:V50">
    <cfRule type="cellIs" dxfId="421" priority="359" stopIfTrue="1" operator="lessThan">
      <formula>10</formula>
    </cfRule>
    <cfRule type="cellIs" dxfId="420" priority="360" stopIfTrue="1" operator="greaterThan">
      <formula>9</formula>
    </cfRule>
    <cfRule type="cellIs" dxfId="419" priority="361" stopIfTrue="1" operator="lessThan">
      <formula>10</formula>
    </cfRule>
    <cfRule type="cellIs" dxfId="418" priority="362" stopIfTrue="1" operator="greaterThan">
      <formula>9</formula>
    </cfRule>
  </conditionalFormatting>
  <conditionalFormatting sqref="T10:U12">
    <cfRule type="cellIs" dxfId="417" priority="357" stopIfTrue="1" operator="lessThan">
      <formula>10</formula>
    </cfRule>
    <cfRule type="cellIs" dxfId="416" priority="358" stopIfTrue="1" operator="greaterThan">
      <formula>9</formula>
    </cfRule>
  </conditionalFormatting>
  <conditionalFormatting sqref="T10:U12">
    <cfRule type="cellIs" dxfId="415" priority="355" stopIfTrue="1" operator="lessThan">
      <formula>10</formula>
    </cfRule>
    <cfRule type="cellIs" dxfId="414" priority="356" stopIfTrue="1" operator="greaterThan">
      <formula>9</formula>
    </cfRule>
  </conditionalFormatting>
  <conditionalFormatting sqref="T10:U12">
    <cfRule type="cellIs" dxfId="413" priority="351" stopIfTrue="1" operator="lessThan">
      <formula>10</formula>
    </cfRule>
    <cfRule type="cellIs" dxfId="412" priority="352" stopIfTrue="1" operator="greaterThan">
      <formula>9</formula>
    </cfRule>
    <cfRule type="cellIs" dxfId="411" priority="353" stopIfTrue="1" operator="lessThan">
      <formula>10</formula>
    </cfRule>
    <cfRule type="cellIs" dxfId="410" priority="354" stopIfTrue="1" operator="greaterThan">
      <formula>9</formula>
    </cfRule>
  </conditionalFormatting>
  <conditionalFormatting sqref="T13:U15">
    <cfRule type="cellIs" dxfId="409" priority="349" stopIfTrue="1" operator="lessThan">
      <formula>10</formula>
    </cfRule>
    <cfRule type="cellIs" dxfId="408" priority="350" stopIfTrue="1" operator="greaterThan">
      <formula>9</formula>
    </cfRule>
  </conditionalFormatting>
  <conditionalFormatting sqref="T13:U15">
    <cfRule type="cellIs" dxfId="407" priority="347" stopIfTrue="1" operator="lessThan">
      <formula>10</formula>
    </cfRule>
    <cfRule type="cellIs" dxfId="406" priority="348" stopIfTrue="1" operator="greaterThan">
      <formula>9</formula>
    </cfRule>
  </conditionalFormatting>
  <conditionalFormatting sqref="T13:U15">
    <cfRule type="cellIs" dxfId="405" priority="343" stopIfTrue="1" operator="lessThan">
      <formula>10</formula>
    </cfRule>
    <cfRule type="cellIs" dxfId="404" priority="344" stopIfTrue="1" operator="greaterThan">
      <formula>9</formula>
    </cfRule>
    <cfRule type="cellIs" dxfId="403" priority="345" stopIfTrue="1" operator="lessThan">
      <formula>10</formula>
    </cfRule>
    <cfRule type="cellIs" dxfId="402" priority="346" stopIfTrue="1" operator="greaterThan">
      <formula>9</formula>
    </cfRule>
  </conditionalFormatting>
  <conditionalFormatting sqref="T16:U19">
    <cfRule type="cellIs" dxfId="401" priority="341" stopIfTrue="1" operator="lessThan">
      <formula>10</formula>
    </cfRule>
    <cfRule type="cellIs" dxfId="400" priority="342" stopIfTrue="1" operator="greaterThan">
      <formula>9</formula>
    </cfRule>
  </conditionalFormatting>
  <conditionalFormatting sqref="T16:U19">
    <cfRule type="cellIs" dxfId="399" priority="339" stopIfTrue="1" operator="lessThan">
      <formula>10</formula>
    </cfRule>
    <cfRule type="cellIs" dxfId="398" priority="340" stopIfTrue="1" operator="greaterThan">
      <formula>9</formula>
    </cfRule>
  </conditionalFormatting>
  <conditionalFormatting sqref="T16:U19">
    <cfRule type="cellIs" dxfId="397" priority="335" stopIfTrue="1" operator="lessThan">
      <formula>10</formula>
    </cfRule>
    <cfRule type="cellIs" dxfId="396" priority="336" stopIfTrue="1" operator="greaterThan">
      <formula>9</formula>
    </cfRule>
    <cfRule type="cellIs" dxfId="395" priority="337" stopIfTrue="1" operator="lessThan">
      <formula>10</formula>
    </cfRule>
    <cfRule type="cellIs" dxfId="394" priority="338" stopIfTrue="1" operator="greaterThan">
      <formula>9</formula>
    </cfRule>
  </conditionalFormatting>
  <conditionalFormatting sqref="T20:U23">
    <cfRule type="cellIs" dxfId="393" priority="333" stopIfTrue="1" operator="lessThan">
      <formula>10</formula>
    </cfRule>
    <cfRule type="cellIs" dxfId="392" priority="334" stopIfTrue="1" operator="greaterThan">
      <formula>9</formula>
    </cfRule>
  </conditionalFormatting>
  <conditionalFormatting sqref="T20:U23">
    <cfRule type="cellIs" dxfId="391" priority="331" stopIfTrue="1" operator="lessThan">
      <formula>10</formula>
    </cfRule>
    <cfRule type="cellIs" dxfId="390" priority="332" stopIfTrue="1" operator="greaterThan">
      <formula>9</formula>
    </cfRule>
  </conditionalFormatting>
  <conditionalFormatting sqref="T20:U23">
    <cfRule type="cellIs" dxfId="389" priority="327" stopIfTrue="1" operator="lessThan">
      <formula>10</formula>
    </cfRule>
    <cfRule type="cellIs" dxfId="388" priority="328" stopIfTrue="1" operator="greaterThan">
      <formula>9</formula>
    </cfRule>
    <cfRule type="cellIs" dxfId="387" priority="329" stopIfTrue="1" operator="lessThan">
      <formula>10</formula>
    </cfRule>
    <cfRule type="cellIs" dxfId="386" priority="330" stopIfTrue="1" operator="greaterThan">
      <formula>9</formula>
    </cfRule>
  </conditionalFormatting>
  <conditionalFormatting sqref="T40:U44">
    <cfRule type="cellIs" dxfId="385" priority="325" stopIfTrue="1" operator="lessThan">
      <formula>10</formula>
    </cfRule>
    <cfRule type="cellIs" dxfId="384" priority="326" stopIfTrue="1" operator="greaterThan">
      <formula>9</formula>
    </cfRule>
  </conditionalFormatting>
  <conditionalFormatting sqref="T40:U44">
    <cfRule type="cellIs" dxfId="383" priority="323" stopIfTrue="1" operator="lessThan">
      <formula>10</formula>
    </cfRule>
    <cfRule type="cellIs" dxfId="382" priority="324" stopIfTrue="1" operator="greaterThan">
      <formula>9</formula>
    </cfRule>
  </conditionalFormatting>
  <conditionalFormatting sqref="T40:U44">
    <cfRule type="cellIs" dxfId="381" priority="319" stopIfTrue="1" operator="lessThan">
      <formula>10</formula>
    </cfRule>
    <cfRule type="cellIs" dxfId="380" priority="320" stopIfTrue="1" operator="greaterThan">
      <formula>9</formula>
    </cfRule>
    <cfRule type="cellIs" dxfId="379" priority="321" stopIfTrue="1" operator="lessThan">
      <formula>10</formula>
    </cfRule>
    <cfRule type="cellIs" dxfId="378" priority="322" stopIfTrue="1" operator="greaterThan">
      <formula>9</formula>
    </cfRule>
  </conditionalFormatting>
  <conditionalFormatting sqref="J10:J50 O51 F51:J51">
    <cfRule type="cellIs" dxfId="377" priority="163" stopIfTrue="1" operator="lessThan">
      <formula>10</formula>
    </cfRule>
    <cfRule type="cellIs" dxfId="376" priority="164" stopIfTrue="1" operator="greaterThan">
      <formula>9</formula>
    </cfRule>
  </conditionalFormatting>
  <conditionalFormatting sqref="J10:J50 O51 F51:J51">
    <cfRule type="cellIs" dxfId="375" priority="161" stopIfTrue="1" operator="lessThan">
      <formula>10</formula>
    </cfRule>
    <cfRule type="cellIs" dxfId="374" priority="162" stopIfTrue="1" operator="greaterThan">
      <formula>9</formula>
    </cfRule>
  </conditionalFormatting>
  <conditionalFormatting sqref="J10:J50 F51:J51 O51">
    <cfRule type="cellIs" dxfId="373" priority="157" stopIfTrue="1" operator="lessThan">
      <formula>10</formula>
    </cfRule>
    <cfRule type="cellIs" dxfId="372" priority="158" stopIfTrue="1" operator="greaterThan">
      <formula>9</formula>
    </cfRule>
    <cfRule type="cellIs" dxfId="371" priority="159" stopIfTrue="1" operator="lessThan">
      <formula>10</formula>
    </cfRule>
    <cfRule type="cellIs" dxfId="370" priority="160" stopIfTrue="1" operator="greaterThan">
      <formula>9</formula>
    </cfRule>
  </conditionalFormatting>
  <conditionalFormatting sqref="K10:K51">
    <cfRule type="cellIs" dxfId="369" priority="155" stopIfTrue="1" operator="lessThan">
      <formula>10</formula>
    </cfRule>
    <cfRule type="cellIs" dxfId="368" priority="156" stopIfTrue="1" operator="greaterThanOrEqual">
      <formula>10</formula>
    </cfRule>
  </conditionalFormatting>
  <conditionalFormatting sqref="O10:O50">
    <cfRule type="cellIs" dxfId="367" priority="151" stopIfTrue="1" operator="lessThan">
      <formula>10</formula>
    </cfRule>
    <cfRule type="cellIs" dxfId="366" priority="152" stopIfTrue="1" operator="greaterThan">
      <formula>9</formula>
    </cfRule>
  </conditionalFormatting>
  <conditionalFormatting sqref="O10:O50">
    <cfRule type="cellIs" dxfId="365" priority="149" stopIfTrue="1" operator="lessThan">
      <formula>10</formula>
    </cfRule>
    <cfRule type="cellIs" dxfId="364" priority="150" stopIfTrue="1" operator="greaterThan">
      <formula>9</formula>
    </cfRule>
  </conditionalFormatting>
  <conditionalFormatting sqref="O10:O50">
    <cfRule type="cellIs" dxfId="363" priority="145" stopIfTrue="1" operator="lessThan">
      <formula>10</formula>
    </cfRule>
    <cfRule type="cellIs" dxfId="362" priority="146" stopIfTrue="1" operator="greaterThan">
      <formula>9</formula>
    </cfRule>
    <cfRule type="cellIs" dxfId="361" priority="147" stopIfTrue="1" operator="lessThan">
      <formula>10</formula>
    </cfRule>
    <cfRule type="cellIs" dxfId="360" priority="148" stopIfTrue="1" operator="greaterThan">
      <formula>9</formula>
    </cfRule>
  </conditionalFormatting>
  <conditionalFormatting sqref="H10:I50">
    <cfRule type="cellIs" dxfId="359" priority="143" stopIfTrue="1" operator="lessThan">
      <formula>10</formula>
    </cfRule>
    <cfRule type="cellIs" dxfId="358" priority="144" stopIfTrue="1" operator="greaterThan">
      <formula>9</formula>
    </cfRule>
  </conditionalFormatting>
  <conditionalFormatting sqref="H10:I50">
    <cfRule type="cellIs" dxfId="357" priority="141" stopIfTrue="1" operator="lessThan">
      <formula>10</formula>
    </cfRule>
    <cfRule type="cellIs" dxfId="356" priority="142" stopIfTrue="1" operator="greaterThan">
      <formula>9</formula>
    </cfRule>
  </conditionalFormatting>
  <conditionalFormatting sqref="H10:I50">
    <cfRule type="cellIs" dxfId="355" priority="137" stopIfTrue="1" operator="lessThan">
      <formula>10</formula>
    </cfRule>
    <cfRule type="cellIs" dxfId="354" priority="138" stopIfTrue="1" operator="greaterThan">
      <formula>9</formula>
    </cfRule>
    <cfRule type="cellIs" dxfId="353" priority="139" stopIfTrue="1" operator="lessThan">
      <formula>10</formula>
    </cfRule>
    <cfRule type="cellIs" dxfId="352" priority="140" stopIfTrue="1" operator="greaterThan">
      <formula>9</formula>
    </cfRule>
  </conditionalFormatting>
  <conditionalFormatting sqref="F10:G50">
    <cfRule type="cellIs" dxfId="351" priority="135" stopIfTrue="1" operator="lessThan">
      <formula>10</formula>
    </cfRule>
    <cfRule type="cellIs" dxfId="350" priority="136" stopIfTrue="1" operator="greaterThan">
      <formula>9</formula>
    </cfRule>
  </conditionalFormatting>
  <conditionalFormatting sqref="F10:G50">
    <cfRule type="cellIs" dxfId="349" priority="133" stopIfTrue="1" operator="lessThan">
      <formula>10</formula>
    </cfRule>
    <cfRule type="cellIs" dxfId="348" priority="134" stopIfTrue="1" operator="greaterThan">
      <formula>9</formula>
    </cfRule>
  </conditionalFormatting>
  <conditionalFormatting sqref="F10:G50">
    <cfRule type="cellIs" dxfId="347" priority="129" stopIfTrue="1" operator="lessThan">
      <formula>10</formula>
    </cfRule>
    <cfRule type="cellIs" dxfId="346" priority="130" stopIfTrue="1" operator="greaterThan">
      <formula>9</formula>
    </cfRule>
    <cfRule type="cellIs" dxfId="345" priority="131" stopIfTrue="1" operator="lessThan">
      <formula>10</formula>
    </cfRule>
    <cfRule type="cellIs" dxfId="344" priority="132" stopIfTrue="1" operator="greaterThan">
      <formula>9</formula>
    </cfRule>
  </conditionalFormatting>
  <conditionalFormatting sqref="M13:M51">
    <cfRule type="cellIs" dxfId="343" priority="127" stopIfTrue="1" operator="lessThan">
      <formula>10</formula>
    </cfRule>
    <cfRule type="cellIs" dxfId="342" priority="128" stopIfTrue="1" operator="greaterThan">
      <formula>9</formula>
    </cfRule>
  </conditionalFormatting>
  <conditionalFormatting sqref="M13:M51">
    <cfRule type="cellIs" dxfId="341" priority="125" stopIfTrue="1" operator="lessThan">
      <formula>10</formula>
    </cfRule>
    <cfRule type="cellIs" dxfId="340" priority="126" stopIfTrue="1" operator="greaterThan">
      <formula>9</formula>
    </cfRule>
  </conditionalFormatting>
  <conditionalFormatting sqref="M13:M51">
    <cfRule type="cellIs" dxfId="339" priority="121" stopIfTrue="1" operator="lessThan">
      <formula>10</formula>
    </cfRule>
    <cfRule type="cellIs" dxfId="338" priority="122" stopIfTrue="1" operator="greaterThan">
      <formula>9</formula>
    </cfRule>
    <cfRule type="cellIs" dxfId="337" priority="123" stopIfTrue="1" operator="lessThan">
      <formula>10</formula>
    </cfRule>
    <cfRule type="cellIs" dxfId="336" priority="124" stopIfTrue="1" operator="greaterThan">
      <formula>9</formula>
    </cfRule>
  </conditionalFormatting>
  <conditionalFormatting sqref="M24:M39 M45:M50">
    <cfRule type="cellIs" dxfId="335" priority="119" stopIfTrue="1" operator="lessThan">
      <formula>10</formula>
    </cfRule>
    <cfRule type="cellIs" dxfId="334" priority="120" stopIfTrue="1" operator="greaterThan">
      <formula>9</formula>
    </cfRule>
  </conditionalFormatting>
  <conditionalFormatting sqref="M24:M39 M45:M50">
    <cfRule type="cellIs" dxfId="333" priority="117" stopIfTrue="1" operator="lessThan">
      <formula>10</formula>
    </cfRule>
    <cfRule type="cellIs" dxfId="332" priority="118" stopIfTrue="1" operator="greaterThan">
      <formula>9</formula>
    </cfRule>
  </conditionalFormatting>
  <conditionalFormatting sqref="M24:M39 M45:M50">
    <cfRule type="cellIs" dxfId="331" priority="113" stopIfTrue="1" operator="lessThan">
      <formula>10</formula>
    </cfRule>
    <cfRule type="cellIs" dxfId="330" priority="114" stopIfTrue="1" operator="greaterThan">
      <formula>9</formula>
    </cfRule>
    <cfRule type="cellIs" dxfId="329" priority="115" stopIfTrue="1" operator="lessThan">
      <formula>10</formula>
    </cfRule>
    <cfRule type="cellIs" dxfId="328" priority="116" stopIfTrue="1" operator="greaterThan">
      <formula>9</formula>
    </cfRule>
  </conditionalFormatting>
  <conditionalFormatting sqref="M10:M12">
    <cfRule type="cellIs" dxfId="327" priority="111" stopIfTrue="1" operator="lessThan">
      <formula>10</formula>
    </cfRule>
    <cfRule type="cellIs" dxfId="326" priority="112" stopIfTrue="1" operator="greaterThan">
      <formula>9</formula>
    </cfRule>
  </conditionalFormatting>
  <conditionalFormatting sqref="M10:M12">
    <cfRule type="cellIs" dxfId="325" priority="109" stopIfTrue="1" operator="lessThan">
      <formula>10</formula>
    </cfRule>
    <cfRule type="cellIs" dxfId="324" priority="110" stopIfTrue="1" operator="greaterThan">
      <formula>9</formula>
    </cfRule>
  </conditionalFormatting>
  <conditionalFormatting sqref="M10:M12">
    <cfRule type="cellIs" dxfId="323" priority="105" stopIfTrue="1" operator="lessThan">
      <formula>10</formula>
    </cfRule>
    <cfRule type="cellIs" dxfId="322" priority="106" stopIfTrue="1" operator="greaterThan">
      <formula>9</formula>
    </cfRule>
    <cfRule type="cellIs" dxfId="321" priority="107" stopIfTrue="1" operator="lessThan">
      <formula>10</formula>
    </cfRule>
    <cfRule type="cellIs" dxfId="320" priority="108" stopIfTrue="1" operator="greaterThan">
      <formula>9</formula>
    </cfRule>
  </conditionalFormatting>
  <conditionalFormatting sqref="M13:M15">
    <cfRule type="cellIs" dxfId="319" priority="103" stopIfTrue="1" operator="lessThan">
      <formula>10</formula>
    </cfRule>
    <cfRule type="cellIs" dxfId="318" priority="104" stopIfTrue="1" operator="greaterThan">
      <formula>9</formula>
    </cfRule>
  </conditionalFormatting>
  <conditionalFormatting sqref="M13:M15">
    <cfRule type="cellIs" dxfId="317" priority="101" stopIfTrue="1" operator="lessThan">
      <formula>10</formula>
    </cfRule>
    <cfRule type="cellIs" dxfId="316" priority="102" stopIfTrue="1" operator="greaterThan">
      <formula>9</formula>
    </cfRule>
  </conditionalFormatting>
  <conditionalFormatting sqref="M13:M15">
    <cfRule type="cellIs" dxfId="315" priority="97" stopIfTrue="1" operator="lessThan">
      <formula>10</formula>
    </cfRule>
    <cfRule type="cellIs" dxfId="314" priority="98" stopIfTrue="1" operator="greaterThan">
      <formula>9</formula>
    </cfRule>
    <cfRule type="cellIs" dxfId="313" priority="99" stopIfTrue="1" operator="lessThan">
      <formula>10</formula>
    </cfRule>
    <cfRule type="cellIs" dxfId="312" priority="100" stopIfTrue="1" operator="greaterThan">
      <formula>9</formula>
    </cfRule>
  </conditionalFormatting>
  <conditionalFormatting sqref="M16:M19">
    <cfRule type="cellIs" dxfId="311" priority="95" stopIfTrue="1" operator="lessThan">
      <formula>10</formula>
    </cfRule>
    <cfRule type="cellIs" dxfId="310" priority="96" stopIfTrue="1" operator="greaterThan">
      <formula>9</formula>
    </cfRule>
  </conditionalFormatting>
  <conditionalFormatting sqref="M16:M19">
    <cfRule type="cellIs" dxfId="309" priority="93" stopIfTrue="1" operator="lessThan">
      <formula>10</formula>
    </cfRule>
    <cfRule type="cellIs" dxfId="308" priority="94" stopIfTrue="1" operator="greaterThan">
      <formula>9</formula>
    </cfRule>
  </conditionalFormatting>
  <conditionalFormatting sqref="M16:M19">
    <cfRule type="cellIs" dxfId="307" priority="89" stopIfTrue="1" operator="lessThan">
      <formula>10</formula>
    </cfRule>
    <cfRule type="cellIs" dxfId="306" priority="90" stopIfTrue="1" operator="greaterThan">
      <formula>9</formula>
    </cfRule>
    <cfRule type="cellIs" dxfId="305" priority="91" stopIfTrue="1" operator="lessThan">
      <formula>10</formula>
    </cfRule>
    <cfRule type="cellIs" dxfId="304" priority="92" stopIfTrue="1" operator="greaterThan">
      <formula>9</formula>
    </cfRule>
  </conditionalFormatting>
  <conditionalFormatting sqref="M20:M23">
    <cfRule type="cellIs" dxfId="303" priority="87" stopIfTrue="1" operator="lessThan">
      <formula>10</formula>
    </cfRule>
    <cfRule type="cellIs" dxfId="302" priority="88" stopIfTrue="1" operator="greaterThan">
      <formula>9</formula>
    </cfRule>
  </conditionalFormatting>
  <conditionalFormatting sqref="M20:M23">
    <cfRule type="cellIs" dxfId="301" priority="85" stopIfTrue="1" operator="lessThan">
      <formula>10</formula>
    </cfRule>
    <cfRule type="cellIs" dxfId="300" priority="86" stopIfTrue="1" operator="greaterThan">
      <formula>9</formula>
    </cfRule>
  </conditionalFormatting>
  <conditionalFormatting sqref="M20:M23">
    <cfRule type="cellIs" dxfId="299" priority="81" stopIfTrue="1" operator="lessThan">
      <formula>10</formula>
    </cfRule>
    <cfRule type="cellIs" dxfId="298" priority="82" stopIfTrue="1" operator="greaterThan">
      <formula>9</formula>
    </cfRule>
    <cfRule type="cellIs" dxfId="297" priority="83" stopIfTrue="1" operator="lessThan">
      <formula>10</formula>
    </cfRule>
    <cfRule type="cellIs" dxfId="296" priority="84" stopIfTrue="1" operator="greaterThan">
      <formula>9</formula>
    </cfRule>
  </conditionalFormatting>
  <conditionalFormatting sqref="M40:M44">
    <cfRule type="cellIs" dxfId="295" priority="79" stopIfTrue="1" operator="lessThan">
      <formula>10</formula>
    </cfRule>
    <cfRule type="cellIs" dxfId="294" priority="80" stopIfTrue="1" operator="greaterThan">
      <formula>9</formula>
    </cfRule>
  </conditionalFormatting>
  <conditionalFormatting sqref="M40:M44">
    <cfRule type="cellIs" dxfId="293" priority="77" stopIfTrue="1" operator="lessThan">
      <formula>10</formula>
    </cfRule>
    <cfRule type="cellIs" dxfId="292" priority="78" stopIfTrue="1" operator="greaterThan">
      <formula>9</formula>
    </cfRule>
  </conditionalFormatting>
  <conditionalFormatting sqref="M40:M44">
    <cfRule type="cellIs" dxfId="291" priority="73" stopIfTrue="1" operator="lessThan">
      <formula>10</formula>
    </cfRule>
    <cfRule type="cellIs" dxfId="290" priority="74" stopIfTrue="1" operator="greaterThan">
      <formula>9</formula>
    </cfRule>
    <cfRule type="cellIs" dxfId="289" priority="75" stopIfTrue="1" operator="lessThan">
      <formula>10</formula>
    </cfRule>
    <cfRule type="cellIs" dxfId="288" priority="76" stopIfTrue="1" operator="greaterThan">
      <formula>9</formula>
    </cfRule>
  </conditionalFormatting>
  <conditionalFormatting sqref="N51">
    <cfRule type="cellIs" dxfId="287" priority="71" stopIfTrue="1" operator="lessThan">
      <formula>10</formula>
    </cfRule>
    <cfRule type="cellIs" dxfId="286" priority="72" stopIfTrue="1" operator="greaterThan">
      <formula>9</formula>
    </cfRule>
  </conditionalFormatting>
  <conditionalFormatting sqref="N51">
    <cfRule type="cellIs" dxfId="285" priority="69" stopIfTrue="1" operator="lessThan">
      <formula>10</formula>
    </cfRule>
    <cfRule type="cellIs" dxfId="284" priority="70" stopIfTrue="1" operator="greaterThan">
      <formula>9</formula>
    </cfRule>
  </conditionalFormatting>
  <conditionalFormatting sqref="N51">
    <cfRule type="cellIs" dxfId="283" priority="65" stopIfTrue="1" operator="lessThan">
      <formula>10</formula>
    </cfRule>
    <cfRule type="cellIs" dxfId="282" priority="66" stopIfTrue="1" operator="greaterThan">
      <formula>9</formula>
    </cfRule>
    <cfRule type="cellIs" dxfId="281" priority="67" stopIfTrue="1" operator="lessThan">
      <formula>10</formula>
    </cfRule>
    <cfRule type="cellIs" dxfId="280" priority="68" stopIfTrue="1" operator="greaterThan">
      <formula>9</formula>
    </cfRule>
  </conditionalFormatting>
  <conditionalFormatting sqref="N24:N39 N45:N50">
    <cfRule type="cellIs" dxfId="279" priority="63" stopIfTrue="1" operator="lessThan">
      <formula>10</formula>
    </cfRule>
    <cfRule type="cellIs" dxfId="278" priority="64" stopIfTrue="1" operator="greaterThan">
      <formula>9</formula>
    </cfRule>
  </conditionalFormatting>
  <conditionalFormatting sqref="N24:N39 N45:N50">
    <cfRule type="cellIs" dxfId="277" priority="61" stopIfTrue="1" operator="lessThan">
      <formula>10</formula>
    </cfRule>
    <cfRule type="cellIs" dxfId="276" priority="62" stopIfTrue="1" operator="greaterThan">
      <formula>9</formula>
    </cfRule>
  </conditionalFormatting>
  <conditionalFormatting sqref="N24:N39 N45:N50">
    <cfRule type="cellIs" dxfId="275" priority="57" stopIfTrue="1" operator="lessThan">
      <formula>10</formula>
    </cfRule>
    <cfRule type="cellIs" dxfId="274" priority="58" stopIfTrue="1" operator="greaterThan">
      <formula>9</formula>
    </cfRule>
    <cfRule type="cellIs" dxfId="273" priority="59" stopIfTrue="1" operator="lessThan">
      <formula>10</formula>
    </cfRule>
    <cfRule type="cellIs" dxfId="272" priority="60" stopIfTrue="1" operator="greaterThan">
      <formula>9</formula>
    </cfRule>
  </conditionalFormatting>
  <conditionalFormatting sqref="N10:N12">
    <cfRule type="cellIs" dxfId="271" priority="55" stopIfTrue="1" operator="lessThan">
      <formula>10</formula>
    </cfRule>
    <cfRule type="cellIs" dxfId="270" priority="56" stopIfTrue="1" operator="greaterThan">
      <formula>9</formula>
    </cfRule>
  </conditionalFormatting>
  <conditionalFormatting sqref="N10:N12">
    <cfRule type="cellIs" dxfId="269" priority="53" stopIfTrue="1" operator="lessThan">
      <formula>10</formula>
    </cfRule>
    <cfRule type="cellIs" dxfId="268" priority="54" stopIfTrue="1" operator="greaterThan">
      <formula>9</formula>
    </cfRule>
  </conditionalFormatting>
  <conditionalFormatting sqref="N10:N12">
    <cfRule type="cellIs" dxfId="267" priority="49" stopIfTrue="1" operator="lessThan">
      <formula>10</formula>
    </cfRule>
    <cfRule type="cellIs" dxfId="266" priority="50" stopIfTrue="1" operator="greaterThan">
      <formula>9</formula>
    </cfRule>
    <cfRule type="cellIs" dxfId="265" priority="51" stopIfTrue="1" operator="lessThan">
      <formula>10</formula>
    </cfRule>
    <cfRule type="cellIs" dxfId="264" priority="52" stopIfTrue="1" operator="greaterThan">
      <formula>9</formula>
    </cfRule>
  </conditionalFormatting>
  <conditionalFormatting sqref="N13:N15">
    <cfRule type="cellIs" dxfId="263" priority="47" stopIfTrue="1" operator="lessThan">
      <formula>10</formula>
    </cfRule>
    <cfRule type="cellIs" dxfId="262" priority="48" stopIfTrue="1" operator="greaterThan">
      <formula>9</formula>
    </cfRule>
  </conditionalFormatting>
  <conditionalFormatting sqref="N13:N15">
    <cfRule type="cellIs" dxfId="261" priority="45" stopIfTrue="1" operator="lessThan">
      <formula>10</formula>
    </cfRule>
    <cfRule type="cellIs" dxfId="260" priority="46" stopIfTrue="1" operator="greaterThan">
      <formula>9</formula>
    </cfRule>
  </conditionalFormatting>
  <conditionalFormatting sqref="N13:N15">
    <cfRule type="cellIs" dxfId="259" priority="41" stopIfTrue="1" operator="lessThan">
      <formula>10</formula>
    </cfRule>
    <cfRule type="cellIs" dxfId="258" priority="42" stopIfTrue="1" operator="greaterThan">
      <formula>9</formula>
    </cfRule>
    <cfRule type="cellIs" dxfId="257" priority="43" stopIfTrue="1" operator="lessThan">
      <formula>10</formula>
    </cfRule>
    <cfRule type="cellIs" dxfId="256" priority="44" stopIfTrue="1" operator="greaterThan">
      <formula>9</formula>
    </cfRule>
  </conditionalFormatting>
  <conditionalFormatting sqref="N16:N19">
    <cfRule type="cellIs" dxfId="255" priority="39" stopIfTrue="1" operator="lessThan">
      <formula>10</formula>
    </cfRule>
    <cfRule type="cellIs" dxfId="254" priority="40" stopIfTrue="1" operator="greaterThan">
      <formula>9</formula>
    </cfRule>
  </conditionalFormatting>
  <conditionalFormatting sqref="N16:N19">
    <cfRule type="cellIs" dxfId="253" priority="37" stopIfTrue="1" operator="lessThan">
      <formula>10</formula>
    </cfRule>
    <cfRule type="cellIs" dxfId="252" priority="38" stopIfTrue="1" operator="greaterThan">
      <formula>9</formula>
    </cfRule>
  </conditionalFormatting>
  <conditionalFormatting sqref="N16:N19">
    <cfRule type="cellIs" dxfId="251" priority="33" stopIfTrue="1" operator="lessThan">
      <formula>10</formula>
    </cfRule>
    <cfRule type="cellIs" dxfId="250" priority="34" stopIfTrue="1" operator="greaterThan">
      <formula>9</formula>
    </cfRule>
    <cfRule type="cellIs" dxfId="249" priority="35" stopIfTrue="1" operator="lessThan">
      <formula>10</formula>
    </cfRule>
    <cfRule type="cellIs" dxfId="248" priority="36" stopIfTrue="1" operator="greaterThan">
      <formula>9</formula>
    </cfRule>
  </conditionalFormatting>
  <conditionalFormatting sqref="N20:N23">
    <cfRule type="cellIs" dxfId="247" priority="31" stopIfTrue="1" operator="lessThan">
      <formula>10</formula>
    </cfRule>
    <cfRule type="cellIs" dxfId="246" priority="32" stopIfTrue="1" operator="greaterThan">
      <formula>9</formula>
    </cfRule>
  </conditionalFormatting>
  <conditionalFormatting sqref="N20:N23">
    <cfRule type="cellIs" dxfId="245" priority="29" stopIfTrue="1" operator="lessThan">
      <formula>10</formula>
    </cfRule>
    <cfRule type="cellIs" dxfId="244" priority="30" stopIfTrue="1" operator="greaterThan">
      <formula>9</formula>
    </cfRule>
  </conditionalFormatting>
  <conditionalFormatting sqref="N20:N23">
    <cfRule type="cellIs" dxfId="243" priority="25" stopIfTrue="1" operator="lessThan">
      <formula>10</formula>
    </cfRule>
    <cfRule type="cellIs" dxfId="242" priority="26" stopIfTrue="1" operator="greaterThan">
      <formula>9</formula>
    </cfRule>
    <cfRule type="cellIs" dxfId="241" priority="27" stopIfTrue="1" operator="lessThan">
      <formula>10</formula>
    </cfRule>
    <cfRule type="cellIs" dxfId="240" priority="28" stopIfTrue="1" operator="greaterThan">
      <formula>9</formula>
    </cfRule>
  </conditionalFormatting>
  <conditionalFormatting sqref="N40:N44">
    <cfRule type="cellIs" dxfId="239" priority="23" stopIfTrue="1" operator="lessThan">
      <formula>10</formula>
    </cfRule>
    <cfRule type="cellIs" dxfId="238" priority="24" stopIfTrue="1" operator="greaterThan">
      <formula>9</formula>
    </cfRule>
  </conditionalFormatting>
  <conditionalFormatting sqref="N40:N44">
    <cfRule type="cellIs" dxfId="237" priority="21" stopIfTrue="1" operator="lessThan">
      <formula>10</formula>
    </cfRule>
    <cfRule type="cellIs" dxfId="236" priority="22" stopIfTrue="1" operator="greaterThan">
      <formula>9</formula>
    </cfRule>
  </conditionalFormatting>
  <conditionalFormatting sqref="N40:N44">
    <cfRule type="cellIs" dxfId="235" priority="17" stopIfTrue="1" operator="lessThan">
      <formula>10</formula>
    </cfRule>
    <cfRule type="cellIs" dxfId="234" priority="18" stopIfTrue="1" operator="greaterThan">
      <formula>9</formula>
    </cfRule>
    <cfRule type="cellIs" dxfId="233" priority="19" stopIfTrue="1" operator="lessThan">
      <formula>10</formula>
    </cfRule>
    <cfRule type="cellIs" dxfId="232" priority="20" stopIfTrue="1" operator="greaterThan">
      <formula>9</formula>
    </cfRule>
  </conditionalFormatting>
  <conditionalFormatting sqref="P51">
    <cfRule type="cellIs" dxfId="231" priority="15" stopIfTrue="1" operator="lessThan">
      <formula>10</formula>
    </cfRule>
    <cfRule type="cellIs" dxfId="230" priority="16" stopIfTrue="1" operator="greaterThan">
      <formula>9</formula>
    </cfRule>
  </conditionalFormatting>
  <conditionalFormatting sqref="P51">
    <cfRule type="cellIs" dxfId="229" priority="13" stopIfTrue="1" operator="lessThan">
      <formula>10</formula>
    </cfRule>
    <cfRule type="cellIs" dxfId="228" priority="14" stopIfTrue="1" operator="greaterThan">
      <formula>9</formula>
    </cfRule>
  </conditionalFormatting>
  <conditionalFormatting sqref="P51">
    <cfRule type="cellIs" dxfId="227" priority="9" stopIfTrue="1" operator="lessThan">
      <formula>10</formula>
    </cfRule>
    <cfRule type="cellIs" dxfId="226" priority="10" stopIfTrue="1" operator="greaterThan">
      <formula>9</formula>
    </cfRule>
    <cfRule type="cellIs" dxfId="225" priority="11" stopIfTrue="1" operator="lessThan">
      <formula>10</formula>
    </cfRule>
    <cfRule type="cellIs" dxfId="224" priority="12" stopIfTrue="1" operator="greaterThan">
      <formula>9</formula>
    </cfRule>
  </conditionalFormatting>
  <conditionalFormatting sqref="P10:P50">
    <cfRule type="cellIs" dxfId="223" priority="7" stopIfTrue="1" operator="lessThan">
      <formula>10</formula>
    </cfRule>
    <cfRule type="cellIs" dxfId="222" priority="8" stopIfTrue="1" operator="greaterThan">
      <formula>9</formula>
    </cfRule>
  </conditionalFormatting>
  <conditionalFormatting sqref="P10:P50">
    <cfRule type="cellIs" dxfId="221" priority="5" stopIfTrue="1" operator="lessThan">
      <formula>10</formula>
    </cfRule>
    <cfRule type="cellIs" dxfId="220" priority="6" stopIfTrue="1" operator="greaterThan">
      <formula>9</formula>
    </cfRule>
  </conditionalFormatting>
  <conditionalFormatting sqref="P10:P50">
    <cfRule type="cellIs" dxfId="219" priority="1" stopIfTrue="1" operator="lessThan">
      <formula>10</formula>
    </cfRule>
    <cfRule type="cellIs" dxfId="218" priority="2" stopIfTrue="1" operator="greaterThan">
      <formula>9</formula>
    </cfRule>
    <cfRule type="cellIs" dxfId="217" priority="3" stopIfTrue="1" operator="lessThan">
      <formula>10</formula>
    </cfRule>
    <cfRule type="cellIs" dxfId="216" priority="4" stopIfTrue="1" operator="greaterThan">
      <formula>9</formula>
    </cfRule>
  </conditionalFormatting>
  <dataValidations count="1">
    <dataValidation type="decimal" allowBlank="1" showInputMessage="1" showErrorMessage="1" errorTitle="ATENÇÃO!" error="O valor introduzido não é válido. Grato!" sqref="M10:Q51 AB10:AB51 F10:J51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86" orientation="portrait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47" stopIfTrue="1" operator="containsText" id="{7AE6CAB1-19E8-4EE6-BF5D-A20A7C1A09AD}">
            <xm:f>NOT(ISERROR(SEARCH("APROVADO/A",AE10)))</xm:f>
            <xm:f>"APROVADO/A"</xm:f>
            <x14:dxf>
              <font>
                <b/>
                <i val="0"/>
                <color rgb="FF0000FF"/>
              </font>
            </x14:dxf>
          </x14:cfRule>
          <x14:cfRule type="containsText" priority="548" stopIfTrue="1" operator="containsText" id="{4032B9B5-A1C7-4A57-8C76-D82C518324BE}">
            <xm:f>NOT(ISERROR(SEARCH("REPROVADO/A",AE10)))</xm:f>
            <xm:f>"REPROVADO/A"</xm:f>
            <x14:dxf>
              <font>
                <b/>
                <i val="0"/>
                <color rgb="FFFF0000"/>
              </font>
            </x14:dxf>
          </x14:cfRule>
          <xm:sqref>AE10:AE51</xm:sqref>
        </x14:conditionalFormatting>
        <x14:conditionalFormatting xmlns:xm="http://schemas.microsoft.com/office/excel/2006/main">
          <x14:cfRule type="containsText" priority="317" stopIfTrue="1" operator="containsText" id="{EEAACBDA-0393-4D10-9AA6-A25806DB8840}">
            <xm:f>NOT(ISERROR(SEARCH("N/TRANSITA",S10)))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318" stopIfTrue="1" operator="containsText" id="{11105A7F-1D1F-4E87-9354-02AF48B1DED9}">
            <xm:f>NOT(ISERROR(SEARCH("TRANSITA",S10)))</xm:f>
            <xm:f>"TRANSITA"</xm:f>
            <x14:dxf>
              <font>
                <b/>
                <i val="0"/>
                <color rgb="FF0070C0"/>
              </font>
            </x14:dxf>
          </x14:cfRule>
          <xm:sqref>S10:S51</xm:sqref>
        </x14:conditionalFormatting>
        <x14:conditionalFormatting xmlns:xm="http://schemas.microsoft.com/office/excel/2006/main">
          <x14:cfRule type="containsText" priority="153" stopIfTrue="1" operator="containsText" id="{1F0104B9-E381-4814-9235-5125E3F6F5BC}">
            <xm:f>NOT(ISERROR(SEARCH("N/TRANSITA",L10)))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54" stopIfTrue="1" operator="containsText" id="{B0D5675B-5CC7-4CDC-B8EE-31FDDCFEE525}">
            <xm:f>NOT(ISERROR(SEARCH("TRANSITA",L10)))</xm:f>
            <xm:f>"TRANSITA"</xm:f>
            <x14:dxf>
              <font>
                <b/>
                <i val="0"/>
                <color rgb="FF0070C0"/>
              </font>
            </x14:dxf>
          </x14:cfRule>
          <xm:sqref>L10:L51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7">
    <tabColor rgb="FF00B050"/>
  </sheetPr>
  <dimension ref="A1:AE57"/>
  <sheetViews>
    <sheetView showGridLines="0" zoomScaleNormal="100" zoomScalePageLayoutView="85" workbookViewId="0">
      <selection activeCell="F17" sqref="F17"/>
    </sheetView>
  </sheetViews>
  <sheetFormatPr defaultRowHeight="14.4" x14ac:dyDescent="0.3"/>
  <cols>
    <col min="1" max="1" width="1.6640625" customWidth="1"/>
    <col min="2" max="2" width="3.6640625" customWidth="1"/>
    <col min="3" max="3" width="36.33203125" customWidth="1"/>
    <col min="4" max="4" width="2.6640625" customWidth="1"/>
    <col min="5" max="5" width="2.88671875" customWidth="1"/>
    <col min="6" max="11" width="4.44140625" customWidth="1"/>
    <col min="12" max="12" width="11.88671875" customWidth="1"/>
    <col min="13" max="18" width="4.44140625" customWidth="1"/>
    <col min="19" max="19" width="11.44140625" customWidth="1"/>
    <col min="20" max="25" width="4.44140625" customWidth="1"/>
    <col min="26" max="26" width="6.109375" customWidth="1"/>
    <col min="27" max="27" width="4.44140625" customWidth="1"/>
    <col min="28" max="28" width="5.88671875" customWidth="1"/>
    <col min="29" max="29" width="4.44140625" customWidth="1"/>
    <col min="30" max="30" width="6.33203125" customWidth="1"/>
    <col min="31" max="31" width="13.109375" customWidth="1"/>
    <col min="32" max="32" width="3.44140625" customWidth="1"/>
    <col min="33" max="33" width="5" customWidth="1"/>
    <col min="267" max="267" width="1.6640625" customWidth="1"/>
    <col min="268" max="268" width="3.6640625" customWidth="1"/>
    <col min="269" max="269" width="23.44140625" customWidth="1"/>
    <col min="270" max="281" width="4.44140625" customWidth="1"/>
    <col min="282" max="282" width="6.109375" customWidth="1"/>
    <col min="283" max="283" width="4.44140625" customWidth="1"/>
    <col min="284" max="284" width="7.5546875" customWidth="1"/>
    <col min="285" max="285" width="4.44140625" customWidth="1"/>
    <col min="286" max="286" width="6.33203125" customWidth="1"/>
    <col min="287" max="287" width="7.88671875" customWidth="1"/>
    <col min="288" max="288" width="3.44140625" customWidth="1"/>
    <col min="289" max="289" width="5" customWidth="1"/>
    <col min="523" max="523" width="1.6640625" customWidth="1"/>
    <col min="524" max="524" width="3.6640625" customWidth="1"/>
    <col min="525" max="525" width="23.44140625" customWidth="1"/>
    <col min="526" max="537" width="4.44140625" customWidth="1"/>
    <col min="538" max="538" width="6.109375" customWidth="1"/>
    <col min="539" max="539" width="4.44140625" customWidth="1"/>
    <col min="540" max="540" width="7.5546875" customWidth="1"/>
    <col min="541" max="541" width="4.44140625" customWidth="1"/>
    <col min="542" max="542" width="6.33203125" customWidth="1"/>
    <col min="543" max="543" width="7.88671875" customWidth="1"/>
    <col min="544" max="544" width="3.44140625" customWidth="1"/>
    <col min="545" max="545" width="5" customWidth="1"/>
    <col min="779" max="779" width="1.6640625" customWidth="1"/>
    <col min="780" max="780" width="3.6640625" customWidth="1"/>
    <col min="781" max="781" width="23.44140625" customWidth="1"/>
    <col min="782" max="793" width="4.44140625" customWidth="1"/>
    <col min="794" max="794" width="6.109375" customWidth="1"/>
    <col min="795" max="795" width="4.44140625" customWidth="1"/>
    <col min="796" max="796" width="7.5546875" customWidth="1"/>
    <col min="797" max="797" width="4.44140625" customWidth="1"/>
    <col min="798" max="798" width="6.33203125" customWidth="1"/>
    <col min="799" max="799" width="7.88671875" customWidth="1"/>
    <col min="800" max="800" width="3.44140625" customWidth="1"/>
    <col min="801" max="801" width="5" customWidth="1"/>
    <col min="1035" max="1035" width="1.6640625" customWidth="1"/>
    <col min="1036" max="1036" width="3.6640625" customWidth="1"/>
    <col min="1037" max="1037" width="23.44140625" customWidth="1"/>
    <col min="1038" max="1049" width="4.44140625" customWidth="1"/>
    <col min="1050" max="1050" width="6.109375" customWidth="1"/>
    <col min="1051" max="1051" width="4.44140625" customWidth="1"/>
    <col min="1052" max="1052" width="7.5546875" customWidth="1"/>
    <col min="1053" max="1053" width="4.44140625" customWidth="1"/>
    <col min="1054" max="1054" width="6.33203125" customWidth="1"/>
    <col min="1055" max="1055" width="7.88671875" customWidth="1"/>
    <col min="1056" max="1056" width="3.44140625" customWidth="1"/>
    <col min="1057" max="1057" width="5" customWidth="1"/>
    <col min="1291" max="1291" width="1.6640625" customWidth="1"/>
    <col min="1292" max="1292" width="3.6640625" customWidth="1"/>
    <col min="1293" max="1293" width="23.44140625" customWidth="1"/>
    <col min="1294" max="1305" width="4.44140625" customWidth="1"/>
    <col min="1306" max="1306" width="6.109375" customWidth="1"/>
    <col min="1307" max="1307" width="4.44140625" customWidth="1"/>
    <col min="1308" max="1308" width="7.5546875" customWidth="1"/>
    <col min="1309" max="1309" width="4.44140625" customWidth="1"/>
    <col min="1310" max="1310" width="6.33203125" customWidth="1"/>
    <col min="1311" max="1311" width="7.88671875" customWidth="1"/>
    <col min="1312" max="1312" width="3.44140625" customWidth="1"/>
    <col min="1313" max="1313" width="5" customWidth="1"/>
    <col min="1547" max="1547" width="1.6640625" customWidth="1"/>
    <col min="1548" max="1548" width="3.6640625" customWidth="1"/>
    <col min="1549" max="1549" width="23.44140625" customWidth="1"/>
    <col min="1550" max="1561" width="4.44140625" customWidth="1"/>
    <col min="1562" max="1562" width="6.109375" customWidth="1"/>
    <col min="1563" max="1563" width="4.44140625" customWidth="1"/>
    <col min="1564" max="1564" width="7.5546875" customWidth="1"/>
    <col min="1565" max="1565" width="4.44140625" customWidth="1"/>
    <col min="1566" max="1566" width="6.33203125" customWidth="1"/>
    <col min="1567" max="1567" width="7.88671875" customWidth="1"/>
    <col min="1568" max="1568" width="3.44140625" customWidth="1"/>
    <col min="1569" max="1569" width="5" customWidth="1"/>
    <col min="1803" max="1803" width="1.6640625" customWidth="1"/>
    <col min="1804" max="1804" width="3.6640625" customWidth="1"/>
    <col min="1805" max="1805" width="23.44140625" customWidth="1"/>
    <col min="1806" max="1817" width="4.44140625" customWidth="1"/>
    <col min="1818" max="1818" width="6.109375" customWidth="1"/>
    <col min="1819" max="1819" width="4.44140625" customWidth="1"/>
    <col min="1820" max="1820" width="7.5546875" customWidth="1"/>
    <col min="1821" max="1821" width="4.44140625" customWidth="1"/>
    <col min="1822" max="1822" width="6.33203125" customWidth="1"/>
    <col min="1823" max="1823" width="7.88671875" customWidth="1"/>
    <col min="1824" max="1824" width="3.44140625" customWidth="1"/>
    <col min="1825" max="1825" width="5" customWidth="1"/>
    <col min="2059" max="2059" width="1.6640625" customWidth="1"/>
    <col min="2060" max="2060" width="3.6640625" customWidth="1"/>
    <col min="2061" max="2061" width="23.44140625" customWidth="1"/>
    <col min="2062" max="2073" width="4.44140625" customWidth="1"/>
    <col min="2074" max="2074" width="6.109375" customWidth="1"/>
    <col min="2075" max="2075" width="4.44140625" customWidth="1"/>
    <col min="2076" max="2076" width="7.5546875" customWidth="1"/>
    <col min="2077" max="2077" width="4.44140625" customWidth="1"/>
    <col min="2078" max="2078" width="6.33203125" customWidth="1"/>
    <col min="2079" max="2079" width="7.88671875" customWidth="1"/>
    <col min="2080" max="2080" width="3.44140625" customWidth="1"/>
    <col min="2081" max="2081" width="5" customWidth="1"/>
    <col min="2315" max="2315" width="1.6640625" customWidth="1"/>
    <col min="2316" max="2316" width="3.6640625" customWidth="1"/>
    <col min="2317" max="2317" width="23.44140625" customWidth="1"/>
    <col min="2318" max="2329" width="4.44140625" customWidth="1"/>
    <col min="2330" max="2330" width="6.109375" customWidth="1"/>
    <col min="2331" max="2331" width="4.44140625" customWidth="1"/>
    <col min="2332" max="2332" width="7.5546875" customWidth="1"/>
    <col min="2333" max="2333" width="4.44140625" customWidth="1"/>
    <col min="2334" max="2334" width="6.33203125" customWidth="1"/>
    <col min="2335" max="2335" width="7.88671875" customWidth="1"/>
    <col min="2336" max="2336" width="3.44140625" customWidth="1"/>
    <col min="2337" max="2337" width="5" customWidth="1"/>
    <col min="2571" max="2571" width="1.6640625" customWidth="1"/>
    <col min="2572" max="2572" width="3.6640625" customWidth="1"/>
    <col min="2573" max="2573" width="23.44140625" customWidth="1"/>
    <col min="2574" max="2585" width="4.44140625" customWidth="1"/>
    <col min="2586" max="2586" width="6.109375" customWidth="1"/>
    <col min="2587" max="2587" width="4.44140625" customWidth="1"/>
    <col min="2588" max="2588" width="7.5546875" customWidth="1"/>
    <col min="2589" max="2589" width="4.44140625" customWidth="1"/>
    <col min="2590" max="2590" width="6.33203125" customWidth="1"/>
    <col min="2591" max="2591" width="7.88671875" customWidth="1"/>
    <col min="2592" max="2592" width="3.44140625" customWidth="1"/>
    <col min="2593" max="2593" width="5" customWidth="1"/>
    <col min="2827" max="2827" width="1.6640625" customWidth="1"/>
    <col min="2828" max="2828" width="3.6640625" customWidth="1"/>
    <col min="2829" max="2829" width="23.44140625" customWidth="1"/>
    <col min="2830" max="2841" width="4.44140625" customWidth="1"/>
    <col min="2842" max="2842" width="6.109375" customWidth="1"/>
    <col min="2843" max="2843" width="4.44140625" customWidth="1"/>
    <col min="2844" max="2844" width="7.5546875" customWidth="1"/>
    <col min="2845" max="2845" width="4.44140625" customWidth="1"/>
    <col min="2846" max="2846" width="6.33203125" customWidth="1"/>
    <col min="2847" max="2847" width="7.88671875" customWidth="1"/>
    <col min="2848" max="2848" width="3.44140625" customWidth="1"/>
    <col min="2849" max="2849" width="5" customWidth="1"/>
    <col min="3083" max="3083" width="1.6640625" customWidth="1"/>
    <col min="3084" max="3084" width="3.6640625" customWidth="1"/>
    <col min="3085" max="3085" width="23.44140625" customWidth="1"/>
    <col min="3086" max="3097" width="4.44140625" customWidth="1"/>
    <col min="3098" max="3098" width="6.109375" customWidth="1"/>
    <col min="3099" max="3099" width="4.44140625" customWidth="1"/>
    <col min="3100" max="3100" width="7.5546875" customWidth="1"/>
    <col min="3101" max="3101" width="4.44140625" customWidth="1"/>
    <col min="3102" max="3102" width="6.33203125" customWidth="1"/>
    <col min="3103" max="3103" width="7.88671875" customWidth="1"/>
    <col min="3104" max="3104" width="3.44140625" customWidth="1"/>
    <col min="3105" max="3105" width="5" customWidth="1"/>
    <col min="3339" max="3339" width="1.6640625" customWidth="1"/>
    <col min="3340" max="3340" width="3.6640625" customWidth="1"/>
    <col min="3341" max="3341" width="23.44140625" customWidth="1"/>
    <col min="3342" max="3353" width="4.44140625" customWidth="1"/>
    <col min="3354" max="3354" width="6.109375" customWidth="1"/>
    <col min="3355" max="3355" width="4.44140625" customWidth="1"/>
    <col min="3356" max="3356" width="7.5546875" customWidth="1"/>
    <col min="3357" max="3357" width="4.44140625" customWidth="1"/>
    <col min="3358" max="3358" width="6.33203125" customWidth="1"/>
    <col min="3359" max="3359" width="7.88671875" customWidth="1"/>
    <col min="3360" max="3360" width="3.44140625" customWidth="1"/>
    <col min="3361" max="3361" width="5" customWidth="1"/>
    <col min="3595" max="3595" width="1.6640625" customWidth="1"/>
    <col min="3596" max="3596" width="3.6640625" customWidth="1"/>
    <col min="3597" max="3597" width="23.44140625" customWidth="1"/>
    <col min="3598" max="3609" width="4.44140625" customWidth="1"/>
    <col min="3610" max="3610" width="6.109375" customWidth="1"/>
    <col min="3611" max="3611" width="4.44140625" customWidth="1"/>
    <col min="3612" max="3612" width="7.5546875" customWidth="1"/>
    <col min="3613" max="3613" width="4.44140625" customWidth="1"/>
    <col min="3614" max="3614" width="6.33203125" customWidth="1"/>
    <col min="3615" max="3615" width="7.88671875" customWidth="1"/>
    <col min="3616" max="3616" width="3.44140625" customWidth="1"/>
    <col min="3617" max="3617" width="5" customWidth="1"/>
    <col min="3851" max="3851" width="1.6640625" customWidth="1"/>
    <col min="3852" max="3852" width="3.6640625" customWidth="1"/>
    <col min="3853" max="3853" width="23.44140625" customWidth="1"/>
    <col min="3854" max="3865" width="4.44140625" customWidth="1"/>
    <col min="3866" max="3866" width="6.109375" customWidth="1"/>
    <col min="3867" max="3867" width="4.44140625" customWidth="1"/>
    <col min="3868" max="3868" width="7.5546875" customWidth="1"/>
    <col min="3869" max="3869" width="4.44140625" customWidth="1"/>
    <col min="3870" max="3870" width="6.33203125" customWidth="1"/>
    <col min="3871" max="3871" width="7.88671875" customWidth="1"/>
    <col min="3872" max="3872" width="3.44140625" customWidth="1"/>
    <col min="3873" max="3873" width="5" customWidth="1"/>
    <col min="4107" max="4107" width="1.6640625" customWidth="1"/>
    <col min="4108" max="4108" width="3.6640625" customWidth="1"/>
    <col min="4109" max="4109" width="23.44140625" customWidth="1"/>
    <col min="4110" max="4121" width="4.44140625" customWidth="1"/>
    <col min="4122" max="4122" width="6.109375" customWidth="1"/>
    <col min="4123" max="4123" width="4.44140625" customWidth="1"/>
    <col min="4124" max="4124" width="7.5546875" customWidth="1"/>
    <col min="4125" max="4125" width="4.44140625" customWidth="1"/>
    <col min="4126" max="4126" width="6.33203125" customWidth="1"/>
    <col min="4127" max="4127" width="7.88671875" customWidth="1"/>
    <col min="4128" max="4128" width="3.44140625" customWidth="1"/>
    <col min="4129" max="4129" width="5" customWidth="1"/>
    <col min="4363" max="4363" width="1.6640625" customWidth="1"/>
    <col min="4364" max="4364" width="3.6640625" customWidth="1"/>
    <col min="4365" max="4365" width="23.44140625" customWidth="1"/>
    <col min="4366" max="4377" width="4.44140625" customWidth="1"/>
    <col min="4378" max="4378" width="6.109375" customWidth="1"/>
    <col min="4379" max="4379" width="4.44140625" customWidth="1"/>
    <col min="4380" max="4380" width="7.5546875" customWidth="1"/>
    <col min="4381" max="4381" width="4.44140625" customWidth="1"/>
    <col min="4382" max="4382" width="6.33203125" customWidth="1"/>
    <col min="4383" max="4383" width="7.88671875" customWidth="1"/>
    <col min="4384" max="4384" width="3.44140625" customWidth="1"/>
    <col min="4385" max="4385" width="5" customWidth="1"/>
    <col min="4619" max="4619" width="1.6640625" customWidth="1"/>
    <col min="4620" max="4620" width="3.6640625" customWidth="1"/>
    <col min="4621" max="4621" width="23.44140625" customWidth="1"/>
    <col min="4622" max="4633" width="4.44140625" customWidth="1"/>
    <col min="4634" max="4634" width="6.109375" customWidth="1"/>
    <col min="4635" max="4635" width="4.44140625" customWidth="1"/>
    <col min="4636" max="4636" width="7.5546875" customWidth="1"/>
    <col min="4637" max="4637" width="4.44140625" customWidth="1"/>
    <col min="4638" max="4638" width="6.33203125" customWidth="1"/>
    <col min="4639" max="4639" width="7.88671875" customWidth="1"/>
    <col min="4640" max="4640" width="3.44140625" customWidth="1"/>
    <col min="4641" max="4641" width="5" customWidth="1"/>
    <col min="4875" max="4875" width="1.6640625" customWidth="1"/>
    <col min="4876" max="4876" width="3.6640625" customWidth="1"/>
    <col min="4877" max="4877" width="23.44140625" customWidth="1"/>
    <col min="4878" max="4889" width="4.44140625" customWidth="1"/>
    <col min="4890" max="4890" width="6.109375" customWidth="1"/>
    <col min="4891" max="4891" width="4.44140625" customWidth="1"/>
    <col min="4892" max="4892" width="7.5546875" customWidth="1"/>
    <col min="4893" max="4893" width="4.44140625" customWidth="1"/>
    <col min="4894" max="4894" width="6.33203125" customWidth="1"/>
    <col min="4895" max="4895" width="7.88671875" customWidth="1"/>
    <col min="4896" max="4896" width="3.44140625" customWidth="1"/>
    <col min="4897" max="4897" width="5" customWidth="1"/>
    <col min="5131" max="5131" width="1.6640625" customWidth="1"/>
    <col min="5132" max="5132" width="3.6640625" customWidth="1"/>
    <col min="5133" max="5133" width="23.44140625" customWidth="1"/>
    <col min="5134" max="5145" width="4.44140625" customWidth="1"/>
    <col min="5146" max="5146" width="6.109375" customWidth="1"/>
    <col min="5147" max="5147" width="4.44140625" customWidth="1"/>
    <col min="5148" max="5148" width="7.5546875" customWidth="1"/>
    <col min="5149" max="5149" width="4.44140625" customWidth="1"/>
    <col min="5150" max="5150" width="6.33203125" customWidth="1"/>
    <col min="5151" max="5151" width="7.88671875" customWidth="1"/>
    <col min="5152" max="5152" width="3.44140625" customWidth="1"/>
    <col min="5153" max="5153" width="5" customWidth="1"/>
    <col min="5387" max="5387" width="1.6640625" customWidth="1"/>
    <col min="5388" max="5388" width="3.6640625" customWidth="1"/>
    <col min="5389" max="5389" width="23.44140625" customWidth="1"/>
    <col min="5390" max="5401" width="4.44140625" customWidth="1"/>
    <col min="5402" max="5402" width="6.109375" customWidth="1"/>
    <col min="5403" max="5403" width="4.44140625" customWidth="1"/>
    <col min="5404" max="5404" width="7.5546875" customWidth="1"/>
    <col min="5405" max="5405" width="4.44140625" customWidth="1"/>
    <col min="5406" max="5406" width="6.33203125" customWidth="1"/>
    <col min="5407" max="5407" width="7.88671875" customWidth="1"/>
    <col min="5408" max="5408" width="3.44140625" customWidth="1"/>
    <col min="5409" max="5409" width="5" customWidth="1"/>
    <col min="5643" max="5643" width="1.6640625" customWidth="1"/>
    <col min="5644" max="5644" width="3.6640625" customWidth="1"/>
    <col min="5645" max="5645" width="23.44140625" customWidth="1"/>
    <col min="5646" max="5657" width="4.44140625" customWidth="1"/>
    <col min="5658" max="5658" width="6.109375" customWidth="1"/>
    <col min="5659" max="5659" width="4.44140625" customWidth="1"/>
    <col min="5660" max="5660" width="7.5546875" customWidth="1"/>
    <col min="5661" max="5661" width="4.44140625" customWidth="1"/>
    <col min="5662" max="5662" width="6.33203125" customWidth="1"/>
    <col min="5663" max="5663" width="7.88671875" customWidth="1"/>
    <col min="5664" max="5664" width="3.44140625" customWidth="1"/>
    <col min="5665" max="5665" width="5" customWidth="1"/>
    <col min="5899" max="5899" width="1.6640625" customWidth="1"/>
    <col min="5900" max="5900" width="3.6640625" customWidth="1"/>
    <col min="5901" max="5901" width="23.44140625" customWidth="1"/>
    <col min="5902" max="5913" width="4.44140625" customWidth="1"/>
    <col min="5914" max="5914" width="6.109375" customWidth="1"/>
    <col min="5915" max="5915" width="4.44140625" customWidth="1"/>
    <col min="5916" max="5916" width="7.5546875" customWidth="1"/>
    <col min="5917" max="5917" width="4.44140625" customWidth="1"/>
    <col min="5918" max="5918" width="6.33203125" customWidth="1"/>
    <col min="5919" max="5919" width="7.88671875" customWidth="1"/>
    <col min="5920" max="5920" width="3.44140625" customWidth="1"/>
    <col min="5921" max="5921" width="5" customWidth="1"/>
    <col min="6155" max="6155" width="1.6640625" customWidth="1"/>
    <col min="6156" max="6156" width="3.6640625" customWidth="1"/>
    <col min="6157" max="6157" width="23.44140625" customWidth="1"/>
    <col min="6158" max="6169" width="4.44140625" customWidth="1"/>
    <col min="6170" max="6170" width="6.109375" customWidth="1"/>
    <col min="6171" max="6171" width="4.44140625" customWidth="1"/>
    <col min="6172" max="6172" width="7.5546875" customWidth="1"/>
    <col min="6173" max="6173" width="4.44140625" customWidth="1"/>
    <col min="6174" max="6174" width="6.33203125" customWidth="1"/>
    <col min="6175" max="6175" width="7.88671875" customWidth="1"/>
    <col min="6176" max="6176" width="3.44140625" customWidth="1"/>
    <col min="6177" max="6177" width="5" customWidth="1"/>
    <col min="6411" max="6411" width="1.6640625" customWidth="1"/>
    <col min="6412" max="6412" width="3.6640625" customWidth="1"/>
    <col min="6413" max="6413" width="23.44140625" customWidth="1"/>
    <col min="6414" max="6425" width="4.44140625" customWidth="1"/>
    <col min="6426" max="6426" width="6.109375" customWidth="1"/>
    <col min="6427" max="6427" width="4.44140625" customWidth="1"/>
    <col min="6428" max="6428" width="7.5546875" customWidth="1"/>
    <col min="6429" max="6429" width="4.44140625" customWidth="1"/>
    <col min="6430" max="6430" width="6.33203125" customWidth="1"/>
    <col min="6431" max="6431" width="7.88671875" customWidth="1"/>
    <col min="6432" max="6432" width="3.44140625" customWidth="1"/>
    <col min="6433" max="6433" width="5" customWidth="1"/>
    <col min="6667" max="6667" width="1.6640625" customWidth="1"/>
    <col min="6668" max="6668" width="3.6640625" customWidth="1"/>
    <col min="6669" max="6669" width="23.44140625" customWidth="1"/>
    <col min="6670" max="6681" width="4.44140625" customWidth="1"/>
    <col min="6682" max="6682" width="6.109375" customWidth="1"/>
    <col min="6683" max="6683" width="4.44140625" customWidth="1"/>
    <col min="6684" max="6684" width="7.5546875" customWidth="1"/>
    <col min="6685" max="6685" width="4.44140625" customWidth="1"/>
    <col min="6686" max="6686" width="6.33203125" customWidth="1"/>
    <col min="6687" max="6687" width="7.88671875" customWidth="1"/>
    <col min="6688" max="6688" width="3.44140625" customWidth="1"/>
    <col min="6689" max="6689" width="5" customWidth="1"/>
    <col min="6923" max="6923" width="1.6640625" customWidth="1"/>
    <col min="6924" max="6924" width="3.6640625" customWidth="1"/>
    <col min="6925" max="6925" width="23.44140625" customWidth="1"/>
    <col min="6926" max="6937" width="4.44140625" customWidth="1"/>
    <col min="6938" max="6938" width="6.109375" customWidth="1"/>
    <col min="6939" max="6939" width="4.44140625" customWidth="1"/>
    <col min="6940" max="6940" width="7.5546875" customWidth="1"/>
    <col min="6941" max="6941" width="4.44140625" customWidth="1"/>
    <col min="6942" max="6942" width="6.33203125" customWidth="1"/>
    <col min="6943" max="6943" width="7.88671875" customWidth="1"/>
    <col min="6944" max="6944" width="3.44140625" customWidth="1"/>
    <col min="6945" max="6945" width="5" customWidth="1"/>
    <col min="7179" max="7179" width="1.6640625" customWidth="1"/>
    <col min="7180" max="7180" width="3.6640625" customWidth="1"/>
    <col min="7181" max="7181" width="23.44140625" customWidth="1"/>
    <col min="7182" max="7193" width="4.44140625" customWidth="1"/>
    <col min="7194" max="7194" width="6.109375" customWidth="1"/>
    <col min="7195" max="7195" width="4.44140625" customWidth="1"/>
    <col min="7196" max="7196" width="7.5546875" customWidth="1"/>
    <col min="7197" max="7197" width="4.44140625" customWidth="1"/>
    <col min="7198" max="7198" width="6.33203125" customWidth="1"/>
    <col min="7199" max="7199" width="7.88671875" customWidth="1"/>
    <col min="7200" max="7200" width="3.44140625" customWidth="1"/>
    <col min="7201" max="7201" width="5" customWidth="1"/>
    <col min="7435" max="7435" width="1.6640625" customWidth="1"/>
    <col min="7436" max="7436" width="3.6640625" customWidth="1"/>
    <col min="7437" max="7437" width="23.44140625" customWidth="1"/>
    <col min="7438" max="7449" width="4.44140625" customWidth="1"/>
    <col min="7450" max="7450" width="6.109375" customWidth="1"/>
    <col min="7451" max="7451" width="4.44140625" customWidth="1"/>
    <col min="7452" max="7452" width="7.5546875" customWidth="1"/>
    <col min="7453" max="7453" width="4.44140625" customWidth="1"/>
    <col min="7454" max="7454" width="6.33203125" customWidth="1"/>
    <col min="7455" max="7455" width="7.88671875" customWidth="1"/>
    <col min="7456" max="7456" width="3.44140625" customWidth="1"/>
    <col min="7457" max="7457" width="5" customWidth="1"/>
    <col min="7691" max="7691" width="1.6640625" customWidth="1"/>
    <col min="7692" max="7692" width="3.6640625" customWidth="1"/>
    <col min="7693" max="7693" width="23.44140625" customWidth="1"/>
    <col min="7694" max="7705" width="4.44140625" customWidth="1"/>
    <col min="7706" max="7706" width="6.109375" customWidth="1"/>
    <col min="7707" max="7707" width="4.44140625" customWidth="1"/>
    <col min="7708" max="7708" width="7.5546875" customWidth="1"/>
    <col min="7709" max="7709" width="4.44140625" customWidth="1"/>
    <col min="7710" max="7710" width="6.33203125" customWidth="1"/>
    <col min="7711" max="7711" width="7.88671875" customWidth="1"/>
    <col min="7712" max="7712" width="3.44140625" customWidth="1"/>
    <col min="7713" max="7713" width="5" customWidth="1"/>
    <col min="7947" max="7947" width="1.6640625" customWidth="1"/>
    <col min="7948" max="7948" width="3.6640625" customWidth="1"/>
    <col min="7949" max="7949" width="23.44140625" customWidth="1"/>
    <col min="7950" max="7961" width="4.44140625" customWidth="1"/>
    <col min="7962" max="7962" width="6.109375" customWidth="1"/>
    <col min="7963" max="7963" width="4.44140625" customWidth="1"/>
    <col min="7964" max="7964" width="7.5546875" customWidth="1"/>
    <col min="7965" max="7965" width="4.44140625" customWidth="1"/>
    <col min="7966" max="7966" width="6.33203125" customWidth="1"/>
    <col min="7967" max="7967" width="7.88671875" customWidth="1"/>
    <col min="7968" max="7968" width="3.44140625" customWidth="1"/>
    <col min="7969" max="7969" width="5" customWidth="1"/>
    <col min="8203" max="8203" width="1.6640625" customWidth="1"/>
    <col min="8204" max="8204" width="3.6640625" customWidth="1"/>
    <col min="8205" max="8205" width="23.44140625" customWidth="1"/>
    <col min="8206" max="8217" width="4.44140625" customWidth="1"/>
    <col min="8218" max="8218" width="6.109375" customWidth="1"/>
    <col min="8219" max="8219" width="4.44140625" customWidth="1"/>
    <col min="8220" max="8220" width="7.5546875" customWidth="1"/>
    <col min="8221" max="8221" width="4.44140625" customWidth="1"/>
    <col min="8222" max="8222" width="6.33203125" customWidth="1"/>
    <col min="8223" max="8223" width="7.88671875" customWidth="1"/>
    <col min="8224" max="8224" width="3.44140625" customWidth="1"/>
    <col min="8225" max="8225" width="5" customWidth="1"/>
    <col min="8459" max="8459" width="1.6640625" customWidth="1"/>
    <col min="8460" max="8460" width="3.6640625" customWidth="1"/>
    <col min="8461" max="8461" width="23.44140625" customWidth="1"/>
    <col min="8462" max="8473" width="4.44140625" customWidth="1"/>
    <col min="8474" max="8474" width="6.109375" customWidth="1"/>
    <col min="8475" max="8475" width="4.44140625" customWidth="1"/>
    <col min="8476" max="8476" width="7.5546875" customWidth="1"/>
    <col min="8477" max="8477" width="4.44140625" customWidth="1"/>
    <col min="8478" max="8478" width="6.33203125" customWidth="1"/>
    <col min="8479" max="8479" width="7.88671875" customWidth="1"/>
    <col min="8480" max="8480" width="3.44140625" customWidth="1"/>
    <col min="8481" max="8481" width="5" customWidth="1"/>
    <col min="8715" max="8715" width="1.6640625" customWidth="1"/>
    <col min="8716" max="8716" width="3.6640625" customWidth="1"/>
    <col min="8717" max="8717" width="23.44140625" customWidth="1"/>
    <col min="8718" max="8729" width="4.44140625" customWidth="1"/>
    <col min="8730" max="8730" width="6.109375" customWidth="1"/>
    <col min="8731" max="8731" width="4.44140625" customWidth="1"/>
    <col min="8732" max="8732" width="7.5546875" customWidth="1"/>
    <col min="8733" max="8733" width="4.44140625" customWidth="1"/>
    <col min="8734" max="8734" width="6.33203125" customWidth="1"/>
    <col min="8735" max="8735" width="7.88671875" customWidth="1"/>
    <col min="8736" max="8736" width="3.44140625" customWidth="1"/>
    <col min="8737" max="8737" width="5" customWidth="1"/>
    <col min="8971" max="8971" width="1.6640625" customWidth="1"/>
    <col min="8972" max="8972" width="3.6640625" customWidth="1"/>
    <col min="8973" max="8973" width="23.44140625" customWidth="1"/>
    <col min="8974" max="8985" width="4.44140625" customWidth="1"/>
    <col min="8986" max="8986" width="6.109375" customWidth="1"/>
    <col min="8987" max="8987" width="4.44140625" customWidth="1"/>
    <col min="8988" max="8988" width="7.5546875" customWidth="1"/>
    <col min="8989" max="8989" width="4.44140625" customWidth="1"/>
    <col min="8990" max="8990" width="6.33203125" customWidth="1"/>
    <col min="8991" max="8991" width="7.88671875" customWidth="1"/>
    <col min="8992" max="8992" width="3.44140625" customWidth="1"/>
    <col min="8993" max="8993" width="5" customWidth="1"/>
    <col min="9227" max="9227" width="1.6640625" customWidth="1"/>
    <col min="9228" max="9228" width="3.6640625" customWidth="1"/>
    <col min="9229" max="9229" width="23.44140625" customWidth="1"/>
    <col min="9230" max="9241" width="4.44140625" customWidth="1"/>
    <col min="9242" max="9242" width="6.109375" customWidth="1"/>
    <col min="9243" max="9243" width="4.44140625" customWidth="1"/>
    <col min="9244" max="9244" width="7.5546875" customWidth="1"/>
    <col min="9245" max="9245" width="4.44140625" customWidth="1"/>
    <col min="9246" max="9246" width="6.33203125" customWidth="1"/>
    <col min="9247" max="9247" width="7.88671875" customWidth="1"/>
    <col min="9248" max="9248" width="3.44140625" customWidth="1"/>
    <col min="9249" max="9249" width="5" customWidth="1"/>
    <col min="9483" max="9483" width="1.6640625" customWidth="1"/>
    <col min="9484" max="9484" width="3.6640625" customWidth="1"/>
    <col min="9485" max="9485" width="23.44140625" customWidth="1"/>
    <col min="9486" max="9497" width="4.44140625" customWidth="1"/>
    <col min="9498" max="9498" width="6.109375" customWidth="1"/>
    <col min="9499" max="9499" width="4.44140625" customWidth="1"/>
    <col min="9500" max="9500" width="7.5546875" customWidth="1"/>
    <col min="9501" max="9501" width="4.44140625" customWidth="1"/>
    <col min="9502" max="9502" width="6.33203125" customWidth="1"/>
    <col min="9503" max="9503" width="7.88671875" customWidth="1"/>
    <col min="9504" max="9504" width="3.44140625" customWidth="1"/>
    <col min="9505" max="9505" width="5" customWidth="1"/>
    <col min="9739" max="9739" width="1.6640625" customWidth="1"/>
    <col min="9740" max="9740" width="3.6640625" customWidth="1"/>
    <col min="9741" max="9741" width="23.44140625" customWidth="1"/>
    <col min="9742" max="9753" width="4.44140625" customWidth="1"/>
    <col min="9754" max="9754" width="6.109375" customWidth="1"/>
    <col min="9755" max="9755" width="4.44140625" customWidth="1"/>
    <col min="9756" max="9756" width="7.5546875" customWidth="1"/>
    <col min="9757" max="9757" width="4.44140625" customWidth="1"/>
    <col min="9758" max="9758" width="6.33203125" customWidth="1"/>
    <col min="9759" max="9759" width="7.88671875" customWidth="1"/>
    <col min="9760" max="9760" width="3.44140625" customWidth="1"/>
    <col min="9761" max="9761" width="5" customWidth="1"/>
    <col min="9995" max="9995" width="1.6640625" customWidth="1"/>
    <col min="9996" max="9996" width="3.6640625" customWidth="1"/>
    <col min="9997" max="9997" width="23.44140625" customWidth="1"/>
    <col min="9998" max="10009" width="4.44140625" customWidth="1"/>
    <col min="10010" max="10010" width="6.109375" customWidth="1"/>
    <col min="10011" max="10011" width="4.44140625" customWidth="1"/>
    <col min="10012" max="10012" width="7.5546875" customWidth="1"/>
    <col min="10013" max="10013" width="4.44140625" customWidth="1"/>
    <col min="10014" max="10014" width="6.33203125" customWidth="1"/>
    <col min="10015" max="10015" width="7.88671875" customWidth="1"/>
    <col min="10016" max="10016" width="3.44140625" customWidth="1"/>
    <col min="10017" max="10017" width="5" customWidth="1"/>
    <col min="10251" max="10251" width="1.6640625" customWidth="1"/>
    <col min="10252" max="10252" width="3.6640625" customWidth="1"/>
    <col min="10253" max="10253" width="23.44140625" customWidth="1"/>
    <col min="10254" max="10265" width="4.44140625" customWidth="1"/>
    <col min="10266" max="10266" width="6.109375" customWidth="1"/>
    <col min="10267" max="10267" width="4.44140625" customWidth="1"/>
    <col min="10268" max="10268" width="7.5546875" customWidth="1"/>
    <col min="10269" max="10269" width="4.44140625" customWidth="1"/>
    <col min="10270" max="10270" width="6.33203125" customWidth="1"/>
    <col min="10271" max="10271" width="7.88671875" customWidth="1"/>
    <col min="10272" max="10272" width="3.44140625" customWidth="1"/>
    <col min="10273" max="10273" width="5" customWidth="1"/>
    <col min="10507" max="10507" width="1.6640625" customWidth="1"/>
    <col min="10508" max="10508" width="3.6640625" customWidth="1"/>
    <col min="10509" max="10509" width="23.44140625" customWidth="1"/>
    <col min="10510" max="10521" width="4.44140625" customWidth="1"/>
    <col min="10522" max="10522" width="6.109375" customWidth="1"/>
    <col min="10523" max="10523" width="4.44140625" customWidth="1"/>
    <col min="10524" max="10524" width="7.5546875" customWidth="1"/>
    <col min="10525" max="10525" width="4.44140625" customWidth="1"/>
    <col min="10526" max="10526" width="6.33203125" customWidth="1"/>
    <col min="10527" max="10527" width="7.88671875" customWidth="1"/>
    <col min="10528" max="10528" width="3.44140625" customWidth="1"/>
    <col min="10529" max="10529" width="5" customWidth="1"/>
    <col min="10763" max="10763" width="1.6640625" customWidth="1"/>
    <col min="10764" max="10764" width="3.6640625" customWidth="1"/>
    <col min="10765" max="10765" width="23.44140625" customWidth="1"/>
    <col min="10766" max="10777" width="4.44140625" customWidth="1"/>
    <col min="10778" max="10778" width="6.109375" customWidth="1"/>
    <col min="10779" max="10779" width="4.44140625" customWidth="1"/>
    <col min="10780" max="10780" width="7.5546875" customWidth="1"/>
    <col min="10781" max="10781" width="4.44140625" customWidth="1"/>
    <col min="10782" max="10782" width="6.33203125" customWidth="1"/>
    <col min="10783" max="10783" width="7.88671875" customWidth="1"/>
    <col min="10784" max="10784" width="3.44140625" customWidth="1"/>
    <col min="10785" max="10785" width="5" customWidth="1"/>
    <col min="11019" max="11019" width="1.6640625" customWidth="1"/>
    <col min="11020" max="11020" width="3.6640625" customWidth="1"/>
    <col min="11021" max="11021" width="23.44140625" customWidth="1"/>
    <col min="11022" max="11033" width="4.44140625" customWidth="1"/>
    <col min="11034" max="11034" width="6.109375" customWidth="1"/>
    <col min="11035" max="11035" width="4.44140625" customWidth="1"/>
    <col min="11036" max="11036" width="7.5546875" customWidth="1"/>
    <col min="11037" max="11037" width="4.44140625" customWidth="1"/>
    <col min="11038" max="11038" width="6.33203125" customWidth="1"/>
    <col min="11039" max="11039" width="7.88671875" customWidth="1"/>
    <col min="11040" max="11040" width="3.44140625" customWidth="1"/>
    <col min="11041" max="11041" width="5" customWidth="1"/>
    <col min="11275" max="11275" width="1.6640625" customWidth="1"/>
    <col min="11276" max="11276" width="3.6640625" customWidth="1"/>
    <col min="11277" max="11277" width="23.44140625" customWidth="1"/>
    <col min="11278" max="11289" width="4.44140625" customWidth="1"/>
    <col min="11290" max="11290" width="6.109375" customWidth="1"/>
    <col min="11291" max="11291" width="4.44140625" customWidth="1"/>
    <col min="11292" max="11292" width="7.5546875" customWidth="1"/>
    <col min="11293" max="11293" width="4.44140625" customWidth="1"/>
    <col min="11294" max="11294" width="6.33203125" customWidth="1"/>
    <col min="11295" max="11295" width="7.88671875" customWidth="1"/>
    <col min="11296" max="11296" width="3.44140625" customWidth="1"/>
    <col min="11297" max="11297" width="5" customWidth="1"/>
    <col min="11531" max="11531" width="1.6640625" customWidth="1"/>
    <col min="11532" max="11532" width="3.6640625" customWidth="1"/>
    <col min="11533" max="11533" width="23.44140625" customWidth="1"/>
    <col min="11534" max="11545" width="4.44140625" customWidth="1"/>
    <col min="11546" max="11546" width="6.109375" customWidth="1"/>
    <col min="11547" max="11547" width="4.44140625" customWidth="1"/>
    <col min="11548" max="11548" width="7.5546875" customWidth="1"/>
    <col min="11549" max="11549" width="4.44140625" customWidth="1"/>
    <col min="11550" max="11550" width="6.33203125" customWidth="1"/>
    <col min="11551" max="11551" width="7.88671875" customWidth="1"/>
    <col min="11552" max="11552" width="3.44140625" customWidth="1"/>
    <col min="11553" max="11553" width="5" customWidth="1"/>
    <col min="11787" max="11787" width="1.6640625" customWidth="1"/>
    <col min="11788" max="11788" width="3.6640625" customWidth="1"/>
    <col min="11789" max="11789" width="23.44140625" customWidth="1"/>
    <col min="11790" max="11801" width="4.44140625" customWidth="1"/>
    <col min="11802" max="11802" width="6.109375" customWidth="1"/>
    <col min="11803" max="11803" width="4.44140625" customWidth="1"/>
    <col min="11804" max="11804" width="7.5546875" customWidth="1"/>
    <col min="11805" max="11805" width="4.44140625" customWidth="1"/>
    <col min="11806" max="11806" width="6.33203125" customWidth="1"/>
    <col min="11807" max="11807" width="7.88671875" customWidth="1"/>
    <col min="11808" max="11808" width="3.44140625" customWidth="1"/>
    <col min="11809" max="11809" width="5" customWidth="1"/>
    <col min="12043" max="12043" width="1.6640625" customWidth="1"/>
    <col min="12044" max="12044" width="3.6640625" customWidth="1"/>
    <col min="12045" max="12045" width="23.44140625" customWidth="1"/>
    <col min="12046" max="12057" width="4.44140625" customWidth="1"/>
    <col min="12058" max="12058" width="6.109375" customWidth="1"/>
    <col min="12059" max="12059" width="4.44140625" customWidth="1"/>
    <col min="12060" max="12060" width="7.5546875" customWidth="1"/>
    <col min="12061" max="12061" width="4.44140625" customWidth="1"/>
    <col min="12062" max="12062" width="6.33203125" customWidth="1"/>
    <col min="12063" max="12063" width="7.88671875" customWidth="1"/>
    <col min="12064" max="12064" width="3.44140625" customWidth="1"/>
    <col min="12065" max="12065" width="5" customWidth="1"/>
    <col min="12299" max="12299" width="1.6640625" customWidth="1"/>
    <col min="12300" max="12300" width="3.6640625" customWidth="1"/>
    <col min="12301" max="12301" width="23.44140625" customWidth="1"/>
    <col min="12302" max="12313" width="4.44140625" customWidth="1"/>
    <col min="12314" max="12314" width="6.109375" customWidth="1"/>
    <col min="12315" max="12315" width="4.44140625" customWidth="1"/>
    <col min="12316" max="12316" width="7.5546875" customWidth="1"/>
    <col min="12317" max="12317" width="4.44140625" customWidth="1"/>
    <col min="12318" max="12318" width="6.33203125" customWidth="1"/>
    <col min="12319" max="12319" width="7.88671875" customWidth="1"/>
    <col min="12320" max="12320" width="3.44140625" customWidth="1"/>
    <col min="12321" max="12321" width="5" customWidth="1"/>
    <col min="12555" max="12555" width="1.6640625" customWidth="1"/>
    <col min="12556" max="12556" width="3.6640625" customWidth="1"/>
    <col min="12557" max="12557" width="23.44140625" customWidth="1"/>
    <col min="12558" max="12569" width="4.44140625" customWidth="1"/>
    <col min="12570" max="12570" width="6.109375" customWidth="1"/>
    <col min="12571" max="12571" width="4.44140625" customWidth="1"/>
    <col min="12572" max="12572" width="7.5546875" customWidth="1"/>
    <col min="12573" max="12573" width="4.44140625" customWidth="1"/>
    <col min="12574" max="12574" width="6.33203125" customWidth="1"/>
    <col min="12575" max="12575" width="7.88671875" customWidth="1"/>
    <col min="12576" max="12576" width="3.44140625" customWidth="1"/>
    <col min="12577" max="12577" width="5" customWidth="1"/>
    <col min="12811" max="12811" width="1.6640625" customWidth="1"/>
    <col min="12812" max="12812" width="3.6640625" customWidth="1"/>
    <col min="12813" max="12813" width="23.44140625" customWidth="1"/>
    <col min="12814" max="12825" width="4.44140625" customWidth="1"/>
    <col min="12826" max="12826" width="6.109375" customWidth="1"/>
    <col min="12827" max="12827" width="4.44140625" customWidth="1"/>
    <col min="12828" max="12828" width="7.5546875" customWidth="1"/>
    <col min="12829" max="12829" width="4.44140625" customWidth="1"/>
    <col min="12830" max="12830" width="6.33203125" customWidth="1"/>
    <col min="12831" max="12831" width="7.88671875" customWidth="1"/>
    <col min="12832" max="12832" width="3.44140625" customWidth="1"/>
    <col min="12833" max="12833" width="5" customWidth="1"/>
    <col min="13067" max="13067" width="1.6640625" customWidth="1"/>
    <col min="13068" max="13068" width="3.6640625" customWidth="1"/>
    <col min="13069" max="13069" width="23.44140625" customWidth="1"/>
    <col min="13070" max="13081" width="4.44140625" customWidth="1"/>
    <col min="13082" max="13082" width="6.109375" customWidth="1"/>
    <col min="13083" max="13083" width="4.44140625" customWidth="1"/>
    <col min="13084" max="13084" width="7.5546875" customWidth="1"/>
    <col min="13085" max="13085" width="4.44140625" customWidth="1"/>
    <col min="13086" max="13086" width="6.33203125" customWidth="1"/>
    <col min="13087" max="13087" width="7.88671875" customWidth="1"/>
    <col min="13088" max="13088" width="3.44140625" customWidth="1"/>
    <col min="13089" max="13089" width="5" customWidth="1"/>
    <col min="13323" max="13323" width="1.6640625" customWidth="1"/>
    <col min="13324" max="13324" width="3.6640625" customWidth="1"/>
    <col min="13325" max="13325" width="23.44140625" customWidth="1"/>
    <col min="13326" max="13337" width="4.44140625" customWidth="1"/>
    <col min="13338" max="13338" width="6.109375" customWidth="1"/>
    <col min="13339" max="13339" width="4.44140625" customWidth="1"/>
    <col min="13340" max="13340" width="7.5546875" customWidth="1"/>
    <col min="13341" max="13341" width="4.44140625" customWidth="1"/>
    <col min="13342" max="13342" width="6.33203125" customWidth="1"/>
    <col min="13343" max="13343" width="7.88671875" customWidth="1"/>
    <col min="13344" max="13344" width="3.44140625" customWidth="1"/>
    <col min="13345" max="13345" width="5" customWidth="1"/>
    <col min="13579" max="13579" width="1.6640625" customWidth="1"/>
    <col min="13580" max="13580" width="3.6640625" customWidth="1"/>
    <col min="13581" max="13581" width="23.44140625" customWidth="1"/>
    <col min="13582" max="13593" width="4.44140625" customWidth="1"/>
    <col min="13594" max="13594" width="6.109375" customWidth="1"/>
    <col min="13595" max="13595" width="4.44140625" customWidth="1"/>
    <col min="13596" max="13596" width="7.5546875" customWidth="1"/>
    <col min="13597" max="13597" width="4.44140625" customWidth="1"/>
    <col min="13598" max="13598" width="6.33203125" customWidth="1"/>
    <col min="13599" max="13599" width="7.88671875" customWidth="1"/>
    <col min="13600" max="13600" width="3.44140625" customWidth="1"/>
    <col min="13601" max="13601" width="5" customWidth="1"/>
    <col min="13835" max="13835" width="1.6640625" customWidth="1"/>
    <col min="13836" max="13836" width="3.6640625" customWidth="1"/>
    <col min="13837" max="13837" width="23.44140625" customWidth="1"/>
    <col min="13838" max="13849" width="4.44140625" customWidth="1"/>
    <col min="13850" max="13850" width="6.109375" customWidth="1"/>
    <col min="13851" max="13851" width="4.44140625" customWidth="1"/>
    <col min="13852" max="13852" width="7.5546875" customWidth="1"/>
    <col min="13853" max="13853" width="4.44140625" customWidth="1"/>
    <col min="13854" max="13854" width="6.33203125" customWidth="1"/>
    <col min="13855" max="13855" width="7.88671875" customWidth="1"/>
    <col min="13856" max="13856" width="3.44140625" customWidth="1"/>
    <col min="13857" max="13857" width="5" customWidth="1"/>
    <col min="14091" max="14091" width="1.6640625" customWidth="1"/>
    <col min="14092" max="14092" width="3.6640625" customWidth="1"/>
    <col min="14093" max="14093" width="23.44140625" customWidth="1"/>
    <col min="14094" max="14105" width="4.44140625" customWidth="1"/>
    <col min="14106" max="14106" width="6.109375" customWidth="1"/>
    <col min="14107" max="14107" width="4.44140625" customWidth="1"/>
    <col min="14108" max="14108" width="7.5546875" customWidth="1"/>
    <col min="14109" max="14109" width="4.44140625" customWidth="1"/>
    <col min="14110" max="14110" width="6.33203125" customWidth="1"/>
    <col min="14111" max="14111" width="7.88671875" customWidth="1"/>
    <col min="14112" max="14112" width="3.44140625" customWidth="1"/>
    <col min="14113" max="14113" width="5" customWidth="1"/>
    <col min="14347" max="14347" width="1.6640625" customWidth="1"/>
    <col min="14348" max="14348" width="3.6640625" customWidth="1"/>
    <col min="14349" max="14349" width="23.44140625" customWidth="1"/>
    <col min="14350" max="14361" width="4.44140625" customWidth="1"/>
    <col min="14362" max="14362" width="6.109375" customWidth="1"/>
    <col min="14363" max="14363" width="4.44140625" customWidth="1"/>
    <col min="14364" max="14364" width="7.5546875" customWidth="1"/>
    <col min="14365" max="14365" width="4.44140625" customWidth="1"/>
    <col min="14366" max="14366" width="6.33203125" customWidth="1"/>
    <col min="14367" max="14367" width="7.88671875" customWidth="1"/>
    <col min="14368" max="14368" width="3.44140625" customWidth="1"/>
    <col min="14369" max="14369" width="5" customWidth="1"/>
    <col min="14603" max="14603" width="1.6640625" customWidth="1"/>
    <col min="14604" max="14604" width="3.6640625" customWidth="1"/>
    <col min="14605" max="14605" width="23.44140625" customWidth="1"/>
    <col min="14606" max="14617" width="4.44140625" customWidth="1"/>
    <col min="14618" max="14618" width="6.109375" customWidth="1"/>
    <col min="14619" max="14619" width="4.44140625" customWidth="1"/>
    <col min="14620" max="14620" width="7.5546875" customWidth="1"/>
    <col min="14621" max="14621" width="4.44140625" customWidth="1"/>
    <col min="14622" max="14622" width="6.33203125" customWidth="1"/>
    <col min="14623" max="14623" width="7.88671875" customWidth="1"/>
    <col min="14624" max="14624" width="3.44140625" customWidth="1"/>
    <col min="14625" max="14625" width="5" customWidth="1"/>
    <col min="14859" max="14859" width="1.6640625" customWidth="1"/>
    <col min="14860" max="14860" width="3.6640625" customWidth="1"/>
    <col min="14861" max="14861" width="23.44140625" customWidth="1"/>
    <col min="14862" max="14873" width="4.44140625" customWidth="1"/>
    <col min="14874" max="14874" width="6.109375" customWidth="1"/>
    <col min="14875" max="14875" width="4.44140625" customWidth="1"/>
    <col min="14876" max="14876" width="7.5546875" customWidth="1"/>
    <col min="14877" max="14877" width="4.44140625" customWidth="1"/>
    <col min="14878" max="14878" width="6.33203125" customWidth="1"/>
    <col min="14879" max="14879" width="7.88671875" customWidth="1"/>
    <col min="14880" max="14880" width="3.44140625" customWidth="1"/>
    <col min="14881" max="14881" width="5" customWidth="1"/>
    <col min="15115" max="15115" width="1.6640625" customWidth="1"/>
    <col min="15116" max="15116" width="3.6640625" customWidth="1"/>
    <col min="15117" max="15117" width="23.44140625" customWidth="1"/>
    <col min="15118" max="15129" width="4.44140625" customWidth="1"/>
    <col min="15130" max="15130" width="6.109375" customWidth="1"/>
    <col min="15131" max="15131" width="4.44140625" customWidth="1"/>
    <col min="15132" max="15132" width="7.5546875" customWidth="1"/>
    <col min="15133" max="15133" width="4.44140625" customWidth="1"/>
    <col min="15134" max="15134" width="6.33203125" customWidth="1"/>
    <col min="15135" max="15135" width="7.88671875" customWidth="1"/>
    <col min="15136" max="15136" width="3.44140625" customWidth="1"/>
    <col min="15137" max="15137" width="5" customWidth="1"/>
    <col min="15371" max="15371" width="1.6640625" customWidth="1"/>
    <col min="15372" max="15372" width="3.6640625" customWidth="1"/>
    <col min="15373" max="15373" width="23.44140625" customWidth="1"/>
    <col min="15374" max="15385" width="4.44140625" customWidth="1"/>
    <col min="15386" max="15386" width="6.109375" customWidth="1"/>
    <col min="15387" max="15387" width="4.44140625" customWidth="1"/>
    <col min="15388" max="15388" width="7.5546875" customWidth="1"/>
    <col min="15389" max="15389" width="4.44140625" customWidth="1"/>
    <col min="15390" max="15390" width="6.33203125" customWidth="1"/>
    <col min="15391" max="15391" width="7.88671875" customWidth="1"/>
    <col min="15392" max="15392" width="3.44140625" customWidth="1"/>
    <col min="15393" max="15393" width="5" customWidth="1"/>
    <col min="15627" max="15627" width="1.6640625" customWidth="1"/>
    <col min="15628" max="15628" width="3.6640625" customWidth="1"/>
    <col min="15629" max="15629" width="23.44140625" customWidth="1"/>
    <col min="15630" max="15641" width="4.44140625" customWidth="1"/>
    <col min="15642" max="15642" width="6.109375" customWidth="1"/>
    <col min="15643" max="15643" width="4.44140625" customWidth="1"/>
    <col min="15644" max="15644" width="7.5546875" customWidth="1"/>
    <col min="15645" max="15645" width="4.44140625" customWidth="1"/>
    <col min="15646" max="15646" width="6.33203125" customWidth="1"/>
    <col min="15647" max="15647" width="7.88671875" customWidth="1"/>
    <col min="15648" max="15648" width="3.44140625" customWidth="1"/>
    <col min="15649" max="15649" width="5" customWidth="1"/>
    <col min="15883" max="15883" width="1.6640625" customWidth="1"/>
    <col min="15884" max="15884" width="3.6640625" customWidth="1"/>
    <col min="15885" max="15885" width="23.44140625" customWidth="1"/>
    <col min="15886" max="15897" width="4.44140625" customWidth="1"/>
    <col min="15898" max="15898" width="6.109375" customWidth="1"/>
    <col min="15899" max="15899" width="4.44140625" customWidth="1"/>
    <col min="15900" max="15900" width="7.5546875" customWidth="1"/>
    <col min="15901" max="15901" width="4.44140625" customWidth="1"/>
    <col min="15902" max="15902" width="6.33203125" customWidth="1"/>
    <col min="15903" max="15903" width="7.88671875" customWidth="1"/>
    <col min="15904" max="15904" width="3.44140625" customWidth="1"/>
    <col min="15905" max="15905" width="5" customWidth="1"/>
    <col min="16139" max="16139" width="1.6640625" customWidth="1"/>
    <col min="16140" max="16140" width="3.6640625" customWidth="1"/>
    <col min="16141" max="16141" width="23.44140625" customWidth="1"/>
    <col min="16142" max="16153" width="4.44140625" customWidth="1"/>
    <col min="16154" max="16154" width="6.109375" customWidth="1"/>
    <col min="16155" max="16155" width="4.44140625" customWidth="1"/>
    <col min="16156" max="16156" width="7.5546875" customWidth="1"/>
    <col min="16157" max="16157" width="4.44140625" customWidth="1"/>
    <col min="16158" max="16158" width="6.33203125" customWidth="1"/>
    <col min="16159" max="16159" width="7.88671875" customWidth="1"/>
    <col min="16160" max="16160" width="3.44140625" customWidth="1"/>
    <col min="16161" max="16161" width="5" customWidth="1"/>
  </cols>
  <sheetData>
    <row r="1" spans="1:31" ht="34.5" customHeight="1" x14ac:dyDescent="0.3">
      <c r="A1" s="280" t="s">
        <v>21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</row>
    <row r="2" spans="1:31" ht="26.25" customHeight="1" x14ac:dyDescent="0.3">
      <c r="B2" s="1"/>
      <c r="C2" s="1"/>
      <c r="D2" s="1"/>
      <c r="E2" s="1"/>
      <c r="F2" s="1"/>
      <c r="G2" s="1"/>
      <c r="H2" s="24"/>
      <c r="I2" s="1"/>
      <c r="J2" s="24"/>
      <c r="K2" s="1"/>
      <c r="L2" s="1"/>
      <c r="M2" s="1"/>
      <c r="N2" s="1"/>
      <c r="O2" s="24"/>
      <c r="P2" s="1"/>
      <c r="Q2" s="24"/>
      <c r="R2" s="1"/>
      <c r="S2" s="1"/>
      <c r="T2" s="1"/>
      <c r="U2" s="1"/>
      <c r="V2" s="24"/>
      <c r="W2" s="1"/>
      <c r="X2" s="24"/>
      <c r="Y2" s="1"/>
    </row>
    <row r="3" spans="1:31" ht="13.5" customHeight="1" x14ac:dyDescent="0.3">
      <c r="B3" s="1"/>
      <c r="C3" s="1"/>
      <c r="D3" s="1"/>
      <c r="E3" s="1"/>
      <c r="F3" s="1"/>
      <c r="G3" s="1"/>
      <c r="H3" s="24"/>
      <c r="I3" s="1"/>
      <c r="J3" s="24"/>
      <c r="K3" s="1"/>
      <c r="L3" s="283"/>
      <c r="M3" s="283"/>
      <c r="N3" s="283"/>
      <c r="O3" s="283"/>
      <c r="P3" s="283"/>
      <c r="Q3" s="283"/>
      <c r="R3" s="283"/>
      <c r="S3" s="283"/>
      <c r="T3" s="1"/>
      <c r="U3" s="1"/>
      <c r="V3" s="24"/>
      <c r="W3" s="1"/>
      <c r="X3" s="24"/>
      <c r="Y3" s="1"/>
    </row>
    <row r="4" spans="1:31" ht="15.75" customHeight="1" x14ac:dyDescent="0.3">
      <c r="B4" s="278" t="s">
        <v>13</v>
      </c>
      <c r="C4" s="278"/>
      <c r="D4" s="16"/>
      <c r="E4" s="16"/>
      <c r="G4" s="18"/>
      <c r="H4" s="18"/>
      <c r="I4" s="18"/>
      <c r="J4" s="18"/>
      <c r="K4" s="18"/>
      <c r="L4" s="18" t="s">
        <v>36</v>
      </c>
      <c r="M4" s="18"/>
      <c r="N4" s="18"/>
      <c r="O4" s="18"/>
      <c r="P4" s="18"/>
      <c r="Q4" s="18"/>
      <c r="R4" s="18"/>
      <c r="S4" s="18"/>
      <c r="T4" s="15"/>
      <c r="U4" s="15"/>
      <c r="V4" s="15"/>
      <c r="W4" s="15"/>
      <c r="X4" s="15"/>
      <c r="Y4" s="279" t="s">
        <v>139</v>
      </c>
      <c r="Z4" s="279"/>
      <c r="AA4" s="279"/>
      <c r="AB4" s="279"/>
      <c r="AC4" s="279"/>
      <c r="AD4" s="279"/>
      <c r="AE4" s="279"/>
    </row>
    <row r="5" spans="1:31" ht="6.75" customHeight="1" x14ac:dyDescent="0.3">
      <c r="B5" s="16"/>
      <c r="C5" s="16"/>
      <c r="D5" s="16"/>
      <c r="E5" s="16"/>
      <c r="F5" s="16"/>
      <c r="G5" s="16"/>
      <c r="H5" s="22"/>
      <c r="I5" s="16"/>
      <c r="J5" s="22"/>
      <c r="K5" s="16"/>
      <c r="L5" s="16"/>
      <c r="M5" s="16"/>
      <c r="N5" s="16"/>
      <c r="O5" s="22"/>
      <c r="P5" s="16"/>
      <c r="Q5" s="22"/>
      <c r="R5" s="16"/>
      <c r="S5" s="16"/>
      <c r="T5" s="15"/>
      <c r="U5" s="15"/>
      <c r="V5" s="15"/>
      <c r="W5" s="15"/>
      <c r="X5" s="15"/>
      <c r="Y5" s="17"/>
      <c r="Z5" s="17"/>
      <c r="AA5" s="17"/>
      <c r="AB5" s="17"/>
      <c r="AC5" s="17"/>
      <c r="AD5" s="17"/>
      <c r="AE5" s="17"/>
    </row>
    <row r="6" spans="1:31" ht="16.2" customHeight="1" x14ac:dyDescent="0.3">
      <c r="B6" s="278" t="s">
        <v>19</v>
      </c>
      <c r="C6" s="278"/>
      <c r="D6" s="16"/>
      <c r="E6" s="16"/>
      <c r="L6" s="18" t="s">
        <v>91</v>
      </c>
      <c r="M6" s="18"/>
      <c r="N6" s="18"/>
      <c r="O6" s="18"/>
      <c r="P6" s="18"/>
      <c r="Q6" s="18"/>
      <c r="R6" s="18"/>
      <c r="S6" s="18"/>
      <c r="T6" s="18"/>
      <c r="U6" s="15"/>
      <c r="V6" s="15"/>
      <c r="W6" s="15"/>
      <c r="X6" s="15"/>
      <c r="Y6" s="279" t="s">
        <v>43</v>
      </c>
      <c r="Z6" s="279"/>
      <c r="AA6" s="279"/>
      <c r="AB6" s="279"/>
      <c r="AC6" s="279"/>
      <c r="AD6" s="279"/>
      <c r="AE6" s="279"/>
    </row>
    <row r="7" spans="1:31" ht="28.5" customHeight="1" thickBot="1" x14ac:dyDescent="0.85">
      <c r="B7" s="285" t="s">
        <v>25</v>
      </c>
      <c r="C7" s="285"/>
      <c r="D7" s="285"/>
      <c r="E7" s="285"/>
      <c r="F7" s="285"/>
      <c r="G7" s="285"/>
      <c r="H7" s="285"/>
      <c r="I7" s="285"/>
      <c r="J7" s="285"/>
      <c r="K7" s="285"/>
      <c r="L7" s="285"/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5"/>
      <c r="AB7" s="285"/>
      <c r="AC7" s="285"/>
      <c r="AD7" s="285"/>
      <c r="AE7" s="285"/>
    </row>
    <row r="8" spans="1:31" ht="21" customHeight="1" thickTop="1" x14ac:dyDescent="0.3">
      <c r="B8" s="286" t="s">
        <v>16</v>
      </c>
      <c r="C8" s="288" t="s">
        <v>0</v>
      </c>
      <c r="D8" s="290" t="s">
        <v>15</v>
      </c>
      <c r="E8" s="291"/>
      <c r="F8" s="292" t="s">
        <v>22</v>
      </c>
      <c r="G8" s="293"/>
      <c r="H8" s="293"/>
      <c r="I8" s="293"/>
      <c r="J8" s="293"/>
      <c r="K8" s="294"/>
      <c r="L8" s="295" t="s">
        <v>3</v>
      </c>
      <c r="M8" s="292" t="s">
        <v>23</v>
      </c>
      <c r="N8" s="293"/>
      <c r="O8" s="293"/>
      <c r="P8" s="293"/>
      <c r="Q8" s="293"/>
      <c r="R8" s="294"/>
      <c r="S8" s="295" t="s">
        <v>3</v>
      </c>
      <c r="T8" s="292" t="s">
        <v>24</v>
      </c>
      <c r="U8" s="293"/>
      <c r="V8" s="293"/>
      <c r="W8" s="293"/>
      <c r="X8" s="293"/>
      <c r="Y8" s="294"/>
      <c r="Z8" s="297" t="s">
        <v>1</v>
      </c>
      <c r="AA8" s="299" t="s">
        <v>39</v>
      </c>
      <c r="AB8" s="301" t="s">
        <v>20</v>
      </c>
      <c r="AC8" s="303" t="s">
        <v>40</v>
      </c>
      <c r="AD8" s="305" t="s">
        <v>2</v>
      </c>
      <c r="AE8" s="307" t="s">
        <v>3</v>
      </c>
    </row>
    <row r="9" spans="1:31" ht="16.5" customHeight="1" thickBot="1" x14ac:dyDescent="0.35">
      <c r="B9" s="287"/>
      <c r="C9" s="289"/>
      <c r="D9" s="43" t="s">
        <v>17</v>
      </c>
      <c r="E9" s="36" t="s">
        <v>18</v>
      </c>
      <c r="F9" s="53" t="s">
        <v>4</v>
      </c>
      <c r="G9" s="33" t="s">
        <v>5</v>
      </c>
      <c r="H9" s="33" t="s">
        <v>37</v>
      </c>
      <c r="I9" s="33" t="s">
        <v>6</v>
      </c>
      <c r="J9" s="33" t="s">
        <v>38</v>
      </c>
      <c r="K9" s="54" t="s">
        <v>7</v>
      </c>
      <c r="L9" s="296"/>
      <c r="M9" s="53" t="s">
        <v>4</v>
      </c>
      <c r="N9" s="33" t="s">
        <v>5</v>
      </c>
      <c r="O9" s="33" t="s">
        <v>37</v>
      </c>
      <c r="P9" s="33" t="s">
        <v>6</v>
      </c>
      <c r="Q9" s="33" t="s">
        <v>38</v>
      </c>
      <c r="R9" s="54" t="s">
        <v>8</v>
      </c>
      <c r="S9" s="296"/>
      <c r="T9" s="53" t="s">
        <v>4</v>
      </c>
      <c r="U9" s="33" t="s">
        <v>5</v>
      </c>
      <c r="V9" s="33" t="s">
        <v>37</v>
      </c>
      <c r="W9" s="33" t="s">
        <v>6</v>
      </c>
      <c r="X9" s="33" t="s">
        <v>38</v>
      </c>
      <c r="Y9" s="54" t="s">
        <v>9</v>
      </c>
      <c r="Z9" s="298"/>
      <c r="AA9" s="300"/>
      <c r="AB9" s="302"/>
      <c r="AC9" s="304"/>
      <c r="AD9" s="306"/>
      <c r="AE9" s="308"/>
    </row>
    <row r="10" spans="1:31" ht="15.75" customHeight="1" thickTop="1" x14ac:dyDescent="0.3">
      <c r="B10" s="34">
        <v>1</v>
      </c>
      <c r="C10" s="196" t="s">
        <v>99</v>
      </c>
      <c r="D10" s="44"/>
      <c r="E10" s="37"/>
      <c r="F10" s="58">
        <v>1</v>
      </c>
      <c r="G10" s="31">
        <v>0</v>
      </c>
      <c r="H10" s="31"/>
      <c r="I10" s="32">
        <v>7</v>
      </c>
      <c r="J10" s="32"/>
      <c r="K10" s="138">
        <f>AVERAGE(F10,MAX(G10:H10),MAX(I10:J10))</f>
        <v>2.6666666666666665</v>
      </c>
      <c r="L10" s="165" t="str">
        <f>IF(K10&gt;=10,"TRANSITA","N/TRANSITA")</f>
        <v>N/TRANSITA</v>
      </c>
      <c r="M10" s="58">
        <v>1</v>
      </c>
      <c r="N10" s="31">
        <v>5</v>
      </c>
      <c r="O10" s="31"/>
      <c r="P10" s="32">
        <v>2.5</v>
      </c>
      <c r="Q10" s="32"/>
      <c r="R10" s="138">
        <f>AVERAGE(M10,MAX(N10:O10),MAX(P10:Q10))</f>
        <v>2.8333333333333335</v>
      </c>
      <c r="S10" s="165" t="str">
        <f>IF(R10&gt;=10,"TRANSITA","N/TRANSITA")</f>
        <v>N/TRANSITA</v>
      </c>
      <c r="T10" s="58"/>
      <c r="U10" s="31"/>
      <c r="V10" s="31"/>
      <c r="W10" s="32" t="e">
        <f>AVERAGE(T10:U10)</f>
        <v>#DIV/0!</v>
      </c>
      <c r="X10" s="32"/>
      <c r="Y10" s="138" t="e">
        <f>AVERAGE(T10,MAX(U10:V10),MAX(W10:X10))</f>
        <v>#DIV/0!</v>
      </c>
      <c r="Z10" s="141" t="e">
        <f t="shared" ref="Z10:Z51" si="0">SUM(K10,R10,Y10)/3</f>
        <v>#DIV/0!</v>
      </c>
      <c r="AA10" s="142" t="e">
        <f>Z10*0.4</f>
        <v>#DIV/0!</v>
      </c>
      <c r="AB10" s="61"/>
      <c r="AC10" s="50">
        <f>AB10*0.6</f>
        <v>0</v>
      </c>
      <c r="AD10" s="64" t="e">
        <f>AVERAGE(AA10+AC10)</f>
        <v>#DIV/0!</v>
      </c>
      <c r="AE10" s="163" t="e">
        <f>IF(AD10&gt;=10,"APROVADO/A","REPROVADO/A")</f>
        <v>#DIV/0!</v>
      </c>
    </row>
    <row r="11" spans="1:31" ht="15.75" customHeight="1" x14ac:dyDescent="0.3">
      <c r="B11" s="35">
        <v>2</v>
      </c>
      <c r="C11" s="197" t="s">
        <v>100</v>
      </c>
      <c r="D11" s="45"/>
      <c r="E11" s="38"/>
      <c r="F11" s="59">
        <v>9</v>
      </c>
      <c r="G11" s="27">
        <v>5</v>
      </c>
      <c r="H11" s="27"/>
      <c r="I11" s="32">
        <v>1.5</v>
      </c>
      <c r="J11" s="28"/>
      <c r="K11" s="139">
        <f t="shared" ref="K11:K51" si="1">AVERAGE(F11,MAX(G11:H11),MAX(I11:J11))</f>
        <v>5.166666666666667</v>
      </c>
      <c r="L11" s="166" t="str">
        <f t="shared" ref="L11:L51" si="2">IF(K11&gt;=10,"TRANSITA","N/TRANSITA")</f>
        <v>N/TRANSITA</v>
      </c>
      <c r="M11" s="59">
        <v>16</v>
      </c>
      <c r="N11" s="27">
        <v>9</v>
      </c>
      <c r="O11" s="27"/>
      <c r="P11" s="32">
        <v>7.5</v>
      </c>
      <c r="Q11" s="28"/>
      <c r="R11" s="139">
        <f t="shared" ref="R11:R51" si="3">AVERAGE(M11,MAX(N11:O11),MAX(P11:Q11))</f>
        <v>10.833333333333334</v>
      </c>
      <c r="S11" s="166" t="str">
        <f t="shared" ref="S11:S51" si="4">IF(R11&gt;=10,"TRANSITA","N/TRANSITA")</f>
        <v>TRANSITA</v>
      </c>
      <c r="T11" s="59"/>
      <c r="U11" s="27"/>
      <c r="V11" s="27"/>
      <c r="W11" s="32" t="e">
        <f t="shared" ref="W11:W51" si="5">AVERAGE(T11:U11)</f>
        <v>#DIV/0!</v>
      </c>
      <c r="X11" s="28"/>
      <c r="Y11" s="139" t="e">
        <f t="shared" ref="Y11:Y51" si="6">AVERAGE(T11,MAX(U11:V11),MAX(W11:X11))</f>
        <v>#DIV/0!</v>
      </c>
      <c r="Z11" s="143" t="e">
        <f t="shared" si="0"/>
        <v>#DIV/0!</v>
      </c>
      <c r="AA11" s="144" t="e">
        <f t="shared" ref="AA11:AA51" si="7">Z11*0.4</f>
        <v>#DIV/0!</v>
      </c>
      <c r="AB11" s="62"/>
      <c r="AC11" s="51">
        <f t="shared" ref="AC11" si="8">AB11*0.6</f>
        <v>0</v>
      </c>
      <c r="AD11" s="65" t="e">
        <f t="shared" ref="AD11" si="9">AVERAGE(AA11+AC11)</f>
        <v>#DIV/0!</v>
      </c>
      <c r="AE11" s="162" t="e">
        <f t="shared" ref="AE11:AE51" si="10">IF(AD11&gt;=10,"APROVADO/A","REPROVADO/A")</f>
        <v>#DIV/0!</v>
      </c>
    </row>
    <row r="12" spans="1:31" ht="15.75" customHeight="1" x14ac:dyDescent="0.3">
      <c r="B12" s="35">
        <v>3</v>
      </c>
      <c r="C12" s="197" t="s">
        <v>101</v>
      </c>
      <c r="D12" s="45"/>
      <c r="E12" s="38"/>
      <c r="F12" s="59">
        <v>10</v>
      </c>
      <c r="G12" s="27">
        <v>2</v>
      </c>
      <c r="H12" s="27"/>
      <c r="I12" s="32">
        <v>4.5</v>
      </c>
      <c r="J12" s="28"/>
      <c r="K12" s="139">
        <f t="shared" si="1"/>
        <v>5.5</v>
      </c>
      <c r="L12" s="166" t="str">
        <f t="shared" si="2"/>
        <v>N/TRANSITA</v>
      </c>
      <c r="M12" s="59">
        <v>13</v>
      </c>
      <c r="N12" s="27">
        <v>10</v>
      </c>
      <c r="O12" s="27"/>
      <c r="P12" s="32">
        <v>11.5</v>
      </c>
      <c r="Q12" s="28"/>
      <c r="R12" s="139">
        <f t="shared" si="3"/>
        <v>11.5</v>
      </c>
      <c r="S12" s="166" t="str">
        <f t="shared" si="4"/>
        <v>TRANSITA</v>
      </c>
      <c r="T12" s="59"/>
      <c r="U12" s="27"/>
      <c r="V12" s="27"/>
      <c r="W12" s="32" t="e">
        <f t="shared" si="5"/>
        <v>#DIV/0!</v>
      </c>
      <c r="X12" s="28"/>
      <c r="Y12" s="139" t="e">
        <f t="shared" si="6"/>
        <v>#DIV/0!</v>
      </c>
      <c r="Z12" s="143" t="e">
        <f t="shared" si="0"/>
        <v>#DIV/0!</v>
      </c>
      <c r="AA12" s="144" t="e">
        <f t="shared" si="7"/>
        <v>#DIV/0!</v>
      </c>
      <c r="AB12" s="62"/>
      <c r="AC12" s="51">
        <f t="shared" ref="AC12:AC45" si="11">AB12*0.6</f>
        <v>0</v>
      </c>
      <c r="AD12" s="65" t="e">
        <f t="shared" ref="AD12:AD45" si="12">AVERAGE(AA12+AC12)</f>
        <v>#DIV/0!</v>
      </c>
      <c r="AE12" s="162" t="e">
        <f t="shared" si="10"/>
        <v>#DIV/0!</v>
      </c>
    </row>
    <row r="13" spans="1:31" ht="15.75" customHeight="1" x14ac:dyDescent="0.3">
      <c r="B13" s="35">
        <v>4</v>
      </c>
      <c r="C13" s="197" t="s">
        <v>102</v>
      </c>
      <c r="D13" s="45"/>
      <c r="E13" s="38"/>
      <c r="F13" s="59">
        <v>14</v>
      </c>
      <c r="G13" s="27">
        <v>12.5</v>
      </c>
      <c r="H13" s="27"/>
      <c r="I13" s="32">
        <v>5</v>
      </c>
      <c r="J13" s="28"/>
      <c r="K13" s="139">
        <f t="shared" si="1"/>
        <v>10.5</v>
      </c>
      <c r="L13" s="166" t="str">
        <f t="shared" si="2"/>
        <v>TRANSITA</v>
      </c>
      <c r="M13" s="59">
        <v>17</v>
      </c>
      <c r="N13" s="27">
        <v>7.5</v>
      </c>
      <c r="O13" s="27"/>
      <c r="P13" s="32">
        <v>9</v>
      </c>
      <c r="Q13" s="28"/>
      <c r="R13" s="139">
        <f t="shared" si="3"/>
        <v>11.166666666666666</v>
      </c>
      <c r="S13" s="166" t="str">
        <f t="shared" si="4"/>
        <v>TRANSITA</v>
      </c>
      <c r="T13" s="59"/>
      <c r="U13" s="27"/>
      <c r="V13" s="27"/>
      <c r="W13" s="32" t="e">
        <f t="shared" si="5"/>
        <v>#DIV/0!</v>
      </c>
      <c r="X13" s="28"/>
      <c r="Y13" s="139" t="e">
        <f t="shared" si="6"/>
        <v>#DIV/0!</v>
      </c>
      <c r="Z13" s="143" t="e">
        <f t="shared" si="0"/>
        <v>#DIV/0!</v>
      </c>
      <c r="AA13" s="144" t="e">
        <f t="shared" si="7"/>
        <v>#DIV/0!</v>
      </c>
      <c r="AB13" s="62"/>
      <c r="AC13" s="51">
        <f t="shared" si="11"/>
        <v>0</v>
      </c>
      <c r="AD13" s="65" t="e">
        <f t="shared" si="12"/>
        <v>#DIV/0!</v>
      </c>
      <c r="AE13" s="162" t="e">
        <f t="shared" si="10"/>
        <v>#DIV/0!</v>
      </c>
    </row>
    <row r="14" spans="1:31" ht="15.75" customHeight="1" x14ac:dyDescent="0.3">
      <c r="B14" s="35">
        <v>5</v>
      </c>
      <c r="C14" s="197" t="s">
        <v>103</v>
      </c>
      <c r="D14" s="45"/>
      <c r="E14" s="38"/>
      <c r="F14" s="58">
        <v>17</v>
      </c>
      <c r="G14" s="31">
        <v>11</v>
      </c>
      <c r="H14" s="31"/>
      <c r="I14" s="32">
        <v>10</v>
      </c>
      <c r="J14" s="28"/>
      <c r="K14" s="139">
        <f t="shared" si="1"/>
        <v>12.666666666666666</v>
      </c>
      <c r="L14" s="166" t="str">
        <f t="shared" si="2"/>
        <v>TRANSITA</v>
      </c>
      <c r="M14" s="59">
        <v>17</v>
      </c>
      <c r="N14" s="27">
        <v>15</v>
      </c>
      <c r="O14" s="27"/>
      <c r="P14" s="32">
        <v>8.5</v>
      </c>
      <c r="Q14" s="28"/>
      <c r="R14" s="139">
        <f t="shared" si="3"/>
        <v>13.5</v>
      </c>
      <c r="S14" s="166" t="str">
        <f t="shared" si="4"/>
        <v>TRANSITA</v>
      </c>
      <c r="T14" s="59"/>
      <c r="U14" s="27"/>
      <c r="V14" s="27"/>
      <c r="W14" s="32" t="e">
        <f t="shared" si="5"/>
        <v>#DIV/0!</v>
      </c>
      <c r="X14" s="28"/>
      <c r="Y14" s="139" t="e">
        <f t="shared" si="6"/>
        <v>#DIV/0!</v>
      </c>
      <c r="Z14" s="143" t="e">
        <f t="shared" si="0"/>
        <v>#DIV/0!</v>
      </c>
      <c r="AA14" s="144" t="e">
        <f t="shared" si="7"/>
        <v>#DIV/0!</v>
      </c>
      <c r="AB14" s="62"/>
      <c r="AC14" s="51">
        <f t="shared" si="11"/>
        <v>0</v>
      </c>
      <c r="AD14" s="65" t="e">
        <f t="shared" si="12"/>
        <v>#DIV/0!</v>
      </c>
      <c r="AE14" s="162" t="e">
        <f t="shared" si="10"/>
        <v>#DIV/0!</v>
      </c>
    </row>
    <row r="15" spans="1:31" ht="15.75" customHeight="1" x14ac:dyDescent="0.3">
      <c r="B15" s="35">
        <v>6</v>
      </c>
      <c r="C15" s="197" t="s">
        <v>104</v>
      </c>
      <c r="D15" s="45"/>
      <c r="E15" s="38"/>
      <c r="F15" s="149">
        <v>6</v>
      </c>
      <c r="G15" s="148">
        <v>10</v>
      </c>
      <c r="H15" s="148"/>
      <c r="I15" s="150">
        <v>12</v>
      </c>
      <c r="J15" s="151"/>
      <c r="K15" s="139">
        <f t="shared" si="1"/>
        <v>9.3333333333333339</v>
      </c>
      <c r="L15" s="166" t="str">
        <f t="shared" si="2"/>
        <v>N/TRANSITA</v>
      </c>
      <c r="M15" s="149">
        <v>8</v>
      </c>
      <c r="N15" s="148">
        <v>7.5</v>
      </c>
      <c r="O15" s="148"/>
      <c r="P15" s="150">
        <v>9</v>
      </c>
      <c r="Q15" s="151"/>
      <c r="R15" s="139">
        <f t="shared" si="3"/>
        <v>8.1666666666666661</v>
      </c>
      <c r="S15" s="166" t="str">
        <f t="shared" si="4"/>
        <v>N/TRANSITA</v>
      </c>
      <c r="T15" s="149"/>
      <c r="U15" s="148"/>
      <c r="V15" s="148"/>
      <c r="W15" s="32" t="e">
        <f t="shared" si="5"/>
        <v>#DIV/0!</v>
      </c>
      <c r="X15" s="151"/>
      <c r="Y15" s="139" t="e">
        <f t="shared" si="6"/>
        <v>#DIV/0!</v>
      </c>
      <c r="Z15" s="143" t="e">
        <f t="shared" si="0"/>
        <v>#DIV/0!</v>
      </c>
      <c r="AA15" s="144" t="e">
        <f t="shared" si="7"/>
        <v>#DIV/0!</v>
      </c>
      <c r="AB15" s="62"/>
      <c r="AC15" s="51">
        <f t="shared" si="11"/>
        <v>0</v>
      </c>
      <c r="AD15" s="65" t="e">
        <f t="shared" si="12"/>
        <v>#DIV/0!</v>
      </c>
      <c r="AE15" s="162" t="e">
        <f t="shared" si="10"/>
        <v>#DIV/0!</v>
      </c>
    </row>
    <row r="16" spans="1:31" ht="15.75" customHeight="1" x14ac:dyDescent="0.3">
      <c r="B16" s="35">
        <v>7</v>
      </c>
      <c r="C16" s="197" t="s">
        <v>105</v>
      </c>
      <c r="D16" s="45"/>
      <c r="E16" s="38"/>
      <c r="F16" s="59">
        <v>19</v>
      </c>
      <c r="G16" s="27">
        <v>17</v>
      </c>
      <c r="H16" s="27"/>
      <c r="I16" s="32">
        <v>9.5</v>
      </c>
      <c r="J16" s="28"/>
      <c r="K16" s="139">
        <f t="shared" si="1"/>
        <v>15.166666666666666</v>
      </c>
      <c r="L16" s="166" t="str">
        <f t="shared" si="2"/>
        <v>TRANSITA</v>
      </c>
      <c r="M16" s="59">
        <v>18</v>
      </c>
      <c r="N16" s="27">
        <v>10</v>
      </c>
      <c r="O16" s="27"/>
      <c r="P16" s="32">
        <v>7</v>
      </c>
      <c r="Q16" s="28"/>
      <c r="R16" s="139">
        <f t="shared" si="3"/>
        <v>11.666666666666666</v>
      </c>
      <c r="S16" s="166" t="str">
        <f t="shared" si="4"/>
        <v>TRANSITA</v>
      </c>
      <c r="T16" s="59"/>
      <c r="U16" s="27"/>
      <c r="V16" s="27"/>
      <c r="W16" s="32" t="e">
        <f t="shared" si="5"/>
        <v>#DIV/0!</v>
      </c>
      <c r="X16" s="28"/>
      <c r="Y16" s="139" t="e">
        <f t="shared" si="6"/>
        <v>#DIV/0!</v>
      </c>
      <c r="Z16" s="143" t="e">
        <f t="shared" si="0"/>
        <v>#DIV/0!</v>
      </c>
      <c r="AA16" s="144" t="e">
        <f t="shared" si="7"/>
        <v>#DIV/0!</v>
      </c>
      <c r="AB16" s="62"/>
      <c r="AC16" s="51">
        <f t="shared" si="11"/>
        <v>0</v>
      </c>
      <c r="AD16" s="65" t="e">
        <f t="shared" si="12"/>
        <v>#DIV/0!</v>
      </c>
      <c r="AE16" s="162" t="e">
        <f t="shared" si="10"/>
        <v>#DIV/0!</v>
      </c>
    </row>
    <row r="17" spans="2:31" ht="15.75" customHeight="1" x14ac:dyDescent="0.3">
      <c r="B17" s="35">
        <v>8</v>
      </c>
      <c r="C17" s="197" t="s">
        <v>106</v>
      </c>
      <c r="D17" s="45"/>
      <c r="E17" s="38"/>
      <c r="F17" s="59">
        <v>14</v>
      </c>
      <c r="G17" s="27">
        <v>6</v>
      </c>
      <c r="H17" s="27"/>
      <c r="I17" s="32">
        <v>7</v>
      </c>
      <c r="J17" s="28"/>
      <c r="K17" s="139">
        <f t="shared" si="1"/>
        <v>9</v>
      </c>
      <c r="L17" s="166" t="str">
        <f t="shared" si="2"/>
        <v>N/TRANSITA</v>
      </c>
      <c r="M17" s="59">
        <v>12</v>
      </c>
      <c r="N17" s="27">
        <v>9.5</v>
      </c>
      <c r="O17" s="27"/>
      <c r="P17" s="32">
        <v>8</v>
      </c>
      <c r="Q17" s="28"/>
      <c r="R17" s="139">
        <f t="shared" si="3"/>
        <v>9.8333333333333339</v>
      </c>
      <c r="S17" s="166" t="str">
        <f t="shared" si="4"/>
        <v>N/TRANSITA</v>
      </c>
      <c r="T17" s="59"/>
      <c r="U17" s="27"/>
      <c r="V17" s="27"/>
      <c r="W17" s="32" t="e">
        <f t="shared" si="5"/>
        <v>#DIV/0!</v>
      </c>
      <c r="X17" s="28"/>
      <c r="Y17" s="139" t="e">
        <f t="shared" si="6"/>
        <v>#DIV/0!</v>
      </c>
      <c r="Z17" s="143" t="e">
        <f t="shared" si="0"/>
        <v>#DIV/0!</v>
      </c>
      <c r="AA17" s="144" t="e">
        <f t="shared" si="7"/>
        <v>#DIV/0!</v>
      </c>
      <c r="AB17" s="62"/>
      <c r="AC17" s="51">
        <f t="shared" si="11"/>
        <v>0</v>
      </c>
      <c r="AD17" s="65" t="e">
        <f t="shared" si="12"/>
        <v>#DIV/0!</v>
      </c>
      <c r="AE17" s="162" t="e">
        <f t="shared" si="10"/>
        <v>#DIV/0!</v>
      </c>
    </row>
    <row r="18" spans="2:31" ht="15.75" customHeight="1" x14ac:dyDescent="0.3">
      <c r="B18" s="35">
        <v>9</v>
      </c>
      <c r="C18" s="197" t="s">
        <v>144</v>
      </c>
      <c r="D18" s="45"/>
      <c r="E18" s="38"/>
      <c r="F18" s="59">
        <v>1</v>
      </c>
      <c r="G18" s="27">
        <v>0</v>
      </c>
      <c r="H18" s="27"/>
      <c r="I18" s="32">
        <v>6.5</v>
      </c>
      <c r="J18" s="28"/>
      <c r="K18" s="139">
        <f t="shared" si="1"/>
        <v>2.5</v>
      </c>
      <c r="L18" s="166" t="str">
        <f t="shared" si="2"/>
        <v>N/TRANSITA</v>
      </c>
      <c r="M18" s="59">
        <v>1</v>
      </c>
      <c r="N18" s="27">
        <v>6.5</v>
      </c>
      <c r="O18" s="27"/>
      <c r="P18" s="32">
        <v>1</v>
      </c>
      <c r="Q18" s="28"/>
      <c r="R18" s="139">
        <f t="shared" ref="R18" si="13">AVERAGE(M18,MAX(N18:O18),MAX(P18:Q18))</f>
        <v>2.8333333333333335</v>
      </c>
      <c r="S18" s="166" t="str">
        <f t="shared" ref="S18" si="14">IF(R18&gt;=10,"TRANSITA","N/TRANSITA")</f>
        <v>N/TRANSITA</v>
      </c>
      <c r="T18" s="59"/>
      <c r="U18" s="27"/>
      <c r="V18" s="27"/>
      <c r="W18" s="32" t="e">
        <f t="shared" ref="W18" si="15">AVERAGE(T18:U18)</f>
        <v>#DIV/0!</v>
      </c>
      <c r="X18" s="28"/>
      <c r="Y18" s="139" t="e">
        <f t="shared" ref="Y18" si="16">AVERAGE(T18,MAX(U18:V18),MAX(W18:X18))</f>
        <v>#DIV/0!</v>
      </c>
      <c r="Z18" s="143" t="e">
        <f t="shared" ref="Z18" si="17">SUM(K18,R18,Y18)/3</f>
        <v>#DIV/0!</v>
      </c>
      <c r="AA18" s="144" t="e">
        <f t="shared" ref="AA18" si="18">Z18*0.4</f>
        <v>#DIV/0!</v>
      </c>
      <c r="AB18" s="62"/>
      <c r="AC18" s="51">
        <f t="shared" ref="AC18" si="19">AB18*0.6</f>
        <v>0</v>
      </c>
      <c r="AD18" s="65" t="e">
        <f t="shared" ref="AD18" si="20">AVERAGE(AA18+AC18)</f>
        <v>#DIV/0!</v>
      </c>
      <c r="AE18" s="162" t="e">
        <f t="shared" ref="AE18" si="21">IF(AD18&gt;=10,"APROVADO/A","REPROVADO/A")</f>
        <v>#DIV/0!</v>
      </c>
    </row>
    <row r="19" spans="2:31" ht="15.75" customHeight="1" x14ac:dyDescent="0.3">
      <c r="B19" s="35">
        <v>10</v>
      </c>
      <c r="C19" s="197" t="s">
        <v>107</v>
      </c>
      <c r="D19" s="45"/>
      <c r="E19" s="38"/>
      <c r="F19" s="59">
        <v>17</v>
      </c>
      <c r="G19" s="27">
        <v>12.5</v>
      </c>
      <c r="H19" s="27"/>
      <c r="I19" s="32">
        <v>12</v>
      </c>
      <c r="J19" s="28"/>
      <c r="K19" s="139">
        <f t="shared" si="1"/>
        <v>13.833333333333334</v>
      </c>
      <c r="L19" s="166" t="str">
        <f t="shared" si="2"/>
        <v>TRANSITA</v>
      </c>
      <c r="M19" s="59">
        <v>10</v>
      </c>
      <c r="N19" s="27">
        <v>11.5</v>
      </c>
      <c r="O19" s="27"/>
      <c r="P19" s="32">
        <v>11.5</v>
      </c>
      <c r="Q19" s="28"/>
      <c r="R19" s="139">
        <f t="shared" si="3"/>
        <v>11</v>
      </c>
      <c r="S19" s="166" t="str">
        <f t="shared" si="4"/>
        <v>TRANSITA</v>
      </c>
      <c r="T19" s="59"/>
      <c r="U19" s="27"/>
      <c r="V19" s="27"/>
      <c r="W19" s="32" t="e">
        <f t="shared" si="5"/>
        <v>#DIV/0!</v>
      </c>
      <c r="X19" s="28"/>
      <c r="Y19" s="139" t="e">
        <f t="shared" si="6"/>
        <v>#DIV/0!</v>
      </c>
      <c r="Z19" s="143" t="e">
        <f t="shared" si="0"/>
        <v>#DIV/0!</v>
      </c>
      <c r="AA19" s="144" t="e">
        <f t="shared" si="7"/>
        <v>#DIV/0!</v>
      </c>
      <c r="AB19" s="62"/>
      <c r="AC19" s="51">
        <f t="shared" si="11"/>
        <v>0</v>
      </c>
      <c r="AD19" s="65" t="e">
        <f t="shared" si="12"/>
        <v>#DIV/0!</v>
      </c>
      <c r="AE19" s="162" t="e">
        <f t="shared" si="10"/>
        <v>#DIV/0!</v>
      </c>
    </row>
    <row r="20" spans="2:31" ht="15.75" customHeight="1" x14ac:dyDescent="0.3">
      <c r="B20" s="35">
        <v>11</v>
      </c>
      <c r="C20" s="197" t="s">
        <v>108</v>
      </c>
      <c r="D20" s="45"/>
      <c r="E20" s="38"/>
      <c r="F20" s="59">
        <v>16</v>
      </c>
      <c r="G20" s="27">
        <v>16</v>
      </c>
      <c r="H20" s="27"/>
      <c r="I20" s="32">
        <v>12</v>
      </c>
      <c r="J20" s="28"/>
      <c r="K20" s="139">
        <f t="shared" si="1"/>
        <v>14.666666666666666</v>
      </c>
      <c r="L20" s="166" t="str">
        <f t="shared" si="2"/>
        <v>TRANSITA</v>
      </c>
      <c r="M20" s="59">
        <v>17</v>
      </c>
      <c r="N20" s="27">
        <v>19</v>
      </c>
      <c r="O20" s="27"/>
      <c r="P20" s="32">
        <v>16.5</v>
      </c>
      <c r="Q20" s="28"/>
      <c r="R20" s="139">
        <f t="shared" si="3"/>
        <v>17.5</v>
      </c>
      <c r="S20" s="166" t="str">
        <f t="shared" si="4"/>
        <v>TRANSITA</v>
      </c>
      <c r="T20" s="59"/>
      <c r="U20" s="27"/>
      <c r="V20" s="27"/>
      <c r="W20" s="32" t="e">
        <f t="shared" si="5"/>
        <v>#DIV/0!</v>
      </c>
      <c r="X20" s="28"/>
      <c r="Y20" s="139" t="e">
        <f t="shared" si="6"/>
        <v>#DIV/0!</v>
      </c>
      <c r="Z20" s="143" t="e">
        <f t="shared" si="0"/>
        <v>#DIV/0!</v>
      </c>
      <c r="AA20" s="144" t="e">
        <f t="shared" si="7"/>
        <v>#DIV/0!</v>
      </c>
      <c r="AB20" s="62"/>
      <c r="AC20" s="51">
        <f t="shared" ref="AC20" si="22">AB20*0.6</f>
        <v>0</v>
      </c>
      <c r="AD20" s="65" t="e">
        <f t="shared" ref="AD20" si="23">AVERAGE(AA20+AC20)</f>
        <v>#DIV/0!</v>
      </c>
      <c r="AE20" s="162" t="e">
        <f t="shared" si="10"/>
        <v>#DIV/0!</v>
      </c>
    </row>
    <row r="21" spans="2:31" ht="15.75" customHeight="1" x14ac:dyDescent="0.3">
      <c r="B21" s="35">
        <v>12</v>
      </c>
      <c r="C21" s="197" t="s">
        <v>109</v>
      </c>
      <c r="D21" s="45"/>
      <c r="E21" s="38"/>
      <c r="F21" s="149">
        <v>13</v>
      </c>
      <c r="G21" s="148">
        <v>14</v>
      </c>
      <c r="H21" s="148"/>
      <c r="I21" s="150">
        <v>10</v>
      </c>
      <c r="J21" s="151"/>
      <c r="K21" s="139">
        <f t="shared" si="1"/>
        <v>12.333333333333334</v>
      </c>
      <c r="L21" s="166" t="str">
        <f t="shared" si="2"/>
        <v>TRANSITA</v>
      </c>
      <c r="M21" s="149">
        <v>17</v>
      </c>
      <c r="N21" s="148">
        <v>16</v>
      </c>
      <c r="O21" s="148"/>
      <c r="P21" s="150">
        <v>14.5</v>
      </c>
      <c r="Q21" s="151"/>
      <c r="R21" s="139">
        <f t="shared" si="3"/>
        <v>15.833333333333334</v>
      </c>
      <c r="S21" s="166" t="str">
        <f t="shared" si="4"/>
        <v>TRANSITA</v>
      </c>
      <c r="T21" s="149"/>
      <c r="U21" s="148"/>
      <c r="V21" s="148"/>
      <c r="W21" s="32" t="e">
        <f t="shared" si="5"/>
        <v>#DIV/0!</v>
      </c>
      <c r="X21" s="151"/>
      <c r="Y21" s="139" t="e">
        <f t="shared" si="6"/>
        <v>#DIV/0!</v>
      </c>
      <c r="Z21" s="143" t="e">
        <f t="shared" si="0"/>
        <v>#DIV/0!</v>
      </c>
      <c r="AA21" s="144" t="e">
        <f t="shared" si="7"/>
        <v>#DIV/0!</v>
      </c>
      <c r="AB21" s="62"/>
      <c r="AC21" s="51">
        <f t="shared" ref="AC21" si="24">AB21*0.6</f>
        <v>0</v>
      </c>
      <c r="AD21" s="65" t="e">
        <f t="shared" ref="AD21" si="25">AVERAGE(AA21+AC21)</f>
        <v>#DIV/0!</v>
      </c>
      <c r="AE21" s="162" t="e">
        <f t="shared" si="10"/>
        <v>#DIV/0!</v>
      </c>
    </row>
    <row r="22" spans="2:31" ht="15.75" customHeight="1" x14ac:dyDescent="0.3">
      <c r="B22" s="35">
        <v>13</v>
      </c>
      <c r="C22" s="197" t="s">
        <v>110</v>
      </c>
      <c r="D22" s="45"/>
      <c r="E22" s="38"/>
      <c r="F22" s="59">
        <v>12</v>
      </c>
      <c r="G22" s="27">
        <v>14</v>
      </c>
      <c r="H22" s="27"/>
      <c r="I22" s="32">
        <v>12</v>
      </c>
      <c r="J22" s="28"/>
      <c r="K22" s="139">
        <f t="shared" si="1"/>
        <v>12.666666666666666</v>
      </c>
      <c r="L22" s="166" t="str">
        <f t="shared" si="2"/>
        <v>TRANSITA</v>
      </c>
      <c r="M22" s="59">
        <v>15</v>
      </c>
      <c r="N22" s="27">
        <v>10.5</v>
      </c>
      <c r="O22" s="27"/>
      <c r="P22" s="32">
        <v>8</v>
      </c>
      <c r="Q22" s="28"/>
      <c r="R22" s="139">
        <f t="shared" si="3"/>
        <v>11.166666666666666</v>
      </c>
      <c r="S22" s="166" t="str">
        <f t="shared" si="4"/>
        <v>TRANSITA</v>
      </c>
      <c r="T22" s="59"/>
      <c r="U22" s="27"/>
      <c r="V22" s="27"/>
      <c r="W22" s="32" t="e">
        <f t="shared" si="5"/>
        <v>#DIV/0!</v>
      </c>
      <c r="X22" s="28"/>
      <c r="Y22" s="139" t="e">
        <f t="shared" si="6"/>
        <v>#DIV/0!</v>
      </c>
      <c r="Z22" s="143" t="e">
        <f t="shared" si="0"/>
        <v>#DIV/0!</v>
      </c>
      <c r="AA22" s="144" t="e">
        <f t="shared" si="7"/>
        <v>#DIV/0!</v>
      </c>
      <c r="AB22" s="62"/>
      <c r="AC22" s="51">
        <f t="shared" si="11"/>
        <v>0</v>
      </c>
      <c r="AD22" s="65" t="e">
        <f t="shared" si="12"/>
        <v>#DIV/0!</v>
      </c>
      <c r="AE22" s="162" t="e">
        <f t="shared" si="10"/>
        <v>#DIV/0!</v>
      </c>
    </row>
    <row r="23" spans="2:31" ht="15.75" customHeight="1" x14ac:dyDescent="0.3">
      <c r="B23" s="35">
        <v>14</v>
      </c>
      <c r="C23" s="197" t="s">
        <v>111</v>
      </c>
      <c r="D23" s="45"/>
      <c r="E23" s="38"/>
      <c r="F23" s="59">
        <v>13</v>
      </c>
      <c r="G23" s="27">
        <v>11</v>
      </c>
      <c r="H23" s="27"/>
      <c r="I23" s="32">
        <v>11</v>
      </c>
      <c r="J23" s="28"/>
      <c r="K23" s="139">
        <f t="shared" si="1"/>
        <v>11.666666666666666</v>
      </c>
      <c r="L23" s="166" t="str">
        <f t="shared" si="2"/>
        <v>TRANSITA</v>
      </c>
      <c r="M23" s="59">
        <v>17</v>
      </c>
      <c r="N23" s="27">
        <v>15</v>
      </c>
      <c r="O23" s="27"/>
      <c r="P23" s="32">
        <v>16.5</v>
      </c>
      <c r="Q23" s="28"/>
      <c r="R23" s="139">
        <f t="shared" si="3"/>
        <v>16.166666666666668</v>
      </c>
      <c r="S23" s="166" t="str">
        <f t="shared" si="4"/>
        <v>TRANSITA</v>
      </c>
      <c r="T23" s="59"/>
      <c r="U23" s="27"/>
      <c r="V23" s="27"/>
      <c r="W23" s="32" t="e">
        <f t="shared" si="5"/>
        <v>#DIV/0!</v>
      </c>
      <c r="X23" s="28"/>
      <c r="Y23" s="139" t="e">
        <f t="shared" si="6"/>
        <v>#DIV/0!</v>
      </c>
      <c r="Z23" s="143" t="e">
        <f t="shared" si="0"/>
        <v>#DIV/0!</v>
      </c>
      <c r="AA23" s="144" t="e">
        <f t="shared" si="7"/>
        <v>#DIV/0!</v>
      </c>
      <c r="AB23" s="62"/>
      <c r="AC23" s="51">
        <f t="shared" si="11"/>
        <v>0</v>
      </c>
      <c r="AD23" s="65" t="e">
        <f t="shared" si="12"/>
        <v>#DIV/0!</v>
      </c>
      <c r="AE23" s="162" t="e">
        <f t="shared" si="10"/>
        <v>#DIV/0!</v>
      </c>
    </row>
    <row r="24" spans="2:31" ht="15.75" customHeight="1" x14ac:dyDescent="0.3">
      <c r="B24" s="35">
        <v>15</v>
      </c>
      <c r="C24" s="197" t="s">
        <v>112</v>
      </c>
      <c r="D24" s="45"/>
      <c r="E24" s="38"/>
      <c r="F24" s="59">
        <v>13</v>
      </c>
      <c r="G24" s="27">
        <v>4.5</v>
      </c>
      <c r="H24" s="27"/>
      <c r="I24" s="32">
        <v>10</v>
      </c>
      <c r="J24" s="28"/>
      <c r="K24" s="139">
        <f t="shared" si="1"/>
        <v>9.1666666666666661</v>
      </c>
      <c r="L24" s="166" t="str">
        <f t="shared" si="2"/>
        <v>N/TRANSITA</v>
      </c>
      <c r="M24" s="59">
        <v>16</v>
      </c>
      <c r="N24" s="27">
        <v>14</v>
      </c>
      <c r="O24" s="27"/>
      <c r="P24" s="32">
        <v>13.5</v>
      </c>
      <c r="Q24" s="28"/>
      <c r="R24" s="139">
        <f t="shared" si="3"/>
        <v>14.5</v>
      </c>
      <c r="S24" s="166" t="str">
        <f t="shared" si="4"/>
        <v>TRANSITA</v>
      </c>
      <c r="T24" s="59"/>
      <c r="U24" s="27"/>
      <c r="V24" s="27"/>
      <c r="W24" s="32" t="e">
        <f t="shared" si="5"/>
        <v>#DIV/0!</v>
      </c>
      <c r="X24" s="28"/>
      <c r="Y24" s="139" t="e">
        <f t="shared" si="6"/>
        <v>#DIV/0!</v>
      </c>
      <c r="Z24" s="143" t="e">
        <f t="shared" si="0"/>
        <v>#DIV/0!</v>
      </c>
      <c r="AA24" s="144" t="e">
        <f t="shared" si="7"/>
        <v>#DIV/0!</v>
      </c>
      <c r="AB24" s="62"/>
      <c r="AC24" s="51">
        <f t="shared" si="11"/>
        <v>0</v>
      </c>
      <c r="AD24" s="65" t="e">
        <f t="shared" si="12"/>
        <v>#DIV/0!</v>
      </c>
      <c r="AE24" s="162" t="e">
        <f t="shared" si="10"/>
        <v>#DIV/0!</v>
      </c>
    </row>
    <row r="25" spans="2:31" ht="15.75" customHeight="1" x14ac:dyDescent="0.3">
      <c r="B25" s="35">
        <v>16</v>
      </c>
      <c r="C25" s="197" t="s">
        <v>113</v>
      </c>
      <c r="D25" s="45"/>
      <c r="E25" s="38"/>
      <c r="F25" s="59">
        <v>13</v>
      </c>
      <c r="G25" s="27">
        <v>12</v>
      </c>
      <c r="H25" s="27"/>
      <c r="I25" s="32">
        <v>11</v>
      </c>
      <c r="J25" s="28"/>
      <c r="K25" s="139">
        <f t="shared" si="1"/>
        <v>12</v>
      </c>
      <c r="L25" s="166" t="str">
        <f t="shared" si="2"/>
        <v>TRANSITA</v>
      </c>
      <c r="M25" s="59">
        <v>15</v>
      </c>
      <c r="N25" s="27">
        <v>10</v>
      </c>
      <c r="O25" s="27"/>
      <c r="P25" s="32">
        <v>11</v>
      </c>
      <c r="Q25" s="28"/>
      <c r="R25" s="139">
        <f t="shared" si="3"/>
        <v>12</v>
      </c>
      <c r="S25" s="166" t="str">
        <f t="shared" si="4"/>
        <v>TRANSITA</v>
      </c>
      <c r="T25" s="59"/>
      <c r="U25" s="27"/>
      <c r="V25" s="27"/>
      <c r="W25" s="32" t="e">
        <f t="shared" si="5"/>
        <v>#DIV/0!</v>
      </c>
      <c r="X25" s="28"/>
      <c r="Y25" s="139" t="e">
        <f t="shared" si="6"/>
        <v>#DIV/0!</v>
      </c>
      <c r="Z25" s="143" t="e">
        <f t="shared" si="0"/>
        <v>#DIV/0!</v>
      </c>
      <c r="AA25" s="144" t="e">
        <f t="shared" si="7"/>
        <v>#DIV/0!</v>
      </c>
      <c r="AB25" s="62"/>
      <c r="AC25" s="51">
        <f t="shared" si="11"/>
        <v>0</v>
      </c>
      <c r="AD25" s="65" t="e">
        <f t="shared" si="12"/>
        <v>#DIV/0!</v>
      </c>
      <c r="AE25" s="162" t="e">
        <f t="shared" si="10"/>
        <v>#DIV/0!</v>
      </c>
    </row>
    <row r="26" spans="2:31" ht="15.75" customHeight="1" x14ac:dyDescent="0.3">
      <c r="B26" s="35">
        <v>17</v>
      </c>
      <c r="C26" s="197" t="s">
        <v>114</v>
      </c>
      <c r="D26" s="45"/>
      <c r="E26" s="38"/>
      <c r="F26" s="59">
        <v>17</v>
      </c>
      <c r="G26" s="27">
        <v>12</v>
      </c>
      <c r="H26" s="27"/>
      <c r="I26" s="32">
        <v>11.5</v>
      </c>
      <c r="J26" s="28"/>
      <c r="K26" s="139">
        <f t="shared" si="1"/>
        <v>13.5</v>
      </c>
      <c r="L26" s="166" t="str">
        <f t="shared" si="2"/>
        <v>TRANSITA</v>
      </c>
      <c r="M26" s="59">
        <v>17</v>
      </c>
      <c r="N26" s="27">
        <v>9.5</v>
      </c>
      <c r="O26" s="27"/>
      <c r="P26" s="32">
        <v>7</v>
      </c>
      <c r="Q26" s="28"/>
      <c r="R26" s="139">
        <f t="shared" si="3"/>
        <v>11.166666666666666</v>
      </c>
      <c r="S26" s="166" t="str">
        <f t="shared" si="4"/>
        <v>TRANSITA</v>
      </c>
      <c r="T26" s="59"/>
      <c r="U26" s="27"/>
      <c r="V26" s="27"/>
      <c r="W26" s="32" t="e">
        <f t="shared" si="5"/>
        <v>#DIV/0!</v>
      </c>
      <c r="X26" s="28"/>
      <c r="Y26" s="139" t="e">
        <f t="shared" si="6"/>
        <v>#DIV/0!</v>
      </c>
      <c r="Z26" s="143" t="e">
        <f t="shared" si="0"/>
        <v>#DIV/0!</v>
      </c>
      <c r="AA26" s="144" t="e">
        <f t="shared" si="7"/>
        <v>#DIV/0!</v>
      </c>
      <c r="AB26" s="62"/>
      <c r="AC26" s="51">
        <f t="shared" ref="AC26:AC39" si="26">AB26*0.6</f>
        <v>0</v>
      </c>
      <c r="AD26" s="65" t="e">
        <f t="shared" ref="AD26:AD39" si="27">AVERAGE(AA26+AC26)</f>
        <v>#DIV/0!</v>
      </c>
      <c r="AE26" s="162" t="e">
        <f t="shared" si="10"/>
        <v>#DIV/0!</v>
      </c>
    </row>
    <row r="27" spans="2:31" ht="15.75" customHeight="1" x14ac:dyDescent="0.3">
      <c r="B27" s="35">
        <v>18</v>
      </c>
      <c r="C27" s="197" t="s">
        <v>115</v>
      </c>
      <c r="D27" s="45"/>
      <c r="E27" s="38"/>
      <c r="F27" s="59">
        <v>14</v>
      </c>
      <c r="G27" s="27">
        <v>14</v>
      </c>
      <c r="H27" s="27"/>
      <c r="I27" s="32">
        <v>13</v>
      </c>
      <c r="J27" s="28"/>
      <c r="K27" s="139">
        <f t="shared" si="1"/>
        <v>13.666666666666666</v>
      </c>
      <c r="L27" s="166" t="str">
        <f t="shared" si="2"/>
        <v>TRANSITA</v>
      </c>
      <c r="M27" s="59">
        <v>17</v>
      </c>
      <c r="N27" s="27">
        <v>9</v>
      </c>
      <c r="O27" s="27"/>
      <c r="P27" s="32">
        <v>10.5</v>
      </c>
      <c r="Q27" s="28"/>
      <c r="R27" s="139">
        <f t="shared" si="3"/>
        <v>12.166666666666666</v>
      </c>
      <c r="S27" s="166" t="str">
        <f t="shared" si="4"/>
        <v>TRANSITA</v>
      </c>
      <c r="T27" s="59"/>
      <c r="U27" s="27"/>
      <c r="V27" s="27"/>
      <c r="W27" s="32" t="e">
        <f t="shared" si="5"/>
        <v>#DIV/0!</v>
      </c>
      <c r="X27" s="28"/>
      <c r="Y27" s="139" t="e">
        <f t="shared" si="6"/>
        <v>#DIV/0!</v>
      </c>
      <c r="Z27" s="143" t="e">
        <f t="shared" si="0"/>
        <v>#DIV/0!</v>
      </c>
      <c r="AA27" s="144" t="e">
        <f t="shared" si="7"/>
        <v>#DIV/0!</v>
      </c>
      <c r="AB27" s="62"/>
      <c r="AC27" s="51">
        <f t="shared" si="26"/>
        <v>0</v>
      </c>
      <c r="AD27" s="65" t="e">
        <f t="shared" si="27"/>
        <v>#DIV/0!</v>
      </c>
      <c r="AE27" s="162" t="e">
        <f t="shared" si="10"/>
        <v>#DIV/0!</v>
      </c>
    </row>
    <row r="28" spans="2:31" ht="15.75" customHeight="1" x14ac:dyDescent="0.3">
      <c r="B28" s="35">
        <v>19</v>
      </c>
      <c r="C28" s="197" t="s">
        <v>116</v>
      </c>
      <c r="D28" s="45"/>
      <c r="E28" s="38"/>
      <c r="F28" s="59">
        <v>13</v>
      </c>
      <c r="G28" s="27">
        <v>12.5</v>
      </c>
      <c r="H28" s="27"/>
      <c r="I28" s="32">
        <v>7</v>
      </c>
      <c r="J28" s="28"/>
      <c r="K28" s="139">
        <f t="shared" si="1"/>
        <v>10.833333333333334</v>
      </c>
      <c r="L28" s="166" t="str">
        <f t="shared" si="2"/>
        <v>TRANSITA</v>
      </c>
      <c r="M28" s="59">
        <v>17</v>
      </c>
      <c r="N28" s="27">
        <v>8.5</v>
      </c>
      <c r="O28" s="27"/>
      <c r="P28" s="32">
        <v>7</v>
      </c>
      <c r="Q28" s="28"/>
      <c r="R28" s="139">
        <f t="shared" si="3"/>
        <v>10.833333333333334</v>
      </c>
      <c r="S28" s="166" t="str">
        <f t="shared" si="4"/>
        <v>TRANSITA</v>
      </c>
      <c r="T28" s="59"/>
      <c r="U28" s="27"/>
      <c r="V28" s="27"/>
      <c r="W28" s="32" t="e">
        <f t="shared" si="5"/>
        <v>#DIV/0!</v>
      </c>
      <c r="X28" s="28"/>
      <c r="Y28" s="139" t="e">
        <f t="shared" si="6"/>
        <v>#DIV/0!</v>
      </c>
      <c r="Z28" s="143" t="e">
        <f t="shared" si="0"/>
        <v>#DIV/0!</v>
      </c>
      <c r="AA28" s="144" t="e">
        <f t="shared" si="7"/>
        <v>#DIV/0!</v>
      </c>
      <c r="AB28" s="62"/>
      <c r="AC28" s="51">
        <f t="shared" ref="AC28:AC29" si="28">AB28*0.6</f>
        <v>0</v>
      </c>
      <c r="AD28" s="65" t="e">
        <f t="shared" ref="AD28:AD29" si="29">AVERAGE(AA28+AC28)</f>
        <v>#DIV/0!</v>
      </c>
      <c r="AE28" s="162" t="e">
        <f t="shared" si="10"/>
        <v>#DIV/0!</v>
      </c>
    </row>
    <row r="29" spans="2:31" ht="15.75" customHeight="1" x14ac:dyDescent="0.3">
      <c r="B29" s="35">
        <v>20</v>
      </c>
      <c r="C29" s="197" t="s">
        <v>117</v>
      </c>
      <c r="D29" s="45"/>
      <c r="E29" s="38"/>
      <c r="F29" s="59">
        <v>15</v>
      </c>
      <c r="G29" s="27">
        <v>6.5</v>
      </c>
      <c r="H29" s="27"/>
      <c r="I29" s="32">
        <v>8</v>
      </c>
      <c r="J29" s="28"/>
      <c r="K29" s="139">
        <f t="shared" si="1"/>
        <v>9.8333333333333339</v>
      </c>
      <c r="L29" s="166" t="str">
        <f t="shared" si="2"/>
        <v>N/TRANSITA</v>
      </c>
      <c r="M29" s="59">
        <v>11</v>
      </c>
      <c r="N29" s="27">
        <v>18</v>
      </c>
      <c r="O29" s="27"/>
      <c r="P29" s="32"/>
      <c r="Q29" s="28"/>
      <c r="R29" s="139">
        <f t="shared" si="3"/>
        <v>9.6666666666666661</v>
      </c>
      <c r="S29" s="166" t="str">
        <f t="shared" si="4"/>
        <v>N/TRANSITA</v>
      </c>
      <c r="T29" s="59"/>
      <c r="U29" s="27"/>
      <c r="V29" s="27"/>
      <c r="W29" s="32" t="e">
        <f t="shared" si="5"/>
        <v>#DIV/0!</v>
      </c>
      <c r="X29" s="28"/>
      <c r="Y29" s="139" t="e">
        <f t="shared" si="6"/>
        <v>#DIV/0!</v>
      </c>
      <c r="Z29" s="143" t="e">
        <f t="shared" si="0"/>
        <v>#DIV/0!</v>
      </c>
      <c r="AA29" s="144" t="e">
        <f t="shared" si="7"/>
        <v>#DIV/0!</v>
      </c>
      <c r="AB29" s="62"/>
      <c r="AC29" s="51">
        <f t="shared" si="28"/>
        <v>0</v>
      </c>
      <c r="AD29" s="65" t="e">
        <f t="shared" si="29"/>
        <v>#DIV/0!</v>
      </c>
      <c r="AE29" s="162" t="e">
        <f t="shared" si="10"/>
        <v>#DIV/0!</v>
      </c>
    </row>
    <row r="30" spans="2:31" ht="15.75" customHeight="1" x14ac:dyDescent="0.3">
      <c r="B30" s="35">
        <v>21</v>
      </c>
      <c r="C30" s="197" t="s">
        <v>118</v>
      </c>
      <c r="D30" s="45"/>
      <c r="E30" s="38"/>
      <c r="F30" s="156">
        <v>15</v>
      </c>
      <c r="G30" s="155">
        <v>8.5</v>
      </c>
      <c r="H30" s="155"/>
      <c r="I30" s="157">
        <v>10</v>
      </c>
      <c r="J30" s="158"/>
      <c r="K30" s="139">
        <f t="shared" si="1"/>
        <v>11.166666666666666</v>
      </c>
      <c r="L30" s="166" t="str">
        <f t="shared" si="2"/>
        <v>TRANSITA</v>
      </c>
      <c r="M30" s="156">
        <v>15</v>
      </c>
      <c r="N30" s="155">
        <v>17</v>
      </c>
      <c r="O30" s="155"/>
      <c r="P30" s="157">
        <v>15</v>
      </c>
      <c r="Q30" s="158"/>
      <c r="R30" s="139">
        <f t="shared" si="3"/>
        <v>15.666666666666666</v>
      </c>
      <c r="S30" s="166" t="str">
        <f t="shared" si="4"/>
        <v>TRANSITA</v>
      </c>
      <c r="T30" s="156"/>
      <c r="U30" s="155"/>
      <c r="V30" s="155"/>
      <c r="W30" s="32" t="e">
        <f t="shared" si="5"/>
        <v>#DIV/0!</v>
      </c>
      <c r="X30" s="158"/>
      <c r="Y30" s="139" t="e">
        <f t="shared" si="6"/>
        <v>#DIV/0!</v>
      </c>
      <c r="Z30" s="143" t="e">
        <f t="shared" si="0"/>
        <v>#DIV/0!</v>
      </c>
      <c r="AA30" s="144" t="e">
        <f t="shared" si="7"/>
        <v>#DIV/0!</v>
      </c>
      <c r="AB30" s="62"/>
      <c r="AC30" s="51">
        <f t="shared" ref="AC30" si="30">AB30*0.6</f>
        <v>0</v>
      </c>
      <c r="AD30" s="65" t="e">
        <f t="shared" ref="AD30" si="31">AVERAGE(AA30+AC30)</f>
        <v>#DIV/0!</v>
      </c>
      <c r="AE30" s="162" t="e">
        <f t="shared" si="10"/>
        <v>#DIV/0!</v>
      </c>
    </row>
    <row r="31" spans="2:31" ht="15.75" customHeight="1" x14ac:dyDescent="0.3">
      <c r="B31" s="35">
        <v>22</v>
      </c>
      <c r="C31" s="197" t="s">
        <v>119</v>
      </c>
      <c r="D31" s="45"/>
      <c r="E31" s="38"/>
      <c r="F31" s="59">
        <v>6</v>
      </c>
      <c r="G31" s="27">
        <v>0</v>
      </c>
      <c r="H31" s="27"/>
      <c r="I31" s="32">
        <v>5.5</v>
      </c>
      <c r="J31" s="28"/>
      <c r="K31" s="139">
        <f t="shared" si="1"/>
        <v>3.8333333333333335</v>
      </c>
      <c r="L31" s="166" t="str">
        <f t="shared" si="2"/>
        <v>N/TRANSITA</v>
      </c>
      <c r="M31" s="59">
        <v>3</v>
      </c>
      <c r="N31" s="27">
        <v>5.5</v>
      </c>
      <c r="O31" s="27"/>
      <c r="P31" s="32">
        <v>9</v>
      </c>
      <c r="Q31" s="28"/>
      <c r="R31" s="139">
        <f t="shared" si="3"/>
        <v>5.833333333333333</v>
      </c>
      <c r="S31" s="166" t="str">
        <f t="shared" si="4"/>
        <v>N/TRANSITA</v>
      </c>
      <c r="T31" s="59"/>
      <c r="U31" s="27"/>
      <c r="V31" s="27"/>
      <c r="W31" s="32" t="e">
        <f t="shared" si="5"/>
        <v>#DIV/0!</v>
      </c>
      <c r="X31" s="28"/>
      <c r="Y31" s="139" t="e">
        <f t="shared" si="6"/>
        <v>#DIV/0!</v>
      </c>
      <c r="Z31" s="143" t="e">
        <f t="shared" si="0"/>
        <v>#DIV/0!</v>
      </c>
      <c r="AA31" s="144" t="e">
        <f t="shared" si="7"/>
        <v>#DIV/0!</v>
      </c>
      <c r="AB31" s="62"/>
      <c r="AC31" s="51">
        <f t="shared" si="26"/>
        <v>0</v>
      </c>
      <c r="AD31" s="65" t="e">
        <f t="shared" si="27"/>
        <v>#DIV/0!</v>
      </c>
      <c r="AE31" s="162" t="e">
        <f t="shared" si="10"/>
        <v>#DIV/0!</v>
      </c>
    </row>
    <row r="32" spans="2:31" ht="15.75" customHeight="1" x14ac:dyDescent="0.3">
      <c r="B32" s="35">
        <v>23</v>
      </c>
      <c r="C32" s="197" t="s">
        <v>120</v>
      </c>
      <c r="D32" s="45"/>
      <c r="E32" s="38"/>
      <c r="F32" s="59">
        <v>16</v>
      </c>
      <c r="G32" s="27">
        <v>18</v>
      </c>
      <c r="H32" s="27"/>
      <c r="I32" s="32">
        <v>12</v>
      </c>
      <c r="J32" s="28"/>
      <c r="K32" s="139">
        <f t="shared" si="1"/>
        <v>15.333333333333334</v>
      </c>
      <c r="L32" s="166" t="str">
        <f t="shared" si="2"/>
        <v>TRANSITA</v>
      </c>
      <c r="M32" s="59">
        <v>17</v>
      </c>
      <c r="N32" s="27">
        <v>16</v>
      </c>
      <c r="O32" s="27"/>
      <c r="P32" s="32">
        <v>4.5</v>
      </c>
      <c r="Q32" s="28"/>
      <c r="R32" s="139">
        <f t="shared" si="3"/>
        <v>12.5</v>
      </c>
      <c r="S32" s="166" t="str">
        <f t="shared" si="4"/>
        <v>TRANSITA</v>
      </c>
      <c r="T32" s="59"/>
      <c r="U32" s="27"/>
      <c r="V32" s="27"/>
      <c r="W32" s="32" t="e">
        <f t="shared" si="5"/>
        <v>#DIV/0!</v>
      </c>
      <c r="X32" s="28"/>
      <c r="Y32" s="139" t="e">
        <f t="shared" si="6"/>
        <v>#DIV/0!</v>
      </c>
      <c r="Z32" s="143" t="e">
        <f t="shared" si="0"/>
        <v>#DIV/0!</v>
      </c>
      <c r="AA32" s="144" t="e">
        <f t="shared" si="7"/>
        <v>#DIV/0!</v>
      </c>
      <c r="AB32" s="62"/>
      <c r="AC32" s="51">
        <f t="shared" si="26"/>
        <v>0</v>
      </c>
      <c r="AD32" s="65" t="e">
        <f t="shared" si="27"/>
        <v>#DIV/0!</v>
      </c>
      <c r="AE32" s="162" t="e">
        <f t="shared" si="10"/>
        <v>#DIV/0!</v>
      </c>
    </row>
    <row r="33" spans="2:31" ht="15.75" customHeight="1" x14ac:dyDescent="0.3">
      <c r="B33" s="35">
        <v>24</v>
      </c>
      <c r="C33" s="197" t="s">
        <v>121</v>
      </c>
      <c r="D33" s="45"/>
      <c r="E33" s="38"/>
      <c r="F33" s="59">
        <v>1</v>
      </c>
      <c r="G33" s="27">
        <v>6</v>
      </c>
      <c r="H33" s="27"/>
      <c r="I33" s="32">
        <v>14</v>
      </c>
      <c r="J33" s="28"/>
      <c r="K33" s="139">
        <f t="shared" si="1"/>
        <v>7</v>
      </c>
      <c r="L33" s="166" t="str">
        <f t="shared" si="2"/>
        <v>N/TRANSITA</v>
      </c>
      <c r="M33" s="59">
        <v>1.5</v>
      </c>
      <c r="N33" s="27">
        <v>3</v>
      </c>
      <c r="O33" s="27"/>
      <c r="P33" s="32">
        <v>1</v>
      </c>
      <c r="Q33" s="28"/>
      <c r="R33" s="139">
        <f t="shared" si="3"/>
        <v>1.8333333333333333</v>
      </c>
      <c r="S33" s="166" t="str">
        <f t="shared" si="4"/>
        <v>N/TRANSITA</v>
      </c>
      <c r="T33" s="59"/>
      <c r="U33" s="27"/>
      <c r="V33" s="27"/>
      <c r="W33" s="32" t="e">
        <f t="shared" si="5"/>
        <v>#DIV/0!</v>
      </c>
      <c r="X33" s="28"/>
      <c r="Y33" s="139" t="e">
        <f t="shared" si="6"/>
        <v>#DIV/0!</v>
      </c>
      <c r="Z33" s="143" t="e">
        <f t="shared" si="0"/>
        <v>#DIV/0!</v>
      </c>
      <c r="AA33" s="144" t="e">
        <f t="shared" si="7"/>
        <v>#DIV/0!</v>
      </c>
      <c r="AB33" s="62"/>
      <c r="AC33" s="51">
        <f t="shared" si="26"/>
        <v>0</v>
      </c>
      <c r="AD33" s="65" t="e">
        <f t="shared" si="27"/>
        <v>#DIV/0!</v>
      </c>
      <c r="AE33" s="162" t="e">
        <f t="shared" si="10"/>
        <v>#DIV/0!</v>
      </c>
    </row>
    <row r="34" spans="2:31" ht="15.75" customHeight="1" x14ac:dyDescent="0.3">
      <c r="B34" s="35">
        <v>25</v>
      </c>
      <c r="C34" s="197" t="s">
        <v>122</v>
      </c>
      <c r="D34" s="45"/>
      <c r="E34" s="38"/>
      <c r="F34" s="59">
        <v>15</v>
      </c>
      <c r="G34" s="27">
        <v>14</v>
      </c>
      <c r="H34" s="27"/>
      <c r="I34" s="32">
        <v>17</v>
      </c>
      <c r="J34" s="28"/>
      <c r="K34" s="139">
        <f t="shared" si="1"/>
        <v>15.333333333333334</v>
      </c>
      <c r="L34" s="166" t="str">
        <f t="shared" si="2"/>
        <v>TRANSITA</v>
      </c>
      <c r="M34" s="59">
        <v>18</v>
      </c>
      <c r="N34" s="27">
        <v>10</v>
      </c>
      <c r="O34" s="27"/>
      <c r="P34" s="32">
        <v>7.5</v>
      </c>
      <c r="Q34" s="28"/>
      <c r="R34" s="139">
        <f t="shared" si="3"/>
        <v>11.833333333333334</v>
      </c>
      <c r="S34" s="166" t="str">
        <f t="shared" si="4"/>
        <v>TRANSITA</v>
      </c>
      <c r="T34" s="59"/>
      <c r="U34" s="27"/>
      <c r="V34" s="27"/>
      <c r="W34" s="32" t="e">
        <f t="shared" si="5"/>
        <v>#DIV/0!</v>
      </c>
      <c r="X34" s="28"/>
      <c r="Y34" s="139" t="e">
        <f t="shared" si="6"/>
        <v>#DIV/0!</v>
      </c>
      <c r="Z34" s="143" t="e">
        <f t="shared" si="0"/>
        <v>#DIV/0!</v>
      </c>
      <c r="AA34" s="144" t="e">
        <f t="shared" si="7"/>
        <v>#DIV/0!</v>
      </c>
      <c r="AB34" s="62"/>
      <c r="AC34" s="51">
        <f t="shared" si="26"/>
        <v>0</v>
      </c>
      <c r="AD34" s="65" t="e">
        <f t="shared" si="27"/>
        <v>#DIV/0!</v>
      </c>
      <c r="AE34" s="162" t="e">
        <f t="shared" si="10"/>
        <v>#DIV/0!</v>
      </c>
    </row>
    <row r="35" spans="2:31" ht="15.75" customHeight="1" x14ac:dyDescent="0.3">
      <c r="B35" s="35">
        <v>26</v>
      </c>
      <c r="C35" s="197" t="s">
        <v>123</v>
      </c>
      <c r="D35" s="45"/>
      <c r="E35" s="38"/>
      <c r="F35" s="59">
        <v>7</v>
      </c>
      <c r="G35" s="27">
        <v>11</v>
      </c>
      <c r="H35" s="27"/>
      <c r="I35" s="32">
        <v>3</v>
      </c>
      <c r="J35" s="28"/>
      <c r="K35" s="139">
        <f t="shared" si="1"/>
        <v>7</v>
      </c>
      <c r="L35" s="166" t="str">
        <f t="shared" si="2"/>
        <v>N/TRANSITA</v>
      </c>
      <c r="M35" s="59">
        <v>9</v>
      </c>
      <c r="N35" s="27">
        <v>12.5</v>
      </c>
      <c r="O35" s="27"/>
      <c r="P35" s="32">
        <v>6.5</v>
      </c>
      <c r="Q35" s="28"/>
      <c r="R35" s="139">
        <f t="shared" si="3"/>
        <v>9.3333333333333339</v>
      </c>
      <c r="S35" s="166" t="str">
        <f t="shared" si="4"/>
        <v>N/TRANSITA</v>
      </c>
      <c r="T35" s="59"/>
      <c r="U35" s="27"/>
      <c r="V35" s="27"/>
      <c r="W35" s="32" t="e">
        <f t="shared" si="5"/>
        <v>#DIV/0!</v>
      </c>
      <c r="X35" s="28"/>
      <c r="Y35" s="139" t="e">
        <f t="shared" si="6"/>
        <v>#DIV/0!</v>
      </c>
      <c r="Z35" s="143" t="e">
        <f t="shared" si="0"/>
        <v>#DIV/0!</v>
      </c>
      <c r="AA35" s="144" t="e">
        <f t="shared" si="7"/>
        <v>#DIV/0!</v>
      </c>
      <c r="AB35" s="62"/>
      <c r="AC35" s="51">
        <f t="shared" si="26"/>
        <v>0</v>
      </c>
      <c r="AD35" s="65" t="e">
        <f t="shared" si="27"/>
        <v>#DIV/0!</v>
      </c>
      <c r="AE35" s="162" t="e">
        <f t="shared" si="10"/>
        <v>#DIV/0!</v>
      </c>
    </row>
    <row r="36" spans="2:31" ht="15.75" customHeight="1" x14ac:dyDescent="0.3">
      <c r="B36" s="35">
        <v>27</v>
      </c>
      <c r="C36" s="197" t="s">
        <v>124</v>
      </c>
      <c r="D36" s="45"/>
      <c r="E36" s="38"/>
      <c r="F36" s="59">
        <v>8</v>
      </c>
      <c r="G36" s="27">
        <v>7</v>
      </c>
      <c r="H36" s="27"/>
      <c r="I36" s="32">
        <v>2.5</v>
      </c>
      <c r="J36" s="28"/>
      <c r="K36" s="139">
        <f t="shared" si="1"/>
        <v>5.833333333333333</v>
      </c>
      <c r="L36" s="166" t="str">
        <f t="shared" si="2"/>
        <v>N/TRANSITA</v>
      </c>
      <c r="M36" s="59">
        <v>9</v>
      </c>
      <c r="N36" s="27">
        <v>4.5</v>
      </c>
      <c r="O36" s="27"/>
      <c r="P36" s="32">
        <v>8.5</v>
      </c>
      <c r="Q36" s="28"/>
      <c r="R36" s="139">
        <f t="shared" si="3"/>
        <v>7.333333333333333</v>
      </c>
      <c r="S36" s="166" t="str">
        <f t="shared" si="4"/>
        <v>N/TRANSITA</v>
      </c>
      <c r="T36" s="59"/>
      <c r="U36" s="27"/>
      <c r="V36" s="27"/>
      <c r="W36" s="32" t="e">
        <f t="shared" si="5"/>
        <v>#DIV/0!</v>
      </c>
      <c r="X36" s="28"/>
      <c r="Y36" s="139" t="e">
        <f t="shared" si="6"/>
        <v>#DIV/0!</v>
      </c>
      <c r="Z36" s="143" t="e">
        <f t="shared" si="0"/>
        <v>#DIV/0!</v>
      </c>
      <c r="AA36" s="144" t="e">
        <f t="shared" si="7"/>
        <v>#DIV/0!</v>
      </c>
      <c r="AB36" s="62"/>
      <c r="AC36" s="51">
        <f t="shared" si="26"/>
        <v>0</v>
      </c>
      <c r="AD36" s="65" t="e">
        <f t="shared" si="27"/>
        <v>#DIV/0!</v>
      </c>
      <c r="AE36" s="162" t="e">
        <f t="shared" si="10"/>
        <v>#DIV/0!</v>
      </c>
    </row>
    <row r="37" spans="2:31" ht="15.75" customHeight="1" x14ac:dyDescent="0.3">
      <c r="B37" s="35">
        <v>28</v>
      </c>
      <c r="C37" s="197" t="s">
        <v>125</v>
      </c>
      <c r="D37" s="45"/>
      <c r="E37" s="38"/>
      <c r="F37" s="149">
        <v>14</v>
      </c>
      <c r="G37" s="148">
        <v>5</v>
      </c>
      <c r="H37" s="148"/>
      <c r="I37" s="150">
        <v>7</v>
      </c>
      <c r="J37" s="151"/>
      <c r="K37" s="139">
        <f t="shared" si="1"/>
        <v>8.6666666666666661</v>
      </c>
      <c r="L37" s="166" t="str">
        <f t="shared" si="2"/>
        <v>N/TRANSITA</v>
      </c>
      <c r="M37" s="149">
        <v>10</v>
      </c>
      <c r="N37" s="148">
        <v>11.5</v>
      </c>
      <c r="O37" s="148"/>
      <c r="P37" s="150">
        <v>15.5</v>
      </c>
      <c r="Q37" s="151"/>
      <c r="R37" s="139">
        <f t="shared" si="3"/>
        <v>12.333333333333334</v>
      </c>
      <c r="S37" s="166" t="str">
        <f t="shared" si="4"/>
        <v>TRANSITA</v>
      </c>
      <c r="T37" s="149"/>
      <c r="U37" s="148"/>
      <c r="V37" s="148"/>
      <c r="W37" s="32" t="e">
        <f t="shared" si="5"/>
        <v>#DIV/0!</v>
      </c>
      <c r="X37" s="151"/>
      <c r="Y37" s="139" t="e">
        <f t="shared" si="6"/>
        <v>#DIV/0!</v>
      </c>
      <c r="Z37" s="143" t="e">
        <f t="shared" si="0"/>
        <v>#DIV/0!</v>
      </c>
      <c r="AA37" s="144" t="e">
        <f t="shared" si="7"/>
        <v>#DIV/0!</v>
      </c>
      <c r="AB37" s="62"/>
      <c r="AC37" s="51">
        <f t="shared" si="26"/>
        <v>0</v>
      </c>
      <c r="AD37" s="65" t="e">
        <f t="shared" si="27"/>
        <v>#DIV/0!</v>
      </c>
      <c r="AE37" s="162" t="e">
        <f t="shared" si="10"/>
        <v>#DIV/0!</v>
      </c>
    </row>
    <row r="38" spans="2:31" ht="15.75" customHeight="1" x14ac:dyDescent="0.3">
      <c r="B38" s="35">
        <v>29</v>
      </c>
      <c r="C38" s="197" t="s">
        <v>126</v>
      </c>
      <c r="D38" s="45"/>
      <c r="E38" s="38"/>
      <c r="F38" s="59">
        <v>1</v>
      </c>
      <c r="G38" s="27">
        <v>0</v>
      </c>
      <c r="H38" s="27"/>
      <c r="I38" s="32">
        <v>13</v>
      </c>
      <c r="J38" s="28"/>
      <c r="K38" s="139">
        <f t="shared" si="1"/>
        <v>4.666666666666667</v>
      </c>
      <c r="L38" s="166" t="str">
        <f t="shared" si="2"/>
        <v>N/TRANSITA</v>
      </c>
      <c r="M38" s="59">
        <v>4</v>
      </c>
      <c r="N38" s="27">
        <v>10.5</v>
      </c>
      <c r="O38" s="27"/>
      <c r="P38" s="32">
        <v>9</v>
      </c>
      <c r="Q38" s="28"/>
      <c r="R38" s="139">
        <f t="shared" si="3"/>
        <v>7.833333333333333</v>
      </c>
      <c r="S38" s="166" t="str">
        <f t="shared" si="4"/>
        <v>N/TRANSITA</v>
      </c>
      <c r="T38" s="59"/>
      <c r="U38" s="27"/>
      <c r="V38" s="27"/>
      <c r="W38" s="32" t="e">
        <f t="shared" si="5"/>
        <v>#DIV/0!</v>
      </c>
      <c r="X38" s="28"/>
      <c r="Y38" s="139" t="e">
        <f t="shared" si="6"/>
        <v>#DIV/0!</v>
      </c>
      <c r="Z38" s="143" t="e">
        <f t="shared" si="0"/>
        <v>#DIV/0!</v>
      </c>
      <c r="AA38" s="144" t="e">
        <f t="shared" si="7"/>
        <v>#DIV/0!</v>
      </c>
      <c r="AB38" s="62"/>
      <c r="AC38" s="51">
        <f t="shared" si="26"/>
        <v>0</v>
      </c>
      <c r="AD38" s="65" t="e">
        <f t="shared" si="27"/>
        <v>#DIV/0!</v>
      </c>
      <c r="AE38" s="162" t="e">
        <f t="shared" si="10"/>
        <v>#DIV/0!</v>
      </c>
    </row>
    <row r="39" spans="2:31" ht="15.75" customHeight="1" x14ac:dyDescent="0.3">
      <c r="B39" s="35">
        <v>30</v>
      </c>
      <c r="C39" s="197" t="s">
        <v>127</v>
      </c>
      <c r="D39" s="45"/>
      <c r="E39" s="38"/>
      <c r="F39" s="59">
        <v>15</v>
      </c>
      <c r="G39" s="27">
        <v>15</v>
      </c>
      <c r="H39" s="27"/>
      <c r="I39" s="32">
        <v>15</v>
      </c>
      <c r="J39" s="28"/>
      <c r="K39" s="139">
        <f t="shared" si="1"/>
        <v>15</v>
      </c>
      <c r="L39" s="166" t="str">
        <f t="shared" si="2"/>
        <v>TRANSITA</v>
      </c>
      <c r="M39" s="59">
        <v>18</v>
      </c>
      <c r="N39" s="27">
        <v>20</v>
      </c>
      <c r="O39" s="27"/>
      <c r="P39" s="32">
        <v>19.5</v>
      </c>
      <c r="Q39" s="28"/>
      <c r="R39" s="139">
        <f t="shared" si="3"/>
        <v>19.166666666666668</v>
      </c>
      <c r="S39" s="166" t="str">
        <f t="shared" si="4"/>
        <v>TRANSITA</v>
      </c>
      <c r="T39" s="59"/>
      <c r="U39" s="27"/>
      <c r="V39" s="27"/>
      <c r="W39" s="32" t="e">
        <f t="shared" si="5"/>
        <v>#DIV/0!</v>
      </c>
      <c r="X39" s="28"/>
      <c r="Y39" s="139" t="e">
        <f t="shared" si="6"/>
        <v>#DIV/0!</v>
      </c>
      <c r="Z39" s="143" t="e">
        <f t="shared" si="0"/>
        <v>#DIV/0!</v>
      </c>
      <c r="AA39" s="144" t="e">
        <f t="shared" si="7"/>
        <v>#DIV/0!</v>
      </c>
      <c r="AB39" s="62"/>
      <c r="AC39" s="51">
        <f t="shared" si="26"/>
        <v>0</v>
      </c>
      <c r="AD39" s="65" t="e">
        <f t="shared" si="27"/>
        <v>#DIV/0!</v>
      </c>
      <c r="AE39" s="162" t="e">
        <f t="shared" si="10"/>
        <v>#DIV/0!</v>
      </c>
    </row>
    <row r="40" spans="2:31" ht="15.75" customHeight="1" x14ac:dyDescent="0.3">
      <c r="B40" s="35">
        <v>31</v>
      </c>
      <c r="C40" s="197" t="s">
        <v>128</v>
      </c>
      <c r="D40" s="45"/>
      <c r="E40" s="38"/>
      <c r="F40" s="59">
        <v>15</v>
      </c>
      <c r="G40" s="27">
        <v>13</v>
      </c>
      <c r="H40" s="27"/>
      <c r="I40" s="32">
        <v>13</v>
      </c>
      <c r="J40" s="28"/>
      <c r="K40" s="139">
        <f t="shared" si="1"/>
        <v>13.666666666666666</v>
      </c>
      <c r="L40" s="166" t="str">
        <f t="shared" si="2"/>
        <v>TRANSITA</v>
      </c>
      <c r="M40" s="59">
        <v>16</v>
      </c>
      <c r="N40" s="27">
        <v>7.5</v>
      </c>
      <c r="O40" s="27"/>
      <c r="P40" s="32">
        <v>7.5</v>
      </c>
      <c r="Q40" s="28"/>
      <c r="R40" s="139">
        <f t="shared" si="3"/>
        <v>10.333333333333334</v>
      </c>
      <c r="S40" s="166" t="str">
        <f t="shared" si="4"/>
        <v>TRANSITA</v>
      </c>
      <c r="T40" s="59"/>
      <c r="U40" s="27"/>
      <c r="V40" s="27"/>
      <c r="W40" s="32" t="e">
        <f t="shared" si="5"/>
        <v>#DIV/0!</v>
      </c>
      <c r="X40" s="28"/>
      <c r="Y40" s="139" t="e">
        <f t="shared" si="6"/>
        <v>#DIV/0!</v>
      </c>
      <c r="Z40" s="143" t="e">
        <f t="shared" si="0"/>
        <v>#DIV/0!</v>
      </c>
      <c r="AA40" s="144" t="e">
        <f t="shared" si="7"/>
        <v>#DIV/0!</v>
      </c>
      <c r="AB40" s="62"/>
      <c r="AC40" s="51">
        <f t="shared" si="11"/>
        <v>0</v>
      </c>
      <c r="AD40" s="65" t="e">
        <f t="shared" si="12"/>
        <v>#DIV/0!</v>
      </c>
      <c r="AE40" s="162" t="e">
        <f t="shared" si="10"/>
        <v>#DIV/0!</v>
      </c>
    </row>
    <row r="41" spans="2:31" ht="15.75" customHeight="1" x14ac:dyDescent="0.3">
      <c r="B41" s="35">
        <v>32</v>
      </c>
      <c r="C41" s="197" t="s">
        <v>142</v>
      </c>
      <c r="D41" s="45"/>
      <c r="E41" s="38"/>
      <c r="F41" s="59"/>
      <c r="G41" s="27"/>
      <c r="H41" s="27"/>
      <c r="I41" s="32"/>
      <c r="J41" s="28"/>
      <c r="K41" s="139">
        <f t="shared" si="1"/>
        <v>0</v>
      </c>
      <c r="L41" s="166" t="str">
        <f t="shared" si="2"/>
        <v>N/TRANSITA</v>
      </c>
      <c r="M41" s="59">
        <v>18</v>
      </c>
      <c r="N41" s="27">
        <v>17</v>
      </c>
      <c r="O41" s="27"/>
      <c r="P41" s="32">
        <v>12.5</v>
      </c>
      <c r="Q41" s="28"/>
      <c r="R41" s="139">
        <f t="shared" ref="R41" si="32">AVERAGE(M41,MAX(N41:O41),MAX(P41:Q41))</f>
        <v>15.833333333333334</v>
      </c>
      <c r="S41" s="166" t="str">
        <f t="shared" ref="S41" si="33">IF(R41&gt;=10,"TRANSITA","N/TRANSITA")</f>
        <v>TRANSITA</v>
      </c>
      <c r="T41" s="59"/>
      <c r="U41" s="27"/>
      <c r="V41" s="27"/>
      <c r="W41" s="32" t="e">
        <f t="shared" ref="W41" si="34">AVERAGE(T41:U41)</f>
        <v>#DIV/0!</v>
      </c>
      <c r="X41" s="28"/>
      <c r="Y41" s="139" t="e">
        <f t="shared" ref="Y41" si="35">AVERAGE(T41,MAX(U41:V41),MAX(W41:X41))</f>
        <v>#DIV/0!</v>
      </c>
      <c r="Z41" s="143" t="e">
        <f t="shared" ref="Z41" si="36">SUM(K41,R41,Y41)/3</f>
        <v>#DIV/0!</v>
      </c>
      <c r="AA41" s="144" t="e">
        <f t="shared" ref="AA41" si="37">Z41*0.4</f>
        <v>#DIV/0!</v>
      </c>
      <c r="AB41" s="62"/>
      <c r="AC41" s="51">
        <f t="shared" ref="AC41" si="38">AB41*0.6</f>
        <v>0</v>
      </c>
      <c r="AD41" s="65" t="e">
        <f t="shared" ref="AD41" si="39">AVERAGE(AA41+AC41)</f>
        <v>#DIV/0!</v>
      </c>
      <c r="AE41" s="162"/>
    </row>
    <row r="42" spans="2:31" ht="15.75" customHeight="1" x14ac:dyDescent="0.3">
      <c r="B42" s="35">
        <v>33</v>
      </c>
      <c r="C42" s="197" t="s">
        <v>129</v>
      </c>
      <c r="D42" s="45"/>
      <c r="E42" s="38"/>
      <c r="F42" s="59">
        <v>11</v>
      </c>
      <c r="G42" s="27">
        <v>12</v>
      </c>
      <c r="H42" s="27"/>
      <c r="I42" s="32">
        <v>12</v>
      </c>
      <c r="J42" s="28"/>
      <c r="K42" s="139">
        <f t="shared" si="1"/>
        <v>11.666666666666666</v>
      </c>
      <c r="L42" s="166" t="str">
        <f t="shared" si="2"/>
        <v>TRANSITA</v>
      </c>
      <c r="M42" s="59">
        <v>10</v>
      </c>
      <c r="N42" s="27">
        <v>9</v>
      </c>
      <c r="O42" s="27"/>
      <c r="P42" s="32">
        <v>9.5</v>
      </c>
      <c r="Q42" s="28"/>
      <c r="R42" s="139">
        <f t="shared" si="3"/>
        <v>9.5</v>
      </c>
      <c r="S42" s="166" t="str">
        <f t="shared" si="4"/>
        <v>N/TRANSITA</v>
      </c>
      <c r="T42" s="59"/>
      <c r="U42" s="27"/>
      <c r="V42" s="27"/>
      <c r="W42" s="32" t="e">
        <f t="shared" si="5"/>
        <v>#DIV/0!</v>
      </c>
      <c r="X42" s="28"/>
      <c r="Y42" s="139" t="e">
        <f t="shared" si="6"/>
        <v>#DIV/0!</v>
      </c>
      <c r="Z42" s="143" t="e">
        <f t="shared" si="0"/>
        <v>#DIV/0!</v>
      </c>
      <c r="AA42" s="144" t="e">
        <f t="shared" si="7"/>
        <v>#DIV/0!</v>
      </c>
      <c r="AB42" s="62"/>
      <c r="AC42" s="51">
        <f t="shared" si="11"/>
        <v>0</v>
      </c>
      <c r="AD42" s="65" t="e">
        <f t="shared" si="12"/>
        <v>#DIV/0!</v>
      </c>
      <c r="AE42" s="162" t="e">
        <f t="shared" si="10"/>
        <v>#DIV/0!</v>
      </c>
    </row>
    <row r="43" spans="2:31" ht="15.75" customHeight="1" x14ac:dyDescent="0.3">
      <c r="B43" s="35">
        <v>34</v>
      </c>
      <c r="C43" s="197" t="s">
        <v>130</v>
      </c>
      <c r="D43" s="45"/>
      <c r="E43" s="38"/>
      <c r="F43" s="59">
        <v>10</v>
      </c>
      <c r="G43" s="27">
        <v>11</v>
      </c>
      <c r="H43" s="27"/>
      <c r="I43" s="32">
        <v>13</v>
      </c>
      <c r="J43" s="28"/>
      <c r="K43" s="139">
        <f t="shared" si="1"/>
        <v>11.333333333333334</v>
      </c>
      <c r="L43" s="166" t="str">
        <f t="shared" si="2"/>
        <v>TRANSITA</v>
      </c>
      <c r="M43" s="59">
        <v>17</v>
      </c>
      <c r="N43" s="27">
        <v>7</v>
      </c>
      <c r="O43" s="27"/>
      <c r="P43" s="32">
        <v>4</v>
      </c>
      <c r="Q43" s="28"/>
      <c r="R43" s="139">
        <f t="shared" si="3"/>
        <v>9.3333333333333339</v>
      </c>
      <c r="S43" s="166" t="str">
        <f t="shared" si="4"/>
        <v>N/TRANSITA</v>
      </c>
      <c r="T43" s="59"/>
      <c r="U43" s="27"/>
      <c r="V43" s="27"/>
      <c r="W43" s="32" t="e">
        <f t="shared" si="5"/>
        <v>#DIV/0!</v>
      </c>
      <c r="X43" s="28"/>
      <c r="Y43" s="139" t="e">
        <f t="shared" si="6"/>
        <v>#DIV/0!</v>
      </c>
      <c r="Z43" s="143" t="e">
        <f t="shared" si="0"/>
        <v>#DIV/0!</v>
      </c>
      <c r="AA43" s="144" t="e">
        <f t="shared" si="7"/>
        <v>#DIV/0!</v>
      </c>
      <c r="AB43" s="62"/>
      <c r="AC43" s="51">
        <f t="shared" ref="AC43:AC44" si="40">AB43*0.6</f>
        <v>0</v>
      </c>
      <c r="AD43" s="65" t="e">
        <f t="shared" ref="AD43:AD44" si="41">AVERAGE(AA43+AC43)</f>
        <v>#DIV/0!</v>
      </c>
      <c r="AE43" s="162" t="e">
        <f t="shared" si="10"/>
        <v>#DIV/0!</v>
      </c>
    </row>
    <row r="44" spans="2:31" ht="15.75" customHeight="1" x14ac:dyDescent="0.3">
      <c r="B44" s="35">
        <v>35</v>
      </c>
      <c r="C44" s="197" t="s">
        <v>131</v>
      </c>
      <c r="D44" s="45"/>
      <c r="E44" s="38"/>
      <c r="F44" s="59">
        <v>12</v>
      </c>
      <c r="G44" s="27">
        <v>4</v>
      </c>
      <c r="H44" s="27"/>
      <c r="I44" s="32">
        <v>9</v>
      </c>
      <c r="J44" s="28"/>
      <c r="K44" s="139">
        <f t="shared" si="1"/>
        <v>8.3333333333333339</v>
      </c>
      <c r="L44" s="166" t="str">
        <f t="shared" si="2"/>
        <v>N/TRANSITA</v>
      </c>
      <c r="M44" s="59">
        <v>17</v>
      </c>
      <c r="N44" s="27">
        <v>17.5</v>
      </c>
      <c r="O44" s="27"/>
      <c r="P44" s="32">
        <v>15.5</v>
      </c>
      <c r="Q44" s="28"/>
      <c r="R44" s="139">
        <f t="shared" si="3"/>
        <v>16.666666666666668</v>
      </c>
      <c r="S44" s="166" t="str">
        <f t="shared" si="4"/>
        <v>TRANSITA</v>
      </c>
      <c r="T44" s="59"/>
      <c r="U44" s="27"/>
      <c r="V44" s="27"/>
      <c r="W44" s="32" t="e">
        <f t="shared" si="5"/>
        <v>#DIV/0!</v>
      </c>
      <c r="X44" s="28"/>
      <c r="Y44" s="139" t="e">
        <f t="shared" si="6"/>
        <v>#DIV/0!</v>
      </c>
      <c r="Z44" s="143" t="e">
        <f t="shared" si="0"/>
        <v>#DIV/0!</v>
      </c>
      <c r="AA44" s="144" t="e">
        <f t="shared" si="7"/>
        <v>#DIV/0!</v>
      </c>
      <c r="AB44" s="62"/>
      <c r="AC44" s="51">
        <f t="shared" si="40"/>
        <v>0</v>
      </c>
      <c r="AD44" s="65" t="e">
        <f t="shared" si="41"/>
        <v>#DIV/0!</v>
      </c>
      <c r="AE44" s="162" t="e">
        <f t="shared" si="10"/>
        <v>#DIV/0!</v>
      </c>
    </row>
    <row r="45" spans="2:31" ht="15.75" customHeight="1" x14ac:dyDescent="0.3">
      <c r="B45" s="35">
        <v>36</v>
      </c>
      <c r="C45" s="197" t="s">
        <v>132</v>
      </c>
      <c r="D45" s="45"/>
      <c r="E45" s="38"/>
      <c r="F45" s="59">
        <v>9</v>
      </c>
      <c r="G45" s="27">
        <v>10</v>
      </c>
      <c r="H45" s="27"/>
      <c r="I45" s="32">
        <v>0</v>
      </c>
      <c r="J45" s="28"/>
      <c r="K45" s="139">
        <f t="shared" si="1"/>
        <v>6.333333333333333</v>
      </c>
      <c r="L45" s="166" t="str">
        <f t="shared" si="2"/>
        <v>N/TRANSITA</v>
      </c>
      <c r="M45" s="59">
        <v>13</v>
      </c>
      <c r="N45" s="27">
        <v>11</v>
      </c>
      <c r="O45" s="27"/>
      <c r="P45" s="32">
        <v>7.5</v>
      </c>
      <c r="Q45" s="28"/>
      <c r="R45" s="139">
        <f t="shared" si="3"/>
        <v>10.5</v>
      </c>
      <c r="S45" s="166" t="str">
        <f t="shared" si="4"/>
        <v>TRANSITA</v>
      </c>
      <c r="T45" s="59"/>
      <c r="U45" s="27"/>
      <c r="V45" s="27"/>
      <c r="W45" s="32" t="e">
        <f t="shared" si="5"/>
        <v>#DIV/0!</v>
      </c>
      <c r="X45" s="28"/>
      <c r="Y45" s="139" t="e">
        <f t="shared" si="6"/>
        <v>#DIV/0!</v>
      </c>
      <c r="Z45" s="143" t="e">
        <f t="shared" si="0"/>
        <v>#DIV/0!</v>
      </c>
      <c r="AA45" s="144" t="e">
        <f t="shared" si="7"/>
        <v>#DIV/0!</v>
      </c>
      <c r="AB45" s="62"/>
      <c r="AC45" s="51">
        <f t="shared" si="11"/>
        <v>0</v>
      </c>
      <c r="AD45" s="65" t="e">
        <f t="shared" si="12"/>
        <v>#DIV/0!</v>
      </c>
      <c r="AE45" s="162" t="e">
        <f t="shared" si="10"/>
        <v>#DIV/0!</v>
      </c>
    </row>
    <row r="46" spans="2:31" ht="15.75" customHeight="1" x14ac:dyDescent="0.3">
      <c r="B46" s="35">
        <v>37</v>
      </c>
      <c r="C46" s="197" t="s">
        <v>133</v>
      </c>
      <c r="D46" s="45"/>
      <c r="E46" s="38"/>
      <c r="F46" s="59">
        <v>13</v>
      </c>
      <c r="G46" s="27">
        <v>5</v>
      </c>
      <c r="H46" s="27"/>
      <c r="I46" s="32">
        <v>8.5</v>
      </c>
      <c r="J46" s="28"/>
      <c r="K46" s="139">
        <f t="shared" si="1"/>
        <v>8.8333333333333339</v>
      </c>
      <c r="L46" s="166" t="str">
        <f t="shared" si="2"/>
        <v>N/TRANSITA</v>
      </c>
      <c r="M46" s="59">
        <v>18</v>
      </c>
      <c r="N46" s="27">
        <v>11.5</v>
      </c>
      <c r="O46" s="27"/>
      <c r="P46" s="32">
        <v>15.5</v>
      </c>
      <c r="Q46" s="28"/>
      <c r="R46" s="139">
        <f t="shared" si="3"/>
        <v>15</v>
      </c>
      <c r="S46" s="166" t="str">
        <f t="shared" si="4"/>
        <v>TRANSITA</v>
      </c>
      <c r="T46" s="59"/>
      <c r="U46" s="27"/>
      <c r="V46" s="27"/>
      <c r="W46" s="32" t="e">
        <f t="shared" si="5"/>
        <v>#DIV/0!</v>
      </c>
      <c r="X46" s="28"/>
      <c r="Y46" s="139" t="e">
        <f t="shared" si="6"/>
        <v>#DIV/0!</v>
      </c>
      <c r="Z46" s="143" t="e">
        <f t="shared" si="0"/>
        <v>#DIV/0!</v>
      </c>
      <c r="AA46" s="144" t="e">
        <f t="shared" si="7"/>
        <v>#DIV/0!</v>
      </c>
      <c r="AB46" s="62"/>
      <c r="AC46" s="51">
        <f t="shared" ref="AC46:AC51" si="42">AB46*0.6</f>
        <v>0</v>
      </c>
      <c r="AD46" s="65" t="e">
        <f t="shared" ref="AD46:AD51" si="43">AVERAGE(AA46+AC46)</f>
        <v>#DIV/0!</v>
      </c>
      <c r="AE46" s="162" t="e">
        <f t="shared" si="10"/>
        <v>#DIV/0!</v>
      </c>
    </row>
    <row r="47" spans="2:31" ht="15.75" customHeight="1" x14ac:dyDescent="0.3">
      <c r="B47" s="35">
        <v>38</v>
      </c>
      <c r="C47" s="197" t="s">
        <v>134</v>
      </c>
      <c r="D47" s="45"/>
      <c r="E47" s="38"/>
      <c r="F47" s="59">
        <v>1</v>
      </c>
      <c r="G47" s="27">
        <v>11</v>
      </c>
      <c r="H47" s="27"/>
      <c r="I47" s="32">
        <v>6.5</v>
      </c>
      <c r="J47" s="28"/>
      <c r="K47" s="139">
        <f t="shared" si="1"/>
        <v>6.166666666666667</v>
      </c>
      <c r="L47" s="166" t="str">
        <f t="shared" si="2"/>
        <v>N/TRANSITA</v>
      </c>
      <c r="M47" s="59">
        <v>3</v>
      </c>
      <c r="N47" s="27">
        <v>10</v>
      </c>
      <c r="O47" s="27"/>
      <c r="P47" s="32">
        <v>6</v>
      </c>
      <c r="Q47" s="28"/>
      <c r="R47" s="139">
        <f t="shared" si="3"/>
        <v>6.333333333333333</v>
      </c>
      <c r="S47" s="166" t="str">
        <f t="shared" si="4"/>
        <v>N/TRANSITA</v>
      </c>
      <c r="T47" s="59"/>
      <c r="U47" s="27"/>
      <c r="V47" s="27"/>
      <c r="W47" s="32" t="e">
        <f t="shared" si="5"/>
        <v>#DIV/0!</v>
      </c>
      <c r="X47" s="28"/>
      <c r="Y47" s="139" t="e">
        <f t="shared" si="6"/>
        <v>#DIV/0!</v>
      </c>
      <c r="Z47" s="143" t="e">
        <f t="shared" si="0"/>
        <v>#DIV/0!</v>
      </c>
      <c r="AA47" s="144" t="e">
        <f t="shared" si="7"/>
        <v>#DIV/0!</v>
      </c>
      <c r="AB47" s="62"/>
      <c r="AC47" s="51">
        <f t="shared" si="42"/>
        <v>0</v>
      </c>
      <c r="AD47" s="65" t="e">
        <f t="shared" si="43"/>
        <v>#DIV/0!</v>
      </c>
      <c r="AE47" s="162" t="e">
        <f t="shared" si="10"/>
        <v>#DIV/0!</v>
      </c>
    </row>
    <row r="48" spans="2:31" ht="15.75" customHeight="1" x14ac:dyDescent="0.3">
      <c r="B48" s="35">
        <v>39</v>
      </c>
      <c r="C48" s="197" t="s">
        <v>135</v>
      </c>
      <c r="D48" s="45"/>
      <c r="E48" s="38"/>
      <c r="F48" s="59">
        <v>10</v>
      </c>
      <c r="G48" s="27">
        <v>5.5</v>
      </c>
      <c r="H48" s="27"/>
      <c r="I48" s="32">
        <v>6.5</v>
      </c>
      <c r="J48" s="28"/>
      <c r="K48" s="139">
        <f t="shared" si="1"/>
        <v>7.333333333333333</v>
      </c>
      <c r="L48" s="166" t="str">
        <f t="shared" si="2"/>
        <v>N/TRANSITA</v>
      </c>
      <c r="M48" s="59">
        <v>14</v>
      </c>
      <c r="N48" s="27">
        <v>12</v>
      </c>
      <c r="O48" s="27"/>
      <c r="P48" s="32">
        <v>7</v>
      </c>
      <c r="Q48" s="28"/>
      <c r="R48" s="139">
        <f t="shared" si="3"/>
        <v>11</v>
      </c>
      <c r="S48" s="166" t="str">
        <f t="shared" si="4"/>
        <v>TRANSITA</v>
      </c>
      <c r="T48" s="59"/>
      <c r="U48" s="27"/>
      <c r="V48" s="27"/>
      <c r="W48" s="32" t="e">
        <f t="shared" si="5"/>
        <v>#DIV/0!</v>
      </c>
      <c r="X48" s="28"/>
      <c r="Y48" s="139" t="e">
        <f t="shared" si="6"/>
        <v>#DIV/0!</v>
      </c>
      <c r="Z48" s="143" t="e">
        <f t="shared" si="0"/>
        <v>#DIV/0!</v>
      </c>
      <c r="AA48" s="144" t="e">
        <f t="shared" si="7"/>
        <v>#DIV/0!</v>
      </c>
      <c r="AB48" s="62"/>
      <c r="AC48" s="51">
        <f t="shared" ref="AC48" si="44">AB48*0.6</f>
        <v>0</v>
      </c>
      <c r="AD48" s="65" t="e">
        <f t="shared" ref="AD48" si="45">AVERAGE(AA48+AC48)</f>
        <v>#DIV/0!</v>
      </c>
      <c r="AE48" s="162" t="e">
        <f t="shared" si="10"/>
        <v>#DIV/0!</v>
      </c>
    </row>
    <row r="49" spans="1:31" ht="15.75" customHeight="1" x14ac:dyDescent="0.3">
      <c r="B49" s="35">
        <v>40</v>
      </c>
      <c r="C49" s="197" t="s">
        <v>136</v>
      </c>
      <c r="D49" s="45">
        <v>0</v>
      </c>
      <c r="E49" s="38"/>
      <c r="F49" s="59">
        <v>17</v>
      </c>
      <c r="G49" s="27">
        <v>13</v>
      </c>
      <c r="H49" s="27"/>
      <c r="I49" s="32">
        <v>12</v>
      </c>
      <c r="J49" s="28"/>
      <c r="K49" s="139">
        <f t="shared" si="1"/>
        <v>14</v>
      </c>
      <c r="L49" s="166" t="str">
        <f t="shared" si="2"/>
        <v>TRANSITA</v>
      </c>
      <c r="M49" s="59">
        <v>17</v>
      </c>
      <c r="N49" s="27">
        <v>12.5</v>
      </c>
      <c r="O49" s="27"/>
      <c r="P49" s="32">
        <v>8</v>
      </c>
      <c r="Q49" s="28"/>
      <c r="R49" s="139">
        <f t="shared" si="3"/>
        <v>12.5</v>
      </c>
      <c r="S49" s="166" t="str">
        <f t="shared" si="4"/>
        <v>TRANSITA</v>
      </c>
      <c r="T49" s="59"/>
      <c r="U49" s="27"/>
      <c r="V49" s="27"/>
      <c r="W49" s="32" t="e">
        <f t="shared" si="5"/>
        <v>#DIV/0!</v>
      </c>
      <c r="X49" s="28"/>
      <c r="Y49" s="139" t="e">
        <f t="shared" si="6"/>
        <v>#DIV/0!</v>
      </c>
      <c r="Z49" s="143" t="e">
        <f t="shared" si="0"/>
        <v>#DIV/0!</v>
      </c>
      <c r="AA49" s="144" t="e">
        <f t="shared" si="7"/>
        <v>#DIV/0!</v>
      </c>
      <c r="AB49" s="62"/>
      <c r="AC49" s="51">
        <f t="shared" ref="AC49:AC50" si="46">AB49*0.6</f>
        <v>0</v>
      </c>
      <c r="AD49" s="65" t="e">
        <f t="shared" ref="AD49:AD50" si="47">AVERAGE(AA49+AC49)</f>
        <v>#DIV/0!</v>
      </c>
      <c r="AE49" s="162" t="e">
        <f t="shared" si="10"/>
        <v>#DIV/0!</v>
      </c>
    </row>
    <row r="50" spans="1:31" ht="15.75" customHeight="1" x14ac:dyDescent="0.3">
      <c r="B50" s="35">
        <v>41</v>
      </c>
      <c r="C50" s="197" t="s">
        <v>137</v>
      </c>
      <c r="D50" s="45"/>
      <c r="E50" s="38"/>
      <c r="F50" s="59">
        <v>13</v>
      </c>
      <c r="G50" s="27">
        <v>14</v>
      </c>
      <c r="H50" s="27"/>
      <c r="I50" s="32">
        <v>13</v>
      </c>
      <c r="J50" s="28"/>
      <c r="K50" s="139">
        <f t="shared" si="1"/>
        <v>13.333333333333334</v>
      </c>
      <c r="L50" s="166" t="str">
        <f t="shared" si="2"/>
        <v>TRANSITA</v>
      </c>
      <c r="M50" s="59">
        <v>10</v>
      </c>
      <c r="N50" s="27">
        <v>10.5</v>
      </c>
      <c r="O50" s="27"/>
      <c r="P50" s="32">
        <v>8</v>
      </c>
      <c r="Q50" s="28"/>
      <c r="R50" s="139">
        <f t="shared" si="3"/>
        <v>9.5</v>
      </c>
      <c r="S50" s="166" t="str">
        <f t="shared" si="4"/>
        <v>N/TRANSITA</v>
      </c>
      <c r="T50" s="59"/>
      <c r="U50" s="27"/>
      <c r="V50" s="27"/>
      <c r="W50" s="32" t="e">
        <f t="shared" si="5"/>
        <v>#DIV/0!</v>
      </c>
      <c r="X50" s="28"/>
      <c r="Y50" s="139" t="e">
        <f t="shared" si="6"/>
        <v>#DIV/0!</v>
      </c>
      <c r="Z50" s="143" t="e">
        <f t="shared" si="0"/>
        <v>#DIV/0!</v>
      </c>
      <c r="AA50" s="144" t="e">
        <f t="shared" si="7"/>
        <v>#DIV/0!</v>
      </c>
      <c r="AB50" s="62"/>
      <c r="AC50" s="51">
        <f t="shared" si="46"/>
        <v>0</v>
      </c>
      <c r="AD50" s="65" t="e">
        <f t="shared" si="47"/>
        <v>#DIV/0!</v>
      </c>
      <c r="AE50" s="162" t="e">
        <f t="shared" si="10"/>
        <v>#DIV/0!</v>
      </c>
    </row>
    <row r="51" spans="1:31" ht="15.75" customHeight="1" thickBot="1" x14ac:dyDescent="0.35">
      <c r="B51" s="35">
        <v>42</v>
      </c>
      <c r="C51" s="198" t="s">
        <v>138</v>
      </c>
      <c r="D51" s="46"/>
      <c r="E51" s="39"/>
      <c r="F51" s="60">
        <v>10</v>
      </c>
      <c r="G51" s="29">
        <v>11</v>
      </c>
      <c r="H51" s="29"/>
      <c r="I51" s="137">
        <v>12</v>
      </c>
      <c r="J51" s="30"/>
      <c r="K51" s="140">
        <f t="shared" si="1"/>
        <v>11</v>
      </c>
      <c r="L51" s="167" t="str">
        <f t="shared" si="2"/>
        <v>TRANSITA</v>
      </c>
      <c r="M51" s="60">
        <v>15</v>
      </c>
      <c r="N51" s="29">
        <v>7.5</v>
      </c>
      <c r="O51" s="29"/>
      <c r="P51" s="137">
        <v>9.5</v>
      </c>
      <c r="Q51" s="30"/>
      <c r="R51" s="140">
        <f t="shared" si="3"/>
        <v>10.666666666666666</v>
      </c>
      <c r="S51" s="167" t="str">
        <f t="shared" si="4"/>
        <v>TRANSITA</v>
      </c>
      <c r="T51" s="60"/>
      <c r="U51" s="29"/>
      <c r="V51" s="29"/>
      <c r="W51" s="137" t="e">
        <f t="shared" si="5"/>
        <v>#DIV/0!</v>
      </c>
      <c r="X51" s="30"/>
      <c r="Y51" s="140" t="e">
        <f t="shared" si="6"/>
        <v>#DIV/0!</v>
      </c>
      <c r="Z51" s="145" t="e">
        <f t="shared" si="0"/>
        <v>#DIV/0!</v>
      </c>
      <c r="AA51" s="146" t="e">
        <f t="shared" si="7"/>
        <v>#DIV/0!</v>
      </c>
      <c r="AB51" s="63"/>
      <c r="AC51" s="52">
        <f t="shared" si="42"/>
        <v>0</v>
      </c>
      <c r="AD51" s="66" t="e">
        <f t="shared" si="43"/>
        <v>#DIV/0!</v>
      </c>
      <c r="AE51" s="164" t="e">
        <f t="shared" si="10"/>
        <v>#DIV/0!</v>
      </c>
    </row>
    <row r="52" spans="1:31" ht="12" customHeight="1" thickTop="1" x14ac:dyDescent="0.3">
      <c r="B52" s="3"/>
      <c r="C52" s="4"/>
      <c r="D52" s="4"/>
      <c r="E52" s="4"/>
      <c r="F52" s="5"/>
      <c r="G52" s="5"/>
      <c r="H52" s="5"/>
      <c r="I52" s="6"/>
      <c r="J52" s="6"/>
      <c r="K52" s="7"/>
      <c r="L52" s="7"/>
      <c r="M52" s="8"/>
      <c r="N52" s="8"/>
      <c r="O52" s="8"/>
      <c r="P52" s="8"/>
      <c r="Q52" s="8"/>
      <c r="R52" s="7"/>
      <c r="S52" s="7"/>
      <c r="T52" s="9"/>
      <c r="U52" s="9"/>
      <c r="V52" s="9"/>
      <c r="W52" s="10"/>
      <c r="X52" s="10"/>
      <c r="Y52" s="7"/>
      <c r="Z52" s="11"/>
      <c r="AA52" s="12"/>
      <c r="AB52" s="13"/>
      <c r="AC52" s="12"/>
      <c r="AD52" s="12"/>
      <c r="AE52" s="14"/>
    </row>
    <row r="53" spans="1:31" ht="16.5" customHeight="1" x14ac:dyDescent="0.3">
      <c r="A53" s="284" t="s">
        <v>140</v>
      </c>
      <c r="B53" s="284"/>
      <c r="C53" s="284"/>
      <c r="D53" s="284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  <c r="AA53" s="284"/>
      <c r="AB53" s="284"/>
      <c r="AC53" s="284"/>
      <c r="AD53" s="284"/>
      <c r="AE53" s="284"/>
    </row>
    <row r="54" spans="1:31" ht="16.5" customHeight="1" x14ac:dyDescent="0.3">
      <c r="A54" s="21"/>
      <c r="B54" s="21"/>
      <c r="C54" s="21"/>
      <c r="D54" s="21"/>
      <c r="E54" s="21"/>
      <c r="F54" s="21"/>
      <c r="G54" s="21"/>
      <c r="H54" s="25"/>
      <c r="I54" s="21"/>
      <c r="J54" s="25"/>
      <c r="K54" s="21"/>
      <c r="L54" s="21"/>
      <c r="M54" s="21"/>
      <c r="N54" s="21"/>
      <c r="O54" s="25"/>
      <c r="P54" s="21"/>
      <c r="Q54" s="25"/>
      <c r="R54" s="21"/>
      <c r="S54" s="21"/>
      <c r="T54" s="21"/>
      <c r="U54" s="21"/>
      <c r="V54" s="25"/>
      <c r="W54" s="21"/>
      <c r="X54" s="25"/>
      <c r="Y54" s="21"/>
      <c r="Z54" s="21"/>
      <c r="AA54" s="21"/>
      <c r="AB54" s="21"/>
      <c r="AC54" s="21"/>
      <c r="AD54" s="21"/>
      <c r="AE54" s="21"/>
    </row>
    <row r="55" spans="1:31" ht="20.25" customHeight="1" x14ac:dyDescent="0.35">
      <c r="A55" s="309" t="s">
        <v>41</v>
      </c>
      <c r="B55" s="309"/>
      <c r="C55" s="309"/>
      <c r="D55" s="309"/>
      <c r="E55" s="309"/>
      <c r="F55" s="309"/>
      <c r="G55" s="19"/>
      <c r="H55" s="23"/>
      <c r="I55" s="20"/>
      <c r="J55" s="20"/>
      <c r="K55" s="20"/>
      <c r="L55" s="20"/>
      <c r="M55" s="20"/>
      <c r="N55" s="20"/>
      <c r="O55" s="20"/>
      <c r="P55" s="20"/>
      <c r="Q55" s="20"/>
      <c r="R55" s="309" t="s">
        <v>10</v>
      </c>
      <c r="S55" s="309"/>
      <c r="T55" s="309"/>
      <c r="U55" s="309"/>
      <c r="V55" s="309"/>
      <c r="W55" s="309"/>
      <c r="X55" s="309"/>
      <c r="Y55" s="309"/>
      <c r="Z55" s="309"/>
      <c r="AA55" s="309"/>
      <c r="AB55" s="309"/>
      <c r="AC55" s="309"/>
      <c r="AD55" s="309"/>
      <c r="AE55" s="309"/>
    </row>
    <row r="56" spans="1:31" ht="20.399999999999999" x14ac:dyDescent="0.35">
      <c r="A56" s="20"/>
      <c r="B56" s="309" t="s">
        <v>11</v>
      </c>
      <c r="C56" s="309"/>
      <c r="D56" s="309"/>
      <c r="E56" s="309"/>
      <c r="F56" s="309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309"/>
      <c r="S56" s="309"/>
      <c r="T56" s="309"/>
      <c r="U56" s="309"/>
      <c r="V56" s="309"/>
      <c r="W56" s="309"/>
      <c r="X56" s="309"/>
      <c r="Y56" s="309"/>
      <c r="Z56" s="309"/>
      <c r="AA56" s="19"/>
      <c r="AB56" s="19"/>
      <c r="AC56" s="19"/>
      <c r="AD56" s="19"/>
      <c r="AE56" s="20"/>
    </row>
    <row r="57" spans="1:31" ht="21.6" x14ac:dyDescent="0.4">
      <c r="A57" s="20"/>
      <c r="B57" s="310"/>
      <c r="C57" s="310"/>
      <c r="D57" s="310"/>
      <c r="E57" s="310"/>
      <c r="F57" s="31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310" t="s">
        <v>12</v>
      </c>
      <c r="S57" s="310"/>
      <c r="T57" s="310"/>
      <c r="U57" s="310"/>
      <c r="V57" s="310"/>
      <c r="W57" s="310"/>
      <c r="X57" s="310"/>
      <c r="Y57" s="310"/>
      <c r="Z57" s="310"/>
      <c r="AA57" s="310"/>
      <c r="AB57" s="310"/>
      <c r="AC57" s="310"/>
      <c r="AD57" s="310"/>
      <c r="AE57" s="310"/>
    </row>
  </sheetData>
  <mergeCells count="28">
    <mergeCell ref="B56:F56"/>
    <mergeCell ref="R56:Z56"/>
    <mergeCell ref="B57:F57"/>
    <mergeCell ref="R57:AE57"/>
    <mergeCell ref="D8:E8"/>
    <mergeCell ref="AD8:AD9"/>
    <mergeCell ref="AE8:AE9"/>
    <mergeCell ref="A55:F55"/>
    <mergeCell ref="R55:AE55"/>
    <mergeCell ref="A53:AE53"/>
    <mergeCell ref="B7:AE7"/>
    <mergeCell ref="B8:B9"/>
    <mergeCell ref="C8:C9"/>
    <mergeCell ref="F8:K8"/>
    <mergeCell ref="M8:R8"/>
    <mergeCell ref="T8:Y8"/>
    <mergeCell ref="Z8:Z9"/>
    <mergeCell ref="AA8:AA9"/>
    <mergeCell ref="AB8:AB9"/>
    <mergeCell ref="AC8:AC9"/>
    <mergeCell ref="L8:L9"/>
    <mergeCell ref="S8:S9"/>
    <mergeCell ref="A1:AE1"/>
    <mergeCell ref="B4:C4"/>
    <mergeCell ref="Y4:AE4"/>
    <mergeCell ref="B6:C6"/>
    <mergeCell ref="Y6:AE6"/>
    <mergeCell ref="L3:S3"/>
  </mergeCells>
  <conditionalFormatting sqref="K52:L52 R52:Y52 T51:V51 Q10:Q51 W11:X51">
    <cfRule type="cellIs" dxfId="209" priority="849" stopIfTrue="1" operator="lessThan">
      <formula>10</formula>
    </cfRule>
    <cfRule type="cellIs" dxfId="208" priority="850" stopIfTrue="1" operator="greaterThan">
      <formula>9</formula>
    </cfRule>
  </conditionalFormatting>
  <conditionalFormatting sqref="K52:L52 R52:Y52 T51:V51 Q10:Q51 W11:X51">
    <cfRule type="cellIs" dxfId="207" priority="847" stopIfTrue="1" operator="lessThan">
      <formula>10</formula>
    </cfRule>
    <cfRule type="cellIs" dxfId="206" priority="848" stopIfTrue="1" operator="greaterThan">
      <formula>9</formula>
    </cfRule>
  </conditionalFormatting>
  <conditionalFormatting sqref="Z10:AD52">
    <cfRule type="cellIs" dxfId="205" priority="841" stopIfTrue="1" operator="greaterThan">
      <formula>9.5</formula>
    </cfRule>
    <cfRule type="cellIs" dxfId="204" priority="842" stopIfTrue="1" operator="lessThanOrEqual">
      <formula>9.5</formula>
    </cfRule>
  </conditionalFormatting>
  <conditionalFormatting sqref="F52:J52">
    <cfRule type="cellIs" dxfId="203" priority="839" stopIfTrue="1" operator="lessThan">
      <formula>10</formula>
    </cfRule>
    <cfRule type="cellIs" dxfId="202" priority="840" stopIfTrue="1" operator="greaterThan">
      <formula>9</formula>
    </cfRule>
  </conditionalFormatting>
  <conditionalFormatting sqref="F52:J52">
    <cfRule type="cellIs" dxfId="201" priority="837" stopIfTrue="1" operator="lessThan">
      <formula>10</formula>
    </cfRule>
    <cfRule type="cellIs" dxfId="200" priority="838" stopIfTrue="1" operator="greaterThan">
      <formula>9</formula>
    </cfRule>
  </conditionalFormatting>
  <conditionalFormatting sqref="T52:X52 T51:V51 M52:Q52 W11:X51 Q10:Q51">
    <cfRule type="cellIs" dxfId="199" priority="833" stopIfTrue="1" operator="lessThan">
      <formula>10</formula>
    </cfRule>
    <cfRule type="cellIs" dxfId="198" priority="834" stopIfTrue="1" operator="greaterThan">
      <formula>9</formula>
    </cfRule>
    <cfRule type="cellIs" dxfId="197" priority="835" stopIfTrue="1" operator="lessThan">
      <formula>10</formula>
    </cfRule>
    <cfRule type="cellIs" dxfId="196" priority="836" stopIfTrue="1" operator="greaterThan">
      <formula>9</formula>
    </cfRule>
  </conditionalFormatting>
  <conditionalFormatting sqref="AB10:AB52">
    <cfRule type="cellIs" dxfId="195" priority="823" stopIfTrue="1" operator="greaterThan">
      <formula>9.5</formula>
    </cfRule>
    <cfRule type="cellIs" dxfId="194" priority="824" stopIfTrue="1" operator="lessThanOrEqual">
      <formula>9.5</formula>
    </cfRule>
  </conditionalFormatting>
  <conditionalFormatting sqref="Y10:Y51 R10:R51">
    <cfRule type="cellIs" dxfId="193" priority="407" stopIfTrue="1" operator="lessThan">
      <formula>10</formula>
    </cfRule>
    <cfRule type="cellIs" dxfId="192" priority="408" stopIfTrue="1" operator="greaterThanOrEqual">
      <formula>10</formula>
    </cfRule>
  </conditionalFormatting>
  <conditionalFormatting sqref="T24:U39 T45:U50 V10:X10 V11:V50">
    <cfRule type="cellIs" dxfId="191" priority="397" stopIfTrue="1" operator="lessThan">
      <formula>10</formula>
    </cfRule>
    <cfRule type="cellIs" dxfId="190" priority="398" stopIfTrue="1" operator="greaterThan">
      <formula>9</formula>
    </cfRule>
  </conditionalFormatting>
  <conditionalFormatting sqref="T24:U39 T45:U50 V10:X10 V11:V50">
    <cfRule type="cellIs" dxfId="189" priority="395" stopIfTrue="1" operator="lessThan">
      <formula>10</formula>
    </cfRule>
    <cfRule type="cellIs" dxfId="188" priority="396" stopIfTrue="1" operator="greaterThan">
      <formula>9</formula>
    </cfRule>
  </conditionalFormatting>
  <conditionalFormatting sqref="T24:U39 T45:U50 V10:X10 V11:V50">
    <cfRule type="cellIs" dxfId="187" priority="391" stopIfTrue="1" operator="lessThan">
      <formula>10</formula>
    </cfRule>
    <cfRule type="cellIs" dxfId="186" priority="392" stopIfTrue="1" operator="greaterThan">
      <formula>9</formula>
    </cfRule>
    <cfRule type="cellIs" dxfId="185" priority="393" stopIfTrue="1" operator="lessThan">
      <formula>10</formula>
    </cfRule>
    <cfRule type="cellIs" dxfId="184" priority="394" stopIfTrue="1" operator="greaterThan">
      <formula>9</formula>
    </cfRule>
  </conditionalFormatting>
  <conditionalFormatting sqref="T10:U12">
    <cfRule type="cellIs" dxfId="183" priority="389" stopIfTrue="1" operator="lessThan">
      <formula>10</formula>
    </cfRule>
    <cfRule type="cellIs" dxfId="182" priority="390" stopIfTrue="1" operator="greaterThan">
      <formula>9</formula>
    </cfRule>
  </conditionalFormatting>
  <conditionalFormatting sqref="T10:U12">
    <cfRule type="cellIs" dxfId="181" priority="387" stopIfTrue="1" operator="lessThan">
      <formula>10</formula>
    </cfRule>
    <cfRule type="cellIs" dxfId="180" priority="388" stopIfTrue="1" operator="greaterThan">
      <formula>9</formula>
    </cfRule>
  </conditionalFormatting>
  <conditionalFormatting sqref="T10:U12">
    <cfRule type="cellIs" dxfId="179" priority="383" stopIfTrue="1" operator="lessThan">
      <formula>10</formula>
    </cfRule>
    <cfRule type="cellIs" dxfId="178" priority="384" stopIfTrue="1" operator="greaterThan">
      <formula>9</formula>
    </cfRule>
    <cfRule type="cellIs" dxfId="177" priority="385" stopIfTrue="1" operator="lessThan">
      <formula>10</formula>
    </cfRule>
    <cfRule type="cellIs" dxfId="176" priority="386" stopIfTrue="1" operator="greaterThan">
      <formula>9</formula>
    </cfRule>
  </conditionalFormatting>
  <conditionalFormatting sqref="T13:U15">
    <cfRule type="cellIs" dxfId="175" priority="381" stopIfTrue="1" operator="lessThan">
      <formula>10</formula>
    </cfRule>
    <cfRule type="cellIs" dxfId="174" priority="382" stopIfTrue="1" operator="greaterThan">
      <formula>9</formula>
    </cfRule>
  </conditionalFormatting>
  <conditionalFormatting sqref="T13:U15">
    <cfRule type="cellIs" dxfId="173" priority="379" stopIfTrue="1" operator="lessThan">
      <formula>10</formula>
    </cfRule>
    <cfRule type="cellIs" dxfId="172" priority="380" stopIfTrue="1" operator="greaterThan">
      <formula>9</formula>
    </cfRule>
  </conditionalFormatting>
  <conditionalFormatting sqref="T13:U15">
    <cfRule type="cellIs" dxfId="171" priority="375" stopIfTrue="1" operator="lessThan">
      <formula>10</formula>
    </cfRule>
    <cfRule type="cellIs" dxfId="170" priority="376" stopIfTrue="1" operator="greaterThan">
      <formula>9</formula>
    </cfRule>
    <cfRule type="cellIs" dxfId="169" priority="377" stopIfTrue="1" operator="lessThan">
      <formula>10</formula>
    </cfRule>
    <cfRule type="cellIs" dxfId="168" priority="378" stopIfTrue="1" operator="greaterThan">
      <formula>9</formula>
    </cfRule>
  </conditionalFormatting>
  <conditionalFormatting sqref="T16:U19">
    <cfRule type="cellIs" dxfId="167" priority="373" stopIfTrue="1" operator="lessThan">
      <formula>10</formula>
    </cfRule>
    <cfRule type="cellIs" dxfId="166" priority="374" stopIfTrue="1" operator="greaterThan">
      <formula>9</formula>
    </cfRule>
  </conditionalFormatting>
  <conditionalFormatting sqref="T16:U19">
    <cfRule type="cellIs" dxfId="165" priority="371" stopIfTrue="1" operator="lessThan">
      <formula>10</formula>
    </cfRule>
    <cfRule type="cellIs" dxfId="164" priority="372" stopIfTrue="1" operator="greaterThan">
      <formula>9</formula>
    </cfRule>
  </conditionalFormatting>
  <conditionalFormatting sqref="T16:U19">
    <cfRule type="cellIs" dxfId="163" priority="367" stopIfTrue="1" operator="lessThan">
      <formula>10</formula>
    </cfRule>
    <cfRule type="cellIs" dxfId="162" priority="368" stopIfTrue="1" operator="greaterThan">
      <formula>9</formula>
    </cfRule>
    <cfRule type="cellIs" dxfId="161" priority="369" stopIfTrue="1" operator="lessThan">
      <formula>10</formula>
    </cfRule>
    <cfRule type="cellIs" dxfId="160" priority="370" stopIfTrue="1" operator="greaterThan">
      <formula>9</formula>
    </cfRule>
  </conditionalFormatting>
  <conditionalFormatting sqref="T20:U23">
    <cfRule type="cellIs" dxfId="159" priority="365" stopIfTrue="1" operator="lessThan">
      <formula>10</formula>
    </cfRule>
    <cfRule type="cellIs" dxfId="158" priority="366" stopIfTrue="1" operator="greaterThan">
      <formula>9</formula>
    </cfRule>
  </conditionalFormatting>
  <conditionalFormatting sqref="T20:U23">
    <cfRule type="cellIs" dxfId="157" priority="363" stopIfTrue="1" operator="lessThan">
      <formula>10</formula>
    </cfRule>
    <cfRule type="cellIs" dxfId="156" priority="364" stopIfTrue="1" operator="greaterThan">
      <formula>9</formula>
    </cfRule>
  </conditionalFormatting>
  <conditionalFormatting sqref="T20:U23">
    <cfRule type="cellIs" dxfId="155" priority="359" stopIfTrue="1" operator="lessThan">
      <formula>10</formula>
    </cfRule>
    <cfRule type="cellIs" dxfId="154" priority="360" stopIfTrue="1" operator="greaterThan">
      <formula>9</formula>
    </cfRule>
    <cfRule type="cellIs" dxfId="153" priority="361" stopIfTrue="1" operator="lessThan">
      <formula>10</formula>
    </cfRule>
    <cfRule type="cellIs" dxfId="152" priority="362" stopIfTrue="1" operator="greaterThan">
      <formula>9</formula>
    </cfRule>
  </conditionalFormatting>
  <conditionalFormatting sqref="T40:U44">
    <cfRule type="cellIs" dxfId="151" priority="357" stopIfTrue="1" operator="lessThan">
      <formula>10</formula>
    </cfRule>
    <cfRule type="cellIs" dxfId="150" priority="358" stopIfTrue="1" operator="greaterThan">
      <formula>9</formula>
    </cfRule>
  </conditionalFormatting>
  <conditionalFormatting sqref="T40:U44">
    <cfRule type="cellIs" dxfId="149" priority="355" stopIfTrue="1" operator="lessThan">
      <formula>10</formula>
    </cfRule>
    <cfRule type="cellIs" dxfId="148" priority="356" stopIfTrue="1" operator="greaterThan">
      <formula>9</formula>
    </cfRule>
  </conditionalFormatting>
  <conditionalFormatting sqref="T40:U44">
    <cfRule type="cellIs" dxfId="147" priority="351" stopIfTrue="1" operator="lessThan">
      <formula>10</formula>
    </cfRule>
    <cfRule type="cellIs" dxfId="146" priority="352" stopIfTrue="1" operator="greaterThan">
      <formula>9</formula>
    </cfRule>
    <cfRule type="cellIs" dxfId="145" priority="353" stopIfTrue="1" operator="lessThan">
      <formula>10</formula>
    </cfRule>
    <cfRule type="cellIs" dxfId="144" priority="354" stopIfTrue="1" operator="greaterThan">
      <formula>9</formula>
    </cfRule>
  </conditionalFormatting>
  <conditionalFormatting sqref="J10:J50 M51:P51 F51:J51">
    <cfRule type="cellIs" dxfId="143" priority="139" stopIfTrue="1" operator="lessThan">
      <formula>10</formula>
    </cfRule>
    <cfRule type="cellIs" dxfId="142" priority="140" stopIfTrue="1" operator="greaterThan">
      <formula>9</formula>
    </cfRule>
  </conditionalFormatting>
  <conditionalFormatting sqref="J10:J50 M51:P51 F51:J51">
    <cfRule type="cellIs" dxfId="141" priority="137" stopIfTrue="1" operator="lessThan">
      <formula>10</formula>
    </cfRule>
    <cfRule type="cellIs" dxfId="140" priority="138" stopIfTrue="1" operator="greaterThan">
      <formula>9</formula>
    </cfRule>
  </conditionalFormatting>
  <conditionalFormatting sqref="J10:J50 M51:P51 F51:J51">
    <cfRule type="cellIs" dxfId="139" priority="133" stopIfTrue="1" operator="lessThan">
      <formula>10</formula>
    </cfRule>
    <cfRule type="cellIs" dxfId="138" priority="134" stopIfTrue="1" operator="greaterThan">
      <formula>9</formula>
    </cfRule>
    <cfRule type="cellIs" dxfId="137" priority="135" stopIfTrue="1" operator="lessThan">
      <formula>10</formula>
    </cfRule>
    <cfRule type="cellIs" dxfId="136" priority="136" stopIfTrue="1" operator="greaterThan">
      <formula>9</formula>
    </cfRule>
  </conditionalFormatting>
  <conditionalFormatting sqref="K10:K51">
    <cfRule type="cellIs" dxfId="135" priority="131" stopIfTrue="1" operator="lessThan">
      <formula>10</formula>
    </cfRule>
    <cfRule type="cellIs" dxfId="134" priority="132" stopIfTrue="1" operator="greaterThanOrEqual">
      <formula>10</formula>
    </cfRule>
  </conditionalFormatting>
  <conditionalFormatting sqref="M24:N39 M45:N50 O10:P50">
    <cfRule type="cellIs" dxfId="133" priority="127" stopIfTrue="1" operator="lessThan">
      <formula>10</formula>
    </cfRule>
    <cfRule type="cellIs" dxfId="132" priority="128" stopIfTrue="1" operator="greaterThan">
      <formula>9</formula>
    </cfRule>
  </conditionalFormatting>
  <conditionalFormatting sqref="M24:N39 M45:N50 O10:P50">
    <cfRule type="cellIs" dxfId="131" priority="125" stopIfTrue="1" operator="lessThan">
      <formula>10</formula>
    </cfRule>
    <cfRule type="cellIs" dxfId="130" priority="126" stopIfTrue="1" operator="greaterThan">
      <formula>9</formula>
    </cfRule>
  </conditionalFormatting>
  <conditionalFormatting sqref="M24:N39 M45:N50 O10:P50">
    <cfRule type="cellIs" dxfId="129" priority="121" stopIfTrue="1" operator="lessThan">
      <formula>10</formula>
    </cfRule>
    <cfRule type="cellIs" dxfId="128" priority="122" stopIfTrue="1" operator="greaterThan">
      <formula>9</formula>
    </cfRule>
    <cfRule type="cellIs" dxfId="127" priority="123" stopIfTrue="1" operator="lessThan">
      <formula>10</formula>
    </cfRule>
    <cfRule type="cellIs" dxfId="126" priority="124" stopIfTrue="1" operator="greaterThan">
      <formula>9</formula>
    </cfRule>
  </conditionalFormatting>
  <conditionalFormatting sqref="M10:N12">
    <cfRule type="cellIs" dxfId="125" priority="119" stopIfTrue="1" operator="lessThan">
      <formula>10</formula>
    </cfRule>
    <cfRule type="cellIs" dxfId="124" priority="120" stopIfTrue="1" operator="greaterThan">
      <formula>9</formula>
    </cfRule>
  </conditionalFormatting>
  <conditionalFormatting sqref="M10:N12">
    <cfRule type="cellIs" dxfId="123" priority="117" stopIfTrue="1" operator="lessThan">
      <formula>10</formula>
    </cfRule>
    <cfRule type="cellIs" dxfId="122" priority="118" stopIfTrue="1" operator="greaterThan">
      <formula>9</formula>
    </cfRule>
  </conditionalFormatting>
  <conditionalFormatting sqref="M10:N12">
    <cfRule type="cellIs" dxfId="121" priority="113" stopIfTrue="1" operator="lessThan">
      <formula>10</formula>
    </cfRule>
    <cfRule type="cellIs" dxfId="120" priority="114" stopIfTrue="1" operator="greaterThan">
      <formula>9</formula>
    </cfRule>
    <cfRule type="cellIs" dxfId="119" priority="115" stopIfTrue="1" operator="lessThan">
      <formula>10</formula>
    </cfRule>
    <cfRule type="cellIs" dxfId="118" priority="116" stopIfTrue="1" operator="greaterThan">
      <formula>9</formula>
    </cfRule>
  </conditionalFormatting>
  <conditionalFormatting sqref="M13:N15">
    <cfRule type="cellIs" dxfId="117" priority="111" stopIfTrue="1" operator="lessThan">
      <formula>10</formula>
    </cfRule>
    <cfRule type="cellIs" dxfId="116" priority="112" stopIfTrue="1" operator="greaterThan">
      <formula>9</formula>
    </cfRule>
  </conditionalFormatting>
  <conditionalFormatting sqref="M13:N15">
    <cfRule type="cellIs" dxfId="115" priority="109" stopIfTrue="1" operator="lessThan">
      <formula>10</formula>
    </cfRule>
    <cfRule type="cellIs" dxfId="114" priority="110" stopIfTrue="1" operator="greaterThan">
      <formula>9</formula>
    </cfRule>
  </conditionalFormatting>
  <conditionalFormatting sqref="M13:N15">
    <cfRule type="cellIs" dxfId="113" priority="105" stopIfTrue="1" operator="lessThan">
      <formula>10</formula>
    </cfRule>
    <cfRule type="cellIs" dxfId="112" priority="106" stopIfTrue="1" operator="greaterThan">
      <formula>9</formula>
    </cfRule>
    <cfRule type="cellIs" dxfId="111" priority="107" stopIfTrue="1" operator="lessThan">
      <formula>10</formula>
    </cfRule>
    <cfRule type="cellIs" dxfId="110" priority="108" stopIfTrue="1" operator="greaterThan">
      <formula>9</formula>
    </cfRule>
  </conditionalFormatting>
  <conditionalFormatting sqref="M16:N19">
    <cfRule type="cellIs" dxfId="109" priority="103" stopIfTrue="1" operator="lessThan">
      <formula>10</formula>
    </cfRule>
    <cfRule type="cellIs" dxfId="108" priority="104" stopIfTrue="1" operator="greaterThan">
      <formula>9</formula>
    </cfRule>
  </conditionalFormatting>
  <conditionalFormatting sqref="M16:N19">
    <cfRule type="cellIs" dxfId="107" priority="101" stopIfTrue="1" operator="lessThan">
      <formula>10</formula>
    </cfRule>
    <cfRule type="cellIs" dxfId="106" priority="102" stopIfTrue="1" operator="greaterThan">
      <formula>9</formula>
    </cfRule>
  </conditionalFormatting>
  <conditionalFormatting sqref="M16:N19">
    <cfRule type="cellIs" dxfId="105" priority="97" stopIfTrue="1" operator="lessThan">
      <formula>10</formula>
    </cfRule>
    <cfRule type="cellIs" dxfId="104" priority="98" stopIfTrue="1" operator="greaterThan">
      <formula>9</formula>
    </cfRule>
    <cfRule type="cellIs" dxfId="103" priority="99" stopIfTrue="1" operator="lessThan">
      <formula>10</formula>
    </cfRule>
    <cfRule type="cellIs" dxfId="102" priority="100" stopIfTrue="1" operator="greaterThan">
      <formula>9</formula>
    </cfRule>
  </conditionalFormatting>
  <conditionalFormatting sqref="M20:N23">
    <cfRule type="cellIs" dxfId="101" priority="95" stopIfTrue="1" operator="lessThan">
      <formula>10</formula>
    </cfRule>
    <cfRule type="cellIs" dxfId="100" priority="96" stopIfTrue="1" operator="greaterThan">
      <formula>9</formula>
    </cfRule>
  </conditionalFormatting>
  <conditionalFormatting sqref="M20:N23">
    <cfRule type="cellIs" dxfId="99" priority="93" stopIfTrue="1" operator="lessThan">
      <formula>10</formula>
    </cfRule>
    <cfRule type="cellIs" dxfId="98" priority="94" stopIfTrue="1" operator="greaterThan">
      <formula>9</formula>
    </cfRule>
  </conditionalFormatting>
  <conditionalFormatting sqref="M20:N23">
    <cfRule type="cellIs" dxfId="97" priority="89" stopIfTrue="1" operator="lessThan">
      <formula>10</formula>
    </cfRule>
    <cfRule type="cellIs" dxfId="96" priority="90" stopIfTrue="1" operator="greaterThan">
      <formula>9</formula>
    </cfRule>
    <cfRule type="cellIs" dxfId="95" priority="91" stopIfTrue="1" operator="lessThan">
      <formula>10</formula>
    </cfRule>
    <cfRule type="cellIs" dxfId="94" priority="92" stopIfTrue="1" operator="greaterThan">
      <formula>9</formula>
    </cfRule>
  </conditionalFormatting>
  <conditionalFormatting sqref="M40:N44">
    <cfRule type="cellIs" dxfId="93" priority="87" stopIfTrue="1" operator="lessThan">
      <formula>10</formula>
    </cfRule>
    <cfRule type="cellIs" dxfId="92" priority="88" stopIfTrue="1" operator="greaterThan">
      <formula>9</formula>
    </cfRule>
  </conditionalFormatting>
  <conditionalFormatting sqref="M40:N44">
    <cfRule type="cellIs" dxfId="91" priority="85" stopIfTrue="1" operator="lessThan">
      <formula>10</formula>
    </cfRule>
    <cfRule type="cellIs" dxfId="90" priority="86" stopIfTrue="1" operator="greaterThan">
      <formula>9</formula>
    </cfRule>
  </conditionalFormatting>
  <conditionalFormatting sqref="M40:N44">
    <cfRule type="cellIs" dxfId="89" priority="81" stopIfTrue="1" operator="lessThan">
      <formula>10</formula>
    </cfRule>
    <cfRule type="cellIs" dxfId="88" priority="82" stopIfTrue="1" operator="greaterThan">
      <formula>9</formula>
    </cfRule>
    <cfRule type="cellIs" dxfId="87" priority="83" stopIfTrue="1" operator="lessThan">
      <formula>10</formula>
    </cfRule>
    <cfRule type="cellIs" dxfId="86" priority="84" stopIfTrue="1" operator="greaterThan">
      <formula>9</formula>
    </cfRule>
  </conditionalFormatting>
  <conditionalFormatting sqref="F24:G39 F45:G50 H10:I12 H15:I50">
    <cfRule type="cellIs" dxfId="85" priority="79" stopIfTrue="1" operator="lessThan">
      <formula>10</formula>
    </cfRule>
    <cfRule type="cellIs" dxfId="84" priority="80" stopIfTrue="1" operator="greaterThan">
      <formula>9</formula>
    </cfRule>
  </conditionalFormatting>
  <conditionalFormatting sqref="F24:G39 F45:G50 H10:I12 H15:I50">
    <cfRule type="cellIs" dxfId="83" priority="77" stopIfTrue="1" operator="lessThan">
      <formula>10</formula>
    </cfRule>
    <cfRule type="cellIs" dxfId="82" priority="78" stopIfTrue="1" operator="greaterThan">
      <formula>9</formula>
    </cfRule>
  </conditionalFormatting>
  <conditionalFormatting sqref="F24:G39 F45:G50 H10:I12 H15:I50">
    <cfRule type="cellIs" dxfId="81" priority="73" stopIfTrue="1" operator="lessThan">
      <formula>10</formula>
    </cfRule>
    <cfRule type="cellIs" dxfId="80" priority="74" stopIfTrue="1" operator="greaterThan">
      <formula>9</formula>
    </cfRule>
    <cfRule type="cellIs" dxfId="79" priority="75" stopIfTrue="1" operator="lessThan">
      <formula>10</formula>
    </cfRule>
    <cfRule type="cellIs" dxfId="78" priority="76" stopIfTrue="1" operator="greaterThan">
      <formula>9</formula>
    </cfRule>
  </conditionalFormatting>
  <conditionalFormatting sqref="F10:G12">
    <cfRule type="cellIs" dxfId="77" priority="71" stopIfTrue="1" operator="lessThan">
      <formula>10</formula>
    </cfRule>
    <cfRule type="cellIs" dxfId="76" priority="72" stopIfTrue="1" operator="greaterThan">
      <formula>9</formula>
    </cfRule>
  </conditionalFormatting>
  <conditionalFormatting sqref="F10:G12">
    <cfRule type="cellIs" dxfId="75" priority="69" stopIfTrue="1" operator="lessThan">
      <formula>10</formula>
    </cfRule>
    <cfRule type="cellIs" dxfId="74" priority="70" stopIfTrue="1" operator="greaterThan">
      <formula>9</formula>
    </cfRule>
  </conditionalFormatting>
  <conditionalFormatting sqref="F10:G12">
    <cfRule type="cellIs" dxfId="73" priority="65" stopIfTrue="1" operator="lessThan">
      <formula>10</formula>
    </cfRule>
    <cfRule type="cellIs" dxfId="72" priority="66" stopIfTrue="1" operator="greaterThan">
      <formula>9</formula>
    </cfRule>
    <cfRule type="cellIs" dxfId="71" priority="67" stopIfTrue="1" operator="lessThan">
      <formula>10</formula>
    </cfRule>
    <cfRule type="cellIs" dxfId="70" priority="68" stopIfTrue="1" operator="greaterThan">
      <formula>9</formula>
    </cfRule>
  </conditionalFormatting>
  <conditionalFormatting sqref="F15:G15">
    <cfRule type="cellIs" dxfId="69" priority="63" stopIfTrue="1" operator="lessThan">
      <formula>10</formula>
    </cfRule>
    <cfRule type="cellIs" dxfId="68" priority="64" stopIfTrue="1" operator="greaterThan">
      <formula>9</formula>
    </cfRule>
  </conditionalFormatting>
  <conditionalFormatting sqref="F15:G15">
    <cfRule type="cellIs" dxfId="67" priority="61" stopIfTrue="1" operator="lessThan">
      <formula>10</formula>
    </cfRule>
    <cfRule type="cellIs" dxfId="66" priority="62" stopIfTrue="1" operator="greaterThan">
      <formula>9</formula>
    </cfRule>
  </conditionalFormatting>
  <conditionalFormatting sqref="F15:G15">
    <cfRule type="cellIs" dxfId="65" priority="57" stopIfTrue="1" operator="lessThan">
      <formula>10</formula>
    </cfRule>
    <cfRule type="cellIs" dxfId="64" priority="58" stopIfTrue="1" operator="greaterThan">
      <formula>9</formula>
    </cfRule>
    <cfRule type="cellIs" dxfId="63" priority="59" stopIfTrue="1" operator="lessThan">
      <formula>10</formula>
    </cfRule>
    <cfRule type="cellIs" dxfId="62" priority="60" stopIfTrue="1" operator="greaterThan">
      <formula>9</formula>
    </cfRule>
  </conditionalFormatting>
  <conditionalFormatting sqref="F16:G19">
    <cfRule type="cellIs" dxfId="61" priority="55" stopIfTrue="1" operator="lessThan">
      <formula>10</formula>
    </cfRule>
    <cfRule type="cellIs" dxfId="60" priority="56" stopIfTrue="1" operator="greaterThan">
      <formula>9</formula>
    </cfRule>
  </conditionalFormatting>
  <conditionalFormatting sqref="F16:G19">
    <cfRule type="cellIs" dxfId="59" priority="53" stopIfTrue="1" operator="lessThan">
      <formula>10</formula>
    </cfRule>
    <cfRule type="cellIs" dxfId="58" priority="54" stopIfTrue="1" operator="greaterThan">
      <formula>9</formula>
    </cfRule>
  </conditionalFormatting>
  <conditionalFormatting sqref="F16:G19">
    <cfRule type="cellIs" dxfId="57" priority="49" stopIfTrue="1" operator="lessThan">
      <formula>10</formula>
    </cfRule>
    <cfRule type="cellIs" dxfId="56" priority="50" stopIfTrue="1" operator="greaterThan">
      <formula>9</formula>
    </cfRule>
    <cfRule type="cellIs" dxfId="55" priority="51" stopIfTrue="1" operator="lessThan">
      <formula>10</formula>
    </cfRule>
    <cfRule type="cellIs" dxfId="54" priority="52" stopIfTrue="1" operator="greaterThan">
      <formula>9</formula>
    </cfRule>
  </conditionalFormatting>
  <conditionalFormatting sqref="F20:G23">
    <cfRule type="cellIs" dxfId="53" priority="47" stopIfTrue="1" operator="lessThan">
      <formula>10</formula>
    </cfRule>
    <cfRule type="cellIs" dxfId="52" priority="48" stopIfTrue="1" operator="greaterThan">
      <formula>9</formula>
    </cfRule>
  </conditionalFormatting>
  <conditionalFormatting sqref="F20:G23">
    <cfRule type="cellIs" dxfId="51" priority="45" stopIfTrue="1" operator="lessThan">
      <formula>10</formula>
    </cfRule>
    <cfRule type="cellIs" dxfId="50" priority="46" stopIfTrue="1" operator="greaterThan">
      <formula>9</formula>
    </cfRule>
  </conditionalFormatting>
  <conditionalFormatting sqref="F20:G23">
    <cfRule type="cellIs" dxfId="49" priority="41" stopIfTrue="1" operator="lessThan">
      <formula>10</formula>
    </cfRule>
    <cfRule type="cellIs" dxfId="48" priority="42" stopIfTrue="1" operator="greaterThan">
      <formula>9</formula>
    </cfRule>
    <cfRule type="cellIs" dxfId="47" priority="43" stopIfTrue="1" operator="lessThan">
      <formula>10</formula>
    </cfRule>
    <cfRule type="cellIs" dxfId="46" priority="44" stopIfTrue="1" operator="greaterThan">
      <formula>9</formula>
    </cfRule>
  </conditionalFormatting>
  <conditionalFormatting sqref="F40:G44">
    <cfRule type="cellIs" dxfId="45" priority="39" stopIfTrue="1" operator="lessThan">
      <formula>10</formula>
    </cfRule>
    <cfRule type="cellIs" dxfId="44" priority="40" stopIfTrue="1" operator="greaterThan">
      <formula>9</formula>
    </cfRule>
  </conditionalFormatting>
  <conditionalFormatting sqref="F40:G44">
    <cfRule type="cellIs" dxfId="43" priority="37" stopIfTrue="1" operator="lessThan">
      <formula>10</formula>
    </cfRule>
    <cfRule type="cellIs" dxfId="42" priority="38" stopIfTrue="1" operator="greaterThan">
      <formula>9</formula>
    </cfRule>
  </conditionalFormatting>
  <conditionalFormatting sqref="F40:G44">
    <cfRule type="cellIs" dxfId="41" priority="33" stopIfTrue="1" operator="lessThan">
      <formula>10</formula>
    </cfRule>
    <cfRule type="cellIs" dxfId="40" priority="34" stopIfTrue="1" operator="greaterThan">
      <formula>9</formula>
    </cfRule>
    <cfRule type="cellIs" dxfId="39" priority="35" stopIfTrue="1" operator="lessThan">
      <formula>10</formula>
    </cfRule>
    <cfRule type="cellIs" dxfId="38" priority="36" stopIfTrue="1" operator="greaterThan">
      <formula>9</formula>
    </cfRule>
  </conditionalFormatting>
  <conditionalFormatting sqref="H13:I13">
    <cfRule type="cellIs" dxfId="37" priority="31" stopIfTrue="1" operator="lessThan">
      <formula>10</formula>
    </cfRule>
    <cfRule type="cellIs" dxfId="36" priority="32" stopIfTrue="1" operator="greaterThan">
      <formula>9</formula>
    </cfRule>
  </conditionalFormatting>
  <conditionalFormatting sqref="H13:I13">
    <cfRule type="cellIs" dxfId="35" priority="29" stopIfTrue="1" operator="lessThan">
      <formula>10</formula>
    </cfRule>
    <cfRule type="cellIs" dxfId="34" priority="30" stopIfTrue="1" operator="greaterThan">
      <formula>9</formula>
    </cfRule>
  </conditionalFormatting>
  <conditionalFormatting sqref="H13:I13">
    <cfRule type="cellIs" dxfId="33" priority="25" stopIfTrue="1" operator="lessThan">
      <formula>10</formula>
    </cfRule>
    <cfRule type="cellIs" dxfId="32" priority="26" stopIfTrue="1" operator="greaterThan">
      <formula>9</formula>
    </cfRule>
    <cfRule type="cellIs" dxfId="31" priority="27" stopIfTrue="1" operator="lessThan">
      <formula>10</formula>
    </cfRule>
    <cfRule type="cellIs" dxfId="30" priority="28" stopIfTrue="1" operator="greaterThan">
      <formula>9</formula>
    </cfRule>
  </conditionalFormatting>
  <conditionalFormatting sqref="F13:G13">
    <cfRule type="cellIs" dxfId="29" priority="23" stopIfTrue="1" operator="lessThan">
      <formula>10</formula>
    </cfRule>
    <cfRule type="cellIs" dxfId="28" priority="24" stopIfTrue="1" operator="greaterThan">
      <formula>9</formula>
    </cfRule>
  </conditionalFormatting>
  <conditionalFormatting sqref="F13:G13">
    <cfRule type="cellIs" dxfId="27" priority="21" stopIfTrue="1" operator="lessThan">
      <formula>10</formula>
    </cfRule>
    <cfRule type="cellIs" dxfId="26" priority="22" stopIfTrue="1" operator="greaterThan">
      <formula>9</formula>
    </cfRule>
  </conditionalFormatting>
  <conditionalFormatting sqref="F13:G13">
    <cfRule type="cellIs" dxfId="25" priority="17" stopIfTrue="1" operator="lessThan">
      <formula>10</formula>
    </cfRule>
    <cfRule type="cellIs" dxfId="24" priority="18" stopIfTrue="1" operator="greaterThan">
      <formula>9</formula>
    </cfRule>
    <cfRule type="cellIs" dxfId="23" priority="19" stopIfTrue="1" operator="lessThan">
      <formula>10</formula>
    </cfRule>
    <cfRule type="cellIs" dxfId="22" priority="20" stopIfTrue="1" operator="greaterThan">
      <formula>9</formula>
    </cfRule>
  </conditionalFormatting>
  <conditionalFormatting sqref="H14:I14">
    <cfRule type="cellIs" dxfId="21" priority="15" stopIfTrue="1" operator="lessThan">
      <formula>10</formula>
    </cfRule>
    <cfRule type="cellIs" dxfId="20" priority="16" stopIfTrue="1" operator="greaterThan">
      <formula>9</formula>
    </cfRule>
  </conditionalFormatting>
  <conditionalFormatting sqref="H14:I14">
    <cfRule type="cellIs" dxfId="19" priority="13" stopIfTrue="1" operator="lessThan">
      <formula>10</formula>
    </cfRule>
    <cfRule type="cellIs" dxfId="18" priority="14" stopIfTrue="1" operator="greaterThan">
      <formula>9</formula>
    </cfRule>
  </conditionalFormatting>
  <conditionalFormatting sqref="H14:I14">
    <cfRule type="cellIs" dxfId="17" priority="9" stopIfTrue="1" operator="lessThan">
      <formula>10</formula>
    </cfRule>
    <cfRule type="cellIs" dxfId="16" priority="10" stopIfTrue="1" operator="greaterThan">
      <formula>9</formula>
    </cfRule>
    <cfRule type="cellIs" dxfId="15" priority="11" stopIfTrue="1" operator="lessThan">
      <formula>10</formula>
    </cfRule>
    <cfRule type="cellIs" dxfId="14" priority="12" stopIfTrue="1" operator="greaterThan">
      <formula>9</formula>
    </cfRule>
  </conditionalFormatting>
  <conditionalFormatting sqref="F14:G14">
    <cfRule type="cellIs" dxfId="13" priority="7" stopIfTrue="1" operator="lessThan">
      <formula>10</formula>
    </cfRule>
    <cfRule type="cellIs" dxfId="12" priority="8" stopIfTrue="1" operator="greaterThan">
      <formula>9</formula>
    </cfRule>
  </conditionalFormatting>
  <conditionalFormatting sqref="F14:G14">
    <cfRule type="cellIs" dxfId="11" priority="5" stopIfTrue="1" operator="lessThan">
      <formula>10</formula>
    </cfRule>
    <cfRule type="cellIs" dxfId="10" priority="6" stopIfTrue="1" operator="greaterThan">
      <formula>9</formula>
    </cfRule>
  </conditionalFormatting>
  <conditionalFormatting sqref="F14:G14">
    <cfRule type="cellIs" dxfId="9" priority="1" stopIfTrue="1" operator="lessThan">
      <formula>10</formula>
    </cfRule>
    <cfRule type="cellIs" dxfId="8" priority="2" stopIfTrue="1" operator="greaterThan">
      <formula>9</formula>
    </cfRule>
    <cfRule type="cellIs" dxfId="7" priority="3" stopIfTrue="1" operator="lessThan">
      <formula>10</formula>
    </cfRule>
    <cfRule type="cellIs" dxfId="6" priority="4" stopIfTrue="1" operator="greaterThan">
      <formula>9</formula>
    </cfRule>
  </conditionalFormatting>
  <dataValidations count="1">
    <dataValidation type="decimal" allowBlank="1" showInputMessage="1" showErrorMessage="1" errorTitle="ATENÇÃO!" error="O valor introduzido não é válido. Grato!" sqref="M10:Q51 AB10:AB51 F10:J51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86" orientation="portrait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79" stopIfTrue="1" operator="containsText" id="{F7E53B18-1A46-4B88-8CAC-ABEFC1B2A660}">
            <xm:f>NOT(ISERROR(SEARCH("APROVADO/A",AE10)))</xm:f>
            <xm:f>"APROVADO/A"</xm:f>
            <x14:dxf>
              <font>
                <b/>
                <i val="0"/>
                <color rgb="FF0000FF"/>
              </font>
            </x14:dxf>
          </x14:cfRule>
          <x14:cfRule type="containsText" priority="580" stopIfTrue="1" operator="containsText" id="{438970AC-A1EC-4D42-B164-AB81940D4CE2}">
            <xm:f>NOT(ISERROR(SEARCH("REPROVADO/A",AE10)))</xm:f>
            <xm:f>"REPROVADO/A"</xm:f>
            <x14:dxf>
              <font>
                <b/>
                <i val="0"/>
                <color rgb="FFFF0000"/>
              </font>
            </x14:dxf>
          </x14:cfRule>
          <xm:sqref>AE10:AE51</xm:sqref>
        </x14:conditionalFormatting>
        <x14:conditionalFormatting xmlns:xm="http://schemas.microsoft.com/office/excel/2006/main">
          <x14:cfRule type="containsText" priority="349" stopIfTrue="1" operator="containsText" id="{493958F9-AF95-459C-85B0-8C3F68849805}">
            <xm:f>NOT(ISERROR(SEARCH("N/TRANSITA",S10)))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350" stopIfTrue="1" operator="containsText" id="{9A79230E-178E-45D9-B54D-DB7D14219093}">
            <xm:f>NOT(ISERROR(SEARCH("TRANSITA",S10)))</xm:f>
            <xm:f>"TRANSITA"</xm:f>
            <x14:dxf>
              <font>
                <b/>
                <i val="0"/>
                <color rgb="FF0070C0"/>
              </font>
            </x14:dxf>
          </x14:cfRule>
          <xm:sqref>S10:S51</xm:sqref>
        </x14:conditionalFormatting>
        <x14:conditionalFormatting xmlns:xm="http://schemas.microsoft.com/office/excel/2006/main">
          <x14:cfRule type="containsText" priority="129" stopIfTrue="1" operator="containsText" id="{29D1A3FE-3138-4555-A041-808A34A778E5}">
            <xm:f>NOT(ISERROR(SEARCH("N/TRANSITA",L10)))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30" stopIfTrue="1" operator="containsText" id="{6CB2E9D9-9F3F-4BD4-AC97-8A7A8282E3F9}">
            <xm:f>NOT(ISERROR(SEARCH("TRANSITA",L10)))</xm:f>
            <xm:f>"TRANSITA"</xm:f>
            <x14:dxf>
              <font>
                <b/>
                <i val="0"/>
                <color rgb="FF0070C0"/>
              </font>
            </x14:dxf>
          </x14:cfRule>
          <xm:sqref>L10:L51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1ºT-12ª-EG-A-PAUTA</vt:lpstr>
      <vt:lpstr>2ºT-12ª-EG-A-PAUTA</vt:lpstr>
      <vt:lpstr>12EG -A- S.COLECT.</vt:lpstr>
      <vt:lpstr>12EG -A- S. MENTAL</vt:lpstr>
      <vt:lpstr>12EG -A- EPIDEMIOL.</vt:lpstr>
      <vt:lpstr>12EG-A- F.A.E</vt:lpstr>
      <vt:lpstr>12EG -A- URGÊNCIA</vt:lpstr>
      <vt:lpstr>12EG -A- N.D</vt:lpstr>
      <vt:lpstr>12EG -A- A.E.P.M.C</vt:lpstr>
      <vt:lpstr>12EG -A- TEC. ENFER</vt:lpstr>
      <vt:lpstr>12EG -A- A.E.S.M</vt:lpstr>
      <vt:lpstr>12EG -A- PROJ. TEC</vt:lpstr>
      <vt:lpstr>12EG -A- A.E.S.Ç</vt:lpstr>
      <vt:lpstr>12EG -A- GESTÃO ENF.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fuene</dc:creator>
  <cp:lastModifiedBy>SP JM</cp:lastModifiedBy>
  <cp:lastPrinted>2022-07-27T09:09:03Z</cp:lastPrinted>
  <dcterms:created xsi:type="dcterms:W3CDTF">2022-05-23T18:18:45Z</dcterms:created>
  <dcterms:modified xsi:type="dcterms:W3CDTF">2026-04-07T13:14:48Z</dcterms:modified>
</cp:coreProperties>
</file>