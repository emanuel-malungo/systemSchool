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OCUMENTOS-SDP-CEITPSJM-2025-2026\SUPERVISÃO DE TURNOS\MATINAL\II CICLO GERAL\10 CL - CFB -ALICE CHIAZI\"/>
    </mc:Choice>
  </mc:AlternateContent>
  <bookViews>
    <workbookView xWindow="0" yWindow="0" windowWidth="20496" windowHeight="7752" tabRatio="882" activeTab="1"/>
  </bookViews>
  <sheets>
    <sheet name="EDITAL - 10ª CFB-UNICA (I TRIM)" sheetId="1" r:id="rId1"/>
    <sheet name="EDITAL - 10ª CFB-UNICA II TRIM" sheetId="16" r:id="rId2"/>
    <sheet name="10ªCFB-U-L PORT" sheetId="2" r:id="rId3"/>
    <sheet name="10ªCFB-U-INGLES" sheetId="11" r:id="rId4"/>
    <sheet name="10ªCFB-U-MAT" sheetId="3" r:id="rId5"/>
    <sheet name="10ªCFB-U-INFOR" sheetId="15" r:id="rId6"/>
    <sheet name="10ªCFB-U-ED. FIS" sheetId="14" r:id="rId7"/>
    <sheet name="10ªCFB-U-FIS" sheetId="8" r:id="rId8"/>
    <sheet name="10ªCFB-U-QCA" sheetId="7" r:id="rId9"/>
    <sheet name="10ªCFB-U-BIOL" sheetId="4" r:id="rId10"/>
    <sheet name="10ªCFB-U-EMPREEND" sheetId="13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1" i="7" l="1"/>
  <c r="I71" i="7" s="1"/>
  <c r="H70" i="7"/>
  <c r="I70" i="7" s="1"/>
  <c r="H69" i="7"/>
  <c r="I69" i="7" s="1"/>
  <c r="H68" i="7"/>
  <c r="I68" i="7" s="1"/>
  <c r="H67" i="7"/>
  <c r="I67" i="7" s="1"/>
  <c r="H66" i="7"/>
  <c r="I66" i="7" s="1"/>
  <c r="H65" i="7"/>
  <c r="I65" i="7" s="1"/>
  <c r="H64" i="7"/>
  <c r="I64" i="7" s="1"/>
  <c r="H63" i="7"/>
  <c r="I63" i="7" s="1"/>
  <c r="H62" i="7"/>
  <c r="I62" i="7" s="1"/>
  <c r="H61" i="7"/>
  <c r="I61" i="7" s="1"/>
  <c r="H60" i="7"/>
  <c r="I60" i="7" s="1"/>
  <c r="H59" i="7"/>
  <c r="I59" i="7" s="1"/>
  <c r="H58" i="7"/>
  <c r="I58" i="7" s="1"/>
  <c r="H57" i="7"/>
  <c r="I57" i="7" s="1"/>
  <c r="H56" i="7"/>
  <c r="I56" i="7" s="1"/>
  <c r="H55" i="7"/>
  <c r="I55" i="7" s="1"/>
  <c r="H54" i="7"/>
  <c r="I54" i="7" s="1"/>
  <c r="H53" i="7"/>
  <c r="I53" i="7" s="1"/>
  <c r="H52" i="7"/>
  <c r="I52" i="7" s="1"/>
  <c r="H51" i="7"/>
  <c r="I51" i="7" s="1"/>
  <c r="H50" i="7"/>
  <c r="I50" i="7" s="1"/>
  <c r="H49" i="7"/>
  <c r="I49" i="7" s="1"/>
  <c r="H48" i="7"/>
  <c r="I48" i="7" s="1"/>
  <c r="H47" i="7"/>
  <c r="I47" i="7" s="1"/>
  <c r="H46" i="7"/>
  <c r="I46" i="7" s="1"/>
  <c r="H45" i="7"/>
  <c r="I45" i="7" s="1"/>
  <c r="H44" i="7"/>
  <c r="I44" i="7" s="1"/>
  <c r="H43" i="7"/>
  <c r="I43" i="7" s="1"/>
  <c r="H42" i="7"/>
  <c r="I42" i="7" s="1"/>
  <c r="H41" i="7"/>
  <c r="I41" i="7" s="1"/>
  <c r="H40" i="7"/>
  <c r="I40" i="7" s="1"/>
  <c r="H39" i="7"/>
  <c r="I39" i="7" s="1"/>
  <c r="H38" i="7"/>
  <c r="I38" i="7" s="1"/>
  <c r="H37" i="7"/>
  <c r="I37" i="7" s="1"/>
  <c r="H36" i="7"/>
  <c r="I36" i="7" s="1"/>
  <c r="H35" i="7"/>
  <c r="I35" i="7" s="1"/>
  <c r="H34" i="7"/>
  <c r="I34" i="7" s="1"/>
  <c r="H33" i="7"/>
  <c r="I33" i="7" s="1"/>
  <c r="H32" i="7"/>
  <c r="I32" i="7" s="1"/>
  <c r="H31" i="7"/>
  <c r="I31" i="7" s="1"/>
  <c r="H30" i="7"/>
  <c r="I30" i="7" s="1"/>
  <c r="H29" i="7"/>
  <c r="I29" i="7" s="1"/>
  <c r="H28" i="7"/>
  <c r="I28" i="7" s="1"/>
  <c r="H27" i="7"/>
  <c r="I27" i="7" s="1"/>
  <c r="H26" i="7"/>
  <c r="I26" i="7" s="1"/>
  <c r="H25" i="7"/>
  <c r="I25" i="7" s="1"/>
  <c r="H24" i="7"/>
  <c r="I24" i="7" s="1"/>
  <c r="H23" i="7"/>
  <c r="I23" i="7" s="1"/>
  <c r="H22" i="7"/>
  <c r="I22" i="7" s="1"/>
  <c r="H21" i="7"/>
  <c r="I21" i="7" s="1"/>
  <c r="H20" i="7"/>
  <c r="I20" i="7" s="1"/>
  <c r="H19" i="7"/>
  <c r="I19" i="7" s="1"/>
  <c r="H18" i="7"/>
  <c r="I18" i="7" s="1"/>
  <c r="H17" i="7"/>
  <c r="I17" i="7" s="1"/>
  <c r="H16" i="7"/>
  <c r="I16" i="7" s="1"/>
  <c r="H15" i="7"/>
  <c r="I15" i="7" s="1"/>
  <c r="H14" i="7"/>
  <c r="I14" i="7" s="1"/>
  <c r="H13" i="7"/>
  <c r="I13" i="7" s="1"/>
  <c r="H12" i="7"/>
  <c r="I12" i="7" s="1"/>
  <c r="H11" i="7"/>
  <c r="I11" i="7" s="1"/>
  <c r="H10" i="7"/>
  <c r="I10" i="7" s="1"/>
  <c r="H9" i="7"/>
  <c r="I9" i="7" s="1"/>
  <c r="H71" i="3" l="1"/>
  <c r="I71" i="3" s="1"/>
  <c r="H70" i="3"/>
  <c r="I70" i="3" s="1"/>
  <c r="H69" i="3"/>
  <c r="I69" i="3" s="1"/>
  <c r="H68" i="3"/>
  <c r="I68" i="3" s="1"/>
  <c r="H67" i="3"/>
  <c r="I67" i="3" s="1"/>
  <c r="H66" i="3"/>
  <c r="I66" i="3" s="1"/>
  <c r="H65" i="3"/>
  <c r="I65" i="3" s="1"/>
  <c r="H64" i="3"/>
  <c r="I64" i="3" s="1"/>
  <c r="H63" i="3"/>
  <c r="I63" i="3" s="1"/>
  <c r="H62" i="3"/>
  <c r="I62" i="3" s="1"/>
  <c r="H61" i="3"/>
  <c r="I61" i="3" s="1"/>
  <c r="H60" i="3"/>
  <c r="I60" i="3" s="1"/>
  <c r="H59" i="3"/>
  <c r="I59" i="3" s="1"/>
  <c r="H58" i="3"/>
  <c r="I58" i="3" s="1"/>
  <c r="H57" i="3"/>
  <c r="I57" i="3" s="1"/>
  <c r="H56" i="3"/>
  <c r="I56" i="3" s="1"/>
  <c r="H55" i="3"/>
  <c r="I55" i="3" s="1"/>
  <c r="H54" i="3"/>
  <c r="I54" i="3" s="1"/>
  <c r="H53" i="3"/>
  <c r="I53" i="3" s="1"/>
  <c r="H52" i="3"/>
  <c r="I52" i="3" s="1"/>
  <c r="H51" i="3"/>
  <c r="I51" i="3" s="1"/>
  <c r="H50" i="3"/>
  <c r="I50" i="3" s="1"/>
  <c r="H49" i="3"/>
  <c r="I49" i="3" s="1"/>
  <c r="H48" i="3"/>
  <c r="I48" i="3" s="1"/>
  <c r="H47" i="3"/>
  <c r="I47" i="3" s="1"/>
  <c r="H46" i="3"/>
  <c r="I46" i="3" s="1"/>
  <c r="H45" i="3"/>
  <c r="I45" i="3" s="1"/>
  <c r="H44" i="3"/>
  <c r="I44" i="3" s="1"/>
  <c r="H43" i="3"/>
  <c r="I43" i="3" s="1"/>
  <c r="H42" i="3"/>
  <c r="I42" i="3" s="1"/>
  <c r="H41" i="3"/>
  <c r="I41" i="3" s="1"/>
  <c r="H40" i="3"/>
  <c r="I40" i="3" s="1"/>
  <c r="H39" i="3"/>
  <c r="I39" i="3" s="1"/>
  <c r="H38" i="3"/>
  <c r="I38" i="3" s="1"/>
  <c r="H37" i="3"/>
  <c r="I37" i="3" s="1"/>
  <c r="H36" i="3"/>
  <c r="I36" i="3" s="1"/>
  <c r="H35" i="3"/>
  <c r="I35" i="3" s="1"/>
  <c r="H34" i="3"/>
  <c r="I34" i="3" s="1"/>
  <c r="H33" i="3"/>
  <c r="I33" i="3" s="1"/>
  <c r="H32" i="3"/>
  <c r="I32" i="3" s="1"/>
  <c r="H31" i="3"/>
  <c r="I31" i="3" s="1"/>
  <c r="H30" i="3"/>
  <c r="I30" i="3" s="1"/>
  <c r="H29" i="3"/>
  <c r="I29" i="3" s="1"/>
  <c r="H28" i="3"/>
  <c r="I28" i="3" s="1"/>
  <c r="H27" i="3"/>
  <c r="I27" i="3" s="1"/>
  <c r="H26" i="3"/>
  <c r="I26" i="3" s="1"/>
  <c r="H25" i="3"/>
  <c r="I25" i="3" s="1"/>
  <c r="H24" i="3"/>
  <c r="I24" i="3" s="1"/>
  <c r="H23" i="3"/>
  <c r="I23" i="3" s="1"/>
  <c r="H22" i="3"/>
  <c r="I22" i="3" s="1"/>
  <c r="H21" i="3"/>
  <c r="I21" i="3" s="1"/>
  <c r="H20" i="3"/>
  <c r="I20" i="3" s="1"/>
  <c r="H19" i="3"/>
  <c r="I19" i="3" s="1"/>
  <c r="H18" i="3"/>
  <c r="I18" i="3" s="1"/>
  <c r="H17" i="3"/>
  <c r="I17" i="3" s="1"/>
  <c r="H16" i="3"/>
  <c r="I16" i="3" s="1"/>
  <c r="H15" i="3"/>
  <c r="I15" i="3" s="1"/>
  <c r="H14" i="3"/>
  <c r="I14" i="3" s="1"/>
  <c r="H13" i="3"/>
  <c r="I13" i="3" s="1"/>
  <c r="H12" i="3"/>
  <c r="I12" i="3" s="1"/>
  <c r="H11" i="3"/>
  <c r="I11" i="3" s="1"/>
  <c r="H10" i="3"/>
  <c r="I10" i="3" s="1"/>
  <c r="H9" i="3"/>
  <c r="I9" i="3" s="1"/>
  <c r="I71" i="2" l="1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I71" i="11" l="1"/>
  <c r="H71" i="11"/>
  <c r="H70" i="11"/>
  <c r="I70" i="11" s="1"/>
  <c r="I69" i="11"/>
  <c r="H69" i="11"/>
  <c r="H68" i="11"/>
  <c r="I68" i="11" s="1"/>
  <c r="I67" i="11"/>
  <c r="H67" i="11"/>
  <c r="H66" i="11"/>
  <c r="I66" i="11" s="1"/>
  <c r="I65" i="11"/>
  <c r="H65" i="11"/>
  <c r="H64" i="11"/>
  <c r="I64" i="11" s="1"/>
  <c r="I63" i="11"/>
  <c r="H63" i="11"/>
  <c r="H62" i="11"/>
  <c r="I62" i="11" s="1"/>
  <c r="I61" i="11"/>
  <c r="H61" i="11"/>
  <c r="H60" i="11"/>
  <c r="I60" i="11" s="1"/>
  <c r="I59" i="11"/>
  <c r="H59" i="11"/>
  <c r="H58" i="11"/>
  <c r="I58" i="11" s="1"/>
  <c r="I57" i="11"/>
  <c r="H57" i="11"/>
  <c r="H56" i="11"/>
  <c r="I56" i="11" s="1"/>
  <c r="I55" i="11"/>
  <c r="H55" i="11"/>
  <c r="H54" i="11"/>
  <c r="I54" i="11" s="1"/>
  <c r="I53" i="11"/>
  <c r="H53" i="11"/>
  <c r="H52" i="11"/>
  <c r="I52" i="11" s="1"/>
  <c r="I51" i="11"/>
  <c r="H51" i="11"/>
  <c r="H50" i="11"/>
  <c r="I50" i="11" s="1"/>
  <c r="I49" i="11"/>
  <c r="H49" i="11"/>
  <c r="H48" i="11"/>
  <c r="I48" i="11" s="1"/>
  <c r="I47" i="11"/>
  <c r="H47" i="11"/>
  <c r="H46" i="11"/>
  <c r="I46" i="11" s="1"/>
  <c r="I45" i="11"/>
  <c r="H45" i="11"/>
  <c r="H44" i="11"/>
  <c r="I44" i="11" s="1"/>
  <c r="I43" i="11"/>
  <c r="H43" i="11"/>
  <c r="H42" i="11"/>
  <c r="I42" i="11" s="1"/>
  <c r="I41" i="11"/>
  <c r="H41" i="11"/>
  <c r="H40" i="11"/>
  <c r="I40" i="11" s="1"/>
  <c r="I39" i="11"/>
  <c r="H39" i="11"/>
  <c r="H38" i="11"/>
  <c r="I38" i="11" s="1"/>
  <c r="I37" i="11"/>
  <c r="H37" i="11"/>
  <c r="H36" i="11"/>
  <c r="I36" i="11" s="1"/>
  <c r="I35" i="11"/>
  <c r="H35" i="11"/>
  <c r="H34" i="11"/>
  <c r="I34" i="11" s="1"/>
  <c r="I33" i="11"/>
  <c r="H33" i="11"/>
  <c r="H32" i="11"/>
  <c r="I32" i="11" s="1"/>
  <c r="I31" i="11"/>
  <c r="H31" i="11"/>
  <c r="H30" i="11"/>
  <c r="I30" i="11" s="1"/>
  <c r="I29" i="11"/>
  <c r="H29" i="11"/>
  <c r="H28" i="11"/>
  <c r="I28" i="11" s="1"/>
  <c r="I27" i="11"/>
  <c r="H27" i="11"/>
  <c r="H26" i="11"/>
  <c r="I26" i="11" s="1"/>
  <c r="I25" i="11"/>
  <c r="H25" i="11"/>
  <c r="H24" i="11"/>
  <c r="I24" i="11" s="1"/>
  <c r="I23" i="11"/>
  <c r="H23" i="11"/>
  <c r="H22" i="11"/>
  <c r="I22" i="11" s="1"/>
  <c r="I21" i="11"/>
  <c r="H21" i="11"/>
  <c r="H20" i="11"/>
  <c r="I20" i="11" s="1"/>
  <c r="I19" i="11"/>
  <c r="H19" i="11"/>
  <c r="H18" i="11"/>
  <c r="I18" i="11" s="1"/>
  <c r="I17" i="11"/>
  <c r="H17" i="11"/>
  <c r="H16" i="11"/>
  <c r="I16" i="11" s="1"/>
  <c r="I15" i="11"/>
  <c r="H15" i="11"/>
  <c r="H14" i="11"/>
  <c r="I14" i="11" s="1"/>
  <c r="I13" i="11"/>
  <c r="H13" i="11"/>
  <c r="H12" i="11"/>
  <c r="I12" i="11" s="1"/>
  <c r="I11" i="11"/>
  <c r="H11" i="11"/>
  <c r="H10" i="11"/>
  <c r="I10" i="11" s="1"/>
  <c r="I9" i="11"/>
  <c r="H9" i="11"/>
  <c r="H71" i="4" l="1"/>
  <c r="I71" i="4" s="1"/>
  <c r="H70" i="4"/>
  <c r="I70" i="4" s="1"/>
  <c r="H69" i="4"/>
  <c r="I69" i="4" s="1"/>
  <c r="H68" i="4"/>
  <c r="I68" i="4" s="1"/>
  <c r="H67" i="4"/>
  <c r="I67" i="4" s="1"/>
  <c r="H66" i="4"/>
  <c r="I66" i="4" s="1"/>
  <c r="H65" i="4"/>
  <c r="I65" i="4" s="1"/>
  <c r="H64" i="4"/>
  <c r="I64" i="4" s="1"/>
  <c r="H63" i="4"/>
  <c r="I63" i="4" s="1"/>
  <c r="H62" i="4"/>
  <c r="I62" i="4" s="1"/>
  <c r="H61" i="4"/>
  <c r="I61" i="4" s="1"/>
  <c r="H60" i="4"/>
  <c r="I60" i="4" s="1"/>
  <c r="H59" i="4"/>
  <c r="I59" i="4" s="1"/>
  <c r="H58" i="4"/>
  <c r="I58" i="4" s="1"/>
  <c r="H57" i="4"/>
  <c r="I57" i="4" s="1"/>
  <c r="H56" i="4"/>
  <c r="I56" i="4" s="1"/>
  <c r="H55" i="4"/>
  <c r="I55" i="4" s="1"/>
  <c r="H54" i="4"/>
  <c r="I54" i="4" s="1"/>
  <c r="H53" i="4"/>
  <c r="I53" i="4" s="1"/>
  <c r="H52" i="4"/>
  <c r="I52" i="4" s="1"/>
  <c r="H51" i="4"/>
  <c r="I51" i="4" s="1"/>
  <c r="H50" i="4"/>
  <c r="I50" i="4" s="1"/>
  <c r="H49" i="4"/>
  <c r="I49" i="4" s="1"/>
  <c r="H48" i="4"/>
  <c r="I48" i="4" s="1"/>
  <c r="H47" i="4"/>
  <c r="I47" i="4" s="1"/>
  <c r="H46" i="4"/>
  <c r="I46" i="4" s="1"/>
  <c r="H45" i="4"/>
  <c r="I45" i="4" s="1"/>
  <c r="H44" i="4"/>
  <c r="I44" i="4" s="1"/>
  <c r="H43" i="4"/>
  <c r="I43" i="4" s="1"/>
  <c r="H42" i="4"/>
  <c r="I42" i="4" s="1"/>
  <c r="H41" i="4"/>
  <c r="I41" i="4" s="1"/>
  <c r="H40" i="4"/>
  <c r="I40" i="4" s="1"/>
  <c r="H39" i="4"/>
  <c r="I39" i="4" s="1"/>
  <c r="H38" i="4"/>
  <c r="I38" i="4" s="1"/>
  <c r="H37" i="4"/>
  <c r="I37" i="4" s="1"/>
  <c r="H36" i="4"/>
  <c r="I36" i="4" s="1"/>
  <c r="H35" i="4"/>
  <c r="I35" i="4" s="1"/>
  <c r="H34" i="4"/>
  <c r="I34" i="4" s="1"/>
  <c r="H33" i="4"/>
  <c r="I33" i="4" s="1"/>
  <c r="H32" i="4"/>
  <c r="I32" i="4" s="1"/>
  <c r="H31" i="4"/>
  <c r="I31" i="4" s="1"/>
  <c r="H30" i="4"/>
  <c r="I30" i="4" s="1"/>
  <c r="H29" i="4"/>
  <c r="I29" i="4" s="1"/>
  <c r="H28" i="4"/>
  <c r="I28" i="4" s="1"/>
  <c r="H27" i="4"/>
  <c r="I27" i="4" s="1"/>
  <c r="H26" i="4"/>
  <c r="I26" i="4" s="1"/>
  <c r="H25" i="4"/>
  <c r="I25" i="4" s="1"/>
  <c r="H24" i="4"/>
  <c r="I24" i="4" s="1"/>
  <c r="H23" i="4"/>
  <c r="I23" i="4" s="1"/>
  <c r="H22" i="4"/>
  <c r="I22" i="4" s="1"/>
  <c r="H21" i="4"/>
  <c r="I21" i="4" s="1"/>
  <c r="H20" i="4"/>
  <c r="I20" i="4" s="1"/>
  <c r="H19" i="4"/>
  <c r="I19" i="4" s="1"/>
  <c r="H18" i="4"/>
  <c r="I18" i="4" s="1"/>
  <c r="H17" i="4"/>
  <c r="I17" i="4" s="1"/>
  <c r="H16" i="4"/>
  <c r="I16" i="4" s="1"/>
  <c r="H15" i="4"/>
  <c r="I15" i="4" s="1"/>
  <c r="H14" i="4"/>
  <c r="I14" i="4" s="1"/>
  <c r="H13" i="4"/>
  <c r="I13" i="4" s="1"/>
  <c r="H12" i="4"/>
  <c r="I12" i="4" s="1"/>
  <c r="H11" i="4"/>
  <c r="I11" i="4" s="1"/>
  <c r="H10" i="4"/>
  <c r="I10" i="4" s="1"/>
  <c r="H9" i="4"/>
  <c r="I9" i="4" s="1"/>
  <c r="H71" i="8" l="1"/>
  <c r="I71" i="8" s="1"/>
  <c r="H70" i="8"/>
  <c r="I70" i="8" s="1"/>
  <c r="H69" i="8"/>
  <c r="I69" i="8" s="1"/>
  <c r="H68" i="8"/>
  <c r="I68" i="8" s="1"/>
  <c r="H67" i="8"/>
  <c r="I67" i="8" s="1"/>
  <c r="H66" i="8"/>
  <c r="I66" i="8" s="1"/>
  <c r="H65" i="8"/>
  <c r="I65" i="8" s="1"/>
  <c r="H64" i="8"/>
  <c r="I64" i="8" s="1"/>
  <c r="H63" i="8"/>
  <c r="I63" i="8" s="1"/>
  <c r="H62" i="8"/>
  <c r="I62" i="8" s="1"/>
  <c r="H61" i="8"/>
  <c r="I61" i="8" s="1"/>
  <c r="H60" i="8"/>
  <c r="I60" i="8" s="1"/>
  <c r="H59" i="8"/>
  <c r="I59" i="8" s="1"/>
  <c r="H58" i="8"/>
  <c r="I58" i="8" s="1"/>
  <c r="H57" i="8"/>
  <c r="I57" i="8" s="1"/>
  <c r="H56" i="8"/>
  <c r="I56" i="8" s="1"/>
  <c r="H55" i="8"/>
  <c r="I55" i="8" s="1"/>
  <c r="H54" i="8"/>
  <c r="I54" i="8" s="1"/>
  <c r="H53" i="8"/>
  <c r="I53" i="8" s="1"/>
  <c r="H52" i="8"/>
  <c r="I52" i="8" s="1"/>
  <c r="H51" i="8"/>
  <c r="I51" i="8" s="1"/>
  <c r="H50" i="8"/>
  <c r="I50" i="8" s="1"/>
  <c r="H49" i="8"/>
  <c r="I49" i="8" s="1"/>
  <c r="H48" i="8"/>
  <c r="I48" i="8" s="1"/>
  <c r="H47" i="8"/>
  <c r="I47" i="8" s="1"/>
  <c r="H46" i="8"/>
  <c r="I46" i="8" s="1"/>
  <c r="H45" i="8"/>
  <c r="I45" i="8" s="1"/>
  <c r="H44" i="8"/>
  <c r="I44" i="8" s="1"/>
  <c r="H43" i="8"/>
  <c r="I43" i="8" s="1"/>
  <c r="H42" i="8"/>
  <c r="I42" i="8" s="1"/>
  <c r="H41" i="8"/>
  <c r="I41" i="8" s="1"/>
  <c r="H40" i="8"/>
  <c r="I40" i="8" s="1"/>
  <c r="H39" i="8"/>
  <c r="I39" i="8" s="1"/>
  <c r="H38" i="8"/>
  <c r="I38" i="8" s="1"/>
  <c r="H37" i="8"/>
  <c r="I37" i="8" s="1"/>
  <c r="H36" i="8"/>
  <c r="I36" i="8" s="1"/>
  <c r="H35" i="8"/>
  <c r="I35" i="8" s="1"/>
  <c r="H34" i="8"/>
  <c r="I34" i="8" s="1"/>
  <c r="H33" i="8"/>
  <c r="I33" i="8" s="1"/>
  <c r="H32" i="8"/>
  <c r="I32" i="8" s="1"/>
  <c r="H31" i="8"/>
  <c r="I31" i="8" s="1"/>
  <c r="H30" i="8"/>
  <c r="I30" i="8" s="1"/>
  <c r="H29" i="8"/>
  <c r="I29" i="8" s="1"/>
  <c r="H28" i="8"/>
  <c r="I28" i="8" s="1"/>
  <c r="H27" i="8"/>
  <c r="I27" i="8" s="1"/>
  <c r="H26" i="8"/>
  <c r="I26" i="8" s="1"/>
  <c r="H25" i="8"/>
  <c r="I25" i="8" s="1"/>
  <c r="H24" i="8"/>
  <c r="I24" i="8" s="1"/>
  <c r="H23" i="8"/>
  <c r="I23" i="8" s="1"/>
  <c r="H22" i="8"/>
  <c r="I22" i="8" s="1"/>
  <c r="H21" i="8"/>
  <c r="I21" i="8" s="1"/>
  <c r="H20" i="8"/>
  <c r="I20" i="8" s="1"/>
  <c r="H19" i="8"/>
  <c r="I19" i="8" s="1"/>
  <c r="H18" i="8"/>
  <c r="I18" i="8" s="1"/>
  <c r="H17" i="8"/>
  <c r="I17" i="8" s="1"/>
  <c r="H16" i="8"/>
  <c r="I16" i="8" s="1"/>
  <c r="H15" i="8"/>
  <c r="I15" i="8" s="1"/>
  <c r="H14" i="8"/>
  <c r="I14" i="8" s="1"/>
  <c r="H13" i="8"/>
  <c r="I13" i="8" s="1"/>
  <c r="H12" i="8"/>
  <c r="I12" i="8" s="1"/>
  <c r="H11" i="8"/>
  <c r="I11" i="8" s="1"/>
  <c r="H10" i="8"/>
  <c r="I10" i="8" s="1"/>
  <c r="H9" i="8"/>
  <c r="I9" i="8" s="1"/>
  <c r="H71" i="14" l="1"/>
  <c r="I71" i="14" s="1"/>
  <c r="H70" i="14"/>
  <c r="I70" i="14" s="1"/>
  <c r="H69" i="14"/>
  <c r="I69" i="14" s="1"/>
  <c r="H68" i="14"/>
  <c r="I68" i="14" s="1"/>
  <c r="H67" i="14"/>
  <c r="I67" i="14" s="1"/>
  <c r="H66" i="14"/>
  <c r="I66" i="14" s="1"/>
  <c r="H65" i="14"/>
  <c r="I65" i="14" s="1"/>
  <c r="H64" i="14"/>
  <c r="I64" i="14" s="1"/>
  <c r="H63" i="14"/>
  <c r="I63" i="14" s="1"/>
  <c r="H62" i="14"/>
  <c r="I62" i="14" s="1"/>
  <c r="H61" i="14"/>
  <c r="I61" i="14" s="1"/>
  <c r="H60" i="14"/>
  <c r="I60" i="14" s="1"/>
  <c r="H59" i="14"/>
  <c r="I59" i="14" s="1"/>
  <c r="H58" i="14"/>
  <c r="I58" i="14" s="1"/>
  <c r="H57" i="14"/>
  <c r="I57" i="14" s="1"/>
  <c r="H56" i="14"/>
  <c r="I56" i="14" s="1"/>
  <c r="H55" i="14"/>
  <c r="I55" i="14" s="1"/>
  <c r="H54" i="14"/>
  <c r="I54" i="14" s="1"/>
  <c r="H53" i="14"/>
  <c r="I53" i="14" s="1"/>
  <c r="H52" i="14"/>
  <c r="I52" i="14" s="1"/>
  <c r="H51" i="14"/>
  <c r="I51" i="14" s="1"/>
  <c r="H50" i="14"/>
  <c r="I50" i="14" s="1"/>
  <c r="H49" i="14"/>
  <c r="I49" i="14" s="1"/>
  <c r="H48" i="14"/>
  <c r="I48" i="14" s="1"/>
  <c r="H47" i="14"/>
  <c r="I47" i="14" s="1"/>
  <c r="H46" i="14"/>
  <c r="I46" i="14" s="1"/>
  <c r="H45" i="14"/>
  <c r="I45" i="14" s="1"/>
  <c r="H44" i="14"/>
  <c r="I44" i="14" s="1"/>
  <c r="H43" i="14"/>
  <c r="I43" i="14" s="1"/>
  <c r="H42" i="14"/>
  <c r="I42" i="14" s="1"/>
  <c r="H41" i="14"/>
  <c r="I41" i="14" s="1"/>
  <c r="H40" i="14"/>
  <c r="I40" i="14" s="1"/>
  <c r="H39" i="14"/>
  <c r="I39" i="14" s="1"/>
  <c r="H38" i="14"/>
  <c r="I38" i="14" s="1"/>
  <c r="H37" i="14"/>
  <c r="I37" i="14" s="1"/>
  <c r="H36" i="14"/>
  <c r="I36" i="14" s="1"/>
  <c r="H35" i="14"/>
  <c r="I35" i="14" s="1"/>
  <c r="H34" i="14"/>
  <c r="I34" i="14" s="1"/>
  <c r="H33" i="14"/>
  <c r="I33" i="14" s="1"/>
  <c r="H32" i="14"/>
  <c r="I32" i="14" s="1"/>
  <c r="H31" i="14"/>
  <c r="I31" i="14" s="1"/>
  <c r="H30" i="14"/>
  <c r="I30" i="14" s="1"/>
  <c r="H29" i="14"/>
  <c r="I29" i="14" s="1"/>
  <c r="H28" i="14"/>
  <c r="I28" i="14" s="1"/>
  <c r="H27" i="14"/>
  <c r="I27" i="14" s="1"/>
  <c r="H26" i="14"/>
  <c r="I26" i="14" s="1"/>
  <c r="H25" i="14"/>
  <c r="I25" i="14" s="1"/>
  <c r="H24" i="14"/>
  <c r="I24" i="14" s="1"/>
  <c r="H23" i="14"/>
  <c r="I23" i="14" s="1"/>
  <c r="H22" i="14"/>
  <c r="I22" i="14" s="1"/>
  <c r="H21" i="14"/>
  <c r="I21" i="14" s="1"/>
  <c r="H20" i="14"/>
  <c r="I20" i="14" s="1"/>
  <c r="H19" i="14"/>
  <c r="I19" i="14" s="1"/>
  <c r="H18" i="14"/>
  <c r="I18" i="14" s="1"/>
  <c r="H17" i="14"/>
  <c r="I17" i="14" s="1"/>
  <c r="H16" i="14"/>
  <c r="I16" i="14" s="1"/>
  <c r="H15" i="14"/>
  <c r="I15" i="14" s="1"/>
  <c r="H14" i="14"/>
  <c r="I14" i="14" s="1"/>
  <c r="H13" i="14"/>
  <c r="I13" i="14" s="1"/>
  <c r="H12" i="14"/>
  <c r="I12" i="14" s="1"/>
  <c r="H11" i="14"/>
  <c r="I11" i="14" s="1"/>
  <c r="H10" i="14"/>
  <c r="I10" i="14" s="1"/>
  <c r="H9" i="14"/>
  <c r="I9" i="14" s="1"/>
  <c r="I71" i="15" l="1"/>
  <c r="I70" i="15"/>
  <c r="I69" i="15"/>
  <c r="I68" i="15"/>
  <c r="I67" i="15"/>
  <c r="I66" i="15"/>
  <c r="I65" i="15"/>
  <c r="I64" i="15"/>
  <c r="I63" i="15"/>
  <c r="I62" i="15"/>
  <c r="I61" i="15"/>
  <c r="I60" i="15"/>
  <c r="I59" i="15"/>
  <c r="I58" i="15"/>
  <c r="I57" i="15"/>
  <c r="I56" i="15"/>
  <c r="I55" i="15"/>
  <c r="I54" i="15"/>
  <c r="I53" i="15"/>
  <c r="I52" i="15"/>
  <c r="I51" i="15"/>
  <c r="I50" i="15"/>
  <c r="I49" i="15"/>
  <c r="I48" i="15"/>
  <c r="I47" i="15"/>
  <c r="I46" i="15"/>
  <c r="I45" i="15"/>
  <c r="I44" i="15"/>
  <c r="I43" i="15"/>
  <c r="I42" i="15"/>
  <c r="I41" i="15"/>
  <c r="I40" i="15"/>
  <c r="I39" i="15"/>
  <c r="I38" i="15"/>
  <c r="I37" i="15"/>
  <c r="I36" i="15"/>
  <c r="I35" i="15"/>
  <c r="I34" i="15"/>
  <c r="I33" i="15"/>
  <c r="I32" i="15"/>
  <c r="I31" i="15"/>
  <c r="I30" i="15"/>
  <c r="I29" i="15"/>
  <c r="I28" i="15"/>
  <c r="I27" i="15"/>
  <c r="I26" i="15"/>
  <c r="I25" i="15"/>
  <c r="I24" i="15"/>
  <c r="I23" i="15"/>
  <c r="I22" i="15"/>
  <c r="I21" i="15"/>
  <c r="I20" i="15"/>
  <c r="I19" i="15"/>
  <c r="I18" i="15"/>
  <c r="I17" i="15"/>
  <c r="I16" i="15"/>
  <c r="I15" i="15"/>
  <c r="I14" i="15"/>
  <c r="I13" i="15"/>
  <c r="I12" i="15"/>
  <c r="I11" i="15"/>
  <c r="I10" i="15"/>
  <c r="I9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I71" i="13" l="1"/>
  <c r="I70" i="13"/>
  <c r="I69" i="13"/>
  <c r="I68" i="13"/>
  <c r="I67" i="13"/>
  <c r="I66" i="13"/>
  <c r="I65" i="13"/>
  <c r="I64" i="13"/>
  <c r="I63" i="13"/>
  <c r="I62" i="13"/>
  <c r="I61" i="13"/>
  <c r="I60" i="13"/>
  <c r="I59" i="13"/>
  <c r="I58" i="13"/>
  <c r="I57" i="13"/>
  <c r="I56" i="13"/>
  <c r="I55" i="13"/>
  <c r="I54" i="13"/>
  <c r="I53" i="13"/>
  <c r="I52" i="13"/>
  <c r="I51" i="13"/>
  <c r="I50" i="13"/>
  <c r="I49" i="13"/>
  <c r="I48" i="13"/>
  <c r="I47" i="13"/>
  <c r="I46" i="13"/>
  <c r="I45" i="13"/>
  <c r="I44" i="13"/>
  <c r="I43" i="13"/>
  <c r="I42" i="13"/>
  <c r="I41" i="13"/>
  <c r="I40" i="13"/>
  <c r="I39" i="13"/>
  <c r="I38" i="13"/>
  <c r="I37" i="13"/>
  <c r="I36" i="13"/>
  <c r="I35" i="13"/>
  <c r="I34" i="13"/>
  <c r="I33" i="13"/>
  <c r="I32" i="13"/>
  <c r="I31" i="13"/>
  <c r="I30" i="13"/>
  <c r="I29" i="13"/>
  <c r="I28" i="13"/>
  <c r="I27" i="13"/>
  <c r="I26" i="13"/>
  <c r="I25" i="13"/>
  <c r="I24" i="13"/>
  <c r="I23" i="13"/>
  <c r="I22" i="13"/>
  <c r="I21" i="13"/>
  <c r="I20" i="13"/>
  <c r="I19" i="13"/>
  <c r="I18" i="13"/>
  <c r="I17" i="13"/>
  <c r="I16" i="13"/>
  <c r="I15" i="13"/>
  <c r="I14" i="13"/>
  <c r="I13" i="13"/>
  <c r="I12" i="13"/>
  <c r="I11" i="13"/>
  <c r="I10" i="13"/>
  <c r="I9" i="13"/>
  <c r="H71" i="13"/>
  <c r="H70" i="13"/>
  <c r="H69" i="13"/>
  <c r="H68" i="13"/>
  <c r="H67" i="13"/>
  <c r="H66" i="13"/>
  <c r="H65" i="13"/>
  <c r="H64" i="13"/>
  <c r="H63" i="13"/>
  <c r="H62" i="13"/>
  <c r="H61" i="13"/>
  <c r="H60" i="13"/>
  <c r="H59" i="13"/>
  <c r="H58" i="13"/>
  <c r="H57" i="13"/>
  <c r="H56" i="13"/>
  <c r="H55" i="13"/>
  <c r="H54" i="13"/>
  <c r="H53" i="13"/>
  <c r="H52" i="13"/>
  <c r="H51" i="13"/>
  <c r="H50" i="13"/>
  <c r="H49" i="13"/>
  <c r="H48" i="13"/>
  <c r="H47" i="13"/>
  <c r="H46" i="13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W12" i="16" l="1"/>
  <c r="V12" i="16"/>
  <c r="V13" i="16" s="1"/>
  <c r="U12" i="16"/>
  <c r="T12" i="16"/>
  <c r="S12" i="16"/>
  <c r="R12" i="16"/>
  <c r="Q12" i="16"/>
  <c r="P12" i="16"/>
  <c r="P13" i="16" s="1"/>
  <c r="R13" i="16" l="1"/>
  <c r="T13" i="16"/>
  <c r="D50" i="1"/>
  <c r="E50" i="1"/>
  <c r="F50" i="1"/>
  <c r="G50" i="1"/>
  <c r="H50" i="1"/>
  <c r="I50" i="1"/>
  <c r="J50" i="1"/>
  <c r="K50" i="1"/>
  <c r="L50" i="1"/>
  <c r="D51" i="1"/>
  <c r="E51" i="1"/>
  <c r="F51" i="1"/>
  <c r="G51" i="1"/>
  <c r="H51" i="1"/>
  <c r="I51" i="1"/>
  <c r="J51" i="1"/>
  <c r="K51" i="1"/>
  <c r="L51" i="1"/>
  <c r="D52" i="1"/>
  <c r="E52" i="1"/>
  <c r="F52" i="1"/>
  <c r="G52" i="1"/>
  <c r="H52" i="1"/>
  <c r="I52" i="1"/>
  <c r="J52" i="1"/>
  <c r="K52" i="1"/>
  <c r="L52" i="1"/>
  <c r="D53" i="1"/>
  <c r="E53" i="1"/>
  <c r="F53" i="1"/>
  <c r="G53" i="1"/>
  <c r="H53" i="1"/>
  <c r="I53" i="1"/>
  <c r="J53" i="1"/>
  <c r="K53" i="1"/>
  <c r="L53" i="1"/>
  <c r="D54" i="1"/>
  <c r="E54" i="1"/>
  <c r="F54" i="1"/>
  <c r="G54" i="1"/>
  <c r="H54" i="1"/>
  <c r="I54" i="1"/>
  <c r="J54" i="1"/>
  <c r="K54" i="1"/>
  <c r="L54" i="1"/>
  <c r="D55" i="1"/>
  <c r="E55" i="1"/>
  <c r="F55" i="1"/>
  <c r="G55" i="1"/>
  <c r="H55" i="1"/>
  <c r="I55" i="1"/>
  <c r="J55" i="1"/>
  <c r="K55" i="1"/>
  <c r="L55" i="1"/>
  <c r="D56" i="1"/>
  <c r="E56" i="1"/>
  <c r="F56" i="1"/>
  <c r="G56" i="1"/>
  <c r="H56" i="1"/>
  <c r="I56" i="1"/>
  <c r="J56" i="1"/>
  <c r="K56" i="1"/>
  <c r="L56" i="1"/>
  <c r="D57" i="1"/>
  <c r="E57" i="1"/>
  <c r="F57" i="1"/>
  <c r="G57" i="1"/>
  <c r="H57" i="1"/>
  <c r="I57" i="1"/>
  <c r="J57" i="1"/>
  <c r="K57" i="1"/>
  <c r="L57" i="1"/>
  <c r="D58" i="1"/>
  <c r="E58" i="1"/>
  <c r="F58" i="1"/>
  <c r="G58" i="1"/>
  <c r="H58" i="1"/>
  <c r="I58" i="1"/>
  <c r="J58" i="1"/>
  <c r="K58" i="1"/>
  <c r="L58" i="1"/>
  <c r="D59" i="1"/>
  <c r="E59" i="1"/>
  <c r="F59" i="1"/>
  <c r="G59" i="1"/>
  <c r="H59" i="1"/>
  <c r="I59" i="1"/>
  <c r="J59" i="1"/>
  <c r="K59" i="1"/>
  <c r="L59" i="1"/>
  <c r="D60" i="1"/>
  <c r="E60" i="1"/>
  <c r="F60" i="1"/>
  <c r="G60" i="1"/>
  <c r="H60" i="1"/>
  <c r="I60" i="1"/>
  <c r="J60" i="1"/>
  <c r="K60" i="1"/>
  <c r="L60" i="1"/>
  <c r="D61" i="1"/>
  <c r="E61" i="1"/>
  <c r="F61" i="1"/>
  <c r="G61" i="1"/>
  <c r="H61" i="1"/>
  <c r="I61" i="1"/>
  <c r="J61" i="1"/>
  <c r="K61" i="1"/>
  <c r="L61" i="1"/>
  <c r="D62" i="1"/>
  <c r="E62" i="1"/>
  <c r="F62" i="1"/>
  <c r="G62" i="1"/>
  <c r="H62" i="1"/>
  <c r="I62" i="1"/>
  <c r="J62" i="1"/>
  <c r="K62" i="1"/>
  <c r="L62" i="1"/>
  <c r="D63" i="1"/>
  <c r="E63" i="1"/>
  <c r="F63" i="1"/>
  <c r="G63" i="1"/>
  <c r="H63" i="1"/>
  <c r="I63" i="1"/>
  <c r="J63" i="1"/>
  <c r="K63" i="1"/>
  <c r="L63" i="1"/>
  <c r="D64" i="1"/>
  <c r="E64" i="1"/>
  <c r="F64" i="1"/>
  <c r="G64" i="1"/>
  <c r="H64" i="1"/>
  <c r="I64" i="1"/>
  <c r="J64" i="1"/>
  <c r="K64" i="1"/>
  <c r="L64" i="1"/>
  <c r="D65" i="1"/>
  <c r="E65" i="1"/>
  <c r="F65" i="1"/>
  <c r="G65" i="1"/>
  <c r="H65" i="1"/>
  <c r="I65" i="1"/>
  <c r="J65" i="1"/>
  <c r="K65" i="1"/>
  <c r="L65" i="1"/>
  <c r="D66" i="1"/>
  <c r="E66" i="1"/>
  <c r="F66" i="1"/>
  <c r="G66" i="1"/>
  <c r="H66" i="1"/>
  <c r="I66" i="1"/>
  <c r="J66" i="1"/>
  <c r="K66" i="1"/>
  <c r="L66" i="1"/>
  <c r="D67" i="1"/>
  <c r="E67" i="1"/>
  <c r="F67" i="1"/>
  <c r="G67" i="1"/>
  <c r="H67" i="1"/>
  <c r="I67" i="1"/>
  <c r="J67" i="1"/>
  <c r="K67" i="1"/>
  <c r="L67" i="1"/>
  <c r="D68" i="1"/>
  <c r="E68" i="1"/>
  <c r="F68" i="1"/>
  <c r="G68" i="1"/>
  <c r="H68" i="1"/>
  <c r="I68" i="1"/>
  <c r="J68" i="1"/>
  <c r="K68" i="1"/>
  <c r="L68" i="1"/>
  <c r="D69" i="1"/>
  <c r="E69" i="1"/>
  <c r="F69" i="1"/>
  <c r="G69" i="1"/>
  <c r="H69" i="1"/>
  <c r="I69" i="1"/>
  <c r="J69" i="1"/>
  <c r="K69" i="1"/>
  <c r="L69" i="1"/>
  <c r="D70" i="1"/>
  <c r="E70" i="1"/>
  <c r="F70" i="1"/>
  <c r="G70" i="1"/>
  <c r="H70" i="1"/>
  <c r="I70" i="1"/>
  <c r="J70" i="1"/>
  <c r="K70" i="1"/>
  <c r="L70" i="1"/>
  <c r="D71" i="1"/>
  <c r="E71" i="1"/>
  <c r="F71" i="1"/>
  <c r="G71" i="1"/>
  <c r="H71" i="1"/>
  <c r="I71" i="1"/>
  <c r="J71" i="1"/>
  <c r="K71" i="1"/>
  <c r="L71" i="1"/>
  <c r="D72" i="1"/>
  <c r="E72" i="1"/>
  <c r="F72" i="1"/>
  <c r="G72" i="1"/>
  <c r="H72" i="1"/>
  <c r="I72" i="1"/>
  <c r="J72" i="1"/>
  <c r="K72" i="1"/>
  <c r="L72" i="1"/>
  <c r="D73" i="1"/>
  <c r="E73" i="1"/>
  <c r="F73" i="1"/>
  <c r="G73" i="1"/>
  <c r="H73" i="1"/>
  <c r="I73" i="1"/>
  <c r="J73" i="1"/>
  <c r="K73" i="1"/>
  <c r="L73" i="1"/>
  <c r="M48" i="11"/>
  <c r="E50" i="16" s="1"/>
  <c r="N48" i="11"/>
  <c r="R48" i="11"/>
  <c r="M48" i="3"/>
  <c r="F50" i="16" s="1"/>
  <c r="R48" i="3"/>
  <c r="M48" i="15"/>
  <c r="R48" i="15"/>
  <c r="M48" i="14"/>
  <c r="R48" i="14"/>
  <c r="M48" i="8"/>
  <c r="I50" i="16" s="1"/>
  <c r="N48" i="8"/>
  <c r="R48" i="8"/>
  <c r="M48" i="7"/>
  <c r="J50" i="16" s="1"/>
  <c r="N48" i="7"/>
  <c r="R48" i="7"/>
  <c r="M48" i="4"/>
  <c r="R48" i="4"/>
  <c r="S48" i="4"/>
  <c r="T48" i="4" s="1"/>
  <c r="M48" i="13"/>
  <c r="R48" i="13"/>
  <c r="M48" i="2"/>
  <c r="D50" i="16" s="1"/>
  <c r="R48" i="2"/>
  <c r="N48" i="3" l="1"/>
  <c r="N48" i="2"/>
  <c r="N48" i="4"/>
  <c r="K50" i="16"/>
  <c r="N50" i="1"/>
  <c r="N48" i="14"/>
  <c r="H50" i="16"/>
  <c r="N48" i="15"/>
  <c r="G50" i="16"/>
  <c r="S48" i="15"/>
  <c r="T48" i="15" s="1"/>
  <c r="N48" i="13"/>
  <c r="L50" i="16"/>
  <c r="N50" i="16" s="1"/>
  <c r="S48" i="13"/>
  <c r="T48" i="13" s="1"/>
  <c r="S48" i="2"/>
  <c r="T48" i="2" s="1"/>
  <c r="S48" i="8"/>
  <c r="T48" i="8" s="1"/>
  <c r="S48" i="11"/>
  <c r="T48" i="11" s="1"/>
  <c r="S48" i="14"/>
  <c r="T48" i="14" s="1"/>
  <c r="S48" i="7"/>
  <c r="T48" i="7" s="1"/>
  <c r="S48" i="3"/>
  <c r="T48" i="3" s="1"/>
  <c r="D12" i="1"/>
  <c r="E12" i="1"/>
  <c r="F12" i="1"/>
  <c r="G12" i="1"/>
  <c r="H12" i="1"/>
  <c r="I12" i="1"/>
  <c r="J12" i="1"/>
  <c r="K12" i="1"/>
  <c r="L12" i="1"/>
  <c r="D13" i="1"/>
  <c r="E13" i="1"/>
  <c r="F13" i="1"/>
  <c r="G13" i="1"/>
  <c r="H13" i="1"/>
  <c r="I13" i="1"/>
  <c r="J13" i="1"/>
  <c r="K13" i="1"/>
  <c r="L13" i="1"/>
  <c r="D14" i="1"/>
  <c r="E14" i="1"/>
  <c r="F14" i="1"/>
  <c r="G14" i="1"/>
  <c r="H14" i="1"/>
  <c r="I14" i="1"/>
  <c r="J14" i="1"/>
  <c r="K14" i="1"/>
  <c r="L14" i="1"/>
  <c r="D15" i="1"/>
  <c r="E15" i="1"/>
  <c r="F15" i="1"/>
  <c r="G15" i="1"/>
  <c r="H15" i="1"/>
  <c r="I15" i="1"/>
  <c r="J15" i="1"/>
  <c r="K15" i="1"/>
  <c r="L15" i="1"/>
  <c r="D16" i="1"/>
  <c r="E16" i="1"/>
  <c r="F16" i="1"/>
  <c r="G16" i="1"/>
  <c r="H16" i="1"/>
  <c r="I16" i="1"/>
  <c r="J16" i="1"/>
  <c r="K16" i="1"/>
  <c r="L16" i="1"/>
  <c r="D17" i="1"/>
  <c r="E17" i="1"/>
  <c r="F17" i="1"/>
  <c r="G17" i="1"/>
  <c r="H17" i="1"/>
  <c r="I17" i="1"/>
  <c r="J17" i="1"/>
  <c r="K17" i="1"/>
  <c r="L17" i="1"/>
  <c r="D18" i="1"/>
  <c r="E18" i="1"/>
  <c r="F18" i="1"/>
  <c r="G18" i="1"/>
  <c r="H18" i="1"/>
  <c r="I18" i="1"/>
  <c r="J18" i="1"/>
  <c r="K18" i="1"/>
  <c r="L18" i="1"/>
  <c r="D19" i="1"/>
  <c r="E19" i="1"/>
  <c r="F19" i="1"/>
  <c r="G19" i="1"/>
  <c r="H19" i="1"/>
  <c r="I19" i="1"/>
  <c r="J19" i="1"/>
  <c r="K19" i="1"/>
  <c r="L19" i="1"/>
  <c r="D20" i="1"/>
  <c r="E20" i="1"/>
  <c r="F20" i="1"/>
  <c r="G20" i="1"/>
  <c r="H20" i="1"/>
  <c r="I20" i="1"/>
  <c r="J20" i="1"/>
  <c r="K20" i="1"/>
  <c r="L20" i="1"/>
  <c r="D21" i="1"/>
  <c r="E21" i="1"/>
  <c r="F21" i="1"/>
  <c r="G21" i="1"/>
  <c r="H21" i="1"/>
  <c r="I21" i="1"/>
  <c r="J21" i="1"/>
  <c r="K21" i="1"/>
  <c r="L21" i="1"/>
  <c r="D22" i="1"/>
  <c r="E22" i="1"/>
  <c r="F22" i="1"/>
  <c r="G22" i="1"/>
  <c r="H22" i="1"/>
  <c r="I22" i="1"/>
  <c r="J22" i="1"/>
  <c r="K22" i="1"/>
  <c r="L22" i="1"/>
  <c r="D23" i="1"/>
  <c r="E23" i="1"/>
  <c r="F23" i="1"/>
  <c r="G23" i="1"/>
  <c r="H23" i="1"/>
  <c r="I23" i="1"/>
  <c r="J23" i="1"/>
  <c r="K23" i="1"/>
  <c r="L23" i="1"/>
  <c r="D24" i="1"/>
  <c r="E24" i="1"/>
  <c r="F24" i="1"/>
  <c r="G24" i="1"/>
  <c r="H24" i="1"/>
  <c r="I24" i="1"/>
  <c r="J24" i="1"/>
  <c r="K24" i="1"/>
  <c r="L24" i="1"/>
  <c r="D25" i="1"/>
  <c r="E25" i="1"/>
  <c r="F25" i="1"/>
  <c r="G25" i="1"/>
  <c r="H25" i="1"/>
  <c r="I25" i="1"/>
  <c r="J25" i="1"/>
  <c r="K25" i="1"/>
  <c r="L25" i="1"/>
  <c r="D26" i="1"/>
  <c r="E26" i="1"/>
  <c r="F26" i="1"/>
  <c r="G26" i="1"/>
  <c r="H26" i="1"/>
  <c r="I26" i="1"/>
  <c r="J26" i="1"/>
  <c r="K26" i="1"/>
  <c r="L26" i="1"/>
  <c r="D27" i="1"/>
  <c r="E27" i="1"/>
  <c r="F27" i="1"/>
  <c r="G27" i="1"/>
  <c r="H27" i="1"/>
  <c r="I27" i="1"/>
  <c r="J27" i="1"/>
  <c r="K27" i="1"/>
  <c r="L27" i="1"/>
  <c r="D28" i="1"/>
  <c r="E28" i="1"/>
  <c r="F28" i="1"/>
  <c r="G28" i="1"/>
  <c r="H28" i="1"/>
  <c r="I28" i="1"/>
  <c r="J28" i="1"/>
  <c r="K28" i="1"/>
  <c r="L28" i="1"/>
  <c r="D29" i="1"/>
  <c r="E29" i="1"/>
  <c r="F29" i="1"/>
  <c r="G29" i="1"/>
  <c r="H29" i="1"/>
  <c r="I29" i="1"/>
  <c r="J29" i="1"/>
  <c r="K29" i="1"/>
  <c r="L29" i="1"/>
  <c r="D30" i="1"/>
  <c r="E30" i="1"/>
  <c r="F30" i="1"/>
  <c r="G30" i="1"/>
  <c r="H30" i="1"/>
  <c r="I30" i="1"/>
  <c r="J30" i="1"/>
  <c r="K30" i="1"/>
  <c r="L30" i="1"/>
  <c r="D31" i="1"/>
  <c r="E31" i="1"/>
  <c r="F31" i="1"/>
  <c r="G31" i="1"/>
  <c r="H31" i="1"/>
  <c r="I31" i="1"/>
  <c r="J31" i="1"/>
  <c r="K31" i="1"/>
  <c r="L31" i="1"/>
  <c r="D32" i="1"/>
  <c r="E32" i="1"/>
  <c r="F32" i="1"/>
  <c r="G32" i="1"/>
  <c r="H32" i="1"/>
  <c r="I32" i="1"/>
  <c r="J32" i="1"/>
  <c r="K32" i="1"/>
  <c r="L32" i="1"/>
  <c r="D33" i="1"/>
  <c r="E33" i="1"/>
  <c r="F33" i="1"/>
  <c r="G33" i="1"/>
  <c r="H33" i="1"/>
  <c r="I33" i="1"/>
  <c r="J33" i="1"/>
  <c r="K33" i="1"/>
  <c r="L33" i="1"/>
  <c r="D34" i="1"/>
  <c r="E34" i="1"/>
  <c r="F34" i="1"/>
  <c r="G34" i="1"/>
  <c r="H34" i="1"/>
  <c r="I34" i="1"/>
  <c r="J34" i="1"/>
  <c r="K34" i="1"/>
  <c r="L34" i="1"/>
  <c r="D35" i="1"/>
  <c r="E35" i="1"/>
  <c r="F35" i="1"/>
  <c r="G35" i="1"/>
  <c r="H35" i="1"/>
  <c r="I35" i="1"/>
  <c r="J35" i="1"/>
  <c r="K35" i="1"/>
  <c r="L35" i="1"/>
  <c r="D36" i="1"/>
  <c r="E36" i="1"/>
  <c r="F36" i="1"/>
  <c r="G36" i="1"/>
  <c r="H36" i="1"/>
  <c r="I36" i="1"/>
  <c r="J36" i="1"/>
  <c r="K36" i="1"/>
  <c r="L36" i="1"/>
  <c r="D37" i="1"/>
  <c r="E37" i="1"/>
  <c r="F37" i="1"/>
  <c r="G37" i="1"/>
  <c r="H37" i="1"/>
  <c r="I37" i="1"/>
  <c r="J37" i="1"/>
  <c r="K37" i="1"/>
  <c r="L37" i="1"/>
  <c r="D38" i="1"/>
  <c r="E38" i="1"/>
  <c r="F38" i="1"/>
  <c r="G38" i="1"/>
  <c r="H38" i="1"/>
  <c r="I38" i="1"/>
  <c r="J38" i="1"/>
  <c r="K38" i="1"/>
  <c r="L38" i="1"/>
  <c r="D39" i="1"/>
  <c r="E39" i="1"/>
  <c r="F39" i="1"/>
  <c r="G39" i="1"/>
  <c r="H39" i="1"/>
  <c r="I39" i="1"/>
  <c r="J39" i="1"/>
  <c r="K39" i="1"/>
  <c r="L39" i="1"/>
  <c r="D40" i="1"/>
  <c r="E40" i="1"/>
  <c r="F40" i="1"/>
  <c r="G40" i="1"/>
  <c r="H40" i="1"/>
  <c r="I40" i="1"/>
  <c r="J40" i="1"/>
  <c r="K40" i="1"/>
  <c r="L40" i="1"/>
  <c r="D41" i="1"/>
  <c r="E41" i="1"/>
  <c r="F41" i="1"/>
  <c r="G41" i="1"/>
  <c r="H41" i="1"/>
  <c r="I41" i="1"/>
  <c r="J41" i="1"/>
  <c r="K41" i="1"/>
  <c r="L41" i="1"/>
  <c r="D42" i="1"/>
  <c r="E42" i="1"/>
  <c r="F42" i="1"/>
  <c r="G42" i="1"/>
  <c r="H42" i="1"/>
  <c r="I42" i="1"/>
  <c r="J42" i="1"/>
  <c r="K42" i="1"/>
  <c r="L42" i="1"/>
  <c r="D43" i="1"/>
  <c r="E43" i="1"/>
  <c r="F43" i="1"/>
  <c r="G43" i="1"/>
  <c r="H43" i="1"/>
  <c r="I43" i="1"/>
  <c r="J43" i="1"/>
  <c r="K43" i="1"/>
  <c r="L43" i="1"/>
  <c r="D44" i="1"/>
  <c r="E44" i="1"/>
  <c r="F44" i="1"/>
  <c r="G44" i="1"/>
  <c r="H44" i="1"/>
  <c r="I44" i="1"/>
  <c r="J44" i="1"/>
  <c r="K44" i="1"/>
  <c r="L44" i="1"/>
  <c r="D45" i="1"/>
  <c r="E45" i="1"/>
  <c r="F45" i="1"/>
  <c r="G45" i="1"/>
  <c r="H45" i="1"/>
  <c r="I45" i="1"/>
  <c r="J45" i="1"/>
  <c r="K45" i="1"/>
  <c r="L45" i="1"/>
  <c r="D46" i="1"/>
  <c r="E46" i="1"/>
  <c r="F46" i="1"/>
  <c r="G46" i="1"/>
  <c r="H46" i="1"/>
  <c r="I46" i="1"/>
  <c r="J46" i="1"/>
  <c r="K46" i="1"/>
  <c r="L46" i="1"/>
  <c r="D47" i="1"/>
  <c r="E47" i="1"/>
  <c r="F47" i="1"/>
  <c r="G47" i="1"/>
  <c r="H47" i="1"/>
  <c r="I47" i="1"/>
  <c r="J47" i="1"/>
  <c r="K47" i="1"/>
  <c r="L47" i="1"/>
  <c r="D48" i="1"/>
  <c r="E48" i="1"/>
  <c r="F48" i="1"/>
  <c r="G48" i="1"/>
  <c r="H48" i="1"/>
  <c r="I48" i="1"/>
  <c r="J48" i="1"/>
  <c r="K48" i="1"/>
  <c r="L48" i="1"/>
  <c r="D49" i="1"/>
  <c r="E49" i="1"/>
  <c r="F49" i="1"/>
  <c r="G49" i="1"/>
  <c r="H49" i="1"/>
  <c r="I49" i="1"/>
  <c r="J49" i="1"/>
  <c r="K49" i="1"/>
  <c r="L49" i="1"/>
  <c r="M55" i="11"/>
  <c r="E57" i="16" s="1"/>
  <c r="R55" i="11"/>
  <c r="M56" i="11"/>
  <c r="E58" i="16" s="1"/>
  <c r="N56" i="11"/>
  <c r="R56" i="11"/>
  <c r="M55" i="3"/>
  <c r="R55" i="3"/>
  <c r="M56" i="3"/>
  <c r="R56" i="3"/>
  <c r="M55" i="15"/>
  <c r="G57" i="16" s="1"/>
  <c r="R55" i="15"/>
  <c r="M56" i="15"/>
  <c r="G58" i="16" s="1"/>
  <c r="N56" i="15"/>
  <c r="R56" i="15"/>
  <c r="M55" i="14"/>
  <c r="R55" i="14"/>
  <c r="S55" i="14"/>
  <c r="T55" i="14" s="1"/>
  <c r="M56" i="14"/>
  <c r="R56" i="14"/>
  <c r="M55" i="8"/>
  <c r="I57" i="16" s="1"/>
  <c r="N55" i="8"/>
  <c r="R55" i="8"/>
  <c r="M56" i="8"/>
  <c r="I58" i="16" s="1"/>
  <c r="R56" i="8"/>
  <c r="M55" i="7"/>
  <c r="R55" i="7"/>
  <c r="S55" i="7"/>
  <c r="T55" i="7" s="1"/>
  <c r="M56" i="7"/>
  <c r="R56" i="7"/>
  <c r="M55" i="4"/>
  <c r="K57" i="16" s="1"/>
  <c r="R55" i="4"/>
  <c r="M56" i="4"/>
  <c r="K58" i="16" s="1"/>
  <c r="R56" i="4"/>
  <c r="M55" i="13"/>
  <c r="R55" i="13"/>
  <c r="M56" i="13"/>
  <c r="R56" i="13"/>
  <c r="M55" i="2"/>
  <c r="D57" i="16" s="1"/>
  <c r="N55" i="2"/>
  <c r="R55" i="2"/>
  <c r="M56" i="2"/>
  <c r="D58" i="16" s="1"/>
  <c r="N56" i="2"/>
  <c r="R56" i="2"/>
  <c r="M26" i="11"/>
  <c r="E28" i="16" s="1"/>
  <c r="N26" i="11"/>
  <c r="R26" i="11"/>
  <c r="M27" i="11"/>
  <c r="R27" i="11"/>
  <c r="M26" i="3"/>
  <c r="R26" i="3"/>
  <c r="M27" i="3"/>
  <c r="R27" i="3"/>
  <c r="M26" i="15"/>
  <c r="R26" i="15"/>
  <c r="M27" i="15"/>
  <c r="G29" i="16" s="1"/>
  <c r="N27" i="15"/>
  <c r="R27" i="15"/>
  <c r="M26" i="14"/>
  <c r="R26" i="14"/>
  <c r="S26" i="14"/>
  <c r="T26" i="14" s="1"/>
  <c r="M27" i="14"/>
  <c r="R27" i="14"/>
  <c r="M26" i="8"/>
  <c r="N26" i="8" s="1"/>
  <c r="R26" i="8"/>
  <c r="M27" i="8"/>
  <c r="I29" i="16" s="1"/>
  <c r="N27" i="8"/>
  <c r="R27" i="8"/>
  <c r="M26" i="7"/>
  <c r="R26" i="7"/>
  <c r="S26" i="7"/>
  <c r="T26" i="7" s="1"/>
  <c r="M27" i="7"/>
  <c r="R27" i="7"/>
  <c r="M26" i="4"/>
  <c r="N26" i="4"/>
  <c r="R26" i="4"/>
  <c r="M27" i="4"/>
  <c r="K29" i="16" s="1"/>
  <c r="N27" i="4"/>
  <c r="R27" i="4"/>
  <c r="M26" i="13"/>
  <c r="S26" i="13" s="1"/>
  <c r="T26" i="13" s="1"/>
  <c r="R26" i="13"/>
  <c r="M27" i="13"/>
  <c r="R27" i="13"/>
  <c r="M26" i="2"/>
  <c r="N26" i="2"/>
  <c r="R26" i="2"/>
  <c r="M27" i="2"/>
  <c r="D29" i="16" s="1"/>
  <c r="R27" i="2"/>
  <c r="N27" i="7" l="1"/>
  <c r="J29" i="16"/>
  <c r="N55" i="7"/>
  <c r="J57" i="16"/>
  <c r="N26" i="7"/>
  <c r="J28" i="16"/>
  <c r="N56" i="7"/>
  <c r="J58" i="16"/>
  <c r="N26" i="3"/>
  <c r="F28" i="16"/>
  <c r="N55" i="3"/>
  <c r="F57" i="16"/>
  <c r="N27" i="3"/>
  <c r="F29" i="16"/>
  <c r="N56" i="3"/>
  <c r="F58" i="16"/>
  <c r="S26" i="3"/>
  <c r="T26" i="3" s="1"/>
  <c r="S55" i="3"/>
  <c r="T55" i="3" s="1"/>
  <c r="N27" i="2"/>
  <c r="S26" i="2"/>
  <c r="T26" i="2" s="1"/>
  <c r="D28" i="16"/>
  <c r="N27" i="11"/>
  <c r="E29" i="16"/>
  <c r="N55" i="11"/>
  <c r="S26" i="4"/>
  <c r="T26" i="4" s="1"/>
  <c r="K28" i="16"/>
  <c r="N55" i="4"/>
  <c r="N56" i="4"/>
  <c r="S26" i="8"/>
  <c r="T26" i="8" s="1"/>
  <c r="I28" i="16"/>
  <c r="N56" i="8"/>
  <c r="N55" i="14"/>
  <c r="H57" i="16"/>
  <c r="N26" i="14"/>
  <c r="H28" i="16"/>
  <c r="N56" i="14"/>
  <c r="H58" i="16"/>
  <c r="N27" i="14"/>
  <c r="H29" i="16"/>
  <c r="S26" i="15"/>
  <c r="T26" i="15" s="1"/>
  <c r="G28" i="16"/>
  <c r="N26" i="15"/>
  <c r="N55" i="15"/>
  <c r="N55" i="13"/>
  <c r="L57" i="16"/>
  <c r="N26" i="13"/>
  <c r="L28" i="16"/>
  <c r="N28" i="16" s="1"/>
  <c r="N56" i="13"/>
  <c r="L58" i="16"/>
  <c r="N27" i="13"/>
  <c r="L29" i="16"/>
  <c r="N29" i="16" s="1"/>
  <c r="S55" i="13"/>
  <c r="T55" i="13" s="1"/>
  <c r="N58" i="1"/>
  <c r="N57" i="1"/>
  <c r="N28" i="1"/>
  <c r="S56" i="13"/>
  <c r="T56" i="13" s="1"/>
  <c r="S56" i="7"/>
  <c r="T56" i="7" s="1"/>
  <c r="S56" i="14"/>
  <c r="T56" i="14" s="1"/>
  <c r="S56" i="3"/>
  <c r="T56" i="3" s="1"/>
  <c r="S55" i="2"/>
  <c r="T55" i="2" s="1"/>
  <c r="S55" i="4"/>
  <c r="T55" i="4" s="1"/>
  <c r="S55" i="8"/>
  <c r="T55" i="8" s="1"/>
  <c r="S55" i="15"/>
  <c r="T55" i="15" s="1"/>
  <c r="S55" i="11"/>
  <c r="T55" i="11" s="1"/>
  <c r="S56" i="2"/>
  <c r="T56" i="2" s="1"/>
  <c r="S56" i="4"/>
  <c r="T56" i="4" s="1"/>
  <c r="S56" i="8"/>
  <c r="T56" i="8" s="1"/>
  <c r="S56" i="15"/>
  <c r="T56" i="15" s="1"/>
  <c r="S56" i="11"/>
  <c r="T56" i="11" s="1"/>
  <c r="S27" i="13"/>
  <c r="T27" i="13" s="1"/>
  <c r="S27" i="7"/>
  <c r="T27" i="7" s="1"/>
  <c r="S27" i="14"/>
  <c r="T27" i="14" s="1"/>
  <c r="S27" i="3"/>
  <c r="T27" i="3" s="1"/>
  <c r="S26" i="11"/>
  <c r="T26" i="11" s="1"/>
  <c r="S27" i="2"/>
  <c r="T27" i="2" s="1"/>
  <c r="S27" i="4"/>
  <c r="T27" i="4" s="1"/>
  <c r="S27" i="8"/>
  <c r="T27" i="8" s="1"/>
  <c r="S27" i="15"/>
  <c r="T27" i="15" s="1"/>
  <c r="S27" i="11"/>
  <c r="T27" i="11" s="1"/>
  <c r="N58" i="16" l="1"/>
  <c r="N57" i="16"/>
  <c r="M57" i="11"/>
  <c r="R57" i="11"/>
  <c r="M58" i="11"/>
  <c r="R58" i="11"/>
  <c r="M59" i="11"/>
  <c r="R59" i="11"/>
  <c r="M60" i="11"/>
  <c r="E62" i="16" s="1"/>
  <c r="R60" i="11"/>
  <c r="M61" i="11"/>
  <c r="R61" i="11"/>
  <c r="M62" i="11"/>
  <c r="R62" i="11"/>
  <c r="M63" i="11"/>
  <c r="R63" i="11"/>
  <c r="M57" i="3"/>
  <c r="R57" i="3"/>
  <c r="M58" i="3"/>
  <c r="R58" i="3"/>
  <c r="M59" i="3"/>
  <c r="R59" i="3"/>
  <c r="M60" i="3"/>
  <c r="F62" i="16" s="1"/>
  <c r="R60" i="3"/>
  <c r="M61" i="3"/>
  <c r="R61" i="3"/>
  <c r="M62" i="3"/>
  <c r="R62" i="3"/>
  <c r="M63" i="3"/>
  <c r="R63" i="3"/>
  <c r="M57" i="15"/>
  <c r="R57" i="15"/>
  <c r="M58" i="15"/>
  <c r="R58" i="15"/>
  <c r="M59" i="15"/>
  <c r="G61" i="16" s="1"/>
  <c r="R59" i="15"/>
  <c r="M60" i="15"/>
  <c r="R60" i="15"/>
  <c r="M61" i="15"/>
  <c r="G63" i="16" s="1"/>
  <c r="N61" i="15"/>
  <c r="R61" i="15"/>
  <c r="M62" i="15"/>
  <c r="R62" i="15"/>
  <c r="M63" i="15"/>
  <c r="R63" i="15"/>
  <c r="M57" i="14"/>
  <c r="R57" i="14"/>
  <c r="M58" i="14"/>
  <c r="R58" i="14"/>
  <c r="M59" i="14"/>
  <c r="H61" i="16" s="1"/>
  <c r="R59" i="14"/>
  <c r="M60" i="14"/>
  <c r="H62" i="16" s="1"/>
  <c r="R60" i="14"/>
  <c r="M61" i="14"/>
  <c r="R61" i="14"/>
  <c r="M62" i="14"/>
  <c r="R62" i="14"/>
  <c r="M63" i="14"/>
  <c r="R63" i="14"/>
  <c r="M57" i="8"/>
  <c r="R57" i="8"/>
  <c r="M58" i="8"/>
  <c r="R58" i="8"/>
  <c r="M59" i="8"/>
  <c r="R59" i="8"/>
  <c r="M60" i="8"/>
  <c r="I62" i="16" s="1"/>
  <c r="R60" i="8"/>
  <c r="M61" i="8"/>
  <c r="R61" i="8"/>
  <c r="M62" i="8"/>
  <c r="R62" i="8"/>
  <c r="M63" i="8"/>
  <c r="R63" i="8"/>
  <c r="M57" i="7"/>
  <c r="R57" i="7"/>
  <c r="M58" i="7"/>
  <c r="R58" i="7"/>
  <c r="M59" i="7"/>
  <c r="R59" i="7"/>
  <c r="M60" i="7"/>
  <c r="J62" i="16" s="1"/>
  <c r="R60" i="7"/>
  <c r="M61" i="7"/>
  <c r="R61" i="7"/>
  <c r="M62" i="7"/>
  <c r="R62" i="7"/>
  <c r="M63" i="7"/>
  <c r="R63" i="7"/>
  <c r="M57" i="4"/>
  <c r="R57" i="4"/>
  <c r="M58" i="4"/>
  <c r="R58" i="4"/>
  <c r="M59" i="4"/>
  <c r="R59" i="4"/>
  <c r="M60" i="4"/>
  <c r="K62" i="16" s="1"/>
  <c r="R60" i="4"/>
  <c r="M61" i="4"/>
  <c r="R61" i="4"/>
  <c r="M62" i="4"/>
  <c r="R62" i="4"/>
  <c r="M63" i="4"/>
  <c r="R63" i="4"/>
  <c r="M57" i="13"/>
  <c r="R57" i="13"/>
  <c r="M58" i="13"/>
  <c r="R58" i="13"/>
  <c r="M59" i="13"/>
  <c r="R59" i="13"/>
  <c r="M60" i="13"/>
  <c r="L62" i="16" s="1"/>
  <c r="R60" i="13"/>
  <c r="M61" i="13"/>
  <c r="R61" i="13"/>
  <c r="M62" i="13"/>
  <c r="R62" i="13"/>
  <c r="M63" i="13"/>
  <c r="R63" i="13"/>
  <c r="M57" i="2"/>
  <c r="R57" i="2"/>
  <c r="M58" i="2"/>
  <c r="R58" i="2"/>
  <c r="M59" i="2"/>
  <c r="R59" i="2"/>
  <c r="M60" i="2"/>
  <c r="D62" i="16" s="1"/>
  <c r="R60" i="2"/>
  <c r="M61" i="2"/>
  <c r="R61" i="2"/>
  <c r="M62" i="2"/>
  <c r="R62" i="2"/>
  <c r="M63" i="2"/>
  <c r="R63" i="2"/>
  <c r="R71" i="15"/>
  <c r="M71" i="15"/>
  <c r="R70" i="15"/>
  <c r="M70" i="15"/>
  <c r="R69" i="15"/>
  <c r="M69" i="15"/>
  <c r="R68" i="15"/>
  <c r="M68" i="15"/>
  <c r="G70" i="16" s="1"/>
  <c r="R67" i="15"/>
  <c r="M67" i="15"/>
  <c r="R66" i="15"/>
  <c r="M66" i="15"/>
  <c r="R65" i="15"/>
  <c r="M65" i="15"/>
  <c r="R64" i="15"/>
  <c r="M64" i="15"/>
  <c r="R54" i="15"/>
  <c r="M54" i="15"/>
  <c r="R53" i="15"/>
  <c r="M53" i="15"/>
  <c r="G55" i="16" s="1"/>
  <c r="R52" i="15"/>
  <c r="M52" i="15"/>
  <c r="G54" i="16" s="1"/>
  <c r="R51" i="15"/>
  <c r="M51" i="15"/>
  <c r="R50" i="15"/>
  <c r="M50" i="15"/>
  <c r="R49" i="15"/>
  <c r="M49" i="15"/>
  <c r="R47" i="15"/>
  <c r="M47" i="15"/>
  <c r="R46" i="15"/>
  <c r="M46" i="15"/>
  <c r="R45" i="15"/>
  <c r="M45" i="15"/>
  <c r="R44" i="15"/>
  <c r="M44" i="15"/>
  <c r="R43" i="15"/>
  <c r="M43" i="15"/>
  <c r="G45" i="16" s="1"/>
  <c r="R42" i="15"/>
  <c r="M42" i="15"/>
  <c r="R41" i="15"/>
  <c r="M41" i="15"/>
  <c r="R40" i="15"/>
  <c r="M40" i="15"/>
  <c r="R39" i="15"/>
  <c r="M39" i="15"/>
  <c r="R38" i="15"/>
  <c r="M38" i="15"/>
  <c r="R37" i="15"/>
  <c r="M37" i="15"/>
  <c r="G39" i="16" s="1"/>
  <c r="R36" i="15"/>
  <c r="N36" i="15"/>
  <c r="M36" i="15"/>
  <c r="G38" i="16" s="1"/>
  <c r="R35" i="15"/>
  <c r="M35" i="15"/>
  <c r="R34" i="15"/>
  <c r="M34" i="15"/>
  <c r="R33" i="15"/>
  <c r="M33" i="15"/>
  <c r="R32" i="15"/>
  <c r="M32" i="15"/>
  <c r="R31" i="15"/>
  <c r="M31" i="15"/>
  <c r="R30" i="15"/>
  <c r="M30" i="15"/>
  <c r="R29" i="15"/>
  <c r="M29" i="15"/>
  <c r="R28" i="15"/>
  <c r="M28" i="15"/>
  <c r="R25" i="15"/>
  <c r="M25" i="15"/>
  <c r="R24" i="15"/>
  <c r="M24" i="15"/>
  <c r="R23" i="15"/>
  <c r="M23" i="15"/>
  <c r="R22" i="15"/>
  <c r="M22" i="15"/>
  <c r="R21" i="15"/>
  <c r="M21" i="15"/>
  <c r="R20" i="15"/>
  <c r="M20" i="15"/>
  <c r="R19" i="15"/>
  <c r="M19" i="15"/>
  <c r="R18" i="15"/>
  <c r="M18" i="15"/>
  <c r="R17" i="15"/>
  <c r="M17" i="15"/>
  <c r="R16" i="15"/>
  <c r="M16" i="15"/>
  <c r="R15" i="15"/>
  <c r="M15" i="15"/>
  <c r="R14" i="15"/>
  <c r="M14" i="15"/>
  <c r="R13" i="15"/>
  <c r="M13" i="15"/>
  <c r="R12" i="15"/>
  <c r="M12" i="15"/>
  <c r="R11" i="15"/>
  <c r="M11" i="15"/>
  <c r="R10" i="15"/>
  <c r="M10" i="15"/>
  <c r="R9" i="15"/>
  <c r="M9" i="15"/>
  <c r="N58" i="7" l="1"/>
  <c r="J60" i="16"/>
  <c r="N62" i="7"/>
  <c r="J64" i="16"/>
  <c r="N63" i="7"/>
  <c r="J65" i="16"/>
  <c r="N61" i="7"/>
  <c r="J63" i="16"/>
  <c r="N59" i="7"/>
  <c r="J61" i="16"/>
  <c r="N57" i="7"/>
  <c r="J59" i="16"/>
  <c r="N62" i="3"/>
  <c r="F64" i="16"/>
  <c r="N58" i="3"/>
  <c r="F60" i="16"/>
  <c r="N63" i="3"/>
  <c r="F65" i="16"/>
  <c r="N61" i="3"/>
  <c r="F63" i="16"/>
  <c r="N59" i="3"/>
  <c r="F61" i="16"/>
  <c r="N57" i="3"/>
  <c r="F59" i="16"/>
  <c r="N57" i="2"/>
  <c r="D59" i="16"/>
  <c r="N61" i="2"/>
  <c r="D63" i="16"/>
  <c r="N58" i="2"/>
  <c r="D60" i="16"/>
  <c r="N63" i="2"/>
  <c r="D65" i="16"/>
  <c r="N59" i="2"/>
  <c r="D61" i="16"/>
  <c r="N62" i="2"/>
  <c r="D64" i="16"/>
  <c r="N62" i="11"/>
  <c r="E64" i="16"/>
  <c r="N58" i="11"/>
  <c r="E60" i="16"/>
  <c r="N63" i="11"/>
  <c r="E65" i="16"/>
  <c r="N61" i="11"/>
  <c r="E63" i="16"/>
  <c r="N59" i="11"/>
  <c r="E61" i="16"/>
  <c r="N57" i="11"/>
  <c r="E59" i="16"/>
  <c r="N63" i="4"/>
  <c r="K65" i="16"/>
  <c r="N61" i="4"/>
  <c r="K63" i="16"/>
  <c r="N59" i="4"/>
  <c r="K61" i="16"/>
  <c r="N57" i="4"/>
  <c r="K59" i="16"/>
  <c r="N62" i="4"/>
  <c r="K64" i="16"/>
  <c r="N58" i="4"/>
  <c r="K60" i="16"/>
  <c r="N57" i="8"/>
  <c r="I59" i="16"/>
  <c r="N63" i="8"/>
  <c r="I65" i="16"/>
  <c r="N59" i="8"/>
  <c r="I61" i="16"/>
  <c r="N62" i="8"/>
  <c r="I64" i="16"/>
  <c r="N58" i="8"/>
  <c r="I60" i="16"/>
  <c r="N61" i="8"/>
  <c r="I63" i="16"/>
  <c r="N63" i="14"/>
  <c r="H65" i="16"/>
  <c r="N61" i="14"/>
  <c r="H63" i="16"/>
  <c r="N59" i="14"/>
  <c r="N58" i="14"/>
  <c r="H60" i="16"/>
  <c r="N57" i="14"/>
  <c r="H59" i="16"/>
  <c r="N62" i="14"/>
  <c r="H64" i="16"/>
  <c r="N9" i="15"/>
  <c r="G11" i="16"/>
  <c r="N19" i="15"/>
  <c r="G21" i="16"/>
  <c r="N31" i="15"/>
  <c r="G33" i="16"/>
  <c r="N39" i="15"/>
  <c r="G41" i="16"/>
  <c r="N41" i="15"/>
  <c r="G43" i="16"/>
  <c r="N45" i="15"/>
  <c r="G47" i="16"/>
  <c r="N47" i="15"/>
  <c r="G49" i="16"/>
  <c r="N50" i="15"/>
  <c r="G52" i="16"/>
  <c r="N54" i="15"/>
  <c r="G56" i="16"/>
  <c r="N65" i="15"/>
  <c r="G67" i="16"/>
  <c r="N67" i="15"/>
  <c r="G69" i="16"/>
  <c r="N69" i="15"/>
  <c r="G71" i="16"/>
  <c r="N71" i="15"/>
  <c r="G73" i="16"/>
  <c r="N57" i="15"/>
  <c r="G59" i="16"/>
  <c r="N11" i="15"/>
  <c r="G13" i="16"/>
  <c r="N15" i="15"/>
  <c r="G17" i="16"/>
  <c r="N21" i="15"/>
  <c r="G23" i="16"/>
  <c r="N25" i="15"/>
  <c r="G27" i="16"/>
  <c r="N33" i="15"/>
  <c r="G35" i="16"/>
  <c r="N63" i="15"/>
  <c r="G65" i="16"/>
  <c r="N10" i="15"/>
  <c r="G12" i="16"/>
  <c r="N12" i="15"/>
  <c r="G14" i="16"/>
  <c r="N14" i="15"/>
  <c r="G16" i="16"/>
  <c r="N16" i="15"/>
  <c r="G18" i="16"/>
  <c r="N18" i="15"/>
  <c r="G20" i="16"/>
  <c r="N20" i="15"/>
  <c r="G22" i="16"/>
  <c r="N22" i="15"/>
  <c r="G24" i="16"/>
  <c r="N24" i="15"/>
  <c r="G26" i="16"/>
  <c r="N28" i="15"/>
  <c r="G30" i="16"/>
  <c r="N30" i="15"/>
  <c r="G32" i="16"/>
  <c r="N32" i="15"/>
  <c r="G34" i="16"/>
  <c r="N34" i="15"/>
  <c r="G36" i="16"/>
  <c r="N62" i="15"/>
  <c r="G64" i="16"/>
  <c r="N13" i="15"/>
  <c r="G15" i="16"/>
  <c r="N17" i="15"/>
  <c r="G19" i="16"/>
  <c r="N23" i="15"/>
  <c r="G25" i="16"/>
  <c r="N29" i="15"/>
  <c r="G31" i="16"/>
  <c r="N35" i="15"/>
  <c r="G37" i="16"/>
  <c r="N38" i="15"/>
  <c r="G40" i="16"/>
  <c r="N40" i="15"/>
  <c r="G42" i="16"/>
  <c r="N42" i="15"/>
  <c r="G44" i="16"/>
  <c r="N44" i="15"/>
  <c r="G46" i="16"/>
  <c r="N46" i="15"/>
  <c r="G48" i="16"/>
  <c r="N49" i="15"/>
  <c r="G51" i="16"/>
  <c r="N51" i="15"/>
  <c r="G53" i="16"/>
  <c r="N64" i="15"/>
  <c r="G66" i="16"/>
  <c r="N66" i="15"/>
  <c r="G68" i="16"/>
  <c r="N70" i="15"/>
  <c r="G72" i="16"/>
  <c r="S60" i="15"/>
  <c r="T60" i="15" s="1"/>
  <c r="G62" i="16"/>
  <c r="N62" i="16" s="1"/>
  <c r="N58" i="15"/>
  <c r="G60" i="16"/>
  <c r="N63" i="13"/>
  <c r="L65" i="16"/>
  <c r="N61" i="13"/>
  <c r="L63" i="16"/>
  <c r="N59" i="13"/>
  <c r="L61" i="16"/>
  <c r="N57" i="13"/>
  <c r="L59" i="16"/>
  <c r="N62" i="13"/>
  <c r="L64" i="16"/>
  <c r="N58" i="13"/>
  <c r="L60" i="16"/>
  <c r="S36" i="15"/>
  <c r="T36" i="15" s="1"/>
  <c r="S57" i="3"/>
  <c r="T57" i="3" s="1"/>
  <c r="S58" i="3"/>
  <c r="T58" i="3" s="1"/>
  <c r="S61" i="11"/>
  <c r="T61" i="11" s="1"/>
  <c r="S61" i="8"/>
  <c r="T61" i="8" s="1"/>
  <c r="S60" i="4"/>
  <c r="T60" i="4" s="1"/>
  <c r="S58" i="7"/>
  <c r="T58" i="7" s="1"/>
  <c r="S59" i="15"/>
  <c r="T59" i="15" s="1"/>
  <c r="S9" i="15"/>
  <c r="T9" i="15" s="1"/>
  <c r="G11" i="1"/>
  <c r="S17" i="15"/>
  <c r="T17" i="15" s="1"/>
  <c r="S22" i="15"/>
  <c r="T22" i="15" s="1"/>
  <c r="S67" i="15"/>
  <c r="T67" i="15" s="1"/>
  <c r="S57" i="15"/>
  <c r="T57" i="15" s="1"/>
  <c r="S29" i="15"/>
  <c r="T29" i="15" s="1"/>
  <c r="S61" i="2"/>
  <c r="T61" i="2" s="1"/>
  <c r="S59" i="2"/>
  <c r="T59" i="2" s="1"/>
  <c r="S57" i="4"/>
  <c r="T57" i="4" s="1"/>
  <c r="S63" i="13"/>
  <c r="T63" i="13" s="1"/>
  <c r="S62" i="13"/>
  <c r="T62" i="13" s="1"/>
  <c r="S59" i="13"/>
  <c r="T59" i="13" s="1"/>
  <c r="S63" i="14"/>
  <c r="T63" i="14" s="1"/>
  <c r="S62" i="14"/>
  <c r="T62" i="14" s="1"/>
  <c r="S59" i="14"/>
  <c r="T59" i="14" s="1"/>
  <c r="S33" i="15"/>
  <c r="T33" i="15" s="1"/>
  <c r="S51" i="15"/>
  <c r="T51" i="15" s="1"/>
  <c r="S69" i="15"/>
  <c r="T69" i="15" s="1"/>
  <c r="S62" i="2"/>
  <c r="T62" i="2" s="1"/>
  <c r="S58" i="4"/>
  <c r="T58" i="4" s="1"/>
  <c r="S61" i="7"/>
  <c r="T61" i="7" s="1"/>
  <c r="S63" i="8"/>
  <c r="T63" i="8" s="1"/>
  <c r="S60" i="14"/>
  <c r="T60" i="14" s="1"/>
  <c r="S62" i="11"/>
  <c r="T62" i="11" s="1"/>
  <c r="S16" i="15"/>
  <c r="T16" i="15" s="1"/>
  <c r="S20" i="15"/>
  <c r="T20" i="15" s="1"/>
  <c r="S24" i="15"/>
  <c r="T24" i="15" s="1"/>
  <c r="S37" i="15"/>
  <c r="T37" i="15" s="1"/>
  <c r="S44" i="15"/>
  <c r="T44" i="15" s="1"/>
  <c r="S53" i="15"/>
  <c r="T53" i="15" s="1"/>
  <c r="S66" i="15"/>
  <c r="T66" i="15" s="1"/>
  <c r="S68" i="15"/>
  <c r="T68" i="15" s="1"/>
  <c r="S70" i="15"/>
  <c r="T70" i="15" s="1"/>
  <c r="S60" i="2"/>
  <c r="T60" i="2" s="1"/>
  <c r="S58" i="13"/>
  <c r="T58" i="13" s="1"/>
  <c r="S61" i="4"/>
  <c r="T61" i="4" s="1"/>
  <c r="S59" i="4"/>
  <c r="T59" i="4" s="1"/>
  <c r="S63" i="7"/>
  <c r="T63" i="7" s="1"/>
  <c r="S62" i="7"/>
  <c r="T62" i="7" s="1"/>
  <c r="S60" i="8"/>
  <c r="T60" i="8" s="1"/>
  <c r="S59" i="8"/>
  <c r="T59" i="8" s="1"/>
  <c r="S58" i="14"/>
  <c r="T58" i="14" s="1"/>
  <c r="S57" i="14"/>
  <c r="T57" i="14" s="1"/>
  <c r="S61" i="15"/>
  <c r="T61" i="15" s="1"/>
  <c r="S63" i="3"/>
  <c r="T63" i="3" s="1"/>
  <c r="S62" i="3"/>
  <c r="T62" i="3" s="1"/>
  <c r="S60" i="11"/>
  <c r="T60" i="11" s="1"/>
  <c r="S59" i="11"/>
  <c r="T59" i="11" s="1"/>
  <c r="S63" i="2"/>
  <c r="T63" i="2" s="1"/>
  <c r="S60" i="13"/>
  <c r="T60" i="13" s="1"/>
  <c r="S62" i="8"/>
  <c r="T62" i="8" s="1"/>
  <c r="S58" i="15"/>
  <c r="T58" i="15" s="1"/>
  <c r="S61" i="3"/>
  <c r="T61" i="3" s="1"/>
  <c r="S63" i="11"/>
  <c r="T63" i="11" s="1"/>
  <c r="S12" i="15"/>
  <c r="T12" i="15" s="1"/>
  <c r="S15" i="15"/>
  <c r="T15" i="15" s="1"/>
  <c r="S19" i="15"/>
  <c r="T19" i="15" s="1"/>
  <c r="S23" i="15"/>
  <c r="T23" i="15" s="1"/>
  <c r="S38" i="15"/>
  <c r="T38" i="15" s="1"/>
  <c r="S52" i="15"/>
  <c r="T52" i="15" s="1"/>
  <c r="S64" i="15"/>
  <c r="T64" i="15" s="1"/>
  <c r="S65" i="15"/>
  <c r="T65" i="15" s="1"/>
  <c r="N68" i="15"/>
  <c r="S58" i="2"/>
  <c r="T58" i="2" s="1"/>
  <c r="S61" i="13"/>
  <c r="T61" i="13" s="1"/>
  <c r="S63" i="4"/>
  <c r="T63" i="4" s="1"/>
  <c r="S62" i="4"/>
  <c r="T62" i="4" s="1"/>
  <c r="S60" i="7"/>
  <c r="T60" i="7" s="1"/>
  <c r="S59" i="7"/>
  <c r="T59" i="7" s="1"/>
  <c r="S58" i="8"/>
  <c r="T58" i="8" s="1"/>
  <c r="S57" i="8"/>
  <c r="T57" i="8" s="1"/>
  <c r="S61" i="14"/>
  <c r="T61" i="14" s="1"/>
  <c r="S63" i="15"/>
  <c r="T63" i="15" s="1"/>
  <c r="S62" i="15"/>
  <c r="T62" i="15" s="1"/>
  <c r="N59" i="15"/>
  <c r="S60" i="3"/>
  <c r="T60" i="3" s="1"/>
  <c r="S59" i="3"/>
  <c r="T59" i="3" s="1"/>
  <c r="S58" i="11"/>
  <c r="T58" i="11" s="1"/>
  <c r="S57" i="11"/>
  <c r="T57" i="11" s="1"/>
  <c r="N60" i="2"/>
  <c r="N60" i="13"/>
  <c r="N60" i="4"/>
  <c r="N60" i="7"/>
  <c r="N60" i="8"/>
  <c r="N60" i="14"/>
  <c r="N60" i="15"/>
  <c r="N60" i="3"/>
  <c r="N60" i="11"/>
  <c r="S57" i="2"/>
  <c r="T57" i="2" s="1"/>
  <c r="S57" i="13"/>
  <c r="T57" i="13" s="1"/>
  <c r="S57" i="7"/>
  <c r="T57" i="7" s="1"/>
  <c r="S13" i="15"/>
  <c r="T13" i="15" s="1"/>
  <c r="S32" i="15"/>
  <c r="T32" i="15" s="1"/>
  <c r="S34" i="15"/>
  <c r="T34" i="15" s="1"/>
  <c r="S46" i="15"/>
  <c r="T46" i="15" s="1"/>
  <c r="S14" i="15"/>
  <c r="T14" i="15" s="1"/>
  <c r="S30" i="15"/>
  <c r="T30" i="15" s="1"/>
  <c r="N37" i="15"/>
  <c r="S47" i="15"/>
  <c r="T47" i="15" s="1"/>
  <c r="S50" i="15"/>
  <c r="T50" i="15" s="1"/>
  <c r="N53" i="15"/>
  <c r="S54" i="15"/>
  <c r="T54" i="15" s="1"/>
  <c r="S25" i="15"/>
  <c r="T25" i="15" s="1"/>
  <c r="S18" i="15"/>
  <c r="T18" i="15" s="1"/>
  <c r="S21" i="15"/>
  <c r="T21" i="15" s="1"/>
  <c r="S39" i="15"/>
  <c r="T39" i="15" s="1"/>
  <c r="S41" i="15"/>
  <c r="T41" i="15" s="1"/>
  <c r="S45" i="15"/>
  <c r="T45" i="15" s="1"/>
  <c r="S31" i="15"/>
  <c r="T31" i="15" s="1"/>
  <c r="S43" i="15"/>
  <c r="T43" i="15" s="1"/>
  <c r="S49" i="15"/>
  <c r="T49" i="15" s="1"/>
  <c r="N52" i="15"/>
  <c r="S71" i="15"/>
  <c r="T71" i="15" s="1"/>
  <c r="S11" i="15"/>
  <c r="T11" i="15" s="1"/>
  <c r="S28" i="15"/>
  <c r="T28" i="15" s="1"/>
  <c r="S35" i="15"/>
  <c r="T35" i="15" s="1"/>
  <c r="S40" i="15"/>
  <c r="T40" i="15" s="1"/>
  <c r="S42" i="15"/>
  <c r="T42" i="15" s="1"/>
  <c r="N43" i="15"/>
  <c r="S10" i="15"/>
  <c r="T10" i="15" s="1"/>
  <c r="F11" i="1"/>
  <c r="K11" i="1"/>
  <c r="J11" i="1"/>
  <c r="I11" i="1"/>
  <c r="E11" i="1"/>
  <c r="L11" i="1"/>
  <c r="H11" i="1"/>
  <c r="D11" i="1"/>
  <c r="R71" i="3"/>
  <c r="R70" i="3"/>
  <c r="R69" i="3"/>
  <c r="R68" i="3"/>
  <c r="R67" i="3"/>
  <c r="R66" i="3"/>
  <c r="R65" i="3"/>
  <c r="R64" i="3"/>
  <c r="R54" i="3"/>
  <c r="R53" i="3"/>
  <c r="R52" i="3"/>
  <c r="R51" i="3"/>
  <c r="R50" i="3"/>
  <c r="R49" i="3"/>
  <c r="R47" i="3"/>
  <c r="R46" i="3"/>
  <c r="R45" i="3"/>
  <c r="R44" i="3"/>
  <c r="R43" i="3"/>
  <c r="R42" i="3"/>
  <c r="R41" i="3"/>
  <c r="R40" i="3"/>
  <c r="R39" i="3"/>
  <c r="R38" i="3"/>
  <c r="R37" i="3"/>
  <c r="R36" i="3"/>
  <c r="R35" i="3"/>
  <c r="R34" i="3"/>
  <c r="R33" i="3"/>
  <c r="R32" i="3"/>
  <c r="R31" i="3"/>
  <c r="R30" i="3"/>
  <c r="R29" i="3"/>
  <c r="R28" i="3"/>
  <c r="R25" i="3"/>
  <c r="R24" i="3"/>
  <c r="R23" i="3"/>
  <c r="R22" i="3"/>
  <c r="R21" i="3"/>
  <c r="R20" i="3"/>
  <c r="R19" i="3"/>
  <c r="R18" i="3"/>
  <c r="R17" i="3"/>
  <c r="R16" i="3"/>
  <c r="R15" i="3"/>
  <c r="R14" i="3"/>
  <c r="R13" i="3"/>
  <c r="R12" i="3"/>
  <c r="R11" i="3"/>
  <c r="R10" i="3"/>
  <c r="R9" i="3"/>
  <c r="R71" i="4"/>
  <c r="R70" i="4"/>
  <c r="R69" i="4"/>
  <c r="R68" i="4"/>
  <c r="R67" i="4"/>
  <c r="R66" i="4"/>
  <c r="R65" i="4"/>
  <c r="R64" i="4"/>
  <c r="R54" i="4"/>
  <c r="R53" i="4"/>
  <c r="R52" i="4"/>
  <c r="R51" i="4"/>
  <c r="R50" i="4"/>
  <c r="R49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R25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/>
  <c r="R11" i="4"/>
  <c r="R10" i="4"/>
  <c r="R9" i="4"/>
  <c r="R71" i="7"/>
  <c r="R70" i="7"/>
  <c r="R69" i="7"/>
  <c r="R68" i="7"/>
  <c r="R67" i="7"/>
  <c r="R66" i="7"/>
  <c r="R65" i="7"/>
  <c r="R64" i="7"/>
  <c r="R54" i="7"/>
  <c r="R53" i="7"/>
  <c r="R52" i="7"/>
  <c r="R51" i="7"/>
  <c r="R50" i="7"/>
  <c r="R49" i="7"/>
  <c r="R47" i="7"/>
  <c r="R46" i="7"/>
  <c r="R45" i="7"/>
  <c r="R44" i="7"/>
  <c r="R43" i="7"/>
  <c r="R42" i="7"/>
  <c r="R41" i="7"/>
  <c r="R40" i="7"/>
  <c r="R39" i="7"/>
  <c r="R38" i="7"/>
  <c r="R37" i="7"/>
  <c r="R36" i="7"/>
  <c r="R35" i="7"/>
  <c r="R34" i="7"/>
  <c r="R33" i="7"/>
  <c r="R32" i="7"/>
  <c r="R31" i="7"/>
  <c r="R30" i="7"/>
  <c r="R29" i="7"/>
  <c r="R28" i="7"/>
  <c r="R25" i="7"/>
  <c r="R24" i="7"/>
  <c r="R23" i="7"/>
  <c r="R22" i="7"/>
  <c r="R21" i="7"/>
  <c r="R20" i="7"/>
  <c r="R19" i="7"/>
  <c r="R18" i="7"/>
  <c r="R17" i="7"/>
  <c r="R16" i="7"/>
  <c r="R15" i="7"/>
  <c r="R14" i="7"/>
  <c r="R13" i="7"/>
  <c r="R12" i="7"/>
  <c r="R11" i="7"/>
  <c r="R10" i="7"/>
  <c r="R9" i="7"/>
  <c r="R71" i="8"/>
  <c r="R70" i="8"/>
  <c r="R69" i="8"/>
  <c r="R68" i="8"/>
  <c r="R67" i="8"/>
  <c r="R66" i="8"/>
  <c r="R65" i="8"/>
  <c r="R64" i="8"/>
  <c r="R54" i="8"/>
  <c r="R53" i="8"/>
  <c r="R52" i="8"/>
  <c r="R51" i="8"/>
  <c r="R50" i="8"/>
  <c r="R49" i="8"/>
  <c r="R47" i="8"/>
  <c r="R46" i="8"/>
  <c r="R45" i="8"/>
  <c r="R44" i="8"/>
  <c r="R43" i="8"/>
  <c r="R42" i="8"/>
  <c r="R41" i="8"/>
  <c r="R40" i="8"/>
  <c r="R39" i="8"/>
  <c r="R38" i="8"/>
  <c r="R37" i="8"/>
  <c r="R36" i="8"/>
  <c r="R35" i="8"/>
  <c r="R34" i="8"/>
  <c r="R33" i="8"/>
  <c r="R32" i="8"/>
  <c r="R31" i="8"/>
  <c r="R30" i="8"/>
  <c r="R29" i="8"/>
  <c r="R28" i="8"/>
  <c r="R25" i="8"/>
  <c r="R24" i="8"/>
  <c r="R23" i="8"/>
  <c r="R22" i="8"/>
  <c r="R21" i="8"/>
  <c r="R20" i="8"/>
  <c r="R19" i="8"/>
  <c r="R18" i="8"/>
  <c r="R17" i="8"/>
  <c r="R16" i="8"/>
  <c r="R15" i="8"/>
  <c r="R14" i="8"/>
  <c r="R13" i="8"/>
  <c r="R12" i="8"/>
  <c r="R11" i="8"/>
  <c r="R10" i="8"/>
  <c r="R9" i="8"/>
  <c r="R71" i="11"/>
  <c r="R70" i="11"/>
  <c r="R69" i="11"/>
  <c r="R68" i="11"/>
  <c r="R67" i="11"/>
  <c r="R66" i="11"/>
  <c r="R65" i="11"/>
  <c r="R64" i="11"/>
  <c r="R54" i="11"/>
  <c r="R53" i="11"/>
  <c r="R52" i="11"/>
  <c r="R51" i="11"/>
  <c r="R50" i="11"/>
  <c r="R49" i="11"/>
  <c r="R47" i="11"/>
  <c r="R46" i="11"/>
  <c r="R45" i="11"/>
  <c r="R44" i="11"/>
  <c r="R43" i="11"/>
  <c r="R42" i="11"/>
  <c r="R41" i="11"/>
  <c r="R40" i="11"/>
  <c r="R39" i="11"/>
  <c r="R38" i="11"/>
  <c r="R37" i="11"/>
  <c r="R36" i="11"/>
  <c r="R35" i="11"/>
  <c r="R34" i="11"/>
  <c r="R33" i="11"/>
  <c r="R32" i="11"/>
  <c r="R31" i="11"/>
  <c r="R30" i="11"/>
  <c r="R29" i="11"/>
  <c r="R28" i="11"/>
  <c r="R25" i="11"/>
  <c r="R24" i="11"/>
  <c r="R23" i="11"/>
  <c r="R22" i="11"/>
  <c r="R21" i="11"/>
  <c r="R20" i="11"/>
  <c r="R19" i="11"/>
  <c r="R18" i="11"/>
  <c r="R17" i="11"/>
  <c r="R16" i="11"/>
  <c r="R15" i="11"/>
  <c r="R14" i="11"/>
  <c r="R13" i="11"/>
  <c r="R12" i="11"/>
  <c r="R11" i="11"/>
  <c r="R10" i="11"/>
  <c r="R9" i="11"/>
  <c r="R71" i="13"/>
  <c r="R70" i="13"/>
  <c r="R69" i="13"/>
  <c r="R68" i="13"/>
  <c r="R67" i="13"/>
  <c r="R66" i="13"/>
  <c r="R65" i="13"/>
  <c r="R64" i="13"/>
  <c r="R54" i="13"/>
  <c r="R53" i="13"/>
  <c r="R52" i="13"/>
  <c r="R51" i="13"/>
  <c r="R50" i="13"/>
  <c r="R49" i="13"/>
  <c r="R47" i="13"/>
  <c r="R46" i="13"/>
  <c r="R45" i="13"/>
  <c r="R44" i="13"/>
  <c r="R43" i="13"/>
  <c r="R42" i="13"/>
  <c r="R41" i="13"/>
  <c r="R40" i="13"/>
  <c r="R39" i="13"/>
  <c r="R38" i="13"/>
  <c r="R37" i="13"/>
  <c r="R36" i="13"/>
  <c r="R35" i="13"/>
  <c r="R34" i="13"/>
  <c r="R33" i="13"/>
  <c r="R32" i="13"/>
  <c r="R31" i="13"/>
  <c r="R30" i="13"/>
  <c r="R29" i="13"/>
  <c r="R28" i="13"/>
  <c r="R25" i="13"/>
  <c r="R24" i="13"/>
  <c r="R23" i="13"/>
  <c r="R22" i="13"/>
  <c r="R21" i="13"/>
  <c r="R20" i="13"/>
  <c r="R19" i="13"/>
  <c r="R18" i="13"/>
  <c r="R17" i="13"/>
  <c r="R16" i="13"/>
  <c r="R15" i="13"/>
  <c r="R14" i="13"/>
  <c r="R13" i="13"/>
  <c r="R12" i="13"/>
  <c r="R11" i="13"/>
  <c r="R10" i="13"/>
  <c r="R9" i="13"/>
  <c r="R71" i="14"/>
  <c r="R70" i="14"/>
  <c r="R69" i="14"/>
  <c r="R68" i="14"/>
  <c r="R67" i="14"/>
  <c r="R66" i="14"/>
  <c r="R65" i="14"/>
  <c r="R64" i="14"/>
  <c r="R54" i="14"/>
  <c r="R53" i="14"/>
  <c r="R52" i="14"/>
  <c r="R51" i="14"/>
  <c r="R50" i="14"/>
  <c r="R49" i="14"/>
  <c r="R47" i="14"/>
  <c r="R46" i="14"/>
  <c r="R45" i="14"/>
  <c r="R44" i="14"/>
  <c r="R43" i="14"/>
  <c r="R42" i="14"/>
  <c r="R41" i="14"/>
  <c r="R40" i="14"/>
  <c r="R39" i="14"/>
  <c r="R38" i="14"/>
  <c r="R37" i="14"/>
  <c r="R36" i="14"/>
  <c r="R35" i="14"/>
  <c r="R34" i="14"/>
  <c r="R33" i="14"/>
  <c r="R32" i="14"/>
  <c r="R31" i="14"/>
  <c r="R30" i="14"/>
  <c r="R29" i="14"/>
  <c r="R28" i="14"/>
  <c r="R25" i="14"/>
  <c r="R24" i="14"/>
  <c r="R23" i="14"/>
  <c r="R22" i="14"/>
  <c r="R21" i="14"/>
  <c r="R20" i="14"/>
  <c r="R19" i="14"/>
  <c r="R18" i="14"/>
  <c r="R17" i="14"/>
  <c r="R16" i="14"/>
  <c r="R15" i="14"/>
  <c r="R14" i="14"/>
  <c r="R13" i="14"/>
  <c r="R12" i="14"/>
  <c r="R11" i="14"/>
  <c r="R10" i="14"/>
  <c r="R9" i="14"/>
  <c r="R71" i="2"/>
  <c r="R70" i="2"/>
  <c r="R69" i="2"/>
  <c r="R68" i="2"/>
  <c r="R67" i="2"/>
  <c r="R66" i="2"/>
  <c r="R65" i="2"/>
  <c r="R64" i="2"/>
  <c r="R54" i="2"/>
  <c r="R53" i="2"/>
  <c r="R52" i="2"/>
  <c r="R51" i="2"/>
  <c r="R50" i="2"/>
  <c r="R49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M71" i="3"/>
  <c r="F73" i="16" s="1"/>
  <c r="M70" i="3"/>
  <c r="F72" i="16" s="1"/>
  <c r="M69" i="3"/>
  <c r="F71" i="16" s="1"/>
  <c r="M68" i="3"/>
  <c r="F70" i="16" s="1"/>
  <c r="M67" i="3"/>
  <c r="F69" i="16" s="1"/>
  <c r="M66" i="3"/>
  <c r="F68" i="16" s="1"/>
  <c r="M65" i="3"/>
  <c r="F67" i="16" s="1"/>
  <c r="M64" i="3"/>
  <c r="F66" i="16" s="1"/>
  <c r="M54" i="3"/>
  <c r="F56" i="16" s="1"/>
  <c r="M53" i="3"/>
  <c r="F55" i="16" s="1"/>
  <c r="M52" i="3"/>
  <c r="F54" i="16" s="1"/>
  <c r="M51" i="3"/>
  <c r="F53" i="16" s="1"/>
  <c r="M50" i="3"/>
  <c r="F52" i="16" s="1"/>
  <c r="M49" i="3"/>
  <c r="F51" i="16" s="1"/>
  <c r="M47" i="3"/>
  <c r="F49" i="16" s="1"/>
  <c r="M46" i="3"/>
  <c r="F48" i="16" s="1"/>
  <c r="M45" i="3"/>
  <c r="F47" i="16" s="1"/>
  <c r="M44" i="3"/>
  <c r="F46" i="16" s="1"/>
  <c r="M43" i="3"/>
  <c r="F45" i="16" s="1"/>
  <c r="M42" i="3"/>
  <c r="F44" i="16" s="1"/>
  <c r="M41" i="3"/>
  <c r="F43" i="16" s="1"/>
  <c r="M40" i="3"/>
  <c r="F42" i="16" s="1"/>
  <c r="M39" i="3"/>
  <c r="F41" i="16" s="1"/>
  <c r="M38" i="3"/>
  <c r="F40" i="16" s="1"/>
  <c r="M37" i="3"/>
  <c r="F39" i="16" s="1"/>
  <c r="M36" i="3"/>
  <c r="F38" i="16" s="1"/>
  <c r="M35" i="3"/>
  <c r="F37" i="16" s="1"/>
  <c r="M34" i="3"/>
  <c r="F36" i="16" s="1"/>
  <c r="M33" i="3"/>
  <c r="F35" i="16" s="1"/>
  <c r="M32" i="3"/>
  <c r="F34" i="16" s="1"/>
  <c r="M31" i="3"/>
  <c r="F33" i="16" s="1"/>
  <c r="M30" i="3"/>
  <c r="F32" i="16" s="1"/>
  <c r="M29" i="3"/>
  <c r="F31" i="16" s="1"/>
  <c r="M28" i="3"/>
  <c r="F30" i="16" s="1"/>
  <c r="M25" i="3"/>
  <c r="F27" i="16" s="1"/>
  <c r="M24" i="3"/>
  <c r="F26" i="16" s="1"/>
  <c r="M23" i="3"/>
  <c r="F25" i="16" s="1"/>
  <c r="M22" i="3"/>
  <c r="F24" i="16" s="1"/>
  <c r="M21" i="3"/>
  <c r="F23" i="16" s="1"/>
  <c r="M20" i="3"/>
  <c r="F22" i="16" s="1"/>
  <c r="M19" i="3"/>
  <c r="F21" i="16" s="1"/>
  <c r="M18" i="3"/>
  <c r="F20" i="16" s="1"/>
  <c r="M17" i="3"/>
  <c r="F19" i="16" s="1"/>
  <c r="M16" i="3"/>
  <c r="F18" i="16" s="1"/>
  <c r="M15" i="3"/>
  <c r="F17" i="16" s="1"/>
  <c r="M14" i="3"/>
  <c r="F16" i="16" s="1"/>
  <c r="M13" i="3"/>
  <c r="F15" i="16" s="1"/>
  <c r="M12" i="3"/>
  <c r="F14" i="16" s="1"/>
  <c r="M11" i="3"/>
  <c r="F13" i="16" s="1"/>
  <c r="M10" i="3"/>
  <c r="F12" i="16" s="1"/>
  <c r="M9" i="3"/>
  <c r="F11" i="16" s="1"/>
  <c r="M71" i="4"/>
  <c r="K73" i="16" s="1"/>
  <c r="M70" i="4"/>
  <c r="K72" i="16" s="1"/>
  <c r="M69" i="4"/>
  <c r="K71" i="16" s="1"/>
  <c r="M68" i="4"/>
  <c r="K70" i="16" s="1"/>
  <c r="M67" i="4"/>
  <c r="K69" i="16" s="1"/>
  <c r="M66" i="4"/>
  <c r="K68" i="16" s="1"/>
  <c r="M65" i="4"/>
  <c r="K67" i="16" s="1"/>
  <c r="M64" i="4"/>
  <c r="K66" i="16" s="1"/>
  <c r="M54" i="4"/>
  <c r="K56" i="16" s="1"/>
  <c r="M53" i="4"/>
  <c r="K55" i="16" s="1"/>
  <c r="M52" i="4"/>
  <c r="K54" i="16" s="1"/>
  <c r="M51" i="4"/>
  <c r="K53" i="16" s="1"/>
  <c r="M50" i="4"/>
  <c r="K52" i="16" s="1"/>
  <c r="M49" i="4"/>
  <c r="K51" i="16" s="1"/>
  <c r="M47" i="4"/>
  <c r="K49" i="16" s="1"/>
  <c r="M46" i="4"/>
  <c r="K48" i="16" s="1"/>
  <c r="M45" i="4"/>
  <c r="K47" i="16" s="1"/>
  <c r="M44" i="4"/>
  <c r="K46" i="16" s="1"/>
  <c r="M43" i="4"/>
  <c r="K45" i="16" s="1"/>
  <c r="M42" i="4"/>
  <c r="K44" i="16" s="1"/>
  <c r="M41" i="4"/>
  <c r="K43" i="16" s="1"/>
  <c r="M40" i="4"/>
  <c r="K42" i="16" s="1"/>
  <c r="M39" i="4"/>
  <c r="K41" i="16" s="1"/>
  <c r="M38" i="4"/>
  <c r="K40" i="16" s="1"/>
  <c r="M37" i="4"/>
  <c r="K39" i="16" s="1"/>
  <c r="M36" i="4"/>
  <c r="K38" i="16" s="1"/>
  <c r="M35" i="4"/>
  <c r="K37" i="16" s="1"/>
  <c r="M34" i="4"/>
  <c r="K36" i="16" s="1"/>
  <c r="M33" i="4"/>
  <c r="K35" i="16" s="1"/>
  <c r="M32" i="4"/>
  <c r="K34" i="16" s="1"/>
  <c r="M31" i="4"/>
  <c r="K33" i="16" s="1"/>
  <c r="M30" i="4"/>
  <c r="K32" i="16" s="1"/>
  <c r="M29" i="4"/>
  <c r="K31" i="16" s="1"/>
  <c r="M28" i="4"/>
  <c r="K30" i="16" s="1"/>
  <c r="M25" i="4"/>
  <c r="K27" i="16" s="1"/>
  <c r="M24" i="4"/>
  <c r="K26" i="16" s="1"/>
  <c r="M23" i="4"/>
  <c r="K25" i="16" s="1"/>
  <c r="M22" i="4"/>
  <c r="K24" i="16" s="1"/>
  <c r="M21" i="4"/>
  <c r="K23" i="16" s="1"/>
  <c r="M20" i="4"/>
  <c r="K22" i="16" s="1"/>
  <c r="M19" i="4"/>
  <c r="K21" i="16" s="1"/>
  <c r="M18" i="4"/>
  <c r="K20" i="16" s="1"/>
  <c r="M17" i="4"/>
  <c r="K19" i="16" s="1"/>
  <c r="M16" i="4"/>
  <c r="K18" i="16" s="1"/>
  <c r="M15" i="4"/>
  <c r="K17" i="16" s="1"/>
  <c r="M14" i="4"/>
  <c r="K16" i="16" s="1"/>
  <c r="M13" i="4"/>
  <c r="K15" i="16" s="1"/>
  <c r="M12" i="4"/>
  <c r="K14" i="16" s="1"/>
  <c r="M11" i="4"/>
  <c r="K13" i="16" s="1"/>
  <c r="M10" i="4"/>
  <c r="K12" i="16" s="1"/>
  <c r="M9" i="4"/>
  <c r="K11" i="16" s="1"/>
  <c r="M71" i="7"/>
  <c r="J73" i="16" s="1"/>
  <c r="M70" i="7"/>
  <c r="J72" i="16" s="1"/>
  <c r="M69" i="7"/>
  <c r="J71" i="16" s="1"/>
  <c r="M68" i="7"/>
  <c r="J70" i="16" s="1"/>
  <c r="M67" i="7"/>
  <c r="J69" i="16" s="1"/>
  <c r="M66" i="7"/>
  <c r="J68" i="16" s="1"/>
  <c r="M65" i="7"/>
  <c r="J67" i="16" s="1"/>
  <c r="M64" i="7"/>
  <c r="J66" i="16" s="1"/>
  <c r="M54" i="7"/>
  <c r="J56" i="16" s="1"/>
  <c r="M53" i="7"/>
  <c r="J55" i="16" s="1"/>
  <c r="M52" i="7"/>
  <c r="J54" i="16" s="1"/>
  <c r="M51" i="7"/>
  <c r="J53" i="16" s="1"/>
  <c r="M50" i="7"/>
  <c r="J52" i="16" s="1"/>
  <c r="M49" i="7"/>
  <c r="J51" i="16" s="1"/>
  <c r="M47" i="7"/>
  <c r="J49" i="16" s="1"/>
  <c r="M46" i="7"/>
  <c r="J48" i="16" s="1"/>
  <c r="M45" i="7"/>
  <c r="J47" i="16" s="1"/>
  <c r="M44" i="7"/>
  <c r="J46" i="16" s="1"/>
  <c r="M43" i="7"/>
  <c r="J45" i="16" s="1"/>
  <c r="M42" i="7"/>
  <c r="J44" i="16" s="1"/>
  <c r="M41" i="7"/>
  <c r="J43" i="16" s="1"/>
  <c r="M40" i="7"/>
  <c r="J42" i="16" s="1"/>
  <c r="M39" i="7"/>
  <c r="J41" i="16" s="1"/>
  <c r="M38" i="7"/>
  <c r="J40" i="16" s="1"/>
  <c r="M37" i="7"/>
  <c r="J39" i="16" s="1"/>
  <c r="M36" i="7"/>
  <c r="J38" i="16" s="1"/>
  <c r="M35" i="7"/>
  <c r="J37" i="16" s="1"/>
  <c r="M34" i="7"/>
  <c r="J36" i="16" s="1"/>
  <c r="M33" i="7"/>
  <c r="J35" i="16" s="1"/>
  <c r="M32" i="7"/>
  <c r="J34" i="16" s="1"/>
  <c r="M31" i="7"/>
  <c r="J33" i="16" s="1"/>
  <c r="M30" i="7"/>
  <c r="J32" i="16" s="1"/>
  <c r="M29" i="7"/>
  <c r="J31" i="16" s="1"/>
  <c r="M28" i="7"/>
  <c r="J30" i="16" s="1"/>
  <c r="M25" i="7"/>
  <c r="J27" i="16" s="1"/>
  <c r="M24" i="7"/>
  <c r="J26" i="16" s="1"/>
  <c r="M23" i="7"/>
  <c r="J25" i="16" s="1"/>
  <c r="M22" i="7"/>
  <c r="J24" i="16" s="1"/>
  <c r="M21" i="7"/>
  <c r="J23" i="16" s="1"/>
  <c r="M20" i="7"/>
  <c r="J22" i="16" s="1"/>
  <c r="M19" i="7"/>
  <c r="J21" i="16" s="1"/>
  <c r="M18" i="7"/>
  <c r="J20" i="16" s="1"/>
  <c r="M17" i="7"/>
  <c r="J19" i="16" s="1"/>
  <c r="M16" i="7"/>
  <c r="J18" i="16" s="1"/>
  <c r="M15" i="7"/>
  <c r="J17" i="16" s="1"/>
  <c r="M14" i="7"/>
  <c r="J16" i="16" s="1"/>
  <c r="M13" i="7"/>
  <c r="J15" i="16" s="1"/>
  <c r="M12" i="7"/>
  <c r="J14" i="16" s="1"/>
  <c r="M11" i="7"/>
  <c r="J13" i="16" s="1"/>
  <c r="M10" i="7"/>
  <c r="J12" i="16" s="1"/>
  <c r="M9" i="7"/>
  <c r="J11" i="16" s="1"/>
  <c r="M71" i="8"/>
  <c r="I73" i="16" s="1"/>
  <c r="M70" i="8"/>
  <c r="I72" i="16" s="1"/>
  <c r="M69" i="8"/>
  <c r="I71" i="16" s="1"/>
  <c r="M68" i="8"/>
  <c r="I70" i="16" s="1"/>
  <c r="M67" i="8"/>
  <c r="I69" i="16" s="1"/>
  <c r="M66" i="8"/>
  <c r="I68" i="16" s="1"/>
  <c r="M65" i="8"/>
  <c r="I67" i="16" s="1"/>
  <c r="M64" i="8"/>
  <c r="I66" i="16" s="1"/>
  <c r="M54" i="8"/>
  <c r="I56" i="16" s="1"/>
  <c r="M53" i="8"/>
  <c r="I55" i="16" s="1"/>
  <c r="M52" i="8"/>
  <c r="I54" i="16" s="1"/>
  <c r="M51" i="8"/>
  <c r="I53" i="16" s="1"/>
  <c r="M50" i="8"/>
  <c r="I52" i="16" s="1"/>
  <c r="M49" i="8"/>
  <c r="I51" i="16" s="1"/>
  <c r="M47" i="8"/>
  <c r="I49" i="16" s="1"/>
  <c r="M46" i="8"/>
  <c r="I48" i="16" s="1"/>
  <c r="M45" i="8"/>
  <c r="I47" i="16" s="1"/>
  <c r="M44" i="8"/>
  <c r="I46" i="16" s="1"/>
  <c r="M43" i="8"/>
  <c r="I45" i="16" s="1"/>
  <c r="M42" i="8"/>
  <c r="I44" i="16" s="1"/>
  <c r="M41" i="8"/>
  <c r="I43" i="16" s="1"/>
  <c r="M40" i="8"/>
  <c r="I42" i="16" s="1"/>
  <c r="M39" i="8"/>
  <c r="I41" i="16" s="1"/>
  <c r="M38" i="8"/>
  <c r="I40" i="16" s="1"/>
  <c r="M37" i="8"/>
  <c r="I39" i="16" s="1"/>
  <c r="M36" i="8"/>
  <c r="I38" i="16" s="1"/>
  <c r="M35" i="8"/>
  <c r="I37" i="16" s="1"/>
  <c r="M34" i="8"/>
  <c r="I36" i="16" s="1"/>
  <c r="M33" i="8"/>
  <c r="I35" i="16" s="1"/>
  <c r="M32" i="8"/>
  <c r="I34" i="16" s="1"/>
  <c r="M31" i="8"/>
  <c r="I33" i="16" s="1"/>
  <c r="M30" i="8"/>
  <c r="I32" i="16" s="1"/>
  <c r="M29" i="8"/>
  <c r="I31" i="16" s="1"/>
  <c r="M28" i="8"/>
  <c r="I30" i="16" s="1"/>
  <c r="M25" i="8"/>
  <c r="I27" i="16" s="1"/>
  <c r="M24" i="8"/>
  <c r="I26" i="16" s="1"/>
  <c r="M23" i="8"/>
  <c r="I25" i="16" s="1"/>
  <c r="M22" i="8"/>
  <c r="I24" i="16" s="1"/>
  <c r="M21" i="8"/>
  <c r="I23" i="16" s="1"/>
  <c r="M20" i="8"/>
  <c r="I22" i="16" s="1"/>
  <c r="M19" i="8"/>
  <c r="I21" i="16" s="1"/>
  <c r="M18" i="8"/>
  <c r="I20" i="16" s="1"/>
  <c r="M17" i="8"/>
  <c r="I19" i="16" s="1"/>
  <c r="M16" i="8"/>
  <c r="I18" i="16" s="1"/>
  <c r="M15" i="8"/>
  <c r="I17" i="16" s="1"/>
  <c r="M14" i="8"/>
  <c r="I16" i="16" s="1"/>
  <c r="M13" i="8"/>
  <c r="I15" i="16" s="1"/>
  <c r="M12" i="8"/>
  <c r="I14" i="16" s="1"/>
  <c r="M11" i="8"/>
  <c r="I13" i="16" s="1"/>
  <c r="M10" i="8"/>
  <c r="I12" i="16" s="1"/>
  <c r="M9" i="8"/>
  <c r="I11" i="16" s="1"/>
  <c r="M71" i="11"/>
  <c r="E73" i="16" s="1"/>
  <c r="M70" i="11"/>
  <c r="E72" i="16" s="1"/>
  <c r="M69" i="11"/>
  <c r="E71" i="16" s="1"/>
  <c r="M68" i="11"/>
  <c r="E70" i="16" s="1"/>
  <c r="M67" i="11"/>
  <c r="E69" i="16" s="1"/>
  <c r="M66" i="11"/>
  <c r="E68" i="16" s="1"/>
  <c r="M65" i="11"/>
  <c r="E67" i="16" s="1"/>
  <c r="M64" i="11"/>
  <c r="E66" i="16" s="1"/>
  <c r="M54" i="11"/>
  <c r="E56" i="16" s="1"/>
  <c r="M53" i="11"/>
  <c r="E55" i="16" s="1"/>
  <c r="M52" i="11"/>
  <c r="E54" i="16" s="1"/>
  <c r="M51" i="11"/>
  <c r="E53" i="16" s="1"/>
  <c r="M50" i="11"/>
  <c r="E52" i="16" s="1"/>
  <c r="M49" i="11"/>
  <c r="E51" i="16" s="1"/>
  <c r="M47" i="11"/>
  <c r="E49" i="16" s="1"/>
  <c r="M46" i="11"/>
  <c r="E48" i="16" s="1"/>
  <c r="M45" i="11"/>
  <c r="E47" i="16" s="1"/>
  <c r="M44" i="11"/>
  <c r="E46" i="16" s="1"/>
  <c r="M43" i="11"/>
  <c r="E45" i="16" s="1"/>
  <c r="M42" i="11"/>
  <c r="E44" i="16" s="1"/>
  <c r="M41" i="11"/>
  <c r="E43" i="16" s="1"/>
  <c r="M40" i="11"/>
  <c r="E42" i="16" s="1"/>
  <c r="M39" i="11"/>
  <c r="E41" i="16" s="1"/>
  <c r="M38" i="11"/>
  <c r="E40" i="16" s="1"/>
  <c r="M37" i="11"/>
  <c r="E39" i="16" s="1"/>
  <c r="M36" i="11"/>
  <c r="E38" i="16" s="1"/>
  <c r="M35" i="11"/>
  <c r="E37" i="16" s="1"/>
  <c r="M34" i="11"/>
  <c r="E36" i="16" s="1"/>
  <c r="M33" i="11"/>
  <c r="E35" i="16" s="1"/>
  <c r="M32" i="11"/>
  <c r="E34" i="16" s="1"/>
  <c r="M31" i="11"/>
  <c r="E33" i="16" s="1"/>
  <c r="M30" i="11"/>
  <c r="E32" i="16" s="1"/>
  <c r="M29" i="11"/>
  <c r="E31" i="16" s="1"/>
  <c r="M28" i="11"/>
  <c r="E30" i="16" s="1"/>
  <c r="M25" i="11"/>
  <c r="E27" i="16" s="1"/>
  <c r="M24" i="11"/>
  <c r="E26" i="16" s="1"/>
  <c r="M23" i="11"/>
  <c r="E25" i="16" s="1"/>
  <c r="M22" i="11"/>
  <c r="E24" i="16" s="1"/>
  <c r="M21" i="11"/>
  <c r="E23" i="16" s="1"/>
  <c r="M20" i="11"/>
  <c r="E22" i="16" s="1"/>
  <c r="M19" i="11"/>
  <c r="E21" i="16" s="1"/>
  <c r="M18" i="11"/>
  <c r="E20" i="16" s="1"/>
  <c r="M17" i="11"/>
  <c r="E19" i="16" s="1"/>
  <c r="M16" i="11"/>
  <c r="E18" i="16" s="1"/>
  <c r="M15" i="11"/>
  <c r="E17" i="16" s="1"/>
  <c r="M14" i="11"/>
  <c r="E16" i="16" s="1"/>
  <c r="M13" i="11"/>
  <c r="E15" i="16" s="1"/>
  <c r="M12" i="11"/>
  <c r="E14" i="16" s="1"/>
  <c r="M11" i="11"/>
  <c r="E13" i="16" s="1"/>
  <c r="M10" i="11"/>
  <c r="E12" i="16" s="1"/>
  <c r="M9" i="11"/>
  <c r="E11" i="16" s="1"/>
  <c r="M71" i="13"/>
  <c r="L73" i="16" s="1"/>
  <c r="M70" i="13"/>
  <c r="L72" i="16" s="1"/>
  <c r="M69" i="13"/>
  <c r="L71" i="16" s="1"/>
  <c r="M68" i="13"/>
  <c r="L70" i="16" s="1"/>
  <c r="M67" i="13"/>
  <c r="L69" i="16" s="1"/>
  <c r="M66" i="13"/>
  <c r="L68" i="16" s="1"/>
  <c r="M65" i="13"/>
  <c r="L67" i="16" s="1"/>
  <c r="M64" i="13"/>
  <c r="L66" i="16" s="1"/>
  <c r="M54" i="13"/>
  <c r="L56" i="16" s="1"/>
  <c r="M53" i="13"/>
  <c r="L55" i="16" s="1"/>
  <c r="M52" i="13"/>
  <c r="L54" i="16" s="1"/>
  <c r="M51" i="13"/>
  <c r="L53" i="16" s="1"/>
  <c r="M50" i="13"/>
  <c r="L52" i="16" s="1"/>
  <c r="M49" i="13"/>
  <c r="L51" i="16" s="1"/>
  <c r="M47" i="13"/>
  <c r="L49" i="16" s="1"/>
  <c r="M46" i="13"/>
  <c r="L48" i="16" s="1"/>
  <c r="M45" i="13"/>
  <c r="L47" i="16" s="1"/>
  <c r="M44" i="13"/>
  <c r="L46" i="16" s="1"/>
  <c r="M43" i="13"/>
  <c r="L45" i="16" s="1"/>
  <c r="M42" i="13"/>
  <c r="L44" i="16" s="1"/>
  <c r="M41" i="13"/>
  <c r="L43" i="16" s="1"/>
  <c r="M40" i="13"/>
  <c r="L42" i="16" s="1"/>
  <c r="M39" i="13"/>
  <c r="L41" i="16" s="1"/>
  <c r="M38" i="13"/>
  <c r="L40" i="16" s="1"/>
  <c r="M37" i="13"/>
  <c r="L39" i="16" s="1"/>
  <c r="M36" i="13"/>
  <c r="L38" i="16" s="1"/>
  <c r="M35" i="13"/>
  <c r="L37" i="16" s="1"/>
  <c r="M34" i="13"/>
  <c r="L36" i="16" s="1"/>
  <c r="M33" i="13"/>
  <c r="L35" i="16" s="1"/>
  <c r="M32" i="13"/>
  <c r="L34" i="16" s="1"/>
  <c r="M31" i="13"/>
  <c r="L33" i="16" s="1"/>
  <c r="M30" i="13"/>
  <c r="L32" i="16" s="1"/>
  <c r="M29" i="13"/>
  <c r="L31" i="16" s="1"/>
  <c r="M28" i="13"/>
  <c r="L30" i="16" s="1"/>
  <c r="M25" i="13"/>
  <c r="L27" i="16" s="1"/>
  <c r="M24" i="13"/>
  <c r="L26" i="16" s="1"/>
  <c r="M23" i="13"/>
  <c r="L25" i="16" s="1"/>
  <c r="M22" i="13"/>
  <c r="L24" i="16" s="1"/>
  <c r="M21" i="13"/>
  <c r="L23" i="16" s="1"/>
  <c r="M20" i="13"/>
  <c r="L22" i="16" s="1"/>
  <c r="M19" i="13"/>
  <c r="L21" i="16" s="1"/>
  <c r="M18" i="13"/>
  <c r="L20" i="16" s="1"/>
  <c r="M17" i="13"/>
  <c r="L19" i="16" s="1"/>
  <c r="M16" i="13"/>
  <c r="L18" i="16" s="1"/>
  <c r="M15" i="13"/>
  <c r="L17" i="16" s="1"/>
  <c r="M14" i="13"/>
  <c r="L16" i="16" s="1"/>
  <c r="M13" i="13"/>
  <c r="L15" i="16" s="1"/>
  <c r="M12" i="13"/>
  <c r="L14" i="16" s="1"/>
  <c r="M11" i="13"/>
  <c r="L13" i="16" s="1"/>
  <c r="M10" i="13"/>
  <c r="L12" i="16" s="1"/>
  <c r="M9" i="13"/>
  <c r="L11" i="16" s="1"/>
  <c r="M71" i="14"/>
  <c r="H73" i="16" s="1"/>
  <c r="M70" i="14"/>
  <c r="H72" i="16" s="1"/>
  <c r="M69" i="14"/>
  <c r="H71" i="16" s="1"/>
  <c r="M68" i="14"/>
  <c r="H70" i="16" s="1"/>
  <c r="M67" i="14"/>
  <c r="H69" i="16" s="1"/>
  <c r="M66" i="14"/>
  <c r="H68" i="16" s="1"/>
  <c r="M65" i="14"/>
  <c r="H67" i="16" s="1"/>
  <c r="M64" i="14"/>
  <c r="H66" i="16" s="1"/>
  <c r="M54" i="14"/>
  <c r="H56" i="16" s="1"/>
  <c r="M53" i="14"/>
  <c r="H55" i="16" s="1"/>
  <c r="M52" i="14"/>
  <c r="H54" i="16" s="1"/>
  <c r="M51" i="14"/>
  <c r="H53" i="16" s="1"/>
  <c r="M50" i="14"/>
  <c r="H52" i="16" s="1"/>
  <c r="M49" i="14"/>
  <c r="H51" i="16" s="1"/>
  <c r="M47" i="14"/>
  <c r="H49" i="16" s="1"/>
  <c r="M46" i="14"/>
  <c r="H48" i="16" s="1"/>
  <c r="M45" i="14"/>
  <c r="H47" i="16" s="1"/>
  <c r="M44" i="14"/>
  <c r="H46" i="16" s="1"/>
  <c r="M43" i="14"/>
  <c r="H45" i="16" s="1"/>
  <c r="M42" i="14"/>
  <c r="H44" i="16" s="1"/>
  <c r="M41" i="14"/>
  <c r="H43" i="16" s="1"/>
  <c r="M40" i="14"/>
  <c r="H42" i="16" s="1"/>
  <c r="M39" i="14"/>
  <c r="H41" i="16" s="1"/>
  <c r="M38" i="14"/>
  <c r="H40" i="16" s="1"/>
  <c r="M37" i="14"/>
  <c r="H39" i="16" s="1"/>
  <c r="M36" i="14"/>
  <c r="H38" i="16" s="1"/>
  <c r="M35" i="14"/>
  <c r="H37" i="16" s="1"/>
  <c r="M34" i="14"/>
  <c r="H36" i="16" s="1"/>
  <c r="M33" i="14"/>
  <c r="H35" i="16" s="1"/>
  <c r="M32" i="14"/>
  <c r="H34" i="16" s="1"/>
  <c r="M31" i="14"/>
  <c r="H33" i="16" s="1"/>
  <c r="M30" i="14"/>
  <c r="H32" i="16" s="1"/>
  <c r="M29" i="14"/>
  <c r="H31" i="16" s="1"/>
  <c r="M28" i="14"/>
  <c r="H30" i="16" s="1"/>
  <c r="M25" i="14"/>
  <c r="H27" i="16" s="1"/>
  <c r="M24" i="14"/>
  <c r="H26" i="16" s="1"/>
  <c r="M23" i="14"/>
  <c r="H25" i="16" s="1"/>
  <c r="M22" i="14"/>
  <c r="H24" i="16" s="1"/>
  <c r="M21" i="14"/>
  <c r="H23" i="16" s="1"/>
  <c r="M20" i="14"/>
  <c r="H22" i="16" s="1"/>
  <c r="M19" i="14"/>
  <c r="H21" i="16" s="1"/>
  <c r="M18" i="14"/>
  <c r="H20" i="16" s="1"/>
  <c r="M17" i="14"/>
  <c r="H19" i="16" s="1"/>
  <c r="M16" i="14"/>
  <c r="H18" i="16" s="1"/>
  <c r="M15" i="14"/>
  <c r="H17" i="16" s="1"/>
  <c r="M14" i="14"/>
  <c r="H16" i="16" s="1"/>
  <c r="M13" i="14"/>
  <c r="H15" i="16" s="1"/>
  <c r="M12" i="14"/>
  <c r="H14" i="16" s="1"/>
  <c r="M11" i="14"/>
  <c r="H13" i="16" s="1"/>
  <c r="M10" i="14"/>
  <c r="H12" i="16" s="1"/>
  <c r="M9" i="14"/>
  <c r="H11" i="16" s="1"/>
  <c r="M71" i="2"/>
  <c r="D73" i="16" s="1"/>
  <c r="M70" i="2"/>
  <c r="D72" i="16" s="1"/>
  <c r="M69" i="2"/>
  <c r="D71" i="16" s="1"/>
  <c r="M68" i="2"/>
  <c r="D70" i="16" s="1"/>
  <c r="M67" i="2"/>
  <c r="D69" i="16" s="1"/>
  <c r="M66" i="2"/>
  <c r="D68" i="16" s="1"/>
  <c r="M65" i="2"/>
  <c r="D67" i="16" s="1"/>
  <c r="M64" i="2"/>
  <c r="D66" i="16" s="1"/>
  <c r="M54" i="2"/>
  <c r="D56" i="16" s="1"/>
  <c r="M53" i="2"/>
  <c r="D55" i="16" s="1"/>
  <c r="M52" i="2"/>
  <c r="D54" i="16" s="1"/>
  <c r="M51" i="2"/>
  <c r="D53" i="16" s="1"/>
  <c r="M50" i="2"/>
  <c r="D52" i="16" s="1"/>
  <c r="M49" i="2"/>
  <c r="D51" i="16" s="1"/>
  <c r="M47" i="2"/>
  <c r="D49" i="16" s="1"/>
  <c r="M46" i="2"/>
  <c r="D48" i="16" s="1"/>
  <c r="M45" i="2"/>
  <c r="D47" i="16" s="1"/>
  <c r="M44" i="2"/>
  <c r="D46" i="16" s="1"/>
  <c r="M43" i="2"/>
  <c r="D45" i="16" s="1"/>
  <c r="M42" i="2"/>
  <c r="D44" i="16" s="1"/>
  <c r="M41" i="2"/>
  <c r="D43" i="16" s="1"/>
  <c r="M40" i="2"/>
  <c r="D42" i="16" s="1"/>
  <c r="M39" i="2"/>
  <c r="D41" i="16" s="1"/>
  <c r="M38" i="2"/>
  <c r="D40" i="16" s="1"/>
  <c r="M37" i="2"/>
  <c r="D39" i="16" s="1"/>
  <c r="M36" i="2"/>
  <c r="D38" i="16" s="1"/>
  <c r="M35" i="2"/>
  <c r="D37" i="16" s="1"/>
  <c r="M34" i="2"/>
  <c r="D36" i="16" s="1"/>
  <c r="M33" i="2"/>
  <c r="D35" i="16" s="1"/>
  <c r="M32" i="2"/>
  <c r="D34" i="16" s="1"/>
  <c r="M31" i="2"/>
  <c r="D33" i="16" s="1"/>
  <c r="M30" i="2"/>
  <c r="D32" i="16" s="1"/>
  <c r="M29" i="2"/>
  <c r="D31" i="16" s="1"/>
  <c r="M28" i="2"/>
  <c r="D30" i="16" s="1"/>
  <c r="M25" i="2"/>
  <c r="D27" i="16" s="1"/>
  <c r="M24" i="2"/>
  <c r="D26" i="16" s="1"/>
  <c r="M23" i="2"/>
  <c r="D25" i="16" s="1"/>
  <c r="M22" i="2"/>
  <c r="D24" i="16" s="1"/>
  <c r="M21" i="2"/>
  <c r="D23" i="16" s="1"/>
  <c r="M20" i="2"/>
  <c r="D22" i="16" s="1"/>
  <c r="M19" i="2"/>
  <c r="D21" i="16" s="1"/>
  <c r="M18" i="2"/>
  <c r="D20" i="16" s="1"/>
  <c r="M17" i="2"/>
  <c r="D19" i="16" s="1"/>
  <c r="M16" i="2"/>
  <c r="D18" i="16" s="1"/>
  <c r="M15" i="2"/>
  <c r="D17" i="16" s="1"/>
  <c r="M14" i="2"/>
  <c r="D16" i="16" s="1"/>
  <c r="M13" i="2"/>
  <c r="D15" i="16" s="1"/>
  <c r="M12" i="2"/>
  <c r="D14" i="16" s="1"/>
  <c r="M11" i="2"/>
  <c r="D13" i="16" s="1"/>
  <c r="M10" i="2"/>
  <c r="D12" i="16" s="1"/>
  <c r="M9" i="2"/>
  <c r="D11" i="16" s="1"/>
  <c r="N19" i="16" l="1"/>
  <c r="N23" i="16"/>
  <c r="N33" i="16"/>
  <c r="N45" i="16"/>
  <c r="N49" i="16"/>
  <c r="N54" i="16"/>
  <c r="N11" i="16"/>
  <c r="N61" i="16"/>
  <c r="N60" i="16"/>
  <c r="N64" i="16"/>
  <c r="N12" i="16"/>
  <c r="N16" i="16"/>
  <c r="N20" i="16"/>
  <c r="N24" i="16"/>
  <c r="N30" i="16"/>
  <c r="N34" i="16"/>
  <c r="N38" i="16"/>
  <c r="N42" i="16"/>
  <c r="N46" i="16"/>
  <c r="N51" i="16"/>
  <c r="N55" i="16"/>
  <c r="N68" i="16"/>
  <c r="N72" i="16"/>
  <c r="N63" i="16"/>
  <c r="N13" i="16"/>
  <c r="N31" i="16"/>
  <c r="N35" i="16"/>
  <c r="N39" i="16"/>
  <c r="N43" i="16"/>
  <c r="N56" i="16"/>
  <c r="N69" i="16"/>
  <c r="N73" i="16"/>
  <c r="N40" i="16"/>
  <c r="N44" i="16"/>
  <c r="N48" i="16"/>
  <c r="N53" i="16"/>
  <c r="N70" i="16"/>
  <c r="N17" i="16"/>
  <c r="N21" i="16"/>
  <c r="N25" i="16"/>
  <c r="N47" i="16"/>
  <c r="N52" i="16"/>
  <c r="N65" i="16"/>
  <c r="N14" i="16"/>
  <c r="N18" i="16"/>
  <c r="N22" i="16"/>
  <c r="N26" i="16"/>
  <c r="N32" i="16"/>
  <c r="N36" i="16"/>
  <c r="N66" i="16"/>
  <c r="N15" i="16"/>
  <c r="N27" i="16"/>
  <c r="N37" i="16"/>
  <c r="N41" i="16"/>
  <c r="N67" i="16"/>
  <c r="N71" i="16"/>
  <c r="N59" i="16"/>
  <c r="N63" i="1"/>
  <c r="N60" i="1"/>
  <c r="N59" i="1"/>
  <c r="N61" i="1"/>
  <c r="N62" i="1"/>
  <c r="N56" i="1"/>
  <c r="N71" i="7"/>
  <c r="N70" i="7"/>
  <c r="N69" i="7"/>
  <c r="N68" i="7"/>
  <c r="N67" i="7"/>
  <c r="N66" i="7"/>
  <c r="N65" i="7"/>
  <c r="N64" i="7"/>
  <c r="N54" i="7"/>
  <c r="N53" i="7"/>
  <c r="N52" i="7"/>
  <c r="N51" i="7"/>
  <c r="N50" i="7"/>
  <c r="N49" i="7"/>
  <c r="N47" i="7"/>
  <c r="N46" i="7"/>
  <c r="N45" i="7"/>
  <c r="N44" i="7"/>
  <c r="N43" i="7"/>
  <c r="N42" i="7"/>
  <c r="N41" i="7"/>
  <c r="N40" i="7"/>
  <c r="N39" i="7"/>
  <c r="N38" i="7"/>
  <c r="N37" i="7"/>
  <c r="N36" i="7"/>
  <c r="N35" i="7"/>
  <c r="N34" i="7"/>
  <c r="N33" i="7"/>
  <c r="N32" i="7"/>
  <c r="N31" i="7"/>
  <c r="N30" i="7"/>
  <c r="N29" i="7"/>
  <c r="N28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71" i="4"/>
  <c r="N70" i="4"/>
  <c r="N69" i="4"/>
  <c r="N68" i="4"/>
  <c r="N67" i="4"/>
  <c r="N66" i="4"/>
  <c r="N65" i="4"/>
  <c r="N64" i="4"/>
  <c r="N54" i="4"/>
  <c r="N53" i="4"/>
  <c r="N52" i="4"/>
  <c r="N51" i="4"/>
  <c r="N50" i="4"/>
  <c r="N49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R16" i="16" l="1"/>
  <c r="N18" i="13" l="1"/>
  <c r="N17" i="13"/>
  <c r="N19" i="1"/>
  <c r="N18" i="14"/>
  <c r="S17" i="14"/>
  <c r="T17" i="14" s="1"/>
  <c r="N17" i="14"/>
  <c r="S17" i="2"/>
  <c r="T17" i="2" s="1"/>
  <c r="N18" i="2"/>
  <c r="N17" i="2"/>
  <c r="N18" i="8"/>
  <c r="S17" i="8"/>
  <c r="T17" i="8" s="1"/>
  <c r="N17" i="8"/>
  <c r="N18" i="3"/>
  <c r="N17" i="3"/>
  <c r="S17" i="3"/>
  <c r="T17" i="3" s="1"/>
  <c r="N18" i="11"/>
  <c r="S17" i="11"/>
  <c r="T17" i="11" s="1"/>
  <c r="N17" i="11"/>
  <c r="S18" i="13"/>
  <c r="T18" i="13" s="1"/>
  <c r="S17" i="13"/>
  <c r="T17" i="13" s="1"/>
  <c r="S17" i="7"/>
  <c r="T17" i="7" s="1"/>
  <c r="S18" i="4"/>
  <c r="T18" i="4" s="1"/>
  <c r="S17" i="4"/>
  <c r="T17" i="4" s="1"/>
  <c r="S18" i="8"/>
  <c r="T18" i="8" s="1"/>
  <c r="S18" i="14"/>
  <c r="T18" i="14" s="1"/>
  <c r="S18" i="2"/>
  <c r="T18" i="2" s="1"/>
  <c r="S18" i="11"/>
  <c r="T18" i="11" s="1"/>
  <c r="S18" i="7"/>
  <c r="T18" i="7" s="1"/>
  <c r="S18" i="3"/>
  <c r="T18" i="3" s="1"/>
  <c r="N49" i="3"/>
  <c r="N49" i="11"/>
  <c r="N46" i="13"/>
  <c r="N49" i="13"/>
  <c r="S49" i="2"/>
  <c r="T49" i="2" s="1"/>
  <c r="S46" i="2" l="1"/>
  <c r="T46" i="2" s="1"/>
  <c r="S45" i="14"/>
  <c r="T45" i="14" s="1"/>
  <c r="N46" i="2"/>
  <c r="N44" i="13"/>
  <c r="N45" i="13"/>
  <c r="N46" i="14"/>
  <c r="N45" i="14"/>
  <c r="N49" i="14"/>
  <c r="N47" i="14"/>
  <c r="N44" i="14"/>
  <c r="N44" i="2"/>
  <c r="N49" i="2"/>
  <c r="N47" i="2"/>
  <c r="S45" i="2"/>
  <c r="T45" i="2" s="1"/>
  <c r="N46" i="8"/>
  <c r="S49" i="8"/>
  <c r="T49" i="8" s="1"/>
  <c r="N45" i="8"/>
  <c r="N44" i="8"/>
  <c r="N47" i="8"/>
  <c r="N44" i="3"/>
  <c r="N47" i="3"/>
  <c r="N46" i="3"/>
  <c r="N45" i="3"/>
  <c r="N45" i="11"/>
  <c r="N44" i="11"/>
  <c r="N47" i="11"/>
  <c r="S44" i="11"/>
  <c r="T44" i="11" s="1"/>
  <c r="N46" i="11"/>
  <c r="S49" i="7"/>
  <c r="T49" i="7" s="1"/>
  <c r="N20" i="1"/>
  <c r="S46" i="7"/>
  <c r="T46" i="7" s="1"/>
  <c r="S45" i="4"/>
  <c r="T45" i="4" s="1"/>
  <c r="S46" i="13"/>
  <c r="T46" i="13" s="1"/>
  <c r="S47" i="13"/>
  <c r="T47" i="13" s="1"/>
  <c r="S44" i="13"/>
  <c r="T44" i="13" s="1"/>
  <c r="S45" i="13"/>
  <c r="T45" i="13" s="1"/>
  <c r="S49" i="13"/>
  <c r="T49" i="13" s="1"/>
  <c r="S47" i="7"/>
  <c r="T47" i="7" s="1"/>
  <c r="S44" i="7"/>
  <c r="T44" i="7" s="1"/>
  <c r="S45" i="7"/>
  <c r="T45" i="7" s="1"/>
  <c r="S46" i="4"/>
  <c r="T46" i="4" s="1"/>
  <c r="S44" i="4"/>
  <c r="T44" i="4" s="1"/>
  <c r="S47" i="4"/>
  <c r="T47" i="4" s="1"/>
  <c r="S44" i="14"/>
  <c r="T44" i="14" s="1"/>
  <c r="S47" i="14"/>
  <c r="T47" i="14" s="1"/>
  <c r="S49" i="14"/>
  <c r="T49" i="14" s="1"/>
  <c r="S46" i="8"/>
  <c r="T46" i="8" s="1"/>
  <c r="S45" i="8"/>
  <c r="T45" i="8" s="1"/>
  <c r="S47" i="8"/>
  <c r="T47" i="8" s="1"/>
  <c r="S47" i="3"/>
  <c r="T47" i="3" s="1"/>
  <c r="S46" i="3"/>
  <c r="T46" i="3" s="1"/>
  <c r="S49" i="3"/>
  <c r="T49" i="3" s="1"/>
  <c r="S47" i="2"/>
  <c r="T47" i="2" s="1"/>
  <c r="S44" i="2"/>
  <c r="T44" i="2" s="1"/>
  <c r="S49" i="11"/>
  <c r="T49" i="11" s="1"/>
  <c r="S47" i="11"/>
  <c r="T47" i="11" s="1"/>
  <c r="S46" i="11"/>
  <c r="T46" i="11" s="1"/>
  <c r="N45" i="2"/>
  <c r="N47" i="13"/>
  <c r="N49" i="8"/>
  <c r="S44" i="3"/>
  <c r="T44" i="3" s="1"/>
  <c r="S46" i="14"/>
  <c r="T46" i="14" s="1"/>
  <c r="S45" i="11"/>
  <c r="T45" i="11" s="1"/>
  <c r="S44" i="8"/>
  <c r="T44" i="8" s="1"/>
  <c r="S49" i="4"/>
  <c r="T49" i="4" s="1"/>
  <c r="S45" i="3"/>
  <c r="T45" i="3" s="1"/>
  <c r="N36" i="2" l="1"/>
  <c r="N65" i="2"/>
  <c r="N43" i="2"/>
  <c r="N35" i="2"/>
  <c r="N16" i="2"/>
  <c r="N50" i="2"/>
  <c r="N28" i="2"/>
  <c r="N42" i="2"/>
  <c r="N34" i="2"/>
  <c r="N25" i="2"/>
  <c r="N15" i="2"/>
  <c r="N66" i="2"/>
  <c r="N19" i="2"/>
  <c r="N64" i="2"/>
  <c r="N41" i="2"/>
  <c r="N33" i="2"/>
  <c r="N24" i="2"/>
  <c r="N14" i="2"/>
  <c r="N70" i="2"/>
  <c r="N40" i="2"/>
  <c r="N23" i="2"/>
  <c r="N54" i="2"/>
  <c r="N32" i="2"/>
  <c r="N13" i="2"/>
  <c r="N9" i="2"/>
  <c r="N69" i="2"/>
  <c r="N53" i="2"/>
  <c r="N39" i="2"/>
  <c r="N31" i="2"/>
  <c r="N22" i="2"/>
  <c r="N12" i="2"/>
  <c r="N52" i="2"/>
  <c r="N30" i="2"/>
  <c r="N21" i="2"/>
  <c r="N11" i="2"/>
  <c r="N68" i="2"/>
  <c r="N38" i="2"/>
  <c r="N71" i="2"/>
  <c r="N67" i="2"/>
  <c r="N51" i="2"/>
  <c r="N37" i="2"/>
  <c r="N29" i="2"/>
  <c r="N20" i="2"/>
  <c r="N10" i="2"/>
  <c r="N46" i="1"/>
  <c r="N51" i="1"/>
  <c r="N47" i="1"/>
  <c r="N48" i="1"/>
  <c r="N49" i="1"/>
  <c r="N20" i="13" l="1"/>
  <c r="N37" i="13"/>
  <c r="N41" i="13"/>
  <c r="N67" i="13"/>
  <c r="N71" i="13"/>
  <c r="N33" i="13"/>
  <c r="N11" i="13"/>
  <c r="N21" i="13"/>
  <c r="N30" i="13"/>
  <c r="N38" i="13"/>
  <c r="N52" i="13"/>
  <c r="N68" i="13"/>
  <c r="N24" i="13"/>
  <c r="N51" i="13"/>
  <c r="N15" i="13"/>
  <c r="N25" i="13"/>
  <c r="N34" i="13"/>
  <c r="N42" i="13"/>
  <c r="N64" i="13"/>
  <c r="N14" i="13"/>
  <c r="N12" i="13"/>
  <c r="N22" i="13"/>
  <c r="N31" i="13"/>
  <c r="N39" i="13"/>
  <c r="N53" i="13"/>
  <c r="N65" i="13"/>
  <c r="N10" i="13"/>
  <c r="N29" i="13"/>
  <c r="N16" i="13"/>
  <c r="N35" i="13"/>
  <c r="N43" i="13"/>
  <c r="N69" i="13"/>
  <c r="N9" i="13"/>
  <c r="N13" i="13"/>
  <c r="N19" i="13"/>
  <c r="N23" i="13"/>
  <c r="N28" i="13"/>
  <c r="N32" i="13"/>
  <c r="N36" i="13"/>
  <c r="N40" i="13"/>
  <c r="N50" i="13"/>
  <c r="N54" i="13"/>
  <c r="N66" i="13"/>
  <c r="N70" i="13"/>
  <c r="N23" i="14" l="1"/>
  <c r="N15" i="14"/>
  <c r="N25" i="14"/>
  <c r="N34" i="14"/>
  <c r="N42" i="14"/>
  <c r="N64" i="14"/>
  <c r="N13" i="14"/>
  <c r="N16" i="14"/>
  <c r="N35" i="14"/>
  <c r="N43" i="14"/>
  <c r="N65" i="14"/>
  <c r="N50" i="14"/>
  <c r="N36" i="14"/>
  <c r="N10" i="14"/>
  <c r="N20" i="14"/>
  <c r="N29" i="14"/>
  <c r="N37" i="14"/>
  <c r="N51" i="14"/>
  <c r="N67" i="14"/>
  <c r="N71" i="14"/>
  <c r="N28" i="14"/>
  <c r="N11" i="14"/>
  <c r="N21" i="14"/>
  <c r="N30" i="14"/>
  <c r="N38" i="14"/>
  <c r="N52" i="14"/>
  <c r="N68" i="14"/>
  <c r="N19" i="14"/>
  <c r="N66" i="14"/>
  <c r="N12" i="14"/>
  <c r="N22" i="14"/>
  <c r="N31" i="14"/>
  <c r="N39" i="14"/>
  <c r="N53" i="14"/>
  <c r="N69" i="14"/>
  <c r="N32" i="14"/>
  <c r="N70" i="14"/>
  <c r="N9" i="14"/>
  <c r="N40" i="14"/>
  <c r="N54" i="14"/>
  <c r="N14" i="14"/>
  <c r="N24" i="14"/>
  <c r="N33" i="14"/>
  <c r="N41" i="14"/>
  <c r="N10" i="3" l="1"/>
  <c r="N68" i="3"/>
  <c r="N12" i="3"/>
  <c r="N22" i="3"/>
  <c r="N31" i="3"/>
  <c r="N39" i="3"/>
  <c r="N53" i="3"/>
  <c r="N69" i="3"/>
  <c r="N52" i="3"/>
  <c r="N13" i="3"/>
  <c r="N23" i="3"/>
  <c r="N32" i="3"/>
  <c r="N40" i="3"/>
  <c r="N54" i="3"/>
  <c r="N70" i="3"/>
  <c r="N38" i="3"/>
  <c r="N24" i="3"/>
  <c r="N30" i="3"/>
  <c r="N41" i="3"/>
  <c r="N15" i="3"/>
  <c r="N25" i="3"/>
  <c r="N34" i="3"/>
  <c r="N42" i="3"/>
  <c r="N64" i="3"/>
  <c r="N11" i="3"/>
  <c r="N14" i="3"/>
  <c r="N33" i="3"/>
  <c r="N16" i="3"/>
  <c r="N35" i="3"/>
  <c r="N43" i="3"/>
  <c r="N65" i="3"/>
  <c r="N21" i="3"/>
  <c r="N9" i="3"/>
  <c r="N19" i="3"/>
  <c r="N28" i="3"/>
  <c r="N36" i="3"/>
  <c r="N50" i="3"/>
  <c r="N66" i="3"/>
  <c r="N20" i="3"/>
  <c r="N29" i="3"/>
  <c r="N37" i="3"/>
  <c r="N51" i="3"/>
  <c r="N67" i="3"/>
  <c r="N71" i="3"/>
  <c r="N36" i="8" l="1"/>
  <c r="N20" i="8"/>
  <c r="N29" i="8"/>
  <c r="N37" i="8"/>
  <c r="N51" i="8"/>
  <c r="N67" i="8"/>
  <c r="N71" i="8"/>
  <c r="N11" i="8"/>
  <c r="N21" i="8"/>
  <c r="N30" i="8"/>
  <c r="N38" i="8"/>
  <c r="N52" i="8"/>
  <c r="N68" i="8"/>
  <c r="N28" i="8"/>
  <c r="N12" i="8"/>
  <c r="N22" i="8"/>
  <c r="N31" i="8"/>
  <c r="N39" i="8"/>
  <c r="N53" i="8"/>
  <c r="N69" i="8"/>
  <c r="N66" i="8"/>
  <c r="N23" i="8"/>
  <c r="N32" i="8"/>
  <c r="N40" i="8"/>
  <c r="N54" i="8"/>
  <c r="N70" i="8"/>
  <c r="N9" i="8"/>
  <c r="N14" i="8"/>
  <c r="N24" i="8"/>
  <c r="N33" i="8"/>
  <c r="N41" i="8"/>
  <c r="N19" i="8"/>
  <c r="N13" i="8"/>
  <c r="N15" i="8"/>
  <c r="N25" i="8"/>
  <c r="N34" i="8"/>
  <c r="N42" i="8"/>
  <c r="N64" i="8"/>
  <c r="N50" i="8"/>
  <c r="N10" i="8"/>
  <c r="N16" i="8"/>
  <c r="N35" i="8"/>
  <c r="N43" i="8"/>
  <c r="N65" i="8"/>
  <c r="N15" i="11" l="1"/>
  <c r="N25" i="11"/>
  <c r="N34" i="11"/>
  <c r="N42" i="11"/>
  <c r="N64" i="11"/>
  <c r="N16" i="11"/>
  <c r="N35" i="11"/>
  <c r="N43" i="11"/>
  <c r="N65" i="11"/>
  <c r="N19" i="11"/>
  <c r="N28" i="11"/>
  <c r="N36" i="11"/>
  <c r="N50" i="11"/>
  <c r="N66" i="11"/>
  <c r="N20" i="11"/>
  <c r="N29" i="11"/>
  <c r="N37" i="11"/>
  <c r="N51" i="11"/>
  <c r="N67" i="11"/>
  <c r="N71" i="11"/>
  <c r="N10" i="11"/>
  <c r="N21" i="11"/>
  <c r="N30" i="11"/>
  <c r="N38" i="11"/>
  <c r="N52" i="11"/>
  <c r="N68" i="11"/>
  <c r="N11" i="11"/>
  <c r="N12" i="11"/>
  <c r="N22" i="11"/>
  <c r="N31" i="11"/>
  <c r="N39" i="11"/>
  <c r="N53" i="11"/>
  <c r="N69" i="11"/>
  <c r="N9" i="11"/>
  <c r="N13" i="11"/>
  <c r="N23" i="11"/>
  <c r="N32" i="11"/>
  <c r="N40" i="11"/>
  <c r="N54" i="11"/>
  <c r="N70" i="11"/>
  <c r="N14" i="11"/>
  <c r="N24" i="11"/>
  <c r="N33" i="11"/>
  <c r="N41" i="11"/>
  <c r="N23" i="1"/>
  <c r="N44" i="1"/>
  <c r="N54" i="1"/>
  <c r="N66" i="1"/>
  <c r="N70" i="1"/>
  <c r="N40" i="1"/>
  <c r="N37" i="1"/>
  <c r="N67" i="1"/>
  <c r="N71" i="1"/>
  <c r="N24" i="1"/>
  <c r="N45" i="1"/>
  <c r="N21" i="1"/>
  <c r="N30" i="1"/>
  <c r="N38" i="1"/>
  <c r="N52" i="1"/>
  <c r="N64" i="1"/>
  <c r="N72" i="1"/>
  <c r="N36" i="1"/>
  <c r="N41" i="1"/>
  <c r="N25" i="1"/>
  <c r="N34" i="1"/>
  <c r="N42" i="1"/>
  <c r="N68" i="1"/>
  <c r="N27" i="1"/>
  <c r="N29" i="1"/>
  <c r="N55" i="1"/>
  <c r="N26" i="1"/>
  <c r="N35" i="1"/>
  <c r="N39" i="1"/>
  <c r="N53" i="1"/>
  <c r="N65" i="1"/>
  <c r="N69" i="1"/>
  <c r="N73" i="1"/>
  <c r="N32" i="1"/>
  <c r="N33" i="1"/>
  <c r="N22" i="1"/>
  <c r="N31" i="1"/>
  <c r="N43" i="1"/>
  <c r="N13" i="1"/>
  <c r="N17" i="1"/>
  <c r="N18" i="1"/>
  <c r="N14" i="1"/>
  <c r="N15" i="1"/>
  <c r="N11" i="1"/>
  <c r="N16" i="1"/>
  <c r="N12" i="1"/>
  <c r="S29" i="13" l="1"/>
  <c r="T29" i="13" s="1"/>
  <c r="S29" i="2"/>
  <c r="T29" i="2" s="1"/>
  <c r="S29" i="11"/>
  <c r="T29" i="11" s="1"/>
  <c r="S29" i="7"/>
  <c r="T29" i="7" s="1"/>
  <c r="S28" i="3"/>
  <c r="T28" i="3" s="1"/>
  <c r="S29" i="3"/>
  <c r="T29" i="3" s="1"/>
  <c r="S30" i="14"/>
  <c r="T30" i="14" s="1"/>
  <c r="S30" i="8"/>
  <c r="T30" i="8" s="1"/>
  <c r="S30" i="4"/>
  <c r="T30" i="4" s="1"/>
  <c r="S28" i="2"/>
  <c r="T28" i="2" s="1"/>
  <c r="S28" i="13"/>
  <c r="T28" i="13" s="1"/>
  <c r="S28" i="11"/>
  <c r="T28" i="11" s="1"/>
  <c r="S28" i="7"/>
  <c r="T28" i="7" s="1"/>
  <c r="S29" i="8"/>
  <c r="T29" i="8" s="1"/>
  <c r="S29" i="4"/>
  <c r="T29" i="4" s="1"/>
  <c r="S30" i="2"/>
  <c r="T30" i="2" s="1"/>
  <c r="S30" i="13"/>
  <c r="T30" i="13" s="1"/>
  <c r="S30" i="11"/>
  <c r="T30" i="11" s="1"/>
  <c r="S30" i="7"/>
  <c r="T30" i="7" s="1"/>
  <c r="S30" i="3"/>
  <c r="T30" i="3" s="1"/>
  <c r="S29" i="14"/>
  <c r="T29" i="14" s="1"/>
  <c r="S28" i="14"/>
  <c r="T28" i="14" s="1"/>
  <c r="S28" i="8"/>
  <c r="T28" i="8" s="1"/>
  <c r="S28" i="4"/>
  <c r="T28" i="4" s="1"/>
  <c r="R16" i="1" l="1"/>
  <c r="S40" i="4" l="1"/>
  <c r="T40" i="4" s="1"/>
  <c r="S40" i="8"/>
  <c r="T40" i="8" s="1"/>
  <c r="S40" i="13" l="1"/>
  <c r="T40" i="13" s="1"/>
  <c r="S40" i="11"/>
  <c r="T40" i="11" s="1"/>
  <c r="S40" i="7"/>
  <c r="T40" i="7" s="1"/>
  <c r="S40" i="2"/>
  <c r="T40" i="2" s="1"/>
  <c r="S40" i="14"/>
  <c r="T40" i="14" s="1"/>
  <c r="S40" i="3"/>
  <c r="T40" i="3" s="1"/>
  <c r="S34" i="7" l="1"/>
  <c r="T34" i="7" s="1"/>
  <c r="S34" i="13"/>
  <c r="T34" i="13" s="1"/>
  <c r="S34" i="2"/>
  <c r="T34" i="2" s="1"/>
  <c r="S34" i="11"/>
  <c r="T34" i="11" s="1"/>
  <c r="S34" i="3"/>
  <c r="T34" i="3" s="1"/>
  <c r="S34" i="14"/>
  <c r="T34" i="14" s="1"/>
  <c r="S34" i="8"/>
  <c r="T34" i="8" s="1"/>
  <c r="S34" i="4"/>
  <c r="T34" i="4" s="1"/>
  <c r="W12" i="1"/>
  <c r="V12" i="1"/>
  <c r="U12" i="1"/>
  <c r="T12" i="1"/>
  <c r="S12" i="1"/>
  <c r="R12" i="1"/>
  <c r="Q12" i="1" l="1"/>
  <c r="P12" i="1"/>
  <c r="V13" i="1"/>
  <c r="T13" i="1"/>
  <c r="R13" i="1"/>
  <c r="P13" i="1" l="1"/>
  <c r="S53" i="11" l="1"/>
  <c r="T53" i="11" s="1"/>
  <c r="S52" i="11"/>
  <c r="T52" i="11" s="1"/>
  <c r="S51" i="11"/>
  <c r="T51" i="11" s="1"/>
  <c r="S50" i="11"/>
  <c r="T50" i="11" s="1"/>
  <c r="S43" i="11"/>
  <c r="T43" i="11" s="1"/>
  <c r="S42" i="11"/>
  <c r="T42" i="11" s="1"/>
  <c r="S41" i="11"/>
  <c r="T41" i="11" s="1"/>
  <c r="S39" i="11"/>
  <c r="T39" i="11" s="1"/>
  <c r="S38" i="11"/>
  <c r="T38" i="11" s="1"/>
  <c r="S53" i="2"/>
  <c r="T53" i="2" s="1"/>
  <c r="S52" i="2"/>
  <c r="T52" i="2" s="1"/>
  <c r="S51" i="2"/>
  <c r="T51" i="2" s="1"/>
  <c r="S50" i="2"/>
  <c r="T50" i="2" s="1"/>
  <c r="S43" i="2"/>
  <c r="T43" i="2" s="1"/>
  <c r="S42" i="2"/>
  <c r="T42" i="2" s="1"/>
  <c r="S41" i="2"/>
  <c r="T41" i="2" s="1"/>
  <c r="S39" i="2"/>
  <c r="T39" i="2" s="1"/>
  <c r="S38" i="2"/>
  <c r="T38" i="2" s="1"/>
  <c r="S64" i="4"/>
  <c r="T64" i="4" s="1"/>
  <c r="S69" i="4"/>
  <c r="T69" i="4" s="1"/>
  <c r="S68" i="4"/>
  <c r="T68" i="4" s="1"/>
  <c r="S67" i="4"/>
  <c r="T67" i="4" s="1"/>
  <c r="S66" i="4"/>
  <c r="T66" i="4" s="1"/>
  <c r="S65" i="4"/>
  <c r="T65" i="4" s="1"/>
  <c r="S53" i="7"/>
  <c r="T53" i="7" s="1"/>
  <c r="S51" i="7"/>
  <c r="T51" i="7" s="1"/>
  <c r="S43" i="7"/>
  <c r="T43" i="7" s="1"/>
  <c r="S41" i="7"/>
  <c r="T41" i="7" s="1"/>
  <c r="S38" i="7"/>
  <c r="T38" i="7" s="1"/>
  <c r="S69" i="7"/>
  <c r="T69" i="7" s="1"/>
  <c r="S68" i="7"/>
  <c r="T68" i="7" s="1"/>
  <c r="S67" i="7"/>
  <c r="T67" i="7" s="1"/>
  <c r="S66" i="7"/>
  <c r="T66" i="7" s="1"/>
  <c r="S65" i="7"/>
  <c r="T65" i="7" s="1"/>
  <c r="S64" i="7"/>
  <c r="T64" i="7" s="1"/>
  <c r="S52" i="7"/>
  <c r="T52" i="7" s="1"/>
  <c r="S50" i="7"/>
  <c r="T50" i="7" s="1"/>
  <c r="S42" i="7"/>
  <c r="T42" i="7" s="1"/>
  <c r="S39" i="7"/>
  <c r="T39" i="7" s="1"/>
  <c r="S53" i="3"/>
  <c r="T53" i="3" s="1"/>
  <c r="S51" i="3"/>
  <c r="T51" i="3" s="1"/>
  <c r="S43" i="3"/>
  <c r="T43" i="3" s="1"/>
  <c r="S41" i="3"/>
  <c r="T41" i="3" s="1"/>
  <c r="S38" i="3"/>
  <c r="T38" i="3" s="1"/>
  <c r="S69" i="3"/>
  <c r="T69" i="3" s="1"/>
  <c r="S68" i="3"/>
  <c r="T68" i="3" s="1"/>
  <c r="S67" i="3"/>
  <c r="T67" i="3" s="1"/>
  <c r="S66" i="3"/>
  <c r="T66" i="3" s="1"/>
  <c r="S65" i="3"/>
  <c r="T65" i="3" s="1"/>
  <c r="S64" i="3"/>
  <c r="T64" i="3" s="1"/>
  <c r="S52" i="3"/>
  <c r="T52" i="3" s="1"/>
  <c r="S50" i="3"/>
  <c r="T50" i="3" s="1"/>
  <c r="S42" i="3"/>
  <c r="T42" i="3" s="1"/>
  <c r="S39" i="3"/>
  <c r="T39" i="3" s="1"/>
  <c r="S69" i="13"/>
  <c r="T69" i="13" s="1"/>
  <c r="S68" i="13"/>
  <c r="T68" i="13" s="1"/>
  <c r="S67" i="13"/>
  <c r="T67" i="13" s="1"/>
  <c r="S66" i="13"/>
  <c r="T66" i="13" s="1"/>
  <c r="S65" i="13"/>
  <c r="T65" i="13" s="1"/>
  <c r="S64" i="13"/>
  <c r="T64" i="13" s="1"/>
  <c r="S53" i="13"/>
  <c r="T53" i="13" s="1"/>
  <c r="S52" i="13"/>
  <c r="T52" i="13" s="1"/>
  <c r="S51" i="13"/>
  <c r="T51" i="13" s="1"/>
  <c r="S50" i="13"/>
  <c r="T50" i="13" s="1"/>
  <c r="S43" i="13"/>
  <c r="T43" i="13" s="1"/>
  <c r="S42" i="13"/>
  <c r="T42" i="13" s="1"/>
  <c r="S41" i="13"/>
  <c r="T41" i="13" s="1"/>
  <c r="S39" i="13"/>
  <c r="T39" i="13" s="1"/>
  <c r="S38" i="13"/>
  <c r="T38" i="13" s="1"/>
  <c r="S69" i="11"/>
  <c r="T69" i="11" s="1"/>
  <c r="S68" i="11"/>
  <c r="T68" i="11" s="1"/>
  <c r="S67" i="11"/>
  <c r="T67" i="11" s="1"/>
  <c r="S66" i="11"/>
  <c r="T66" i="11" s="1"/>
  <c r="S65" i="11"/>
  <c r="T65" i="11" s="1"/>
  <c r="S64" i="11"/>
  <c r="T64" i="11" s="1"/>
  <c r="S69" i="2"/>
  <c r="T69" i="2" s="1"/>
  <c r="S68" i="2"/>
  <c r="T68" i="2" s="1"/>
  <c r="S67" i="2"/>
  <c r="T67" i="2" s="1"/>
  <c r="S66" i="2"/>
  <c r="T66" i="2" s="1"/>
  <c r="S65" i="2"/>
  <c r="T65" i="2" s="1"/>
  <c r="S64" i="2"/>
  <c r="T64" i="2" s="1"/>
  <c r="S53" i="8"/>
  <c r="T53" i="8" s="1"/>
  <c r="S51" i="8"/>
  <c r="T51" i="8" s="1"/>
  <c r="S43" i="8"/>
  <c r="T43" i="8" s="1"/>
  <c r="S41" i="8"/>
  <c r="T41" i="8" s="1"/>
  <c r="S38" i="8"/>
  <c r="T38" i="8" s="1"/>
  <c r="S69" i="8"/>
  <c r="T69" i="8" s="1"/>
  <c r="S68" i="8"/>
  <c r="T68" i="8" s="1"/>
  <c r="S67" i="8"/>
  <c r="T67" i="8" s="1"/>
  <c r="S66" i="8"/>
  <c r="T66" i="8" s="1"/>
  <c r="S65" i="8"/>
  <c r="T65" i="8" s="1"/>
  <c r="S64" i="8"/>
  <c r="T64" i="8" s="1"/>
  <c r="S52" i="8"/>
  <c r="T52" i="8" s="1"/>
  <c r="S50" i="8"/>
  <c r="T50" i="8" s="1"/>
  <c r="S42" i="8"/>
  <c r="T42" i="8" s="1"/>
  <c r="S39" i="8"/>
  <c r="T39" i="8" s="1"/>
  <c r="S53" i="4"/>
  <c r="T53" i="4" s="1"/>
  <c r="S51" i="4"/>
  <c r="T51" i="4" s="1"/>
  <c r="S43" i="4"/>
  <c r="T43" i="4" s="1"/>
  <c r="S41" i="4"/>
  <c r="T41" i="4" s="1"/>
  <c r="S38" i="4"/>
  <c r="T38" i="4" s="1"/>
  <c r="S52" i="4"/>
  <c r="T52" i="4" s="1"/>
  <c r="S50" i="4"/>
  <c r="T50" i="4" s="1"/>
  <c r="S42" i="4"/>
  <c r="T42" i="4" s="1"/>
  <c r="S39" i="4"/>
  <c r="T39" i="4" s="1"/>
  <c r="S69" i="14"/>
  <c r="T69" i="14" s="1"/>
  <c r="S68" i="14"/>
  <c r="T68" i="14" s="1"/>
  <c r="S67" i="14"/>
  <c r="T67" i="14" s="1"/>
  <c r="S66" i="14"/>
  <c r="T66" i="14" s="1"/>
  <c r="S65" i="14"/>
  <c r="T65" i="14" s="1"/>
  <c r="S64" i="14"/>
  <c r="T64" i="14" s="1"/>
  <c r="S53" i="14"/>
  <c r="T53" i="14" s="1"/>
  <c r="S52" i="14"/>
  <c r="T52" i="14" s="1"/>
  <c r="S51" i="14"/>
  <c r="T51" i="14" s="1"/>
  <c r="S50" i="14"/>
  <c r="T50" i="14" s="1"/>
  <c r="S43" i="14"/>
  <c r="T43" i="14" s="1"/>
  <c r="S42" i="14"/>
  <c r="T42" i="14" s="1"/>
  <c r="S41" i="14"/>
  <c r="T41" i="14" s="1"/>
  <c r="S39" i="14"/>
  <c r="T39" i="14" s="1"/>
  <c r="S38" i="14"/>
  <c r="T38" i="14" s="1"/>
  <c r="S54" i="3" l="1"/>
  <c r="T54" i="3" s="1"/>
  <c r="S70" i="3"/>
  <c r="T70" i="3" s="1"/>
  <c r="S71" i="3"/>
  <c r="T71" i="3" s="1"/>
  <c r="S9" i="8"/>
  <c r="T9" i="8" s="1"/>
  <c r="S11" i="8"/>
  <c r="T11" i="8" s="1"/>
  <c r="S13" i="8"/>
  <c r="T13" i="8" s="1"/>
  <c r="S15" i="8"/>
  <c r="T15" i="8" s="1"/>
  <c r="S20" i="8"/>
  <c r="T20" i="8" s="1"/>
  <c r="S22" i="8"/>
  <c r="T22" i="8" s="1"/>
  <c r="S24" i="8"/>
  <c r="T24" i="8" s="1"/>
  <c r="S32" i="8"/>
  <c r="T32" i="8" s="1"/>
  <c r="S35" i="8"/>
  <c r="T35" i="8" s="1"/>
  <c r="S37" i="8"/>
  <c r="T37" i="8" s="1"/>
  <c r="S10" i="4"/>
  <c r="T10" i="4" s="1"/>
  <c r="S12" i="4"/>
  <c r="T12" i="4" s="1"/>
  <c r="S14" i="4"/>
  <c r="T14" i="4" s="1"/>
  <c r="S16" i="4"/>
  <c r="T16" i="4" s="1"/>
  <c r="S19" i="4"/>
  <c r="T19" i="4" s="1"/>
  <c r="S21" i="4"/>
  <c r="T21" i="4" s="1"/>
  <c r="S23" i="4"/>
  <c r="T23" i="4" s="1"/>
  <c r="S25" i="4"/>
  <c r="T25" i="4" s="1"/>
  <c r="S31" i="4"/>
  <c r="T31" i="4" s="1"/>
  <c r="S33" i="4"/>
  <c r="T33" i="4" s="1"/>
  <c r="S36" i="4"/>
  <c r="T36" i="4" s="1"/>
  <c r="S10" i="14"/>
  <c r="T10" i="14" s="1"/>
  <c r="S12" i="14"/>
  <c r="T12" i="14" s="1"/>
  <c r="S14" i="14"/>
  <c r="T14" i="14" s="1"/>
  <c r="S16" i="14"/>
  <c r="T16" i="14" s="1"/>
  <c r="S19" i="14"/>
  <c r="T19" i="14" s="1"/>
  <c r="S21" i="14"/>
  <c r="T21" i="14" s="1"/>
  <c r="S23" i="14"/>
  <c r="T23" i="14" s="1"/>
  <c r="S25" i="14"/>
  <c r="T25" i="14" s="1"/>
  <c r="S31" i="14"/>
  <c r="T31" i="14" s="1"/>
  <c r="S9" i="3"/>
  <c r="T9" i="3" s="1"/>
  <c r="S11" i="3"/>
  <c r="T11" i="3" s="1"/>
  <c r="S13" i="3"/>
  <c r="T13" i="3" s="1"/>
  <c r="S15" i="3"/>
  <c r="T15" i="3" s="1"/>
  <c r="S20" i="3"/>
  <c r="T20" i="3" s="1"/>
  <c r="S22" i="3"/>
  <c r="T22" i="3" s="1"/>
  <c r="S24" i="3"/>
  <c r="T24" i="3" s="1"/>
  <c r="S33" i="14"/>
  <c r="T33" i="14" s="1"/>
  <c r="S36" i="14"/>
  <c r="T36" i="14" s="1"/>
  <c r="S54" i="14"/>
  <c r="T54" i="14" s="1"/>
  <c r="S70" i="14"/>
  <c r="T70" i="14" s="1"/>
  <c r="S32" i="3"/>
  <c r="T32" i="3" s="1"/>
  <c r="S35" i="3"/>
  <c r="T35" i="3" s="1"/>
  <c r="S37" i="3"/>
  <c r="T37" i="3" s="1"/>
  <c r="S10" i="7"/>
  <c r="T10" i="7" s="1"/>
  <c r="S12" i="7"/>
  <c r="T12" i="7" s="1"/>
  <c r="S14" i="7"/>
  <c r="T14" i="7" s="1"/>
  <c r="S16" i="7"/>
  <c r="T16" i="7" s="1"/>
  <c r="S19" i="7"/>
  <c r="T19" i="7" s="1"/>
  <c r="S21" i="7"/>
  <c r="T21" i="7" s="1"/>
  <c r="S23" i="7"/>
  <c r="T23" i="7" s="1"/>
  <c r="S25" i="7"/>
  <c r="T25" i="7" s="1"/>
  <c r="S31" i="7"/>
  <c r="T31" i="7" s="1"/>
  <c r="S33" i="7"/>
  <c r="T33" i="7" s="1"/>
  <c r="S36" i="7"/>
  <c r="T36" i="7" s="1"/>
  <c r="S54" i="8"/>
  <c r="T54" i="8" s="1"/>
  <c r="S70" i="8"/>
  <c r="T70" i="8" s="1"/>
  <c r="S71" i="8"/>
  <c r="T71" i="8" s="1"/>
  <c r="S10" i="11"/>
  <c r="T10" i="11" s="1"/>
  <c r="S12" i="11"/>
  <c r="T12" i="11" s="1"/>
  <c r="S14" i="11"/>
  <c r="T14" i="11" s="1"/>
  <c r="S16" i="11"/>
  <c r="T16" i="11" s="1"/>
  <c r="S19" i="11"/>
  <c r="T19" i="11" s="1"/>
  <c r="S21" i="11"/>
  <c r="T21" i="11" s="1"/>
  <c r="S23" i="11"/>
  <c r="T23" i="11" s="1"/>
  <c r="S25" i="11"/>
  <c r="T25" i="11" s="1"/>
  <c r="S31" i="11"/>
  <c r="T31" i="11" s="1"/>
  <c r="S33" i="11"/>
  <c r="T33" i="11" s="1"/>
  <c r="S36" i="11"/>
  <c r="T36" i="11" s="1"/>
  <c r="S10" i="13"/>
  <c r="T10" i="13" s="1"/>
  <c r="S12" i="13"/>
  <c r="T12" i="13" s="1"/>
  <c r="S14" i="13"/>
  <c r="T14" i="13" s="1"/>
  <c r="S16" i="13"/>
  <c r="T16" i="13" s="1"/>
  <c r="S19" i="13"/>
  <c r="T19" i="13" s="1"/>
  <c r="S21" i="13"/>
  <c r="T21" i="13" s="1"/>
  <c r="S23" i="13"/>
  <c r="T23" i="13" s="1"/>
  <c r="S25" i="13"/>
  <c r="T25" i="13" s="1"/>
  <c r="S31" i="13"/>
  <c r="T31" i="13" s="1"/>
  <c r="S33" i="13"/>
  <c r="T33" i="13" s="1"/>
  <c r="S36" i="13"/>
  <c r="T36" i="13" s="1"/>
  <c r="S10" i="3"/>
  <c r="T10" i="3" s="1"/>
  <c r="S12" i="3"/>
  <c r="T12" i="3" s="1"/>
  <c r="S14" i="3"/>
  <c r="T14" i="3" s="1"/>
  <c r="S16" i="3"/>
  <c r="T16" i="3" s="1"/>
  <c r="S19" i="3"/>
  <c r="T19" i="3" s="1"/>
  <c r="S21" i="3"/>
  <c r="T21" i="3" s="1"/>
  <c r="S23" i="3"/>
  <c r="T23" i="3" s="1"/>
  <c r="S25" i="3"/>
  <c r="T25" i="3" s="1"/>
  <c r="S31" i="3"/>
  <c r="T31" i="3" s="1"/>
  <c r="S33" i="3"/>
  <c r="T33" i="3" s="1"/>
  <c r="S36" i="3"/>
  <c r="T36" i="3" s="1"/>
  <c r="S9" i="4"/>
  <c r="T9" i="4" s="1"/>
  <c r="S11" i="4"/>
  <c r="T11" i="4" s="1"/>
  <c r="S13" i="4"/>
  <c r="T13" i="4" s="1"/>
  <c r="S15" i="4"/>
  <c r="T15" i="4" s="1"/>
  <c r="S20" i="4"/>
  <c r="T20" i="4" s="1"/>
  <c r="S22" i="4"/>
  <c r="T22" i="4" s="1"/>
  <c r="S24" i="4"/>
  <c r="T24" i="4" s="1"/>
  <c r="S32" i="4"/>
  <c r="T32" i="4" s="1"/>
  <c r="S35" i="4"/>
  <c r="T35" i="4" s="1"/>
  <c r="S37" i="4"/>
  <c r="T37" i="4" s="1"/>
  <c r="S54" i="4"/>
  <c r="T54" i="4" s="1"/>
  <c r="S70" i="4"/>
  <c r="T70" i="4" s="1"/>
  <c r="S71" i="4"/>
  <c r="T71" i="4" s="1"/>
  <c r="S9" i="7"/>
  <c r="T9" i="7" s="1"/>
  <c r="S11" i="7"/>
  <c r="T11" i="7" s="1"/>
  <c r="S13" i="7"/>
  <c r="T13" i="7" s="1"/>
  <c r="S15" i="7"/>
  <c r="T15" i="7" s="1"/>
  <c r="S20" i="7"/>
  <c r="T20" i="7" s="1"/>
  <c r="S22" i="7"/>
  <c r="T22" i="7" s="1"/>
  <c r="S24" i="7"/>
  <c r="T24" i="7" s="1"/>
  <c r="S32" i="7"/>
  <c r="T32" i="7" s="1"/>
  <c r="S35" i="7"/>
  <c r="T35" i="7" s="1"/>
  <c r="S37" i="7"/>
  <c r="T37" i="7" s="1"/>
  <c r="S54" i="7"/>
  <c r="T54" i="7" s="1"/>
  <c r="S70" i="7"/>
  <c r="T70" i="7" s="1"/>
  <c r="S71" i="7"/>
  <c r="T71" i="7" s="1"/>
  <c r="S10" i="8"/>
  <c r="T10" i="8" s="1"/>
  <c r="S12" i="8"/>
  <c r="T12" i="8" s="1"/>
  <c r="S14" i="8"/>
  <c r="T14" i="8" s="1"/>
  <c r="S16" i="8"/>
  <c r="T16" i="8" s="1"/>
  <c r="S19" i="8"/>
  <c r="T19" i="8" s="1"/>
  <c r="S21" i="8"/>
  <c r="T21" i="8" s="1"/>
  <c r="S23" i="8"/>
  <c r="T23" i="8" s="1"/>
  <c r="S25" i="8"/>
  <c r="T25" i="8" s="1"/>
  <c r="S31" i="8"/>
  <c r="T31" i="8" s="1"/>
  <c r="S33" i="8"/>
  <c r="T33" i="8" s="1"/>
  <c r="S36" i="8"/>
  <c r="T36" i="8" s="1"/>
  <c r="S9" i="11"/>
  <c r="T9" i="11" s="1"/>
  <c r="S11" i="11"/>
  <c r="T11" i="11" s="1"/>
  <c r="S13" i="11"/>
  <c r="T13" i="11" s="1"/>
  <c r="S15" i="11"/>
  <c r="T15" i="11" s="1"/>
  <c r="S20" i="11"/>
  <c r="T20" i="11" s="1"/>
  <c r="S22" i="11"/>
  <c r="T22" i="11" s="1"/>
  <c r="S24" i="11"/>
  <c r="T24" i="11" s="1"/>
  <c r="S32" i="11"/>
  <c r="T32" i="11" s="1"/>
  <c r="S35" i="11"/>
  <c r="T35" i="11" s="1"/>
  <c r="S37" i="11"/>
  <c r="T37" i="11" s="1"/>
  <c r="S54" i="11"/>
  <c r="T54" i="11" s="1"/>
  <c r="S70" i="11"/>
  <c r="T70" i="11" s="1"/>
  <c r="S71" i="11"/>
  <c r="T71" i="11" s="1"/>
  <c r="S9" i="13"/>
  <c r="T9" i="13" s="1"/>
  <c r="S11" i="13"/>
  <c r="T11" i="13" s="1"/>
  <c r="S13" i="13"/>
  <c r="T13" i="13" s="1"/>
  <c r="S15" i="13"/>
  <c r="T15" i="13" s="1"/>
  <c r="S20" i="13"/>
  <c r="T20" i="13" s="1"/>
  <c r="S22" i="13"/>
  <c r="T22" i="13" s="1"/>
  <c r="S24" i="13"/>
  <c r="T24" i="13" s="1"/>
  <c r="S32" i="13"/>
  <c r="T32" i="13" s="1"/>
  <c r="S35" i="13"/>
  <c r="T35" i="13" s="1"/>
  <c r="S37" i="13"/>
  <c r="T37" i="13" s="1"/>
  <c r="S54" i="13"/>
  <c r="T54" i="13" s="1"/>
  <c r="S70" i="13"/>
  <c r="T70" i="13" s="1"/>
  <c r="S71" i="13"/>
  <c r="T71" i="13" s="1"/>
  <c r="S9" i="14"/>
  <c r="T9" i="14" s="1"/>
  <c r="S11" i="14"/>
  <c r="T11" i="14" s="1"/>
  <c r="S13" i="14"/>
  <c r="T13" i="14" s="1"/>
  <c r="S15" i="14"/>
  <c r="T15" i="14" s="1"/>
  <c r="S20" i="14"/>
  <c r="T20" i="14" s="1"/>
  <c r="S22" i="14"/>
  <c r="T22" i="14" s="1"/>
  <c r="S24" i="14"/>
  <c r="T24" i="14" s="1"/>
  <c r="S32" i="14"/>
  <c r="T32" i="14" s="1"/>
  <c r="S35" i="14"/>
  <c r="T35" i="14" s="1"/>
  <c r="S37" i="14"/>
  <c r="T37" i="14" s="1"/>
  <c r="S71" i="14"/>
  <c r="T71" i="14" s="1"/>
  <c r="S9" i="2" l="1"/>
  <c r="T9" i="2" s="1"/>
  <c r="S11" i="2"/>
  <c r="T11" i="2" s="1"/>
  <c r="S13" i="2"/>
  <c r="T13" i="2" s="1"/>
  <c r="S15" i="2"/>
  <c r="T15" i="2" s="1"/>
  <c r="S20" i="2"/>
  <c r="T20" i="2" s="1"/>
  <c r="S22" i="2"/>
  <c r="T22" i="2" s="1"/>
  <c r="S24" i="2"/>
  <c r="T24" i="2" s="1"/>
  <c r="S32" i="2"/>
  <c r="T32" i="2" s="1"/>
  <c r="S35" i="2"/>
  <c r="T35" i="2" s="1"/>
  <c r="S71" i="2"/>
  <c r="T71" i="2" s="1"/>
  <c r="S70" i="2"/>
  <c r="T70" i="2" s="1"/>
  <c r="S54" i="2"/>
  <c r="T54" i="2" s="1"/>
  <c r="S37" i="2"/>
  <c r="T37" i="2" s="1"/>
  <c r="S36" i="2"/>
  <c r="T36" i="2" s="1"/>
  <c r="S10" i="2"/>
  <c r="T10" i="2" s="1"/>
  <c r="S12" i="2"/>
  <c r="T12" i="2" s="1"/>
  <c r="S14" i="2"/>
  <c r="T14" i="2" s="1"/>
  <c r="S16" i="2"/>
  <c r="T16" i="2" s="1"/>
  <c r="S19" i="2"/>
  <c r="T19" i="2" s="1"/>
  <c r="S21" i="2"/>
  <c r="T21" i="2" s="1"/>
  <c r="S23" i="2"/>
  <c r="T23" i="2" s="1"/>
  <c r="S25" i="2"/>
  <c r="T25" i="2" s="1"/>
  <c r="S31" i="2"/>
  <c r="T31" i="2" s="1"/>
  <c r="S33" i="2"/>
  <c r="T33" i="2" s="1"/>
</calcChain>
</file>

<file path=xl/sharedStrings.xml><?xml version="1.0" encoding="utf-8"?>
<sst xmlns="http://schemas.openxmlformats.org/spreadsheetml/2006/main" count="1372" uniqueCount="148">
  <si>
    <t>Visto</t>
  </si>
  <si>
    <t>NOME COMPLETO</t>
  </si>
  <si>
    <t>DISCIPLINAS</t>
  </si>
  <si>
    <t>Observação</t>
  </si>
  <si>
    <t xml:space="preserve">Género </t>
  </si>
  <si>
    <t>M</t>
  </si>
  <si>
    <t>F</t>
  </si>
  <si>
    <t>TRANSITA</t>
  </si>
  <si>
    <t>N/TRANSITA</t>
  </si>
  <si>
    <t>O Subdirector Pedagógico</t>
  </si>
  <si>
    <t>______________________________</t>
  </si>
  <si>
    <t>_____________________________</t>
  </si>
  <si>
    <t>GABRIEL PRÓSPERO MABIALA</t>
  </si>
  <si>
    <r>
      <t xml:space="preserve">Disciplina: </t>
    </r>
    <r>
      <rPr>
        <b/>
        <sz val="12"/>
        <color indexed="8"/>
        <rFont val="Times New Roman"/>
        <family val="1"/>
      </rPr>
      <t xml:space="preserve"> Língua Portuguesa</t>
    </r>
  </si>
  <si>
    <t>Nome do (a) Aluno (a)</t>
  </si>
  <si>
    <t>MFD</t>
  </si>
  <si>
    <t>OBS</t>
  </si>
  <si>
    <t>MAC</t>
  </si>
  <si>
    <t>NPT</t>
  </si>
  <si>
    <t>MT1</t>
  </si>
  <si>
    <t>MT2</t>
  </si>
  <si>
    <t>MT3</t>
  </si>
  <si>
    <t>_______________________________</t>
  </si>
  <si>
    <t>___________________________</t>
  </si>
  <si>
    <t>ALBERTO SASSA TATI</t>
  </si>
  <si>
    <r>
      <t>N</t>
    </r>
    <r>
      <rPr>
        <b/>
        <sz val="11"/>
        <color indexed="8"/>
        <rFont val="Times New Roman"/>
        <family val="1"/>
      </rPr>
      <t>◦</t>
    </r>
  </si>
  <si>
    <r>
      <t>N</t>
    </r>
    <r>
      <rPr>
        <b/>
        <sz val="11"/>
        <color theme="1"/>
        <rFont val="Calibri"/>
        <family val="2"/>
      </rPr>
      <t>º</t>
    </r>
    <r>
      <rPr>
        <b/>
        <sz val="9.35"/>
        <color theme="1"/>
        <rFont val="Times New Roman"/>
        <family val="1"/>
      </rPr>
      <t xml:space="preserve"> MATRI</t>
    </r>
  </si>
  <si>
    <r>
      <t xml:space="preserve">Disciplina: </t>
    </r>
    <r>
      <rPr>
        <b/>
        <sz val="12"/>
        <color indexed="8"/>
        <rFont val="Times New Roman"/>
        <family val="1"/>
      </rPr>
      <t xml:space="preserve"> Matemática</t>
    </r>
  </si>
  <si>
    <r>
      <t xml:space="preserve">Disciplina: </t>
    </r>
    <r>
      <rPr>
        <b/>
        <sz val="12"/>
        <color indexed="8"/>
        <rFont val="Times New Roman"/>
        <family val="1"/>
      </rPr>
      <t xml:space="preserve"> Biologia</t>
    </r>
  </si>
  <si>
    <r>
      <t xml:space="preserve">Disciplina: </t>
    </r>
    <r>
      <rPr>
        <b/>
        <sz val="12"/>
        <color indexed="8"/>
        <rFont val="Times New Roman"/>
        <family val="1"/>
      </rPr>
      <t xml:space="preserve"> Química</t>
    </r>
  </si>
  <si>
    <r>
      <t xml:space="preserve">Disciplina: </t>
    </r>
    <r>
      <rPr>
        <b/>
        <sz val="12"/>
        <color indexed="8"/>
        <rFont val="Times New Roman"/>
        <family val="1"/>
      </rPr>
      <t xml:space="preserve"> Física</t>
    </r>
  </si>
  <si>
    <r>
      <t xml:space="preserve">Disciplina: </t>
    </r>
    <r>
      <rPr>
        <b/>
        <sz val="12"/>
        <color indexed="8"/>
        <rFont val="Times New Roman"/>
        <family val="1"/>
      </rPr>
      <t xml:space="preserve"> Língua Inglesa</t>
    </r>
  </si>
  <si>
    <r>
      <t xml:space="preserve">Disciplina: </t>
    </r>
    <r>
      <rPr>
        <b/>
        <sz val="12"/>
        <color indexed="8"/>
        <rFont val="Times New Roman"/>
        <family val="1"/>
      </rPr>
      <t xml:space="preserve"> Empreendedorismo</t>
    </r>
  </si>
  <si>
    <r>
      <t xml:space="preserve">Disciplina: </t>
    </r>
    <r>
      <rPr>
        <b/>
        <sz val="12"/>
        <color indexed="8"/>
        <rFont val="Times New Roman"/>
        <family val="1"/>
      </rPr>
      <t xml:space="preserve"> Educação Física</t>
    </r>
  </si>
  <si>
    <t>Director do Complexo</t>
  </si>
  <si>
    <t>DADOS ESTATÍSTICOS</t>
  </si>
  <si>
    <t>MATRICULADOS</t>
  </si>
  <si>
    <t>Desistido/a</t>
  </si>
  <si>
    <t>NPR2</t>
  </si>
  <si>
    <r>
      <t>N</t>
    </r>
    <r>
      <rPr>
        <b/>
        <sz val="12"/>
        <color indexed="8"/>
        <rFont val="Agency FB"/>
        <family val="2"/>
      </rPr>
      <t>º</t>
    </r>
  </si>
  <si>
    <t>Avaliações/I Trimestre</t>
  </si>
  <si>
    <t>Avaliações/II Trimestre</t>
  </si>
  <si>
    <t>Avaliações/IIITrimestre</t>
  </si>
  <si>
    <t>FALTAS</t>
  </si>
  <si>
    <t>J/I</t>
  </si>
  <si>
    <t>MINI-PAUTA - I Ciclo do Ensino Secundário Geral</t>
  </si>
  <si>
    <t xml:space="preserve">                       COMPLEXO ESCOLAR PRIVADO JOMORAIS</t>
  </si>
  <si>
    <t xml:space="preserve">                      COMPLEXO ESCOLAR PRIVADO JOMORAIS</t>
  </si>
  <si>
    <t xml:space="preserve">                   COMPLEXO ESCOLAR PRIVADO JOMORAIS</t>
  </si>
  <si>
    <t xml:space="preserve">                  COMPLEXO ESCOLAR PRIVADO JOMORAIS</t>
  </si>
  <si>
    <t xml:space="preserve">                    COMPLEXO ESCOLAR PRIVADO JOMORAIS</t>
  </si>
  <si>
    <r>
      <t xml:space="preserve">Período: </t>
    </r>
    <r>
      <rPr>
        <b/>
        <sz val="12"/>
        <color theme="1"/>
        <rFont val="Times New Roman"/>
        <family val="1"/>
      </rPr>
      <t>Matinal</t>
    </r>
  </si>
  <si>
    <t>MÉDIA</t>
  </si>
  <si>
    <t>MÁXIMA</t>
  </si>
  <si>
    <t>NOME DO/A ALUNO/A</t>
  </si>
  <si>
    <t>IDADE:</t>
  </si>
  <si>
    <t>O (A) Professor (a)</t>
  </si>
  <si>
    <t>Madalena Simba Mavinga Maciala</t>
  </si>
  <si>
    <t xml:space="preserve">                                 </t>
  </si>
  <si>
    <t>ANOS</t>
  </si>
  <si>
    <r>
      <t xml:space="preserve">COMPLEXO ESCOLAR PRIVADO JOMORAIS, </t>
    </r>
    <r>
      <rPr>
        <b/>
        <sz val="11"/>
        <color theme="1"/>
        <rFont val="Times New Roman"/>
        <family val="1"/>
      </rPr>
      <t>8 de dezembro de 2025.-</t>
    </r>
  </si>
  <si>
    <r>
      <t>Ano Lectivo:</t>
    </r>
    <r>
      <rPr>
        <b/>
        <sz val="12"/>
        <color theme="1"/>
        <rFont val="Times New Roman"/>
        <family val="1"/>
      </rPr>
      <t>2025/2026</t>
    </r>
  </si>
  <si>
    <t>CURSO: CIÊNCIAS FÍSICAS E BIOLÓGICAS</t>
  </si>
  <si>
    <t>A Directora de Turma</t>
  </si>
  <si>
    <t>ALICE DEOLINDA CHIAZI</t>
  </si>
  <si>
    <r>
      <t xml:space="preserve">Disciplina: </t>
    </r>
    <r>
      <rPr>
        <b/>
        <sz val="12"/>
        <color indexed="8"/>
        <rFont val="Times New Roman"/>
        <family val="1"/>
      </rPr>
      <t xml:space="preserve"> Informática</t>
    </r>
  </si>
  <si>
    <r>
      <t xml:space="preserve">Curso: </t>
    </r>
    <r>
      <rPr>
        <b/>
        <sz val="12"/>
        <color theme="1"/>
        <rFont val="Times New Roman"/>
        <family val="1"/>
      </rPr>
      <t>Ciências Físicas e Biológicas</t>
    </r>
  </si>
  <si>
    <r>
      <t xml:space="preserve">Turma: </t>
    </r>
    <r>
      <rPr>
        <b/>
        <sz val="12"/>
        <color theme="1"/>
        <rFont val="Times New Roman"/>
        <family val="1"/>
      </rPr>
      <t>Única</t>
    </r>
  </si>
  <si>
    <r>
      <t>Classe: 10</t>
    </r>
    <r>
      <rPr>
        <b/>
        <sz val="12"/>
        <color theme="1"/>
        <rFont val="Times New Roman"/>
        <family val="1"/>
      </rPr>
      <t>ª</t>
    </r>
  </si>
  <si>
    <t>Adelina Malonda Poba</t>
  </si>
  <si>
    <t>Adelina Marques Zau</t>
  </si>
  <si>
    <t>Albertina Eduardo Macosso</t>
  </si>
  <si>
    <t>Albertina Muanda Salvador Biala</t>
  </si>
  <si>
    <t>Albeto Pucuta Luemba Mambuco</t>
  </si>
  <si>
    <t>Alexandre Coto Ndombe Puati</t>
  </si>
  <si>
    <t>Alice Isabel Maria Muginga</t>
  </si>
  <si>
    <t>Angelica Celina Domingos</t>
  </si>
  <si>
    <t>António Diela</t>
  </si>
  <si>
    <t>António Ngimbi Capita</t>
  </si>
  <si>
    <t>Bernicia Mussitu</t>
  </si>
  <si>
    <t>Candida Da Silva Sambo</t>
  </si>
  <si>
    <t>Catarina Kiaba Maluta</t>
  </si>
  <si>
    <t>Cristiana Jemina Macanda</t>
  </si>
  <si>
    <t>Debora Antonio Bumba Bilongo</t>
  </si>
  <si>
    <t>Elisa Do Nascimento Cumbo</t>
  </si>
  <si>
    <t>Elizabeth Nsuami Casimiro</t>
  </si>
  <si>
    <t>Ermelinda Chibinda Paulino</t>
  </si>
  <si>
    <t>Esperança Monteiro Ernesto</t>
  </si>
  <si>
    <t>Eulália Simba Pedro Claver</t>
  </si>
  <si>
    <t>Filipina Bambi</t>
  </si>
  <si>
    <t>Filomena Chicaia Poba</t>
  </si>
  <si>
    <t>Francisca Simba Sibua</t>
  </si>
  <si>
    <t>Gandira De Fatima Gomes</t>
  </si>
  <si>
    <t>Germénia Gertrudes Bato</t>
  </si>
  <si>
    <t>Graça das Dores Isiala Goiaba</t>
  </si>
  <si>
    <t>Helena De Fátima Sango Mabiala</t>
  </si>
  <si>
    <t>Helena Mavinga</t>
  </si>
  <si>
    <t>Hornorina Pemba Binda Sunda</t>
  </si>
  <si>
    <t>Imaculada Lelo Lufumba</t>
  </si>
  <si>
    <t>Isabel Ernesto Zovo Lourdes</t>
  </si>
  <si>
    <t>Jaquelina Kibinda Chicai Suami</t>
  </si>
  <si>
    <t>Joana Mabiala Simba</t>
  </si>
  <si>
    <t>Joana Mavambo Gomes António</t>
  </si>
  <si>
    <t>João Lando Chicaia</t>
  </si>
  <si>
    <t>Jorgeta Bueia Macosso</t>
  </si>
  <si>
    <t>Josefina Michel Puati</t>
  </si>
  <si>
    <t>Lorena Filomena Zau</t>
  </si>
  <si>
    <t>Manuel Moisés Gime Fiel</t>
  </si>
  <si>
    <t>Margarida Simba Liberal</t>
  </si>
  <si>
    <t>Maria Chilongo Dumbi João</t>
  </si>
  <si>
    <t>Maria Clara Barros Capita</t>
  </si>
  <si>
    <t>Maria Da Conceição Macaia Gomes</t>
  </si>
  <si>
    <t>Maria De Fátima Denga Mombo</t>
  </si>
  <si>
    <t>Maria Manuela Sozinho</t>
  </si>
  <si>
    <t>Maria Teresa Buanga Biala</t>
  </si>
  <si>
    <t>Mariana Ntumba Gomes Yúco</t>
  </si>
  <si>
    <t>Martina Tembo Dibamdi</t>
  </si>
  <si>
    <t>Natália Monbiti Cândida Barros</t>
  </si>
  <si>
    <t>Odeta Francisca Suami Lubota</t>
  </si>
  <si>
    <t>Olíndia Puneiza Buca João</t>
  </si>
  <si>
    <t>Pascoalina Sambo Manuel</t>
  </si>
  <si>
    <t>Paula Da Graça Baza Dungi</t>
  </si>
  <si>
    <t>Rafael Dambi Manuel Goma</t>
  </si>
  <si>
    <t>Rosa Baza Ledi Zau</t>
  </si>
  <si>
    <t>Rosária Balenda Cuibi</t>
  </si>
  <si>
    <t>Sunda Lola Buanga Nzinga</t>
  </si>
  <si>
    <t>Teresa Puna Baiúa Zau</t>
  </si>
  <si>
    <t>Vicente Bambi Massibo</t>
  </si>
  <si>
    <t>Zolina Massiala Cumba</t>
  </si>
  <si>
    <t>f</t>
  </si>
  <si>
    <t>Inglês</t>
  </si>
  <si>
    <t>Mat.</t>
  </si>
  <si>
    <t>Infor.</t>
  </si>
  <si>
    <t>Ed. Fis.</t>
  </si>
  <si>
    <t>Fís.</t>
  </si>
  <si>
    <t>Qca</t>
  </si>
  <si>
    <t>Biol.</t>
  </si>
  <si>
    <t>Emp.</t>
  </si>
  <si>
    <t>L.Port.</t>
  </si>
  <si>
    <r>
      <rPr>
        <b/>
        <sz val="12"/>
        <rFont val="Times New Roman"/>
        <family val="1"/>
      </rPr>
      <t>Ano Lectivo:</t>
    </r>
    <r>
      <rPr>
        <b/>
        <sz val="12"/>
        <color indexed="10"/>
        <rFont val="Times New Roman"/>
        <family val="1"/>
      </rPr>
      <t xml:space="preserve"> 2025-2026            10ª</t>
    </r>
    <r>
      <rPr>
        <b/>
        <sz val="12"/>
        <color indexed="8"/>
        <rFont val="Times New Roman"/>
        <family val="1"/>
      </rPr>
      <t xml:space="preserve"> Classe          Turma: Única           Sala: </t>
    </r>
    <r>
      <rPr>
        <b/>
        <sz val="12"/>
        <color indexed="10"/>
        <rFont val="Times New Roman"/>
        <family val="1"/>
      </rPr>
      <t>C5</t>
    </r>
    <r>
      <rPr>
        <b/>
        <sz val="12"/>
        <color indexed="8"/>
        <rFont val="Times New Roman"/>
        <family val="1"/>
      </rPr>
      <t xml:space="preserve">    </t>
    </r>
    <r>
      <rPr>
        <b/>
        <sz val="12"/>
        <color indexed="10"/>
        <rFont val="Times New Roman"/>
        <family val="1"/>
      </rPr>
      <t xml:space="preserve">    </t>
    </r>
    <r>
      <rPr>
        <b/>
        <sz val="12"/>
        <color indexed="8"/>
        <rFont val="Times New Roman"/>
        <family val="1"/>
      </rPr>
      <t xml:space="preserve"> Período: </t>
    </r>
    <r>
      <rPr>
        <b/>
        <sz val="12"/>
        <color indexed="10"/>
        <rFont val="Times New Roman"/>
        <family val="1"/>
      </rPr>
      <t xml:space="preserve">Matinal                    </t>
    </r>
    <r>
      <rPr>
        <b/>
        <sz val="12"/>
        <rFont val="Times New Roman"/>
        <family val="1"/>
      </rPr>
      <t xml:space="preserve">I </t>
    </r>
    <r>
      <rPr>
        <b/>
        <sz val="12"/>
        <color indexed="10"/>
        <rFont val="Times New Roman"/>
        <family val="1"/>
      </rPr>
      <t xml:space="preserve">Trimestre </t>
    </r>
  </si>
  <si>
    <t>Elizabeth Simba Mbonzo</t>
  </si>
  <si>
    <t>Maria Ernesto Lurdes</t>
  </si>
  <si>
    <t>Alberto Pucuta Luemba Mambuco</t>
  </si>
  <si>
    <t>DESISTIDA</t>
  </si>
  <si>
    <t>DESISTIDO</t>
  </si>
  <si>
    <t>Lúcia Issungo Baiona Piula</t>
  </si>
  <si>
    <r>
      <rPr>
        <b/>
        <sz val="12"/>
        <rFont val="Times New Roman"/>
        <family val="1"/>
      </rPr>
      <t>Ano Lectivo:</t>
    </r>
    <r>
      <rPr>
        <b/>
        <sz val="12"/>
        <color indexed="10"/>
        <rFont val="Times New Roman"/>
        <family val="1"/>
      </rPr>
      <t xml:space="preserve"> 2025-2026            10ª</t>
    </r>
    <r>
      <rPr>
        <b/>
        <sz val="12"/>
        <color indexed="8"/>
        <rFont val="Times New Roman"/>
        <family val="1"/>
      </rPr>
      <t xml:space="preserve"> Classe          Turma: Única           Sala: </t>
    </r>
    <r>
      <rPr>
        <b/>
        <sz val="12"/>
        <color indexed="10"/>
        <rFont val="Times New Roman"/>
        <family val="1"/>
      </rPr>
      <t>C5</t>
    </r>
    <r>
      <rPr>
        <b/>
        <sz val="12"/>
        <color indexed="8"/>
        <rFont val="Times New Roman"/>
        <family val="1"/>
      </rPr>
      <t xml:space="preserve">    </t>
    </r>
    <r>
      <rPr>
        <b/>
        <sz val="12"/>
        <color indexed="10"/>
        <rFont val="Times New Roman"/>
        <family val="1"/>
      </rPr>
      <t xml:space="preserve">    </t>
    </r>
    <r>
      <rPr>
        <b/>
        <sz val="12"/>
        <color indexed="8"/>
        <rFont val="Times New Roman"/>
        <family val="1"/>
      </rPr>
      <t xml:space="preserve"> Período: </t>
    </r>
    <r>
      <rPr>
        <b/>
        <sz val="12"/>
        <color indexed="10"/>
        <rFont val="Times New Roman"/>
        <family val="1"/>
      </rPr>
      <t xml:space="preserve">Matinal                    </t>
    </r>
    <r>
      <rPr>
        <b/>
        <sz val="12"/>
        <rFont val="Times New Roman"/>
        <family val="1"/>
      </rPr>
      <t xml:space="preserve">II </t>
    </r>
    <r>
      <rPr>
        <b/>
        <sz val="12"/>
        <color indexed="10"/>
        <rFont val="Times New Roman"/>
        <family val="1"/>
      </rPr>
      <t xml:space="preserve">Trimestre </t>
    </r>
  </si>
  <si>
    <r>
      <t xml:space="preserve">COMPLEXO ESCOLAR PRIVADO JOMORAIS, </t>
    </r>
    <r>
      <rPr>
        <b/>
        <sz val="11"/>
        <color theme="1"/>
        <rFont val="Times New Roman"/>
        <family val="1"/>
      </rPr>
      <t>27 de março de 2026.-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</si>
</sst>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indexed="10"/>
      <name val="Times New Roman"/>
      <family val="1"/>
    </font>
    <font>
      <b/>
      <sz val="12"/>
      <color indexed="8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8"/>
      <color theme="1"/>
      <name val="Times New Roman"/>
      <family val="1"/>
    </font>
    <font>
      <sz val="11"/>
      <name val="Calibri"/>
      <family val="2"/>
    </font>
    <font>
      <b/>
      <sz val="18"/>
      <color theme="1"/>
      <name val="Agency FB"/>
      <family val="2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rgb="FFFF0000"/>
      <name val="Agency FB"/>
      <family val="2"/>
    </font>
    <font>
      <sz val="11"/>
      <color theme="1"/>
      <name val="Agency FB"/>
      <family val="2"/>
    </font>
    <font>
      <b/>
      <sz val="10"/>
      <color rgb="FF0000CC"/>
      <name val="Calibri"/>
      <family val="2"/>
      <scheme val="minor"/>
    </font>
    <font>
      <i/>
      <sz val="9"/>
      <color theme="1"/>
      <name val="Times New Roman"/>
      <family val="1"/>
    </font>
    <font>
      <b/>
      <sz val="12"/>
      <color theme="1"/>
      <name val="Blackadder ITC"/>
      <family val="5"/>
    </font>
    <font>
      <b/>
      <sz val="14"/>
      <color theme="1"/>
      <name val="Times New Roman"/>
      <family val="1"/>
    </font>
    <font>
      <b/>
      <sz val="11"/>
      <color indexed="8"/>
      <name val="Times New Roman"/>
      <family val="1"/>
    </font>
    <font>
      <b/>
      <sz val="12"/>
      <color theme="1"/>
      <name val="Calibri"/>
      <family val="2"/>
      <scheme val="minor"/>
    </font>
    <font>
      <sz val="12"/>
      <color theme="1"/>
      <name val="Blackadder ITC"/>
      <family val="5"/>
    </font>
    <font>
      <b/>
      <sz val="11"/>
      <color theme="1"/>
      <name val="Calibri"/>
      <family val="2"/>
    </font>
    <font>
      <b/>
      <sz val="9.35"/>
      <color theme="1"/>
      <name val="Times New Roman"/>
      <family val="1"/>
    </font>
    <font>
      <b/>
      <sz val="12"/>
      <color rgb="FFFF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1"/>
      <color theme="1"/>
      <name val="Arial Black"/>
      <family val="2"/>
    </font>
    <font>
      <sz val="11"/>
      <color rgb="FF0070C0"/>
      <name val="Arial Black"/>
      <family val="2"/>
    </font>
    <font>
      <b/>
      <sz val="14"/>
      <color theme="1"/>
      <name val="Agency FB"/>
      <family val="2"/>
    </font>
    <font>
      <sz val="10"/>
      <name val="Arial"/>
      <family val="2"/>
    </font>
    <font>
      <b/>
      <sz val="12"/>
      <color theme="1"/>
      <name val="Agency FB"/>
      <family val="2"/>
    </font>
    <font>
      <sz val="12"/>
      <color theme="1"/>
      <name val="Agency FB"/>
      <family val="2"/>
    </font>
    <font>
      <b/>
      <sz val="12"/>
      <color indexed="8"/>
      <name val="Agency FB"/>
      <family val="2"/>
    </font>
    <font>
      <sz val="12"/>
      <color rgb="FF000000"/>
      <name val="Agency FB"/>
      <family val="2"/>
    </font>
    <font>
      <sz val="14"/>
      <color theme="1"/>
      <name val="Agency FB"/>
      <family val="2"/>
    </font>
    <font>
      <b/>
      <sz val="20"/>
      <color theme="1"/>
      <name val="Papyrus"/>
      <family val="4"/>
    </font>
    <font>
      <b/>
      <sz val="20"/>
      <color rgb="FF0070C0"/>
      <name val="Calibri"/>
      <family val="2"/>
      <scheme val="minor"/>
    </font>
    <font>
      <sz val="12"/>
      <color rgb="FF000000"/>
      <name val="Agency FB"/>
      <family val="2"/>
    </font>
    <font>
      <sz val="12"/>
      <name val="Agency FB"/>
      <family val="2"/>
    </font>
    <font>
      <b/>
      <sz val="12"/>
      <color rgb="FFFF0000"/>
      <name val="Agency FB"/>
      <family val="2"/>
    </font>
    <font>
      <b/>
      <sz val="12"/>
      <color rgb="FF0070C0"/>
      <name val="Agency FB"/>
      <family val="2"/>
    </font>
    <font>
      <sz val="12"/>
      <color rgb="FF000000"/>
      <name val="Agency FB"/>
    </font>
    <font>
      <sz val="11"/>
      <color theme="1"/>
      <name val="Arial Narrow"/>
      <family val="2"/>
    </font>
    <font>
      <sz val="11"/>
      <color rgb="FF000000"/>
      <name val="Arial Narrow"/>
      <family val="2"/>
    </font>
    <font>
      <b/>
      <sz val="12"/>
      <color theme="1"/>
      <name val="Snap ITC"/>
      <family val="5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dashDot">
        <color indexed="64"/>
      </left>
      <right/>
      <top style="dashDot">
        <color indexed="64"/>
      </top>
      <bottom style="dashDot">
        <color indexed="64"/>
      </bottom>
      <diagonal/>
    </border>
    <border>
      <left/>
      <right/>
      <top style="dashDot">
        <color indexed="64"/>
      </top>
      <bottom style="dashDot">
        <color indexed="64"/>
      </bottom>
      <diagonal/>
    </border>
    <border>
      <left/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dashDot">
        <color indexed="64"/>
      </left>
      <right/>
      <top style="dashDot">
        <color indexed="64"/>
      </top>
      <bottom style="medium">
        <color indexed="64"/>
      </bottom>
      <diagonal/>
    </border>
    <border>
      <left/>
      <right/>
      <top style="dashDot">
        <color indexed="64"/>
      </top>
      <bottom style="medium">
        <color indexed="64"/>
      </bottom>
      <diagonal/>
    </border>
    <border>
      <left/>
      <right style="dashDot">
        <color indexed="64"/>
      </right>
      <top style="dashDot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4" fillId="0" borderId="0">
      <alignment vertical="center"/>
    </xf>
    <xf numFmtId="0" fontId="14" fillId="0" borderId="0">
      <alignment vertical="center"/>
    </xf>
    <xf numFmtId="0" fontId="34" fillId="0" borderId="0"/>
  </cellStyleXfs>
  <cellXfs count="266">
    <xf numFmtId="0" fontId="0" fillId="0" borderId="0" xfId="0"/>
    <xf numFmtId="0" fontId="1" fillId="0" borderId="0" xfId="1"/>
    <xf numFmtId="0" fontId="3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 wrapText="1"/>
    </xf>
    <xf numFmtId="0" fontId="6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1" fillId="0" borderId="0" xfId="1" applyBorder="1" applyAlignment="1">
      <alignment horizontal="center" vertical="center"/>
    </xf>
    <xf numFmtId="0" fontId="19" fillId="0" borderId="0" xfId="3" applyFont="1" applyBorder="1" applyAlignment="1">
      <alignment horizontal="justify" vertical="center" wrapText="1"/>
    </xf>
    <xf numFmtId="1" fontId="1" fillId="0" borderId="0" xfId="1" applyNumberFormat="1" applyFill="1" applyBorder="1" applyAlignment="1">
      <alignment horizontal="center" vertical="center"/>
    </xf>
    <xf numFmtId="164" fontId="20" fillId="0" borderId="0" xfId="3" applyNumberFormat="1" applyFont="1" applyFill="1" applyBorder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1" fillId="0" borderId="0" xfId="1" applyAlignment="1">
      <alignment vertical="center"/>
    </xf>
    <xf numFmtId="0" fontId="3" fillId="0" borderId="0" xfId="0" applyFont="1" applyAlignment="1">
      <alignment horizontal="center" vertical="top"/>
    </xf>
    <xf numFmtId="0" fontId="2" fillId="0" borderId="0" xfId="0" applyFont="1" applyAlignment="1"/>
    <xf numFmtId="0" fontId="0" fillId="0" borderId="0" xfId="0" applyBorder="1"/>
    <xf numFmtId="0" fontId="0" fillId="0" borderId="0" xfId="0" applyBorder="1" applyAlignment="1"/>
    <xf numFmtId="0" fontId="26" fillId="0" borderId="0" xfId="0" applyFont="1" applyBorder="1" applyAlignment="1"/>
    <xf numFmtId="0" fontId="5" fillId="0" borderId="0" xfId="0" applyFont="1" applyAlignment="1"/>
    <xf numFmtId="0" fontId="5" fillId="0" borderId="0" xfId="0" applyFont="1"/>
    <xf numFmtId="0" fontId="0" fillId="0" borderId="0" xfId="0" applyAlignment="1"/>
    <xf numFmtId="0" fontId="21" fillId="0" borderId="0" xfId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0" xfId="1" applyFill="1" applyBorder="1"/>
    <xf numFmtId="0" fontId="0" fillId="0" borderId="1" xfId="0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left"/>
    </xf>
    <xf numFmtId="164" fontId="36" fillId="0" borderId="1" xfId="0" applyNumberFormat="1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164" fontId="36" fillId="0" borderId="25" xfId="0" applyNumberFormat="1" applyFont="1" applyBorder="1" applyAlignment="1">
      <alignment horizontal="center"/>
    </xf>
    <xf numFmtId="0" fontId="35" fillId="0" borderId="25" xfId="0" applyFont="1" applyBorder="1" applyAlignment="1">
      <alignment horizontal="center" vertical="top"/>
    </xf>
    <xf numFmtId="0" fontId="35" fillId="0" borderId="24" xfId="0" applyFont="1" applyBorder="1" applyAlignment="1">
      <alignment horizontal="center" vertical="top"/>
    </xf>
    <xf numFmtId="0" fontId="35" fillId="0" borderId="34" xfId="0" applyFont="1" applyBorder="1" applyAlignment="1">
      <alignment horizontal="center" vertical="top"/>
    </xf>
    <xf numFmtId="1" fontId="36" fillId="0" borderId="31" xfId="0" applyNumberFormat="1" applyFont="1" applyBorder="1" applyAlignment="1">
      <alignment horizontal="center"/>
    </xf>
    <xf numFmtId="1" fontId="36" fillId="0" borderId="23" xfId="0" applyNumberFormat="1" applyFont="1" applyBorder="1" applyAlignment="1">
      <alignment horizontal="center"/>
    </xf>
    <xf numFmtId="164" fontId="36" fillId="0" borderId="33" xfId="0" applyNumberFormat="1" applyFont="1" applyBorder="1" applyAlignment="1">
      <alignment horizontal="center" vertical="center"/>
    </xf>
    <xf numFmtId="1" fontId="39" fillId="0" borderId="31" xfId="0" applyNumberFormat="1" applyFont="1" applyBorder="1" applyAlignment="1">
      <alignment horizontal="center"/>
    </xf>
    <xf numFmtId="1" fontId="39" fillId="0" borderId="23" xfId="0" applyNumberFormat="1" applyFont="1" applyBorder="1" applyAlignment="1">
      <alignment horizontal="center"/>
    </xf>
    <xf numFmtId="0" fontId="35" fillId="0" borderId="16" xfId="0" applyFont="1" applyBorder="1" applyAlignment="1">
      <alignment horizontal="center" vertical="center"/>
    </xf>
    <xf numFmtId="0" fontId="35" fillId="0" borderId="21" xfId="0" applyFont="1" applyBorder="1" applyAlignment="1">
      <alignment horizontal="center" vertical="center"/>
    </xf>
    <xf numFmtId="0" fontId="5" fillId="2" borderId="38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5" fillId="0" borderId="39" xfId="0" applyFont="1" applyBorder="1" applyAlignment="1">
      <alignment horizontal="center" vertical="center"/>
    </xf>
    <xf numFmtId="0" fontId="3" fillId="0" borderId="0" xfId="1" applyFont="1" applyAlignment="1">
      <alignment horizontal="left" vertical="center" wrapText="1"/>
    </xf>
    <xf numFmtId="0" fontId="11" fillId="0" borderId="0" xfId="1" applyFont="1" applyBorder="1" applyAlignment="1">
      <alignment horizontal="center"/>
    </xf>
    <xf numFmtId="0" fontId="11" fillId="0" borderId="0" xfId="1" applyFont="1" applyAlignment="1">
      <alignment horizontal="center"/>
    </xf>
    <xf numFmtId="0" fontId="5" fillId="0" borderId="0" xfId="1" applyFont="1" applyAlignment="1">
      <alignment horizontal="center" vertical="center"/>
    </xf>
    <xf numFmtId="0" fontId="22" fillId="0" borderId="0" xfId="1" applyFont="1" applyAlignment="1">
      <alignment horizontal="center" vertical="center"/>
    </xf>
    <xf numFmtId="0" fontId="1" fillId="0" borderId="0" xfId="1" applyFont="1" applyAlignment="1">
      <alignment horizontal="center"/>
    </xf>
    <xf numFmtId="1" fontId="18" fillId="2" borderId="6" xfId="0" applyNumberFormat="1" applyFont="1" applyFill="1" applyBorder="1" applyAlignment="1">
      <alignment horizontal="center" vertical="center"/>
    </xf>
    <xf numFmtId="1" fontId="18" fillId="2" borderId="8" xfId="0" applyNumberFormat="1" applyFont="1" applyFill="1" applyBorder="1" applyAlignment="1">
      <alignment horizontal="center" vertical="center"/>
    </xf>
    <xf numFmtId="1" fontId="18" fillId="2" borderId="7" xfId="0" applyNumberFormat="1" applyFont="1" applyFill="1" applyBorder="1" applyAlignment="1">
      <alignment horizontal="center" vertical="center"/>
    </xf>
    <xf numFmtId="0" fontId="1" fillId="2" borderId="12" xfId="1" applyFill="1" applyBorder="1"/>
    <xf numFmtId="0" fontId="15" fillId="2" borderId="11" xfId="0" applyFont="1" applyFill="1" applyBorder="1" applyAlignment="1">
      <alignment horizontal="center" vertical="center"/>
    </xf>
    <xf numFmtId="0" fontId="38" fillId="0" borderId="12" xfId="0" applyFont="1" applyBorder="1" applyAlignment="1">
      <alignment vertical="center" wrapText="1"/>
    </xf>
    <xf numFmtId="0" fontId="36" fillId="0" borderId="12" xfId="0" applyFont="1" applyBorder="1" applyAlignment="1">
      <alignment vertical="center" wrapText="1"/>
    </xf>
    <xf numFmtId="0" fontId="38" fillId="0" borderId="36" xfId="0" applyFont="1" applyBorder="1" applyAlignment="1">
      <alignment vertical="center" wrapText="1"/>
    </xf>
    <xf numFmtId="0" fontId="36" fillId="0" borderId="29" xfId="0" applyFont="1" applyBorder="1" applyAlignment="1">
      <alignment horizontal="center"/>
    </xf>
    <xf numFmtId="1" fontId="42" fillId="0" borderId="1" xfId="0" applyNumberFormat="1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2" fillId="3" borderId="1" xfId="0" applyFont="1" applyFill="1" applyBorder="1" applyAlignment="1">
      <alignment horizontal="center"/>
    </xf>
    <xf numFmtId="1" fontId="42" fillId="0" borderId="25" xfId="0" applyNumberFormat="1" applyFont="1" applyBorder="1" applyAlignment="1">
      <alignment horizontal="center"/>
    </xf>
    <xf numFmtId="0" fontId="42" fillId="0" borderId="25" xfId="0" applyFont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164" fontId="42" fillId="0" borderId="1" xfId="0" applyNumberFormat="1" applyFont="1" applyBorder="1" applyAlignment="1">
      <alignment horizontal="center"/>
    </xf>
    <xf numFmtId="164" fontId="42" fillId="0" borderId="25" xfId="0" applyNumberFormat="1" applyFont="1" applyBorder="1" applyAlignment="1">
      <alignment horizontal="center"/>
    </xf>
    <xf numFmtId="0" fontId="36" fillId="2" borderId="37" xfId="0" applyFont="1" applyFill="1" applyBorder="1" applyAlignment="1">
      <alignment horizontal="center"/>
    </xf>
    <xf numFmtId="164" fontId="43" fillId="0" borderId="37" xfId="0" applyNumberFormat="1" applyFont="1" applyBorder="1" applyAlignment="1">
      <alignment horizontal="center" vertical="center"/>
    </xf>
    <xf numFmtId="164" fontId="43" fillId="0" borderId="18" xfId="0" applyNumberFormat="1" applyFont="1" applyBorder="1" applyAlignment="1">
      <alignment horizontal="center" vertical="center"/>
    </xf>
    <xf numFmtId="0" fontId="36" fillId="0" borderId="15" xfId="0" applyFont="1" applyBorder="1" applyAlignment="1">
      <alignment horizontal="center"/>
    </xf>
    <xf numFmtId="0" fontId="11" fillId="0" borderId="0" xfId="0" applyFont="1" applyAlignment="1"/>
    <xf numFmtId="0" fontId="11" fillId="0" borderId="37" xfId="0" applyFont="1" applyBorder="1" applyAlignment="1"/>
    <xf numFmtId="164" fontId="43" fillId="0" borderId="31" xfId="0" applyNumberFormat="1" applyFont="1" applyBorder="1" applyAlignment="1">
      <alignment horizontal="center" vertical="center"/>
    </xf>
    <xf numFmtId="164" fontId="43" fillId="0" borderId="23" xfId="0" applyNumberFormat="1" applyFont="1" applyBorder="1" applyAlignment="1">
      <alignment horizontal="center" vertical="center"/>
    </xf>
    <xf numFmtId="0" fontId="36" fillId="0" borderId="18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36" fillId="0" borderId="23" xfId="0" applyFont="1" applyBorder="1" applyAlignment="1">
      <alignment horizontal="center"/>
    </xf>
    <xf numFmtId="0" fontId="0" fillId="0" borderId="0" xfId="1" applyFont="1" applyBorder="1" applyAlignment="1">
      <alignment horizontal="center"/>
    </xf>
    <xf numFmtId="0" fontId="1" fillId="0" borderId="0" xfId="1" applyBorder="1" applyAlignment="1">
      <alignment horizontal="center"/>
    </xf>
    <xf numFmtId="164" fontId="38" fillId="0" borderId="32" xfId="0" applyNumberFormat="1" applyFont="1" applyBorder="1" applyAlignment="1">
      <alignment horizontal="center"/>
    </xf>
    <xf numFmtId="164" fontId="38" fillId="0" borderId="1" xfId="0" applyNumberFormat="1" applyFont="1" applyBorder="1" applyAlignment="1">
      <alignment horizontal="center"/>
    </xf>
    <xf numFmtId="164" fontId="38" fillId="0" borderId="24" xfId="0" applyNumberFormat="1" applyFont="1" applyBorder="1" applyAlignment="1">
      <alignment horizontal="center"/>
    </xf>
    <xf numFmtId="164" fontId="38" fillId="0" borderId="25" xfId="0" applyNumberFormat="1" applyFont="1" applyBorder="1" applyAlignment="1">
      <alignment horizontal="center"/>
    </xf>
    <xf numFmtId="0" fontId="44" fillId="2" borderId="12" xfId="0" applyFont="1" applyFill="1" applyBorder="1" applyAlignment="1">
      <alignment horizontal="center" vertical="center"/>
    </xf>
    <xf numFmtId="0" fontId="45" fillId="2" borderId="12" xfId="0" applyFont="1" applyFill="1" applyBorder="1" applyAlignment="1">
      <alignment horizontal="center" vertical="center"/>
    </xf>
    <xf numFmtId="0" fontId="44" fillId="2" borderId="44" xfId="0" applyFont="1" applyFill="1" applyBorder="1" applyAlignment="1">
      <alignment horizontal="center" vertical="center"/>
    </xf>
    <xf numFmtId="164" fontId="46" fillId="0" borderId="32" xfId="0" applyNumberFormat="1" applyFont="1" applyBorder="1" applyAlignment="1">
      <alignment horizontal="center"/>
    </xf>
    <xf numFmtId="164" fontId="46" fillId="0" borderId="1" xfId="0" applyNumberFormat="1" applyFont="1" applyBorder="1" applyAlignment="1">
      <alignment horizontal="center"/>
    </xf>
    <xf numFmtId="164" fontId="46" fillId="0" borderId="24" xfId="0" applyNumberFormat="1" applyFont="1" applyBorder="1" applyAlignment="1">
      <alignment horizontal="center"/>
    </xf>
    <xf numFmtId="164" fontId="46" fillId="0" borderId="25" xfId="0" applyNumberFormat="1" applyFont="1" applyBorder="1" applyAlignment="1">
      <alignment horizontal="center"/>
    </xf>
    <xf numFmtId="0" fontId="0" fillId="0" borderId="1" xfId="1" applyFont="1" applyBorder="1" applyAlignment="1">
      <alignment horizontal="center"/>
    </xf>
    <xf numFmtId="164" fontId="38" fillId="0" borderId="33" xfId="0" applyNumberFormat="1" applyFont="1" applyBorder="1" applyAlignment="1">
      <alignment horizontal="center" vertical="center"/>
    </xf>
    <xf numFmtId="1" fontId="38" fillId="0" borderId="32" xfId="0" applyNumberFormat="1" applyFont="1" applyBorder="1" applyAlignment="1">
      <alignment horizontal="center"/>
    </xf>
    <xf numFmtId="1" fontId="38" fillId="0" borderId="1" xfId="0" applyNumberFormat="1" applyFont="1" applyBorder="1" applyAlignment="1">
      <alignment horizontal="center"/>
    </xf>
    <xf numFmtId="1" fontId="38" fillId="0" borderId="24" xfId="0" applyNumberFormat="1" applyFont="1" applyBorder="1" applyAlignment="1">
      <alignment horizontal="center"/>
    </xf>
    <xf numFmtId="1" fontId="38" fillId="0" borderId="25" xfId="0" applyNumberFormat="1" applyFont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38" fillId="0" borderId="25" xfId="0" applyFont="1" applyBorder="1" applyAlignment="1">
      <alignment horizontal="center"/>
    </xf>
    <xf numFmtId="2" fontId="38" fillId="0" borderId="1" xfId="0" applyNumberFormat="1" applyFont="1" applyBorder="1" applyAlignment="1">
      <alignment horizontal="center"/>
    </xf>
    <xf numFmtId="2" fontId="38" fillId="0" borderId="25" xfId="0" applyNumberFormat="1" applyFont="1" applyBorder="1" applyAlignment="1">
      <alignment horizontal="center"/>
    </xf>
    <xf numFmtId="164" fontId="46" fillId="0" borderId="33" xfId="0" applyNumberFormat="1" applyFont="1" applyBorder="1" applyAlignment="1">
      <alignment horizontal="center" vertical="center"/>
    </xf>
    <xf numFmtId="0" fontId="46" fillId="3" borderId="32" xfId="0" applyFont="1" applyFill="1" applyBorder="1" applyAlignment="1">
      <alignment horizontal="center"/>
    </xf>
    <xf numFmtId="0" fontId="46" fillId="3" borderId="1" xfId="0" applyFont="1" applyFill="1" applyBorder="1" applyAlignment="1">
      <alignment horizontal="center"/>
    </xf>
    <xf numFmtId="0" fontId="46" fillId="3" borderId="24" xfId="0" applyFont="1" applyFill="1" applyBorder="1" applyAlignment="1">
      <alignment horizontal="center"/>
    </xf>
    <xf numFmtId="0" fontId="46" fillId="3" borderId="25" xfId="0" applyFont="1" applyFill="1" applyBorder="1" applyAlignment="1">
      <alignment horizontal="center"/>
    </xf>
    <xf numFmtId="0" fontId="46" fillId="0" borderId="32" xfId="0" applyFont="1" applyBorder="1" applyAlignment="1">
      <alignment horizontal="center"/>
    </xf>
    <xf numFmtId="0" fontId="46" fillId="0" borderId="24" xfId="0" applyFont="1" applyBorder="1" applyAlignment="1">
      <alignment horizontal="center"/>
    </xf>
    <xf numFmtId="0" fontId="47" fillId="0" borderId="50" xfId="0" applyFont="1" applyBorder="1" applyAlignment="1">
      <alignment horizontal="center" vertical="center" wrapText="1"/>
    </xf>
    <xf numFmtId="0" fontId="47" fillId="0" borderId="51" xfId="0" applyFont="1" applyBorder="1" applyAlignment="1">
      <alignment horizontal="center" vertical="center" wrapText="1"/>
    </xf>
    <xf numFmtId="0" fontId="48" fillId="0" borderId="51" xfId="0" applyFont="1" applyBorder="1" applyAlignment="1">
      <alignment horizontal="center" vertical="center" wrapText="1"/>
    </xf>
    <xf numFmtId="0" fontId="47" fillId="0" borderId="52" xfId="0" applyFont="1" applyBorder="1" applyAlignment="1">
      <alignment horizontal="center" vertical="center" wrapText="1"/>
    </xf>
    <xf numFmtId="0" fontId="47" fillId="0" borderId="6" xfId="0" applyFont="1" applyBorder="1" applyAlignment="1">
      <alignment horizontal="center" vertical="center" wrapText="1"/>
    </xf>
    <xf numFmtId="0" fontId="47" fillId="0" borderId="8" xfId="0" applyFont="1" applyBorder="1" applyAlignment="1">
      <alignment horizontal="center" vertical="center" wrapText="1"/>
    </xf>
    <xf numFmtId="0" fontId="48" fillId="0" borderId="8" xfId="0" applyFont="1" applyBorder="1" applyAlignment="1">
      <alignment horizontal="center" vertical="center" wrapText="1"/>
    </xf>
    <xf numFmtId="0" fontId="47" fillId="3" borderId="8" xfId="0" applyFont="1" applyFill="1" applyBorder="1" applyAlignment="1">
      <alignment horizontal="center" vertical="center" wrapText="1"/>
    </xf>
    <xf numFmtId="0" fontId="47" fillId="0" borderId="7" xfId="0" applyFont="1" applyBorder="1" applyAlignment="1">
      <alignment horizontal="center" vertical="center" wrapText="1"/>
    </xf>
    <xf numFmtId="0" fontId="47" fillId="0" borderId="6" xfId="0" applyFont="1" applyBorder="1" applyAlignment="1">
      <alignment vertical="center" wrapText="1"/>
    </xf>
    <xf numFmtId="0" fontId="47" fillId="0" borderId="8" xfId="0" applyFont="1" applyBorder="1" applyAlignment="1">
      <alignment vertical="center" wrapText="1"/>
    </xf>
    <xf numFmtId="0" fontId="48" fillId="0" borderId="8" xfId="0" applyFont="1" applyBorder="1" applyAlignment="1">
      <alignment vertical="center" wrapText="1"/>
    </xf>
    <xf numFmtId="0" fontId="47" fillId="0" borderId="7" xfId="0" applyFont="1" applyBorder="1" applyAlignment="1">
      <alignment vertical="center" wrapText="1"/>
    </xf>
    <xf numFmtId="0" fontId="47" fillId="0" borderId="18" xfId="0" applyFont="1" applyBorder="1" applyAlignment="1">
      <alignment vertical="center" wrapText="1"/>
    </xf>
    <xf numFmtId="0" fontId="47" fillId="0" borderId="31" xfId="0" applyFont="1" applyBorder="1" applyAlignment="1">
      <alignment vertical="center" wrapText="1"/>
    </xf>
    <xf numFmtId="0" fontId="48" fillId="0" borderId="31" xfId="0" applyFont="1" applyBorder="1" applyAlignment="1">
      <alignment vertical="center" wrapText="1"/>
    </xf>
    <xf numFmtId="0" fontId="47" fillId="0" borderId="23" xfId="0" applyFont="1" applyBorder="1" applyAlignment="1">
      <alignment vertical="center" wrapText="1"/>
    </xf>
    <xf numFmtId="0" fontId="11" fillId="0" borderId="0" xfId="1" applyFont="1" applyBorder="1" applyAlignment="1">
      <alignment horizontal="center"/>
    </xf>
    <xf numFmtId="0" fontId="11" fillId="0" borderId="0" xfId="0" applyFont="1" applyAlignment="1">
      <alignment horizontal="left"/>
    </xf>
    <xf numFmtId="164" fontId="38" fillId="2" borderId="32" xfId="0" applyNumberFormat="1" applyFont="1" applyFill="1" applyBorder="1" applyAlignment="1">
      <alignment horizontal="center"/>
    </xf>
    <xf numFmtId="164" fontId="38" fillId="2" borderId="1" xfId="0" applyNumberFormat="1" applyFont="1" applyFill="1" applyBorder="1" applyAlignment="1">
      <alignment horizontal="center"/>
    </xf>
    <xf numFmtId="1" fontId="38" fillId="2" borderId="1" xfId="0" applyNumberFormat="1" applyFont="1" applyFill="1" applyBorder="1" applyAlignment="1">
      <alignment horizontal="center"/>
    </xf>
    <xf numFmtId="0" fontId="36" fillId="0" borderId="16" xfId="0" applyFont="1" applyBorder="1" applyAlignment="1">
      <alignment horizontal="center"/>
    </xf>
    <xf numFmtId="0" fontId="38" fillId="0" borderId="59" xfId="0" applyFont="1" applyBorder="1" applyAlignment="1">
      <alignment vertical="center" wrapText="1"/>
    </xf>
    <xf numFmtId="164" fontId="46" fillId="0" borderId="19" xfId="0" applyNumberFormat="1" applyFont="1" applyBorder="1" applyAlignment="1">
      <alignment horizontal="center"/>
    </xf>
    <xf numFmtId="164" fontId="46" fillId="0" borderId="20" xfId="0" applyNumberFormat="1" applyFont="1" applyBorder="1" applyAlignment="1">
      <alignment horizontal="center"/>
    </xf>
    <xf numFmtId="164" fontId="46" fillId="0" borderId="35" xfId="0" applyNumberFormat="1" applyFont="1" applyBorder="1" applyAlignment="1">
      <alignment horizontal="center" vertical="center"/>
    </xf>
    <xf numFmtId="0" fontId="46" fillId="3" borderId="19" xfId="0" applyFont="1" applyFill="1" applyBorder="1" applyAlignment="1">
      <alignment horizontal="center"/>
    </xf>
    <xf numFmtId="0" fontId="46" fillId="3" borderId="20" xfId="0" applyFont="1" applyFill="1" applyBorder="1" applyAlignment="1">
      <alignment horizontal="center"/>
    </xf>
    <xf numFmtId="0" fontId="42" fillId="3" borderId="20" xfId="0" applyFont="1" applyFill="1" applyBorder="1" applyAlignment="1">
      <alignment horizontal="center"/>
    </xf>
    <xf numFmtId="164" fontId="43" fillId="0" borderId="59" xfId="0" applyNumberFormat="1" applyFont="1" applyBorder="1" applyAlignment="1">
      <alignment horizontal="center" vertical="center"/>
    </xf>
    <xf numFmtId="0" fontId="46" fillId="0" borderId="19" xfId="0" applyFont="1" applyBorder="1" applyAlignment="1">
      <alignment horizontal="center"/>
    </xf>
    <xf numFmtId="164" fontId="36" fillId="0" borderId="20" xfId="0" applyNumberFormat="1" applyFont="1" applyBorder="1" applyAlignment="1">
      <alignment horizontal="center"/>
    </xf>
    <xf numFmtId="1" fontId="36" fillId="0" borderId="18" xfId="0" applyNumberFormat="1" applyFont="1" applyBorder="1" applyAlignment="1">
      <alignment horizontal="center"/>
    </xf>
    <xf numFmtId="164" fontId="46" fillId="0" borderId="34" xfId="0" applyNumberFormat="1" applyFont="1" applyBorder="1" applyAlignment="1">
      <alignment horizontal="center" vertical="center"/>
    </xf>
    <xf numFmtId="164" fontId="43" fillId="0" borderId="14" xfId="0" applyNumberFormat="1" applyFont="1" applyBorder="1" applyAlignment="1">
      <alignment horizontal="center" vertical="center"/>
    </xf>
    <xf numFmtId="164" fontId="42" fillId="0" borderId="20" xfId="0" applyNumberFormat="1" applyFont="1" applyBorder="1" applyAlignment="1">
      <alignment horizontal="center"/>
    </xf>
    <xf numFmtId="164" fontId="36" fillId="0" borderId="35" xfId="0" applyNumberFormat="1" applyFont="1" applyBorder="1" applyAlignment="1">
      <alignment horizontal="center" vertical="center"/>
    </xf>
    <xf numFmtId="0" fontId="36" fillId="0" borderId="60" xfId="0" applyFont="1" applyBorder="1" applyAlignment="1">
      <alignment horizontal="center"/>
    </xf>
    <xf numFmtId="1" fontId="38" fillId="0" borderId="19" xfId="0" applyNumberFormat="1" applyFont="1" applyBorder="1" applyAlignment="1">
      <alignment horizontal="center"/>
    </xf>
    <xf numFmtId="1" fontId="38" fillId="0" borderId="20" xfId="0" applyNumberFormat="1" applyFont="1" applyBorder="1" applyAlignment="1">
      <alignment horizontal="center"/>
    </xf>
    <xf numFmtId="1" fontId="42" fillId="0" borderId="20" xfId="0" applyNumberFormat="1" applyFont="1" applyBorder="1" applyAlignment="1">
      <alignment horizontal="center"/>
    </xf>
    <xf numFmtId="1" fontId="39" fillId="0" borderId="18" xfId="0" applyNumberFormat="1" applyFont="1" applyBorder="1" applyAlignment="1">
      <alignment horizontal="center"/>
    </xf>
    <xf numFmtId="164" fontId="36" fillId="0" borderId="34" xfId="0" applyNumberFormat="1" applyFont="1" applyBorder="1" applyAlignment="1">
      <alignment horizontal="center" vertical="center"/>
    </xf>
    <xf numFmtId="164" fontId="38" fillId="0" borderId="19" xfId="0" applyNumberFormat="1" applyFont="1" applyBorder="1" applyAlignment="1">
      <alignment horizontal="center"/>
    </xf>
    <xf numFmtId="164" fontId="38" fillId="0" borderId="20" xfId="0" applyNumberFormat="1" applyFont="1" applyBorder="1" applyAlignment="1">
      <alignment horizontal="center"/>
    </xf>
    <xf numFmtId="2" fontId="38" fillId="0" borderId="20" xfId="0" applyNumberFormat="1" applyFont="1" applyBorder="1" applyAlignment="1">
      <alignment horizontal="center"/>
    </xf>
    <xf numFmtId="0" fontId="38" fillId="0" borderId="20" xfId="0" applyFont="1" applyBorder="1" applyAlignment="1">
      <alignment horizontal="center"/>
    </xf>
    <xf numFmtId="0" fontId="42" fillId="0" borderId="20" xfId="0" applyFont="1" applyBorder="1" applyAlignment="1">
      <alignment horizontal="center"/>
    </xf>
    <xf numFmtId="164" fontId="38" fillId="0" borderId="35" xfId="0" applyNumberFormat="1" applyFont="1" applyBorder="1" applyAlignment="1">
      <alignment horizontal="center" vertical="center"/>
    </xf>
    <xf numFmtId="164" fontId="38" fillId="0" borderId="34" xfId="0" applyNumberFormat="1" applyFont="1" applyBorder="1" applyAlignment="1">
      <alignment horizontal="center" vertical="center"/>
    </xf>
    <xf numFmtId="0" fontId="48" fillId="0" borderId="50" xfId="0" applyFont="1" applyBorder="1" applyAlignment="1">
      <alignment horizontal="center" vertical="center" wrapText="1"/>
    </xf>
    <xf numFmtId="0" fontId="8" fillId="2" borderId="40" xfId="2" applyFont="1" applyFill="1" applyBorder="1" applyAlignment="1">
      <alignment horizontal="center" vertical="center" wrapText="1"/>
    </xf>
    <xf numFmtId="0" fontId="8" fillId="2" borderId="41" xfId="2" applyFont="1" applyFill="1" applyBorder="1" applyAlignment="1">
      <alignment horizontal="center" vertical="center" wrapText="1"/>
    </xf>
    <xf numFmtId="0" fontId="8" fillId="2" borderId="41" xfId="2" applyFont="1" applyFill="1" applyBorder="1" applyAlignment="1">
      <alignment horizontal="center" vertical="center"/>
    </xf>
    <xf numFmtId="0" fontId="8" fillId="2" borderId="42" xfId="2" applyFont="1" applyFill="1" applyBorder="1" applyAlignment="1">
      <alignment horizontal="center" vertical="center"/>
    </xf>
    <xf numFmtId="164" fontId="38" fillId="4" borderId="32" xfId="0" applyNumberFormat="1" applyFont="1" applyFill="1" applyBorder="1" applyAlignment="1">
      <alignment horizontal="center"/>
    </xf>
    <xf numFmtId="164" fontId="38" fillId="4" borderId="1" xfId="0" applyNumberFormat="1" applyFont="1" applyFill="1" applyBorder="1" applyAlignment="1">
      <alignment horizontal="center"/>
    </xf>
    <xf numFmtId="1" fontId="5" fillId="2" borderId="3" xfId="1" applyNumberFormat="1" applyFont="1" applyFill="1" applyBorder="1" applyAlignment="1">
      <alignment horizontal="center" vertical="center"/>
    </xf>
    <xf numFmtId="1" fontId="5" fillId="2" borderId="4" xfId="1" applyNumberFormat="1" applyFont="1" applyFill="1" applyBorder="1" applyAlignment="1">
      <alignment horizontal="center" vertical="center"/>
    </xf>
    <xf numFmtId="1" fontId="5" fillId="2" borderId="5" xfId="1" applyNumberFormat="1" applyFont="1" applyFill="1" applyBorder="1" applyAlignment="1">
      <alignment horizontal="center" vertical="center"/>
    </xf>
    <xf numFmtId="1" fontId="5" fillId="2" borderId="63" xfId="1" applyNumberFormat="1" applyFont="1" applyFill="1" applyBorder="1" applyAlignment="1">
      <alignment horizontal="center" vertical="center"/>
    </xf>
    <xf numFmtId="1" fontId="5" fillId="2" borderId="1" xfId="1" applyNumberFormat="1" applyFont="1" applyFill="1" applyBorder="1" applyAlignment="1">
      <alignment horizontal="center" vertical="center"/>
    </xf>
    <xf numFmtId="1" fontId="5" fillId="2" borderId="64" xfId="1" applyNumberFormat="1" applyFont="1" applyFill="1" applyBorder="1" applyAlignment="1">
      <alignment horizontal="center" vertical="center"/>
    </xf>
    <xf numFmtId="1" fontId="18" fillId="4" borderId="8" xfId="0" applyNumberFormat="1" applyFont="1" applyFill="1" applyBorder="1" applyAlignment="1">
      <alignment horizontal="center" vertical="center"/>
    </xf>
    <xf numFmtId="0" fontId="0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0" xfId="1" applyFont="1" applyAlignment="1">
      <alignment horizontal="left" vertical="center" wrapText="1"/>
    </xf>
    <xf numFmtId="0" fontId="11" fillId="0" borderId="0" xfId="1" applyFont="1" applyAlignment="1">
      <alignment horizontal="center"/>
    </xf>
    <xf numFmtId="0" fontId="5" fillId="0" borderId="0" xfId="1" applyFont="1" applyAlignment="1">
      <alignment horizontal="center" vertical="center"/>
    </xf>
    <xf numFmtId="0" fontId="22" fillId="0" borderId="0" xfId="1" applyFont="1" applyAlignment="1">
      <alignment horizontal="center" vertical="center"/>
    </xf>
    <xf numFmtId="0" fontId="1" fillId="0" borderId="0" xfId="1" applyFont="1" applyAlignment="1">
      <alignment horizontal="center"/>
    </xf>
    <xf numFmtId="1" fontId="5" fillId="2" borderId="65" xfId="1" applyNumberFormat="1" applyFont="1" applyFill="1" applyBorder="1" applyAlignment="1">
      <alignment horizontal="center" vertical="center"/>
    </xf>
    <xf numFmtId="1" fontId="5" fillId="2" borderId="66" xfId="1" applyNumberFormat="1" applyFont="1" applyFill="1" applyBorder="1" applyAlignment="1">
      <alignment horizontal="center" vertical="center"/>
    </xf>
    <xf numFmtId="1" fontId="5" fillId="2" borderId="67" xfId="1" applyNumberFormat="1" applyFont="1" applyFill="1" applyBorder="1" applyAlignment="1">
      <alignment horizontal="center" vertical="center"/>
    </xf>
    <xf numFmtId="164" fontId="46" fillId="0" borderId="28" xfId="0" applyNumberFormat="1" applyFont="1" applyBorder="1" applyAlignment="1">
      <alignment horizontal="center"/>
    </xf>
    <xf numFmtId="1" fontId="46" fillId="0" borderId="20" xfId="0" applyNumberFormat="1" applyFont="1" applyBorder="1" applyAlignment="1">
      <alignment horizontal="center"/>
    </xf>
    <xf numFmtId="164" fontId="46" fillId="0" borderId="2" xfId="0" applyNumberFormat="1" applyFont="1" applyBorder="1" applyAlignment="1">
      <alignment horizontal="center"/>
    </xf>
    <xf numFmtId="1" fontId="46" fillId="0" borderId="1" xfId="0" applyNumberFormat="1" applyFont="1" applyBorder="1" applyAlignment="1">
      <alignment horizontal="center"/>
    </xf>
    <xf numFmtId="1" fontId="46" fillId="0" borderId="32" xfId="0" applyNumberFormat="1" applyFont="1" applyBorder="1" applyAlignment="1">
      <alignment horizontal="center"/>
    </xf>
    <xf numFmtId="164" fontId="46" fillId="0" borderId="61" xfId="0" applyNumberFormat="1" applyFont="1" applyBorder="1" applyAlignment="1">
      <alignment horizontal="center"/>
    </xf>
    <xf numFmtId="164" fontId="46" fillId="0" borderId="62" xfId="0" applyNumberFormat="1" applyFont="1" applyBorder="1" applyAlignment="1">
      <alignment horizontal="center"/>
    </xf>
    <xf numFmtId="1" fontId="46" fillId="0" borderId="24" xfId="0" applyNumberFormat="1" applyFont="1" applyBorder="1" applyAlignment="1">
      <alignment horizontal="center"/>
    </xf>
    <xf numFmtId="1" fontId="46" fillId="0" borderId="25" xfId="0" applyNumberFormat="1" applyFont="1" applyBorder="1" applyAlignment="1">
      <alignment horizontal="center"/>
    </xf>
    <xf numFmtId="1" fontId="46" fillId="0" borderId="19" xfId="0" applyNumberFormat="1" applyFont="1" applyBorder="1" applyAlignment="1">
      <alignment horizontal="center"/>
    </xf>
    <xf numFmtId="0" fontId="46" fillId="0" borderId="20" xfId="0" applyFont="1" applyBorder="1" applyAlignment="1">
      <alignment horizontal="center"/>
    </xf>
    <xf numFmtId="0" fontId="46" fillId="0" borderId="1" xfId="0" applyFont="1" applyBorder="1" applyAlignment="1">
      <alignment horizontal="center"/>
    </xf>
    <xf numFmtId="0" fontId="46" fillId="0" borderId="25" xfId="0" applyFont="1" applyBorder="1" applyAlignment="1">
      <alignment horizontal="center"/>
    </xf>
    <xf numFmtId="2" fontId="38" fillId="4" borderId="1" xfId="0" applyNumberFormat="1" applyFont="1" applyFill="1" applyBorder="1" applyAlignment="1">
      <alignment horizontal="center"/>
    </xf>
    <xf numFmtId="164" fontId="38" fillId="4" borderId="24" xfId="0" applyNumberFormat="1" applyFont="1" applyFill="1" applyBorder="1" applyAlignment="1">
      <alignment horizontal="center"/>
    </xf>
    <xf numFmtId="164" fontId="38" fillId="4" borderId="25" xfId="0" applyNumberFormat="1" applyFont="1" applyFill="1" applyBorder="1" applyAlignment="1">
      <alignment horizontal="center"/>
    </xf>
    <xf numFmtId="1" fontId="38" fillId="4" borderId="1" xfId="0" applyNumberFormat="1" applyFont="1" applyFill="1" applyBorder="1" applyAlignment="1">
      <alignment horizontal="center"/>
    </xf>
    <xf numFmtId="0" fontId="13" fillId="2" borderId="43" xfId="1" applyFont="1" applyFill="1" applyBorder="1" applyAlignment="1">
      <alignment horizontal="center" vertical="center" textRotation="1"/>
    </xf>
    <xf numFmtId="0" fontId="13" fillId="2" borderId="45" xfId="1" applyFont="1" applyFill="1" applyBorder="1" applyAlignment="1">
      <alignment horizontal="center" vertical="center" textRotation="1"/>
    </xf>
    <xf numFmtId="0" fontId="0" fillId="0" borderId="43" xfId="1" applyFont="1" applyBorder="1" applyAlignment="1">
      <alignment horizontal="center" vertical="center"/>
    </xf>
    <xf numFmtId="0" fontId="0" fillId="0" borderId="45" xfId="1" applyFont="1" applyBorder="1" applyAlignment="1">
      <alignment horizontal="center" vertical="center"/>
    </xf>
    <xf numFmtId="164" fontId="41" fillId="0" borderId="46" xfId="1" applyNumberFormat="1" applyFont="1" applyBorder="1" applyAlignment="1">
      <alignment horizontal="center" vertical="center"/>
    </xf>
    <xf numFmtId="164" fontId="41" fillId="0" borderId="47" xfId="1" applyNumberFormat="1" applyFont="1" applyBorder="1" applyAlignment="1">
      <alignment horizontal="center" vertical="center"/>
    </xf>
    <xf numFmtId="0" fontId="0" fillId="0" borderId="1" xfId="1" applyFont="1" applyBorder="1" applyAlignment="1">
      <alignment horizontal="center"/>
    </xf>
    <xf numFmtId="0" fontId="1" fillId="0" borderId="1" xfId="1" applyBorder="1" applyAlignment="1">
      <alignment horizontal="center"/>
    </xf>
    <xf numFmtId="0" fontId="3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1" fillId="0" borderId="39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" fillId="0" borderId="0" xfId="1" applyFont="1" applyAlignment="1">
      <alignment horizontal="left" vertical="center" wrapText="1"/>
    </xf>
    <xf numFmtId="0" fontId="7" fillId="0" borderId="53" xfId="1" applyFont="1" applyBorder="1" applyAlignment="1">
      <alignment horizontal="center"/>
    </xf>
    <xf numFmtId="0" fontId="7" fillId="0" borderId="54" xfId="1" applyFont="1" applyBorder="1" applyAlignment="1">
      <alignment horizontal="center"/>
    </xf>
    <xf numFmtId="0" fontId="11" fillId="0" borderId="54" xfId="1" applyFont="1" applyBorder="1" applyAlignment="1">
      <alignment horizontal="center"/>
    </xf>
    <xf numFmtId="0" fontId="11" fillId="0" borderId="55" xfId="1" applyFont="1" applyBorder="1" applyAlignment="1">
      <alignment horizontal="center"/>
    </xf>
    <xf numFmtId="0" fontId="12" fillId="2" borderId="6" xfId="1" applyFont="1" applyFill="1" applyBorder="1" applyAlignment="1">
      <alignment horizontal="center" vertical="center"/>
    </xf>
    <xf numFmtId="0" fontId="12" fillId="2" borderId="7" xfId="1" applyFont="1" applyFill="1" applyBorder="1" applyAlignment="1">
      <alignment horizontal="center" vertical="center"/>
    </xf>
    <xf numFmtId="0" fontId="12" fillId="2" borderId="10" xfId="1" applyFont="1" applyFill="1" applyBorder="1" applyAlignment="1">
      <alignment horizontal="center" vertical="center"/>
    </xf>
    <xf numFmtId="0" fontId="12" fillId="2" borderId="3" xfId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0" fontId="12" fillId="2" borderId="5" xfId="1" applyFont="1" applyFill="1" applyBorder="1" applyAlignment="1">
      <alignment horizontal="center" vertical="center"/>
    </xf>
    <xf numFmtId="0" fontId="13" fillId="2" borderId="49" xfId="1" applyFont="1" applyFill="1" applyBorder="1" applyAlignment="1">
      <alignment horizontal="center" vertical="center" textRotation="45"/>
    </xf>
    <xf numFmtId="0" fontId="13" fillId="2" borderId="44" xfId="1" applyFont="1" applyFill="1" applyBorder="1" applyAlignment="1">
      <alignment horizontal="center" vertical="center" textRotation="45"/>
    </xf>
    <xf numFmtId="0" fontId="49" fillId="0" borderId="56" xfId="1" applyFont="1" applyBorder="1" applyAlignment="1">
      <alignment horizontal="center"/>
    </xf>
    <xf numFmtId="0" fontId="49" fillId="0" borderId="57" xfId="1" applyFont="1" applyBorder="1" applyAlignment="1">
      <alignment horizontal="center"/>
    </xf>
    <xf numFmtId="0" fontId="49" fillId="0" borderId="58" xfId="1" applyFont="1" applyBorder="1" applyAlignment="1">
      <alignment horizontal="center"/>
    </xf>
    <xf numFmtId="0" fontId="0" fillId="0" borderId="41" xfId="1" applyFont="1" applyBorder="1" applyAlignment="1">
      <alignment horizontal="center"/>
    </xf>
    <xf numFmtId="0" fontId="0" fillId="0" borderId="2" xfId="1" applyFont="1" applyBorder="1" applyAlignment="1">
      <alignment horizontal="center"/>
    </xf>
    <xf numFmtId="0" fontId="11" fillId="0" borderId="0" xfId="1" applyFont="1" applyAlignment="1">
      <alignment horizontal="center" vertical="center"/>
    </xf>
    <xf numFmtId="0" fontId="11" fillId="0" borderId="0" xfId="1" applyFont="1" applyAlignment="1">
      <alignment horizontal="center"/>
    </xf>
    <xf numFmtId="0" fontId="5" fillId="0" borderId="0" xfId="1" applyFont="1" applyAlignment="1">
      <alignment horizontal="center" vertical="center"/>
    </xf>
    <xf numFmtId="0" fontId="22" fillId="0" borderId="0" xfId="1" applyFont="1" applyAlignment="1">
      <alignment horizontal="center" vertical="center"/>
    </xf>
    <xf numFmtId="0" fontId="1" fillId="0" borderId="0" xfId="1" applyFont="1" applyAlignment="1">
      <alignment horizontal="center"/>
    </xf>
    <xf numFmtId="0" fontId="0" fillId="0" borderId="0" xfId="1" applyFont="1" applyAlignment="1">
      <alignment horizontal="center"/>
    </xf>
    <xf numFmtId="0" fontId="33" fillId="0" borderId="13" xfId="0" applyFont="1" applyBorder="1" applyAlignment="1">
      <alignment horizontal="center" vertical="center" textRotation="45"/>
    </xf>
    <xf numFmtId="0" fontId="33" fillId="0" borderId="15" xfId="0" applyFont="1" applyBorder="1" applyAlignment="1">
      <alignment horizontal="center" vertical="center" textRotation="45"/>
    </xf>
    <xf numFmtId="0" fontId="23" fillId="0" borderId="0" xfId="0" applyFont="1" applyAlignment="1">
      <alignment horizontal="left" vertical="top"/>
    </xf>
    <xf numFmtId="0" fontId="2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1" fillId="0" borderId="37" xfId="0" applyFont="1" applyBorder="1" applyAlignment="1">
      <alignment horizontal="right"/>
    </xf>
    <xf numFmtId="0" fontId="11" fillId="0" borderId="0" xfId="0" applyFont="1" applyAlignment="1">
      <alignment horizontal="right"/>
    </xf>
    <xf numFmtId="0" fontId="33" fillId="0" borderId="17" xfId="0" applyFont="1" applyBorder="1" applyAlignment="1">
      <alignment horizontal="center" vertical="center" textRotation="45"/>
    </xf>
    <xf numFmtId="0" fontId="33" fillId="0" borderId="22" xfId="0" applyFont="1" applyBorder="1" applyAlignment="1">
      <alignment horizontal="center" vertical="center" textRotation="45"/>
    </xf>
    <xf numFmtId="0" fontId="11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35" fillId="0" borderId="16" xfId="0" applyFont="1" applyBorder="1" applyAlignment="1">
      <alignment vertical="center"/>
    </xf>
    <xf numFmtId="0" fontId="35" fillId="0" borderId="21" xfId="0" applyFont="1" applyBorder="1" applyAlignment="1">
      <alignment vertical="center"/>
    </xf>
    <xf numFmtId="0" fontId="35" fillId="0" borderId="18" xfId="0" applyFont="1" applyBorder="1" applyAlignment="1">
      <alignment horizontal="center" vertical="center"/>
    </xf>
    <xf numFmtId="0" fontId="35" fillId="0" borderId="48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top"/>
    </xf>
    <xf numFmtId="0" fontId="35" fillId="0" borderId="20" xfId="0" applyFont="1" applyBorder="1" applyAlignment="1">
      <alignment horizontal="center" vertical="top"/>
    </xf>
    <xf numFmtId="0" fontId="35" fillId="0" borderId="35" xfId="0" applyFont="1" applyBorder="1" applyAlignment="1">
      <alignment horizontal="center" vertical="top"/>
    </xf>
    <xf numFmtId="0" fontId="40" fillId="0" borderId="26" xfId="0" applyFont="1" applyBorder="1" applyAlignment="1">
      <alignment horizontal="center"/>
    </xf>
    <xf numFmtId="0" fontId="40" fillId="0" borderId="36" xfId="0" applyFont="1" applyBorder="1" applyAlignment="1">
      <alignment horizontal="center"/>
    </xf>
    <xf numFmtId="0" fontId="40" fillId="0" borderId="27" xfId="0" applyFont="1" applyBorder="1" applyAlignment="1">
      <alignment horizontal="center"/>
    </xf>
  </cellXfs>
  <cellStyles count="5">
    <cellStyle name="Normal" xfId="0" builtinId="0"/>
    <cellStyle name="Normal 2" xfId="2"/>
    <cellStyle name="Normal 2 2" xfId="3"/>
    <cellStyle name="Normal 2 2 2" xfId="4"/>
    <cellStyle name="Normal 8" xfId="1"/>
  </cellStyles>
  <dxfs count="294">
    <dxf>
      <font>
        <color rgb="FF0070C0"/>
      </font>
    </dxf>
    <dxf>
      <font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sz val="11"/>
        <color rgb="FF5C9BD5"/>
      </font>
    </dxf>
    <dxf>
      <font>
        <sz val="11"/>
        <color rgb="FFC00000"/>
      </font>
    </dxf>
    <dxf>
      <font>
        <sz val="11"/>
        <color rgb="FF0070C0"/>
      </font>
    </dxf>
    <dxf>
      <font>
        <sz val="11"/>
        <color rgb="FFFF0000"/>
      </font>
    </dxf>
    <dxf>
      <font>
        <color rgb="FFFF0000"/>
      </font>
    </dxf>
    <dxf>
      <font>
        <color rgb="FF0000FF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40900</xdr:colOff>
      <xdr:row>0</xdr:row>
      <xdr:rowOff>343460</xdr:rowOff>
    </xdr:from>
    <xdr:to>
      <xdr:col>12</xdr:col>
      <xdr:colOff>745750</xdr:colOff>
      <xdr:row>0</xdr:row>
      <xdr:rowOff>343460</xdr:rowOff>
    </xdr:to>
    <xdr:cxnSp macro="">
      <xdr:nvCxnSpPr>
        <xdr:cNvPr id="3" name="Conexão recta 2"/>
        <xdr:cNvCxnSpPr/>
      </xdr:nvCxnSpPr>
      <xdr:spPr>
        <a:xfrm>
          <a:off x="40900" y="343460"/>
          <a:ext cx="7124700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57150</xdr:colOff>
      <xdr:row>0</xdr:row>
      <xdr:rowOff>0</xdr:rowOff>
    </xdr:from>
    <xdr:to>
      <xdr:col>1</xdr:col>
      <xdr:colOff>577850</xdr:colOff>
      <xdr:row>0</xdr:row>
      <xdr:rowOff>304800</xdr:rowOff>
    </xdr:to>
    <xdr:pic>
      <xdr:nvPicPr>
        <xdr:cNvPr id="4" name="Imagem 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825500" cy="304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40900</xdr:colOff>
      <xdr:row>0</xdr:row>
      <xdr:rowOff>343460</xdr:rowOff>
    </xdr:from>
    <xdr:to>
      <xdr:col>12</xdr:col>
      <xdr:colOff>745750</xdr:colOff>
      <xdr:row>0</xdr:row>
      <xdr:rowOff>343460</xdr:rowOff>
    </xdr:to>
    <xdr:cxnSp macro="">
      <xdr:nvCxnSpPr>
        <xdr:cNvPr id="2" name="Conexão recta 2"/>
        <xdr:cNvCxnSpPr/>
      </xdr:nvCxnSpPr>
      <xdr:spPr>
        <a:xfrm>
          <a:off x="40900" y="343460"/>
          <a:ext cx="8561070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57150</xdr:colOff>
      <xdr:row>0</xdr:row>
      <xdr:rowOff>0</xdr:rowOff>
    </xdr:from>
    <xdr:to>
      <xdr:col>1</xdr:col>
      <xdr:colOff>577850</xdr:colOff>
      <xdr:row>0</xdr:row>
      <xdr:rowOff>304800</xdr:rowOff>
    </xdr:to>
    <xdr:pic>
      <xdr:nvPicPr>
        <xdr:cNvPr id="3" name="Imagem 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833120" cy="304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</xdr:colOff>
          <xdr:row>71</xdr:row>
          <xdr:rowOff>160020</xdr:rowOff>
        </xdr:from>
        <xdr:to>
          <xdr:col>13</xdr:col>
          <xdr:colOff>144780</xdr:colOff>
          <xdr:row>73</xdr:row>
          <xdr:rowOff>22860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40900</xdr:colOff>
      <xdr:row>0</xdr:row>
      <xdr:rowOff>286310</xdr:rowOff>
    </xdr:from>
    <xdr:to>
      <xdr:col>19</xdr:col>
      <xdr:colOff>366991</xdr:colOff>
      <xdr:row>0</xdr:row>
      <xdr:rowOff>286310</xdr:rowOff>
    </xdr:to>
    <xdr:cxnSp macro="">
      <xdr:nvCxnSpPr>
        <xdr:cNvPr id="4" name="Conexão recta 7"/>
        <xdr:cNvCxnSpPr/>
      </xdr:nvCxnSpPr>
      <xdr:spPr>
        <a:xfrm>
          <a:off x="40900" y="286310"/>
          <a:ext cx="6764991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28575</xdr:colOff>
      <xdr:row>0</xdr:row>
      <xdr:rowOff>38100</xdr:rowOff>
    </xdr:from>
    <xdr:to>
      <xdr:col>2</xdr:col>
      <xdr:colOff>425450</xdr:colOff>
      <xdr:row>0</xdr:row>
      <xdr:rowOff>257175</xdr:rowOff>
    </xdr:to>
    <xdr:pic>
      <xdr:nvPicPr>
        <xdr:cNvPr id="6" name="Imagem 5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644525" cy="2190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</xdr:colOff>
          <xdr:row>71</xdr:row>
          <xdr:rowOff>160020</xdr:rowOff>
        </xdr:from>
        <xdr:to>
          <xdr:col>13</xdr:col>
          <xdr:colOff>175260</xdr:colOff>
          <xdr:row>73</xdr:row>
          <xdr:rowOff>22860</xdr:rowOff>
        </xdr:to>
        <xdr:sp macro="" textlink="">
          <xdr:nvSpPr>
            <xdr:cNvPr id="11265" name="Object 1" hidden="1">
              <a:extLst>
                <a:ext uri="{63B3BB69-23CF-44E3-9099-C40C66FF867C}">
                  <a14:compatExt spid="_x0000_s112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40900</xdr:colOff>
      <xdr:row>0</xdr:row>
      <xdr:rowOff>286310</xdr:rowOff>
    </xdr:from>
    <xdr:to>
      <xdr:col>19</xdr:col>
      <xdr:colOff>366991</xdr:colOff>
      <xdr:row>0</xdr:row>
      <xdr:rowOff>286310</xdr:rowOff>
    </xdr:to>
    <xdr:cxnSp macro="">
      <xdr:nvCxnSpPr>
        <xdr:cNvPr id="4" name="Conexão recta 7"/>
        <xdr:cNvCxnSpPr/>
      </xdr:nvCxnSpPr>
      <xdr:spPr>
        <a:xfrm>
          <a:off x="40900" y="286310"/>
          <a:ext cx="6764991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95250</xdr:colOff>
      <xdr:row>0</xdr:row>
      <xdr:rowOff>38100</xdr:rowOff>
    </xdr:from>
    <xdr:to>
      <xdr:col>2</xdr:col>
      <xdr:colOff>377825</xdr:colOff>
      <xdr:row>0</xdr:row>
      <xdr:rowOff>257175</xdr:rowOff>
    </xdr:to>
    <xdr:pic>
      <xdr:nvPicPr>
        <xdr:cNvPr id="5" name="Imagem 4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38100"/>
          <a:ext cx="644525" cy="2190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</xdr:colOff>
          <xdr:row>71</xdr:row>
          <xdr:rowOff>160020</xdr:rowOff>
        </xdr:from>
        <xdr:to>
          <xdr:col>13</xdr:col>
          <xdr:colOff>175260</xdr:colOff>
          <xdr:row>73</xdr:row>
          <xdr:rowOff>22860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40900</xdr:colOff>
      <xdr:row>0</xdr:row>
      <xdr:rowOff>286310</xdr:rowOff>
    </xdr:from>
    <xdr:to>
      <xdr:col>19</xdr:col>
      <xdr:colOff>366991</xdr:colOff>
      <xdr:row>0</xdr:row>
      <xdr:rowOff>286310</xdr:rowOff>
    </xdr:to>
    <xdr:cxnSp macro="">
      <xdr:nvCxnSpPr>
        <xdr:cNvPr id="4" name="Conexão recta 7"/>
        <xdr:cNvCxnSpPr/>
      </xdr:nvCxnSpPr>
      <xdr:spPr>
        <a:xfrm>
          <a:off x="40900" y="286310"/>
          <a:ext cx="6764991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133349</xdr:colOff>
      <xdr:row>0</xdr:row>
      <xdr:rowOff>38100</xdr:rowOff>
    </xdr:from>
    <xdr:to>
      <xdr:col>2</xdr:col>
      <xdr:colOff>530224</xdr:colOff>
      <xdr:row>0</xdr:row>
      <xdr:rowOff>257175</xdr:rowOff>
    </xdr:to>
    <xdr:pic>
      <xdr:nvPicPr>
        <xdr:cNvPr id="5" name="Imagem 4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49" y="38100"/>
          <a:ext cx="644525" cy="2190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</xdr:colOff>
          <xdr:row>71</xdr:row>
          <xdr:rowOff>160020</xdr:rowOff>
        </xdr:from>
        <xdr:to>
          <xdr:col>13</xdr:col>
          <xdr:colOff>182880</xdr:colOff>
          <xdr:row>73</xdr:row>
          <xdr:rowOff>22860</xdr:rowOff>
        </xdr:to>
        <xdr:sp macro="" textlink="">
          <xdr:nvSpPr>
            <xdr:cNvPr id="15361" name="Object 1" hidden="1">
              <a:extLst>
                <a:ext uri="{63B3BB69-23CF-44E3-9099-C40C66FF867C}">
                  <a14:compatExt spid="_x0000_s153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40900</xdr:colOff>
      <xdr:row>0</xdr:row>
      <xdr:rowOff>286310</xdr:rowOff>
    </xdr:from>
    <xdr:to>
      <xdr:col>19</xdr:col>
      <xdr:colOff>366991</xdr:colOff>
      <xdr:row>0</xdr:row>
      <xdr:rowOff>286310</xdr:rowOff>
    </xdr:to>
    <xdr:cxnSp macro="">
      <xdr:nvCxnSpPr>
        <xdr:cNvPr id="3" name="Conexão recta 7"/>
        <xdr:cNvCxnSpPr/>
      </xdr:nvCxnSpPr>
      <xdr:spPr>
        <a:xfrm>
          <a:off x="40900" y="286310"/>
          <a:ext cx="9460566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133349</xdr:colOff>
      <xdr:row>0</xdr:row>
      <xdr:rowOff>38100</xdr:rowOff>
    </xdr:from>
    <xdr:to>
      <xdr:col>2</xdr:col>
      <xdr:colOff>530224</xdr:colOff>
      <xdr:row>0</xdr:row>
      <xdr:rowOff>257175</xdr:rowOff>
    </xdr:to>
    <xdr:pic>
      <xdr:nvPicPr>
        <xdr:cNvPr id="4" name="Imagem 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49" y="38100"/>
          <a:ext cx="644525" cy="2190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</xdr:colOff>
          <xdr:row>71</xdr:row>
          <xdr:rowOff>160020</xdr:rowOff>
        </xdr:from>
        <xdr:to>
          <xdr:col>8</xdr:col>
          <xdr:colOff>327660</xdr:colOff>
          <xdr:row>73</xdr:row>
          <xdr:rowOff>76200</xdr:rowOff>
        </xdr:to>
        <xdr:sp macro="" textlink="">
          <xdr:nvSpPr>
            <xdr:cNvPr id="14337" name="Object 1" hidden="1">
              <a:extLst>
                <a:ext uri="{63B3BB69-23CF-44E3-9099-C40C66FF867C}">
                  <a14:compatExt spid="_x0000_s143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40900</xdr:colOff>
      <xdr:row>0</xdr:row>
      <xdr:rowOff>286310</xdr:rowOff>
    </xdr:from>
    <xdr:to>
      <xdr:col>19</xdr:col>
      <xdr:colOff>366991</xdr:colOff>
      <xdr:row>0</xdr:row>
      <xdr:rowOff>286310</xdr:rowOff>
    </xdr:to>
    <xdr:cxnSp macro="">
      <xdr:nvCxnSpPr>
        <xdr:cNvPr id="4" name="Conexão recta 7"/>
        <xdr:cNvCxnSpPr/>
      </xdr:nvCxnSpPr>
      <xdr:spPr>
        <a:xfrm>
          <a:off x="40900" y="286310"/>
          <a:ext cx="6764991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9525</xdr:colOff>
      <xdr:row>0</xdr:row>
      <xdr:rowOff>38100</xdr:rowOff>
    </xdr:from>
    <xdr:to>
      <xdr:col>2</xdr:col>
      <xdr:colOff>406400</xdr:colOff>
      <xdr:row>0</xdr:row>
      <xdr:rowOff>257175</xdr:rowOff>
    </xdr:to>
    <xdr:pic>
      <xdr:nvPicPr>
        <xdr:cNvPr id="5" name="Imagem 4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38100"/>
          <a:ext cx="644525" cy="2190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</xdr:colOff>
          <xdr:row>71</xdr:row>
          <xdr:rowOff>160020</xdr:rowOff>
        </xdr:from>
        <xdr:to>
          <xdr:col>13</xdr:col>
          <xdr:colOff>175260</xdr:colOff>
          <xdr:row>73</xdr:row>
          <xdr:rowOff>22860</xdr:rowOff>
        </xdr:to>
        <xdr:sp macro="" textlink="">
          <xdr:nvSpPr>
            <xdr:cNvPr id="8193" name="Object 1" hidden="1">
              <a:extLst>
                <a:ext uri="{63B3BB69-23CF-44E3-9099-C40C66FF867C}">
                  <a14:compatExt spid="_x0000_s81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40900</xdr:colOff>
      <xdr:row>0</xdr:row>
      <xdr:rowOff>286310</xdr:rowOff>
    </xdr:from>
    <xdr:to>
      <xdr:col>19</xdr:col>
      <xdr:colOff>366991</xdr:colOff>
      <xdr:row>0</xdr:row>
      <xdr:rowOff>286310</xdr:rowOff>
    </xdr:to>
    <xdr:cxnSp macro="">
      <xdr:nvCxnSpPr>
        <xdr:cNvPr id="4" name="Conexão recta 7"/>
        <xdr:cNvCxnSpPr/>
      </xdr:nvCxnSpPr>
      <xdr:spPr>
        <a:xfrm>
          <a:off x="40900" y="286310"/>
          <a:ext cx="6764991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38100</xdr:colOff>
      <xdr:row>0</xdr:row>
      <xdr:rowOff>28575</xdr:rowOff>
    </xdr:from>
    <xdr:to>
      <xdr:col>2</xdr:col>
      <xdr:colOff>434975</xdr:colOff>
      <xdr:row>0</xdr:row>
      <xdr:rowOff>247650</xdr:rowOff>
    </xdr:to>
    <xdr:pic>
      <xdr:nvPicPr>
        <xdr:cNvPr id="5" name="Imagem 4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28575"/>
          <a:ext cx="644525" cy="2190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</xdr:colOff>
          <xdr:row>71</xdr:row>
          <xdr:rowOff>160020</xdr:rowOff>
        </xdr:from>
        <xdr:to>
          <xdr:col>13</xdr:col>
          <xdr:colOff>175260</xdr:colOff>
          <xdr:row>73</xdr:row>
          <xdr:rowOff>22860</xdr:rowOff>
        </xdr:to>
        <xdr:sp macro="" textlink="">
          <xdr:nvSpPr>
            <xdr:cNvPr id="7169" name="Object 1" hidden="1">
              <a:extLst>
                <a:ext uri="{63B3BB69-23CF-44E3-9099-C40C66FF867C}">
                  <a14:compatExt spid="_x0000_s71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40900</xdr:colOff>
      <xdr:row>0</xdr:row>
      <xdr:rowOff>286310</xdr:rowOff>
    </xdr:from>
    <xdr:to>
      <xdr:col>19</xdr:col>
      <xdr:colOff>366991</xdr:colOff>
      <xdr:row>0</xdr:row>
      <xdr:rowOff>286310</xdr:rowOff>
    </xdr:to>
    <xdr:cxnSp macro="">
      <xdr:nvCxnSpPr>
        <xdr:cNvPr id="4" name="Conexão recta 7"/>
        <xdr:cNvCxnSpPr/>
      </xdr:nvCxnSpPr>
      <xdr:spPr>
        <a:xfrm>
          <a:off x="40900" y="286310"/>
          <a:ext cx="6764991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57150</xdr:colOff>
      <xdr:row>0</xdr:row>
      <xdr:rowOff>19050</xdr:rowOff>
    </xdr:from>
    <xdr:to>
      <xdr:col>2</xdr:col>
      <xdr:colOff>454025</xdr:colOff>
      <xdr:row>0</xdr:row>
      <xdr:rowOff>238125</xdr:rowOff>
    </xdr:to>
    <xdr:pic>
      <xdr:nvPicPr>
        <xdr:cNvPr id="5" name="Imagem 4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9050"/>
          <a:ext cx="644525" cy="2190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</xdr:colOff>
          <xdr:row>71</xdr:row>
          <xdr:rowOff>160020</xdr:rowOff>
        </xdr:from>
        <xdr:to>
          <xdr:col>13</xdr:col>
          <xdr:colOff>175260</xdr:colOff>
          <xdr:row>73</xdr:row>
          <xdr:rowOff>22860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40900</xdr:colOff>
      <xdr:row>0</xdr:row>
      <xdr:rowOff>286310</xdr:rowOff>
    </xdr:from>
    <xdr:to>
      <xdr:col>19</xdr:col>
      <xdr:colOff>366991</xdr:colOff>
      <xdr:row>0</xdr:row>
      <xdr:rowOff>286310</xdr:rowOff>
    </xdr:to>
    <xdr:cxnSp macro="">
      <xdr:nvCxnSpPr>
        <xdr:cNvPr id="4" name="Conexão recta 7"/>
        <xdr:cNvCxnSpPr/>
      </xdr:nvCxnSpPr>
      <xdr:spPr>
        <a:xfrm>
          <a:off x="40900" y="286310"/>
          <a:ext cx="6764991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95250</xdr:colOff>
      <xdr:row>0</xdr:row>
      <xdr:rowOff>38100</xdr:rowOff>
    </xdr:from>
    <xdr:to>
      <xdr:col>2</xdr:col>
      <xdr:colOff>377825</xdr:colOff>
      <xdr:row>0</xdr:row>
      <xdr:rowOff>257175</xdr:rowOff>
    </xdr:to>
    <xdr:pic>
      <xdr:nvPicPr>
        <xdr:cNvPr id="5" name="Imagem 4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38100"/>
          <a:ext cx="644525" cy="2190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</xdr:colOff>
          <xdr:row>71</xdr:row>
          <xdr:rowOff>160020</xdr:rowOff>
        </xdr:from>
        <xdr:to>
          <xdr:col>13</xdr:col>
          <xdr:colOff>175260</xdr:colOff>
          <xdr:row>73</xdr:row>
          <xdr:rowOff>22860</xdr:rowOff>
        </xdr:to>
        <xdr:sp macro="" textlink="">
          <xdr:nvSpPr>
            <xdr:cNvPr id="13313" name="Object 1" hidden="1">
              <a:extLst>
                <a:ext uri="{63B3BB69-23CF-44E3-9099-C40C66FF867C}">
                  <a14:compatExt spid="_x0000_s133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40900</xdr:colOff>
      <xdr:row>0</xdr:row>
      <xdr:rowOff>286310</xdr:rowOff>
    </xdr:from>
    <xdr:to>
      <xdr:col>19</xdr:col>
      <xdr:colOff>366991</xdr:colOff>
      <xdr:row>0</xdr:row>
      <xdr:rowOff>286310</xdr:rowOff>
    </xdr:to>
    <xdr:cxnSp macro="">
      <xdr:nvCxnSpPr>
        <xdr:cNvPr id="4" name="Conexão recta 7"/>
        <xdr:cNvCxnSpPr/>
      </xdr:nvCxnSpPr>
      <xdr:spPr>
        <a:xfrm>
          <a:off x="40900" y="286310"/>
          <a:ext cx="6764991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47625</xdr:colOff>
      <xdr:row>0</xdr:row>
      <xdr:rowOff>28575</xdr:rowOff>
    </xdr:from>
    <xdr:to>
      <xdr:col>2</xdr:col>
      <xdr:colOff>444500</xdr:colOff>
      <xdr:row>0</xdr:row>
      <xdr:rowOff>247650</xdr:rowOff>
    </xdr:to>
    <xdr:pic>
      <xdr:nvPicPr>
        <xdr:cNvPr id="5" name="Imagem 4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28575"/>
          <a:ext cx="644525" cy="2190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2.emf"/><Relationship Id="rId4" Type="http://schemas.openxmlformats.org/officeDocument/2006/relationships/oleObject" Target="../embeddings/Microsoft_Word_97_-_2003_Document.doc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3.emf"/><Relationship Id="rId4" Type="http://schemas.openxmlformats.org/officeDocument/2006/relationships/oleObject" Target="../embeddings/Microsoft_Word_97_-_2003_Document1.doc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3.emf"/><Relationship Id="rId4" Type="http://schemas.openxmlformats.org/officeDocument/2006/relationships/oleObject" Target="../embeddings/Microsoft_Word_97_-_2003_Document2.doc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5" Type="http://schemas.openxmlformats.org/officeDocument/2006/relationships/image" Target="../media/image4.emf"/><Relationship Id="rId4" Type="http://schemas.openxmlformats.org/officeDocument/2006/relationships/oleObject" Target="../embeddings/Microsoft_Word_97_-_2003_Document3.doc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5" Type="http://schemas.openxmlformats.org/officeDocument/2006/relationships/image" Target="../media/image5.emf"/><Relationship Id="rId4" Type="http://schemas.openxmlformats.org/officeDocument/2006/relationships/oleObject" Target="../embeddings/Microsoft_Word_97_-_2003_Document4.doc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5" Type="http://schemas.openxmlformats.org/officeDocument/2006/relationships/image" Target="../media/image6.emf"/><Relationship Id="rId4" Type="http://schemas.openxmlformats.org/officeDocument/2006/relationships/oleObject" Target="../embeddings/Microsoft_Word_97_-_2003_Document5.doc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5" Type="http://schemas.openxmlformats.org/officeDocument/2006/relationships/image" Target="../media/image6.emf"/><Relationship Id="rId4" Type="http://schemas.openxmlformats.org/officeDocument/2006/relationships/oleObject" Target="../embeddings/Microsoft_Word_97_-_2003_Document6.doc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5" Type="http://schemas.openxmlformats.org/officeDocument/2006/relationships/image" Target="../media/image3.emf"/><Relationship Id="rId4" Type="http://schemas.openxmlformats.org/officeDocument/2006/relationships/oleObject" Target="../embeddings/Microsoft_Word_97_-_2003_Document7.doc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5" Type="http://schemas.openxmlformats.org/officeDocument/2006/relationships/image" Target="../media/image7.emf"/><Relationship Id="rId4" Type="http://schemas.openxmlformats.org/officeDocument/2006/relationships/oleObject" Target="../embeddings/Microsoft_Word_97_-_2003_Document8.doc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80"/>
  <sheetViews>
    <sheetView showGridLines="0" topLeftCell="A43" zoomScale="85" zoomScaleNormal="85" zoomScalePageLayoutView="80" workbookViewId="0">
      <selection activeCell="J54" sqref="J54"/>
    </sheetView>
  </sheetViews>
  <sheetFormatPr defaultColWidth="9.109375" defaultRowHeight="14.4" x14ac:dyDescent="0.3"/>
  <cols>
    <col min="1" max="1" width="4.5546875" style="1" customWidth="1"/>
    <col min="2" max="2" width="9.33203125" style="1" customWidth="1"/>
    <col min="3" max="3" width="33.6640625" style="1" customWidth="1"/>
    <col min="4" max="4" width="10.109375" style="1" customWidth="1"/>
    <col min="5" max="12" width="7.109375" style="1" customWidth="1"/>
    <col min="13" max="13" width="13.33203125" style="1" customWidth="1"/>
    <col min="14" max="14" width="7.33203125" style="1" customWidth="1"/>
    <col min="15" max="17" width="9.109375" style="1"/>
    <col min="18" max="23" width="9.44140625" style="1" bestFit="1" customWidth="1"/>
    <col min="24" max="16384" width="9.109375" style="1"/>
  </cols>
  <sheetData>
    <row r="1" spans="1:23" ht="36" customHeight="1" x14ac:dyDescent="0.3">
      <c r="A1" s="220" t="s">
        <v>46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49"/>
    </row>
    <row r="2" spans="1:23" ht="9.6" customHeight="1" x14ac:dyDescent="0.3">
      <c r="A2" s="2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23" ht="9.6" customHeight="1" x14ac:dyDescent="0.3">
      <c r="A3" s="4"/>
      <c r="B3" s="4"/>
      <c r="C3" s="5" t="s">
        <v>0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23" ht="11.4" customHeight="1" x14ac:dyDescent="0.3">
      <c r="A4" s="7"/>
      <c r="B4" s="7"/>
      <c r="C4" s="8" t="s">
        <v>34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23" ht="8.25" customHeight="1" x14ac:dyDescent="0.3">
      <c r="A5" s="7"/>
      <c r="B5" s="7"/>
      <c r="C5" s="9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23" ht="12.75" customHeight="1" x14ac:dyDescent="0.3">
      <c r="A6" s="7"/>
      <c r="B6" s="7"/>
      <c r="C6" s="10" t="s">
        <v>12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23" ht="24" customHeight="1" x14ac:dyDescent="0.3">
      <c r="A7" s="221" t="s">
        <v>139</v>
      </c>
      <c r="B7" s="222"/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4"/>
      <c r="N7" s="50"/>
      <c r="P7" s="27"/>
      <c r="Q7" s="27"/>
      <c r="R7" s="27"/>
      <c r="S7" s="27"/>
      <c r="T7" s="27"/>
    </row>
    <row r="8" spans="1:23" ht="28.5" customHeight="1" thickBot="1" x14ac:dyDescent="0.45">
      <c r="A8" s="233" t="s">
        <v>62</v>
      </c>
      <c r="B8" s="234"/>
      <c r="C8" s="234"/>
      <c r="D8" s="234"/>
      <c r="E8" s="234"/>
      <c r="F8" s="234"/>
      <c r="G8" s="234"/>
      <c r="H8" s="234"/>
      <c r="I8" s="234"/>
      <c r="J8" s="234"/>
      <c r="K8" s="234"/>
      <c r="L8" s="234"/>
      <c r="M8" s="235"/>
      <c r="N8" s="130"/>
      <c r="P8" s="27"/>
      <c r="Q8" s="27"/>
      <c r="R8" s="27"/>
      <c r="S8" s="27"/>
      <c r="T8" s="27"/>
    </row>
    <row r="9" spans="1:23" ht="12.75" customHeight="1" x14ac:dyDescent="0.3">
      <c r="A9" s="225" t="s">
        <v>25</v>
      </c>
      <c r="B9" s="225" t="s">
        <v>26</v>
      </c>
      <c r="C9" s="225" t="s">
        <v>1</v>
      </c>
      <c r="D9" s="228" t="s">
        <v>2</v>
      </c>
      <c r="E9" s="229"/>
      <c r="F9" s="229"/>
      <c r="G9" s="229"/>
      <c r="H9" s="229"/>
      <c r="I9" s="229"/>
      <c r="J9" s="229"/>
      <c r="K9" s="229"/>
      <c r="L9" s="230"/>
      <c r="M9" s="231" t="s">
        <v>3</v>
      </c>
      <c r="N9" s="205" t="s">
        <v>52</v>
      </c>
      <c r="O9" s="58"/>
      <c r="P9" s="214" t="s">
        <v>35</v>
      </c>
      <c r="Q9" s="214"/>
      <c r="R9" s="214"/>
      <c r="S9" s="214"/>
      <c r="T9" s="214"/>
      <c r="U9" s="214"/>
      <c r="V9" s="214"/>
      <c r="W9" s="214"/>
    </row>
    <row r="10" spans="1:23" ht="22.8" thickBot="1" x14ac:dyDescent="0.35">
      <c r="A10" s="226"/>
      <c r="B10" s="227"/>
      <c r="C10" s="227"/>
      <c r="D10" s="165" t="s">
        <v>138</v>
      </c>
      <c r="E10" s="166" t="s">
        <v>130</v>
      </c>
      <c r="F10" s="166" t="s">
        <v>131</v>
      </c>
      <c r="G10" s="166" t="s">
        <v>132</v>
      </c>
      <c r="H10" s="167" t="s">
        <v>133</v>
      </c>
      <c r="I10" s="167" t="s">
        <v>134</v>
      </c>
      <c r="J10" s="167" t="s">
        <v>135</v>
      </c>
      <c r="K10" s="167" t="s">
        <v>136</v>
      </c>
      <c r="L10" s="168" t="s">
        <v>137</v>
      </c>
      <c r="M10" s="232"/>
      <c r="N10" s="206"/>
      <c r="O10" s="59" t="s">
        <v>4</v>
      </c>
      <c r="P10" s="214" t="s">
        <v>36</v>
      </c>
      <c r="Q10" s="214"/>
      <c r="R10" s="215" t="s">
        <v>7</v>
      </c>
      <c r="S10" s="215"/>
      <c r="T10" s="216" t="s">
        <v>8</v>
      </c>
      <c r="U10" s="216"/>
      <c r="V10" s="217" t="s">
        <v>37</v>
      </c>
      <c r="W10" s="217"/>
    </row>
    <row r="11" spans="1:23" ht="18" customHeight="1" thickTop="1" thickBot="1" x14ac:dyDescent="0.35">
      <c r="A11" s="45">
        <v>1</v>
      </c>
      <c r="B11" s="117">
        <v>4562</v>
      </c>
      <c r="C11" s="122" t="s">
        <v>69</v>
      </c>
      <c r="D11" s="171">
        <f>SUM('10ªCFB-U-L PORT'!H9)</f>
        <v>10</v>
      </c>
      <c r="E11" s="172">
        <f>SUM('10ªCFB-U-INGLES'!H9)</f>
        <v>12.5</v>
      </c>
      <c r="F11" s="172">
        <f>SUM('10ªCFB-U-MAT'!H9)</f>
        <v>13</v>
      </c>
      <c r="G11" s="172">
        <f>SUM('10ªCFB-U-INFOR'!H9)</f>
        <v>14.5</v>
      </c>
      <c r="H11" s="172">
        <f>SUM('10ªCFB-U-ED. FIS'!H9)</f>
        <v>16</v>
      </c>
      <c r="I11" s="172">
        <f>SUM('10ªCFB-U-FIS'!H9)</f>
        <v>9</v>
      </c>
      <c r="J11" s="172">
        <f>SUM('10ªCFB-U-QCA'!H9)</f>
        <v>10</v>
      </c>
      <c r="K11" s="172">
        <f>SUM('10ªCFB-U-BIOL'!H9)</f>
        <v>12.5</v>
      </c>
      <c r="L11" s="173">
        <f>SUM('10ªCFB-U-EMPREEND'!H9)</f>
        <v>14.25</v>
      </c>
      <c r="M11" s="72" t="s">
        <v>8</v>
      </c>
      <c r="N11" s="55">
        <f t="shared" ref="N11:N43" si="0">AVERAGE(D11:L11)</f>
        <v>12.416666666666666</v>
      </c>
      <c r="O11" s="113" t="s">
        <v>6</v>
      </c>
      <c r="P11" s="47" t="s">
        <v>5</v>
      </c>
      <c r="Q11" s="26" t="s">
        <v>6</v>
      </c>
      <c r="R11" s="28" t="s">
        <v>5</v>
      </c>
      <c r="S11" s="28" t="s">
        <v>6</v>
      </c>
      <c r="T11" s="28" t="s">
        <v>5</v>
      </c>
      <c r="U11" s="28" t="s">
        <v>6</v>
      </c>
      <c r="V11" s="28" t="s">
        <v>5</v>
      </c>
      <c r="W11" s="28" t="s">
        <v>6</v>
      </c>
    </row>
    <row r="12" spans="1:23" ht="18" customHeight="1" thickBot="1" x14ac:dyDescent="0.35">
      <c r="A12" s="46">
        <v>2</v>
      </c>
      <c r="B12" s="118">
        <v>4637</v>
      </c>
      <c r="C12" s="123" t="s">
        <v>70</v>
      </c>
      <c r="D12" s="174">
        <f>SUM('10ªCFB-U-L PORT'!H10)</f>
        <v>11</v>
      </c>
      <c r="E12" s="175">
        <f>SUM('10ªCFB-U-INGLES'!H10)</f>
        <v>12</v>
      </c>
      <c r="F12" s="175">
        <f>SUM('10ªCFB-U-MAT'!H10)</f>
        <v>6.5</v>
      </c>
      <c r="G12" s="175">
        <f>SUM('10ªCFB-U-INFOR'!H10)</f>
        <v>12.5</v>
      </c>
      <c r="H12" s="175">
        <f>SUM('10ªCFB-U-ED. FIS'!H10)</f>
        <v>12</v>
      </c>
      <c r="I12" s="175">
        <f>SUM('10ªCFB-U-FIS'!H10)</f>
        <v>10.25</v>
      </c>
      <c r="J12" s="175">
        <f>SUM('10ªCFB-U-QCA'!H10)</f>
        <v>10</v>
      </c>
      <c r="K12" s="175">
        <f>SUM('10ªCFB-U-BIOL'!H10)</f>
        <v>10.5</v>
      </c>
      <c r="L12" s="176">
        <f>SUM('10ªCFB-U-EMPREEND'!H10)</f>
        <v>13.75</v>
      </c>
      <c r="M12" s="89" t="s">
        <v>8</v>
      </c>
      <c r="N12" s="56">
        <f t="shared" si="0"/>
        <v>10.944444444444445</v>
      </c>
      <c r="O12" s="114" t="s">
        <v>6</v>
      </c>
      <c r="P12" s="48">
        <f>COUNTIF(O11:O73,"M")</f>
        <v>11</v>
      </c>
      <c r="Q12" s="29">
        <f>COUNTIF(O11:O73,"F")</f>
        <v>52</v>
      </c>
      <c r="R12" s="30">
        <f>COUNTIFS(M11:M73,"Transita",O11:O73,"M")</f>
        <v>3</v>
      </c>
      <c r="S12" s="30">
        <f>COUNTIFS(M11:M73,"Transita",O11:O73,"F")</f>
        <v>7</v>
      </c>
      <c r="T12" s="30">
        <f>COUNTIFS(M11:M73,"N/Transita",O11:O73,"M")</f>
        <v>7</v>
      </c>
      <c r="U12" s="30">
        <f>COUNTIFS(M11:M73,"N/Transita",O11:O73,"F")</f>
        <v>33</v>
      </c>
      <c r="V12" s="30">
        <f>COUNTIFS(M11:M73,"DESISTIDO",O11:O73,"M")</f>
        <v>1</v>
      </c>
      <c r="W12" s="30">
        <f>COUNTIFS(M11:M73,"DESISTIDA",O11:O73,"F")</f>
        <v>12</v>
      </c>
    </row>
    <row r="13" spans="1:23" ht="18" customHeight="1" thickBot="1" x14ac:dyDescent="0.35">
      <c r="A13" s="46">
        <v>3</v>
      </c>
      <c r="B13" s="118">
        <v>4538</v>
      </c>
      <c r="C13" s="123" t="s">
        <v>71</v>
      </c>
      <c r="D13" s="174">
        <f>SUM('10ªCFB-U-L PORT'!H11)</f>
        <v>12.75</v>
      </c>
      <c r="E13" s="175">
        <f>SUM('10ªCFB-U-INGLES'!H11)</f>
        <v>15</v>
      </c>
      <c r="F13" s="175">
        <f>SUM('10ªCFB-U-MAT'!H11)</f>
        <v>13.5</v>
      </c>
      <c r="G13" s="175">
        <f>SUM('10ªCFB-U-INFOR'!H11)</f>
        <v>11.5</v>
      </c>
      <c r="H13" s="175">
        <f>SUM('10ªCFB-U-ED. FIS'!H11)</f>
        <v>17</v>
      </c>
      <c r="I13" s="175">
        <f>SUM('10ªCFB-U-FIS'!H11)</f>
        <v>12</v>
      </c>
      <c r="J13" s="175">
        <f>SUM('10ªCFB-U-QCA'!H11)</f>
        <v>10</v>
      </c>
      <c r="K13" s="175">
        <f>SUM('10ªCFB-U-BIOL'!H11)</f>
        <v>17.5</v>
      </c>
      <c r="L13" s="176">
        <f>SUM('10ªCFB-U-EMPREEND'!H11)</f>
        <v>10</v>
      </c>
      <c r="M13" s="89" t="s">
        <v>7</v>
      </c>
      <c r="N13" s="56">
        <f t="shared" si="0"/>
        <v>13.25</v>
      </c>
      <c r="O13" s="114" t="s">
        <v>5</v>
      </c>
      <c r="P13" s="218">
        <f>SUM(P12:Q12)</f>
        <v>63</v>
      </c>
      <c r="Q13" s="213"/>
      <c r="R13" s="219">
        <f t="shared" ref="R13" si="1">SUM(R11:S12)</f>
        <v>10</v>
      </c>
      <c r="S13" s="219"/>
      <c r="T13" s="213">
        <f t="shared" ref="T13:V13" si="2">SUM(T11:U12)</f>
        <v>40</v>
      </c>
      <c r="U13" s="213"/>
      <c r="V13" s="213">
        <f t="shared" si="2"/>
        <v>13</v>
      </c>
      <c r="W13" s="213"/>
    </row>
    <row r="14" spans="1:23" ht="18" customHeight="1" thickBot="1" x14ac:dyDescent="0.35">
      <c r="A14" s="46">
        <v>4</v>
      </c>
      <c r="B14" s="118">
        <v>4146</v>
      </c>
      <c r="C14" s="123" t="s">
        <v>72</v>
      </c>
      <c r="D14" s="174">
        <f>SUM('10ªCFB-U-L PORT'!H12)</f>
        <v>6.25</v>
      </c>
      <c r="E14" s="175">
        <f>SUM('10ªCFB-U-INGLES'!H12)</f>
        <v>7.5</v>
      </c>
      <c r="F14" s="175">
        <f>SUM('10ªCFB-U-MAT'!H12)</f>
        <v>5.5</v>
      </c>
      <c r="G14" s="175">
        <f>SUM('10ªCFB-U-INFOR'!H12)</f>
        <v>7.75</v>
      </c>
      <c r="H14" s="175">
        <f>SUM('10ªCFB-U-ED. FIS'!H12)</f>
        <v>15</v>
      </c>
      <c r="I14" s="175">
        <f>SUM('10ªCFB-U-FIS'!H12)</f>
        <v>5.25</v>
      </c>
      <c r="J14" s="175">
        <f>SUM('10ªCFB-U-QCA'!H12)</f>
        <v>15</v>
      </c>
      <c r="K14" s="175">
        <f>SUM('10ªCFB-U-BIOL'!H12)</f>
        <v>8</v>
      </c>
      <c r="L14" s="176">
        <f>SUM('10ªCFB-U-EMPREEND'!H12)</f>
        <v>5.5</v>
      </c>
      <c r="M14" s="89" t="s">
        <v>8</v>
      </c>
      <c r="N14" s="56">
        <f t="shared" si="0"/>
        <v>8.4166666666666661</v>
      </c>
      <c r="O14" s="114" t="s">
        <v>6</v>
      </c>
    </row>
    <row r="15" spans="1:23" ht="18" customHeight="1" thickBot="1" x14ac:dyDescent="0.35">
      <c r="A15" s="46">
        <v>5</v>
      </c>
      <c r="B15" s="118">
        <v>4651</v>
      </c>
      <c r="C15" s="123" t="s">
        <v>142</v>
      </c>
      <c r="D15" s="174">
        <f>SUM('10ªCFB-U-L PORT'!H13)</f>
        <v>19</v>
      </c>
      <c r="E15" s="175">
        <f>SUM('10ªCFB-U-INGLES'!H13)</f>
        <v>19</v>
      </c>
      <c r="F15" s="175">
        <f>SUM('10ªCFB-U-MAT'!H13)</f>
        <v>20</v>
      </c>
      <c r="G15" s="175">
        <f>SUM('10ªCFB-U-INFOR'!H13)</f>
        <v>20</v>
      </c>
      <c r="H15" s="175">
        <f>SUM('10ªCFB-U-ED. FIS'!H13)</f>
        <v>17</v>
      </c>
      <c r="I15" s="175">
        <f>SUM('10ªCFB-U-FIS'!H13)</f>
        <v>15.5</v>
      </c>
      <c r="J15" s="175">
        <f>SUM('10ªCFB-U-QCA'!H13)</f>
        <v>18</v>
      </c>
      <c r="K15" s="175">
        <f>SUM('10ªCFB-U-BIOL'!H13)</f>
        <v>18.5</v>
      </c>
      <c r="L15" s="176">
        <f>SUM('10ªCFB-U-EMPREEND'!H13)</f>
        <v>15.25</v>
      </c>
      <c r="M15" s="89" t="s">
        <v>7</v>
      </c>
      <c r="N15" s="56">
        <f t="shared" si="0"/>
        <v>18.027777777777779</v>
      </c>
      <c r="O15" s="114" t="s">
        <v>6</v>
      </c>
    </row>
    <row r="16" spans="1:23" ht="18" customHeight="1" thickBot="1" x14ac:dyDescent="0.35">
      <c r="A16" s="46">
        <v>6</v>
      </c>
      <c r="B16" s="118">
        <v>4553</v>
      </c>
      <c r="C16" s="123" t="s">
        <v>74</v>
      </c>
      <c r="D16" s="174">
        <f>SUM('10ªCFB-U-L PORT'!H14)</f>
        <v>11</v>
      </c>
      <c r="E16" s="175">
        <f>SUM('10ªCFB-U-INGLES'!H14)</f>
        <v>15</v>
      </c>
      <c r="F16" s="175">
        <f>SUM('10ªCFB-U-MAT'!H14)</f>
        <v>11.5</v>
      </c>
      <c r="G16" s="175">
        <f>SUM('10ªCFB-U-INFOR'!H14)</f>
        <v>10</v>
      </c>
      <c r="H16" s="175">
        <f>SUM('10ªCFB-U-ED. FIS'!H14)</f>
        <v>8</v>
      </c>
      <c r="I16" s="175">
        <f>SUM('10ªCFB-U-FIS'!H14)</f>
        <v>6.75</v>
      </c>
      <c r="J16" s="175">
        <f>SUM('10ªCFB-U-QCA'!H14)</f>
        <v>10</v>
      </c>
      <c r="K16" s="175">
        <f>SUM('10ªCFB-U-BIOL'!H14)</f>
        <v>10</v>
      </c>
      <c r="L16" s="176">
        <f>SUM('10ªCFB-U-EMPREEND'!H14)</f>
        <v>5.5</v>
      </c>
      <c r="M16" s="89" t="s">
        <v>8</v>
      </c>
      <c r="N16" s="56">
        <f t="shared" si="0"/>
        <v>9.75</v>
      </c>
      <c r="O16" s="114" t="s">
        <v>5</v>
      </c>
      <c r="Q16" s="207" t="s">
        <v>53</v>
      </c>
      <c r="R16" s="209">
        <f>MAX(N11:N74)</f>
        <v>18.027777777777779</v>
      </c>
    </row>
    <row r="17" spans="1:24" ht="18" customHeight="1" thickBot="1" x14ac:dyDescent="0.35">
      <c r="A17" s="46">
        <v>7</v>
      </c>
      <c r="B17" s="118">
        <v>2450</v>
      </c>
      <c r="C17" s="123" t="s">
        <v>75</v>
      </c>
      <c r="D17" s="174">
        <f>SUM('10ªCFB-U-L PORT'!H15)</f>
        <v>6.5</v>
      </c>
      <c r="E17" s="175">
        <f>SUM('10ªCFB-U-INGLES'!H15)</f>
        <v>9.5</v>
      </c>
      <c r="F17" s="175">
        <f>SUM('10ªCFB-U-MAT'!H15)</f>
        <v>13</v>
      </c>
      <c r="G17" s="175">
        <f>SUM('10ªCFB-U-INFOR'!H15)</f>
        <v>6.75</v>
      </c>
      <c r="H17" s="175">
        <f>SUM('10ªCFB-U-ED. FIS'!H15)</f>
        <v>8</v>
      </c>
      <c r="I17" s="175">
        <f>SUM('10ªCFB-U-FIS'!H15)</f>
        <v>11.5</v>
      </c>
      <c r="J17" s="175">
        <f>SUM('10ªCFB-U-QCA'!H15)</f>
        <v>9</v>
      </c>
      <c r="K17" s="175">
        <f>SUM('10ªCFB-U-BIOL'!H15)</f>
        <v>9</v>
      </c>
      <c r="L17" s="176">
        <f>SUM('10ªCFB-U-EMPREEND'!H15)</f>
        <v>8.25</v>
      </c>
      <c r="M17" s="89" t="s">
        <v>8</v>
      </c>
      <c r="N17" s="56">
        <f t="shared" si="0"/>
        <v>9.0555555555555554</v>
      </c>
      <c r="O17" s="114" t="s">
        <v>6</v>
      </c>
      <c r="Q17" s="208"/>
      <c r="R17" s="210"/>
    </row>
    <row r="18" spans="1:24" ht="18" customHeight="1" thickBot="1" x14ac:dyDescent="0.35">
      <c r="A18" s="46">
        <v>8</v>
      </c>
      <c r="B18" s="118">
        <v>4580</v>
      </c>
      <c r="C18" s="123" t="s">
        <v>76</v>
      </c>
      <c r="D18" s="174">
        <f>SUM('10ªCFB-U-L PORT'!H16)</f>
        <v>8.5</v>
      </c>
      <c r="E18" s="175">
        <f>SUM('10ªCFB-U-INGLES'!H16)</f>
        <v>11.5</v>
      </c>
      <c r="F18" s="175">
        <f>SUM('10ªCFB-U-MAT'!H16)</f>
        <v>7</v>
      </c>
      <c r="G18" s="175">
        <f>SUM('10ªCFB-U-INFOR'!H16)</f>
        <v>8</v>
      </c>
      <c r="H18" s="175">
        <f>SUM('10ªCFB-U-ED. FIS'!H16)</f>
        <v>14</v>
      </c>
      <c r="I18" s="175">
        <f>SUM('10ªCFB-U-FIS'!H16)</f>
        <v>10.5</v>
      </c>
      <c r="J18" s="175">
        <f>SUM('10ªCFB-U-QCA'!H16)</f>
        <v>9</v>
      </c>
      <c r="K18" s="175">
        <f>SUM('10ªCFB-U-BIOL'!H16)</f>
        <v>9</v>
      </c>
      <c r="L18" s="176">
        <f>SUM('10ªCFB-U-EMPREEND'!H16)</f>
        <v>12</v>
      </c>
      <c r="M18" s="89" t="s">
        <v>8</v>
      </c>
      <c r="N18" s="56">
        <f t="shared" si="0"/>
        <v>9.9444444444444446</v>
      </c>
      <c r="O18" s="114" t="s">
        <v>6</v>
      </c>
      <c r="Q18" s="211" t="s">
        <v>54</v>
      </c>
      <c r="R18" s="211"/>
      <c r="S18" s="211"/>
      <c r="T18" s="212" t="s">
        <v>57</v>
      </c>
      <c r="U18" s="212"/>
      <c r="V18" s="212"/>
      <c r="W18" s="212"/>
      <c r="X18" s="212"/>
    </row>
    <row r="19" spans="1:24" ht="18" customHeight="1" thickBot="1" x14ac:dyDescent="0.35">
      <c r="A19" s="46">
        <v>9</v>
      </c>
      <c r="B19" s="118">
        <v>4605</v>
      </c>
      <c r="C19" s="123" t="s">
        <v>77</v>
      </c>
      <c r="D19" s="174">
        <f>SUM('10ªCFB-U-L PORT'!H17)</f>
        <v>8.75</v>
      </c>
      <c r="E19" s="175">
        <f>SUM('10ªCFB-U-INGLES'!H17)</f>
        <v>14.5</v>
      </c>
      <c r="F19" s="175">
        <f>SUM('10ªCFB-U-MAT'!H17)</f>
        <v>13.5</v>
      </c>
      <c r="G19" s="175">
        <f>SUM('10ªCFB-U-INFOR'!H17)</f>
        <v>11.25</v>
      </c>
      <c r="H19" s="175">
        <f>SUM('10ªCFB-U-ED. FIS'!H17)</f>
        <v>15</v>
      </c>
      <c r="I19" s="175">
        <f>SUM('10ªCFB-U-FIS'!H17)</f>
        <v>8</v>
      </c>
      <c r="J19" s="175">
        <f>SUM('10ªCFB-U-QCA'!H17)</f>
        <v>10</v>
      </c>
      <c r="K19" s="175">
        <f>SUM('10ªCFB-U-BIOL'!H17)</f>
        <v>15</v>
      </c>
      <c r="L19" s="176">
        <f>SUM('10ªCFB-U-EMPREEND'!H17)</f>
        <v>11.25</v>
      </c>
      <c r="M19" s="89" t="s">
        <v>8</v>
      </c>
      <c r="N19" s="56">
        <f t="shared" si="0"/>
        <v>11.916666666666666</v>
      </c>
      <c r="O19" s="114" t="s">
        <v>5</v>
      </c>
      <c r="Q19" s="236" t="s">
        <v>55</v>
      </c>
      <c r="R19" s="96">
        <v>12</v>
      </c>
      <c r="S19" s="83"/>
      <c r="T19" s="84"/>
      <c r="U19" s="84"/>
      <c r="V19" s="84"/>
      <c r="W19" s="84"/>
      <c r="X19" s="84"/>
    </row>
    <row r="20" spans="1:24" ht="18" customHeight="1" thickBot="1" x14ac:dyDescent="0.35">
      <c r="A20" s="46">
        <v>10</v>
      </c>
      <c r="B20" s="119">
        <v>4295</v>
      </c>
      <c r="C20" s="124" t="s">
        <v>78</v>
      </c>
      <c r="D20" s="174">
        <f>SUM('10ªCFB-U-L PORT'!H18)</f>
        <v>0</v>
      </c>
      <c r="E20" s="175">
        <f>SUM('10ªCFB-U-INGLES'!H18)</f>
        <v>8.5</v>
      </c>
      <c r="F20" s="175">
        <f>SUM('10ªCFB-U-MAT'!H18)</f>
        <v>4</v>
      </c>
      <c r="G20" s="175">
        <f>SUM('10ªCFB-U-INFOR'!H18)</f>
        <v>10</v>
      </c>
      <c r="H20" s="175">
        <f>SUM('10ªCFB-U-ED. FIS'!H18)</f>
        <v>0</v>
      </c>
      <c r="I20" s="175">
        <f>SUM('10ªCFB-U-FIS'!H18)</f>
        <v>3.75</v>
      </c>
      <c r="J20" s="175">
        <f>SUM('10ªCFB-U-QCA'!H18)</f>
        <v>9</v>
      </c>
      <c r="K20" s="175">
        <f>SUM('10ªCFB-U-BIOL'!H18)</f>
        <v>5</v>
      </c>
      <c r="L20" s="176">
        <f>SUM('10ªCFB-U-EMPREEND'!H18)</f>
        <v>5.5</v>
      </c>
      <c r="M20" s="90" t="s">
        <v>8</v>
      </c>
      <c r="N20" s="56">
        <f t="shared" si="0"/>
        <v>5.083333333333333</v>
      </c>
      <c r="O20" s="115" t="s">
        <v>5</v>
      </c>
      <c r="Q20" s="237"/>
      <c r="R20" s="96" t="s">
        <v>59</v>
      </c>
    </row>
    <row r="21" spans="1:24" ht="18" customHeight="1" thickBot="1" x14ac:dyDescent="0.35">
      <c r="A21" s="46">
        <v>11</v>
      </c>
      <c r="B21" s="118">
        <v>4594</v>
      </c>
      <c r="C21" s="123" t="s">
        <v>79</v>
      </c>
      <c r="D21" s="174">
        <f>SUM('10ªCFB-U-L PORT'!H19)</f>
        <v>0</v>
      </c>
      <c r="E21" s="175">
        <f>SUM('10ªCFB-U-INGLES'!H19)</f>
        <v>0</v>
      </c>
      <c r="F21" s="175">
        <f>SUM('10ªCFB-U-MAT'!H19)</f>
        <v>0</v>
      </c>
      <c r="G21" s="175">
        <f>SUM('10ªCFB-U-INFOR'!H19)</f>
        <v>0</v>
      </c>
      <c r="H21" s="175">
        <f>SUM('10ªCFB-U-ED. FIS'!H19)</f>
        <v>0</v>
      </c>
      <c r="I21" s="175">
        <f>SUM('10ªCFB-U-FIS'!H19)</f>
        <v>0</v>
      </c>
      <c r="J21" s="175">
        <f>SUM('10ªCFB-U-QCA'!H19)</f>
        <v>5</v>
      </c>
      <c r="K21" s="175">
        <f>SUM('10ªCFB-U-BIOL'!H19)</f>
        <v>0</v>
      </c>
      <c r="L21" s="176">
        <f>SUM('10ªCFB-U-EMPREEND'!H19)</f>
        <v>0</v>
      </c>
      <c r="M21" s="89" t="s">
        <v>143</v>
      </c>
      <c r="N21" s="56">
        <f t="shared" si="0"/>
        <v>0.55555555555555558</v>
      </c>
      <c r="O21" s="114" t="s">
        <v>6</v>
      </c>
    </row>
    <row r="22" spans="1:24" ht="18" customHeight="1" thickBot="1" x14ac:dyDescent="0.35">
      <c r="A22" s="46">
        <v>12</v>
      </c>
      <c r="B22" s="118">
        <v>4566</v>
      </c>
      <c r="C22" s="123" t="s">
        <v>80</v>
      </c>
      <c r="D22" s="174">
        <f>SUM('10ªCFB-U-L PORT'!H20)</f>
        <v>14.5</v>
      </c>
      <c r="E22" s="175">
        <f>SUM('10ªCFB-U-INGLES'!H20)</f>
        <v>15.5</v>
      </c>
      <c r="F22" s="175">
        <f>SUM('10ªCFB-U-MAT'!H20)</f>
        <v>12.5</v>
      </c>
      <c r="G22" s="175">
        <f>SUM('10ªCFB-U-INFOR'!H20)</f>
        <v>12.4</v>
      </c>
      <c r="H22" s="175">
        <f>SUM('10ªCFB-U-ED. FIS'!H20)</f>
        <v>15</v>
      </c>
      <c r="I22" s="175">
        <f>SUM('10ªCFB-U-FIS'!H20)</f>
        <v>13.25</v>
      </c>
      <c r="J22" s="175">
        <f>SUM('10ªCFB-U-QCA'!H20)</f>
        <v>12</v>
      </c>
      <c r="K22" s="175">
        <f>SUM('10ªCFB-U-BIOL'!H20)</f>
        <v>15</v>
      </c>
      <c r="L22" s="176">
        <f>SUM('10ªCFB-U-EMPREEND'!H20)</f>
        <v>12.5</v>
      </c>
      <c r="M22" s="89" t="s">
        <v>7</v>
      </c>
      <c r="N22" s="56">
        <f t="shared" si="0"/>
        <v>13.627777777777778</v>
      </c>
      <c r="O22" s="114" t="s">
        <v>6</v>
      </c>
    </row>
    <row r="23" spans="1:24" ht="18" customHeight="1" thickBot="1" x14ac:dyDescent="0.35">
      <c r="A23" s="46">
        <v>13</v>
      </c>
      <c r="B23" s="118">
        <v>4667</v>
      </c>
      <c r="C23" s="123" t="s">
        <v>81</v>
      </c>
      <c r="D23" s="174">
        <f>SUM('10ªCFB-U-L PORT'!H21)</f>
        <v>0</v>
      </c>
      <c r="E23" s="175">
        <f>SUM('10ªCFB-U-INGLES'!H21)</f>
        <v>0</v>
      </c>
      <c r="F23" s="175">
        <f>SUM('10ªCFB-U-MAT'!H21)</f>
        <v>0</v>
      </c>
      <c r="G23" s="175">
        <f>SUM('10ªCFB-U-INFOR'!H21)</f>
        <v>5</v>
      </c>
      <c r="H23" s="175">
        <f>SUM('10ªCFB-U-ED. FIS'!H21)</f>
        <v>0</v>
      </c>
      <c r="I23" s="175">
        <f>SUM('10ªCFB-U-FIS'!H21)</f>
        <v>0</v>
      </c>
      <c r="J23" s="175">
        <f>SUM('10ªCFB-U-QCA'!H21)</f>
        <v>5</v>
      </c>
      <c r="K23" s="175">
        <f>SUM('10ªCFB-U-BIOL'!H21)</f>
        <v>0</v>
      </c>
      <c r="L23" s="176">
        <f>SUM('10ªCFB-U-EMPREEND'!H21)</f>
        <v>0</v>
      </c>
      <c r="M23" s="89" t="s">
        <v>143</v>
      </c>
      <c r="N23" s="56">
        <f t="shared" si="0"/>
        <v>1.1111111111111112</v>
      </c>
      <c r="O23" s="114" t="s">
        <v>6</v>
      </c>
    </row>
    <row r="24" spans="1:24" ht="18" customHeight="1" thickBot="1" x14ac:dyDescent="0.35">
      <c r="A24" s="46">
        <v>14</v>
      </c>
      <c r="B24" s="118">
        <v>3964</v>
      </c>
      <c r="C24" s="123" t="s">
        <v>82</v>
      </c>
      <c r="D24" s="174">
        <f>SUM('10ªCFB-U-L PORT'!H22)</f>
        <v>0</v>
      </c>
      <c r="E24" s="175">
        <f>SUM('10ªCFB-U-INGLES'!H22)</f>
        <v>0</v>
      </c>
      <c r="F24" s="175">
        <f>SUM('10ªCFB-U-MAT'!H22)</f>
        <v>0</v>
      </c>
      <c r="G24" s="175">
        <f>SUM('10ªCFB-U-INFOR'!H22)</f>
        <v>0</v>
      </c>
      <c r="H24" s="175">
        <f>SUM('10ªCFB-U-ED. FIS'!H22)</f>
        <v>0</v>
      </c>
      <c r="I24" s="175">
        <f>SUM('10ªCFB-U-FIS'!H22)</f>
        <v>0</v>
      </c>
      <c r="J24" s="175">
        <f>SUM('10ªCFB-U-QCA'!H22)</f>
        <v>5</v>
      </c>
      <c r="K24" s="175">
        <f>SUM('10ªCFB-U-BIOL'!H22)</f>
        <v>0</v>
      </c>
      <c r="L24" s="176">
        <f>SUM('10ªCFB-U-EMPREEND'!H22)</f>
        <v>0</v>
      </c>
      <c r="M24" s="89" t="s">
        <v>143</v>
      </c>
      <c r="N24" s="56">
        <f t="shared" si="0"/>
        <v>0.55555555555555558</v>
      </c>
      <c r="O24" s="114" t="s">
        <v>6</v>
      </c>
    </row>
    <row r="25" spans="1:24" ht="18" customHeight="1" thickBot="1" x14ac:dyDescent="0.35">
      <c r="A25" s="46">
        <v>15</v>
      </c>
      <c r="B25" s="118">
        <v>4593</v>
      </c>
      <c r="C25" s="123" t="s">
        <v>83</v>
      </c>
      <c r="D25" s="174">
        <f>SUM('10ªCFB-U-L PORT'!H23)</f>
        <v>13.5</v>
      </c>
      <c r="E25" s="175">
        <f>SUM('10ªCFB-U-INGLES'!H23)</f>
        <v>14.5</v>
      </c>
      <c r="F25" s="175">
        <f>SUM('10ªCFB-U-MAT'!H23)</f>
        <v>16.5</v>
      </c>
      <c r="G25" s="175">
        <f>SUM('10ªCFB-U-INFOR'!H23)</f>
        <v>16.5</v>
      </c>
      <c r="H25" s="175">
        <f>SUM('10ªCFB-U-ED. FIS'!H23)</f>
        <v>16</v>
      </c>
      <c r="I25" s="175">
        <f>SUM('10ªCFB-U-FIS'!H23)</f>
        <v>11.25</v>
      </c>
      <c r="J25" s="175">
        <f>SUM('10ªCFB-U-QCA'!H23)</f>
        <v>14</v>
      </c>
      <c r="K25" s="175">
        <f>SUM('10ªCFB-U-BIOL'!H23)</f>
        <v>18</v>
      </c>
      <c r="L25" s="176">
        <f>SUM('10ªCFB-U-EMPREEND'!H23)</f>
        <v>14.25</v>
      </c>
      <c r="M25" s="89" t="s">
        <v>7</v>
      </c>
      <c r="N25" s="56">
        <f t="shared" si="0"/>
        <v>14.944444444444445</v>
      </c>
      <c r="O25" s="114" t="s">
        <v>6</v>
      </c>
    </row>
    <row r="26" spans="1:24" ht="18" customHeight="1" thickBot="1" x14ac:dyDescent="0.35">
      <c r="A26" s="46">
        <v>16</v>
      </c>
      <c r="B26" s="118">
        <v>4577</v>
      </c>
      <c r="C26" s="123" t="s">
        <v>84</v>
      </c>
      <c r="D26" s="174">
        <f>SUM('10ªCFB-U-L PORT'!H24)</f>
        <v>12.5</v>
      </c>
      <c r="E26" s="175">
        <f>SUM('10ªCFB-U-INGLES'!H24)</f>
        <v>13.5</v>
      </c>
      <c r="F26" s="175">
        <f>SUM('10ªCFB-U-MAT'!H24)</f>
        <v>10</v>
      </c>
      <c r="G26" s="175">
        <f>SUM('10ªCFB-U-INFOR'!H24)</f>
        <v>12.55</v>
      </c>
      <c r="H26" s="175">
        <f>SUM('10ªCFB-U-ED. FIS'!H24)</f>
        <v>16</v>
      </c>
      <c r="I26" s="175">
        <f>SUM('10ªCFB-U-FIS'!H24)</f>
        <v>10.75</v>
      </c>
      <c r="J26" s="175">
        <f>SUM('10ªCFB-U-QCA'!H24)</f>
        <v>12.5</v>
      </c>
      <c r="K26" s="175">
        <f>SUM('10ªCFB-U-BIOL'!H24)</f>
        <v>16</v>
      </c>
      <c r="L26" s="176">
        <f>SUM('10ªCFB-U-EMPREEND'!H24)</f>
        <v>15</v>
      </c>
      <c r="M26" s="89" t="s">
        <v>7</v>
      </c>
      <c r="N26" s="56">
        <f t="shared" si="0"/>
        <v>13.2</v>
      </c>
      <c r="O26" s="114" t="s">
        <v>5</v>
      </c>
    </row>
    <row r="27" spans="1:24" ht="18" customHeight="1" thickBot="1" x14ac:dyDescent="0.35">
      <c r="A27" s="46">
        <v>17</v>
      </c>
      <c r="B27" s="118">
        <v>4584</v>
      </c>
      <c r="C27" s="123" t="s">
        <v>85</v>
      </c>
      <c r="D27" s="174">
        <f>SUM('10ªCFB-U-L PORT'!H25)</f>
        <v>10</v>
      </c>
      <c r="E27" s="175">
        <f>SUM('10ªCFB-U-INGLES'!H25)</f>
        <v>11.5</v>
      </c>
      <c r="F27" s="175">
        <f>SUM('10ªCFB-U-MAT'!H25)</f>
        <v>14</v>
      </c>
      <c r="G27" s="175">
        <f>SUM('10ªCFB-U-INFOR'!H25)</f>
        <v>10.5</v>
      </c>
      <c r="H27" s="175">
        <f>SUM('10ªCFB-U-ED. FIS'!H25)</f>
        <v>14</v>
      </c>
      <c r="I27" s="175">
        <f>SUM('10ªCFB-U-FIS'!H25)</f>
        <v>8</v>
      </c>
      <c r="J27" s="175">
        <f>SUM('10ªCFB-U-QCA'!H25)</f>
        <v>10</v>
      </c>
      <c r="K27" s="175">
        <f>SUM('10ªCFB-U-BIOL'!H25)</f>
        <v>14.5</v>
      </c>
      <c r="L27" s="176">
        <f>SUM('10ªCFB-U-EMPREEND'!H25)</f>
        <v>10.5</v>
      </c>
      <c r="M27" s="89" t="s">
        <v>8</v>
      </c>
      <c r="N27" s="56">
        <f t="shared" si="0"/>
        <v>11.444444444444445</v>
      </c>
      <c r="O27" s="114" t="s">
        <v>6</v>
      </c>
    </row>
    <row r="28" spans="1:24" ht="18" customHeight="1" thickBot="1" x14ac:dyDescent="0.35">
      <c r="A28" s="46">
        <v>18</v>
      </c>
      <c r="B28" s="118">
        <v>4590</v>
      </c>
      <c r="C28" s="123" t="s">
        <v>140</v>
      </c>
      <c r="D28" s="174">
        <f>SUM('10ªCFB-U-L PORT'!H26)</f>
        <v>0</v>
      </c>
      <c r="E28" s="175">
        <f>SUM('10ªCFB-U-INGLES'!H26)</f>
        <v>10.5</v>
      </c>
      <c r="F28" s="175">
        <f>SUM('10ªCFB-U-MAT'!H26)</f>
        <v>5.5</v>
      </c>
      <c r="G28" s="175">
        <f>SUM('10ªCFB-U-INFOR'!H26)</f>
        <v>0</v>
      </c>
      <c r="H28" s="175">
        <f>SUM('10ªCFB-U-ED. FIS'!H26)</f>
        <v>15</v>
      </c>
      <c r="I28" s="175">
        <f>SUM('10ªCFB-U-FIS'!H26)</f>
        <v>0</v>
      </c>
      <c r="J28" s="175">
        <f>SUM('10ªCFB-U-QCA'!H26)</f>
        <v>0</v>
      </c>
      <c r="K28" s="175">
        <f>SUM('10ªCFB-U-BIOL'!H26)</f>
        <v>0</v>
      </c>
      <c r="L28" s="176">
        <f>SUM('10ªCFB-U-EMPREEND'!H26)</f>
        <v>0</v>
      </c>
      <c r="M28" s="89" t="s">
        <v>8</v>
      </c>
      <c r="N28" s="56">
        <f t="shared" si="0"/>
        <v>3.4444444444444446</v>
      </c>
      <c r="O28" s="114" t="s">
        <v>6</v>
      </c>
    </row>
    <row r="29" spans="1:24" ht="18" customHeight="1" thickBot="1" x14ac:dyDescent="0.35">
      <c r="A29" s="46">
        <v>19</v>
      </c>
      <c r="B29" s="118">
        <v>4546</v>
      </c>
      <c r="C29" s="123" t="s">
        <v>86</v>
      </c>
      <c r="D29" s="174">
        <f>SUM('10ªCFB-U-L PORT'!H27)</f>
        <v>0</v>
      </c>
      <c r="E29" s="175">
        <f>SUM('10ªCFB-U-INGLES'!H27)</f>
        <v>0</v>
      </c>
      <c r="F29" s="175">
        <f>SUM('10ªCFB-U-MAT'!H27)</f>
        <v>0</v>
      </c>
      <c r="G29" s="175">
        <f>SUM('10ªCFB-U-INFOR'!H27)</f>
        <v>0</v>
      </c>
      <c r="H29" s="175">
        <f>SUM('10ªCFB-U-ED. FIS'!H27)</f>
        <v>0</v>
      </c>
      <c r="I29" s="175">
        <f>SUM('10ªCFB-U-FIS'!H27)</f>
        <v>11.5</v>
      </c>
      <c r="J29" s="175">
        <f>SUM('10ªCFB-U-QCA'!H27)</f>
        <v>5</v>
      </c>
      <c r="K29" s="175">
        <f>SUM('10ªCFB-U-BIOL'!H27)</f>
        <v>0</v>
      </c>
      <c r="L29" s="176">
        <f>SUM('10ªCFB-U-EMPREEND'!H27)</f>
        <v>0</v>
      </c>
      <c r="M29" s="89" t="s">
        <v>8</v>
      </c>
      <c r="N29" s="56">
        <f t="shared" si="0"/>
        <v>1.8333333333333333</v>
      </c>
      <c r="O29" s="114" t="s">
        <v>6</v>
      </c>
    </row>
    <row r="30" spans="1:24" ht="18" customHeight="1" thickBot="1" x14ac:dyDescent="0.35">
      <c r="A30" s="46">
        <v>20</v>
      </c>
      <c r="B30" s="118">
        <v>4631</v>
      </c>
      <c r="C30" s="123" t="s">
        <v>87</v>
      </c>
      <c r="D30" s="174">
        <f>SUM('10ªCFB-U-L PORT'!H28)</f>
        <v>11.75</v>
      </c>
      <c r="E30" s="175">
        <f>SUM('10ªCFB-U-INGLES'!H28)</f>
        <v>15</v>
      </c>
      <c r="F30" s="175">
        <f>SUM('10ªCFB-U-MAT'!H28)</f>
        <v>12</v>
      </c>
      <c r="G30" s="175">
        <f>SUM('10ªCFB-U-INFOR'!H28)</f>
        <v>13.9</v>
      </c>
      <c r="H30" s="175">
        <f>SUM('10ªCFB-U-ED. FIS'!H28)</f>
        <v>14</v>
      </c>
      <c r="I30" s="175">
        <f>SUM('10ªCFB-U-FIS'!H28)</f>
        <v>14</v>
      </c>
      <c r="J30" s="175">
        <f>SUM('10ªCFB-U-QCA'!H28)</f>
        <v>10.5</v>
      </c>
      <c r="K30" s="175">
        <f>SUM('10ªCFB-U-BIOL'!H28)</f>
        <v>12.5</v>
      </c>
      <c r="L30" s="176">
        <f>SUM('10ªCFB-U-EMPREEND'!H28)</f>
        <v>15.75</v>
      </c>
      <c r="M30" s="89" t="s">
        <v>7</v>
      </c>
      <c r="N30" s="56">
        <f t="shared" si="0"/>
        <v>13.266666666666667</v>
      </c>
      <c r="O30" s="114" t="s">
        <v>6</v>
      </c>
    </row>
    <row r="31" spans="1:24" ht="18" customHeight="1" thickBot="1" x14ac:dyDescent="0.35">
      <c r="A31" s="46">
        <v>21</v>
      </c>
      <c r="B31" s="118">
        <v>2387</v>
      </c>
      <c r="C31" s="123" t="s">
        <v>88</v>
      </c>
      <c r="D31" s="174">
        <f>SUM('10ªCFB-U-L PORT'!H29)</f>
        <v>12.25</v>
      </c>
      <c r="E31" s="175">
        <f>SUM('10ªCFB-U-INGLES'!H29)</f>
        <v>13</v>
      </c>
      <c r="F31" s="175">
        <f>SUM('10ªCFB-U-MAT'!H29)</f>
        <v>6.5</v>
      </c>
      <c r="G31" s="175">
        <f>SUM('10ªCFB-U-INFOR'!H29)</f>
        <v>7</v>
      </c>
      <c r="H31" s="175">
        <f>SUM('10ªCFB-U-ED. FIS'!H29)</f>
        <v>16</v>
      </c>
      <c r="I31" s="175">
        <f>SUM('10ªCFB-U-FIS'!H29)</f>
        <v>7.5</v>
      </c>
      <c r="J31" s="175">
        <f>SUM('10ªCFB-U-QCA'!H29)</f>
        <v>9</v>
      </c>
      <c r="K31" s="175">
        <f>SUM('10ªCFB-U-BIOL'!H29)</f>
        <v>5</v>
      </c>
      <c r="L31" s="176">
        <f>SUM('10ªCFB-U-EMPREEND'!H29)</f>
        <v>2.5</v>
      </c>
      <c r="M31" s="89" t="s">
        <v>8</v>
      </c>
      <c r="N31" s="56">
        <f t="shared" si="0"/>
        <v>8.75</v>
      </c>
      <c r="O31" s="114" t="s">
        <v>6</v>
      </c>
    </row>
    <row r="32" spans="1:24" ht="18" customHeight="1" thickBot="1" x14ac:dyDescent="0.35">
      <c r="A32" s="46">
        <v>22</v>
      </c>
      <c r="B32" s="118">
        <v>4613</v>
      </c>
      <c r="C32" s="123" t="s">
        <v>89</v>
      </c>
      <c r="D32" s="174">
        <f>SUM('10ªCFB-U-L PORT'!H30)</f>
        <v>8.75</v>
      </c>
      <c r="E32" s="175">
        <f>SUM('10ªCFB-U-INGLES'!H30)</f>
        <v>11</v>
      </c>
      <c r="F32" s="175">
        <f>SUM('10ªCFB-U-MAT'!H30)</f>
        <v>5.5</v>
      </c>
      <c r="G32" s="175">
        <f>SUM('10ªCFB-U-INFOR'!H30)</f>
        <v>13.5</v>
      </c>
      <c r="H32" s="175">
        <f>SUM('10ªCFB-U-ED. FIS'!H30)</f>
        <v>15</v>
      </c>
      <c r="I32" s="175">
        <f>SUM('10ªCFB-U-FIS'!H30)</f>
        <v>8.75</v>
      </c>
      <c r="J32" s="175">
        <f>SUM('10ªCFB-U-QCA'!H30)</f>
        <v>10</v>
      </c>
      <c r="K32" s="175">
        <f>SUM('10ªCFB-U-BIOL'!H30)</f>
        <v>12</v>
      </c>
      <c r="L32" s="176">
        <f>SUM('10ªCFB-U-EMPREEND'!H30)</f>
        <v>9.5</v>
      </c>
      <c r="M32" s="89" t="s">
        <v>8</v>
      </c>
      <c r="N32" s="56">
        <f t="shared" si="0"/>
        <v>10.444444444444445</v>
      </c>
      <c r="O32" s="114" t="s">
        <v>6</v>
      </c>
    </row>
    <row r="33" spans="1:15" ht="18" customHeight="1" thickBot="1" x14ac:dyDescent="0.35">
      <c r="A33" s="46">
        <v>23</v>
      </c>
      <c r="B33" s="118">
        <v>4670</v>
      </c>
      <c r="C33" s="123" t="s">
        <v>90</v>
      </c>
      <c r="D33" s="174">
        <f>SUM('10ªCFB-U-L PORT'!H31)</f>
        <v>10</v>
      </c>
      <c r="E33" s="175">
        <f>SUM('10ªCFB-U-INGLES'!H31)</f>
        <v>7.5</v>
      </c>
      <c r="F33" s="175">
        <f>SUM('10ªCFB-U-MAT'!H31)</f>
        <v>8.5</v>
      </c>
      <c r="G33" s="175">
        <f>SUM('10ªCFB-U-INFOR'!H31)</f>
        <v>6.75</v>
      </c>
      <c r="H33" s="175">
        <f>SUM('10ªCFB-U-ED. FIS'!H31)</f>
        <v>8</v>
      </c>
      <c r="I33" s="175">
        <f>SUM('10ªCFB-U-FIS'!H31)</f>
        <v>9.75</v>
      </c>
      <c r="J33" s="175">
        <f>SUM('10ªCFB-U-QCA'!H31)</f>
        <v>12</v>
      </c>
      <c r="K33" s="175">
        <f>SUM('10ªCFB-U-BIOL'!H31)</f>
        <v>9</v>
      </c>
      <c r="L33" s="176">
        <f>SUM('10ªCFB-U-EMPREEND'!H31)</f>
        <v>11</v>
      </c>
      <c r="M33" s="89" t="s">
        <v>8</v>
      </c>
      <c r="N33" s="56">
        <f t="shared" si="0"/>
        <v>9.1666666666666661</v>
      </c>
      <c r="O33" s="114" t="s">
        <v>6</v>
      </c>
    </row>
    <row r="34" spans="1:15" ht="18" customHeight="1" thickBot="1" x14ac:dyDescent="0.35">
      <c r="A34" s="46">
        <v>24</v>
      </c>
      <c r="B34" s="118">
        <v>4641</v>
      </c>
      <c r="C34" s="123" t="s">
        <v>91</v>
      </c>
      <c r="D34" s="174">
        <f>SUM('10ªCFB-U-L PORT'!H32)</f>
        <v>0</v>
      </c>
      <c r="E34" s="175">
        <f>SUM('10ªCFB-U-INGLES'!H32)</f>
        <v>0</v>
      </c>
      <c r="F34" s="175">
        <f>SUM('10ªCFB-U-MAT'!H32)</f>
        <v>0</v>
      </c>
      <c r="G34" s="175">
        <f>SUM('10ªCFB-U-INFOR'!H32)</f>
        <v>0</v>
      </c>
      <c r="H34" s="175">
        <f>SUM('10ªCFB-U-ED. FIS'!H32)</f>
        <v>0</v>
      </c>
      <c r="I34" s="175">
        <f>SUM('10ªCFB-U-FIS'!H32)</f>
        <v>0</v>
      </c>
      <c r="J34" s="175">
        <f>SUM('10ªCFB-U-QCA'!H32)</f>
        <v>5</v>
      </c>
      <c r="K34" s="175">
        <f>SUM('10ªCFB-U-BIOL'!H32)</f>
        <v>0</v>
      </c>
      <c r="L34" s="176">
        <f>SUM('10ªCFB-U-EMPREEND'!H32)</f>
        <v>0</v>
      </c>
      <c r="M34" s="89" t="s">
        <v>143</v>
      </c>
      <c r="N34" s="56">
        <f t="shared" si="0"/>
        <v>0.55555555555555558</v>
      </c>
      <c r="O34" s="114" t="s">
        <v>6</v>
      </c>
    </row>
    <row r="35" spans="1:15" ht="18" customHeight="1" thickBot="1" x14ac:dyDescent="0.35">
      <c r="A35" s="46">
        <v>25</v>
      </c>
      <c r="B35" s="118">
        <v>4545</v>
      </c>
      <c r="C35" s="123" t="s">
        <v>92</v>
      </c>
      <c r="D35" s="174">
        <f>SUM('10ªCFB-U-L PORT'!H33)</f>
        <v>0</v>
      </c>
      <c r="E35" s="175">
        <f>SUM('10ªCFB-U-INGLES'!H33)</f>
        <v>9.5</v>
      </c>
      <c r="F35" s="175">
        <f>SUM('10ªCFB-U-MAT'!H33)</f>
        <v>12</v>
      </c>
      <c r="G35" s="175">
        <f>SUM('10ªCFB-U-INFOR'!H33)</f>
        <v>10.25</v>
      </c>
      <c r="H35" s="175">
        <f>SUM('10ªCFB-U-ED. FIS'!H33)</f>
        <v>14</v>
      </c>
      <c r="I35" s="175">
        <f>SUM('10ªCFB-U-FIS'!H33)</f>
        <v>10.25</v>
      </c>
      <c r="J35" s="175">
        <f>SUM('10ªCFB-U-QCA'!H33)</f>
        <v>5</v>
      </c>
      <c r="K35" s="175">
        <f>SUM('10ªCFB-U-BIOL'!H33)</f>
        <v>13.5</v>
      </c>
      <c r="L35" s="176">
        <f>SUM('10ªCFB-U-EMPREEND'!H33)</f>
        <v>0</v>
      </c>
      <c r="M35" s="89" t="s">
        <v>8</v>
      </c>
      <c r="N35" s="56">
        <f t="shared" si="0"/>
        <v>8.2777777777777786</v>
      </c>
      <c r="O35" s="114" t="s">
        <v>6</v>
      </c>
    </row>
    <row r="36" spans="1:15" ht="18" customHeight="1" thickBot="1" x14ac:dyDescent="0.35">
      <c r="A36" s="46">
        <v>26</v>
      </c>
      <c r="B36" s="118">
        <v>4084</v>
      </c>
      <c r="C36" s="123" t="s">
        <v>93</v>
      </c>
      <c r="D36" s="174">
        <f>SUM('10ªCFB-U-L PORT'!H34)</f>
        <v>0</v>
      </c>
      <c r="E36" s="175">
        <f>SUM('10ªCFB-U-INGLES'!H34)</f>
        <v>0</v>
      </c>
      <c r="F36" s="175">
        <f>SUM('10ªCFB-U-MAT'!H34)</f>
        <v>0</v>
      </c>
      <c r="G36" s="175">
        <f>SUM('10ªCFB-U-INFOR'!H34)</f>
        <v>0</v>
      </c>
      <c r="H36" s="175">
        <f>SUM('10ªCFB-U-ED. FIS'!H34)</f>
        <v>0</v>
      </c>
      <c r="I36" s="175">
        <f>SUM('10ªCFB-U-FIS'!H34)</f>
        <v>4</v>
      </c>
      <c r="J36" s="175">
        <f>SUM('10ªCFB-U-QCA'!H34)</f>
        <v>5</v>
      </c>
      <c r="K36" s="175">
        <f>SUM('10ªCFB-U-BIOL'!H34)</f>
        <v>0</v>
      </c>
      <c r="L36" s="176">
        <f>SUM('10ªCFB-U-EMPREEND'!H34)</f>
        <v>0</v>
      </c>
      <c r="M36" s="89" t="s">
        <v>143</v>
      </c>
      <c r="N36" s="56">
        <f t="shared" si="0"/>
        <v>1</v>
      </c>
      <c r="O36" s="114" t="s">
        <v>6</v>
      </c>
    </row>
    <row r="37" spans="1:15" ht="18" customHeight="1" thickBot="1" x14ac:dyDescent="0.35">
      <c r="A37" s="46">
        <v>27</v>
      </c>
      <c r="B37" s="119">
        <v>4733</v>
      </c>
      <c r="C37" s="124" t="s">
        <v>94</v>
      </c>
      <c r="D37" s="174">
        <f>SUM('10ªCFB-U-L PORT'!H35)</f>
        <v>0</v>
      </c>
      <c r="E37" s="175">
        <f>SUM('10ªCFB-U-INGLES'!H35)</f>
        <v>0</v>
      </c>
      <c r="F37" s="175">
        <f>SUM('10ªCFB-U-MAT'!H35)</f>
        <v>0</v>
      </c>
      <c r="G37" s="175">
        <f>SUM('10ªCFB-U-INFOR'!H35)</f>
        <v>0</v>
      </c>
      <c r="H37" s="175">
        <f>SUM('10ªCFB-U-ED. FIS'!H35)</f>
        <v>0</v>
      </c>
      <c r="I37" s="175">
        <f>SUM('10ªCFB-U-FIS'!H35)</f>
        <v>0</v>
      </c>
      <c r="J37" s="175">
        <f>SUM('10ªCFB-U-QCA'!H35)</f>
        <v>5</v>
      </c>
      <c r="K37" s="175">
        <f>SUM('10ªCFB-U-BIOL'!H35)</f>
        <v>0</v>
      </c>
      <c r="L37" s="176">
        <f>SUM('10ªCFB-U-EMPREEND'!H35)</f>
        <v>0</v>
      </c>
      <c r="M37" s="89" t="s">
        <v>143</v>
      </c>
      <c r="N37" s="56">
        <f t="shared" si="0"/>
        <v>0.55555555555555558</v>
      </c>
      <c r="O37" s="115" t="s">
        <v>6</v>
      </c>
    </row>
    <row r="38" spans="1:15" ht="18" customHeight="1" thickBot="1" x14ac:dyDescent="0.35">
      <c r="A38" s="46">
        <v>28</v>
      </c>
      <c r="B38" s="118">
        <v>4555</v>
      </c>
      <c r="C38" s="123" t="s">
        <v>95</v>
      </c>
      <c r="D38" s="174">
        <f>SUM('10ªCFB-U-L PORT'!H36)</f>
        <v>0</v>
      </c>
      <c r="E38" s="175">
        <f>SUM('10ªCFB-U-INGLES'!H36)</f>
        <v>9.5</v>
      </c>
      <c r="F38" s="175">
        <f>SUM('10ªCFB-U-MAT'!H36)</f>
        <v>6.5</v>
      </c>
      <c r="G38" s="175">
        <f>SUM('10ªCFB-U-INFOR'!H36)</f>
        <v>12</v>
      </c>
      <c r="H38" s="175">
        <f>SUM('10ªCFB-U-ED. FIS'!H36)</f>
        <v>14</v>
      </c>
      <c r="I38" s="175">
        <f>SUM('10ªCFB-U-FIS'!H36)</f>
        <v>10.5</v>
      </c>
      <c r="J38" s="175">
        <f>SUM('10ªCFB-U-QCA'!H36)</f>
        <v>10</v>
      </c>
      <c r="K38" s="175">
        <f>SUM('10ªCFB-U-BIOL'!H36)</f>
        <v>16</v>
      </c>
      <c r="L38" s="176">
        <f>SUM('10ªCFB-U-EMPREEND'!H36)</f>
        <v>12.25</v>
      </c>
      <c r="M38" s="72" t="s">
        <v>8</v>
      </c>
      <c r="N38" s="56">
        <f t="shared" si="0"/>
        <v>10.083333333333334</v>
      </c>
      <c r="O38" s="114" t="s">
        <v>6</v>
      </c>
    </row>
    <row r="39" spans="1:15" ht="18" customHeight="1" thickBot="1" x14ac:dyDescent="0.35">
      <c r="A39" s="46">
        <v>29</v>
      </c>
      <c r="B39" s="118">
        <v>4069</v>
      </c>
      <c r="C39" s="123" t="s">
        <v>96</v>
      </c>
      <c r="D39" s="174">
        <f>SUM('10ªCFB-U-L PORT'!H37)</f>
        <v>11.5</v>
      </c>
      <c r="E39" s="175">
        <f>SUM('10ªCFB-U-INGLES'!H37)</f>
        <v>13</v>
      </c>
      <c r="F39" s="175">
        <f>SUM('10ªCFB-U-MAT'!H37)</f>
        <v>10</v>
      </c>
      <c r="G39" s="175">
        <f>SUM('10ªCFB-U-INFOR'!H37)</f>
        <v>8.5</v>
      </c>
      <c r="H39" s="175">
        <f>SUM('10ªCFB-U-ED. FIS'!H37)</f>
        <v>14</v>
      </c>
      <c r="I39" s="175">
        <f>SUM('10ªCFB-U-FIS'!H37)</f>
        <v>8</v>
      </c>
      <c r="J39" s="175">
        <f>SUM('10ªCFB-U-QCA'!H37)</f>
        <v>11</v>
      </c>
      <c r="K39" s="175">
        <f>SUM('10ªCFB-U-BIOL'!H37)</f>
        <v>12.5</v>
      </c>
      <c r="L39" s="176">
        <f>SUM('10ªCFB-U-EMPREEND'!H37)</f>
        <v>6.5</v>
      </c>
      <c r="M39" s="89" t="s">
        <v>8</v>
      </c>
      <c r="N39" s="56">
        <f t="shared" si="0"/>
        <v>10.555555555555555</v>
      </c>
      <c r="O39" s="114" t="s">
        <v>6</v>
      </c>
    </row>
    <row r="40" spans="1:15" ht="18" customHeight="1" thickBot="1" x14ac:dyDescent="0.35">
      <c r="A40" s="46">
        <v>30</v>
      </c>
      <c r="B40" s="118">
        <v>4547</v>
      </c>
      <c r="C40" s="123" t="s">
        <v>97</v>
      </c>
      <c r="D40" s="174">
        <f>SUM('10ªCFB-U-L PORT'!H38)</f>
        <v>0</v>
      </c>
      <c r="E40" s="175">
        <f>SUM('10ªCFB-U-INGLES'!H38)</f>
        <v>0</v>
      </c>
      <c r="F40" s="175">
        <f>SUM('10ªCFB-U-MAT'!H38)</f>
        <v>0</v>
      </c>
      <c r="G40" s="175">
        <f>SUM('10ªCFB-U-INFOR'!H38)</f>
        <v>0</v>
      </c>
      <c r="H40" s="175">
        <f>SUM('10ªCFB-U-ED. FIS'!H38)</f>
        <v>0</v>
      </c>
      <c r="I40" s="175">
        <f>SUM('10ªCFB-U-FIS'!H38)</f>
        <v>0</v>
      </c>
      <c r="J40" s="175">
        <f>SUM('10ªCFB-U-QCA'!H38)</f>
        <v>5</v>
      </c>
      <c r="K40" s="175">
        <f>SUM('10ªCFB-U-BIOL'!H38)</f>
        <v>0</v>
      </c>
      <c r="L40" s="176">
        <f>SUM('10ªCFB-U-EMPREEND'!H38)</f>
        <v>0</v>
      </c>
      <c r="M40" s="89" t="s">
        <v>143</v>
      </c>
      <c r="N40" s="56">
        <f t="shared" si="0"/>
        <v>0.55555555555555558</v>
      </c>
      <c r="O40" s="114" t="s">
        <v>6</v>
      </c>
    </row>
    <row r="41" spans="1:15" ht="18" customHeight="1" thickBot="1" x14ac:dyDescent="0.35">
      <c r="A41" s="46">
        <v>31</v>
      </c>
      <c r="B41" s="118">
        <v>4011</v>
      </c>
      <c r="C41" s="123" t="s">
        <v>98</v>
      </c>
      <c r="D41" s="174">
        <f>SUM('10ªCFB-U-L PORT'!H39)</f>
        <v>0</v>
      </c>
      <c r="E41" s="175">
        <f>SUM('10ªCFB-U-INGLES'!H39)</f>
        <v>0</v>
      </c>
      <c r="F41" s="175">
        <f>SUM('10ªCFB-U-MAT'!H39)</f>
        <v>0</v>
      </c>
      <c r="G41" s="175">
        <f>SUM('10ªCFB-U-INFOR'!H39)</f>
        <v>5</v>
      </c>
      <c r="H41" s="175">
        <f>SUM('10ªCFB-U-ED. FIS'!H39)</f>
        <v>8</v>
      </c>
      <c r="I41" s="175">
        <f>SUM('10ªCFB-U-FIS'!H39)</f>
        <v>0</v>
      </c>
      <c r="J41" s="175">
        <f>SUM('10ªCFB-U-QCA'!H39)</f>
        <v>5</v>
      </c>
      <c r="K41" s="175">
        <f>SUM('10ªCFB-U-BIOL'!H39)</f>
        <v>2.5</v>
      </c>
      <c r="L41" s="176">
        <f>SUM('10ªCFB-U-EMPREEND'!H39)</f>
        <v>0</v>
      </c>
      <c r="M41" s="89" t="s">
        <v>8</v>
      </c>
      <c r="N41" s="56">
        <f t="shared" si="0"/>
        <v>2.2777777777777777</v>
      </c>
      <c r="O41" s="116" t="s">
        <v>6</v>
      </c>
    </row>
    <row r="42" spans="1:15" ht="18" customHeight="1" thickTop="1" thickBot="1" x14ac:dyDescent="0.35">
      <c r="A42" s="46">
        <v>32</v>
      </c>
      <c r="B42" s="119">
        <v>4763</v>
      </c>
      <c r="C42" s="124" t="s">
        <v>99</v>
      </c>
      <c r="D42" s="174">
        <f>SUM('10ªCFB-U-L PORT'!H40)</f>
        <v>8</v>
      </c>
      <c r="E42" s="175">
        <f>SUM('10ªCFB-U-INGLES'!H40)</f>
        <v>3</v>
      </c>
      <c r="F42" s="175">
        <f>SUM('10ªCFB-U-MAT'!H40)</f>
        <v>6.5</v>
      </c>
      <c r="G42" s="175">
        <f>SUM('10ªCFB-U-INFOR'!H40)</f>
        <v>5.75</v>
      </c>
      <c r="H42" s="175">
        <f>SUM('10ªCFB-U-ED. FIS'!H40)</f>
        <v>0</v>
      </c>
      <c r="I42" s="175">
        <f>SUM('10ªCFB-U-FIS'!H40)</f>
        <v>7</v>
      </c>
      <c r="J42" s="175">
        <f>SUM('10ªCFB-U-QCA'!H40)</f>
        <v>9.5</v>
      </c>
      <c r="K42" s="175">
        <f>SUM('10ªCFB-U-BIOL'!H40)</f>
        <v>7.5</v>
      </c>
      <c r="L42" s="176">
        <f>SUM('10ªCFB-U-EMPREEND'!H40)</f>
        <v>4.5</v>
      </c>
      <c r="M42" s="89" t="s">
        <v>8</v>
      </c>
      <c r="N42" s="56">
        <f t="shared" si="0"/>
        <v>5.75</v>
      </c>
      <c r="O42" s="164" t="s">
        <v>6</v>
      </c>
    </row>
    <row r="43" spans="1:15" ht="18" customHeight="1" thickBot="1" x14ac:dyDescent="0.35">
      <c r="A43" s="46">
        <v>33</v>
      </c>
      <c r="B43" s="118">
        <v>4535</v>
      </c>
      <c r="C43" s="123" t="s">
        <v>100</v>
      </c>
      <c r="D43" s="174">
        <f>SUM('10ªCFB-U-L PORT'!H41)</f>
        <v>15</v>
      </c>
      <c r="E43" s="175">
        <f>SUM('10ªCFB-U-INGLES'!H41)</f>
        <v>16.5</v>
      </c>
      <c r="F43" s="175">
        <f>SUM('10ªCFB-U-MAT'!H41)</f>
        <v>8.5</v>
      </c>
      <c r="G43" s="175">
        <f>SUM('10ªCFB-U-INFOR'!H41)</f>
        <v>19</v>
      </c>
      <c r="H43" s="175">
        <f>SUM('10ªCFB-U-ED. FIS'!H41)</f>
        <v>16</v>
      </c>
      <c r="I43" s="175">
        <f>SUM('10ªCFB-U-FIS'!H41)</f>
        <v>11.5</v>
      </c>
      <c r="J43" s="175">
        <f>SUM('10ªCFB-U-QCA'!H41)</f>
        <v>10</v>
      </c>
      <c r="K43" s="175">
        <f>SUM('10ªCFB-U-BIOL'!H41)</f>
        <v>17</v>
      </c>
      <c r="L43" s="176">
        <f>SUM('10ªCFB-U-EMPREEND'!H41)</f>
        <v>14.25</v>
      </c>
      <c r="M43" s="89" t="s">
        <v>8</v>
      </c>
      <c r="N43" s="56">
        <f t="shared" si="0"/>
        <v>14.194444444444445</v>
      </c>
      <c r="O43" s="114" t="s">
        <v>6</v>
      </c>
    </row>
    <row r="44" spans="1:15" ht="18" customHeight="1" thickBot="1" x14ac:dyDescent="0.35">
      <c r="A44" s="46">
        <v>34</v>
      </c>
      <c r="B44" s="118">
        <v>4629</v>
      </c>
      <c r="C44" s="123" t="s">
        <v>101</v>
      </c>
      <c r="D44" s="174">
        <f>SUM('10ªCFB-U-L PORT'!H42)</f>
        <v>0</v>
      </c>
      <c r="E44" s="175">
        <f>SUM('10ªCFB-U-INGLES'!H42)</f>
        <v>0</v>
      </c>
      <c r="F44" s="175">
        <f>SUM('10ªCFB-U-MAT'!H42)</f>
        <v>0</v>
      </c>
      <c r="G44" s="175">
        <f>SUM('10ªCFB-U-INFOR'!H42)</f>
        <v>0</v>
      </c>
      <c r="H44" s="175">
        <f>SUM('10ªCFB-U-ED. FIS'!H42)</f>
        <v>0</v>
      </c>
      <c r="I44" s="175">
        <f>SUM('10ªCFB-U-FIS'!H42)</f>
        <v>0</v>
      </c>
      <c r="J44" s="175">
        <f>SUM('10ªCFB-U-QCA'!H42)</f>
        <v>5</v>
      </c>
      <c r="K44" s="175">
        <f>SUM('10ªCFB-U-BIOL'!H42)</f>
        <v>0</v>
      </c>
      <c r="L44" s="176">
        <f>SUM('10ªCFB-U-EMPREEND'!H42)</f>
        <v>0</v>
      </c>
      <c r="M44" s="89" t="s">
        <v>143</v>
      </c>
      <c r="N44" s="56">
        <f t="shared" ref="N44:N73" si="3">AVERAGE(D44:L44)</f>
        <v>0.55555555555555558</v>
      </c>
      <c r="O44" s="114" t="s">
        <v>6</v>
      </c>
    </row>
    <row r="45" spans="1:15" ht="18" customHeight="1" thickBot="1" x14ac:dyDescent="0.35">
      <c r="A45" s="46">
        <v>35</v>
      </c>
      <c r="B45" s="118">
        <v>3744</v>
      </c>
      <c r="C45" s="123" t="s">
        <v>102</v>
      </c>
      <c r="D45" s="174">
        <f>SUM('10ªCFB-U-L PORT'!H43)</f>
        <v>11</v>
      </c>
      <c r="E45" s="175">
        <f>SUM('10ªCFB-U-INGLES'!H43)</f>
        <v>12.5</v>
      </c>
      <c r="F45" s="175">
        <f>SUM('10ªCFB-U-MAT'!H43)</f>
        <v>11.5</v>
      </c>
      <c r="G45" s="175">
        <f>SUM('10ªCFB-U-INFOR'!H43)</f>
        <v>12.25</v>
      </c>
      <c r="H45" s="175">
        <f>SUM('10ªCFB-U-ED. FIS'!H43)</f>
        <v>15</v>
      </c>
      <c r="I45" s="175">
        <f>SUM('10ªCFB-U-FIS'!H43)</f>
        <v>9.5</v>
      </c>
      <c r="J45" s="175">
        <f>SUM('10ªCFB-U-QCA'!H43)</f>
        <v>9.5</v>
      </c>
      <c r="K45" s="175">
        <f>SUM('10ªCFB-U-BIOL'!H43)</f>
        <v>11</v>
      </c>
      <c r="L45" s="176">
        <f>SUM('10ªCFB-U-EMPREEND'!H43)</f>
        <v>12.75</v>
      </c>
      <c r="M45" s="89" t="s">
        <v>7</v>
      </c>
      <c r="N45" s="56">
        <f t="shared" si="3"/>
        <v>11.666666666666666</v>
      </c>
      <c r="O45" s="114" t="s">
        <v>6</v>
      </c>
    </row>
    <row r="46" spans="1:15" ht="18" customHeight="1" thickBot="1" x14ac:dyDescent="0.35">
      <c r="A46" s="46">
        <v>36</v>
      </c>
      <c r="B46" s="118">
        <v>4691</v>
      </c>
      <c r="C46" s="123" t="s">
        <v>103</v>
      </c>
      <c r="D46" s="174">
        <f>SUM('10ªCFB-U-L PORT'!H44)</f>
        <v>5</v>
      </c>
      <c r="E46" s="175">
        <f>SUM('10ªCFB-U-INGLES'!H44)</f>
        <v>3.5</v>
      </c>
      <c r="F46" s="175">
        <f>SUM('10ªCFB-U-MAT'!H44)</f>
        <v>0</v>
      </c>
      <c r="G46" s="175">
        <f>SUM('10ªCFB-U-INFOR'!H44)</f>
        <v>0</v>
      </c>
      <c r="H46" s="175">
        <f>SUM('10ªCFB-U-ED. FIS'!H44)</f>
        <v>0</v>
      </c>
      <c r="I46" s="175">
        <f>SUM('10ªCFB-U-FIS'!H44)</f>
        <v>5</v>
      </c>
      <c r="J46" s="175">
        <f>SUM('10ªCFB-U-QCA'!H44)</f>
        <v>5</v>
      </c>
      <c r="K46" s="175">
        <f>SUM('10ªCFB-U-BIOL'!H44)</f>
        <v>8.5</v>
      </c>
      <c r="L46" s="176">
        <f>SUM('10ªCFB-U-EMPREEND'!H44)</f>
        <v>0</v>
      </c>
      <c r="M46" s="89" t="s">
        <v>8</v>
      </c>
      <c r="N46" s="56">
        <f t="shared" si="3"/>
        <v>3</v>
      </c>
      <c r="O46" s="114" t="s">
        <v>5</v>
      </c>
    </row>
    <row r="47" spans="1:15" ht="18" customHeight="1" thickBot="1" x14ac:dyDescent="0.35">
      <c r="A47" s="46">
        <v>37</v>
      </c>
      <c r="B47" s="118">
        <v>4578</v>
      </c>
      <c r="C47" s="123" t="s">
        <v>104</v>
      </c>
      <c r="D47" s="174">
        <f>SUM('10ªCFB-U-L PORT'!H45)</f>
        <v>10.25</v>
      </c>
      <c r="E47" s="175">
        <f>SUM('10ªCFB-U-INGLES'!H45)</f>
        <v>6</v>
      </c>
      <c r="F47" s="175">
        <f>SUM('10ªCFB-U-MAT'!H45)</f>
        <v>6.5</v>
      </c>
      <c r="G47" s="175">
        <f>SUM('10ªCFB-U-INFOR'!H45)</f>
        <v>5.25</v>
      </c>
      <c r="H47" s="175">
        <f>SUM('10ªCFB-U-ED. FIS'!H45)</f>
        <v>14</v>
      </c>
      <c r="I47" s="175">
        <f>SUM('10ªCFB-U-FIS'!H45)</f>
        <v>6.5</v>
      </c>
      <c r="J47" s="175">
        <f>SUM('10ªCFB-U-QCA'!H45)</f>
        <v>9.5</v>
      </c>
      <c r="K47" s="175">
        <f>SUM('10ªCFB-U-BIOL'!H45)</f>
        <v>9</v>
      </c>
      <c r="L47" s="176">
        <f>SUM('10ªCFB-U-EMPREEND'!H45)</f>
        <v>7.5</v>
      </c>
      <c r="M47" s="89" t="s">
        <v>8</v>
      </c>
      <c r="N47" s="56">
        <f t="shared" si="3"/>
        <v>8.2777777777777786</v>
      </c>
      <c r="O47" s="114" t="s">
        <v>6</v>
      </c>
    </row>
    <row r="48" spans="1:15" ht="18" customHeight="1" thickBot="1" x14ac:dyDescent="0.35">
      <c r="A48" s="46">
        <v>38</v>
      </c>
      <c r="B48" s="118">
        <v>4585</v>
      </c>
      <c r="C48" s="123" t="s">
        <v>105</v>
      </c>
      <c r="D48" s="174">
        <f>SUM('10ªCFB-U-L PORT'!H46)</f>
        <v>0</v>
      </c>
      <c r="E48" s="175">
        <f>SUM('10ªCFB-U-INGLES'!H46)</f>
        <v>4</v>
      </c>
      <c r="F48" s="175">
        <f>SUM('10ªCFB-U-MAT'!H46)</f>
        <v>7.5</v>
      </c>
      <c r="G48" s="175">
        <f>SUM('10ªCFB-U-INFOR'!H46)</f>
        <v>0</v>
      </c>
      <c r="H48" s="175">
        <f>SUM('10ªCFB-U-ED. FIS'!H46)</f>
        <v>0</v>
      </c>
      <c r="I48" s="175">
        <f>SUM('10ªCFB-U-FIS'!H46)</f>
        <v>5.5</v>
      </c>
      <c r="J48" s="175">
        <f>SUM('10ªCFB-U-QCA'!H46)</f>
        <v>5</v>
      </c>
      <c r="K48" s="175">
        <f>SUM('10ªCFB-U-BIOL'!H46)</f>
        <v>4.5</v>
      </c>
      <c r="L48" s="176">
        <f>SUM('10ªCFB-U-EMPREEND'!H46)</f>
        <v>3.5</v>
      </c>
      <c r="M48" s="89" t="s">
        <v>8</v>
      </c>
      <c r="N48" s="56">
        <f t="shared" si="3"/>
        <v>3.3333333333333335</v>
      </c>
      <c r="O48" s="114" t="s">
        <v>6</v>
      </c>
    </row>
    <row r="49" spans="1:15" ht="18" customHeight="1" thickBot="1" x14ac:dyDescent="0.35">
      <c r="A49" s="46">
        <v>39</v>
      </c>
      <c r="B49" s="118">
        <v>4564</v>
      </c>
      <c r="C49" s="123" t="s">
        <v>106</v>
      </c>
      <c r="D49" s="174">
        <f>SUM('10ªCFB-U-L PORT'!H47)</f>
        <v>11.5</v>
      </c>
      <c r="E49" s="175">
        <f>SUM('10ªCFB-U-INGLES'!H47)</f>
        <v>15</v>
      </c>
      <c r="F49" s="175">
        <f>SUM('10ªCFB-U-MAT'!H47)</f>
        <v>13.5</v>
      </c>
      <c r="G49" s="175">
        <f>SUM('10ªCFB-U-INFOR'!H47)</f>
        <v>13.65</v>
      </c>
      <c r="H49" s="175">
        <f>SUM('10ªCFB-U-ED. FIS'!H47)</f>
        <v>12</v>
      </c>
      <c r="I49" s="175">
        <f>SUM('10ªCFB-U-FIS'!H47)</f>
        <v>9.75</v>
      </c>
      <c r="J49" s="175">
        <f>SUM('10ªCFB-U-QCA'!H47)</f>
        <v>11</v>
      </c>
      <c r="K49" s="175">
        <f>SUM('10ªCFB-U-BIOL'!H47)</f>
        <v>18.5</v>
      </c>
      <c r="L49" s="176">
        <f>SUM('10ªCFB-U-EMPREEND'!H47)</f>
        <v>13.75</v>
      </c>
      <c r="M49" s="89" t="s">
        <v>7</v>
      </c>
      <c r="N49" s="56">
        <f t="shared" si="3"/>
        <v>13.183333333333334</v>
      </c>
      <c r="O49" s="114" t="s">
        <v>6</v>
      </c>
    </row>
    <row r="50" spans="1:15" ht="18" customHeight="1" thickBot="1" x14ac:dyDescent="0.35">
      <c r="A50" s="46">
        <v>40</v>
      </c>
      <c r="B50" s="118">
        <v>3609</v>
      </c>
      <c r="C50" s="123" t="s">
        <v>145</v>
      </c>
      <c r="D50" s="174">
        <f>SUM('10ªCFB-U-L PORT'!H48)</f>
        <v>0</v>
      </c>
      <c r="E50" s="175">
        <f>SUM('10ªCFB-U-INGLES'!H48)</f>
        <v>9.5</v>
      </c>
      <c r="F50" s="175">
        <f>SUM('10ªCFB-U-MAT'!H48)</f>
        <v>0</v>
      </c>
      <c r="G50" s="175">
        <f>SUM('10ªCFB-U-INFOR'!H48)</f>
        <v>6.75</v>
      </c>
      <c r="H50" s="175">
        <f>SUM('10ªCFB-U-ED. FIS'!H48)</f>
        <v>0</v>
      </c>
      <c r="I50" s="175">
        <f>SUM('10ªCFB-U-FIS'!H48)</f>
        <v>0</v>
      </c>
      <c r="J50" s="175">
        <f>SUM('10ªCFB-U-QCA'!H48)</f>
        <v>0</v>
      </c>
      <c r="K50" s="175">
        <f>SUM('10ªCFB-U-BIOL'!H48)</f>
        <v>0</v>
      </c>
      <c r="L50" s="176">
        <f>SUM('10ªCFB-U-EMPREEND'!H48)</f>
        <v>0</v>
      </c>
      <c r="M50" s="89" t="s">
        <v>8</v>
      </c>
      <c r="N50" s="56">
        <f t="shared" si="3"/>
        <v>1.8055555555555556</v>
      </c>
      <c r="O50" s="114" t="s">
        <v>6</v>
      </c>
    </row>
    <row r="51" spans="1:15" ht="18" customHeight="1" thickBot="1" x14ac:dyDescent="0.35">
      <c r="A51" s="46">
        <v>41</v>
      </c>
      <c r="B51" s="119">
        <v>4772</v>
      </c>
      <c r="C51" s="124" t="s">
        <v>107</v>
      </c>
      <c r="D51" s="174">
        <f>SUM('10ªCFB-U-L PORT'!H49)</f>
        <v>13.75</v>
      </c>
      <c r="E51" s="175">
        <f>SUM('10ªCFB-U-INGLES'!H49)</f>
        <v>11.5</v>
      </c>
      <c r="F51" s="175">
        <f>SUM('10ªCFB-U-MAT'!H49)</f>
        <v>19</v>
      </c>
      <c r="G51" s="175">
        <f>SUM('10ªCFB-U-INFOR'!H49)</f>
        <v>10.25</v>
      </c>
      <c r="H51" s="175">
        <f>SUM('10ªCFB-U-ED. FIS'!H49)</f>
        <v>8</v>
      </c>
      <c r="I51" s="175">
        <f>SUM('10ªCFB-U-FIS'!H49)</f>
        <v>8.5</v>
      </c>
      <c r="J51" s="175">
        <f>SUM('10ªCFB-U-QCA'!H49)</f>
        <v>9.5</v>
      </c>
      <c r="K51" s="175">
        <f>SUM('10ªCFB-U-BIOL'!H49)</f>
        <v>9</v>
      </c>
      <c r="L51" s="176">
        <f>SUM('10ªCFB-U-EMPREEND'!H49)</f>
        <v>8.5</v>
      </c>
      <c r="M51" s="89" t="s">
        <v>8</v>
      </c>
      <c r="N51" s="56">
        <f t="shared" si="3"/>
        <v>10.888888888888889</v>
      </c>
      <c r="O51" s="115" t="s">
        <v>5</v>
      </c>
    </row>
    <row r="52" spans="1:15" ht="18" customHeight="1" thickBot="1" x14ac:dyDescent="0.35">
      <c r="A52" s="46">
        <v>42</v>
      </c>
      <c r="B52" s="118">
        <v>4660</v>
      </c>
      <c r="C52" s="123" t="s">
        <v>108</v>
      </c>
      <c r="D52" s="174">
        <f>SUM('10ªCFB-U-L PORT'!H50)</f>
        <v>11.75</v>
      </c>
      <c r="E52" s="175">
        <f>SUM('10ªCFB-U-INGLES'!H50)</f>
        <v>12</v>
      </c>
      <c r="F52" s="175">
        <f>SUM('10ªCFB-U-MAT'!H50)</f>
        <v>11.5</v>
      </c>
      <c r="G52" s="175">
        <f>SUM('10ªCFB-U-INFOR'!H50)</f>
        <v>13.9</v>
      </c>
      <c r="H52" s="175">
        <f>SUM('10ªCFB-U-ED. FIS'!H50)</f>
        <v>16</v>
      </c>
      <c r="I52" s="175">
        <f>SUM('10ªCFB-U-FIS'!H50)</f>
        <v>8.75</v>
      </c>
      <c r="J52" s="175">
        <f>SUM('10ªCFB-U-QCA'!H50)</f>
        <v>10</v>
      </c>
      <c r="K52" s="175">
        <f>SUM('10ªCFB-U-BIOL'!H50)</f>
        <v>6</v>
      </c>
      <c r="L52" s="176">
        <f>SUM('10ªCFB-U-EMPREEND'!H50)</f>
        <v>12</v>
      </c>
      <c r="M52" s="89" t="s">
        <v>8</v>
      </c>
      <c r="N52" s="56">
        <f t="shared" si="3"/>
        <v>11.322222222222223</v>
      </c>
      <c r="O52" s="114" t="s">
        <v>6</v>
      </c>
    </row>
    <row r="53" spans="1:15" ht="18" customHeight="1" thickBot="1" x14ac:dyDescent="0.35">
      <c r="A53" s="46">
        <v>43</v>
      </c>
      <c r="B53" s="118">
        <v>3713</v>
      </c>
      <c r="C53" s="123" t="s">
        <v>109</v>
      </c>
      <c r="D53" s="174">
        <f>SUM('10ªCFB-U-L PORT'!H51)</f>
        <v>13.25</v>
      </c>
      <c r="E53" s="175">
        <f>SUM('10ªCFB-U-INGLES'!H51)</f>
        <v>13</v>
      </c>
      <c r="F53" s="175">
        <f>SUM('10ªCFB-U-MAT'!H51)</f>
        <v>0</v>
      </c>
      <c r="G53" s="175">
        <f>SUM('10ªCFB-U-INFOR'!H51)</f>
        <v>9.5</v>
      </c>
      <c r="H53" s="175">
        <f>SUM('10ªCFB-U-ED. FIS'!H51)</f>
        <v>7</v>
      </c>
      <c r="I53" s="175">
        <f>SUM('10ªCFB-U-FIS'!H51)</f>
        <v>10.75</v>
      </c>
      <c r="J53" s="175">
        <f>SUM('10ªCFB-U-QCA'!H51)</f>
        <v>12.5</v>
      </c>
      <c r="K53" s="175">
        <f>SUM('10ªCFB-U-BIOL'!H51)</f>
        <v>13.5</v>
      </c>
      <c r="L53" s="176">
        <f>SUM('10ªCFB-U-EMPREEND'!H51)</f>
        <v>12.25</v>
      </c>
      <c r="M53" s="89" t="s">
        <v>8</v>
      </c>
      <c r="N53" s="56">
        <f t="shared" si="3"/>
        <v>10.194444444444445</v>
      </c>
      <c r="O53" s="114" t="s">
        <v>6</v>
      </c>
    </row>
    <row r="54" spans="1:15" ht="18" customHeight="1" thickBot="1" x14ac:dyDescent="0.35">
      <c r="A54" s="46">
        <v>44</v>
      </c>
      <c r="B54" s="118">
        <v>4573</v>
      </c>
      <c r="C54" s="123" t="s">
        <v>110</v>
      </c>
      <c r="D54" s="174">
        <f>SUM('10ªCFB-U-L PORT'!H52)</f>
        <v>13.25</v>
      </c>
      <c r="E54" s="175">
        <f>SUM('10ªCFB-U-INGLES'!H52)</f>
        <v>10</v>
      </c>
      <c r="F54" s="175">
        <f>SUM('10ªCFB-U-MAT'!H52)</f>
        <v>11.5</v>
      </c>
      <c r="G54" s="175">
        <f>SUM('10ªCFB-U-INFOR'!H52)</f>
        <v>18.649999999999999</v>
      </c>
      <c r="H54" s="175">
        <f>SUM('10ªCFB-U-ED. FIS'!H52)</f>
        <v>15</v>
      </c>
      <c r="I54" s="175">
        <f>SUM('10ªCFB-U-FIS'!H52)</f>
        <v>9.75</v>
      </c>
      <c r="J54" s="175">
        <f>SUM('10ªCFB-U-QCA'!H52)</f>
        <v>13.5</v>
      </c>
      <c r="K54" s="175">
        <f>SUM('10ªCFB-U-BIOL'!H52)</f>
        <v>17</v>
      </c>
      <c r="L54" s="176">
        <f>SUM('10ªCFB-U-EMPREEND'!H52)</f>
        <v>13.75</v>
      </c>
      <c r="M54" s="89" t="s">
        <v>7</v>
      </c>
      <c r="N54" s="56">
        <f t="shared" si="3"/>
        <v>13.600000000000001</v>
      </c>
      <c r="O54" s="114" t="s">
        <v>5</v>
      </c>
    </row>
    <row r="55" spans="1:15" ht="18" customHeight="1" thickBot="1" x14ac:dyDescent="0.35">
      <c r="A55" s="46">
        <v>45</v>
      </c>
      <c r="B55" s="118">
        <v>4135</v>
      </c>
      <c r="C55" s="123" t="s">
        <v>111</v>
      </c>
      <c r="D55" s="174">
        <f>SUM('10ªCFB-U-L PORT'!H53)</f>
        <v>0</v>
      </c>
      <c r="E55" s="175">
        <f>SUM('10ªCFB-U-INGLES'!H53)</f>
        <v>0</v>
      </c>
      <c r="F55" s="175">
        <f>SUM('10ªCFB-U-MAT'!H53)</f>
        <v>0</v>
      </c>
      <c r="G55" s="175">
        <f>SUM('10ªCFB-U-INFOR'!H53)</f>
        <v>5</v>
      </c>
      <c r="H55" s="175">
        <f>SUM('10ªCFB-U-ED. FIS'!H53)</f>
        <v>0</v>
      </c>
      <c r="I55" s="175">
        <f>SUM('10ªCFB-U-FIS'!H53)</f>
        <v>0</v>
      </c>
      <c r="J55" s="175">
        <f>SUM('10ªCFB-U-QCA'!H53)</f>
        <v>5</v>
      </c>
      <c r="K55" s="175">
        <f>SUM('10ªCFB-U-BIOL'!H53)</f>
        <v>0</v>
      </c>
      <c r="L55" s="176">
        <f>SUM('10ªCFB-U-EMPREEND'!H53)</f>
        <v>0</v>
      </c>
      <c r="M55" s="89" t="s">
        <v>143</v>
      </c>
      <c r="N55" s="56">
        <f t="shared" si="3"/>
        <v>1.1111111111111112</v>
      </c>
      <c r="O55" s="114" t="s">
        <v>6</v>
      </c>
    </row>
    <row r="56" spans="1:15" ht="18" customHeight="1" thickBot="1" x14ac:dyDescent="0.35">
      <c r="A56" s="46">
        <v>46</v>
      </c>
      <c r="B56" s="118">
        <v>3166</v>
      </c>
      <c r="C56" s="123" t="s">
        <v>112</v>
      </c>
      <c r="D56" s="174">
        <f>SUM('10ªCFB-U-L PORT'!H54)</f>
        <v>8.25</v>
      </c>
      <c r="E56" s="175">
        <f>SUM('10ªCFB-U-INGLES'!H54)</f>
        <v>5</v>
      </c>
      <c r="F56" s="175">
        <f>SUM('10ªCFB-U-MAT'!H54)</f>
        <v>6.5</v>
      </c>
      <c r="G56" s="175">
        <f>SUM('10ªCFB-U-INFOR'!H54)</f>
        <v>6.15</v>
      </c>
      <c r="H56" s="175">
        <f>SUM('10ªCFB-U-ED. FIS'!H54)</f>
        <v>15</v>
      </c>
      <c r="I56" s="175">
        <f>SUM('10ªCFB-U-FIS'!H54)</f>
        <v>2</v>
      </c>
      <c r="J56" s="175">
        <f>SUM('10ªCFB-U-QCA'!H54)</f>
        <v>9</v>
      </c>
      <c r="K56" s="175">
        <f>SUM('10ªCFB-U-BIOL'!H54)</f>
        <v>9.5</v>
      </c>
      <c r="L56" s="176">
        <f>SUM('10ªCFB-U-EMPREEND'!H54)</f>
        <v>5</v>
      </c>
      <c r="M56" s="89" t="s">
        <v>8</v>
      </c>
      <c r="N56" s="56">
        <f t="shared" si="3"/>
        <v>7.3777777777777782</v>
      </c>
      <c r="O56" s="114" t="s">
        <v>6</v>
      </c>
    </row>
    <row r="57" spans="1:15" ht="18" customHeight="1" thickBot="1" x14ac:dyDescent="0.35">
      <c r="A57" s="46">
        <v>47</v>
      </c>
      <c r="B57" s="118">
        <v>4560</v>
      </c>
      <c r="C57" s="123" t="s">
        <v>141</v>
      </c>
      <c r="D57" s="174">
        <f>SUM('10ªCFB-U-L PORT'!H55)</f>
        <v>0</v>
      </c>
      <c r="E57" s="175">
        <f>SUM('10ªCFB-U-INGLES'!H55)</f>
        <v>0</v>
      </c>
      <c r="F57" s="175">
        <f>SUM('10ªCFB-U-MAT'!H55)</f>
        <v>7</v>
      </c>
      <c r="G57" s="175">
        <f>SUM('10ªCFB-U-INFOR'!H55)</f>
        <v>7.5</v>
      </c>
      <c r="H57" s="175">
        <f>SUM('10ªCFB-U-ED. FIS'!H55)</f>
        <v>8</v>
      </c>
      <c r="I57" s="175">
        <f>SUM('10ªCFB-U-FIS'!H55)</f>
        <v>0</v>
      </c>
      <c r="J57" s="175">
        <f>SUM('10ªCFB-U-QCA'!H55)</f>
        <v>0</v>
      </c>
      <c r="K57" s="175">
        <f>SUM('10ªCFB-U-BIOL'!H55)</f>
        <v>0</v>
      </c>
      <c r="L57" s="176">
        <f>SUM('10ªCFB-U-EMPREEND'!H55)</f>
        <v>0</v>
      </c>
      <c r="M57" s="89" t="s">
        <v>8</v>
      </c>
      <c r="N57" s="56">
        <f t="shared" si="3"/>
        <v>2.5</v>
      </c>
      <c r="O57" s="114" t="s">
        <v>6</v>
      </c>
    </row>
    <row r="58" spans="1:15" ht="18" customHeight="1" thickBot="1" x14ac:dyDescent="0.35">
      <c r="A58" s="46">
        <v>48</v>
      </c>
      <c r="B58" s="118">
        <v>4575</v>
      </c>
      <c r="C58" s="123" t="s">
        <v>113</v>
      </c>
      <c r="D58" s="174">
        <f>SUM('10ªCFB-U-L PORT'!H56)</f>
        <v>0</v>
      </c>
      <c r="E58" s="175">
        <f>SUM('10ªCFB-U-INGLES'!H56)</f>
        <v>0</v>
      </c>
      <c r="F58" s="175">
        <f>SUM('10ªCFB-U-MAT'!H56)</f>
        <v>0</v>
      </c>
      <c r="G58" s="175">
        <f>SUM('10ªCFB-U-INFOR'!H56)</f>
        <v>0</v>
      </c>
      <c r="H58" s="175">
        <f>SUM('10ªCFB-U-ED. FIS'!H56)</f>
        <v>0</v>
      </c>
      <c r="I58" s="175">
        <f>SUM('10ªCFB-U-FIS'!H56)</f>
        <v>0</v>
      </c>
      <c r="J58" s="175">
        <f>SUM('10ªCFB-U-QCA'!H56)</f>
        <v>5</v>
      </c>
      <c r="K58" s="175">
        <f>SUM('10ªCFB-U-BIOL'!H56)</f>
        <v>0</v>
      </c>
      <c r="L58" s="176">
        <f>SUM('10ªCFB-U-EMPREEND'!H56)</f>
        <v>0</v>
      </c>
      <c r="M58" s="89" t="s">
        <v>143</v>
      </c>
      <c r="N58" s="56">
        <f t="shared" si="3"/>
        <v>0.55555555555555558</v>
      </c>
      <c r="O58" s="114" t="s">
        <v>6</v>
      </c>
    </row>
    <row r="59" spans="1:15" ht="18" customHeight="1" thickBot="1" x14ac:dyDescent="0.35">
      <c r="A59" s="46">
        <v>49</v>
      </c>
      <c r="B59" s="120">
        <v>3769</v>
      </c>
      <c r="C59" s="123" t="s">
        <v>114</v>
      </c>
      <c r="D59" s="174">
        <f>SUM('10ªCFB-U-L PORT'!H57)</f>
        <v>2</v>
      </c>
      <c r="E59" s="175">
        <f>SUM('10ªCFB-U-INGLES'!H57)</f>
        <v>4.5</v>
      </c>
      <c r="F59" s="175">
        <f>SUM('10ªCFB-U-MAT'!H57)</f>
        <v>6</v>
      </c>
      <c r="G59" s="175">
        <f>SUM('10ªCFB-U-INFOR'!H57)</f>
        <v>6.5</v>
      </c>
      <c r="H59" s="175">
        <f>SUM('10ªCFB-U-ED. FIS'!H57)</f>
        <v>0</v>
      </c>
      <c r="I59" s="175">
        <f>SUM('10ªCFB-U-FIS'!H57)</f>
        <v>9.5</v>
      </c>
      <c r="J59" s="175">
        <f>SUM('10ªCFB-U-QCA'!H57)</f>
        <v>10</v>
      </c>
      <c r="K59" s="175">
        <f>SUM('10ªCFB-U-BIOL'!H57)</f>
        <v>9</v>
      </c>
      <c r="L59" s="176">
        <f>SUM('10ªCFB-U-EMPREEND'!H57)</f>
        <v>5</v>
      </c>
      <c r="M59" s="89" t="s">
        <v>8</v>
      </c>
      <c r="N59" s="56">
        <f t="shared" si="3"/>
        <v>5.833333333333333</v>
      </c>
      <c r="O59" s="114" t="s">
        <v>6</v>
      </c>
    </row>
    <row r="60" spans="1:15" ht="18" customHeight="1" thickBot="1" x14ac:dyDescent="0.35">
      <c r="A60" s="46">
        <v>50</v>
      </c>
      <c r="B60" s="118">
        <v>2231</v>
      </c>
      <c r="C60" s="123" t="s">
        <v>115</v>
      </c>
      <c r="D60" s="174">
        <f>SUM('10ªCFB-U-L PORT'!H58)</f>
        <v>13.25</v>
      </c>
      <c r="E60" s="175">
        <f>SUM('10ªCFB-U-INGLES'!H58)</f>
        <v>12</v>
      </c>
      <c r="F60" s="175">
        <f>SUM('10ªCFB-U-MAT'!H58)</f>
        <v>14</v>
      </c>
      <c r="G60" s="175">
        <f>SUM('10ªCFB-U-INFOR'!H58)</f>
        <v>11.5</v>
      </c>
      <c r="H60" s="175">
        <f>SUM('10ªCFB-U-ED. FIS'!H58)</f>
        <v>16</v>
      </c>
      <c r="I60" s="175">
        <f>SUM('10ªCFB-U-FIS'!H58)</f>
        <v>12.75</v>
      </c>
      <c r="J60" s="175">
        <f>SUM('10ªCFB-U-QCA'!H58)</f>
        <v>9.5</v>
      </c>
      <c r="K60" s="175">
        <f>SUM('10ªCFB-U-BIOL'!H58)</f>
        <v>18.5</v>
      </c>
      <c r="L60" s="176">
        <f>SUM('10ªCFB-U-EMPREEND'!H58)</f>
        <v>16.25</v>
      </c>
      <c r="M60" s="89" t="s">
        <v>7</v>
      </c>
      <c r="N60" s="177">
        <f t="shared" si="3"/>
        <v>13.75</v>
      </c>
      <c r="O60" s="114" t="s">
        <v>6</v>
      </c>
    </row>
    <row r="61" spans="1:15" ht="18" customHeight="1" thickBot="1" x14ac:dyDescent="0.35">
      <c r="A61" s="46">
        <v>51</v>
      </c>
      <c r="B61" s="118">
        <v>4638</v>
      </c>
      <c r="C61" s="123" t="s">
        <v>116</v>
      </c>
      <c r="D61" s="174">
        <f>SUM('10ªCFB-U-L PORT'!H59)</f>
        <v>0</v>
      </c>
      <c r="E61" s="175">
        <f>SUM('10ªCFB-U-INGLES'!H59)</f>
        <v>0</v>
      </c>
      <c r="F61" s="175">
        <f>SUM('10ªCFB-U-MAT'!H59)</f>
        <v>0</v>
      </c>
      <c r="G61" s="175">
        <f>SUM('10ªCFB-U-INFOR'!H59)</f>
        <v>0</v>
      </c>
      <c r="H61" s="175">
        <f>SUM('10ªCFB-U-ED. FIS'!H59)</f>
        <v>0</v>
      </c>
      <c r="I61" s="175">
        <f>SUM('10ªCFB-U-FIS'!H59)</f>
        <v>0</v>
      </c>
      <c r="J61" s="175">
        <f>SUM('10ªCFB-U-QCA'!H59)</f>
        <v>5</v>
      </c>
      <c r="K61" s="175">
        <f>SUM('10ªCFB-U-BIOL'!H59)</f>
        <v>0</v>
      </c>
      <c r="L61" s="176">
        <f>SUM('10ªCFB-U-EMPREEND'!H59)</f>
        <v>0</v>
      </c>
      <c r="M61" s="89" t="s">
        <v>143</v>
      </c>
      <c r="N61" s="56">
        <f t="shared" si="3"/>
        <v>0.55555555555555558</v>
      </c>
      <c r="O61" s="114" t="s">
        <v>6</v>
      </c>
    </row>
    <row r="62" spans="1:15" ht="18" customHeight="1" thickBot="1" x14ac:dyDescent="0.35">
      <c r="A62" s="46">
        <v>52</v>
      </c>
      <c r="B62" s="118">
        <v>4554</v>
      </c>
      <c r="C62" s="123" t="s">
        <v>117</v>
      </c>
      <c r="D62" s="174">
        <f>SUM('10ªCFB-U-L PORT'!H60)</f>
        <v>0</v>
      </c>
      <c r="E62" s="175">
        <f>SUM('10ªCFB-U-INGLES'!H60)</f>
        <v>0</v>
      </c>
      <c r="F62" s="175">
        <f>SUM('10ªCFB-U-MAT'!H60)</f>
        <v>5.5</v>
      </c>
      <c r="G62" s="175">
        <f>SUM('10ªCFB-U-INFOR'!H60)</f>
        <v>9.25</v>
      </c>
      <c r="H62" s="175">
        <f>SUM('10ªCFB-U-ED. FIS'!H60)</f>
        <v>7</v>
      </c>
      <c r="I62" s="175">
        <f>SUM('10ªCFB-U-FIS'!H60)</f>
        <v>0</v>
      </c>
      <c r="J62" s="175">
        <f>SUM('10ªCFB-U-QCA'!H60)</f>
        <v>9</v>
      </c>
      <c r="K62" s="175">
        <f>SUM('10ªCFB-U-BIOL'!H60)</f>
        <v>5</v>
      </c>
      <c r="L62" s="176">
        <f>SUM('10ªCFB-U-EMPREEND'!H60)</f>
        <v>14.5</v>
      </c>
      <c r="M62" s="89" t="s">
        <v>8</v>
      </c>
      <c r="N62" s="56">
        <f t="shared" si="3"/>
        <v>5.583333333333333</v>
      </c>
      <c r="O62" s="114" t="s">
        <v>6</v>
      </c>
    </row>
    <row r="63" spans="1:15" ht="18" customHeight="1" thickBot="1" x14ac:dyDescent="0.35">
      <c r="A63" s="46">
        <v>53</v>
      </c>
      <c r="B63" s="118">
        <v>4600</v>
      </c>
      <c r="C63" s="123" t="s">
        <v>118</v>
      </c>
      <c r="D63" s="174">
        <f>SUM('10ªCFB-U-L PORT'!H61)</f>
        <v>0</v>
      </c>
      <c r="E63" s="175">
        <f>SUM('10ªCFB-U-INGLES'!H61)</f>
        <v>0</v>
      </c>
      <c r="F63" s="175">
        <f>SUM('10ªCFB-U-MAT'!H61)</f>
        <v>7.5</v>
      </c>
      <c r="G63" s="175">
        <f>SUM('10ªCFB-U-INFOR'!H61)</f>
        <v>0</v>
      </c>
      <c r="H63" s="175">
        <f>SUM('10ªCFB-U-ED. FIS'!H61)</f>
        <v>0</v>
      </c>
      <c r="I63" s="175">
        <f>SUM('10ªCFB-U-FIS'!H61)</f>
        <v>6</v>
      </c>
      <c r="J63" s="175">
        <f>SUM('10ªCFB-U-QCA'!H61)</f>
        <v>5</v>
      </c>
      <c r="K63" s="175">
        <f>SUM('10ªCFB-U-BIOL'!H61)</f>
        <v>0</v>
      </c>
      <c r="L63" s="176">
        <f>SUM('10ªCFB-U-EMPREEND'!H61)</f>
        <v>0</v>
      </c>
      <c r="M63" s="89" t="s">
        <v>8</v>
      </c>
      <c r="N63" s="56">
        <f t="shared" si="3"/>
        <v>2.0555555555555554</v>
      </c>
      <c r="O63" s="114" t="s">
        <v>6</v>
      </c>
    </row>
    <row r="64" spans="1:15" ht="18" customHeight="1" thickBot="1" x14ac:dyDescent="0.35">
      <c r="A64" s="46">
        <v>54</v>
      </c>
      <c r="B64" s="119">
        <v>4731</v>
      </c>
      <c r="C64" s="124" t="s">
        <v>119</v>
      </c>
      <c r="D64" s="174">
        <f>SUM('10ªCFB-U-L PORT'!H62)</f>
        <v>5.25</v>
      </c>
      <c r="E64" s="175">
        <f>SUM('10ªCFB-U-INGLES'!H62)</f>
        <v>4</v>
      </c>
      <c r="F64" s="175">
        <f>SUM('10ªCFB-U-MAT'!H62)</f>
        <v>0</v>
      </c>
      <c r="G64" s="175">
        <f>SUM('10ªCFB-U-INFOR'!H62)</f>
        <v>5</v>
      </c>
      <c r="H64" s="175">
        <f>SUM('10ªCFB-U-ED. FIS'!H62)</f>
        <v>7</v>
      </c>
      <c r="I64" s="175">
        <f>SUM('10ªCFB-U-FIS'!H62)</f>
        <v>7.5</v>
      </c>
      <c r="J64" s="175">
        <f>SUM('10ªCFB-U-QCA'!H62)</f>
        <v>8</v>
      </c>
      <c r="K64" s="175">
        <f>SUM('10ªCFB-U-BIOL'!H62)</f>
        <v>6.5</v>
      </c>
      <c r="L64" s="176">
        <f>SUM('10ªCFB-U-EMPREEND'!H62)</f>
        <v>5.5</v>
      </c>
      <c r="M64" s="89" t="s">
        <v>8</v>
      </c>
      <c r="N64" s="56">
        <f t="shared" si="3"/>
        <v>5.416666666666667</v>
      </c>
      <c r="O64" s="115" t="s">
        <v>129</v>
      </c>
    </row>
    <row r="65" spans="1:15" ht="18" customHeight="1" thickBot="1" x14ac:dyDescent="0.35">
      <c r="A65" s="46">
        <v>55</v>
      </c>
      <c r="B65" s="118">
        <v>4668</v>
      </c>
      <c r="C65" s="123" t="s">
        <v>120</v>
      </c>
      <c r="D65" s="174">
        <f>SUM('10ªCFB-U-L PORT'!H63)</f>
        <v>9.5</v>
      </c>
      <c r="E65" s="175">
        <f>SUM('10ªCFB-U-INGLES'!H63)</f>
        <v>15</v>
      </c>
      <c r="F65" s="175">
        <f>SUM('10ªCFB-U-MAT'!H63)</f>
        <v>10</v>
      </c>
      <c r="G65" s="175">
        <f>SUM('10ªCFB-U-INFOR'!H63)</f>
        <v>11</v>
      </c>
      <c r="H65" s="175">
        <f>SUM('10ªCFB-U-ED. FIS'!H63)</f>
        <v>15</v>
      </c>
      <c r="I65" s="175">
        <f>SUM('10ªCFB-U-FIS'!H63)</f>
        <v>12</v>
      </c>
      <c r="J65" s="175">
        <f>SUM('10ªCFB-U-QCA'!H63)</f>
        <v>8</v>
      </c>
      <c r="K65" s="175">
        <f>SUM('10ªCFB-U-BIOL'!H63)</f>
        <v>11</v>
      </c>
      <c r="L65" s="176">
        <f>SUM('10ªCFB-U-EMPREEND'!H63)</f>
        <v>10</v>
      </c>
      <c r="M65" s="89" t="s">
        <v>8</v>
      </c>
      <c r="N65" s="56">
        <f t="shared" si="3"/>
        <v>11.277777777777779</v>
      </c>
      <c r="O65" s="114" t="s">
        <v>6</v>
      </c>
    </row>
    <row r="66" spans="1:15" ht="18" customHeight="1" thickBot="1" x14ac:dyDescent="0.35">
      <c r="A66" s="46">
        <v>56</v>
      </c>
      <c r="B66" s="118">
        <v>4682</v>
      </c>
      <c r="C66" s="123" t="s">
        <v>121</v>
      </c>
      <c r="D66" s="174">
        <f>SUM('10ªCFB-U-L PORT'!H64)</f>
        <v>10</v>
      </c>
      <c r="E66" s="175">
        <f>SUM('10ªCFB-U-INGLES'!H64)</f>
        <v>7.5</v>
      </c>
      <c r="F66" s="175">
        <f>SUM('10ªCFB-U-MAT'!H64)</f>
        <v>9</v>
      </c>
      <c r="G66" s="175">
        <f>SUM('10ªCFB-U-INFOR'!H64)</f>
        <v>6.75</v>
      </c>
      <c r="H66" s="175">
        <f>SUM('10ªCFB-U-ED. FIS'!H64)</f>
        <v>0</v>
      </c>
      <c r="I66" s="175">
        <f>SUM('10ªCFB-U-FIS'!H64)</f>
        <v>9</v>
      </c>
      <c r="J66" s="175">
        <f>SUM('10ªCFB-U-QCA'!H64)</f>
        <v>9.5</v>
      </c>
      <c r="K66" s="175">
        <f>SUM('10ªCFB-U-BIOL'!H64)</f>
        <v>9</v>
      </c>
      <c r="L66" s="176">
        <f>SUM('10ªCFB-U-EMPREEND'!H64)</f>
        <v>4.75</v>
      </c>
      <c r="M66" s="89" t="s">
        <v>8</v>
      </c>
      <c r="N66" s="56">
        <f t="shared" si="3"/>
        <v>7.2777777777777777</v>
      </c>
      <c r="O66" s="114" t="s">
        <v>6</v>
      </c>
    </row>
    <row r="67" spans="1:15" ht="18" customHeight="1" thickBot="1" x14ac:dyDescent="0.35">
      <c r="A67" s="46">
        <v>57</v>
      </c>
      <c r="B67" s="118">
        <v>4275</v>
      </c>
      <c r="C67" s="123" t="s">
        <v>122</v>
      </c>
      <c r="D67" s="174">
        <f>SUM('10ªCFB-U-L PORT'!H65)</f>
        <v>0</v>
      </c>
      <c r="E67" s="175">
        <f>SUM('10ªCFB-U-INGLES'!H65)</f>
        <v>0</v>
      </c>
      <c r="F67" s="175">
        <f>SUM('10ªCFB-U-MAT'!H65)</f>
        <v>0</v>
      </c>
      <c r="G67" s="175">
        <f>SUM('10ªCFB-U-INFOR'!H65)</f>
        <v>0</v>
      </c>
      <c r="H67" s="175">
        <f>SUM('10ªCFB-U-ED. FIS'!H65)</f>
        <v>0</v>
      </c>
      <c r="I67" s="175">
        <f>SUM('10ªCFB-U-FIS'!H65)</f>
        <v>0</v>
      </c>
      <c r="J67" s="175">
        <f>SUM('10ªCFB-U-QCA'!H65)</f>
        <v>5</v>
      </c>
      <c r="K67" s="175">
        <f>SUM('10ªCFB-U-BIOL'!H65)</f>
        <v>0</v>
      </c>
      <c r="L67" s="176">
        <f>SUM('10ªCFB-U-EMPREEND'!H65)</f>
        <v>0</v>
      </c>
      <c r="M67" s="89" t="s">
        <v>144</v>
      </c>
      <c r="N67" s="56">
        <f t="shared" si="3"/>
        <v>0.55555555555555558</v>
      </c>
      <c r="O67" s="114" t="s">
        <v>5</v>
      </c>
    </row>
    <row r="68" spans="1:15" ht="18" customHeight="1" thickBot="1" x14ac:dyDescent="0.35">
      <c r="A68" s="46">
        <v>58</v>
      </c>
      <c r="B68" s="118">
        <v>4614</v>
      </c>
      <c r="C68" s="123" t="s">
        <v>123</v>
      </c>
      <c r="D68" s="174">
        <f>SUM('10ªCFB-U-L PORT'!H66)</f>
        <v>11.75</v>
      </c>
      <c r="E68" s="175">
        <f>SUM('10ªCFB-U-INGLES'!H66)</f>
        <v>8.5</v>
      </c>
      <c r="F68" s="175">
        <f>SUM('10ªCFB-U-MAT'!H66)</f>
        <v>6.5</v>
      </c>
      <c r="G68" s="175">
        <f>SUM('10ªCFB-U-INFOR'!H66)</f>
        <v>11.15</v>
      </c>
      <c r="H68" s="175">
        <f>SUM('10ªCFB-U-ED. FIS'!H66)</f>
        <v>8</v>
      </c>
      <c r="I68" s="175">
        <f>SUM('10ªCFB-U-FIS'!H66)</f>
        <v>8.75</v>
      </c>
      <c r="J68" s="175">
        <f>SUM('10ªCFB-U-QCA'!H66)</f>
        <v>10.5</v>
      </c>
      <c r="K68" s="175">
        <f>SUM('10ªCFB-U-BIOL'!H66)</f>
        <v>7.5</v>
      </c>
      <c r="L68" s="176">
        <f>SUM('10ªCFB-U-EMPREEND'!H66)</f>
        <v>13.25</v>
      </c>
      <c r="M68" s="89" t="s">
        <v>8</v>
      </c>
      <c r="N68" s="56">
        <f t="shared" si="3"/>
        <v>9.5444444444444443</v>
      </c>
      <c r="O68" s="114" t="s">
        <v>6</v>
      </c>
    </row>
    <row r="69" spans="1:15" ht="18" customHeight="1" thickBot="1" x14ac:dyDescent="0.35">
      <c r="A69" s="46">
        <v>59</v>
      </c>
      <c r="B69" s="118">
        <v>4544</v>
      </c>
      <c r="C69" s="123" t="s">
        <v>124</v>
      </c>
      <c r="D69" s="174">
        <f>SUM('10ªCFB-U-L PORT'!H67)</f>
        <v>7.5</v>
      </c>
      <c r="E69" s="175">
        <f>SUM('10ªCFB-U-INGLES'!H67)</f>
        <v>13</v>
      </c>
      <c r="F69" s="175">
        <f>SUM('10ªCFB-U-MAT'!H67)</f>
        <v>10.5</v>
      </c>
      <c r="G69" s="175">
        <f>SUM('10ªCFB-U-INFOR'!H67)</f>
        <v>11.15</v>
      </c>
      <c r="H69" s="175">
        <f>SUM('10ªCFB-U-ED. FIS'!H67)</f>
        <v>16</v>
      </c>
      <c r="I69" s="175">
        <f>SUM('10ªCFB-U-FIS'!H67)</f>
        <v>6</v>
      </c>
      <c r="J69" s="175">
        <f>SUM('10ªCFB-U-QCA'!H67)</f>
        <v>10</v>
      </c>
      <c r="K69" s="175">
        <f>SUM('10ªCFB-U-BIOL'!H67)</f>
        <v>11</v>
      </c>
      <c r="L69" s="176">
        <f>SUM('10ªCFB-U-EMPREEND'!H67)</f>
        <v>10.5</v>
      </c>
      <c r="M69" s="89" t="s">
        <v>8</v>
      </c>
      <c r="N69" s="56">
        <f t="shared" si="3"/>
        <v>10.627777777777778</v>
      </c>
      <c r="O69" s="114" t="s">
        <v>5</v>
      </c>
    </row>
    <row r="70" spans="1:15" ht="18" customHeight="1" thickBot="1" x14ac:dyDescent="0.35">
      <c r="A70" s="46">
        <v>60</v>
      </c>
      <c r="B70" s="119">
        <v>4734</v>
      </c>
      <c r="C70" s="124" t="s">
        <v>125</v>
      </c>
      <c r="D70" s="174">
        <f>SUM('10ªCFB-U-L PORT'!H68)</f>
        <v>0</v>
      </c>
      <c r="E70" s="175">
        <f>SUM('10ªCFB-U-INGLES'!H68)</f>
        <v>5.5</v>
      </c>
      <c r="F70" s="175">
        <f>SUM('10ªCFB-U-MAT'!H68)</f>
        <v>7.5</v>
      </c>
      <c r="G70" s="175">
        <f>SUM('10ªCFB-U-INFOR'!H68)</f>
        <v>11</v>
      </c>
      <c r="H70" s="175">
        <f>SUM('10ªCFB-U-ED. FIS'!H68)</f>
        <v>0</v>
      </c>
      <c r="I70" s="175">
        <f>SUM('10ªCFB-U-FIS'!H68)</f>
        <v>0</v>
      </c>
      <c r="J70" s="175">
        <f>SUM('10ªCFB-U-QCA'!H68)</f>
        <v>5</v>
      </c>
      <c r="K70" s="175">
        <f>SUM('10ªCFB-U-BIOL'!H68)</f>
        <v>0</v>
      </c>
      <c r="L70" s="176">
        <f>SUM('10ªCFB-U-EMPREEND'!H68)</f>
        <v>0</v>
      </c>
      <c r="M70" s="89" t="s">
        <v>8</v>
      </c>
      <c r="N70" s="56">
        <f t="shared" si="3"/>
        <v>3.2222222222222223</v>
      </c>
      <c r="O70" s="115" t="s">
        <v>6</v>
      </c>
    </row>
    <row r="71" spans="1:15" ht="18" customHeight="1" thickBot="1" x14ac:dyDescent="0.35">
      <c r="A71" s="46">
        <v>61</v>
      </c>
      <c r="B71" s="118">
        <v>4656</v>
      </c>
      <c r="C71" s="123" t="s">
        <v>126</v>
      </c>
      <c r="D71" s="174">
        <f>SUM('10ªCFB-U-L PORT'!H69)</f>
        <v>0</v>
      </c>
      <c r="E71" s="175">
        <f>SUM('10ªCFB-U-INGLES'!H69)</f>
        <v>0</v>
      </c>
      <c r="F71" s="175">
        <f>SUM('10ªCFB-U-MAT'!H69)</f>
        <v>0</v>
      </c>
      <c r="G71" s="175">
        <f>SUM('10ªCFB-U-INFOR'!H69)</f>
        <v>0</v>
      </c>
      <c r="H71" s="175">
        <f>SUM('10ªCFB-U-ED. FIS'!H69)</f>
        <v>0</v>
      </c>
      <c r="I71" s="175">
        <f>SUM('10ªCFB-U-FIS'!H69)</f>
        <v>0</v>
      </c>
      <c r="J71" s="175">
        <f>SUM('10ªCFB-U-QCA'!H69)</f>
        <v>5</v>
      </c>
      <c r="K71" s="175">
        <f>SUM('10ªCFB-U-BIOL'!H69)</f>
        <v>0</v>
      </c>
      <c r="L71" s="176">
        <f>SUM('10ªCFB-U-EMPREEND'!H69)</f>
        <v>0</v>
      </c>
      <c r="M71" s="89" t="s">
        <v>143</v>
      </c>
      <c r="N71" s="56">
        <f t="shared" si="3"/>
        <v>0.55555555555555558</v>
      </c>
      <c r="O71" s="114" t="s">
        <v>6</v>
      </c>
    </row>
    <row r="72" spans="1:15" ht="18" customHeight="1" thickBot="1" x14ac:dyDescent="0.35">
      <c r="A72" s="46">
        <v>62</v>
      </c>
      <c r="B72" s="118">
        <v>4618</v>
      </c>
      <c r="C72" s="123" t="s">
        <v>127</v>
      </c>
      <c r="D72" s="174">
        <f>SUM('10ªCFB-U-L PORT'!H70)</f>
        <v>6.5</v>
      </c>
      <c r="E72" s="175">
        <f>SUM('10ªCFB-U-INGLES'!H70)</f>
        <v>4</v>
      </c>
      <c r="F72" s="175">
        <f>SUM('10ªCFB-U-MAT'!H70)</f>
        <v>7</v>
      </c>
      <c r="G72" s="175">
        <f>SUM('10ªCFB-U-INFOR'!H70)</f>
        <v>6</v>
      </c>
      <c r="H72" s="175">
        <f>SUM('10ªCFB-U-ED. FIS'!H70)</f>
        <v>0</v>
      </c>
      <c r="I72" s="175">
        <f>SUM('10ªCFB-U-FIS'!H70)</f>
        <v>4</v>
      </c>
      <c r="J72" s="175">
        <f>SUM('10ªCFB-U-QCA'!H70)</f>
        <v>5</v>
      </c>
      <c r="K72" s="175">
        <f>SUM('10ªCFB-U-BIOL'!H70)</f>
        <v>0</v>
      </c>
      <c r="L72" s="176">
        <f>SUM('10ªCFB-U-EMPREEND'!H70)</f>
        <v>5</v>
      </c>
      <c r="M72" s="89" t="s">
        <v>8</v>
      </c>
      <c r="N72" s="56">
        <f t="shared" si="3"/>
        <v>4.166666666666667</v>
      </c>
      <c r="O72" s="114" t="s">
        <v>5</v>
      </c>
    </row>
    <row r="73" spans="1:15" ht="18" customHeight="1" thickBot="1" x14ac:dyDescent="0.35">
      <c r="A73" s="46">
        <v>63</v>
      </c>
      <c r="B73" s="121">
        <v>4556</v>
      </c>
      <c r="C73" s="125" t="s">
        <v>128</v>
      </c>
      <c r="D73" s="174">
        <f>SUM('10ªCFB-U-L PORT'!H71)</f>
        <v>16.75</v>
      </c>
      <c r="E73" s="175">
        <f>SUM('10ªCFB-U-INGLES'!H71)</f>
        <v>16.5</v>
      </c>
      <c r="F73" s="175">
        <f>SUM('10ªCFB-U-MAT'!H71)</f>
        <v>8</v>
      </c>
      <c r="G73" s="175">
        <f>SUM('10ªCFB-U-INFOR'!H71)</f>
        <v>12.75</v>
      </c>
      <c r="H73" s="175">
        <f>SUM('10ªCFB-U-ED. FIS'!H71)</f>
        <v>15</v>
      </c>
      <c r="I73" s="175">
        <f>SUM('10ªCFB-U-FIS'!H71)</f>
        <v>11.5</v>
      </c>
      <c r="J73" s="175">
        <f>SUM('10ªCFB-U-QCA'!H71)</f>
        <v>11</v>
      </c>
      <c r="K73" s="175">
        <f>SUM('10ªCFB-U-BIOL'!H71)</f>
        <v>14</v>
      </c>
      <c r="L73" s="176">
        <f>SUM('10ªCFB-U-EMPREEND'!H71)</f>
        <v>15</v>
      </c>
      <c r="M73" s="91" t="s">
        <v>8</v>
      </c>
      <c r="N73" s="57">
        <f t="shared" si="3"/>
        <v>13.388888888888889</v>
      </c>
      <c r="O73" s="116" t="s">
        <v>6</v>
      </c>
    </row>
    <row r="74" spans="1:15" ht="6" customHeight="1" x14ac:dyDescent="0.3">
      <c r="A74" s="11"/>
      <c r="B74" s="11"/>
      <c r="C74" s="12"/>
      <c r="D74" s="13"/>
      <c r="E74" s="13"/>
      <c r="F74" s="13"/>
      <c r="G74" s="13"/>
      <c r="H74" s="13"/>
      <c r="I74" s="13"/>
      <c r="J74" s="13"/>
      <c r="K74" s="13"/>
      <c r="L74" s="13"/>
      <c r="M74" s="14"/>
      <c r="N74" s="14"/>
    </row>
    <row r="75" spans="1:15" ht="13.5" customHeight="1" x14ac:dyDescent="0.3">
      <c r="A75" s="240" t="s">
        <v>60</v>
      </c>
      <c r="B75" s="240"/>
      <c r="C75" s="240"/>
      <c r="D75" s="240"/>
      <c r="E75" s="240"/>
      <c r="F75" s="240"/>
      <c r="G75" s="240"/>
      <c r="H75" s="240"/>
      <c r="I75" s="240"/>
      <c r="J75" s="240"/>
      <c r="K75" s="240"/>
      <c r="L75" s="240"/>
      <c r="M75" s="240"/>
      <c r="N75" s="52"/>
    </row>
    <row r="76" spans="1:15" ht="13.5" customHeight="1" x14ac:dyDescent="0.3">
      <c r="A76" s="15"/>
      <c r="B76" s="2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25"/>
    </row>
    <row r="77" spans="1:15" ht="13.5" customHeight="1" x14ac:dyDescent="0.3">
      <c r="A77" s="15"/>
      <c r="B77" s="2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25"/>
    </row>
    <row r="78" spans="1:15" ht="14.25" customHeight="1" x14ac:dyDescent="0.3">
      <c r="A78" s="241" t="s">
        <v>63</v>
      </c>
      <c r="B78" s="241"/>
      <c r="C78" s="241"/>
      <c r="D78" s="241"/>
      <c r="E78" s="241"/>
      <c r="F78" s="16"/>
      <c r="G78" s="16"/>
      <c r="H78" s="16"/>
      <c r="I78" s="16"/>
      <c r="J78" s="16"/>
      <c r="K78" s="241" t="s">
        <v>9</v>
      </c>
      <c r="L78" s="241"/>
      <c r="M78" s="241"/>
      <c r="N78" s="53"/>
    </row>
    <row r="79" spans="1:15" ht="8.25" customHeight="1" x14ac:dyDescent="0.3">
      <c r="A79" s="242" t="s">
        <v>10</v>
      </c>
      <c r="B79" s="242"/>
      <c r="C79" s="242"/>
      <c r="D79" s="242"/>
      <c r="E79" s="242"/>
      <c r="F79" s="16"/>
      <c r="G79" s="16"/>
      <c r="H79" s="16"/>
      <c r="I79" s="16"/>
      <c r="J79" s="16"/>
      <c r="K79" s="243" t="s">
        <v>11</v>
      </c>
      <c r="L79" s="242"/>
      <c r="M79" s="242"/>
      <c r="N79" s="54"/>
    </row>
    <row r="80" spans="1:15" ht="15.6" x14ac:dyDescent="0.3">
      <c r="A80" s="238" t="s">
        <v>64</v>
      </c>
      <c r="B80" s="238"/>
      <c r="C80" s="238"/>
      <c r="D80" s="238"/>
      <c r="E80" s="238"/>
      <c r="K80" s="239" t="s">
        <v>24</v>
      </c>
      <c r="L80" s="239"/>
      <c r="M80" s="239"/>
      <c r="N80" s="51"/>
    </row>
  </sheetData>
  <mergeCells count="30">
    <mergeCell ref="Q19:Q20"/>
    <mergeCell ref="A80:E80"/>
    <mergeCell ref="K80:M80"/>
    <mergeCell ref="A75:M75"/>
    <mergeCell ref="A78:E78"/>
    <mergeCell ref="K78:M78"/>
    <mergeCell ref="A79:E79"/>
    <mergeCell ref="K79:M79"/>
    <mergeCell ref="A1:M1"/>
    <mergeCell ref="A7:M7"/>
    <mergeCell ref="A9:A10"/>
    <mergeCell ref="C9:C10"/>
    <mergeCell ref="D9:L9"/>
    <mergeCell ref="M9:M10"/>
    <mergeCell ref="B9:B10"/>
    <mergeCell ref="A8:M8"/>
    <mergeCell ref="N9:N10"/>
    <mergeCell ref="Q16:Q17"/>
    <mergeCell ref="R16:R17"/>
    <mergeCell ref="Q18:S18"/>
    <mergeCell ref="T18:X18"/>
    <mergeCell ref="T13:U13"/>
    <mergeCell ref="V13:W13"/>
    <mergeCell ref="P9:W9"/>
    <mergeCell ref="P10:Q10"/>
    <mergeCell ref="R10:S10"/>
    <mergeCell ref="T10:U10"/>
    <mergeCell ref="V10:W10"/>
    <mergeCell ref="P13:Q13"/>
    <mergeCell ref="R13:S13"/>
  </mergeCells>
  <conditionalFormatting sqref="D11:L74">
    <cfRule type="cellIs" dxfId="293" priority="24" stopIfTrue="1" operator="lessThan">
      <formula>9.49</formula>
    </cfRule>
    <cfRule type="cellIs" dxfId="292" priority="25" stopIfTrue="1" operator="greaterThanOrEqual">
      <formula>9.5</formula>
    </cfRule>
  </conditionalFormatting>
  <conditionalFormatting sqref="T12:W13">
    <cfRule type="cellIs" dxfId="291" priority="23" stopIfTrue="1" operator="greaterThanOrEqual">
      <formula>0.1</formula>
    </cfRule>
  </conditionalFormatting>
  <conditionalFormatting sqref="T12:W13">
    <cfRule type="cellIs" dxfId="290" priority="22" stopIfTrue="1" operator="equal">
      <formula>0</formula>
    </cfRule>
  </conditionalFormatting>
  <conditionalFormatting sqref="R12:S13">
    <cfRule type="cellIs" dxfId="289" priority="21" stopIfTrue="1" operator="greaterThanOrEqual">
      <formula>0</formula>
    </cfRule>
  </conditionalFormatting>
  <conditionalFormatting sqref="M12:M35 M39:M73">
    <cfRule type="cellIs" dxfId="288" priority="19" stopIfTrue="1" operator="equal">
      <formula>"N/TRANSITA"</formula>
    </cfRule>
    <cfRule type="cellIs" dxfId="287" priority="20" stopIfTrue="1" operator="equal">
      <formula>"TRANSITA"</formula>
    </cfRule>
  </conditionalFormatting>
  <conditionalFormatting sqref="N11:N73">
    <cfRule type="cellIs" dxfId="286" priority="5" stopIfTrue="1" operator="lessThanOrEqual">
      <formula>9.9</formula>
    </cfRule>
    <cfRule type="cellIs" dxfId="285" priority="6" stopIfTrue="1" operator="greaterThanOrEqual">
      <formula>10</formula>
    </cfRule>
  </conditionalFormatting>
  <conditionalFormatting sqref="M36:M37">
    <cfRule type="cellIs" dxfId="284" priority="1" stopIfTrue="1" operator="equal">
      <formula>"N/TRANSITA"</formula>
    </cfRule>
    <cfRule type="cellIs" dxfId="283" priority="2" stopIfTrue="1" operator="equal">
      <formula>"TRANSITA"</formula>
    </cfRule>
  </conditionalFormatting>
  <pageMargins left="0.29803921568627451" right="0.14901960784313725" top="0.42843137254901958" bottom="0.27009803921568626" header="0.35433070866141736" footer="0.31496062992125984"/>
  <pageSetup paperSize="9" scale="94" orientation="portrait" horizontalDpi="4294967293" verticalDpi="4294967293" r:id="rId1"/>
  <colBreaks count="1" manualBreakCount="1">
    <brk id="14" max="1048575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" stopIfTrue="1" operator="containsText" id="{F6B0EB12-D3EF-434C-857A-A8F6BE376D57}">
            <xm:f>NOT(ISERROR(SEARCH("N/TRANSITA",M11)))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10" stopIfTrue="1" operator="containsText" id="{EFF6449E-1667-4969-A05E-AA70771FC7EA}">
            <xm:f>NOT(ISERROR(SEARCH("TRANSITA",M11)))</xm:f>
            <xm:f>"TRANSITA"</xm:f>
            <x14:dxf>
              <font>
                <b/>
                <i val="0"/>
                <color rgb="FF0000FF"/>
              </font>
            </x14:dxf>
          </x14:cfRule>
          <xm:sqref>M11</xm:sqref>
        </x14:conditionalFormatting>
        <x14:conditionalFormatting xmlns:xm="http://schemas.microsoft.com/office/excel/2006/main">
          <x14:cfRule type="containsText" priority="7" stopIfTrue="1" operator="containsText" id="{0FE96EDE-9216-47BE-893A-0D1737F5D24C}">
            <xm:f>NOT(ISERROR(SEARCH("N/TRANSITA",M38)))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8" stopIfTrue="1" operator="containsText" id="{10CE952C-9911-47DE-9234-F1DFF6639B2E}">
            <xm:f>NOT(ISERROR(SEARCH("TRANSITA",M38)))</xm:f>
            <xm:f>"TRANSITA"</xm:f>
            <x14:dxf>
              <font>
                <b/>
                <i val="0"/>
                <color rgb="FF0000FF"/>
              </font>
            </x14:dxf>
          </x14:cfRule>
          <xm:sqref>M38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80"/>
  <sheetViews>
    <sheetView showGridLines="0" tabSelected="1" topLeftCell="A7" zoomScale="85" zoomScaleNormal="85" zoomScalePageLayoutView="80" workbookViewId="0">
      <selection activeCell="M74" sqref="M74"/>
    </sheetView>
  </sheetViews>
  <sheetFormatPr defaultColWidth="9.109375" defaultRowHeight="14.4" x14ac:dyDescent="0.3"/>
  <cols>
    <col min="1" max="1" width="4.5546875" style="1" customWidth="1"/>
    <col min="2" max="2" width="9.33203125" style="1" customWidth="1"/>
    <col min="3" max="3" width="33.6640625" style="1" customWidth="1"/>
    <col min="4" max="4" width="10.109375" style="1" customWidth="1"/>
    <col min="5" max="12" width="7.109375" style="1" customWidth="1"/>
    <col min="13" max="13" width="13.33203125" style="1" customWidth="1"/>
    <col min="14" max="14" width="7.33203125" style="1" customWidth="1"/>
    <col min="15" max="17" width="9.109375" style="1"/>
    <col min="18" max="23" width="9.44140625" style="1" bestFit="1" customWidth="1"/>
    <col min="24" max="16384" width="9.109375" style="1"/>
  </cols>
  <sheetData>
    <row r="1" spans="1:23" ht="36" customHeight="1" x14ac:dyDescent="0.3">
      <c r="A1" s="220" t="s">
        <v>46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180"/>
    </row>
    <row r="2" spans="1:23" ht="9.6" customHeight="1" x14ac:dyDescent="0.3">
      <c r="A2" s="2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23" ht="9.6" customHeight="1" x14ac:dyDescent="0.3">
      <c r="A3" s="4"/>
      <c r="B3" s="4"/>
      <c r="C3" s="5" t="s">
        <v>0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23" ht="11.4" customHeight="1" x14ac:dyDescent="0.3">
      <c r="A4" s="7"/>
      <c r="B4" s="7"/>
      <c r="C4" s="8" t="s">
        <v>34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23" ht="8.25" customHeight="1" x14ac:dyDescent="0.3">
      <c r="A5" s="7"/>
      <c r="B5" s="7"/>
      <c r="C5" s="9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23" ht="12.75" customHeight="1" x14ac:dyDescent="0.3">
      <c r="A6" s="7"/>
      <c r="B6" s="7"/>
      <c r="C6" s="10" t="s">
        <v>12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23" ht="24" customHeight="1" x14ac:dyDescent="0.3">
      <c r="A7" s="221" t="s">
        <v>146</v>
      </c>
      <c r="B7" s="222"/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4"/>
      <c r="N7" s="130"/>
      <c r="P7" s="27"/>
      <c r="Q7" s="27"/>
      <c r="R7" s="27"/>
      <c r="S7" s="27"/>
      <c r="T7" s="27"/>
    </row>
    <row r="8" spans="1:23" ht="28.5" customHeight="1" thickBot="1" x14ac:dyDescent="0.45">
      <c r="A8" s="233" t="s">
        <v>62</v>
      </c>
      <c r="B8" s="234"/>
      <c r="C8" s="234"/>
      <c r="D8" s="234"/>
      <c r="E8" s="234"/>
      <c r="F8" s="234"/>
      <c r="G8" s="234"/>
      <c r="H8" s="234"/>
      <c r="I8" s="234"/>
      <c r="J8" s="234"/>
      <c r="K8" s="234"/>
      <c r="L8" s="234"/>
      <c r="M8" s="235"/>
      <c r="N8" s="130"/>
      <c r="P8" s="27"/>
      <c r="Q8" s="27"/>
      <c r="R8" s="27"/>
      <c r="S8" s="27"/>
      <c r="T8" s="27"/>
    </row>
    <row r="9" spans="1:23" ht="12.75" customHeight="1" x14ac:dyDescent="0.3">
      <c r="A9" s="225" t="s">
        <v>25</v>
      </c>
      <c r="B9" s="225" t="s">
        <v>26</v>
      </c>
      <c r="C9" s="225" t="s">
        <v>1</v>
      </c>
      <c r="D9" s="228" t="s">
        <v>2</v>
      </c>
      <c r="E9" s="229"/>
      <c r="F9" s="229"/>
      <c r="G9" s="229"/>
      <c r="H9" s="229"/>
      <c r="I9" s="229"/>
      <c r="J9" s="229"/>
      <c r="K9" s="229"/>
      <c r="L9" s="230"/>
      <c r="M9" s="231" t="s">
        <v>3</v>
      </c>
      <c r="N9" s="205" t="s">
        <v>52</v>
      </c>
      <c r="O9" s="58"/>
      <c r="P9" s="214" t="s">
        <v>35</v>
      </c>
      <c r="Q9" s="214"/>
      <c r="R9" s="214"/>
      <c r="S9" s="214"/>
      <c r="T9" s="214"/>
      <c r="U9" s="214"/>
      <c r="V9" s="214"/>
      <c r="W9" s="214"/>
    </row>
    <row r="10" spans="1:23" ht="22.8" thickBot="1" x14ac:dyDescent="0.35">
      <c r="A10" s="226"/>
      <c r="B10" s="227"/>
      <c r="C10" s="227"/>
      <c r="D10" s="165" t="s">
        <v>138</v>
      </c>
      <c r="E10" s="166" t="s">
        <v>130</v>
      </c>
      <c r="F10" s="166" t="s">
        <v>131</v>
      </c>
      <c r="G10" s="166" t="s">
        <v>132</v>
      </c>
      <c r="H10" s="167" t="s">
        <v>133</v>
      </c>
      <c r="I10" s="167" t="s">
        <v>134</v>
      </c>
      <c r="J10" s="167" t="s">
        <v>135</v>
      </c>
      <c r="K10" s="167" t="s">
        <v>136</v>
      </c>
      <c r="L10" s="168" t="s">
        <v>137</v>
      </c>
      <c r="M10" s="232"/>
      <c r="N10" s="206"/>
      <c r="O10" s="59" t="s">
        <v>4</v>
      </c>
      <c r="P10" s="214" t="s">
        <v>36</v>
      </c>
      <c r="Q10" s="214"/>
      <c r="R10" s="215" t="s">
        <v>7</v>
      </c>
      <c r="S10" s="215"/>
      <c r="T10" s="216" t="s">
        <v>8</v>
      </c>
      <c r="U10" s="216"/>
      <c r="V10" s="217" t="s">
        <v>37</v>
      </c>
      <c r="W10" s="217"/>
    </row>
    <row r="11" spans="1:23" ht="18" customHeight="1" thickTop="1" thickBot="1" x14ac:dyDescent="0.35">
      <c r="A11" s="45">
        <v>1</v>
      </c>
      <c r="B11" s="117">
        <v>4562</v>
      </c>
      <c r="C11" s="122" t="s">
        <v>69</v>
      </c>
      <c r="D11" s="171">
        <f>SUM('10ªCFB-U-L PORT'!M9)</f>
        <v>10</v>
      </c>
      <c r="E11" s="172">
        <f>SUM('10ªCFB-U-INGLES'!M9)</f>
        <v>14</v>
      </c>
      <c r="F11" s="172">
        <f>SUM('10ªCFB-U-MAT'!M9)</f>
        <v>13</v>
      </c>
      <c r="G11" s="172">
        <f>SUM('10ªCFB-U-INFOR'!M9)</f>
        <v>16.25</v>
      </c>
      <c r="H11" s="172">
        <f>SUM('10ªCFB-U-ED. FIS'!M9)</f>
        <v>15</v>
      </c>
      <c r="I11" s="172">
        <f>SUM('10ªCFB-U-FIS'!M9)</f>
        <v>10</v>
      </c>
      <c r="J11" s="172">
        <f>SUM('10ªCFB-U-QCA'!M9)</f>
        <v>13.5</v>
      </c>
      <c r="K11" s="172">
        <f>SUM('10ªCFB-U-BIOL'!M9)</f>
        <v>16.5</v>
      </c>
      <c r="L11" s="173">
        <f>SUM('10ªCFB-U-EMPREEND'!M9)</f>
        <v>7.5</v>
      </c>
      <c r="M11" s="72" t="s">
        <v>8</v>
      </c>
      <c r="N11" s="55">
        <f t="shared" ref="N11:N73" si="0">AVERAGE(D11:L11)</f>
        <v>12.861111111111111</v>
      </c>
      <c r="O11" s="113" t="s">
        <v>6</v>
      </c>
      <c r="P11" s="47" t="s">
        <v>5</v>
      </c>
      <c r="Q11" s="179" t="s">
        <v>6</v>
      </c>
      <c r="R11" s="28" t="s">
        <v>5</v>
      </c>
      <c r="S11" s="28" t="s">
        <v>6</v>
      </c>
      <c r="T11" s="28" t="s">
        <v>5</v>
      </c>
      <c r="U11" s="28" t="s">
        <v>6</v>
      </c>
      <c r="V11" s="28" t="s">
        <v>5</v>
      </c>
      <c r="W11" s="28" t="s">
        <v>6</v>
      </c>
    </row>
    <row r="12" spans="1:23" ht="18" customHeight="1" thickBot="1" x14ac:dyDescent="0.35">
      <c r="A12" s="46">
        <v>2</v>
      </c>
      <c r="B12" s="118">
        <v>4637</v>
      </c>
      <c r="C12" s="123" t="s">
        <v>70</v>
      </c>
      <c r="D12" s="174">
        <f>SUM('10ªCFB-U-L PORT'!M10)</f>
        <v>11</v>
      </c>
      <c r="E12" s="175">
        <f>SUM('10ªCFB-U-INGLES'!M10)</f>
        <v>11</v>
      </c>
      <c r="F12" s="175">
        <f>SUM('10ªCFB-U-MAT'!M10)</f>
        <v>13.5</v>
      </c>
      <c r="G12" s="175">
        <f>SUM('10ªCFB-U-INFOR'!M10)</f>
        <v>11</v>
      </c>
      <c r="H12" s="175">
        <f>SUM('10ªCFB-U-ED. FIS'!M10)</f>
        <v>0</v>
      </c>
      <c r="I12" s="175">
        <f>SUM('10ªCFB-U-FIS'!M10)</f>
        <v>7.75</v>
      </c>
      <c r="J12" s="175">
        <f>SUM('10ªCFB-U-QCA'!M10)</f>
        <v>5.5</v>
      </c>
      <c r="K12" s="175">
        <f>SUM('10ªCFB-U-BIOL'!M10)</f>
        <v>15</v>
      </c>
      <c r="L12" s="176">
        <f>SUM('10ªCFB-U-EMPREEND'!M10)</f>
        <v>8.5</v>
      </c>
      <c r="M12" s="89" t="s">
        <v>8</v>
      </c>
      <c r="N12" s="56">
        <f t="shared" si="0"/>
        <v>9.25</v>
      </c>
      <c r="O12" s="114" t="s">
        <v>6</v>
      </c>
      <c r="P12" s="48">
        <f>COUNTIF(O11:O73,"M")</f>
        <v>11</v>
      </c>
      <c r="Q12" s="29">
        <f>COUNTIF(O11:O73,"F")</f>
        <v>52</v>
      </c>
      <c r="R12" s="30">
        <f>COUNTIFS(M11:M73,"Transita",O11:O73,"M")</f>
        <v>0</v>
      </c>
      <c r="S12" s="30">
        <f>COUNTIFS(M11:M73,"Transita",O11:O73,"F")</f>
        <v>1</v>
      </c>
      <c r="T12" s="30">
        <f>COUNTIFS(M11:M73,"N/Transita",O11:O73,"M")</f>
        <v>8</v>
      </c>
      <c r="U12" s="30">
        <f>COUNTIFS(M11:M73,"N/Transita",O11:O73,"F")</f>
        <v>28</v>
      </c>
      <c r="V12" s="30">
        <f>COUNTIFS(M11:M73,"DESISTIDO",O11:O73,"M")</f>
        <v>3</v>
      </c>
      <c r="W12" s="30">
        <f>COUNTIFS(M11:M73,"DESISTIDA",O11:O73,"F")</f>
        <v>23</v>
      </c>
    </row>
    <row r="13" spans="1:23" ht="18" customHeight="1" thickBot="1" x14ac:dyDescent="0.35">
      <c r="A13" s="46">
        <v>3</v>
      </c>
      <c r="B13" s="118">
        <v>4538</v>
      </c>
      <c r="C13" s="123" t="s">
        <v>71</v>
      </c>
      <c r="D13" s="174">
        <f>SUM('10ªCFB-U-L PORT'!M11)</f>
        <v>10</v>
      </c>
      <c r="E13" s="175">
        <f>SUM('10ªCFB-U-INGLES'!M11)</f>
        <v>11</v>
      </c>
      <c r="F13" s="175">
        <f>SUM('10ªCFB-U-MAT'!M11)</f>
        <v>10</v>
      </c>
      <c r="G13" s="175">
        <f>SUM('10ªCFB-U-INFOR'!M11)</f>
        <v>13</v>
      </c>
      <c r="H13" s="175">
        <f>SUM('10ªCFB-U-ED. FIS'!M11)</f>
        <v>16</v>
      </c>
      <c r="I13" s="175">
        <f>SUM('10ªCFB-U-FIS'!M11)</f>
        <v>7.75</v>
      </c>
      <c r="J13" s="175">
        <f>SUM('10ªCFB-U-QCA'!M11)</f>
        <v>11.75</v>
      </c>
      <c r="K13" s="175">
        <f>SUM('10ªCFB-U-BIOL'!M11)</f>
        <v>12</v>
      </c>
      <c r="L13" s="176">
        <f>SUM('10ªCFB-U-EMPREEND'!M11)</f>
        <v>11.5</v>
      </c>
      <c r="M13" s="89" t="s">
        <v>8</v>
      </c>
      <c r="N13" s="56">
        <f t="shared" si="0"/>
        <v>11.444444444444445</v>
      </c>
      <c r="O13" s="114" t="s">
        <v>5</v>
      </c>
      <c r="P13" s="218">
        <f>SUM(P12:Q12)</f>
        <v>63</v>
      </c>
      <c r="Q13" s="213"/>
      <c r="R13" s="219">
        <f t="shared" ref="R13" si="1">SUM(R11:S12)</f>
        <v>1</v>
      </c>
      <c r="S13" s="219"/>
      <c r="T13" s="213">
        <f t="shared" ref="T13:V13" si="2">SUM(T11:U12)</f>
        <v>36</v>
      </c>
      <c r="U13" s="213"/>
      <c r="V13" s="213">
        <f t="shared" si="2"/>
        <v>26</v>
      </c>
      <c r="W13" s="213"/>
    </row>
    <row r="14" spans="1:23" ht="18" customHeight="1" thickBot="1" x14ac:dyDescent="0.35">
      <c r="A14" s="46">
        <v>4</v>
      </c>
      <c r="B14" s="118">
        <v>4146</v>
      </c>
      <c r="C14" s="123" t="s">
        <v>72</v>
      </c>
      <c r="D14" s="174">
        <f>SUM('10ªCFB-U-L PORT'!M12)</f>
        <v>0</v>
      </c>
      <c r="E14" s="175">
        <f>SUM('10ªCFB-U-INGLES'!M12)</f>
        <v>0</v>
      </c>
      <c r="F14" s="175">
        <f>SUM('10ªCFB-U-MAT'!M12)</f>
        <v>0</v>
      </c>
      <c r="G14" s="175">
        <f>SUM('10ªCFB-U-INFOR'!M12)</f>
        <v>0</v>
      </c>
      <c r="H14" s="175">
        <f>SUM('10ªCFB-U-ED. FIS'!M12)</f>
        <v>0</v>
      </c>
      <c r="I14" s="175">
        <f>SUM('10ªCFB-U-FIS'!M12)</f>
        <v>0</v>
      </c>
      <c r="J14" s="175">
        <f>SUM('10ªCFB-U-QCA'!M12)</f>
        <v>0</v>
      </c>
      <c r="K14" s="175">
        <f>SUM('10ªCFB-U-BIOL'!M12)</f>
        <v>0</v>
      </c>
      <c r="L14" s="176">
        <f>SUM('10ªCFB-U-EMPREEND'!M12)</f>
        <v>2</v>
      </c>
      <c r="M14" s="89" t="s">
        <v>143</v>
      </c>
      <c r="N14" s="56">
        <f t="shared" si="0"/>
        <v>0.22222222222222221</v>
      </c>
      <c r="O14" s="114" t="s">
        <v>6</v>
      </c>
    </row>
    <row r="15" spans="1:23" ht="18" customHeight="1" thickBot="1" x14ac:dyDescent="0.35">
      <c r="A15" s="46">
        <v>5</v>
      </c>
      <c r="B15" s="118">
        <v>4651</v>
      </c>
      <c r="C15" s="123" t="s">
        <v>142</v>
      </c>
      <c r="D15" s="174">
        <f>SUM('10ªCFB-U-L PORT'!M13)</f>
        <v>15</v>
      </c>
      <c r="E15" s="175">
        <f>SUM('10ªCFB-U-INGLES'!M13)</f>
        <v>20</v>
      </c>
      <c r="F15" s="175">
        <f>SUM('10ªCFB-U-MAT'!M13)</f>
        <v>19</v>
      </c>
      <c r="G15" s="175">
        <f>SUM('10ªCFB-U-INFOR'!M13)</f>
        <v>19.25</v>
      </c>
      <c r="H15" s="175">
        <f>SUM('10ªCFB-U-ED. FIS'!M13)</f>
        <v>5</v>
      </c>
      <c r="I15" s="175">
        <f>SUM('10ªCFB-U-FIS'!M13)</f>
        <v>18</v>
      </c>
      <c r="J15" s="175">
        <f>SUM('10ªCFB-U-QCA'!M13)</f>
        <v>15.5</v>
      </c>
      <c r="K15" s="175">
        <f>SUM('10ªCFB-U-BIOL'!M13)</f>
        <v>15</v>
      </c>
      <c r="L15" s="176">
        <f>SUM('10ªCFB-U-EMPREEND'!M13)</f>
        <v>12.5</v>
      </c>
      <c r="M15" s="89" t="s">
        <v>8</v>
      </c>
      <c r="N15" s="56">
        <f t="shared" si="0"/>
        <v>15.472222222222221</v>
      </c>
      <c r="O15" s="114" t="s">
        <v>6</v>
      </c>
    </row>
    <row r="16" spans="1:23" ht="18" customHeight="1" thickBot="1" x14ac:dyDescent="0.35">
      <c r="A16" s="46">
        <v>6</v>
      </c>
      <c r="B16" s="118">
        <v>4553</v>
      </c>
      <c r="C16" s="123" t="s">
        <v>74</v>
      </c>
      <c r="D16" s="174">
        <f>SUM('10ªCFB-U-L PORT'!M14)</f>
        <v>5</v>
      </c>
      <c r="E16" s="175">
        <f>SUM('10ªCFB-U-INGLES'!M14)</f>
        <v>4</v>
      </c>
      <c r="F16" s="175">
        <f>SUM('10ªCFB-U-MAT'!M14)</f>
        <v>11.5</v>
      </c>
      <c r="G16" s="175">
        <f>SUM('10ªCFB-U-INFOR'!M14)</f>
        <v>7.5</v>
      </c>
      <c r="H16" s="175">
        <f>SUM('10ªCFB-U-ED. FIS'!M14)</f>
        <v>0</v>
      </c>
      <c r="I16" s="175">
        <f>SUM('10ªCFB-U-FIS'!M14)</f>
        <v>3.5</v>
      </c>
      <c r="J16" s="175">
        <f>SUM('10ªCFB-U-QCA'!M14)</f>
        <v>0</v>
      </c>
      <c r="K16" s="175">
        <f>SUM('10ªCFB-U-BIOL'!M14)</f>
        <v>6.5</v>
      </c>
      <c r="L16" s="176">
        <f>SUM('10ªCFB-U-EMPREEND'!M14)</f>
        <v>6.5</v>
      </c>
      <c r="M16" s="89" t="s">
        <v>8</v>
      </c>
      <c r="N16" s="56">
        <f t="shared" si="0"/>
        <v>4.9444444444444446</v>
      </c>
      <c r="O16" s="114" t="s">
        <v>5</v>
      </c>
      <c r="Q16" s="207" t="s">
        <v>53</v>
      </c>
      <c r="R16" s="209">
        <f>MAX(N11:N74)</f>
        <v>15.472222222222221</v>
      </c>
    </row>
    <row r="17" spans="1:24" ht="18" customHeight="1" thickBot="1" x14ac:dyDescent="0.35">
      <c r="A17" s="46">
        <v>7</v>
      </c>
      <c r="B17" s="118">
        <v>2450</v>
      </c>
      <c r="C17" s="123" t="s">
        <v>75</v>
      </c>
      <c r="D17" s="174">
        <f>SUM('10ªCFB-U-L PORT'!M15)</f>
        <v>0</v>
      </c>
      <c r="E17" s="175">
        <f>SUM('10ªCFB-U-INGLES'!M15)</f>
        <v>0</v>
      </c>
      <c r="F17" s="175">
        <f>SUM('10ªCFB-U-MAT'!M15)</f>
        <v>4</v>
      </c>
      <c r="G17" s="175">
        <f>SUM('10ªCFB-U-INFOR'!M15)</f>
        <v>0</v>
      </c>
      <c r="H17" s="175">
        <f>SUM('10ªCFB-U-ED. FIS'!M15)</f>
        <v>0</v>
      </c>
      <c r="I17" s="175">
        <f>SUM('10ªCFB-U-FIS'!M15)</f>
        <v>0</v>
      </c>
      <c r="J17" s="175">
        <f>SUM('10ªCFB-U-QCA'!M15)</f>
        <v>0</v>
      </c>
      <c r="K17" s="175">
        <f>SUM('10ªCFB-U-BIOL'!M15)</f>
        <v>0</v>
      </c>
      <c r="L17" s="176">
        <f>SUM('10ªCFB-U-EMPREEND'!M15)</f>
        <v>2</v>
      </c>
      <c r="M17" s="89" t="s">
        <v>143</v>
      </c>
      <c r="N17" s="56">
        <f t="shared" si="0"/>
        <v>0.66666666666666663</v>
      </c>
      <c r="O17" s="114" t="s">
        <v>6</v>
      </c>
      <c r="Q17" s="208"/>
      <c r="R17" s="210"/>
    </row>
    <row r="18" spans="1:24" ht="18" customHeight="1" thickBot="1" x14ac:dyDescent="0.35">
      <c r="A18" s="46">
        <v>8</v>
      </c>
      <c r="B18" s="118">
        <v>4580</v>
      </c>
      <c r="C18" s="123" t="s">
        <v>76</v>
      </c>
      <c r="D18" s="174">
        <f>SUM('10ªCFB-U-L PORT'!M16)</f>
        <v>11</v>
      </c>
      <c r="E18" s="175">
        <f>SUM('10ªCFB-U-INGLES'!M16)</f>
        <v>12</v>
      </c>
      <c r="F18" s="175">
        <f>SUM('10ªCFB-U-MAT'!M16)</f>
        <v>12.5</v>
      </c>
      <c r="G18" s="175">
        <f>SUM('10ªCFB-U-INFOR'!M16)</f>
        <v>12.5</v>
      </c>
      <c r="H18" s="175">
        <f>SUM('10ªCFB-U-ED. FIS'!M16)</f>
        <v>0</v>
      </c>
      <c r="I18" s="175">
        <f>SUM('10ªCFB-U-FIS'!M16)</f>
        <v>5.5</v>
      </c>
      <c r="J18" s="175">
        <f>SUM('10ªCFB-U-QCA'!M16)</f>
        <v>9</v>
      </c>
      <c r="K18" s="175">
        <f>SUM('10ªCFB-U-BIOL'!M16)</f>
        <v>12</v>
      </c>
      <c r="L18" s="176">
        <f>SUM('10ªCFB-U-EMPREEND'!M16)</f>
        <v>10</v>
      </c>
      <c r="M18" s="89" t="s">
        <v>8</v>
      </c>
      <c r="N18" s="56">
        <f t="shared" si="0"/>
        <v>9.3888888888888893</v>
      </c>
      <c r="O18" s="114" t="s">
        <v>6</v>
      </c>
      <c r="Q18" s="211" t="s">
        <v>54</v>
      </c>
      <c r="R18" s="211"/>
      <c r="S18" s="211"/>
      <c r="T18" s="212" t="s">
        <v>57</v>
      </c>
      <c r="U18" s="212"/>
      <c r="V18" s="212"/>
      <c r="W18" s="212"/>
      <c r="X18" s="212"/>
    </row>
    <row r="19" spans="1:24" ht="18" customHeight="1" thickBot="1" x14ac:dyDescent="0.35">
      <c r="A19" s="46">
        <v>9</v>
      </c>
      <c r="B19" s="118">
        <v>4605</v>
      </c>
      <c r="C19" s="123" t="s">
        <v>77</v>
      </c>
      <c r="D19" s="174">
        <f>SUM('10ªCFB-U-L PORT'!M17)</f>
        <v>10.25</v>
      </c>
      <c r="E19" s="175">
        <f>SUM('10ªCFB-U-INGLES'!M17)</f>
        <v>10.5</v>
      </c>
      <c r="F19" s="175">
        <f>SUM('10ªCFB-U-MAT'!M17)</f>
        <v>14</v>
      </c>
      <c r="G19" s="175">
        <f>SUM('10ªCFB-U-INFOR'!M17)</f>
        <v>9.25</v>
      </c>
      <c r="H19" s="175">
        <f>SUM('10ªCFB-U-ED. FIS'!M17)</f>
        <v>10</v>
      </c>
      <c r="I19" s="175">
        <f>SUM('10ªCFB-U-FIS'!M17)</f>
        <v>8</v>
      </c>
      <c r="J19" s="175">
        <f>SUM('10ªCFB-U-QCA'!M17)</f>
        <v>10.5</v>
      </c>
      <c r="K19" s="175">
        <f>SUM('10ªCFB-U-BIOL'!M17)</f>
        <v>9</v>
      </c>
      <c r="L19" s="176">
        <f>SUM('10ªCFB-U-EMPREEND'!M17)</f>
        <v>8.5</v>
      </c>
      <c r="M19" s="89" t="s">
        <v>8</v>
      </c>
      <c r="N19" s="56">
        <f t="shared" si="0"/>
        <v>10</v>
      </c>
      <c r="O19" s="114" t="s">
        <v>5</v>
      </c>
      <c r="Q19" s="236" t="s">
        <v>55</v>
      </c>
      <c r="R19" s="178">
        <v>12</v>
      </c>
      <c r="S19" s="83"/>
      <c r="T19" s="84"/>
      <c r="U19" s="84"/>
      <c r="V19" s="84"/>
      <c r="W19" s="84"/>
      <c r="X19" s="84"/>
    </row>
    <row r="20" spans="1:24" ht="18" customHeight="1" thickBot="1" x14ac:dyDescent="0.35">
      <c r="A20" s="46">
        <v>10</v>
      </c>
      <c r="B20" s="119">
        <v>4295</v>
      </c>
      <c r="C20" s="124" t="s">
        <v>78</v>
      </c>
      <c r="D20" s="174">
        <f>SUM('10ªCFB-U-L PORT'!M18)</f>
        <v>6.5</v>
      </c>
      <c r="E20" s="175">
        <f>SUM('10ªCFB-U-INGLES'!M18)</f>
        <v>6</v>
      </c>
      <c r="F20" s="175">
        <f>SUM('10ªCFB-U-MAT'!M18)</f>
        <v>11</v>
      </c>
      <c r="G20" s="175">
        <f>SUM('10ªCFB-U-INFOR'!M18)</f>
        <v>8.5</v>
      </c>
      <c r="H20" s="175">
        <f>SUM('10ªCFB-U-ED. FIS'!M18)</f>
        <v>0</v>
      </c>
      <c r="I20" s="175">
        <f>SUM('10ªCFB-U-FIS'!M18)</f>
        <v>10</v>
      </c>
      <c r="J20" s="175">
        <f>SUM('10ªCFB-U-QCA'!M18)</f>
        <v>8.5</v>
      </c>
      <c r="K20" s="175">
        <f>SUM('10ªCFB-U-BIOL'!M18)</f>
        <v>11</v>
      </c>
      <c r="L20" s="176">
        <f>SUM('10ªCFB-U-EMPREEND'!M18)</f>
        <v>9</v>
      </c>
      <c r="M20" s="90" t="s">
        <v>8</v>
      </c>
      <c r="N20" s="56">
        <f t="shared" si="0"/>
        <v>7.833333333333333</v>
      </c>
      <c r="O20" s="115" t="s">
        <v>5</v>
      </c>
      <c r="Q20" s="237"/>
      <c r="R20" s="178" t="s">
        <v>59</v>
      </c>
    </row>
    <row r="21" spans="1:24" ht="18" customHeight="1" thickBot="1" x14ac:dyDescent="0.35">
      <c r="A21" s="46">
        <v>11</v>
      </c>
      <c r="B21" s="118">
        <v>4594</v>
      </c>
      <c r="C21" s="123" t="s">
        <v>79</v>
      </c>
      <c r="D21" s="174">
        <f>SUM('10ªCFB-U-L PORT'!M19)</f>
        <v>0</v>
      </c>
      <c r="E21" s="175">
        <f>SUM('10ªCFB-U-INGLES'!M19)</f>
        <v>0</v>
      </c>
      <c r="F21" s="175">
        <f>SUM('10ªCFB-U-MAT'!M19)</f>
        <v>0</v>
      </c>
      <c r="G21" s="175">
        <f>SUM('10ªCFB-U-INFOR'!M19)</f>
        <v>0</v>
      </c>
      <c r="H21" s="175">
        <f>SUM('10ªCFB-U-ED. FIS'!M19)</f>
        <v>0</v>
      </c>
      <c r="I21" s="175">
        <f>SUM('10ªCFB-U-FIS'!M19)</f>
        <v>0</v>
      </c>
      <c r="J21" s="175">
        <f>SUM('10ªCFB-U-QCA'!M19)</f>
        <v>0</v>
      </c>
      <c r="K21" s="175">
        <f>SUM('10ªCFB-U-BIOL'!M19)</f>
        <v>0</v>
      </c>
      <c r="L21" s="176">
        <f>SUM('10ªCFB-U-EMPREEND'!M19)</f>
        <v>2</v>
      </c>
      <c r="M21" s="89" t="s">
        <v>143</v>
      </c>
      <c r="N21" s="56">
        <f t="shared" si="0"/>
        <v>0.22222222222222221</v>
      </c>
      <c r="O21" s="114" t="s">
        <v>6</v>
      </c>
    </row>
    <row r="22" spans="1:24" ht="18" customHeight="1" thickBot="1" x14ac:dyDescent="0.35">
      <c r="A22" s="46">
        <v>12</v>
      </c>
      <c r="B22" s="118">
        <v>4566</v>
      </c>
      <c r="C22" s="123" t="s">
        <v>80</v>
      </c>
      <c r="D22" s="174">
        <f>SUM('10ªCFB-U-L PORT'!M20)</f>
        <v>11</v>
      </c>
      <c r="E22" s="175">
        <f>SUM('10ªCFB-U-INGLES'!M20)</f>
        <v>14</v>
      </c>
      <c r="F22" s="175">
        <f>SUM('10ªCFB-U-MAT'!M20)</f>
        <v>13</v>
      </c>
      <c r="G22" s="175">
        <f>SUM('10ªCFB-U-INFOR'!M20)</f>
        <v>18.75</v>
      </c>
      <c r="H22" s="175">
        <f>SUM('10ªCFB-U-ED. FIS'!M20)</f>
        <v>0</v>
      </c>
      <c r="I22" s="175">
        <f>SUM('10ªCFB-U-FIS'!M20)</f>
        <v>10</v>
      </c>
      <c r="J22" s="175">
        <f>SUM('10ªCFB-U-QCA'!M20)</f>
        <v>9.5</v>
      </c>
      <c r="K22" s="175">
        <f>SUM('10ªCFB-U-BIOL'!M20)</f>
        <v>15</v>
      </c>
      <c r="L22" s="176">
        <f>SUM('10ªCFB-U-EMPREEND'!M20)</f>
        <v>12</v>
      </c>
      <c r="M22" s="89" t="s">
        <v>8</v>
      </c>
      <c r="N22" s="56">
        <f t="shared" si="0"/>
        <v>11.472222222222221</v>
      </c>
      <c r="O22" s="114" t="s">
        <v>6</v>
      </c>
    </row>
    <row r="23" spans="1:24" ht="18" customHeight="1" thickBot="1" x14ac:dyDescent="0.35">
      <c r="A23" s="46">
        <v>13</v>
      </c>
      <c r="B23" s="118">
        <v>4667</v>
      </c>
      <c r="C23" s="123" t="s">
        <v>81</v>
      </c>
      <c r="D23" s="174">
        <f>SUM('10ªCFB-U-L PORT'!M21)</f>
        <v>0</v>
      </c>
      <c r="E23" s="175">
        <f>SUM('10ªCFB-U-INGLES'!M21)</f>
        <v>0</v>
      </c>
      <c r="F23" s="175">
        <f>SUM('10ªCFB-U-MAT'!M21)</f>
        <v>0</v>
      </c>
      <c r="G23" s="175">
        <f>SUM('10ªCFB-U-INFOR'!M21)</f>
        <v>0</v>
      </c>
      <c r="H23" s="175">
        <f>SUM('10ªCFB-U-ED. FIS'!M21)</f>
        <v>0</v>
      </c>
      <c r="I23" s="175">
        <f>SUM('10ªCFB-U-FIS'!M21)</f>
        <v>0</v>
      </c>
      <c r="J23" s="175">
        <f>SUM('10ªCFB-U-QCA'!M21)</f>
        <v>0</v>
      </c>
      <c r="K23" s="175">
        <f>SUM('10ªCFB-U-BIOL'!M21)</f>
        <v>0</v>
      </c>
      <c r="L23" s="176">
        <f>SUM('10ªCFB-U-EMPREEND'!M21)</f>
        <v>2</v>
      </c>
      <c r="M23" s="89" t="s">
        <v>143</v>
      </c>
      <c r="N23" s="56">
        <f t="shared" si="0"/>
        <v>0.22222222222222221</v>
      </c>
      <c r="O23" s="114" t="s">
        <v>6</v>
      </c>
    </row>
    <row r="24" spans="1:24" ht="18" customHeight="1" thickBot="1" x14ac:dyDescent="0.35">
      <c r="A24" s="46">
        <v>14</v>
      </c>
      <c r="B24" s="118">
        <v>3964</v>
      </c>
      <c r="C24" s="123" t="s">
        <v>82</v>
      </c>
      <c r="D24" s="174">
        <f>SUM('10ªCFB-U-L PORT'!M22)</f>
        <v>0</v>
      </c>
      <c r="E24" s="175">
        <f>SUM('10ªCFB-U-INGLES'!M22)</f>
        <v>0</v>
      </c>
      <c r="F24" s="175">
        <f>SUM('10ªCFB-U-MAT'!M22)</f>
        <v>0</v>
      </c>
      <c r="G24" s="175">
        <f>SUM('10ªCFB-U-INFOR'!M22)</f>
        <v>0</v>
      </c>
      <c r="H24" s="175">
        <f>SUM('10ªCFB-U-ED. FIS'!M22)</f>
        <v>0</v>
      </c>
      <c r="I24" s="175">
        <f>SUM('10ªCFB-U-FIS'!M22)</f>
        <v>0</v>
      </c>
      <c r="J24" s="175">
        <f>SUM('10ªCFB-U-QCA'!M22)</f>
        <v>0</v>
      </c>
      <c r="K24" s="175">
        <f>SUM('10ªCFB-U-BIOL'!M22)</f>
        <v>0</v>
      </c>
      <c r="L24" s="176">
        <f>SUM('10ªCFB-U-EMPREEND'!M22)</f>
        <v>2</v>
      </c>
      <c r="M24" s="89" t="s">
        <v>143</v>
      </c>
      <c r="N24" s="56">
        <f t="shared" si="0"/>
        <v>0.22222222222222221</v>
      </c>
      <c r="O24" s="114" t="s">
        <v>6</v>
      </c>
    </row>
    <row r="25" spans="1:24" ht="18" customHeight="1" thickBot="1" x14ac:dyDescent="0.35">
      <c r="A25" s="46">
        <v>15</v>
      </c>
      <c r="B25" s="118">
        <v>4593</v>
      </c>
      <c r="C25" s="123" t="s">
        <v>83</v>
      </c>
      <c r="D25" s="174">
        <f>SUM('10ªCFB-U-L PORT'!M23)</f>
        <v>8</v>
      </c>
      <c r="E25" s="175">
        <f>SUM('10ªCFB-U-INGLES'!M23)</f>
        <v>13.5</v>
      </c>
      <c r="F25" s="175">
        <f>SUM('10ªCFB-U-MAT'!M23)</f>
        <v>14.5</v>
      </c>
      <c r="G25" s="175">
        <f>SUM('10ªCFB-U-INFOR'!M23)</f>
        <v>18.75</v>
      </c>
      <c r="H25" s="175">
        <f>SUM('10ªCFB-U-ED. FIS'!M23)</f>
        <v>5</v>
      </c>
      <c r="I25" s="175">
        <f>SUM('10ªCFB-U-FIS'!M23)</f>
        <v>11</v>
      </c>
      <c r="J25" s="175">
        <f>SUM('10ªCFB-U-QCA'!M23)</f>
        <v>12.25</v>
      </c>
      <c r="K25" s="175">
        <f>SUM('10ªCFB-U-BIOL'!M23)</f>
        <v>13</v>
      </c>
      <c r="L25" s="176">
        <f>SUM('10ªCFB-U-EMPREEND'!M23)</f>
        <v>10.5</v>
      </c>
      <c r="M25" s="89" t="s">
        <v>8</v>
      </c>
      <c r="N25" s="56">
        <f t="shared" si="0"/>
        <v>11.833333333333334</v>
      </c>
      <c r="O25" s="114" t="s">
        <v>6</v>
      </c>
    </row>
    <row r="26" spans="1:24" ht="18" customHeight="1" thickBot="1" x14ac:dyDescent="0.35">
      <c r="A26" s="46">
        <v>16</v>
      </c>
      <c r="B26" s="118">
        <v>4577</v>
      </c>
      <c r="C26" s="123" t="s">
        <v>84</v>
      </c>
      <c r="D26" s="174">
        <f>SUM('10ªCFB-U-L PORT'!M24)</f>
        <v>10</v>
      </c>
      <c r="E26" s="175">
        <f>SUM('10ªCFB-U-INGLES'!M24)</f>
        <v>14.5</v>
      </c>
      <c r="F26" s="175">
        <f>SUM('10ªCFB-U-MAT'!M24)</f>
        <v>14.5</v>
      </c>
      <c r="G26" s="175">
        <f>SUM('10ªCFB-U-INFOR'!M24)</f>
        <v>17.75</v>
      </c>
      <c r="H26" s="175">
        <f>SUM('10ªCFB-U-ED. FIS'!M24)</f>
        <v>0</v>
      </c>
      <c r="I26" s="175">
        <f>SUM('10ªCFB-U-FIS'!M24)</f>
        <v>10.25</v>
      </c>
      <c r="J26" s="175">
        <f>SUM('10ªCFB-U-QCA'!M24)</f>
        <v>11.5</v>
      </c>
      <c r="K26" s="175">
        <f>SUM('10ªCFB-U-BIOL'!M24)</f>
        <v>11</v>
      </c>
      <c r="L26" s="176">
        <f>SUM('10ªCFB-U-EMPREEND'!M24)</f>
        <v>13</v>
      </c>
      <c r="M26" s="89" t="s">
        <v>8</v>
      </c>
      <c r="N26" s="56">
        <f t="shared" si="0"/>
        <v>11.388888888888889</v>
      </c>
      <c r="O26" s="114" t="s">
        <v>5</v>
      </c>
    </row>
    <row r="27" spans="1:24" ht="18" customHeight="1" thickBot="1" x14ac:dyDescent="0.35">
      <c r="A27" s="46">
        <v>17</v>
      </c>
      <c r="B27" s="118">
        <v>4584</v>
      </c>
      <c r="C27" s="123" t="s">
        <v>85</v>
      </c>
      <c r="D27" s="174">
        <f>SUM('10ªCFB-U-L PORT'!M25)</f>
        <v>8</v>
      </c>
      <c r="E27" s="175">
        <f>SUM('10ªCFB-U-INGLES'!M25)</f>
        <v>9</v>
      </c>
      <c r="F27" s="175">
        <f>SUM('10ªCFB-U-MAT'!M25)</f>
        <v>11.5</v>
      </c>
      <c r="G27" s="175">
        <f>SUM('10ªCFB-U-INFOR'!M25)</f>
        <v>10</v>
      </c>
      <c r="H27" s="175">
        <f>SUM('10ªCFB-U-ED. FIS'!M25)</f>
        <v>0</v>
      </c>
      <c r="I27" s="175">
        <f>SUM('10ªCFB-U-FIS'!M25)</f>
        <v>6.25</v>
      </c>
      <c r="J27" s="175">
        <f>SUM('10ªCFB-U-QCA'!M25)</f>
        <v>0</v>
      </c>
      <c r="K27" s="175">
        <f>SUM('10ªCFB-U-BIOL'!M25)</f>
        <v>10</v>
      </c>
      <c r="L27" s="176">
        <f>SUM('10ªCFB-U-EMPREEND'!M25)</f>
        <v>5.5</v>
      </c>
      <c r="M27" s="89" t="s">
        <v>8</v>
      </c>
      <c r="N27" s="56">
        <f t="shared" si="0"/>
        <v>6.6944444444444446</v>
      </c>
      <c r="O27" s="114" t="s">
        <v>6</v>
      </c>
    </row>
    <row r="28" spans="1:24" ht="18" customHeight="1" thickBot="1" x14ac:dyDescent="0.35">
      <c r="A28" s="46">
        <v>18</v>
      </c>
      <c r="B28" s="118">
        <v>4590</v>
      </c>
      <c r="C28" s="123" t="s">
        <v>140</v>
      </c>
      <c r="D28" s="174">
        <f>SUM('10ªCFB-U-L PORT'!M26)</f>
        <v>11.25</v>
      </c>
      <c r="E28" s="175">
        <f>SUM('10ªCFB-U-INGLES'!M26)</f>
        <v>5.5</v>
      </c>
      <c r="F28" s="175">
        <f>SUM('10ªCFB-U-MAT'!M26)</f>
        <v>12</v>
      </c>
      <c r="G28" s="175">
        <f>SUM('10ªCFB-U-INFOR'!M26)</f>
        <v>5.5</v>
      </c>
      <c r="H28" s="175">
        <f>SUM('10ªCFB-U-ED. FIS'!M26)</f>
        <v>15</v>
      </c>
      <c r="I28" s="175">
        <f>SUM('10ªCFB-U-FIS'!M26)</f>
        <v>10</v>
      </c>
      <c r="J28" s="175">
        <f>SUM('10ªCFB-U-QCA'!M26)</f>
        <v>8.5</v>
      </c>
      <c r="K28" s="175">
        <f>SUM('10ªCFB-U-BIOL'!M26)</f>
        <v>14</v>
      </c>
      <c r="L28" s="176">
        <f>SUM('10ªCFB-U-EMPREEND'!M26)</f>
        <v>9.5</v>
      </c>
      <c r="M28" s="89" t="s">
        <v>8</v>
      </c>
      <c r="N28" s="56">
        <f t="shared" si="0"/>
        <v>10.138888888888889</v>
      </c>
      <c r="O28" s="114" t="s">
        <v>6</v>
      </c>
    </row>
    <row r="29" spans="1:24" ht="18" customHeight="1" thickBot="1" x14ac:dyDescent="0.35">
      <c r="A29" s="46">
        <v>19</v>
      </c>
      <c r="B29" s="118">
        <v>4546</v>
      </c>
      <c r="C29" s="123" t="s">
        <v>86</v>
      </c>
      <c r="D29" s="174">
        <f>SUM('10ªCFB-U-L PORT'!M27)</f>
        <v>0</v>
      </c>
      <c r="E29" s="175">
        <f>SUM('10ªCFB-U-INGLES'!M27)</f>
        <v>0</v>
      </c>
      <c r="F29" s="175">
        <f>SUM('10ªCFB-U-MAT'!M27)</f>
        <v>0</v>
      </c>
      <c r="G29" s="175">
        <f>SUM('10ªCFB-U-INFOR'!M27)</f>
        <v>0</v>
      </c>
      <c r="H29" s="175">
        <f>SUM('10ªCFB-U-ED. FIS'!M27)</f>
        <v>0</v>
      </c>
      <c r="I29" s="175">
        <f>SUM('10ªCFB-U-FIS'!M27)</f>
        <v>0</v>
      </c>
      <c r="J29" s="175">
        <f>SUM('10ªCFB-U-QCA'!M27)</f>
        <v>0</v>
      </c>
      <c r="K29" s="175">
        <f>SUM('10ªCFB-U-BIOL'!M27)</f>
        <v>0</v>
      </c>
      <c r="L29" s="176">
        <f>SUM('10ªCFB-U-EMPREEND'!M27)</f>
        <v>2</v>
      </c>
      <c r="M29" s="89" t="s">
        <v>143</v>
      </c>
      <c r="N29" s="56">
        <f t="shared" si="0"/>
        <v>0.22222222222222221</v>
      </c>
      <c r="O29" s="114" t="s">
        <v>6</v>
      </c>
    </row>
    <row r="30" spans="1:24" ht="18" customHeight="1" thickBot="1" x14ac:dyDescent="0.35">
      <c r="A30" s="46">
        <v>20</v>
      </c>
      <c r="B30" s="118">
        <v>4631</v>
      </c>
      <c r="C30" s="123" t="s">
        <v>87</v>
      </c>
      <c r="D30" s="174">
        <f>SUM('10ªCFB-U-L PORT'!M28)</f>
        <v>10.5</v>
      </c>
      <c r="E30" s="175">
        <f>SUM('10ªCFB-U-INGLES'!M28)</f>
        <v>8</v>
      </c>
      <c r="F30" s="175">
        <f>SUM('10ªCFB-U-MAT'!M28)</f>
        <v>12</v>
      </c>
      <c r="G30" s="175">
        <f>SUM('10ªCFB-U-INFOR'!M28)</f>
        <v>14.25</v>
      </c>
      <c r="H30" s="175">
        <f>SUM('10ªCFB-U-ED. FIS'!M28)</f>
        <v>0</v>
      </c>
      <c r="I30" s="175">
        <f>SUM('10ªCFB-U-FIS'!M28)</f>
        <v>6</v>
      </c>
      <c r="J30" s="175">
        <f>SUM('10ªCFB-U-QCA'!M28)</f>
        <v>10.5</v>
      </c>
      <c r="K30" s="175">
        <f>SUM('10ªCFB-U-BIOL'!M28)</f>
        <v>16</v>
      </c>
      <c r="L30" s="176">
        <f>SUM('10ªCFB-U-EMPREEND'!M28)</f>
        <v>7</v>
      </c>
      <c r="M30" s="89" t="s">
        <v>8</v>
      </c>
      <c r="N30" s="56">
        <f t="shared" si="0"/>
        <v>9.3611111111111107</v>
      </c>
      <c r="O30" s="114" t="s">
        <v>6</v>
      </c>
    </row>
    <row r="31" spans="1:24" ht="18" customHeight="1" thickBot="1" x14ac:dyDescent="0.35">
      <c r="A31" s="46">
        <v>21</v>
      </c>
      <c r="B31" s="118">
        <v>2387</v>
      </c>
      <c r="C31" s="123" t="s">
        <v>88</v>
      </c>
      <c r="D31" s="174">
        <f>SUM('10ªCFB-U-L PORT'!M29)</f>
        <v>0</v>
      </c>
      <c r="E31" s="175">
        <f>SUM('10ªCFB-U-INGLES'!M29)</f>
        <v>0</v>
      </c>
      <c r="F31" s="175">
        <f>SUM('10ªCFB-U-MAT'!M29)</f>
        <v>5</v>
      </c>
      <c r="G31" s="175">
        <f>SUM('10ªCFB-U-INFOR'!M29)</f>
        <v>0</v>
      </c>
      <c r="H31" s="175">
        <f>SUM('10ªCFB-U-ED. FIS'!M29)</f>
        <v>0</v>
      </c>
      <c r="I31" s="175">
        <f>SUM('10ªCFB-U-FIS'!M29)</f>
        <v>0</v>
      </c>
      <c r="J31" s="175">
        <f>SUM('10ªCFB-U-QCA'!M29)</f>
        <v>0</v>
      </c>
      <c r="K31" s="175">
        <f>SUM('10ªCFB-U-BIOL'!M29)</f>
        <v>0</v>
      </c>
      <c r="L31" s="176">
        <f>SUM('10ªCFB-U-EMPREEND'!M29)</f>
        <v>2</v>
      </c>
      <c r="M31" s="89" t="s">
        <v>143</v>
      </c>
      <c r="N31" s="56">
        <f t="shared" si="0"/>
        <v>0.77777777777777779</v>
      </c>
      <c r="O31" s="114" t="s">
        <v>6</v>
      </c>
    </row>
    <row r="32" spans="1:24" ht="18" customHeight="1" thickBot="1" x14ac:dyDescent="0.35">
      <c r="A32" s="46">
        <v>22</v>
      </c>
      <c r="B32" s="118">
        <v>4613</v>
      </c>
      <c r="C32" s="123" t="s">
        <v>89</v>
      </c>
      <c r="D32" s="174">
        <f>SUM('10ªCFB-U-L PORT'!M30)</f>
        <v>9</v>
      </c>
      <c r="E32" s="175">
        <f>SUM('10ªCFB-U-INGLES'!M30)</f>
        <v>13.5</v>
      </c>
      <c r="F32" s="175">
        <f>SUM('10ªCFB-U-MAT'!M30)</f>
        <v>11</v>
      </c>
      <c r="G32" s="175">
        <f>SUM('10ªCFB-U-INFOR'!M30)</f>
        <v>8.75</v>
      </c>
      <c r="H32" s="175">
        <f>SUM('10ªCFB-U-ED. FIS'!M30)</f>
        <v>0</v>
      </c>
      <c r="I32" s="175">
        <f>SUM('10ªCFB-U-FIS'!M30)</f>
        <v>8.75</v>
      </c>
      <c r="J32" s="175">
        <f>SUM('10ªCFB-U-QCA'!M30)</f>
        <v>12</v>
      </c>
      <c r="K32" s="175">
        <f>SUM('10ªCFB-U-BIOL'!M30)</f>
        <v>8.5</v>
      </c>
      <c r="L32" s="176">
        <f>SUM('10ªCFB-U-EMPREEND'!M30)</f>
        <v>7.5</v>
      </c>
      <c r="M32" s="89" t="s">
        <v>8</v>
      </c>
      <c r="N32" s="56">
        <f t="shared" si="0"/>
        <v>8.7777777777777786</v>
      </c>
      <c r="O32" s="114" t="s">
        <v>6</v>
      </c>
    </row>
    <row r="33" spans="1:15" ht="18" customHeight="1" thickBot="1" x14ac:dyDescent="0.35">
      <c r="A33" s="46">
        <v>23</v>
      </c>
      <c r="B33" s="118">
        <v>4670</v>
      </c>
      <c r="C33" s="123" t="s">
        <v>90</v>
      </c>
      <c r="D33" s="174">
        <f>SUM('10ªCFB-U-L PORT'!M31)</f>
        <v>3.5</v>
      </c>
      <c r="E33" s="175">
        <f>SUM('10ªCFB-U-INGLES'!M31)</f>
        <v>7</v>
      </c>
      <c r="F33" s="175">
        <f>SUM('10ªCFB-U-MAT'!M31)</f>
        <v>10.5</v>
      </c>
      <c r="G33" s="175">
        <f>SUM('10ªCFB-U-INFOR'!M31)</f>
        <v>6.25</v>
      </c>
      <c r="H33" s="175">
        <f>SUM('10ªCFB-U-ED. FIS'!M31)</f>
        <v>0</v>
      </c>
      <c r="I33" s="175">
        <f>SUM('10ªCFB-U-FIS'!M31)</f>
        <v>5</v>
      </c>
      <c r="J33" s="175">
        <f>SUM('10ªCFB-U-QCA'!M31)</f>
        <v>11.5</v>
      </c>
      <c r="K33" s="175">
        <f>SUM('10ªCFB-U-BIOL'!M31)</f>
        <v>7</v>
      </c>
      <c r="L33" s="176">
        <f>SUM('10ªCFB-U-EMPREEND'!M31)</f>
        <v>7</v>
      </c>
      <c r="M33" s="89" t="s">
        <v>8</v>
      </c>
      <c r="N33" s="56">
        <f t="shared" si="0"/>
        <v>6.416666666666667</v>
      </c>
      <c r="O33" s="114" t="s">
        <v>6</v>
      </c>
    </row>
    <row r="34" spans="1:15" ht="18" customHeight="1" thickBot="1" x14ac:dyDescent="0.35">
      <c r="A34" s="46">
        <v>24</v>
      </c>
      <c r="B34" s="118">
        <v>4641</v>
      </c>
      <c r="C34" s="123" t="s">
        <v>91</v>
      </c>
      <c r="D34" s="174">
        <f>SUM('10ªCFB-U-L PORT'!M32)</f>
        <v>0</v>
      </c>
      <c r="E34" s="175">
        <f>SUM('10ªCFB-U-INGLES'!M32)</f>
        <v>0</v>
      </c>
      <c r="F34" s="175">
        <f>SUM('10ªCFB-U-MAT'!M32)</f>
        <v>0</v>
      </c>
      <c r="G34" s="175">
        <f>SUM('10ªCFB-U-INFOR'!M32)</f>
        <v>0</v>
      </c>
      <c r="H34" s="175">
        <f>SUM('10ªCFB-U-ED. FIS'!M32)</f>
        <v>0</v>
      </c>
      <c r="I34" s="175">
        <f>SUM('10ªCFB-U-FIS'!M32)</f>
        <v>0</v>
      </c>
      <c r="J34" s="175">
        <f>SUM('10ªCFB-U-QCA'!M32)</f>
        <v>0</v>
      </c>
      <c r="K34" s="175">
        <f>SUM('10ªCFB-U-BIOL'!M32)</f>
        <v>0</v>
      </c>
      <c r="L34" s="176">
        <f>SUM('10ªCFB-U-EMPREEND'!M32)</f>
        <v>2</v>
      </c>
      <c r="M34" s="89" t="s">
        <v>143</v>
      </c>
      <c r="N34" s="56">
        <f t="shared" si="0"/>
        <v>0.22222222222222221</v>
      </c>
      <c r="O34" s="114" t="s">
        <v>6</v>
      </c>
    </row>
    <row r="35" spans="1:15" ht="18" customHeight="1" thickBot="1" x14ac:dyDescent="0.35">
      <c r="A35" s="46">
        <v>25</v>
      </c>
      <c r="B35" s="118">
        <v>4545</v>
      </c>
      <c r="C35" s="123" t="s">
        <v>92</v>
      </c>
      <c r="D35" s="174">
        <f>SUM('10ªCFB-U-L PORT'!M33)</f>
        <v>9</v>
      </c>
      <c r="E35" s="175">
        <f>SUM('10ªCFB-U-INGLES'!M33)</f>
        <v>12</v>
      </c>
      <c r="F35" s="175">
        <f>SUM('10ªCFB-U-MAT'!M33)</f>
        <v>10.5</v>
      </c>
      <c r="G35" s="175">
        <f>SUM('10ªCFB-U-INFOR'!M33)</f>
        <v>11.9</v>
      </c>
      <c r="H35" s="175">
        <f>SUM('10ªCFB-U-ED. FIS'!M33)</f>
        <v>6.5</v>
      </c>
      <c r="I35" s="175">
        <f>SUM('10ªCFB-U-FIS'!M33)</f>
        <v>6.5</v>
      </c>
      <c r="J35" s="175">
        <f>SUM('10ªCFB-U-QCA'!M33)</f>
        <v>10.5</v>
      </c>
      <c r="K35" s="175">
        <f>SUM('10ªCFB-U-BIOL'!M33)</f>
        <v>11.5</v>
      </c>
      <c r="L35" s="176">
        <f>SUM('10ªCFB-U-EMPREEND'!M33)</f>
        <v>9.5</v>
      </c>
      <c r="M35" s="89" t="s">
        <v>8</v>
      </c>
      <c r="N35" s="56">
        <f t="shared" si="0"/>
        <v>9.7666666666666675</v>
      </c>
      <c r="O35" s="114" t="s">
        <v>6</v>
      </c>
    </row>
    <row r="36" spans="1:15" ht="18" customHeight="1" thickBot="1" x14ac:dyDescent="0.35">
      <c r="A36" s="46">
        <v>26</v>
      </c>
      <c r="B36" s="118">
        <v>4084</v>
      </c>
      <c r="C36" s="123" t="s">
        <v>93</v>
      </c>
      <c r="D36" s="174">
        <f>SUM('10ªCFB-U-L PORT'!M34)</f>
        <v>0</v>
      </c>
      <c r="E36" s="175">
        <f>SUM('10ªCFB-U-INGLES'!M34)</f>
        <v>0</v>
      </c>
      <c r="F36" s="175">
        <f>SUM('10ªCFB-U-MAT'!M34)</f>
        <v>0</v>
      </c>
      <c r="G36" s="175">
        <f>SUM('10ªCFB-U-INFOR'!M34)</f>
        <v>0</v>
      </c>
      <c r="H36" s="175">
        <f>SUM('10ªCFB-U-ED. FIS'!M34)</f>
        <v>0</v>
      </c>
      <c r="I36" s="175">
        <f>SUM('10ªCFB-U-FIS'!M34)</f>
        <v>0</v>
      </c>
      <c r="J36" s="175">
        <f>SUM('10ªCFB-U-QCA'!M34)</f>
        <v>0</v>
      </c>
      <c r="K36" s="175">
        <f>SUM('10ªCFB-U-BIOL'!M34)</f>
        <v>0</v>
      </c>
      <c r="L36" s="176">
        <f>SUM('10ªCFB-U-EMPREEND'!M34)</f>
        <v>2</v>
      </c>
      <c r="M36" s="89" t="s">
        <v>143</v>
      </c>
      <c r="N36" s="56">
        <f t="shared" si="0"/>
        <v>0.22222222222222221</v>
      </c>
      <c r="O36" s="114" t="s">
        <v>6</v>
      </c>
    </row>
    <row r="37" spans="1:15" ht="18" customHeight="1" thickBot="1" x14ac:dyDescent="0.35">
      <c r="A37" s="46">
        <v>27</v>
      </c>
      <c r="B37" s="119">
        <v>4733</v>
      </c>
      <c r="C37" s="124" t="s">
        <v>94</v>
      </c>
      <c r="D37" s="174">
        <f>SUM('10ªCFB-U-L PORT'!M35)</f>
        <v>0</v>
      </c>
      <c r="E37" s="175">
        <f>SUM('10ªCFB-U-INGLES'!M35)</f>
        <v>0</v>
      </c>
      <c r="F37" s="175">
        <f>SUM('10ªCFB-U-MAT'!M35)</f>
        <v>0</v>
      </c>
      <c r="G37" s="175">
        <f>SUM('10ªCFB-U-INFOR'!M35)</f>
        <v>0</v>
      </c>
      <c r="H37" s="175">
        <f>SUM('10ªCFB-U-ED. FIS'!M35)</f>
        <v>0</v>
      </c>
      <c r="I37" s="175">
        <f>SUM('10ªCFB-U-FIS'!M35)</f>
        <v>0</v>
      </c>
      <c r="J37" s="175">
        <f>SUM('10ªCFB-U-QCA'!M35)</f>
        <v>0</v>
      </c>
      <c r="K37" s="175">
        <f>SUM('10ªCFB-U-BIOL'!M35)</f>
        <v>0</v>
      </c>
      <c r="L37" s="176">
        <f>SUM('10ªCFB-U-EMPREEND'!M35)</f>
        <v>5</v>
      </c>
      <c r="M37" s="89" t="s">
        <v>143</v>
      </c>
      <c r="N37" s="56">
        <f t="shared" si="0"/>
        <v>0.55555555555555558</v>
      </c>
      <c r="O37" s="115" t="s">
        <v>6</v>
      </c>
    </row>
    <row r="38" spans="1:15" ht="18" customHeight="1" thickBot="1" x14ac:dyDescent="0.35">
      <c r="A38" s="46">
        <v>28</v>
      </c>
      <c r="B38" s="118">
        <v>4555</v>
      </c>
      <c r="C38" s="123" t="s">
        <v>95</v>
      </c>
      <c r="D38" s="174">
        <f>SUM('10ªCFB-U-L PORT'!M36)</f>
        <v>0</v>
      </c>
      <c r="E38" s="175">
        <f>SUM('10ªCFB-U-INGLES'!M36)</f>
        <v>2</v>
      </c>
      <c r="F38" s="175">
        <f>SUM('10ªCFB-U-MAT'!M36)</f>
        <v>4</v>
      </c>
      <c r="G38" s="175">
        <f>SUM('10ªCFB-U-INFOR'!M36)</f>
        <v>0</v>
      </c>
      <c r="H38" s="175">
        <f>SUM('10ªCFB-U-ED. FIS'!M36)</f>
        <v>0</v>
      </c>
      <c r="I38" s="175">
        <f>SUM('10ªCFB-U-FIS'!M36)</f>
        <v>0</v>
      </c>
      <c r="J38" s="175">
        <f>SUM('10ªCFB-U-QCA'!M36)</f>
        <v>0</v>
      </c>
      <c r="K38" s="175">
        <f>SUM('10ªCFB-U-BIOL'!M36)</f>
        <v>2.5</v>
      </c>
      <c r="L38" s="176">
        <f>SUM('10ªCFB-U-EMPREEND'!M36)</f>
        <v>2</v>
      </c>
      <c r="M38" s="89" t="s">
        <v>143</v>
      </c>
      <c r="N38" s="56">
        <f t="shared" si="0"/>
        <v>1.1666666666666667</v>
      </c>
      <c r="O38" s="114" t="s">
        <v>6</v>
      </c>
    </row>
    <row r="39" spans="1:15" ht="18" customHeight="1" thickBot="1" x14ac:dyDescent="0.35">
      <c r="A39" s="46">
        <v>29</v>
      </c>
      <c r="B39" s="118">
        <v>4069</v>
      </c>
      <c r="C39" s="123" t="s">
        <v>96</v>
      </c>
      <c r="D39" s="174">
        <f>SUM('10ªCFB-U-L PORT'!M37)</f>
        <v>10.5</v>
      </c>
      <c r="E39" s="175">
        <f>SUM('10ªCFB-U-INGLES'!M37)</f>
        <v>8</v>
      </c>
      <c r="F39" s="175">
        <f>SUM('10ªCFB-U-MAT'!M37)</f>
        <v>11.5</v>
      </c>
      <c r="G39" s="175">
        <f>SUM('10ªCFB-U-INFOR'!M37)</f>
        <v>8.8000000000000007</v>
      </c>
      <c r="H39" s="175">
        <f>SUM('10ªCFB-U-ED. FIS'!M37)</f>
        <v>0</v>
      </c>
      <c r="I39" s="175">
        <f>SUM('10ªCFB-U-FIS'!M37)</f>
        <v>7.25</v>
      </c>
      <c r="J39" s="175">
        <f>SUM('10ªCFB-U-QCA'!M37)</f>
        <v>9</v>
      </c>
      <c r="K39" s="175">
        <f>SUM('10ªCFB-U-BIOL'!M37)</f>
        <v>12.5</v>
      </c>
      <c r="L39" s="176">
        <f>SUM('10ªCFB-U-EMPREEND'!M37)</f>
        <v>9.5</v>
      </c>
      <c r="M39" s="89" t="s">
        <v>8</v>
      </c>
      <c r="N39" s="56">
        <f t="shared" si="0"/>
        <v>8.56111111111111</v>
      </c>
      <c r="O39" s="114" t="s">
        <v>6</v>
      </c>
    </row>
    <row r="40" spans="1:15" ht="18" customHeight="1" thickBot="1" x14ac:dyDescent="0.35">
      <c r="A40" s="46">
        <v>30</v>
      </c>
      <c r="B40" s="118">
        <v>4547</v>
      </c>
      <c r="C40" s="123" t="s">
        <v>97</v>
      </c>
      <c r="D40" s="174">
        <f>SUM('10ªCFB-U-L PORT'!M38)</f>
        <v>0</v>
      </c>
      <c r="E40" s="175">
        <f>SUM('10ªCFB-U-INGLES'!M38)</f>
        <v>0</v>
      </c>
      <c r="F40" s="175">
        <f>SUM('10ªCFB-U-MAT'!M38)</f>
        <v>0</v>
      </c>
      <c r="G40" s="175">
        <f>SUM('10ªCFB-U-INFOR'!M38)</f>
        <v>0</v>
      </c>
      <c r="H40" s="175">
        <f>SUM('10ªCFB-U-ED. FIS'!M38)</f>
        <v>0</v>
      </c>
      <c r="I40" s="175">
        <f>SUM('10ªCFB-U-FIS'!M38)</f>
        <v>0</v>
      </c>
      <c r="J40" s="175">
        <f>SUM('10ªCFB-U-QCA'!M38)</f>
        <v>0</v>
      </c>
      <c r="K40" s="175">
        <f>SUM('10ªCFB-U-BIOL'!M38)</f>
        <v>0</v>
      </c>
      <c r="L40" s="176">
        <f>SUM('10ªCFB-U-EMPREEND'!M38)</f>
        <v>2</v>
      </c>
      <c r="M40" s="89" t="s">
        <v>143</v>
      </c>
      <c r="N40" s="56">
        <f t="shared" si="0"/>
        <v>0.22222222222222221</v>
      </c>
      <c r="O40" s="114" t="s">
        <v>6</v>
      </c>
    </row>
    <row r="41" spans="1:15" ht="18" customHeight="1" thickBot="1" x14ac:dyDescent="0.35">
      <c r="A41" s="46">
        <v>31</v>
      </c>
      <c r="B41" s="118">
        <v>4011</v>
      </c>
      <c r="C41" s="123" t="s">
        <v>98</v>
      </c>
      <c r="D41" s="174">
        <f>SUM('10ªCFB-U-L PORT'!M39)</f>
        <v>0</v>
      </c>
      <c r="E41" s="175">
        <f>SUM('10ªCFB-U-INGLES'!M39)</f>
        <v>0</v>
      </c>
      <c r="F41" s="175">
        <f>SUM('10ªCFB-U-MAT'!M39)</f>
        <v>0</v>
      </c>
      <c r="G41" s="175">
        <f>SUM('10ªCFB-U-INFOR'!M39)</f>
        <v>0</v>
      </c>
      <c r="H41" s="175">
        <f>SUM('10ªCFB-U-ED. FIS'!M39)</f>
        <v>0</v>
      </c>
      <c r="I41" s="175">
        <f>SUM('10ªCFB-U-FIS'!M39)</f>
        <v>0</v>
      </c>
      <c r="J41" s="175">
        <f>SUM('10ªCFB-U-QCA'!M39)</f>
        <v>0</v>
      </c>
      <c r="K41" s="175">
        <f>SUM('10ªCFB-U-BIOL'!M39)</f>
        <v>0</v>
      </c>
      <c r="L41" s="176">
        <f>SUM('10ªCFB-U-EMPREEND'!M39)</f>
        <v>2</v>
      </c>
      <c r="M41" s="89" t="s">
        <v>143</v>
      </c>
      <c r="N41" s="56">
        <f t="shared" si="0"/>
        <v>0.22222222222222221</v>
      </c>
      <c r="O41" s="116" t="s">
        <v>6</v>
      </c>
    </row>
    <row r="42" spans="1:15" ht="18" customHeight="1" thickTop="1" thickBot="1" x14ac:dyDescent="0.35">
      <c r="A42" s="46">
        <v>32</v>
      </c>
      <c r="B42" s="119">
        <v>4763</v>
      </c>
      <c r="C42" s="124" t="s">
        <v>99</v>
      </c>
      <c r="D42" s="174">
        <f>SUM('10ªCFB-U-L PORT'!M40)</f>
        <v>2.5</v>
      </c>
      <c r="E42" s="175">
        <f>SUM('10ªCFB-U-INGLES'!M40)</f>
        <v>6.5</v>
      </c>
      <c r="F42" s="175">
        <f>SUM('10ªCFB-U-MAT'!M40)</f>
        <v>5</v>
      </c>
      <c r="G42" s="175">
        <f>SUM('10ªCFB-U-INFOR'!M40)</f>
        <v>3.75</v>
      </c>
      <c r="H42" s="175">
        <f>SUM('10ªCFB-U-ED. FIS'!M40)</f>
        <v>0</v>
      </c>
      <c r="I42" s="175">
        <f>SUM('10ªCFB-U-FIS'!M40)</f>
        <v>5</v>
      </c>
      <c r="J42" s="175">
        <f>SUM('10ªCFB-U-QCA'!M40)</f>
        <v>0</v>
      </c>
      <c r="K42" s="175">
        <f>SUM('10ªCFB-U-BIOL'!M40)</f>
        <v>6.5</v>
      </c>
      <c r="L42" s="176">
        <f>SUM('10ªCFB-U-EMPREEND'!M40)</f>
        <v>6.5</v>
      </c>
      <c r="M42" s="89" t="s">
        <v>8</v>
      </c>
      <c r="N42" s="56">
        <f t="shared" si="0"/>
        <v>3.9722222222222223</v>
      </c>
      <c r="O42" s="164" t="s">
        <v>6</v>
      </c>
    </row>
    <row r="43" spans="1:15" ht="18" customHeight="1" thickBot="1" x14ac:dyDescent="0.35">
      <c r="A43" s="46">
        <v>33</v>
      </c>
      <c r="B43" s="118">
        <v>4535</v>
      </c>
      <c r="C43" s="123" t="s">
        <v>100</v>
      </c>
      <c r="D43" s="174">
        <f>SUM('10ªCFB-U-L PORT'!M41)</f>
        <v>12</v>
      </c>
      <c r="E43" s="175">
        <f>SUM('10ªCFB-U-INGLES'!M41)</f>
        <v>15.5</v>
      </c>
      <c r="F43" s="175">
        <f>SUM('10ªCFB-U-MAT'!M41)</f>
        <v>13.5</v>
      </c>
      <c r="G43" s="175">
        <f>SUM('10ªCFB-U-INFOR'!M41)</f>
        <v>17.649999999999999</v>
      </c>
      <c r="H43" s="175">
        <f>SUM('10ªCFB-U-ED. FIS'!M41)</f>
        <v>15</v>
      </c>
      <c r="I43" s="175">
        <f>SUM('10ªCFB-U-FIS'!M41)</f>
        <v>7</v>
      </c>
      <c r="J43" s="175">
        <f>SUM('10ªCFB-U-QCA'!M41)</f>
        <v>12.25</v>
      </c>
      <c r="K43" s="175">
        <f>SUM('10ªCFB-U-BIOL'!M41)</f>
        <v>12</v>
      </c>
      <c r="L43" s="176">
        <f>SUM('10ªCFB-U-EMPREEND'!M41)</f>
        <v>7</v>
      </c>
      <c r="M43" s="89" t="s">
        <v>8</v>
      </c>
      <c r="N43" s="56">
        <f t="shared" si="0"/>
        <v>12.433333333333334</v>
      </c>
      <c r="O43" s="114" t="s">
        <v>6</v>
      </c>
    </row>
    <row r="44" spans="1:15" ht="18" customHeight="1" thickBot="1" x14ac:dyDescent="0.35">
      <c r="A44" s="46">
        <v>34</v>
      </c>
      <c r="B44" s="118">
        <v>4629</v>
      </c>
      <c r="C44" s="123" t="s">
        <v>101</v>
      </c>
      <c r="D44" s="174">
        <f>SUM('10ªCFB-U-L PORT'!M42)</f>
        <v>0</v>
      </c>
      <c r="E44" s="175">
        <f>SUM('10ªCFB-U-INGLES'!M42)</f>
        <v>0</v>
      </c>
      <c r="F44" s="175">
        <f>SUM('10ªCFB-U-MAT'!M42)</f>
        <v>0</v>
      </c>
      <c r="G44" s="175">
        <f>SUM('10ªCFB-U-INFOR'!M42)</f>
        <v>0</v>
      </c>
      <c r="H44" s="175">
        <f>SUM('10ªCFB-U-ED. FIS'!M42)</f>
        <v>0</v>
      </c>
      <c r="I44" s="175">
        <f>SUM('10ªCFB-U-FIS'!M42)</f>
        <v>0</v>
      </c>
      <c r="J44" s="175">
        <f>SUM('10ªCFB-U-QCA'!M42)</f>
        <v>0</v>
      </c>
      <c r="K44" s="175">
        <f>SUM('10ªCFB-U-BIOL'!M42)</f>
        <v>0</v>
      </c>
      <c r="L44" s="176">
        <f>SUM('10ªCFB-U-EMPREEND'!M42)</f>
        <v>5</v>
      </c>
      <c r="M44" s="89" t="s">
        <v>143</v>
      </c>
      <c r="N44" s="56">
        <f t="shared" si="0"/>
        <v>0.55555555555555558</v>
      </c>
      <c r="O44" s="114" t="s">
        <v>6</v>
      </c>
    </row>
    <row r="45" spans="1:15" ht="18" customHeight="1" thickBot="1" x14ac:dyDescent="0.35">
      <c r="A45" s="46">
        <v>35</v>
      </c>
      <c r="B45" s="118">
        <v>3744</v>
      </c>
      <c r="C45" s="123" t="s">
        <v>102</v>
      </c>
      <c r="D45" s="174">
        <f>SUM('10ªCFB-U-L PORT'!M43)</f>
        <v>5.5</v>
      </c>
      <c r="E45" s="175">
        <f>SUM('10ªCFB-U-INGLES'!M43)</f>
        <v>7.5</v>
      </c>
      <c r="F45" s="175">
        <f>SUM('10ªCFB-U-MAT'!M43)</f>
        <v>9.5</v>
      </c>
      <c r="G45" s="175">
        <f>SUM('10ªCFB-U-INFOR'!M43)</f>
        <v>6.5</v>
      </c>
      <c r="H45" s="175">
        <f>SUM('10ªCFB-U-ED. FIS'!M43)</f>
        <v>10</v>
      </c>
      <c r="I45" s="175">
        <f>SUM('10ªCFB-U-FIS'!M43)</f>
        <v>6</v>
      </c>
      <c r="J45" s="175">
        <f>SUM('10ªCFB-U-QCA'!M43)</f>
        <v>11.5</v>
      </c>
      <c r="K45" s="175">
        <f>SUM('10ªCFB-U-BIOL'!M43)</f>
        <v>7.5</v>
      </c>
      <c r="L45" s="176">
        <f>SUM('10ªCFB-U-EMPREEND'!M43)</f>
        <v>8</v>
      </c>
      <c r="M45" s="89" t="s">
        <v>8</v>
      </c>
      <c r="N45" s="56">
        <f t="shared" si="0"/>
        <v>8</v>
      </c>
      <c r="O45" s="114" t="s">
        <v>6</v>
      </c>
    </row>
    <row r="46" spans="1:15" ht="18" customHeight="1" thickBot="1" x14ac:dyDescent="0.35">
      <c r="A46" s="46">
        <v>36</v>
      </c>
      <c r="B46" s="118">
        <v>4691</v>
      </c>
      <c r="C46" s="123" t="s">
        <v>103</v>
      </c>
      <c r="D46" s="174">
        <f>SUM('10ªCFB-U-L PORT'!M44)</f>
        <v>0</v>
      </c>
      <c r="E46" s="175">
        <f>SUM('10ªCFB-U-INGLES'!M44)</f>
        <v>0</v>
      </c>
      <c r="F46" s="175">
        <f>SUM('10ªCFB-U-MAT'!M44)</f>
        <v>0</v>
      </c>
      <c r="G46" s="175">
        <f>SUM('10ªCFB-U-INFOR'!M44)</f>
        <v>0</v>
      </c>
      <c r="H46" s="175">
        <f>SUM('10ªCFB-U-ED. FIS'!M44)</f>
        <v>0</v>
      </c>
      <c r="I46" s="175">
        <f>SUM('10ªCFB-U-FIS'!M44)</f>
        <v>0</v>
      </c>
      <c r="J46" s="175">
        <f>SUM('10ªCFB-U-QCA'!M44)</f>
        <v>0</v>
      </c>
      <c r="K46" s="175">
        <f>SUM('10ªCFB-U-BIOL'!M44)</f>
        <v>0</v>
      </c>
      <c r="L46" s="176">
        <f>SUM('10ªCFB-U-EMPREEND'!M44)</f>
        <v>2</v>
      </c>
      <c r="M46" s="89" t="s">
        <v>144</v>
      </c>
      <c r="N46" s="56">
        <f t="shared" si="0"/>
        <v>0.22222222222222221</v>
      </c>
      <c r="O46" s="114" t="s">
        <v>5</v>
      </c>
    </row>
    <row r="47" spans="1:15" ht="18" customHeight="1" thickBot="1" x14ac:dyDescent="0.35">
      <c r="A47" s="46">
        <v>37</v>
      </c>
      <c r="B47" s="118">
        <v>4578</v>
      </c>
      <c r="C47" s="123" t="s">
        <v>104</v>
      </c>
      <c r="D47" s="174">
        <f>SUM('10ªCFB-U-L PORT'!M45)</f>
        <v>6.5</v>
      </c>
      <c r="E47" s="175">
        <f>SUM('10ªCFB-U-INGLES'!M45)</f>
        <v>5</v>
      </c>
      <c r="F47" s="175">
        <f>SUM('10ªCFB-U-MAT'!M45)</f>
        <v>9</v>
      </c>
      <c r="G47" s="175">
        <f>SUM('10ªCFB-U-INFOR'!M45)</f>
        <v>3.25</v>
      </c>
      <c r="H47" s="175">
        <f>SUM('10ªCFB-U-ED. FIS'!M45)</f>
        <v>0</v>
      </c>
      <c r="I47" s="175">
        <f>SUM('10ªCFB-U-FIS'!M45)</f>
        <v>5.5</v>
      </c>
      <c r="J47" s="175">
        <f>SUM('10ªCFB-U-QCA'!M45)</f>
        <v>10</v>
      </c>
      <c r="K47" s="175">
        <f>SUM('10ªCFB-U-BIOL'!M45)</f>
        <v>7.5</v>
      </c>
      <c r="L47" s="176">
        <f>SUM('10ªCFB-U-EMPREEND'!M45)</f>
        <v>4.5</v>
      </c>
      <c r="M47" s="89" t="s">
        <v>8</v>
      </c>
      <c r="N47" s="56">
        <f t="shared" si="0"/>
        <v>5.6944444444444446</v>
      </c>
      <c r="O47" s="114" t="s">
        <v>6</v>
      </c>
    </row>
    <row r="48" spans="1:15" ht="18" customHeight="1" thickBot="1" x14ac:dyDescent="0.35">
      <c r="A48" s="46">
        <v>38</v>
      </c>
      <c r="B48" s="118">
        <v>4585</v>
      </c>
      <c r="C48" s="123" t="s">
        <v>105</v>
      </c>
      <c r="D48" s="174">
        <f>SUM('10ªCFB-U-L PORT'!M46)</f>
        <v>0</v>
      </c>
      <c r="E48" s="175">
        <f>SUM('10ªCFB-U-INGLES'!M46)</f>
        <v>0</v>
      </c>
      <c r="F48" s="175">
        <f>SUM('10ªCFB-U-MAT'!M46)</f>
        <v>0</v>
      </c>
      <c r="G48" s="175">
        <f>SUM('10ªCFB-U-INFOR'!M46)</f>
        <v>0</v>
      </c>
      <c r="H48" s="175">
        <f>SUM('10ªCFB-U-ED. FIS'!M46)</f>
        <v>0</v>
      </c>
      <c r="I48" s="175">
        <f>SUM('10ªCFB-U-FIS'!M46)</f>
        <v>0</v>
      </c>
      <c r="J48" s="175">
        <f>SUM('10ªCFB-U-QCA'!M46)</f>
        <v>0</v>
      </c>
      <c r="K48" s="175">
        <f>SUM('10ªCFB-U-BIOL'!M46)</f>
        <v>0</v>
      </c>
      <c r="L48" s="176">
        <f>SUM('10ªCFB-U-EMPREEND'!M46)</f>
        <v>2</v>
      </c>
      <c r="M48" s="89" t="s">
        <v>143</v>
      </c>
      <c r="N48" s="56">
        <f t="shared" si="0"/>
        <v>0.22222222222222221</v>
      </c>
      <c r="O48" s="114" t="s">
        <v>6</v>
      </c>
    </row>
    <row r="49" spans="1:15" ht="18" customHeight="1" thickBot="1" x14ac:dyDescent="0.35">
      <c r="A49" s="46">
        <v>39</v>
      </c>
      <c r="B49" s="118">
        <v>4564</v>
      </c>
      <c r="C49" s="123" t="s">
        <v>106</v>
      </c>
      <c r="D49" s="174">
        <f>SUM('10ªCFB-U-L PORT'!M47)</f>
        <v>8.5</v>
      </c>
      <c r="E49" s="175">
        <f>SUM('10ªCFB-U-INGLES'!M47)</f>
        <v>13.5</v>
      </c>
      <c r="F49" s="175">
        <f>SUM('10ªCFB-U-MAT'!M47)</f>
        <v>12.5</v>
      </c>
      <c r="G49" s="175">
        <f>SUM('10ªCFB-U-INFOR'!M47)</f>
        <v>13.25</v>
      </c>
      <c r="H49" s="175">
        <f>SUM('10ªCFB-U-ED. FIS'!M47)</f>
        <v>16</v>
      </c>
      <c r="I49" s="175">
        <f>SUM('10ªCFB-U-FIS'!M47)</f>
        <v>10</v>
      </c>
      <c r="J49" s="175">
        <f>SUM('10ªCFB-U-QCA'!M47)</f>
        <v>10.5</v>
      </c>
      <c r="K49" s="175">
        <f>SUM('10ªCFB-U-BIOL'!M47)</f>
        <v>15</v>
      </c>
      <c r="L49" s="176">
        <f>SUM('10ªCFB-U-EMPREEND'!M47)</f>
        <v>5</v>
      </c>
      <c r="M49" s="89" t="s">
        <v>8</v>
      </c>
      <c r="N49" s="56">
        <f t="shared" si="0"/>
        <v>11.583333333333334</v>
      </c>
      <c r="O49" s="114" t="s">
        <v>6</v>
      </c>
    </row>
    <row r="50" spans="1:15" ht="18" customHeight="1" thickBot="1" x14ac:dyDescent="0.35">
      <c r="A50" s="46">
        <v>40</v>
      </c>
      <c r="B50" s="118">
        <v>3609</v>
      </c>
      <c r="C50" s="123" t="s">
        <v>145</v>
      </c>
      <c r="D50" s="174">
        <f>SUM('10ªCFB-U-L PORT'!M48)</f>
        <v>6</v>
      </c>
      <c r="E50" s="175">
        <f>SUM('10ªCFB-U-INGLES'!M48)</f>
        <v>7</v>
      </c>
      <c r="F50" s="175">
        <f>SUM('10ªCFB-U-MAT'!M48)</f>
        <v>8</v>
      </c>
      <c r="G50" s="175">
        <f>SUM('10ªCFB-U-INFOR'!M48)</f>
        <v>9.75</v>
      </c>
      <c r="H50" s="175">
        <f>SUM('10ªCFB-U-ED. FIS'!M48)</f>
        <v>0</v>
      </c>
      <c r="I50" s="175">
        <f>SUM('10ªCFB-U-FIS'!M48)</f>
        <v>6.75</v>
      </c>
      <c r="J50" s="175">
        <f>SUM('10ªCFB-U-QCA'!M48)</f>
        <v>11.5</v>
      </c>
      <c r="K50" s="175">
        <f>SUM('10ªCFB-U-BIOL'!M48)</f>
        <v>7.5</v>
      </c>
      <c r="L50" s="176">
        <f>SUM('10ªCFB-U-EMPREEND'!M48)</f>
        <v>8</v>
      </c>
      <c r="M50" s="89" t="s">
        <v>8</v>
      </c>
      <c r="N50" s="56">
        <f t="shared" si="0"/>
        <v>7.166666666666667</v>
      </c>
      <c r="O50" s="114" t="s">
        <v>6</v>
      </c>
    </row>
    <row r="51" spans="1:15" ht="18" customHeight="1" thickBot="1" x14ac:dyDescent="0.35">
      <c r="A51" s="46">
        <v>41</v>
      </c>
      <c r="B51" s="119">
        <v>4772</v>
      </c>
      <c r="C51" s="124" t="s">
        <v>107</v>
      </c>
      <c r="D51" s="174">
        <f>SUM('10ªCFB-U-L PORT'!M49)</f>
        <v>11.5</v>
      </c>
      <c r="E51" s="175">
        <f>SUM('10ªCFB-U-INGLES'!M49)</f>
        <v>10</v>
      </c>
      <c r="F51" s="175">
        <f>SUM('10ªCFB-U-MAT'!M49)</f>
        <v>17.5</v>
      </c>
      <c r="G51" s="175">
        <f>SUM('10ªCFB-U-INFOR'!M49)</f>
        <v>18.25</v>
      </c>
      <c r="H51" s="175">
        <f>SUM('10ªCFB-U-ED. FIS'!M49)</f>
        <v>0</v>
      </c>
      <c r="I51" s="175">
        <f>SUM('10ªCFB-U-FIS'!M49)</f>
        <v>10</v>
      </c>
      <c r="J51" s="175">
        <f>SUM('10ªCFB-U-QCA'!M49)</f>
        <v>11.5</v>
      </c>
      <c r="K51" s="175">
        <f>SUM('10ªCFB-U-BIOL'!M49)</f>
        <v>11.5</v>
      </c>
      <c r="L51" s="176">
        <f>SUM('10ªCFB-U-EMPREEND'!M49)</f>
        <v>12</v>
      </c>
      <c r="M51" s="89" t="s">
        <v>8</v>
      </c>
      <c r="N51" s="56">
        <f t="shared" si="0"/>
        <v>11.361111111111111</v>
      </c>
      <c r="O51" s="115" t="s">
        <v>5</v>
      </c>
    </row>
    <row r="52" spans="1:15" ht="18" customHeight="1" thickBot="1" x14ac:dyDescent="0.35">
      <c r="A52" s="46">
        <v>42</v>
      </c>
      <c r="B52" s="118">
        <v>4660</v>
      </c>
      <c r="C52" s="123" t="s">
        <v>108</v>
      </c>
      <c r="D52" s="174">
        <f>SUM('10ªCFB-U-L PORT'!M50)</f>
        <v>10</v>
      </c>
      <c r="E52" s="175">
        <f>SUM('10ªCFB-U-INGLES'!M50)</f>
        <v>15</v>
      </c>
      <c r="F52" s="175">
        <f>SUM('10ªCFB-U-MAT'!M50)</f>
        <v>13</v>
      </c>
      <c r="G52" s="175">
        <f>SUM('10ªCFB-U-INFOR'!M50)</f>
        <v>12</v>
      </c>
      <c r="H52" s="175">
        <f>SUM('10ªCFB-U-ED. FIS'!M50)</f>
        <v>16</v>
      </c>
      <c r="I52" s="175">
        <f>SUM('10ªCFB-U-FIS'!M50)</f>
        <v>10</v>
      </c>
      <c r="J52" s="175">
        <f>SUM('10ªCFB-U-QCA'!M50)</f>
        <v>13</v>
      </c>
      <c r="K52" s="175">
        <f>SUM('10ªCFB-U-BIOL'!M50)</f>
        <v>14</v>
      </c>
      <c r="L52" s="176">
        <f>SUM('10ªCFB-U-EMPREEND'!M50)</f>
        <v>5</v>
      </c>
      <c r="M52" s="89" t="s">
        <v>8</v>
      </c>
      <c r="N52" s="56">
        <f t="shared" si="0"/>
        <v>12</v>
      </c>
      <c r="O52" s="114" t="s">
        <v>6</v>
      </c>
    </row>
    <row r="53" spans="1:15" ht="18" customHeight="1" thickBot="1" x14ac:dyDescent="0.35">
      <c r="A53" s="46">
        <v>43</v>
      </c>
      <c r="B53" s="118">
        <v>3713</v>
      </c>
      <c r="C53" s="123" t="s">
        <v>109</v>
      </c>
      <c r="D53" s="174">
        <f>SUM('10ªCFB-U-L PORT'!M51)</f>
        <v>0</v>
      </c>
      <c r="E53" s="175">
        <f>SUM('10ªCFB-U-INGLES'!M51)</f>
        <v>1</v>
      </c>
      <c r="F53" s="175">
        <f>SUM('10ªCFB-U-MAT'!M51)</f>
        <v>0</v>
      </c>
      <c r="G53" s="175">
        <f>SUM('10ªCFB-U-INFOR'!M51)</f>
        <v>0</v>
      </c>
      <c r="H53" s="175">
        <f>SUM('10ªCFB-U-ED. FIS'!M51)</f>
        <v>0</v>
      </c>
      <c r="I53" s="175">
        <f>SUM('10ªCFB-U-FIS'!M51)</f>
        <v>0</v>
      </c>
      <c r="J53" s="175">
        <f>SUM('10ªCFB-U-QCA'!M51)</f>
        <v>0</v>
      </c>
      <c r="K53" s="175">
        <f>SUM('10ªCFB-U-BIOL'!M51)</f>
        <v>0</v>
      </c>
      <c r="L53" s="176">
        <f>SUM('10ªCFB-U-EMPREEND'!M51)</f>
        <v>2</v>
      </c>
      <c r="M53" s="89" t="s">
        <v>143</v>
      </c>
      <c r="N53" s="56">
        <f t="shared" si="0"/>
        <v>0.33333333333333331</v>
      </c>
      <c r="O53" s="114" t="s">
        <v>6</v>
      </c>
    </row>
    <row r="54" spans="1:15" ht="18" customHeight="1" thickBot="1" x14ac:dyDescent="0.35">
      <c r="A54" s="46">
        <v>44</v>
      </c>
      <c r="B54" s="118">
        <v>4573</v>
      </c>
      <c r="C54" s="123" t="s">
        <v>110</v>
      </c>
      <c r="D54" s="174">
        <f>SUM('10ªCFB-U-L PORT'!M52)</f>
        <v>8.5</v>
      </c>
      <c r="E54" s="175">
        <f>SUM('10ªCFB-U-INGLES'!M52)</f>
        <v>8.5</v>
      </c>
      <c r="F54" s="175">
        <f>SUM('10ªCFB-U-MAT'!M52)</f>
        <v>11</v>
      </c>
      <c r="G54" s="175">
        <f>SUM('10ªCFB-U-INFOR'!M52)</f>
        <v>13.5</v>
      </c>
      <c r="H54" s="175">
        <f>SUM('10ªCFB-U-ED. FIS'!M52)</f>
        <v>16</v>
      </c>
      <c r="I54" s="175">
        <f>SUM('10ªCFB-U-FIS'!M52)</f>
        <v>6.5</v>
      </c>
      <c r="J54" s="175">
        <f>SUM('10ªCFB-U-QCA'!M52)</f>
        <v>11.5</v>
      </c>
      <c r="K54" s="175">
        <f>SUM('10ªCFB-U-BIOL'!M52)</f>
        <v>7</v>
      </c>
      <c r="L54" s="176">
        <f>SUM('10ªCFB-U-EMPREEND'!M52)</f>
        <v>7.5</v>
      </c>
      <c r="M54" s="89" t="s">
        <v>8</v>
      </c>
      <c r="N54" s="56">
        <f t="shared" si="0"/>
        <v>10</v>
      </c>
      <c r="O54" s="114" t="s">
        <v>5</v>
      </c>
    </row>
    <row r="55" spans="1:15" ht="18" customHeight="1" thickBot="1" x14ac:dyDescent="0.35">
      <c r="A55" s="46">
        <v>45</v>
      </c>
      <c r="B55" s="118">
        <v>4135</v>
      </c>
      <c r="C55" s="123" t="s">
        <v>111</v>
      </c>
      <c r="D55" s="174">
        <f>SUM('10ªCFB-U-L PORT'!M53)</f>
        <v>0</v>
      </c>
      <c r="E55" s="175">
        <f>SUM('10ªCFB-U-INGLES'!M53)</f>
        <v>0</v>
      </c>
      <c r="F55" s="175">
        <f>SUM('10ªCFB-U-MAT'!M53)</f>
        <v>0</v>
      </c>
      <c r="G55" s="175">
        <f>SUM('10ªCFB-U-INFOR'!M53)</f>
        <v>0</v>
      </c>
      <c r="H55" s="175">
        <f>SUM('10ªCFB-U-ED. FIS'!M53)</f>
        <v>0</v>
      </c>
      <c r="I55" s="175">
        <f>SUM('10ªCFB-U-FIS'!M53)</f>
        <v>0</v>
      </c>
      <c r="J55" s="175">
        <f>SUM('10ªCFB-U-QCA'!M53)</f>
        <v>0</v>
      </c>
      <c r="K55" s="175">
        <f>SUM('10ªCFB-U-BIOL'!M53)</f>
        <v>0</v>
      </c>
      <c r="L55" s="176">
        <f>SUM('10ªCFB-U-EMPREEND'!M53)</f>
        <v>2</v>
      </c>
      <c r="M55" s="89" t="s">
        <v>143</v>
      </c>
      <c r="N55" s="56">
        <f t="shared" si="0"/>
        <v>0.22222222222222221</v>
      </c>
      <c r="O55" s="114" t="s">
        <v>6</v>
      </c>
    </row>
    <row r="56" spans="1:15" ht="18" customHeight="1" thickBot="1" x14ac:dyDescent="0.35">
      <c r="A56" s="46">
        <v>46</v>
      </c>
      <c r="B56" s="118">
        <v>3166</v>
      </c>
      <c r="C56" s="123" t="s">
        <v>112</v>
      </c>
      <c r="D56" s="174">
        <f>SUM('10ªCFB-U-L PORT'!M54)</f>
        <v>7.5</v>
      </c>
      <c r="E56" s="175">
        <f>SUM('10ªCFB-U-INGLES'!M54)</f>
        <v>9</v>
      </c>
      <c r="F56" s="175">
        <f>SUM('10ªCFB-U-MAT'!M54)</f>
        <v>12</v>
      </c>
      <c r="G56" s="175">
        <f>SUM('10ªCFB-U-INFOR'!M54)</f>
        <v>5</v>
      </c>
      <c r="H56" s="175">
        <f>SUM('10ªCFB-U-ED. FIS'!M54)</f>
        <v>17</v>
      </c>
      <c r="I56" s="175">
        <f>SUM('10ªCFB-U-FIS'!M54)</f>
        <v>7.75</v>
      </c>
      <c r="J56" s="175">
        <f>SUM('10ªCFB-U-QCA'!M54)</f>
        <v>9.5</v>
      </c>
      <c r="K56" s="175">
        <f>SUM('10ªCFB-U-BIOL'!M54)</f>
        <v>11</v>
      </c>
      <c r="L56" s="176">
        <f>SUM('10ªCFB-U-EMPREEND'!M54)</f>
        <v>6.5</v>
      </c>
      <c r="M56" s="89" t="s">
        <v>8</v>
      </c>
      <c r="N56" s="56">
        <f t="shared" si="0"/>
        <v>9.4722222222222214</v>
      </c>
      <c r="O56" s="114" t="s">
        <v>6</v>
      </c>
    </row>
    <row r="57" spans="1:15" ht="18" customHeight="1" thickBot="1" x14ac:dyDescent="0.35">
      <c r="A57" s="46">
        <v>47</v>
      </c>
      <c r="B57" s="118">
        <v>4560</v>
      </c>
      <c r="C57" s="123" t="s">
        <v>141</v>
      </c>
      <c r="D57" s="174">
        <f>SUM('10ªCFB-U-L PORT'!M55)</f>
        <v>2.5</v>
      </c>
      <c r="E57" s="175">
        <f>SUM('10ªCFB-U-INGLES'!M55)</f>
        <v>6</v>
      </c>
      <c r="F57" s="175">
        <f>SUM('10ªCFB-U-MAT'!M55)</f>
        <v>6.5</v>
      </c>
      <c r="G57" s="175">
        <f>SUM('10ªCFB-U-INFOR'!M55)</f>
        <v>3.25</v>
      </c>
      <c r="H57" s="175">
        <f>SUM('10ªCFB-U-ED. FIS'!M55)</f>
        <v>0</v>
      </c>
      <c r="I57" s="175">
        <f>SUM('10ªCFB-U-FIS'!M55)</f>
        <v>5</v>
      </c>
      <c r="J57" s="175">
        <f>SUM('10ªCFB-U-QCA'!M55)</f>
        <v>9.5</v>
      </c>
      <c r="K57" s="175">
        <f>SUM('10ªCFB-U-BIOL'!M55)</f>
        <v>5</v>
      </c>
      <c r="L57" s="176">
        <f>SUM('10ªCFB-U-EMPREEND'!M55)</f>
        <v>8.5</v>
      </c>
      <c r="M57" s="89" t="s">
        <v>8</v>
      </c>
      <c r="N57" s="56">
        <f t="shared" si="0"/>
        <v>5.1388888888888893</v>
      </c>
      <c r="O57" s="114" t="s">
        <v>6</v>
      </c>
    </row>
    <row r="58" spans="1:15" ht="18" customHeight="1" thickBot="1" x14ac:dyDescent="0.35">
      <c r="A58" s="46">
        <v>48</v>
      </c>
      <c r="B58" s="118">
        <v>4575</v>
      </c>
      <c r="C58" s="123" t="s">
        <v>113</v>
      </c>
      <c r="D58" s="174">
        <f>SUM('10ªCFB-U-L PORT'!M56)</f>
        <v>10</v>
      </c>
      <c r="E58" s="175">
        <f>SUM('10ªCFB-U-INGLES'!M56)</f>
        <v>0</v>
      </c>
      <c r="F58" s="175">
        <f>SUM('10ªCFB-U-MAT'!M56)</f>
        <v>0</v>
      </c>
      <c r="G58" s="175">
        <f>SUM('10ªCFB-U-INFOR'!M56)</f>
        <v>0</v>
      </c>
      <c r="H58" s="175">
        <f>SUM('10ªCFB-U-ED. FIS'!M56)</f>
        <v>0</v>
      </c>
      <c r="I58" s="175">
        <f>SUM('10ªCFB-U-FIS'!M56)</f>
        <v>0</v>
      </c>
      <c r="J58" s="175">
        <f>SUM('10ªCFB-U-QCA'!M56)</f>
        <v>0</v>
      </c>
      <c r="K58" s="175">
        <f>SUM('10ªCFB-U-BIOL'!M56)</f>
        <v>0</v>
      </c>
      <c r="L58" s="176">
        <f>SUM('10ªCFB-U-EMPREEND'!M56)</f>
        <v>2</v>
      </c>
      <c r="M58" s="89" t="s">
        <v>143</v>
      </c>
      <c r="N58" s="56">
        <f t="shared" si="0"/>
        <v>1.3333333333333333</v>
      </c>
      <c r="O58" s="114" t="s">
        <v>6</v>
      </c>
    </row>
    <row r="59" spans="1:15" ht="18" customHeight="1" thickBot="1" x14ac:dyDescent="0.35">
      <c r="A59" s="46">
        <v>49</v>
      </c>
      <c r="B59" s="120">
        <v>3769</v>
      </c>
      <c r="C59" s="123" t="s">
        <v>114</v>
      </c>
      <c r="D59" s="174">
        <f>SUM('10ªCFB-U-L PORT'!M57)</f>
        <v>0</v>
      </c>
      <c r="E59" s="175">
        <f>SUM('10ªCFB-U-INGLES'!M57)</f>
        <v>0</v>
      </c>
      <c r="F59" s="175">
        <f>SUM('10ªCFB-U-MAT'!M57)</f>
        <v>7.5</v>
      </c>
      <c r="G59" s="175">
        <f>SUM('10ªCFB-U-INFOR'!M57)</f>
        <v>1.75</v>
      </c>
      <c r="H59" s="175">
        <f>SUM('10ªCFB-U-ED. FIS'!M57)</f>
        <v>0</v>
      </c>
      <c r="I59" s="175">
        <f>SUM('10ªCFB-U-FIS'!M57)</f>
        <v>8.5</v>
      </c>
      <c r="J59" s="175">
        <f>SUM('10ªCFB-U-QCA'!M57)</f>
        <v>0</v>
      </c>
      <c r="K59" s="175">
        <f>SUM('10ªCFB-U-BIOL'!M57)</f>
        <v>8</v>
      </c>
      <c r="L59" s="176">
        <f>SUM('10ªCFB-U-EMPREEND'!M57)</f>
        <v>7</v>
      </c>
      <c r="M59" s="89" t="s">
        <v>8</v>
      </c>
      <c r="N59" s="56">
        <f t="shared" si="0"/>
        <v>3.6388888888888888</v>
      </c>
      <c r="O59" s="114" t="s">
        <v>6</v>
      </c>
    </row>
    <row r="60" spans="1:15" ht="18" customHeight="1" thickBot="1" x14ac:dyDescent="0.35">
      <c r="A60" s="46">
        <v>50</v>
      </c>
      <c r="B60" s="118">
        <v>2231</v>
      </c>
      <c r="C60" s="123" t="s">
        <v>115</v>
      </c>
      <c r="D60" s="174">
        <f>SUM('10ªCFB-U-L PORT'!M58)</f>
        <v>10.5</v>
      </c>
      <c r="E60" s="175">
        <f>SUM('10ªCFB-U-INGLES'!M58)</f>
        <v>13</v>
      </c>
      <c r="F60" s="175">
        <f>SUM('10ªCFB-U-MAT'!M58)</f>
        <v>14</v>
      </c>
      <c r="G60" s="175">
        <f>SUM('10ªCFB-U-INFOR'!M58)</f>
        <v>14.5</v>
      </c>
      <c r="H60" s="175">
        <f>SUM('10ªCFB-U-ED. FIS'!M58)</f>
        <v>17</v>
      </c>
      <c r="I60" s="175">
        <f>SUM('10ªCFB-U-FIS'!M58)</f>
        <v>10</v>
      </c>
      <c r="J60" s="175">
        <f>SUM('10ªCFB-U-QCA'!M58)</f>
        <v>13</v>
      </c>
      <c r="K60" s="175">
        <f>SUM('10ªCFB-U-BIOL'!M58)</f>
        <v>15.5</v>
      </c>
      <c r="L60" s="176">
        <f>SUM('10ªCFB-U-EMPREEND'!M58)</f>
        <v>9.5</v>
      </c>
      <c r="M60" s="89" t="s">
        <v>7</v>
      </c>
      <c r="N60" s="56">
        <f t="shared" si="0"/>
        <v>13</v>
      </c>
      <c r="O60" s="114" t="s">
        <v>6</v>
      </c>
    </row>
    <row r="61" spans="1:15" ht="18" customHeight="1" thickBot="1" x14ac:dyDescent="0.35">
      <c r="A61" s="46">
        <v>51</v>
      </c>
      <c r="B61" s="118">
        <v>4638</v>
      </c>
      <c r="C61" s="123" t="s">
        <v>116</v>
      </c>
      <c r="D61" s="174">
        <f>SUM('10ªCFB-U-L PORT'!M59)</f>
        <v>0</v>
      </c>
      <c r="E61" s="175">
        <f>SUM('10ªCFB-U-INGLES'!M59)</f>
        <v>0</v>
      </c>
      <c r="F61" s="175">
        <f>SUM('10ªCFB-U-MAT'!M59)</f>
        <v>0</v>
      </c>
      <c r="G61" s="175">
        <f>SUM('10ªCFB-U-INFOR'!M59)</f>
        <v>0</v>
      </c>
      <c r="H61" s="175">
        <f>SUM('10ªCFB-U-ED. FIS'!M59)</f>
        <v>0</v>
      </c>
      <c r="I61" s="175">
        <f>SUM('10ªCFB-U-FIS'!M59)</f>
        <v>0</v>
      </c>
      <c r="J61" s="175">
        <f>SUM('10ªCFB-U-QCA'!M59)</f>
        <v>0</v>
      </c>
      <c r="K61" s="175">
        <f>SUM('10ªCFB-U-BIOL'!M59)</f>
        <v>0</v>
      </c>
      <c r="L61" s="176">
        <f>SUM('10ªCFB-U-EMPREEND'!M59)</f>
        <v>2</v>
      </c>
      <c r="M61" s="89" t="s">
        <v>143</v>
      </c>
      <c r="N61" s="56">
        <f t="shared" si="0"/>
        <v>0.22222222222222221</v>
      </c>
      <c r="O61" s="114" t="s">
        <v>6</v>
      </c>
    </row>
    <row r="62" spans="1:15" ht="18" customHeight="1" thickBot="1" x14ac:dyDescent="0.35">
      <c r="A62" s="46">
        <v>52</v>
      </c>
      <c r="B62" s="118">
        <v>4554</v>
      </c>
      <c r="C62" s="123" t="s">
        <v>117</v>
      </c>
      <c r="D62" s="174">
        <f>SUM('10ªCFB-U-L PORT'!M60)</f>
        <v>8</v>
      </c>
      <c r="E62" s="175">
        <f>SUM('10ªCFB-U-INGLES'!M60)</f>
        <v>10</v>
      </c>
      <c r="F62" s="175">
        <f>SUM('10ªCFB-U-MAT'!M60)</f>
        <v>12</v>
      </c>
      <c r="G62" s="175">
        <f>SUM('10ªCFB-U-INFOR'!M60)</f>
        <v>8.75</v>
      </c>
      <c r="H62" s="175">
        <f>SUM('10ªCFB-U-ED. FIS'!M60)</f>
        <v>7</v>
      </c>
      <c r="I62" s="175">
        <f>SUM('10ªCFB-U-FIS'!M60)</f>
        <v>5.25</v>
      </c>
      <c r="J62" s="175">
        <f>SUM('10ªCFB-U-QCA'!M60)</f>
        <v>9</v>
      </c>
      <c r="K62" s="175">
        <f>SUM('10ªCFB-U-BIOL'!M60)</f>
        <v>8</v>
      </c>
      <c r="L62" s="176">
        <f>SUM('10ªCFB-U-EMPREEND'!M60)</f>
        <v>6</v>
      </c>
      <c r="M62" s="89" t="s">
        <v>8</v>
      </c>
      <c r="N62" s="56">
        <f t="shared" si="0"/>
        <v>8.2222222222222214</v>
      </c>
      <c r="O62" s="114" t="s">
        <v>6</v>
      </c>
    </row>
    <row r="63" spans="1:15" ht="18" customHeight="1" thickBot="1" x14ac:dyDescent="0.35">
      <c r="A63" s="46">
        <v>53</v>
      </c>
      <c r="B63" s="118">
        <v>4600</v>
      </c>
      <c r="C63" s="123" t="s">
        <v>118</v>
      </c>
      <c r="D63" s="174">
        <f>SUM('10ªCFB-U-L PORT'!M61)</f>
        <v>0</v>
      </c>
      <c r="E63" s="175">
        <f>SUM('10ªCFB-U-INGLES'!M61)</f>
        <v>0</v>
      </c>
      <c r="F63" s="175">
        <f>SUM('10ªCFB-U-MAT'!M61)</f>
        <v>0</v>
      </c>
      <c r="G63" s="175">
        <f>SUM('10ªCFB-U-INFOR'!M61)</f>
        <v>0</v>
      </c>
      <c r="H63" s="175">
        <f>SUM('10ªCFB-U-ED. FIS'!M61)</f>
        <v>0</v>
      </c>
      <c r="I63" s="175">
        <f>SUM('10ªCFB-U-FIS'!M61)</f>
        <v>0</v>
      </c>
      <c r="J63" s="175">
        <f>SUM('10ªCFB-U-QCA'!M61)</f>
        <v>0</v>
      </c>
      <c r="K63" s="175">
        <f>SUM('10ªCFB-U-BIOL'!M61)</f>
        <v>0</v>
      </c>
      <c r="L63" s="176">
        <f>SUM('10ªCFB-U-EMPREEND'!M61)</f>
        <v>2</v>
      </c>
      <c r="M63" s="89" t="s">
        <v>143</v>
      </c>
      <c r="N63" s="56">
        <f t="shared" si="0"/>
        <v>0.22222222222222221</v>
      </c>
      <c r="O63" s="114" t="s">
        <v>6</v>
      </c>
    </row>
    <row r="64" spans="1:15" ht="18" customHeight="1" thickBot="1" x14ac:dyDescent="0.35">
      <c r="A64" s="46">
        <v>54</v>
      </c>
      <c r="B64" s="119">
        <v>4731</v>
      </c>
      <c r="C64" s="124" t="s">
        <v>119</v>
      </c>
      <c r="D64" s="174">
        <f>SUM('10ªCFB-U-L PORT'!M62)</f>
        <v>0</v>
      </c>
      <c r="E64" s="175">
        <f>SUM('10ªCFB-U-INGLES'!M62)</f>
        <v>0</v>
      </c>
      <c r="F64" s="175">
        <f>SUM('10ªCFB-U-MAT'!M62)</f>
        <v>0</v>
      </c>
      <c r="G64" s="175">
        <f>SUM('10ªCFB-U-INFOR'!M62)</f>
        <v>0</v>
      </c>
      <c r="H64" s="175">
        <f>SUM('10ªCFB-U-ED. FIS'!M62)</f>
        <v>0</v>
      </c>
      <c r="I64" s="175">
        <f>SUM('10ªCFB-U-FIS'!M62)</f>
        <v>0</v>
      </c>
      <c r="J64" s="175">
        <f>SUM('10ªCFB-U-QCA'!M62)</f>
        <v>0</v>
      </c>
      <c r="K64" s="175">
        <f>SUM('10ªCFB-U-BIOL'!M62)</f>
        <v>0</v>
      </c>
      <c r="L64" s="176">
        <f>SUM('10ªCFB-U-EMPREEND'!M62)</f>
        <v>2</v>
      </c>
      <c r="M64" s="89" t="s">
        <v>143</v>
      </c>
      <c r="N64" s="56">
        <f t="shared" si="0"/>
        <v>0.22222222222222221</v>
      </c>
      <c r="O64" s="115" t="s">
        <v>129</v>
      </c>
    </row>
    <row r="65" spans="1:15" ht="18" customHeight="1" thickBot="1" x14ac:dyDescent="0.35">
      <c r="A65" s="46">
        <v>55</v>
      </c>
      <c r="B65" s="118">
        <v>4668</v>
      </c>
      <c r="C65" s="123" t="s">
        <v>120</v>
      </c>
      <c r="D65" s="174">
        <f>SUM('10ªCFB-U-L PORT'!M63)</f>
        <v>7.75</v>
      </c>
      <c r="E65" s="175">
        <f>SUM('10ªCFB-U-INGLES'!M63)</f>
        <v>8.5</v>
      </c>
      <c r="F65" s="175">
        <f>SUM('10ªCFB-U-MAT'!M63)</f>
        <v>11</v>
      </c>
      <c r="G65" s="175">
        <f>SUM('10ªCFB-U-INFOR'!M63)</f>
        <v>13.5</v>
      </c>
      <c r="H65" s="175">
        <f>SUM('10ªCFB-U-ED. FIS'!M63)</f>
        <v>15</v>
      </c>
      <c r="I65" s="175">
        <f>SUM('10ªCFB-U-FIS'!M63)</f>
        <v>8.5</v>
      </c>
      <c r="J65" s="175">
        <f>SUM('10ªCFB-U-QCA'!M63)</f>
        <v>11</v>
      </c>
      <c r="K65" s="175">
        <f>SUM('10ªCFB-U-BIOL'!M63)</f>
        <v>15</v>
      </c>
      <c r="L65" s="176">
        <f>SUM('10ªCFB-U-EMPREEND'!M63)</f>
        <v>13</v>
      </c>
      <c r="M65" s="89" t="s">
        <v>8</v>
      </c>
      <c r="N65" s="56">
        <f t="shared" si="0"/>
        <v>11.472222222222221</v>
      </c>
      <c r="O65" s="114" t="s">
        <v>6</v>
      </c>
    </row>
    <row r="66" spans="1:15" ht="18" customHeight="1" thickBot="1" x14ac:dyDescent="0.35">
      <c r="A66" s="46">
        <v>56</v>
      </c>
      <c r="B66" s="118">
        <v>4682</v>
      </c>
      <c r="C66" s="123" t="s">
        <v>121</v>
      </c>
      <c r="D66" s="174">
        <f>SUM('10ªCFB-U-L PORT'!M64)</f>
        <v>2.5</v>
      </c>
      <c r="E66" s="175">
        <f>SUM('10ªCFB-U-INGLES'!M64)</f>
        <v>8</v>
      </c>
      <c r="F66" s="175">
        <f>SUM('10ªCFB-U-MAT'!M64)</f>
        <v>10.5</v>
      </c>
      <c r="G66" s="175">
        <f>SUM('10ªCFB-U-INFOR'!M64)</f>
        <v>7</v>
      </c>
      <c r="H66" s="175">
        <f>SUM('10ªCFB-U-ED. FIS'!M64)</f>
        <v>0</v>
      </c>
      <c r="I66" s="175">
        <f>SUM('10ªCFB-U-FIS'!M64)</f>
        <v>0</v>
      </c>
      <c r="J66" s="175">
        <f>SUM('10ªCFB-U-QCA'!M64)</f>
        <v>11</v>
      </c>
      <c r="K66" s="175">
        <f>SUM('10ªCFB-U-BIOL'!M64)</f>
        <v>8</v>
      </c>
      <c r="L66" s="176">
        <f>SUM('10ªCFB-U-EMPREEND'!M64)</f>
        <v>7</v>
      </c>
      <c r="M66" s="89" t="s">
        <v>8</v>
      </c>
      <c r="N66" s="56">
        <f t="shared" si="0"/>
        <v>6</v>
      </c>
      <c r="O66" s="114" t="s">
        <v>6</v>
      </c>
    </row>
    <row r="67" spans="1:15" ht="18" customHeight="1" thickBot="1" x14ac:dyDescent="0.35">
      <c r="A67" s="46">
        <v>57</v>
      </c>
      <c r="B67" s="118">
        <v>4275</v>
      </c>
      <c r="C67" s="123" t="s">
        <v>122</v>
      </c>
      <c r="D67" s="174">
        <f>SUM('10ªCFB-U-L PORT'!M65)</f>
        <v>0</v>
      </c>
      <c r="E67" s="175">
        <f>SUM('10ªCFB-U-INGLES'!M65)</f>
        <v>0</v>
      </c>
      <c r="F67" s="175">
        <f>SUM('10ªCFB-U-MAT'!M65)</f>
        <v>0</v>
      </c>
      <c r="G67" s="175">
        <f>SUM('10ªCFB-U-INFOR'!M65)</f>
        <v>0</v>
      </c>
      <c r="H67" s="175">
        <f>SUM('10ªCFB-U-ED. FIS'!M65)</f>
        <v>0</v>
      </c>
      <c r="I67" s="175">
        <f>SUM('10ªCFB-U-FIS'!M65)</f>
        <v>0</v>
      </c>
      <c r="J67" s="175">
        <f>SUM('10ªCFB-U-QCA'!M65)</f>
        <v>0</v>
      </c>
      <c r="K67" s="175">
        <f>SUM('10ªCFB-U-BIOL'!M65)</f>
        <v>0</v>
      </c>
      <c r="L67" s="176">
        <f>SUM('10ªCFB-U-EMPREEND'!M65)</f>
        <v>2</v>
      </c>
      <c r="M67" s="89" t="s">
        <v>144</v>
      </c>
      <c r="N67" s="56">
        <f t="shared" si="0"/>
        <v>0.22222222222222221</v>
      </c>
      <c r="O67" s="114" t="s">
        <v>5</v>
      </c>
    </row>
    <row r="68" spans="1:15" ht="18" customHeight="1" thickBot="1" x14ac:dyDescent="0.35">
      <c r="A68" s="46">
        <v>58</v>
      </c>
      <c r="B68" s="118">
        <v>4614</v>
      </c>
      <c r="C68" s="123" t="s">
        <v>123</v>
      </c>
      <c r="D68" s="174">
        <f>SUM('10ªCFB-U-L PORT'!M66)</f>
        <v>8.5</v>
      </c>
      <c r="E68" s="175">
        <f>SUM('10ªCFB-U-INGLES'!M66)</f>
        <v>10</v>
      </c>
      <c r="F68" s="175">
        <f>SUM('10ªCFB-U-MAT'!M66)</f>
        <v>12.5</v>
      </c>
      <c r="G68" s="175">
        <f>SUM('10ªCFB-U-INFOR'!M66)</f>
        <v>12.25</v>
      </c>
      <c r="H68" s="175">
        <f>SUM('10ªCFB-U-ED. FIS'!M66)</f>
        <v>7</v>
      </c>
      <c r="I68" s="175">
        <f>SUM('10ªCFB-U-FIS'!M66)</f>
        <v>7.5</v>
      </c>
      <c r="J68" s="175">
        <f>SUM('10ªCFB-U-QCA'!M66)</f>
        <v>8.5</v>
      </c>
      <c r="K68" s="175">
        <f>SUM('10ªCFB-U-BIOL'!M66)</f>
        <v>13</v>
      </c>
      <c r="L68" s="176">
        <f>SUM('10ªCFB-U-EMPREEND'!M66)</f>
        <v>11</v>
      </c>
      <c r="M68" s="89" t="s">
        <v>8</v>
      </c>
      <c r="N68" s="56">
        <f t="shared" si="0"/>
        <v>10.027777777777779</v>
      </c>
      <c r="O68" s="114" t="s">
        <v>6</v>
      </c>
    </row>
    <row r="69" spans="1:15" ht="18" customHeight="1" thickBot="1" x14ac:dyDescent="0.35">
      <c r="A69" s="46">
        <v>59</v>
      </c>
      <c r="B69" s="118">
        <v>4544</v>
      </c>
      <c r="C69" s="123" t="s">
        <v>124</v>
      </c>
      <c r="D69" s="174">
        <f>SUM('10ªCFB-U-L PORT'!M67)</f>
        <v>8.5</v>
      </c>
      <c r="E69" s="175">
        <f>SUM('10ªCFB-U-INGLES'!M67)</f>
        <v>11</v>
      </c>
      <c r="F69" s="175">
        <f>SUM('10ªCFB-U-MAT'!M67)</f>
        <v>12</v>
      </c>
      <c r="G69" s="175">
        <f>SUM('10ªCFB-U-INFOR'!M67)</f>
        <v>9</v>
      </c>
      <c r="H69" s="175">
        <f>SUM('10ªCFB-U-ED. FIS'!M67)</f>
        <v>0</v>
      </c>
      <c r="I69" s="175">
        <f>SUM('10ªCFB-U-FIS'!M67)</f>
        <v>10</v>
      </c>
      <c r="J69" s="175">
        <f>SUM('10ªCFB-U-QCA'!M67)</f>
        <v>9.5</v>
      </c>
      <c r="K69" s="175">
        <f>SUM('10ªCFB-U-BIOL'!M67)</f>
        <v>11.5</v>
      </c>
      <c r="L69" s="176">
        <f>SUM('10ªCFB-U-EMPREEND'!M67)</f>
        <v>6.5</v>
      </c>
      <c r="M69" s="89" t="s">
        <v>8</v>
      </c>
      <c r="N69" s="56">
        <f t="shared" si="0"/>
        <v>8.6666666666666661</v>
      </c>
      <c r="O69" s="114" t="s">
        <v>5</v>
      </c>
    </row>
    <row r="70" spans="1:15" ht="18" customHeight="1" thickBot="1" x14ac:dyDescent="0.35">
      <c r="A70" s="46">
        <v>60</v>
      </c>
      <c r="B70" s="119">
        <v>4734</v>
      </c>
      <c r="C70" s="124" t="s">
        <v>125</v>
      </c>
      <c r="D70" s="174">
        <f>SUM('10ªCFB-U-L PORT'!M68)</f>
        <v>8.5</v>
      </c>
      <c r="E70" s="175">
        <f>SUM('10ªCFB-U-INGLES'!M68)</f>
        <v>9.5</v>
      </c>
      <c r="F70" s="175">
        <f>SUM('10ªCFB-U-MAT'!M68)</f>
        <v>10</v>
      </c>
      <c r="G70" s="175">
        <f>SUM('10ªCFB-U-INFOR'!M68)</f>
        <v>8.75</v>
      </c>
      <c r="H70" s="175">
        <f>SUM('10ªCFB-U-ED. FIS'!M68)</f>
        <v>5</v>
      </c>
      <c r="I70" s="175">
        <f>SUM('10ªCFB-U-FIS'!M68)</f>
        <v>5</v>
      </c>
      <c r="J70" s="175">
        <f>SUM('10ªCFB-U-QCA'!M68)</f>
        <v>11.25</v>
      </c>
      <c r="K70" s="175">
        <f>SUM('10ªCFB-U-BIOL'!M68)</f>
        <v>7.5</v>
      </c>
      <c r="L70" s="176">
        <f>SUM('10ªCFB-U-EMPREEND'!M68)</f>
        <v>5</v>
      </c>
      <c r="M70" s="89" t="s">
        <v>8</v>
      </c>
      <c r="N70" s="56">
        <f t="shared" si="0"/>
        <v>7.833333333333333</v>
      </c>
      <c r="O70" s="115" t="s">
        <v>6</v>
      </c>
    </row>
    <row r="71" spans="1:15" ht="18" customHeight="1" thickBot="1" x14ac:dyDescent="0.35">
      <c r="A71" s="46">
        <v>61</v>
      </c>
      <c r="B71" s="118">
        <v>4656</v>
      </c>
      <c r="C71" s="123" t="s">
        <v>126</v>
      </c>
      <c r="D71" s="174">
        <f>SUM('10ªCFB-U-L PORT'!M69)</f>
        <v>0</v>
      </c>
      <c r="E71" s="175">
        <f>SUM('10ªCFB-U-INGLES'!M69)</f>
        <v>0</v>
      </c>
      <c r="F71" s="175">
        <f>SUM('10ªCFB-U-MAT'!M69)</f>
        <v>0</v>
      </c>
      <c r="G71" s="175">
        <f>SUM('10ªCFB-U-INFOR'!M69)</f>
        <v>0</v>
      </c>
      <c r="H71" s="175">
        <f>SUM('10ªCFB-U-ED. FIS'!M69)</f>
        <v>0</v>
      </c>
      <c r="I71" s="175">
        <f>SUM('10ªCFB-U-FIS'!M69)</f>
        <v>0</v>
      </c>
      <c r="J71" s="175">
        <f>SUM('10ªCFB-U-QCA'!M69)</f>
        <v>0</v>
      </c>
      <c r="K71" s="175">
        <f>SUM('10ªCFB-U-BIOL'!M69)</f>
        <v>0</v>
      </c>
      <c r="L71" s="176">
        <f>SUM('10ªCFB-U-EMPREEND'!M69)</f>
        <v>2</v>
      </c>
      <c r="M71" s="89" t="s">
        <v>143</v>
      </c>
      <c r="N71" s="56">
        <f t="shared" si="0"/>
        <v>0.22222222222222221</v>
      </c>
      <c r="O71" s="114" t="s">
        <v>6</v>
      </c>
    </row>
    <row r="72" spans="1:15" ht="18" customHeight="1" thickBot="1" x14ac:dyDescent="0.35">
      <c r="A72" s="46">
        <v>62</v>
      </c>
      <c r="B72" s="118">
        <v>4618</v>
      </c>
      <c r="C72" s="123" t="s">
        <v>127</v>
      </c>
      <c r="D72" s="174">
        <f>SUM('10ªCFB-U-L PORT'!M70)</f>
        <v>0</v>
      </c>
      <c r="E72" s="175">
        <f>SUM('10ªCFB-U-INGLES'!M70)</f>
        <v>0</v>
      </c>
      <c r="F72" s="175">
        <f>SUM('10ªCFB-U-MAT'!M70)</f>
        <v>0</v>
      </c>
      <c r="G72" s="175">
        <f>SUM('10ªCFB-U-INFOR'!M70)</f>
        <v>0</v>
      </c>
      <c r="H72" s="175">
        <f>SUM('10ªCFB-U-ED. FIS'!M70)</f>
        <v>0</v>
      </c>
      <c r="I72" s="175">
        <f>SUM('10ªCFB-U-FIS'!M70)</f>
        <v>0</v>
      </c>
      <c r="J72" s="175">
        <f>SUM('10ªCFB-U-QCA'!M70)</f>
        <v>0</v>
      </c>
      <c r="K72" s="175">
        <f>SUM('10ªCFB-U-BIOL'!M70)</f>
        <v>0</v>
      </c>
      <c r="L72" s="176">
        <f>SUM('10ªCFB-U-EMPREEND'!M70)</f>
        <v>2</v>
      </c>
      <c r="M72" s="89" t="s">
        <v>144</v>
      </c>
      <c r="N72" s="56">
        <f t="shared" si="0"/>
        <v>0.22222222222222221</v>
      </c>
      <c r="O72" s="114" t="s">
        <v>5</v>
      </c>
    </row>
    <row r="73" spans="1:15" ht="18" customHeight="1" thickBot="1" x14ac:dyDescent="0.35">
      <c r="A73" s="46">
        <v>63</v>
      </c>
      <c r="B73" s="121">
        <v>4556</v>
      </c>
      <c r="C73" s="125" t="s">
        <v>128</v>
      </c>
      <c r="D73" s="185">
        <f>SUM('10ªCFB-U-L PORT'!M71)</f>
        <v>0</v>
      </c>
      <c r="E73" s="186">
        <f>SUM('10ªCFB-U-INGLES'!M71)</f>
        <v>0</v>
      </c>
      <c r="F73" s="186">
        <f>SUM('10ªCFB-U-MAT'!M71)</f>
        <v>0</v>
      </c>
      <c r="G73" s="186">
        <f>SUM('10ªCFB-U-INFOR'!M71)</f>
        <v>0</v>
      </c>
      <c r="H73" s="186">
        <f>SUM('10ªCFB-U-ED. FIS'!M71)</f>
        <v>0</v>
      </c>
      <c r="I73" s="186">
        <f>SUM('10ªCFB-U-FIS'!M71)</f>
        <v>0</v>
      </c>
      <c r="J73" s="186">
        <f>SUM('10ªCFB-U-QCA'!M71)</f>
        <v>0</v>
      </c>
      <c r="K73" s="186">
        <f>SUM('10ªCFB-U-BIOL'!M71)</f>
        <v>6.5</v>
      </c>
      <c r="L73" s="187">
        <f>SUM('10ªCFB-U-EMPREEND'!M71)</f>
        <v>2</v>
      </c>
      <c r="M73" s="91" t="s">
        <v>143</v>
      </c>
      <c r="N73" s="57">
        <f t="shared" si="0"/>
        <v>0.94444444444444442</v>
      </c>
      <c r="O73" s="116" t="s">
        <v>6</v>
      </c>
    </row>
    <row r="74" spans="1:15" ht="6" customHeight="1" x14ac:dyDescent="0.3">
      <c r="A74" s="11"/>
      <c r="B74" s="11"/>
      <c r="C74" s="12"/>
      <c r="D74" s="13"/>
      <c r="E74" s="13"/>
      <c r="F74" s="13"/>
      <c r="G74" s="13"/>
      <c r="H74" s="13"/>
      <c r="I74" s="13"/>
      <c r="J74" s="13"/>
      <c r="K74" s="13"/>
      <c r="L74" s="13"/>
      <c r="M74" s="14"/>
      <c r="N74" s="14"/>
    </row>
    <row r="75" spans="1:15" ht="13.5" customHeight="1" x14ac:dyDescent="0.3">
      <c r="A75" s="240" t="s">
        <v>147</v>
      </c>
      <c r="B75" s="240"/>
      <c r="C75" s="240"/>
      <c r="D75" s="240"/>
      <c r="E75" s="240"/>
      <c r="F75" s="240"/>
      <c r="G75" s="240"/>
      <c r="H75" s="240"/>
      <c r="I75" s="240"/>
      <c r="J75" s="240"/>
      <c r="K75" s="240"/>
      <c r="L75" s="240"/>
      <c r="M75" s="240"/>
      <c r="N75" s="182"/>
    </row>
    <row r="76" spans="1:15" ht="13.5" customHeight="1" x14ac:dyDescent="0.3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</row>
    <row r="77" spans="1:15" ht="13.5" customHeight="1" x14ac:dyDescent="0.3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</row>
    <row r="78" spans="1:15" ht="14.25" customHeight="1" x14ac:dyDescent="0.3">
      <c r="A78" s="241" t="s">
        <v>63</v>
      </c>
      <c r="B78" s="241"/>
      <c r="C78" s="241"/>
      <c r="D78" s="241"/>
      <c r="E78" s="241"/>
      <c r="F78" s="16"/>
      <c r="G78" s="16"/>
      <c r="H78" s="16"/>
      <c r="I78" s="16"/>
      <c r="J78" s="16"/>
      <c r="K78" s="241" t="s">
        <v>9</v>
      </c>
      <c r="L78" s="241"/>
      <c r="M78" s="241"/>
      <c r="N78" s="183"/>
    </row>
    <row r="79" spans="1:15" ht="8.25" customHeight="1" x14ac:dyDescent="0.3">
      <c r="A79" s="242" t="s">
        <v>10</v>
      </c>
      <c r="B79" s="242"/>
      <c r="C79" s="242"/>
      <c r="D79" s="242"/>
      <c r="E79" s="242"/>
      <c r="F79" s="16"/>
      <c r="G79" s="16"/>
      <c r="H79" s="16"/>
      <c r="I79" s="16"/>
      <c r="J79" s="16"/>
      <c r="K79" s="243" t="s">
        <v>11</v>
      </c>
      <c r="L79" s="242"/>
      <c r="M79" s="242"/>
      <c r="N79" s="184"/>
    </row>
    <row r="80" spans="1:15" ht="15.6" x14ac:dyDescent="0.3">
      <c r="A80" s="238" t="s">
        <v>64</v>
      </c>
      <c r="B80" s="238"/>
      <c r="C80" s="238"/>
      <c r="D80" s="238"/>
      <c r="E80" s="238"/>
      <c r="K80" s="239" t="s">
        <v>24</v>
      </c>
      <c r="L80" s="239"/>
      <c r="M80" s="239"/>
      <c r="N80" s="181"/>
    </row>
  </sheetData>
  <mergeCells count="30">
    <mergeCell ref="A1:M1"/>
    <mergeCell ref="A7:M7"/>
    <mergeCell ref="A8:M8"/>
    <mergeCell ref="A9:A10"/>
    <mergeCell ref="B9:B10"/>
    <mergeCell ref="C9:C10"/>
    <mergeCell ref="D9:L9"/>
    <mergeCell ref="M9:M10"/>
    <mergeCell ref="N9:N10"/>
    <mergeCell ref="P9:W9"/>
    <mergeCell ref="P10:Q10"/>
    <mergeCell ref="R10:S10"/>
    <mergeCell ref="T10:U10"/>
    <mergeCell ref="V10:W10"/>
    <mergeCell ref="P13:Q13"/>
    <mergeCell ref="R13:S13"/>
    <mergeCell ref="T13:U13"/>
    <mergeCell ref="V13:W13"/>
    <mergeCell ref="Q16:Q17"/>
    <mergeCell ref="R16:R17"/>
    <mergeCell ref="T18:X18"/>
    <mergeCell ref="Q19:Q20"/>
    <mergeCell ref="A75:M75"/>
    <mergeCell ref="A78:E78"/>
    <mergeCell ref="K78:M78"/>
    <mergeCell ref="A79:E79"/>
    <mergeCell ref="K79:M79"/>
    <mergeCell ref="A80:E80"/>
    <mergeCell ref="K80:M80"/>
    <mergeCell ref="Q18:S18"/>
  </mergeCells>
  <conditionalFormatting sqref="D11:L74">
    <cfRule type="cellIs" dxfId="278" priority="16" stopIfTrue="1" operator="lessThan">
      <formula>9.49</formula>
    </cfRule>
    <cfRule type="cellIs" dxfId="277" priority="17" stopIfTrue="1" operator="greaterThanOrEqual">
      <formula>9.5</formula>
    </cfRule>
  </conditionalFormatting>
  <conditionalFormatting sqref="T12:W13">
    <cfRule type="cellIs" dxfId="276" priority="15" stopIfTrue="1" operator="greaterThanOrEqual">
      <formula>0.1</formula>
    </cfRule>
  </conditionalFormatting>
  <conditionalFormatting sqref="T12:W13">
    <cfRule type="cellIs" dxfId="275" priority="14" stopIfTrue="1" operator="equal">
      <formula>0</formula>
    </cfRule>
  </conditionalFormatting>
  <conditionalFormatting sqref="R12:S13">
    <cfRule type="cellIs" dxfId="274" priority="13" stopIfTrue="1" operator="greaterThanOrEqual">
      <formula>0</formula>
    </cfRule>
  </conditionalFormatting>
  <conditionalFormatting sqref="M12:M35 M39:M73">
    <cfRule type="cellIs" dxfId="273" priority="11" stopIfTrue="1" operator="equal">
      <formula>"N/TRANSITA"</formula>
    </cfRule>
    <cfRule type="cellIs" dxfId="272" priority="12" stopIfTrue="1" operator="equal">
      <formula>"TRANSITA"</formula>
    </cfRule>
  </conditionalFormatting>
  <conditionalFormatting sqref="N11:N73">
    <cfRule type="cellIs" dxfId="271" priority="5" stopIfTrue="1" operator="lessThanOrEqual">
      <formula>9.9</formula>
    </cfRule>
    <cfRule type="cellIs" dxfId="270" priority="6" stopIfTrue="1" operator="greaterThanOrEqual">
      <formula>10</formula>
    </cfRule>
  </conditionalFormatting>
  <conditionalFormatting sqref="M36:M37">
    <cfRule type="cellIs" dxfId="269" priority="3" stopIfTrue="1" operator="equal">
      <formula>"N/TRANSITA"</formula>
    </cfRule>
    <cfRule type="cellIs" dxfId="268" priority="4" stopIfTrue="1" operator="equal">
      <formula>"TRANSITA"</formula>
    </cfRule>
  </conditionalFormatting>
  <conditionalFormatting sqref="M38">
    <cfRule type="cellIs" dxfId="1" priority="1" stopIfTrue="1" operator="equal">
      <formula>"N/TRANSITA"</formula>
    </cfRule>
    <cfRule type="cellIs" dxfId="0" priority="2" stopIfTrue="1" operator="equal">
      <formula>"TRANSITA"</formula>
    </cfRule>
  </conditionalFormatting>
  <pageMargins left="0.29803921568627451" right="0.14901960784313725" top="0.42843137254901958" bottom="0.27009803921568626" header="0.35433070866141736" footer="0.31496062992125984"/>
  <pageSetup paperSize="9" scale="94" orientation="portrait" horizontalDpi="4294967293" verticalDpi="4294967293" r:id="rId1"/>
  <colBreaks count="1" manualBreakCount="1">
    <brk id="14" max="1048575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" stopIfTrue="1" operator="containsText" id="{5F6446E9-0375-467D-A3D0-7E3112FED60B}">
            <xm:f>NOT(ISERROR(SEARCH("N/TRANSITA",M11)))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10" stopIfTrue="1" operator="containsText" id="{3D5308F0-7BD8-4795-933F-2F9A7C7D678E}">
            <xm:f>NOT(ISERROR(SEARCH("TRANSITA",M11)))</xm:f>
            <xm:f>"TRANSITA"</xm:f>
            <x14:dxf>
              <font>
                <b/>
                <i val="0"/>
                <color rgb="FF0000FF"/>
              </font>
            </x14:dxf>
          </x14:cfRule>
          <xm:sqref>M11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W76"/>
  <sheetViews>
    <sheetView showGridLines="0" topLeftCell="A35" zoomScale="115" zoomScaleNormal="115" zoomScalePageLayoutView="85" workbookViewId="0">
      <selection activeCell="H40" sqref="H40"/>
    </sheetView>
  </sheetViews>
  <sheetFormatPr defaultRowHeight="14.4" x14ac:dyDescent="0.3"/>
  <cols>
    <col min="1" max="1" width="1.6640625" customWidth="1"/>
    <col min="2" max="2" width="3.6640625" customWidth="1"/>
    <col min="3" max="3" width="35.109375" customWidth="1"/>
    <col min="4" max="4" width="6.44140625" customWidth="1"/>
    <col min="5" max="8" width="5.109375" customWidth="1"/>
    <col min="9" max="9" width="11.6640625" customWidth="1"/>
    <col min="10" max="13" width="5.109375" customWidth="1"/>
    <col min="14" max="14" width="12.109375" customWidth="1"/>
    <col min="15" max="18" width="5.109375" customWidth="1"/>
    <col min="19" max="19" width="6" customWidth="1"/>
    <col min="20" max="20" width="11.44140625" customWidth="1"/>
    <col min="21" max="21" width="3.44140625" customWidth="1"/>
    <col min="22" max="22" width="5" customWidth="1"/>
  </cols>
  <sheetData>
    <row r="1" spans="1:23" ht="30" customHeight="1" x14ac:dyDescent="0.3">
      <c r="A1" s="246" t="s">
        <v>50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</row>
    <row r="2" spans="1:23" ht="30" customHeight="1" x14ac:dyDescent="0.3"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23" ht="12" customHeight="1" x14ac:dyDescent="0.3">
      <c r="B3" s="247"/>
      <c r="C3" s="247"/>
      <c r="D3" s="247"/>
      <c r="E3" s="247"/>
      <c r="F3" s="247"/>
      <c r="G3" s="247"/>
      <c r="H3" s="247"/>
      <c r="I3" s="247"/>
      <c r="J3" s="247"/>
      <c r="K3" s="247"/>
      <c r="L3" s="247"/>
      <c r="M3" s="247"/>
      <c r="N3" s="247"/>
      <c r="O3" s="247"/>
      <c r="P3" s="247"/>
      <c r="Q3" s="247"/>
      <c r="R3" s="247"/>
    </row>
    <row r="4" spans="1:23" ht="17.399999999999999" customHeight="1" x14ac:dyDescent="0.3">
      <c r="B4" s="248" t="s">
        <v>68</v>
      </c>
      <c r="C4" s="248"/>
      <c r="D4" s="31"/>
      <c r="F4" s="76"/>
      <c r="G4" s="76"/>
      <c r="I4" s="76" t="s">
        <v>13</v>
      </c>
      <c r="J4" s="76"/>
      <c r="K4" s="76"/>
      <c r="L4" s="76"/>
      <c r="M4" s="76"/>
      <c r="N4" s="31"/>
      <c r="P4" s="250" t="s">
        <v>61</v>
      </c>
      <c r="Q4" s="250"/>
      <c r="R4" s="250"/>
      <c r="S4" s="250"/>
      <c r="T4" s="250"/>
    </row>
    <row r="5" spans="1:23" ht="18" customHeight="1" x14ac:dyDescent="0.3">
      <c r="B5" s="248" t="s">
        <v>51</v>
      </c>
      <c r="C5" s="248"/>
      <c r="D5" s="31"/>
      <c r="E5" s="77" t="s">
        <v>58</v>
      </c>
      <c r="F5" s="77"/>
      <c r="I5" s="77" t="s">
        <v>67</v>
      </c>
      <c r="J5" s="77"/>
      <c r="K5" s="77"/>
      <c r="N5" s="249" t="s">
        <v>66</v>
      </c>
      <c r="O5" s="249"/>
      <c r="P5" s="249"/>
      <c r="Q5" s="249"/>
      <c r="R5" s="249"/>
      <c r="S5" s="249"/>
      <c r="T5" s="249"/>
    </row>
    <row r="6" spans="1:23" ht="34.5" customHeight="1" thickBot="1" x14ac:dyDescent="1.05">
      <c r="B6" s="263" t="s">
        <v>45</v>
      </c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5"/>
    </row>
    <row r="7" spans="1:23" ht="19.5" customHeight="1" thickTop="1" x14ac:dyDescent="0.3">
      <c r="B7" s="256" t="s">
        <v>39</v>
      </c>
      <c r="C7" s="258" t="s">
        <v>14</v>
      </c>
      <c r="D7" s="43" t="s">
        <v>43</v>
      </c>
      <c r="E7" s="260" t="s">
        <v>40</v>
      </c>
      <c r="F7" s="261"/>
      <c r="G7" s="261"/>
      <c r="H7" s="262"/>
      <c r="I7" s="244" t="s">
        <v>16</v>
      </c>
      <c r="J7" s="260" t="s">
        <v>41</v>
      </c>
      <c r="K7" s="261"/>
      <c r="L7" s="261"/>
      <c r="M7" s="262"/>
      <c r="N7" s="244" t="s">
        <v>16</v>
      </c>
      <c r="O7" s="260" t="s">
        <v>42</v>
      </c>
      <c r="P7" s="261"/>
      <c r="Q7" s="261"/>
      <c r="R7" s="262"/>
      <c r="S7" s="251" t="s">
        <v>15</v>
      </c>
      <c r="T7" s="244" t="s">
        <v>16</v>
      </c>
    </row>
    <row r="8" spans="1:23" ht="20.25" customHeight="1" thickBot="1" x14ac:dyDescent="0.35">
      <c r="B8" s="257"/>
      <c r="C8" s="259"/>
      <c r="D8" s="44" t="s">
        <v>44</v>
      </c>
      <c r="E8" s="36" t="s">
        <v>17</v>
      </c>
      <c r="F8" s="35" t="s">
        <v>18</v>
      </c>
      <c r="G8" s="35" t="s">
        <v>38</v>
      </c>
      <c r="H8" s="37" t="s">
        <v>19</v>
      </c>
      <c r="I8" s="245"/>
      <c r="J8" s="36" t="s">
        <v>17</v>
      </c>
      <c r="K8" s="35" t="s">
        <v>18</v>
      </c>
      <c r="L8" s="35" t="s">
        <v>38</v>
      </c>
      <c r="M8" s="37" t="s">
        <v>20</v>
      </c>
      <c r="N8" s="245"/>
      <c r="O8" s="36" t="s">
        <v>17</v>
      </c>
      <c r="P8" s="35" t="s">
        <v>18</v>
      </c>
      <c r="Q8" s="35" t="s">
        <v>38</v>
      </c>
      <c r="R8" s="37" t="s">
        <v>21</v>
      </c>
      <c r="S8" s="252"/>
      <c r="T8" s="245"/>
    </row>
    <row r="9" spans="1:23" ht="14.25" customHeight="1" thickTop="1" x14ac:dyDescent="0.3">
      <c r="B9" s="135">
        <v>1</v>
      </c>
      <c r="C9" s="126" t="s">
        <v>69</v>
      </c>
      <c r="D9" s="136"/>
      <c r="E9" s="137">
        <v>14</v>
      </c>
      <c r="F9" s="138">
        <v>6</v>
      </c>
      <c r="G9" s="138"/>
      <c r="H9" s="139">
        <f>AVERAGE(E9,MAX(F9:G9))</f>
        <v>10</v>
      </c>
      <c r="I9" s="143" t="str">
        <f>IF(H9&gt;=10,"TRANSITA","N/TRANSITA")</f>
        <v>TRANSITA</v>
      </c>
      <c r="J9" s="140">
        <v>14</v>
      </c>
      <c r="K9" s="141">
        <v>6</v>
      </c>
      <c r="L9" s="142"/>
      <c r="M9" s="139">
        <f>AVERAGE(J9,MAX(K9:L9))</f>
        <v>10</v>
      </c>
      <c r="N9" s="143" t="str">
        <f>IF(M9&gt;=10,"TRANSITA","N/TRANSITA")</f>
        <v>TRANSITA</v>
      </c>
      <c r="O9" s="144"/>
      <c r="P9" s="138"/>
      <c r="Q9" s="145"/>
      <c r="R9" s="139">
        <f>AVERAGE(O9,MAX(P9:Q9))</f>
        <v>0</v>
      </c>
      <c r="S9" s="146">
        <f t="shared" ref="S9:S41" si="0">SUM(H9,M9,R9)/3</f>
        <v>6.666666666666667</v>
      </c>
      <c r="T9" s="74" t="str">
        <f>IF(S9&gt;=10,"TRANSITA","N/TRANSITA")</f>
        <v>N/TRANSITA</v>
      </c>
    </row>
    <row r="10" spans="1:23" ht="14.25" customHeight="1" x14ac:dyDescent="0.3">
      <c r="B10" s="33">
        <v>2</v>
      </c>
      <c r="C10" s="127" t="s">
        <v>70</v>
      </c>
      <c r="D10" s="60"/>
      <c r="E10" s="92">
        <v>13</v>
      </c>
      <c r="F10" s="93">
        <v>9</v>
      </c>
      <c r="G10" s="93"/>
      <c r="H10" s="106">
        <f t="shared" ref="H10:H71" si="1">AVERAGE(E10,MAX(F10:G10))</f>
        <v>11</v>
      </c>
      <c r="I10" s="73" t="str">
        <f t="shared" ref="I10:I71" si="2">IF(H10&gt;=10,"TRANSITA","N/TRANSITA")</f>
        <v>TRANSITA</v>
      </c>
      <c r="J10" s="107">
        <v>13.5</v>
      </c>
      <c r="K10" s="108">
        <v>8.5</v>
      </c>
      <c r="L10" s="66"/>
      <c r="M10" s="106">
        <f t="shared" ref="M10:M71" si="3">AVERAGE(J10,MAX(K10:L10))</f>
        <v>11</v>
      </c>
      <c r="N10" s="73" t="str">
        <f t="shared" ref="N10:N71" si="4">IF(M10&gt;=10,"TRANSITA","N/TRANSITA")</f>
        <v>TRANSITA</v>
      </c>
      <c r="O10" s="111"/>
      <c r="P10" s="93"/>
      <c r="Q10" s="32"/>
      <c r="R10" s="106">
        <f t="shared" ref="R10:R71" si="5">AVERAGE(O10,MAX(P10:Q10))</f>
        <v>0</v>
      </c>
      <c r="S10" s="38">
        <f t="shared" si="0"/>
        <v>7.333333333333333</v>
      </c>
      <c r="T10" s="78" t="str">
        <f t="shared" ref="T10:T71" si="6">IF(S10&gt;=10,"TRANSITA","N/TRANSITA")</f>
        <v>N/TRANSITA</v>
      </c>
    </row>
    <row r="11" spans="1:23" ht="14.25" customHeight="1" x14ac:dyDescent="0.3">
      <c r="B11" s="33">
        <v>3</v>
      </c>
      <c r="C11" s="127" t="s">
        <v>71</v>
      </c>
      <c r="D11" s="60"/>
      <c r="E11" s="92">
        <v>13</v>
      </c>
      <c r="F11" s="93">
        <v>12.5</v>
      </c>
      <c r="G11" s="93"/>
      <c r="H11" s="106">
        <f t="shared" si="1"/>
        <v>12.75</v>
      </c>
      <c r="I11" s="73" t="str">
        <f t="shared" si="2"/>
        <v>TRANSITA</v>
      </c>
      <c r="J11" s="107">
        <v>13.5</v>
      </c>
      <c r="K11" s="108">
        <v>6.5</v>
      </c>
      <c r="L11" s="66"/>
      <c r="M11" s="106">
        <f t="shared" si="3"/>
        <v>10</v>
      </c>
      <c r="N11" s="73" t="str">
        <f t="shared" si="4"/>
        <v>TRANSITA</v>
      </c>
      <c r="O11" s="111"/>
      <c r="P11" s="93"/>
      <c r="Q11" s="32"/>
      <c r="R11" s="106">
        <f t="shared" si="5"/>
        <v>0</v>
      </c>
      <c r="S11" s="38">
        <f t="shared" si="0"/>
        <v>7.583333333333333</v>
      </c>
      <c r="T11" s="78" t="str">
        <f t="shared" si="6"/>
        <v>N/TRANSITA</v>
      </c>
    </row>
    <row r="12" spans="1:23" ht="14.25" customHeight="1" x14ac:dyDescent="0.3">
      <c r="B12" s="33">
        <v>4</v>
      </c>
      <c r="C12" s="127" t="s">
        <v>72</v>
      </c>
      <c r="D12" s="60"/>
      <c r="E12" s="92">
        <v>12</v>
      </c>
      <c r="F12" s="93">
        <v>0.5</v>
      </c>
      <c r="G12" s="93"/>
      <c r="H12" s="106">
        <f t="shared" si="1"/>
        <v>6.25</v>
      </c>
      <c r="I12" s="73" t="str">
        <f t="shared" si="2"/>
        <v>N/TRANSITA</v>
      </c>
      <c r="J12" s="107"/>
      <c r="K12" s="108"/>
      <c r="L12" s="66"/>
      <c r="M12" s="106">
        <f t="shared" si="3"/>
        <v>0</v>
      </c>
      <c r="N12" s="73" t="str">
        <f t="shared" si="4"/>
        <v>N/TRANSITA</v>
      </c>
      <c r="O12" s="111"/>
      <c r="P12" s="93"/>
      <c r="Q12" s="32"/>
      <c r="R12" s="106">
        <f t="shared" si="5"/>
        <v>0</v>
      </c>
      <c r="S12" s="38">
        <f t="shared" si="0"/>
        <v>2.0833333333333335</v>
      </c>
      <c r="T12" s="78" t="str">
        <f t="shared" si="6"/>
        <v>N/TRANSITA</v>
      </c>
    </row>
    <row r="13" spans="1:23" ht="14.25" customHeight="1" x14ac:dyDescent="0.3">
      <c r="B13" s="33">
        <v>5</v>
      </c>
      <c r="C13" s="127" t="s">
        <v>73</v>
      </c>
      <c r="D13" s="60"/>
      <c r="E13" s="92">
        <v>19</v>
      </c>
      <c r="F13" s="93">
        <v>19</v>
      </c>
      <c r="G13" s="93"/>
      <c r="H13" s="106">
        <f t="shared" si="1"/>
        <v>19</v>
      </c>
      <c r="I13" s="73" t="str">
        <f t="shared" si="2"/>
        <v>TRANSITA</v>
      </c>
      <c r="J13" s="107">
        <v>18</v>
      </c>
      <c r="K13" s="108">
        <v>12</v>
      </c>
      <c r="L13" s="66"/>
      <c r="M13" s="106">
        <f t="shared" si="3"/>
        <v>15</v>
      </c>
      <c r="N13" s="73" t="str">
        <f t="shared" si="4"/>
        <v>TRANSITA</v>
      </c>
      <c r="O13" s="111"/>
      <c r="P13" s="93"/>
      <c r="Q13" s="32"/>
      <c r="R13" s="106">
        <f t="shared" si="5"/>
        <v>0</v>
      </c>
      <c r="S13" s="38">
        <f t="shared" si="0"/>
        <v>11.333333333333334</v>
      </c>
      <c r="T13" s="78" t="str">
        <f t="shared" si="6"/>
        <v>TRANSITA</v>
      </c>
      <c r="U13" s="18"/>
      <c r="V13" s="18"/>
      <c r="W13" s="18"/>
    </row>
    <row r="14" spans="1:23" ht="14.25" customHeight="1" x14ac:dyDescent="0.3">
      <c r="B14" s="33">
        <v>6</v>
      </c>
      <c r="C14" s="127" t="s">
        <v>74</v>
      </c>
      <c r="D14" s="60"/>
      <c r="E14" s="92">
        <v>12</v>
      </c>
      <c r="F14" s="93">
        <v>10</v>
      </c>
      <c r="G14" s="93"/>
      <c r="H14" s="106">
        <f t="shared" si="1"/>
        <v>11</v>
      </c>
      <c r="I14" s="73" t="str">
        <f t="shared" si="2"/>
        <v>TRANSITA</v>
      </c>
      <c r="J14" s="107"/>
      <c r="K14" s="108">
        <v>5</v>
      </c>
      <c r="L14" s="66"/>
      <c r="M14" s="106">
        <f t="shared" si="3"/>
        <v>5</v>
      </c>
      <c r="N14" s="73" t="str">
        <f t="shared" si="4"/>
        <v>N/TRANSITA</v>
      </c>
      <c r="O14" s="111"/>
      <c r="P14" s="93"/>
      <c r="Q14" s="32"/>
      <c r="R14" s="106">
        <f t="shared" si="5"/>
        <v>0</v>
      </c>
      <c r="S14" s="38">
        <f t="shared" si="0"/>
        <v>5.333333333333333</v>
      </c>
      <c r="T14" s="78" t="str">
        <f t="shared" si="6"/>
        <v>N/TRANSITA</v>
      </c>
    </row>
    <row r="15" spans="1:23" ht="14.25" customHeight="1" x14ac:dyDescent="0.3">
      <c r="B15" s="33">
        <v>7</v>
      </c>
      <c r="C15" s="127" t="s">
        <v>75</v>
      </c>
      <c r="D15" s="60"/>
      <c r="E15" s="92"/>
      <c r="F15" s="93">
        <v>6.5</v>
      </c>
      <c r="G15" s="93"/>
      <c r="H15" s="106">
        <f t="shared" si="1"/>
        <v>6.5</v>
      </c>
      <c r="I15" s="73" t="str">
        <f t="shared" si="2"/>
        <v>N/TRANSITA</v>
      </c>
      <c r="J15" s="107"/>
      <c r="K15" s="108"/>
      <c r="L15" s="66"/>
      <c r="M15" s="106">
        <f t="shared" si="3"/>
        <v>0</v>
      </c>
      <c r="N15" s="73" t="str">
        <f t="shared" si="4"/>
        <v>N/TRANSITA</v>
      </c>
      <c r="O15" s="111"/>
      <c r="P15" s="93"/>
      <c r="Q15" s="32"/>
      <c r="R15" s="106">
        <f t="shared" si="5"/>
        <v>0</v>
      </c>
      <c r="S15" s="38">
        <f t="shared" si="0"/>
        <v>2.1666666666666665</v>
      </c>
      <c r="T15" s="78" t="str">
        <f t="shared" si="6"/>
        <v>N/TRANSITA</v>
      </c>
    </row>
    <row r="16" spans="1:23" ht="14.25" customHeight="1" x14ac:dyDescent="0.3">
      <c r="B16" s="33">
        <v>8</v>
      </c>
      <c r="C16" s="127" t="s">
        <v>76</v>
      </c>
      <c r="D16" s="60"/>
      <c r="E16" s="92">
        <v>12</v>
      </c>
      <c r="F16" s="93">
        <v>5</v>
      </c>
      <c r="G16" s="93"/>
      <c r="H16" s="106">
        <f t="shared" si="1"/>
        <v>8.5</v>
      </c>
      <c r="I16" s="73" t="str">
        <f t="shared" si="2"/>
        <v>N/TRANSITA</v>
      </c>
      <c r="J16" s="107">
        <v>14</v>
      </c>
      <c r="K16" s="108">
        <v>8</v>
      </c>
      <c r="L16" s="66"/>
      <c r="M16" s="106">
        <f t="shared" si="3"/>
        <v>11</v>
      </c>
      <c r="N16" s="73" t="str">
        <f t="shared" si="4"/>
        <v>TRANSITA</v>
      </c>
      <c r="O16" s="111"/>
      <c r="P16" s="93"/>
      <c r="Q16" s="32"/>
      <c r="R16" s="106">
        <f t="shared" si="5"/>
        <v>0</v>
      </c>
      <c r="S16" s="38">
        <f t="shared" si="0"/>
        <v>6.5</v>
      </c>
      <c r="T16" s="78" t="str">
        <f t="shared" si="6"/>
        <v>N/TRANSITA</v>
      </c>
    </row>
    <row r="17" spans="2:20" ht="14.25" customHeight="1" x14ac:dyDescent="0.3">
      <c r="B17" s="33">
        <v>9</v>
      </c>
      <c r="C17" s="127" t="s">
        <v>77</v>
      </c>
      <c r="D17" s="60"/>
      <c r="E17" s="92">
        <v>13</v>
      </c>
      <c r="F17" s="93">
        <v>4.5</v>
      </c>
      <c r="G17" s="93"/>
      <c r="H17" s="106">
        <f t="shared" si="1"/>
        <v>8.75</v>
      </c>
      <c r="I17" s="73" t="str">
        <f t="shared" si="2"/>
        <v>N/TRANSITA</v>
      </c>
      <c r="J17" s="107">
        <v>12.5</v>
      </c>
      <c r="K17" s="108">
        <v>8</v>
      </c>
      <c r="L17" s="66"/>
      <c r="M17" s="106">
        <f t="shared" si="3"/>
        <v>10.25</v>
      </c>
      <c r="N17" s="73" t="str">
        <f t="shared" ref="N17:N18" si="7">IF(M17&gt;=10,"TRANSITA","N/TRANSITA")</f>
        <v>TRANSITA</v>
      </c>
      <c r="O17" s="111"/>
      <c r="P17" s="93"/>
      <c r="Q17" s="32"/>
      <c r="R17" s="106">
        <f t="shared" si="5"/>
        <v>0</v>
      </c>
      <c r="S17" s="38">
        <f t="shared" si="0"/>
        <v>6.333333333333333</v>
      </c>
      <c r="T17" s="78" t="str">
        <f t="shared" ref="T17:T18" si="8">IF(S17&gt;=10,"TRANSITA","N/TRANSITA")</f>
        <v>N/TRANSITA</v>
      </c>
    </row>
    <row r="18" spans="2:20" ht="14.25" customHeight="1" x14ac:dyDescent="0.3">
      <c r="B18" s="33">
        <v>10</v>
      </c>
      <c r="C18" s="128" t="s">
        <v>78</v>
      </c>
      <c r="D18" s="60"/>
      <c r="E18" s="92"/>
      <c r="F18" s="93"/>
      <c r="G18" s="93"/>
      <c r="H18" s="106">
        <f t="shared" si="1"/>
        <v>0</v>
      </c>
      <c r="I18" s="73" t="str">
        <f t="shared" si="2"/>
        <v>N/TRANSITA</v>
      </c>
      <c r="J18" s="107">
        <v>10</v>
      </c>
      <c r="K18" s="108">
        <v>3</v>
      </c>
      <c r="L18" s="66"/>
      <c r="M18" s="106">
        <f t="shared" si="3"/>
        <v>6.5</v>
      </c>
      <c r="N18" s="73" t="str">
        <f t="shared" si="7"/>
        <v>N/TRANSITA</v>
      </c>
      <c r="O18" s="111"/>
      <c r="P18" s="93"/>
      <c r="Q18" s="32"/>
      <c r="R18" s="106">
        <f t="shared" si="5"/>
        <v>0</v>
      </c>
      <c r="S18" s="38">
        <f t="shared" si="0"/>
        <v>2.1666666666666665</v>
      </c>
      <c r="T18" s="78" t="str">
        <f t="shared" si="8"/>
        <v>N/TRANSITA</v>
      </c>
    </row>
    <row r="19" spans="2:20" ht="14.25" customHeight="1" x14ac:dyDescent="0.3">
      <c r="B19" s="33">
        <v>11</v>
      </c>
      <c r="C19" s="127" t="s">
        <v>79</v>
      </c>
      <c r="D19" s="60"/>
      <c r="E19" s="92"/>
      <c r="F19" s="93"/>
      <c r="G19" s="93"/>
      <c r="H19" s="106">
        <f t="shared" si="1"/>
        <v>0</v>
      </c>
      <c r="I19" s="73" t="str">
        <f t="shared" si="2"/>
        <v>N/TRANSITA</v>
      </c>
      <c r="J19" s="107"/>
      <c r="K19" s="108"/>
      <c r="L19" s="66"/>
      <c r="M19" s="106">
        <f t="shared" si="3"/>
        <v>0</v>
      </c>
      <c r="N19" s="73" t="str">
        <f t="shared" si="4"/>
        <v>N/TRANSITA</v>
      </c>
      <c r="O19" s="111"/>
      <c r="P19" s="93"/>
      <c r="Q19" s="32"/>
      <c r="R19" s="106">
        <f t="shared" si="5"/>
        <v>0</v>
      </c>
      <c r="S19" s="38">
        <f t="shared" si="0"/>
        <v>0</v>
      </c>
      <c r="T19" s="78" t="str">
        <f t="shared" si="6"/>
        <v>N/TRANSITA</v>
      </c>
    </row>
    <row r="20" spans="2:20" ht="14.25" customHeight="1" x14ac:dyDescent="0.3">
      <c r="B20" s="33">
        <v>12</v>
      </c>
      <c r="C20" s="127" t="s">
        <v>80</v>
      </c>
      <c r="D20" s="60"/>
      <c r="E20" s="92">
        <v>14</v>
      </c>
      <c r="F20" s="93">
        <v>15</v>
      </c>
      <c r="G20" s="93"/>
      <c r="H20" s="106">
        <f t="shared" si="1"/>
        <v>14.5</v>
      </c>
      <c r="I20" s="73" t="str">
        <f t="shared" si="2"/>
        <v>TRANSITA</v>
      </c>
      <c r="J20" s="107">
        <v>13.5</v>
      </c>
      <c r="K20" s="108">
        <v>8.5</v>
      </c>
      <c r="L20" s="66"/>
      <c r="M20" s="106">
        <f t="shared" si="3"/>
        <v>11</v>
      </c>
      <c r="N20" s="73" t="str">
        <f t="shared" si="4"/>
        <v>TRANSITA</v>
      </c>
      <c r="O20" s="111"/>
      <c r="P20" s="93"/>
      <c r="Q20" s="32"/>
      <c r="R20" s="106">
        <f t="shared" si="5"/>
        <v>0</v>
      </c>
      <c r="S20" s="38">
        <f t="shared" si="0"/>
        <v>8.5</v>
      </c>
      <c r="T20" s="78" t="str">
        <f t="shared" si="6"/>
        <v>N/TRANSITA</v>
      </c>
    </row>
    <row r="21" spans="2:20" ht="14.25" customHeight="1" x14ac:dyDescent="0.3">
      <c r="B21" s="33">
        <v>13</v>
      </c>
      <c r="C21" s="127" t="s">
        <v>81</v>
      </c>
      <c r="D21" s="60"/>
      <c r="E21" s="92"/>
      <c r="F21" s="93"/>
      <c r="G21" s="93"/>
      <c r="H21" s="106">
        <f t="shared" si="1"/>
        <v>0</v>
      </c>
      <c r="I21" s="73" t="str">
        <f t="shared" si="2"/>
        <v>N/TRANSITA</v>
      </c>
      <c r="J21" s="107"/>
      <c r="K21" s="108"/>
      <c r="L21" s="66"/>
      <c r="M21" s="106">
        <f t="shared" si="3"/>
        <v>0</v>
      </c>
      <c r="N21" s="73" t="str">
        <f t="shared" si="4"/>
        <v>N/TRANSITA</v>
      </c>
      <c r="O21" s="111"/>
      <c r="P21" s="93"/>
      <c r="Q21" s="32"/>
      <c r="R21" s="106">
        <f t="shared" si="5"/>
        <v>0</v>
      </c>
      <c r="S21" s="38">
        <f t="shared" si="0"/>
        <v>0</v>
      </c>
      <c r="T21" s="78" t="str">
        <f t="shared" si="6"/>
        <v>N/TRANSITA</v>
      </c>
    </row>
    <row r="22" spans="2:20" ht="14.25" customHeight="1" x14ac:dyDescent="0.3">
      <c r="B22" s="33">
        <v>14</v>
      </c>
      <c r="C22" s="127" t="s">
        <v>82</v>
      </c>
      <c r="D22" s="60"/>
      <c r="E22" s="92"/>
      <c r="F22" s="93"/>
      <c r="G22" s="93"/>
      <c r="H22" s="106">
        <f t="shared" si="1"/>
        <v>0</v>
      </c>
      <c r="I22" s="73" t="str">
        <f t="shared" si="2"/>
        <v>N/TRANSITA</v>
      </c>
      <c r="J22" s="107"/>
      <c r="K22" s="108"/>
      <c r="L22" s="66"/>
      <c r="M22" s="106">
        <f t="shared" si="3"/>
        <v>0</v>
      </c>
      <c r="N22" s="73" t="str">
        <f t="shared" si="4"/>
        <v>N/TRANSITA</v>
      </c>
      <c r="O22" s="111"/>
      <c r="P22" s="93"/>
      <c r="Q22" s="32"/>
      <c r="R22" s="106">
        <f t="shared" si="5"/>
        <v>0</v>
      </c>
      <c r="S22" s="38">
        <f t="shared" si="0"/>
        <v>0</v>
      </c>
      <c r="T22" s="78" t="str">
        <f t="shared" si="6"/>
        <v>N/TRANSITA</v>
      </c>
    </row>
    <row r="23" spans="2:20" ht="14.25" customHeight="1" x14ac:dyDescent="0.3">
      <c r="B23" s="33">
        <v>15</v>
      </c>
      <c r="C23" s="127" t="s">
        <v>83</v>
      </c>
      <c r="D23" s="60"/>
      <c r="E23" s="92">
        <v>14</v>
      </c>
      <c r="F23" s="93">
        <v>13</v>
      </c>
      <c r="G23" s="93"/>
      <c r="H23" s="106">
        <f t="shared" si="1"/>
        <v>13.5</v>
      </c>
      <c r="I23" s="73" t="str">
        <f t="shared" si="2"/>
        <v>TRANSITA</v>
      </c>
      <c r="J23" s="107">
        <v>13</v>
      </c>
      <c r="K23" s="108">
        <v>3</v>
      </c>
      <c r="L23" s="66"/>
      <c r="M23" s="106">
        <f t="shared" si="3"/>
        <v>8</v>
      </c>
      <c r="N23" s="73" t="str">
        <f t="shared" si="4"/>
        <v>N/TRANSITA</v>
      </c>
      <c r="O23" s="111"/>
      <c r="P23" s="93"/>
      <c r="Q23" s="32"/>
      <c r="R23" s="106">
        <f t="shared" si="5"/>
        <v>0</v>
      </c>
      <c r="S23" s="38">
        <f t="shared" si="0"/>
        <v>7.166666666666667</v>
      </c>
      <c r="T23" s="78" t="str">
        <f t="shared" si="6"/>
        <v>N/TRANSITA</v>
      </c>
    </row>
    <row r="24" spans="2:20" ht="14.25" customHeight="1" x14ac:dyDescent="0.3">
      <c r="B24" s="33">
        <v>16</v>
      </c>
      <c r="C24" s="127" t="s">
        <v>84</v>
      </c>
      <c r="D24" s="60"/>
      <c r="E24" s="92">
        <v>13</v>
      </c>
      <c r="F24" s="93">
        <v>12</v>
      </c>
      <c r="G24" s="93"/>
      <c r="H24" s="106">
        <f t="shared" si="1"/>
        <v>12.5</v>
      </c>
      <c r="I24" s="73" t="str">
        <f t="shared" si="2"/>
        <v>TRANSITA</v>
      </c>
      <c r="J24" s="107">
        <v>14</v>
      </c>
      <c r="K24" s="108">
        <v>6</v>
      </c>
      <c r="L24" s="66"/>
      <c r="M24" s="106">
        <f t="shared" si="3"/>
        <v>10</v>
      </c>
      <c r="N24" s="73" t="str">
        <f t="shared" si="4"/>
        <v>TRANSITA</v>
      </c>
      <c r="O24" s="111"/>
      <c r="P24" s="93"/>
      <c r="Q24" s="32"/>
      <c r="R24" s="106">
        <f t="shared" si="5"/>
        <v>0</v>
      </c>
      <c r="S24" s="38">
        <f t="shared" si="0"/>
        <v>7.5</v>
      </c>
      <c r="T24" s="78" t="str">
        <f t="shared" si="6"/>
        <v>N/TRANSITA</v>
      </c>
    </row>
    <row r="25" spans="2:20" ht="14.25" customHeight="1" x14ac:dyDescent="0.3">
      <c r="B25" s="33">
        <v>17</v>
      </c>
      <c r="C25" s="127" t="s">
        <v>85</v>
      </c>
      <c r="D25" s="60"/>
      <c r="E25" s="92">
        <v>13</v>
      </c>
      <c r="F25" s="93">
        <v>7</v>
      </c>
      <c r="G25" s="93"/>
      <c r="H25" s="106">
        <f t="shared" si="1"/>
        <v>10</v>
      </c>
      <c r="I25" s="73" t="str">
        <f t="shared" si="2"/>
        <v>TRANSITA</v>
      </c>
      <c r="J25" s="107">
        <v>12.5</v>
      </c>
      <c r="K25" s="108">
        <v>3.5</v>
      </c>
      <c r="L25" s="66"/>
      <c r="M25" s="106">
        <f t="shared" si="3"/>
        <v>8</v>
      </c>
      <c r="N25" s="73" t="str">
        <f t="shared" si="4"/>
        <v>N/TRANSITA</v>
      </c>
      <c r="O25" s="111"/>
      <c r="P25" s="93"/>
      <c r="Q25" s="32"/>
      <c r="R25" s="106">
        <f t="shared" si="5"/>
        <v>0</v>
      </c>
      <c r="S25" s="38">
        <f t="shared" si="0"/>
        <v>6</v>
      </c>
      <c r="T25" s="78" t="str">
        <f t="shared" si="6"/>
        <v>N/TRANSITA</v>
      </c>
    </row>
    <row r="26" spans="2:20" ht="14.25" customHeight="1" x14ac:dyDescent="0.3">
      <c r="B26" s="33">
        <v>18</v>
      </c>
      <c r="C26" s="127" t="s">
        <v>140</v>
      </c>
      <c r="D26" s="60"/>
      <c r="E26" s="92"/>
      <c r="F26" s="93"/>
      <c r="G26" s="93"/>
      <c r="H26" s="106">
        <f t="shared" si="1"/>
        <v>0</v>
      </c>
      <c r="I26" s="73" t="str">
        <f t="shared" si="2"/>
        <v>N/TRANSITA</v>
      </c>
      <c r="J26" s="107">
        <v>12</v>
      </c>
      <c r="K26" s="108">
        <v>10.5</v>
      </c>
      <c r="L26" s="66"/>
      <c r="M26" s="106">
        <f t="shared" ref="M26:M27" si="9">AVERAGE(J26,MAX(K26:L26))</f>
        <v>11.25</v>
      </c>
      <c r="N26" s="73" t="str">
        <f t="shared" ref="N26:N27" si="10">IF(M26&gt;=10,"TRANSITA","N/TRANSITA")</f>
        <v>TRANSITA</v>
      </c>
      <c r="O26" s="111"/>
      <c r="P26" s="93"/>
      <c r="Q26" s="32"/>
      <c r="R26" s="106">
        <f t="shared" ref="R26:R27" si="11">AVERAGE(O26,MAX(P26:Q26))</f>
        <v>0</v>
      </c>
      <c r="S26" s="38">
        <f t="shared" ref="S26:S27" si="12">SUM(H26,M26,R26)/3</f>
        <v>3.75</v>
      </c>
      <c r="T26" s="78" t="str">
        <f t="shared" ref="T26:T27" si="13">IF(S26&gt;=10,"TRANSITA","N/TRANSITA")</f>
        <v>N/TRANSITA</v>
      </c>
    </row>
    <row r="27" spans="2:20" ht="14.25" customHeight="1" x14ac:dyDescent="0.3">
      <c r="B27" s="33">
        <v>19</v>
      </c>
      <c r="C27" s="127" t="s">
        <v>86</v>
      </c>
      <c r="D27" s="60"/>
      <c r="E27" s="92"/>
      <c r="F27" s="93"/>
      <c r="G27" s="93"/>
      <c r="H27" s="106">
        <f t="shared" si="1"/>
        <v>0</v>
      </c>
      <c r="I27" s="73" t="str">
        <f t="shared" si="2"/>
        <v>N/TRANSITA</v>
      </c>
      <c r="J27" s="107"/>
      <c r="K27" s="108"/>
      <c r="L27" s="66"/>
      <c r="M27" s="106">
        <f t="shared" si="9"/>
        <v>0</v>
      </c>
      <c r="N27" s="73" t="str">
        <f t="shared" si="10"/>
        <v>N/TRANSITA</v>
      </c>
      <c r="O27" s="111"/>
      <c r="P27" s="93"/>
      <c r="Q27" s="32"/>
      <c r="R27" s="106">
        <f t="shared" si="11"/>
        <v>0</v>
      </c>
      <c r="S27" s="38">
        <f t="shared" si="12"/>
        <v>0</v>
      </c>
      <c r="T27" s="78" t="str">
        <f t="shared" si="13"/>
        <v>N/TRANSITA</v>
      </c>
    </row>
    <row r="28" spans="2:20" ht="14.25" customHeight="1" x14ac:dyDescent="0.3">
      <c r="B28" s="33">
        <v>20</v>
      </c>
      <c r="C28" s="127" t="s">
        <v>87</v>
      </c>
      <c r="D28" s="60"/>
      <c r="E28" s="92">
        <v>13</v>
      </c>
      <c r="F28" s="93">
        <v>10.5</v>
      </c>
      <c r="G28" s="93"/>
      <c r="H28" s="106">
        <f t="shared" si="1"/>
        <v>11.75</v>
      </c>
      <c r="I28" s="73" t="str">
        <f t="shared" si="2"/>
        <v>TRANSITA</v>
      </c>
      <c r="J28" s="107">
        <v>13</v>
      </c>
      <c r="K28" s="108">
        <v>8</v>
      </c>
      <c r="L28" s="66"/>
      <c r="M28" s="106">
        <f t="shared" si="3"/>
        <v>10.5</v>
      </c>
      <c r="N28" s="73" t="str">
        <f t="shared" si="4"/>
        <v>TRANSITA</v>
      </c>
      <c r="O28" s="111"/>
      <c r="P28" s="93"/>
      <c r="Q28" s="32"/>
      <c r="R28" s="106">
        <f t="shared" si="5"/>
        <v>0</v>
      </c>
      <c r="S28" s="38">
        <f t="shared" si="0"/>
        <v>7.416666666666667</v>
      </c>
      <c r="T28" s="78" t="str">
        <f t="shared" si="6"/>
        <v>N/TRANSITA</v>
      </c>
    </row>
    <row r="29" spans="2:20" ht="14.25" customHeight="1" x14ac:dyDescent="0.3">
      <c r="B29" s="33">
        <v>21</v>
      </c>
      <c r="C29" s="127" t="s">
        <v>88</v>
      </c>
      <c r="D29" s="60"/>
      <c r="E29" s="92">
        <v>13</v>
      </c>
      <c r="F29" s="93">
        <v>11.5</v>
      </c>
      <c r="G29" s="93"/>
      <c r="H29" s="106">
        <f t="shared" si="1"/>
        <v>12.25</v>
      </c>
      <c r="I29" s="73" t="str">
        <f t="shared" si="2"/>
        <v>TRANSITA</v>
      </c>
      <c r="J29" s="107"/>
      <c r="K29" s="108"/>
      <c r="L29" s="66"/>
      <c r="M29" s="106">
        <f t="shared" si="3"/>
        <v>0</v>
      </c>
      <c r="N29" s="73" t="str">
        <f t="shared" si="4"/>
        <v>N/TRANSITA</v>
      </c>
      <c r="O29" s="111"/>
      <c r="P29" s="93"/>
      <c r="Q29" s="32"/>
      <c r="R29" s="106">
        <f t="shared" si="5"/>
        <v>0</v>
      </c>
      <c r="S29" s="38">
        <f t="shared" si="0"/>
        <v>4.083333333333333</v>
      </c>
      <c r="T29" s="78" t="str">
        <f t="shared" si="6"/>
        <v>N/TRANSITA</v>
      </c>
    </row>
    <row r="30" spans="2:20" ht="14.25" customHeight="1" x14ac:dyDescent="0.3">
      <c r="B30" s="33">
        <v>22</v>
      </c>
      <c r="C30" s="127" t="s">
        <v>89</v>
      </c>
      <c r="D30" s="60"/>
      <c r="E30" s="92">
        <v>12</v>
      </c>
      <c r="F30" s="93">
        <v>5.5</v>
      </c>
      <c r="G30" s="93"/>
      <c r="H30" s="106">
        <f t="shared" si="1"/>
        <v>8.75</v>
      </c>
      <c r="I30" s="73" t="str">
        <f t="shared" si="2"/>
        <v>N/TRANSITA</v>
      </c>
      <c r="J30" s="107">
        <v>13</v>
      </c>
      <c r="K30" s="108">
        <v>5</v>
      </c>
      <c r="L30" s="66"/>
      <c r="M30" s="106">
        <f t="shared" si="3"/>
        <v>9</v>
      </c>
      <c r="N30" s="73" t="str">
        <f t="shared" si="4"/>
        <v>N/TRANSITA</v>
      </c>
      <c r="O30" s="111"/>
      <c r="P30" s="93"/>
      <c r="Q30" s="32"/>
      <c r="R30" s="106">
        <f t="shared" si="5"/>
        <v>0</v>
      </c>
      <c r="S30" s="38">
        <f t="shared" si="0"/>
        <v>5.916666666666667</v>
      </c>
      <c r="T30" s="78" t="str">
        <f t="shared" si="6"/>
        <v>N/TRANSITA</v>
      </c>
    </row>
    <row r="31" spans="2:20" ht="14.25" customHeight="1" x14ac:dyDescent="0.3">
      <c r="B31" s="33">
        <v>23</v>
      </c>
      <c r="C31" s="127" t="s">
        <v>90</v>
      </c>
      <c r="D31" s="60"/>
      <c r="E31" s="92">
        <v>11</v>
      </c>
      <c r="F31" s="93">
        <v>9</v>
      </c>
      <c r="G31" s="93"/>
      <c r="H31" s="106">
        <f t="shared" si="1"/>
        <v>10</v>
      </c>
      <c r="I31" s="73" t="str">
        <f t="shared" si="2"/>
        <v>TRANSITA</v>
      </c>
      <c r="J31" s="107"/>
      <c r="K31" s="108">
        <v>3.5</v>
      </c>
      <c r="L31" s="66"/>
      <c r="M31" s="106">
        <f t="shared" si="3"/>
        <v>3.5</v>
      </c>
      <c r="N31" s="73" t="str">
        <f t="shared" si="4"/>
        <v>N/TRANSITA</v>
      </c>
      <c r="O31" s="111"/>
      <c r="P31" s="93"/>
      <c r="Q31" s="32"/>
      <c r="R31" s="106">
        <f t="shared" si="5"/>
        <v>0</v>
      </c>
      <c r="S31" s="38">
        <f t="shared" si="0"/>
        <v>4.5</v>
      </c>
      <c r="T31" s="78" t="str">
        <f t="shared" si="6"/>
        <v>N/TRANSITA</v>
      </c>
    </row>
    <row r="32" spans="2:20" ht="14.25" customHeight="1" x14ac:dyDescent="0.3">
      <c r="B32" s="33">
        <v>24</v>
      </c>
      <c r="C32" s="127" t="s">
        <v>91</v>
      </c>
      <c r="D32" s="60"/>
      <c r="E32" s="92"/>
      <c r="F32" s="93"/>
      <c r="G32" s="93"/>
      <c r="H32" s="106">
        <f t="shared" si="1"/>
        <v>0</v>
      </c>
      <c r="I32" s="73" t="str">
        <f t="shared" si="2"/>
        <v>N/TRANSITA</v>
      </c>
      <c r="J32" s="107"/>
      <c r="K32" s="108"/>
      <c r="L32" s="66"/>
      <c r="M32" s="106">
        <f t="shared" si="3"/>
        <v>0</v>
      </c>
      <c r="N32" s="73" t="str">
        <f t="shared" si="4"/>
        <v>N/TRANSITA</v>
      </c>
      <c r="O32" s="111"/>
      <c r="P32" s="93"/>
      <c r="Q32" s="32"/>
      <c r="R32" s="106">
        <f t="shared" si="5"/>
        <v>0</v>
      </c>
      <c r="S32" s="38">
        <f t="shared" si="0"/>
        <v>0</v>
      </c>
      <c r="T32" s="78" t="str">
        <f t="shared" si="6"/>
        <v>N/TRANSITA</v>
      </c>
    </row>
    <row r="33" spans="2:20" ht="14.25" customHeight="1" x14ac:dyDescent="0.3">
      <c r="B33" s="33">
        <v>25</v>
      </c>
      <c r="C33" s="127" t="s">
        <v>92</v>
      </c>
      <c r="D33" s="60"/>
      <c r="E33" s="92"/>
      <c r="F33" s="93"/>
      <c r="G33" s="93"/>
      <c r="H33" s="106">
        <f t="shared" si="1"/>
        <v>0</v>
      </c>
      <c r="I33" s="73" t="str">
        <f t="shared" si="2"/>
        <v>N/TRANSITA</v>
      </c>
      <c r="J33" s="107">
        <v>12</v>
      </c>
      <c r="K33" s="108">
        <v>6</v>
      </c>
      <c r="L33" s="66"/>
      <c r="M33" s="106">
        <f t="shared" si="3"/>
        <v>9</v>
      </c>
      <c r="N33" s="73" t="str">
        <f t="shared" si="4"/>
        <v>N/TRANSITA</v>
      </c>
      <c r="O33" s="111"/>
      <c r="P33" s="93"/>
      <c r="Q33" s="32"/>
      <c r="R33" s="106">
        <f t="shared" si="5"/>
        <v>0</v>
      </c>
      <c r="S33" s="38">
        <f t="shared" si="0"/>
        <v>3</v>
      </c>
      <c r="T33" s="78" t="str">
        <f t="shared" si="6"/>
        <v>N/TRANSITA</v>
      </c>
    </row>
    <row r="34" spans="2:20" ht="14.25" customHeight="1" x14ac:dyDescent="0.3">
      <c r="B34" s="33">
        <v>26</v>
      </c>
      <c r="C34" s="127" t="s">
        <v>93</v>
      </c>
      <c r="D34" s="60"/>
      <c r="E34" s="92"/>
      <c r="F34" s="93"/>
      <c r="G34" s="93"/>
      <c r="H34" s="106">
        <f t="shared" si="1"/>
        <v>0</v>
      </c>
      <c r="I34" s="73" t="str">
        <f t="shared" si="2"/>
        <v>N/TRANSITA</v>
      </c>
      <c r="J34" s="107"/>
      <c r="K34" s="108"/>
      <c r="L34" s="66"/>
      <c r="M34" s="106">
        <f t="shared" si="3"/>
        <v>0</v>
      </c>
      <c r="N34" s="73" t="str">
        <f t="shared" si="4"/>
        <v>N/TRANSITA</v>
      </c>
      <c r="O34" s="111"/>
      <c r="P34" s="93"/>
      <c r="Q34" s="32"/>
      <c r="R34" s="106">
        <f t="shared" si="5"/>
        <v>0</v>
      </c>
      <c r="S34" s="38">
        <f t="shared" si="0"/>
        <v>0</v>
      </c>
      <c r="T34" s="78" t="str">
        <f t="shared" si="6"/>
        <v>N/TRANSITA</v>
      </c>
    </row>
    <row r="35" spans="2:20" ht="14.25" customHeight="1" x14ac:dyDescent="0.3">
      <c r="B35" s="33">
        <v>27</v>
      </c>
      <c r="C35" s="128" t="s">
        <v>94</v>
      </c>
      <c r="D35" s="60"/>
      <c r="E35" s="92"/>
      <c r="F35" s="93"/>
      <c r="G35" s="93"/>
      <c r="H35" s="106">
        <f t="shared" si="1"/>
        <v>0</v>
      </c>
      <c r="I35" s="73" t="str">
        <f t="shared" si="2"/>
        <v>N/TRANSITA</v>
      </c>
      <c r="J35" s="107"/>
      <c r="K35" s="108"/>
      <c r="L35" s="66"/>
      <c r="M35" s="106">
        <f t="shared" si="3"/>
        <v>0</v>
      </c>
      <c r="N35" s="73" t="str">
        <f t="shared" si="4"/>
        <v>N/TRANSITA</v>
      </c>
      <c r="O35" s="111"/>
      <c r="P35" s="93"/>
      <c r="Q35" s="32"/>
      <c r="R35" s="106">
        <f t="shared" si="5"/>
        <v>0</v>
      </c>
      <c r="S35" s="38">
        <f t="shared" si="0"/>
        <v>0</v>
      </c>
      <c r="T35" s="78" t="str">
        <f t="shared" si="6"/>
        <v>N/TRANSITA</v>
      </c>
    </row>
    <row r="36" spans="2:20" ht="14.25" customHeight="1" x14ac:dyDescent="0.3">
      <c r="B36" s="33">
        <v>28</v>
      </c>
      <c r="C36" s="127" t="s">
        <v>95</v>
      </c>
      <c r="D36" s="60"/>
      <c r="E36" s="92"/>
      <c r="F36" s="93"/>
      <c r="G36" s="93"/>
      <c r="H36" s="106">
        <f t="shared" si="1"/>
        <v>0</v>
      </c>
      <c r="I36" s="73" t="str">
        <f t="shared" si="2"/>
        <v>N/TRANSITA</v>
      </c>
      <c r="J36" s="107"/>
      <c r="K36" s="108"/>
      <c r="L36" s="66"/>
      <c r="M36" s="106">
        <f t="shared" si="3"/>
        <v>0</v>
      </c>
      <c r="N36" s="73" t="str">
        <f t="shared" si="4"/>
        <v>N/TRANSITA</v>
      </c>
      <c r="O36" s="111"/>
      <c r="P36" s="93"/>
      <c r="Q36" s="32"/>
      <c r="R36" s="106">
        <f t="shared" si="5"/>
        <v>0</v>
      </c>
      <c r="S36" s="38">
        <f t="shared" si="0"/>
        <v>0</v>
      </c>
      <c r="T36" s="78" t="str">
        <f t="shared" si="6"/>
        <v>N/TRANSITA</v>
      </c>
    </row>
    <row r="37" spans="2:20" ht="14.25" customHeight="1" x14ac:dyDescent="0.3">
      <c r="B37" s="33">
        <v>29</v>
      </c>
      <c r="C37" s="127" t="s">
        <v>96</v>
      </c>
      <c r="D37" s="60"/>
      <c r="E37" s="92">
        <v>13</v>
      </c>
      <c r="F37" s="93">
        <v>10</v>
      </c>
      <c r="G37" s="93"/>
      <c r="H37" s="106">
        <f t="shared" si="1"/>
        <v>11.5</v>
      </c>
      <c r="I37" s="73" t="str">
        <f t="shared" si="2"/>
        <v>TRANSITA</v>
      </c>
      <c r="J37" s="107">
        <v>14</v>
      </c>
      <c r="K37" s="108">
        <v>7</v>
      </c>
      <c r="L37" s="66"/>
      <c r="M37" s="106">
        <f t="shared" si="3"/>
        <v>10.5</v>
      </c>
      <c r="N37" s="73" t="str">
        <f t="shared" si="4"/>
        <v>TRANSITA</v>
      </c>
      <c r="O37" s="111"/>
      <c r="P37" s="93"/>
      <c r="Q37" s="32"/>
      <c r="R37" s="106">
        <f t="shared" si="5"/>
        <v>0</v>
      </c>
      <c r="S37" s="38">
        <f t="shared" si="0"/>
        <v>7.333333333333333</v>
      </c>
      <c r="T37" s="78" t="str">
        <f t="shared" si="6"/>
        <v>N/TRANSITA</v>
      </c>
    </row>
    <row r="38" spans="2:20" ht="14.25" customHeight="1" x14ac:dyDescent="0.3">
      <c r="B38" s="33">
        <v>30</v>
      </c>
      <c r="C38" s="127" t="s">
        <v>97</v>
      </c>
      <c r="D38" s="60"/>
      <c r="E38" s="92"/>
      <c r="F38" s="93"/>
      <c r="G38" s="93"/>
      <c r="H38" s="106">
        <f t="shared" si="1"/>
        <v>0</v>
      </c>
      <c r="I38" s="73" t="str">
        <f t="shared" si="2"/>
        <v>N/TRANSITA</v>
      </c>
      <c r="J38" s="107"/>
      <c r="K38" s="108"/>
      <c r="L38" s="66"/>
      <c r="M38" s="106">
        <f t="shared" si="3"/>
        <v>0</v>
      </c>
      <c r="N38" s="73" t="str">
        <f t="shared" si="4"/>
        <v>N/TRANSITA</v>
      </c>
      <c r="O38" s="111"/>
      <c r="P38" s="93"/>
      <c r="Q38" s="32"/>
      <c r="R38" s="106">
        <f t="shared" si="5"/>
        <v>0</v>
      </c>
      <c r="S38" s="38">
        <f t="shared" si="0"/>
        <v>0</v>
      </c>
      <c r="T38" s="78" t="str">
        <f t="shared" si="6"/>
        <v>N/TRANSITA</v>
      </c>
    </row>
    <row r="39" spans="2:20" ht="14.25" customHeight="1" x14ac:dyDescent="0.3">
      <c r="B39" s="33">
        <v>31</v>
      </c>
      <c r="C39" s="127" t="s">
        <v>98</v>
      </c>
      <c r="D39" s="60"/>
      <c r="E39" s="92"/>
      <c r="F39" s="93"/>
      <c r="G39" s="93"/>
      <c r="H39" s="106">
        <f t="shared" si="1"/>
        <v>0</v>
      </c>
      <c r="I39" s="73" t="str">
        <f t="shared" si="2"/>
        <v>N/TRANSITA</v>
      </c>
      <c r="J39" s="107"/>
      <c r="K39" s="108"/>
      <c r="L39" s="66"/>
      <c r="M39" s="106">
        <f t="shared" si="3"/>
        <v>0</v>
      </c>
      <c r="N39" s="73" t="str">
        <f t="shared" si="4"/>
        <v>N/TRANSITA</v>
      </c>
      <c r="O39" s="111"/>
      <c r="P39" s="93"/>
      <c r="Q39" s="32"/>
      <c r="R39" s="106">
        <f t="shared" si="5"/>
        <v>0</v>
      </c>
      <c r="S39" s="38">
        <f t="shared" si="0"/>
        <v>0</v>
      </c>
      <c r="T39" s="78" t="str">
        <f t="shared" si="6"/>
        <v>N/TRANSITA</v>
      </c>
    </row>
    <row r="40" spans="2:20" ht="14.25" customHeight="1" x14ac:dyDescent="0.3">
      <c r="B40" s="33">
        <v>32</v>
      </c>
      <c r="C40" s="128" t="s">
        <v>99</v>
      </c>
      <c r="D40" s="60"/>
      <c r="E40" s="92">
        <v>10</v>
      </c>
      <c r="F40" s="93">
        <v>6</v>
      </c>
      <c r="G40" s="93"/>
      <c r="H40" s="106">
        <f t="shared" si="1"/>
        <v>8</v>
      </c>
      <c r="I40" s="73" t="str">
        <f t="shared" si="2"/>
        <v>N/TRANSITA</v>
      </c>
      <c r="J40" s="107"/>
      <c r="K40" s="108">
        <v>2.5</v>
      </c>
      <c r="L40" s="66"/>
      <c r="M40" s="106">
        <f t="shared" si="3"/>
        <v>2.5</v>
      </c>
      <c r="N40" s="73" t="str">
        <f t="shared" si="4"/>
        <v>N/TRANSITA</v>
      </c>
      <c r="O40" s="111"/>
      <c r="P40" s="93"/>
      <c r="Q40" s="32"/>
      <c r="R40" s="106">
        <f t="shared" si="5"/>
        <v>0</v>
      </c>
      <c r="S40" s="38">
        <f t="shared" si="0"/>
        <v>3.5</v>
      </c>
      <c r="T40" s="78" t="str">
        <f t="shared" si="6"/>
        <v>N/TRANSITA</v>
      </c>
    </row>
    <row r="41" spans="2:20" ht="14.25" customHeight="1" x14ac:dyDescent="0.3">
      <c r="B41" s="33">
        <v>33</v>
      </c>
      <c r="C41" s="127" t="s">
        <v>100</v>
      </c>
      <c r="D41" s="60"/>
      <c r="E41" s="92">
        <v>15</v>
      </c>
      <c r="F41" s="93">
        <v>15</v>
      </c>
      <c r="G41" s="93"/>
      <c r="H41" s="106">
        <f t="shared" si="1"/>
        <v>15</v>
      </c>
      <c r="I41" s="73" t="str">
        <f t="shared" si="2"/>
        <v>TRANSITA</v>
      </c>
      <c r="J41" s="107">
        <v>15</v>
      </c>
      <c r="K41" s="108">
        <v>9</v>
      </c>
      <c r="L41" s="66"/>
      <c r="M41" s="106">
        <f t="shared" si="3"/>
        <v>12</v>
      </c>
      <c r="N41" s="73" t="str">
        <f t="shared" si="4"/>
        <v>TRANSITA</v>
      </c>
      <c r="O41" s="111"/>
      <c r="P41" s="93"/>
      <c r="Q41" s="32"/>
      <c r="R41" s="106">
        <f t="shared" si="5"/>
        <v>0</v>
      </c>
      <c r="S41" s="38">
        <f t="shared" si="0"/>
        <v>9</v>
      </c>
      <c r="T41" s="78" t="str">
        <f t="shared" si="6"/>
        <v>N/TRANSITA</v>
      </c>
    </row>
    <row r="42" spans="2:20" ht="14.25" customHeight="1" x14ac:dyDescent="0.3">
      <c r="B42" s="33">
        <v>34</v>
      </c>
      <c r="C42" s="127" t="s">
        <v>101</v>
      </c>
      <c r="D42" s="60"/>
      <c r="E42" s="92"/>
      <c r="F42" s="93"/>
      <c r="G42" s="93"/>
      <c r="H42" s="106">
        <f t="shared" si="1"/>
        <v>0</v>
      </c>
      <c r="I42" s="73" t="str">
        <f t="shared" si="2"/>
        <v>N/TRANSITA</v>
      </c>
      <c r="J42" s="107"/>
      <c r="K42" s="108"/>
      <c r="L42" s="66"/>
      <c r="M42" s="106">
        <f t="shared" si="3"/>
        <v>0</v>
      </c>
      <c r="N42" s="73" t="str">
        <f t="shared" si="4"/>
        <v>N/TRANSITA</v>
      </c>
      <c r="O42" s="111"/>
      <c r="P42" s="93"/>
      <c r="Q42" s="32"/>
      <c r="R42" s="106">
        <f t="shared" si="5"/>
        <v>0</v>
      </c>
      <c r="S42" s="38">
        <f t="shared" ref="S42:S71" si="14">SUM(H42,M42,R42)/3</f>
        <v>0</v>
      </c>
      <c r="T42" s="78" t="str">
        <f t="shared" si="6"/>
        <v>N/TRANSITA</v>
      </c>
    </row>
    <row r="43" spans="2:20" ht="14.25" customHeight="1" x14ac:dyDescent="0.3">
      <c r="B43" s="33">
        <v>35</v>
      </c>
      <c r="C43" s="127" t="s">
        <v>102</v>
      </c>
      <c r="D43" s="60"/>
      <c r="E43" s="92">
        <v>12</v>
      </c>
      <c r="F43" s="93">
        <v>10</v>
      </c>
      <c r="G43" s="93"/>
      <c r="H43" s="106">
        <f t="shared" si="1"/>
        <v>11</v>
      </c>
      <c r="I43" s="73" t="str">
        <f t="shared" si="2"/>
        <v>TRANSITA</v>
      </c>
      <c r="J43" s="107"/>
      <c r="K43" s="108">
        <v>5.5</v>
      </c>
      <c r="L43" s="66"/>
      <c r="M43" s="106">
        <f t="shared" si="3"/>
        <v>5.5</v>
      </c>
      <c r="N43" s="73" t="str">
        <f t="shared" si="4"/>
        <v>N/TRANSITA</v>
      </c>
      <c r="O43" s="111"/>
      <c r="P43" s="93"/>
      <c r="Q43" s="32"/>
      <c r="R43" s="106">
        <f t="shared" si="5"/>
        <v>0</v>
      </c>
      <c r="S43" s="38">
        <f t="shared" si="14"/>
        <v>5.5</v>
      </c>
      <c r="T43" s="78" t="str">
        <f t="shared" si="6"/>
        <v>N/TRANSITA</v>
      </c>
    </row>
    <row r="44" spans="2:20" ht="14.25" customHeight="1" x14ac:dyDescent="0.3">
      <c r="B44" s="33">
        <v>36</v>
      </c>
      <c r="C44" s="127" t="s">
        <v>103</v>
      </c>
      <c r="D44" s="60"/>
      <c r="E44" s="92"/>
      <c r="F44" s="93">
        <v>5</v>
      </c>
      <c r="G44" s="93"/>
      <c r="H44" s="106">
        <f t="shared" si="1"/>
        <v>5</v>
      </c>
      <c r="I44" s="73" t="str">
        <f t="shared" si="2"/>
        <v>N/TRANSITA</v>
      </c>
      <c r="J44" s="107"/>
      <c r="K44" s="108"/>
      <c r="L44" s="66"/>
      <c r="M44" s="106">
        <f t="shared" si="3"/>
        <v>0</v>
      </c>
      <c r="N44" s="73" t="str">
        <f t="shared" ref="N44:N49" si="15">IF(M44&gt;=10,"TRANSITA","N/TRANSITA")</f>
        <v>N/TRANSITA</v>
      </c>
      <c r="O44" s="111"/>
      <c r="P44" s="93"/>
      <c r="Q44" s="32"/>
      <c r="R44" s="106">
        <f t="shared" si="5"/>
        <v>0</v>
      </c>
      <c r="S44" s="38">
        <f t="shared" si="14"/>
        <v>1.6666666666666667</v>
      </c>
      <c r="T44" s="78" t="str">
        <f t="shared" ref="T44:T49" si="16">IF(S44&gt;=10,"TRANSITA","N/TRANSITA")</f>
        <v>N/TRANSITA</v>
      </c>
    </row>
    <row r="45" spans="2:20" ht="14.25" customHeight="1" x14ac:dyDescent="0.3">
      <c r="B45" s="33">
        <v>37</v>
      </c>
      <c r="C45" s="127" t="s">
        <v>104</v>
      </c>
      <c r="D45" s="60"/>
      <c r="E45" s="92">
        <v>12</v>
      </c>
      <c r="F45" s="93">
        <v>8.5</v>
      </c>
      <c r="G45" s="93"/>
      <c r="H45" s="106">
        <f t="shared" si="1"/>
        <v>10.25</v>
      </c>
      <c r="I45" s="73" t="str">
        <f t="shared" si="2"/>
        <v>TRANSITA</v>
      </c>
      <c r="J45" s="107">
        <v>10</v>
      </c>
      <c r="K45" s="108">
        <v>3</v>
      </c>
      <c r="L45" s="66"/>
      <c r="M45" s="106">
        <f t="shared" si="3"/>
        <v>6.5</v>
      </c>
      <c r="N45" s="73" t="str">
        <f t="shared" si="15"/>
        <v>N/TRANSITA</v>
      </c>
      <c r="O45" s="111"/>
      <c r="P45" s="93"/>
      <c r="Q45" s="32"/>
      <c r="R45" s="106">
        <f t="shared" si="5"/>
        <v>0</v>
      </c>
      <c r="S45" s="38">
        <f t="shared" si="14"/>
        <v>5.583333333333333</v>
      </c>
      <c r="T45" s="78" t="str">
        <f t="shared" si="16"/>
        <v>N/TRANSITA</v>
      </c>
    </row>
    <row r="46" spans="2:20" ht="14.25" customHeight="1" x14ac:dyDescent="0.3">
      <c r="B46" s="33">
        <v>38</v>
      </c>
      <c r="C46" s="127" t="s">
        <v>105</v>
      </c>
      <c r="D46" s="60"/>
      <c r="E46" s="92"/>
      <c r="F46" s="93"/>
      <c r="G46" s="93"/>
      <c r="H46" s="106">
        <f t="shared" si="1"/>
        <v>0</v>
      </c>
      <c r="I46" s="73" t="str">
        <f t="shared" si="2"/>
        <v>N/TRANSITA</v>
      </c>
      <c r="J46" s="107"/>
      <c r="K46" s="108"/>
      <c r="L46" s="66"/>
      <c r="M46" s="106">
        <f t="shared" si="3"/>
        <v>0</v>
      </c>
      <c r="N46" s="73" t="str">
        <f t="shared" si="15"/>
        <v>N/TRANSITA</v>
      </c>
      <c r="O46" s="111"/>
      <c r="P46" s="93"/>
      <c r="Q46" s="32"/>
      <c r="R46" s="106">
        <f t="shared" si="5"/>
        <v>0</v>
      </c>
      <c r="S46" s="38">
        <f t="shared" si="14"/>
        <v>0</v>
      </c>
      <c r="T46" s="78" t="str">
        <f t="shared" si="16"/>
        <v>N/TRANSITA</v>
      </c>
    </row>
    <row r="47" spans="2:20" ht="14.25" customHeight="1" x14ac:dyDescent="0.3">
      <c r="B47" s="33">
        <v>39</v>
      </c>
      <c r="C47" s="127" t="s">
        <v>106</v>
      </c>
      <c r="D47" s="60"/>
      <c r="E47" s="92">
        <v>13</v>
      </c>
      <c r="F47" s="93">
        <v>10</v>
      </c>
      <c r="G47" s="93"/>
      <c r="H47" s="106">
        <f t="shared" si="1"/>
        <v>11.5</v>
      </c>
      <c r="I47" s="73" t="str">
        <f t="shared" si="2"/>
        <v>TRANSITA</v>
      </c>
      <c r="J47" s="107">
        <v>12</v>
      </c>
      <c r="K47" s="108">
        <v>5</v>
      </c>
      <c r="L47" s="66"/>
      <c r="M47" s="106">
        <f t="shared" si="3"/>
        <v>8.5</v>
      </c>
      <c r="N47" s="73" t="str">
        <f t="shared" si="15"/>
        <v>N/TRANSITA</v>
      </c>
      <c r="O47" s="111"/>
      <c r="P47" s="93"/>
      <c r="Q47" s="32"/>
      <c r="R47" s="106">
        <f t="shared" si="5"/>
        <v>0</v>
      </c>
      <c r="S47" s="38">
        <f t="shared" si="14"/>
        <v>6.666666666666667</v>
      </c>
      <c r="T47" s="78" t="str">
        <f t="shared" si="16"/>
        <v>N/TRANSITA</v>
      </c>
    </row>
    <row r="48" spans="2:20" ht="14.25" customHeight="1" x14ac:dyDescent="0.3">
      <c r="B48" s="33">
        <v>40</v>
      </c>
      <c r="C48" s="127" t="s">
        <v>145</v>
      </c>
      <c r="D48" s="60"/>
      <c r="E48" s="92"/>
      <c r="F48" s="93"/>
      <c r="G48" s="93"/>
      <c r="H48" s="106">
        <f t="shared" si="1"/>
        <v>0</v>
      </c>
      <c r="I48" s="73" t="str">
        <f t="shared" si="2"/>
        <v>N/TRANSITA</v>
      </c>
      <c r="J48" s="107"/>
      <c r="K48" s="108">
        <v>6</v>
      </c>
      <c r="L48" s="66"/>
      <c r="M48" s="106">
        <f t="shared" ref="M48" si="17">AVERAGE(J48,MAX(K48:L48))</f>
        <v>6</v>
      </c>
      <c r="N48" s="73" t="str">
        <f t="shared" ref="N48" si="18">IF(M48&gt;=10,"TRANSITA","N/TRANSITA")</f>
        <v>N/TRANSITA</v>
      </c>
      <c r="O48" s="111"/>
      <c r="P48" s="93"/>
      <c r="Q48" s="32"/>
      <c r="R48" s="106">
        <f t="shared" ref="R48" si="19">AVERAGE(O48,MAX(P48:Q48))</f>
        <v>0</v>
      </c>
      <c r="S48" s="38">
        <f t="shared" ref="S48" si="20">SUM(H48,M48,R48)/3</f>
        <v>2</v>
      </c>
      <c r="T48" s="78" t="str">
        <f t="shared" ref="T48" si="21">IF(S48&gt;=10,"TRANSITA","N/TRANSITA")</f>
        <v>N/TRANSITA</v>
      </c>
    </row>
    <row r="49" spans="2:20" ht="14.25" customHeight="1" x14ac:dyDescent="0.3">
      <c r="B49" s="33">
        <v>41</v>
      </c>
      <c r="C49" s="128" t="s">
        <v>107</v>
      </c>
      <c r="D49" s="60"/>
      <c r="E49" s="92">
        <v>14</v>
      </c>
      <c r="F49" s="93">
        <v>13.5</v>
      </c>
      <c r="G49" s="93"/>
      <c r="H49" s="106">
        <f t="shared" si="1"/>
        <v>13.75</v>
      </c>
      <c r="I49" s="73" t="str">
        <f t="shared" si="2"/>
        <v>TRANSITA</v>
      </c>
      <c r="J49" s="107">
        <v>13</v>
      </c>
      <c r="K49" s="108">
        <v>10</v>
      </c>
      <c r="L49" s="66"/>
      <c r="M49" s="106">
        <f t="shared" si="3"/>
        <v>11.5</v>
      </c>
      <c r="N49" s="73" t="str">
        <f t="shared" si="15"/>
        <v>TRANSITA</v>
      </c>
      <c r="O49" s="111"/>
      <c r="P49" s="93"/>
      <c r="Q49" s="32"/>
      <c r="R49" s="106">
        <f t="shared" si="5"/>
        <v>0</v>
      </c>
      <c r="S49" s="38">
        <f t="shared" si="14"/>
        <v>8.4166666666666661</v>
      </c>
      <c r="T49" s="78" t="str">
        <f t="shared" si="16"/>
        <v>N/TRANSITA</v>
      </c>
    </row>
    <row r="50" spans="2:20" ht="14.25" customHeight="1" x14ac:dyDescent="0.3">
      <c r="B50" s="33">
        <v>42</v>
      </c>
      <c r="C50" s="127" t="s">
        <v>108</v>
      </c>
      <c r="D50" s="61"/>
      <c r="E50" s="92">
        <v>13</v>
      </c>
      <c r="F50" s="93">
        <v>10.5</v>
      </c>
      <c r="G50" s="93"/>
      <c r="H50" s="106">
        <f t="shared" si="1"/>
        <v>11.75</v>
      </c>
      <c r="I50" s="73" t="str">
        <f t="shared" si="2"/>
        <v>TRANSITA</v>
      </c>
      <c r="J50" s="107">
        <v>14</v>
      </c>
      <c r="K50" s="108">
        <v>6</v>
      </c>
      <c r="L50" s="66"/>
      <c r="M50" s="106">
        <f t="shared" si="3"/>
        <v>10</v>
      </c>
      <c r="N50" s="73" t="str">
        <f t="shared" si="4"/>
        <v>TRANSITA</v>
      </c>
      <c r="O50" s="111"/>
      <c r="P50" s="93"/>
      <c r="Q50" s="32"/>
      <c r="R50" s="106">
        <f t="shared" si="5"/>
        <v>0</v>
      </c>
      <c r="S50" s="38">
        <f t="shared" si="14"/>
        <v>7.25</v>
      </c>
      <c r="T50" s="78" t="str">
        <f t="shared" si="6"/>
        <v>N/TRANSITA</v>
      </c>
    </row>
    <row r="51" spans="2:20" ht="14.25" customHeight="1" x14ac:dyDescent="0.3">
      <c r="B51" s="33">
        <v>43</v>
      </c>
      <c r="C51" s="127" t="s">
        <v>109</v>
      </c>
      <c r="D51" s="61"/>
      <c r="E51" s="92">
        <v>13</v>
      </c>
      <c r="F51" s="93">
        <v>13.5</v>
      </c>
      <c r="G51" s="93"/>
      <c r="H51" s="106">
        <f t="shared" si="1"/>
        <v>13.25</v>
      </c>
      <c r="I51" s="73" t="str">
        <f t="shared" si="2"/>
        <v>TRANSITA</v>
      </c>
      <c r="J51" s="107"/>
      <c r="K51" s="108"/>
      <c r="L51" s="66"/>
      <c r="M51" s="106">
        <f t="shared" si="3"/>
        <v>0</v>
      </c>
      <c r="N51" s="73" t="str">
        <f t="shared" si="4"/>
        <v>N/TRANSITA</v>
      </c>
      <c r="O51" s="111"/>
      <c r="P51" s="93"/>
      <c r="Q51" s="32"/>
      <c r="R51" s="106">
        <f t="shared" si="5"/>
        <v>0</v>
      </c>
      <c r="S51" s="38">
        <f t="shared" si="14"/>
        <v>4.416666666666667</v>
      </c>
      <c r="T51" s="78" t="str">
        <f t="shared" si="6"/>
        <v>N/TRANSITA</v>
      </c>
    </row>
    <row r="52" spans="2:20" ht="14.25" customHeight="1" x14ac:dyDescent="0.3">
      <c r="B52" s="33">
        <v>44</v>
      </c>
      <c r="C52" s="127" t="s">
        <v>110</v>
      </c>
      <c r="D52" s="60"/>
      <c r="E52" s="92">
        <v>13</v>
      </c>
      <c r="F52" s="93">
        <v>13.5</v>
      </c>
      <c r="G52" s="93"/>
      <c r="H52" s="106">
        <f t="shared" si="1"/>
        <v>13.25</v>
      </c>
      <c r="I52" s="73" t="str">
        <f t="shared" si="2"/>
        <v>TRANSITA</v>
      </c>
      <c r="J52" s="107">
        <v>10</v>
      </c>
      <c r="K52" s="108">
        <v>7</v>
      </c>
      <c r="L52" s="66"/>
      <c r="M52" s="106">
        <f t="shared" si="3"/>
        <v>8.5</v>
      </c>
      <c r="N52" s="73" t="str">
        <f t="shared" si="4"/>
        <v>N/TRANSITA</v>
      </c>
      <c r="O52" s="111"/>
      <c r="P52" s="93"/>
      <c r="Q52" s="32"/>
      <c r="R52" s="106">
        <f t="shared" si="5"/>
        <v>0</v>
      </c>
      <c r="S52" s="38">
        <f t="shared" si="14"/>
        <v>7.25</v>
      </c>
      <c r="T52" s="78" t="str">
        <f t="shared" si="6"/>
        <v>N/TRANSITA</v>
      </c>
    </row>
    <row r="53" spans="2:20" ht="14.25" customHeight="1" x14ac:dyDescent="0.3">
      <c r="B53" s="33">
        <v>45</v>
      </c>
      <c r="C53" s="127" t="s">
        <v>111</v>
      </c>
      <c r="D53" s="60"/>
      <c r="E53" s="92"/>
      <c r="F53" s="93"/>
      <c r="G53" s="93"/>
      <c r="H53" s="106">
        <f t="shared" si="1"/>
        <v>0</v>
      </c>
      <c r="I53" s="73" t="str">
        <f t="shared" si="2"/>
        <v>N/TRANSITA</v>
      </c>
      <c r="J53" s="107"/>
      <c r="K53" s="108"/>
      <c r="L53" s="66"/>
      <c r="M53" s="106">
        <f t="shared" si="3"/>
        <v>0</v>
      </c>
      <c r="N53" s="73" t="str">
        <f t="shared" si="4"/>
        <v>N/TRANSITA</v>
      </c>
      <c r="O53" s="111"/>
      <c r="P53" s="93"/>
      <c r="Q53" s="32"/>
      <c r="R53" s="106">
        <f t="shared" si="5"/>
        <v>0</v>
      </c>
      <c r="S53" s="38">
        <f t="shared" si="14"/>
        <v>0</v>
      </c>
      <c r="T53" s="78" t="str">
        <f t="shared" si="6"/>
        <v>N/TRANSITA</v>
      </c>
    </row>
    <row r="54" spans="2:20" ht="14.25" customHeight="1" x14ac:dyDescent="0.3">
      <c r="B54" s="33">
        <v>46</v>
      </c>
      <c r="C54" s="127" t="s">
        <v>112</v>
      </c>
      <c r="D54" s="60"/>
      <c r="E54" s="92">
        <v>12</v>
      </c>
      <c r="F54" s="93">
        <v>4.5</v>
      </c>
      <c r="G54" s="93"/>
      <c r="H54" s="106">
        <f t="shared" si="1"/>
        <v>8.25</v>
      </c>
      <c r="I54" s="73" t="str">
        <f t="shared" si="2"/>
        <v>N/TRANSITA</v>
      </c>
      <c r="J54" s="107">
        <v>12</v>
      </c>
      <c r="K54" s="108">
        <v>3</v>
      </c>
      <c r="L54" s="66"/>
      <c r="M54" s="106">
        <f t="shared" si="3"/>
        <v>7.5</v>
      </c>
      <c r="N54" s="73" t="str">
        <f t="shared" si="4"/>
        <v>N/TRANSITA</v>
      </c>
      <c r="O54" s="111"/>
      <c r="P54" s="93"/>
      <c r="Q54" s="32"/>
      <c r="R54" s="106">
        <f t="shared" si="5"/>
        <v>0</v>
      </c>
      <c r="S54" s="38">
        <f t="shared" si="14"/>
        <v>5.25</v>
      </c>
      <c r="T54" s="78" t="str">
        <f t="shared" si="6"/>
        <v>N/TRANSITA</v>
      </c>
    </row>
    <row r="55" spans="2:20" ht="14.25" customHeight="1" x14ac:dyDescent="0.3">
      <c r="B55" s="33">
        <v>47</v>
      </c>
      <c r="C55" s="127" t="s">
        <v>141</v>
      </c>
      <c r="D55" s="60"/>
      <c r="E55" s="92"/>
      <c r="F55" s="93"/>
      <c r="G55" s="93"/>
      <c r="H55" s="106">
        <f t="shared" si="1"/>
        <v>0</v>
      </c>
      <c r="I55" s="73" t="str">
        <f t="shared" si="2"/>
        <v>N/TRANSITA</v>
      </c>
      <c r="J55" s="107"/>
      <c r="K55" s="108">
        <v>2.5</v>
      </c>
      <c r="L55" s="66"/>
      <c r="M55" s="106">
        <f t="shared" ref="M55:M56" si="22">AVERAGE(J55,MAX(K55:L55))</f>
        <v>2.5</v>
      </c>
      <c r="N55" s="73" t="str">
        <f t="shared" ref="N55:N56" si="23">IF(M55&gt;=10,"TRANSITA","N/TRANSITA")</f>
        <v>N/TRANSITA</v>
      </c>
      <c r="O55" s="111"/>
      <c r="P55" s="93"/>
      <c r="Q55" s="32"/>
      <c r="R55" s="106">
        <f t="shared" ref="R55:R56" si="24">AVERAGE(O55,MAX(P55:Q55))</f>
        <v>0</v>
      </c>
      <c r="S55" s="38">
        <f t="shared" ref="S55:S56" si="25">SUM(H55,M55,R55)/3</f>
        <v>0.83333333333333337</v>
      </c>
      <c r="T55" s="78" t="str">
        <f t="shared" ref="T55:T56" si="26">IF(S55&gt;=10,"TRANSITA","N/TRANSITA")</f>
        <v>N/TRANSITA</v>
      </c>
    </row>
    <row r="56" spans="2:20" ht="14.25" customHeight="1" x14ac:dyDescent="0.3">
      <c r="B56" s="33">
        <v>48</v>
      </c>
      <c r="C56" s="127" t="s">
        <v>113</v>
      </c>
      <c r="D56" s="60"/>
      <c r="E56" s="92"/>
      <c r="F56" s="93"/>
      <c r="G56" s="93"/>
      <c r="H56" s="106">
        <f t="shared" si="1"/>
        <v>0</v>
      </c>
      <c r="I56" s="73" t="str">
        <f t="shared" si="2"/>
        <v>N/TRANSITA</v>
      </c>
      <c r="J56" s="107"/>
      <c r="K56" s="108">
        <v>10</v>
      </c>
      <c r="L56" s="66"/>
      <c r="M56" s="106">
        <f t="shared" si="22"/>
        <v>10</v>
      </c>
      <c r="N56" s="73" t="str">
        <f t="shared" si="23"/>
        <v>TRANSITA</v>
      </c>
      <c r="O56" s="111"/>
      <c r="P56" s="93"/>
      <c r="Q56" s="32"/>
      <c r="R56" s="106">
        <f t="shared" si="24"/>
        <v>0</v>
      </c>
      <c r="S56" s="38">
        <f t="shared" si="25"/>
        <v>3.3333333333333335</v>
      </c>
      <c r="T56" s="78" t="str">
        <f t="shared" si="26"/>
        <v>N/TRANSITA</v>
      </c>
    </row>
    <row r="57" spans="2:20" ht="14.25" customHeight="1" x14ac:dyDescent="0.3">
      <c r="B57" s="33">
        <v>49</v>
      </c>
      <c r="C57" s="127" t="s">
        <v>114</v>
      </c>
      <c r="D57" s="60"/>
      <c r="E57" s="92"/>
      <c r="F57" s="93">
        <v>2</v>
      </c>
      <c r="G57" s="93"/>
      <c r="H57" s="106">
        <f t="shared" si="1"/>
        <v>2</v>
      </c>
      <c r="I57" s="73" t="str">
        <f t="shared" si="2"/>
        <v>N/TRANSITA</v>
      </c>
      <c r="J57" s="107"/>
      <c r="K57" s="108"/>
      <c r="L57" s="66"/>
      <c r="M57" s="106">
        <f t="shared" ref="M57:M63" si="27">AVERAGE(J57,MAX(K57:L57))</f>
        <v>0</v>
      </c>
      <c r="N57" s="73" t="str">
        <f t="shared" ref="N57:N63" si="28">IF(M57&gt;=10,"TRANSITA","N/TRANSITA")</f>
        <v>N/TRANSITA</v>
      </c>
      <c r="O57" s="111"/>
      <c r="P57" s="93"/>
      <c r="Q57" s="32"/>
      <c r="R57" s="106">
        <f t="shared" ref="R57:R63" si="29">AVERAGE(O57,MAX(P57:Q57))</f>
        <v>0</v>
      </c>
      <c r="S57" s="38">
        <f t="shared" ref="S57:S63" si="30">SUM(H57,M57,R57)/3</f>
        <v>0.66666666666666663</v>
      </c>
      <c r="T57" s="78" t="str">
        <f t="shared" ref="T57:T63" si="31">IF(S57&gt;=10,"TRANSITA","N/TRANSITA")</f>
        <v>N/TRANSITA</v>
      </c>
    </row>
    <row r="58" spans="2:20" ht="14.25" customHeight="1" x14ac:dyDescent="0.3">
      <c r="B58" s="33">
        <v>50</v>
      </c>
      <c r="C58" s="127" t="s">
        <v>115</v>
      </c>
      <c r="D58" s="60"/>
      <c r="E58" s="92">
        <v>13</v>
      </c>
      <c r="F58" s="93">
        <v>13.5</v>
      </c>
      <c r="G58" s="93"/>
      <c r="H58" s="106">
        <f t="shared" si="1"/>
        <v>13.25</v>
      </c>
      <c r="I58" s="73" t="str">
        <f t="shared" si="2"/>
        <v>TRANSITA</v>
      </c>
      <c r="J58" s="107">
        <v>15</v>
      </c>
      <c r="K58" s="108">
        <v>6</v>
      </c>
      <c r="L58" s="66"/>
      <c r="M58" s="106">
        <f t="shared" si="27"/>
        <v>10.5</v>
      </c>
      <c r="N58" s="73" t="str">
        <f t="shared" si="28"/>
        <v>TRANSITA</v>
      </c>
      <c r="O58" s="111"/>
      <c r="P58" s="93"/>
      <c r="Q58" s="32"/>
      <c r="R58" s="106">
        <f t="shared" si="29"/>
        <v>0</v>
      </c>
      <c r="S58" s="38">
        <f t="shared" si="30"/>
        <v>7.916666666666667</v>
      </c>
      <c r="T58" s="78" t="str">
        <f t="shared" si="31"/>
        <v>N/TRANSITA</v>
      </c>
    </row>
    <row r="59" spans="2:20" ht="14.25" customHeight="1" x14ac:dyDescent="0.3">
      <c r="B59" s="33">
        <v>51</v>
      </c>
      <c r="C59" s="127" t="s">
        <v>116</v>
      </c>
      <c r="D59" s="60"/>
      <c r="E59" s="92"/>
      <c r="F59" s="93"/>
      <c r="G59" s="93"/>
      <c r="H59" s="106">
        <f t="shared" si="1"/>
        <v>0</v>
      </c>
      <c r="I59" s="73" t="str">
        <f t="shared" si="2"/>
        <v>N/TRANSITA</v>
      </c>
      <c r="J59" s="107"/>
      <c r="K59" s="108"/>
      <c r="L59" s="66"/>
      <c r="M59" s="106">
        <f t="shared" si="27"/>
        <v>0</v>
      </c>
      <c r="N59" s="73" t="str">
        <f t="shared" si="28"/>
        <v>N/TRANSITA</v>
      </c>
      <c r="O59" s="111"/>
      <c r="P59" s="93"/>
      <c r="Q59" s="32"/>
      <c r="R59" s="106">
        <f t="shared" si="29"/>
        <v>0</v>
      </c>
      <c r="S59" s="38">
        <f t="shared" si="30"/>
        <v>0</v>
      </c>
      <c r="T59" s="78" t="str">
        <f t="shared" si="31"/>
        <v>N/TRANSITA</v>
      </c>
    </row>
    <row r="60" spans="2:20" ht="14.25" customHeight="1" x14ac:dyDescent="0.3">
      <c r="B60" s="33">
        <v>52</v>
      </c>
      <c r="C60" s="127" t="s">
        <v>117</v>
      </c>
      <c r="D60" s="60"/>
      <c r="E60" s="92"/>
      <c r="F60" s="93"/>
      <c r="G60" s="93"/>
      <c r="H60" s="106">
        <f t="shared" si="1"/>
        <v>0</v>
      </c>
      <c r="I60" s="73" t="str">
        <f t="shared" si="2"/>
        <v>N/TRANSITA</v>
      </c>
      <c r="J60" s="107">
        <v>12</v>
      </c>
      <c r="K60" s="108">
        <v>4</v>
      </c>
      <c r="L60" s="66"/>
      <c r="M60" s="106">
        <f t="shared" si="27"/>
        <v>8</v>
      </c>
      <c r="N60" s="73" t="str">
        <f t="shared" si="28"/>
        <v>N/TRANSITA</v>
      </c>
      <c r="O60" s="111"/>
      <c r="P60" s="93"/>
      <c r="Q60" s="32"/>
      <c r="R60" s="106">
        <f t="shared" si="29"/>
        <v>0</v>
      </c>
      <c r="S60" s="38">
        <f t="shared" si="30"/>
        <v>2.6666666666666665</v>
      </c>
      <c r="T60" s="78" t="str">
        <f t="shared" si="31"/>
        <v>N/TRANSITA</v>
      </c>
    </row>
    <row r="61" spans="2:20" ht="14.25" customHeight="1" x14ac:dyDescent="0.3">
      <c r="B61" s="33">
        <v>53</v>
      </c>
      <c r="C61" s="127" t="s">
        <v>118</v>
      </c>
      <c r="D61" s="60"/>
      <c r="E61" s="92"/>
      <c r="F61" s="93"/>
      <c r="G61" s="93"/>
      <c r="H61" s="106">
        <f t="shared" si="1"/>
        <v>0</v>
      </c>
      <c r="I61" s="73" t="str">
        <f t="shared" si="2"/>
        <v>N/TRANSITA</v>
      </c>
      <c r="J61" s="107"/>
      <c r="K61" s="108"/>
      <c r="L61" s="66"/>
      <c r="M61" s="106">
        <f t="shared" si="27"/>
        <v>0</v>
      </c>
      <c r="N61" s="73" t="str">
        <f t="shared" si="28"/>
        <v>N/TRANSITA</v>
      </c>
      <c r="O61" s="111"/>
      <c r="P61" s="93"/>
      <c r="Q61" s="32"/>
      <c r="R61" s="106">
        <f t="shared" si="29"/>
        <v>0</v>
      </c>
      <c r="S61" s="38">
        <f t="shared" si="30"/>
        <v>0</v>
      </c>
      <c r="T61" s="78" t="str">
        <f t="shared" si="31"/>
        <v>N/TRANSITA</v>
      </c>
    </row>
    <row r="62" spans="2:20" ht="14.25" customHeight="1" x14ac:dyDescent="0.3">
      <c r="B62" s="33">
        <v>54</v>
      </c>
      <c r="C62" s="128" t="s">
        <v>119</v>
      </c>
      <c r="D62" s="60"/>
      <c r="E62" s="92">
        <v>10</v>
      </c>
      <c r="F62" s="93">
        <v>0.5</v>
      </c>
      <c r="G62" s="93"/>
      <c r="H62" s="106">
        <f t="shared" si="1"/>
        <v>5.25</v>
      </c>
      <c r="I62" s="73" t="str">
        <f t="shared" si="2"/>
        <v>N/TRANSITA</v>
      </c>
      <c r="J62" s="107"/>
      <c r="K62" s="108"/>
      <c r="L62" s="66"/>
      <c r="M62" s="106">
        <f t="shared" si="27"/>
        <v>0</v>
      </c>
      <c r="N62" s="73" t="str">
        <f t="shared" si="28"/>
        <v>N/TRANSITA</v>
      </c>
      <c r="O62" s="111"/>
      <c r="P62" s="93"/>
      <c r="Q62" s="32"/>
      <c r="R62" s="106">
        <f t="shared" si="29"/>
        <v>0</v>
      </c>
      <c r="S62" s="38">
        <f t="shared" si="30"/>
        <v>1.75</v>
      </c>
      <c r="T62" s="78" t="str">
        <f t="shared" si="31"/>
        <v>N/TRANSITA</v>
      </c>
    </row>
    <row r="63" spans="2:20" ht="14.25" customHeight="1" x14ac:dyDescent="0.3">
      <c r="B63" s="33">
        <v>55</v>
      </c>
      <c r="C63" s="127" t="s">
        <v>120</v>
      </c>
      <c r="D63" s="60"/>
      <c r="E63" s="92">
        <v>12</v>
      </c>
      <c r="F63" s="93">
        <v>7</v>
      </c>
      <c r="G63" s="93"/>
      <c r="H63" s="106">
        <f t="shared" si="1"/>
        <v>9.5</v>
      </c>
      <c r="I63" s="73" t="str">
        <f t="shared" si="2"/>
        <v>N/TRANSITA</v>
      </c>
      <c r="J63" s="107">
        <v>12</v>
      </c>
      <c r="K63" s="108">
        <v>3.5</v>
      </c>
      <c r="L63" s="66"/>
      <c r="M63" s="106">
        <f t="shared" si="27"/>
        <v>7.75</v>
      </c>
      <c r="N63" s="73" t="str">
        <f t="shared" si="28"/>
        <v>N/TRANSITA</v>
      </c>
      <c r="O63" s="111"/>
      <c r="P63" s="93"/>
      <c r="Q63" s="32"/>
      <c r="R63" s="106">
        <f t="shared" si="29"/>
        <v>0</v>
      </c>
      <c r="S63" s="38">
        <f t="shared" si="30"/>
        <v>5.75</v>
      </c>
      <c r="T63" s="78" t="str">
        <f t="shared" si="31"/>
        <v>N/TRANSITA</v>
      </c>
    </row>
    <row r="64" spans="2:20" ht="14.25" customHeight="1" x14ac:dyDescent="0.3">
      <c r="B64" s="33">
        <v>56</v>
      </c>
      <c r="C64" s="127" t="s">
        <v>121</v>
      </c>
      <c r="D64" s="60"/>
      <c r="E64" s="92"/>
      <c r="F64" s="93">
        <v>10</v>
      </c>
      <c r="G64" s="93"/>
      <c r="H64" s="106">
        <f t="shared" si="1"/>
        <v>10</v>
      </c>
      <c r="I64" s="73" t="str">
        <f t="shared" si="2"/>
        <v>TRANSITA</v>
      </c>
      <c r="J64" s="107"/>
      <c r="K64" s="108">
        <v>2.5</v>
      </c>
      <c r="L64" s="66"/>
      <c r="M64" s="106">
        <f t="shared" si="3"/>
        <v>2.5</v>
      </c>
      <c r="N64" s="73" t="str">
        <f t="shared" si="4"/>
        <v>N/TRANSITA</v>
      </c>
      <c r="O64" s="111"/>
      <c r="P64" s="93"/>
      <c r="Q64" s="32"/>
      <c r="R64" s="106">
        <f t="shared" si="5"/>
        <v>0</v>
      </c>
      <c r="S64" s="38">
        <f t="shared" si="14"/>
        <v>4.166666666666667</v>
      </c>
      <c r="T64" s="78" t="str">
        <f t="shared" si="6"/>
        <v>N/TRANSITA</v>
      </c>
    </row>
    <row r="65" spans="1:20" ht="14.25" customHeight="1" x14ac:dyDescent="0.3">
      <c r="B65" s="33">
        <v>57</v>
      </c>
      <c r="C65" s="127" t="s">
        <v>122</v>
      </c>
      <c r="D65" s="61"/>
      <c r="E65" s="92"/>
      <c r="F65" s="93"/>
      <c r="G65" s="93"/>
      <c r="H65" s="106">
        <f t="shared" si="1"/>
        <v>0</v>
      </c>
      <c r="I65" s="73" t="str">
        <f t="shared" si="2"/>
        <v>N/TRANSITA</v>
      </c>
      <c r="J65" s="107"/>
      <c r="K65" s="108"/>
      <c r="L65" s="66"/>
      <c r="M65" s="106">
        <f t="shared" si="3"/>
        <v>0</v>
      </c>
      <c r="N65" s="73" t="str">
        <f t="shared" si="4"/>
        <v>N/TRANSITA</v>
      </c>
      <c r="O65" s="111"/>
      <c r="P65" s="93"/>
      <c r="Q65" s="32"/>
      <c r="R65" s="106">
        <f t="shared" si="5"/>
        <v>0</v>
      </c>
      <c r="S65" s="38">
        <f t="shared" si="14"/>
        <v>0</v>
      </c>
      <c r="T65" s="78" t="str">
        <f t="shared" si="6"/>
        <v>N/TRANSITA</v>
      </c>
    </row>
    <row r="66" spans="1:20" ht="14.25" customHeight="1" x14ac:dyDescent="0.3">
      <c r="B66" s="33">
        <v>58</v>
      </c>
      <c r="C66" s="127" t="s">
        <v>123</v>
      </c>
      <c r="D66" s="60"/>
      <c r="E66" s="92">
        <v>12</v>
      </c>
      <c r="F66" s="93">
        <v>11.5</v>
      </c>
      <c r="G66" s="93"/>
      <c r="H66" s="106">
        <f t="shared" si="1"/>
        <v>11.75</v>
      </c>
      <c r="I66" s="73" t="str">
        <f t="shared" si="2"/>
        <v>TRANSITA</v>
      </c>
      <c r="J66" s="107">
        <v>12</v>
      </c>
      <c r="K66" s="108">
        <v>5</v>
      </c>
      <c r="L66" s="66"/>
      <c r="M66" s="106">
        <f t="shared" si="3"/>
        <v>8.5</v>
      </c>
      <c r="N66" s="73" t="str">
        <f t="shared" si="4"/>
        <v>N/TRANSITA</v>
      </c>
      <c r="O66" s="111"/>
      <c r="P66" s="93"/>
      <c r="Q66" s="32"/>
      <c r="R66" s="106">
        <f t="shared" si="5"/>
        <v>0</v>
      </c>
      <c r="S66" s="38">
        <f t="shared" si="14"/>
        <v>6.75</v>
      </c>
      <c r="T66" s="78" t="str">
        <f t="shared" si="6"/>
        <v>N/TRANSITA</v>
      </c>
    </row>
    <row r="67" spans="1:20" ht="14.25" customHeight="1" x14ac:dyDescent="0.3">
      <c r="B67" s="33">
        <v>59</v>
      </c>
      <c r="C67" s="127" t="s">
        <v>124</v>
      </c>
      <c r="D67" s="60"/>
      <c r="E67" s="92">
        <v>12</v>
      </c>
      <c r="F67" s="93">
        <v>3</v>
      </c>
      <c r="G67" s="93"/>
      <c r="H67" s="106">
        <f t="shared" si="1"/>
        <v>7.5</v>
      </c>
      <c r="I67" s="73" t="str">
        <f t="shared" si="2"/>
        <v>N/TRANSITA</v>
      </c>
      <c r="J67" s="107">
        <v>12</v>
      </c>
      <c r="K67" s="108">
        <v>5</v>
      </c>
      <c r="L67" s="66"/>
      <c r="M67" s="106">
        <f t="shared" si="3"/>
        <v>8.5</v>
      </c>
      <c r="N67" s="73" t="str">
        <f t="shared" si="4"/>
        <v>N/TRANSITA</v>
      </c>
      <c r="O67" s="111"/>
      <c r="P67" s="93"/>
      <c r="Q67" s="32"/>
      <c r="R67" s="106">
        <f t="shared" si="5"/>
        <v>0</v>
      </c>
      <c r="S67" s="38">
        <f t="shared" si="14"/>
        <v>5.333333333333333</v>
      </c>
      <c r="T67" s="78" t="str">
        <f t="shared" si="6"/>
        <v>N/TRANSITA</v>
      </c>
    </row>
    <row r="68" spans="1:20" ht="14.25" customHeight="1" x14ac:dyDescent="0.3">
      <c r="B68" s="33">
        <v>60</v>
      </c>
      <c r="C68" s="128" t="s">
        <v>125</v>
      </c>
      <c r="D68" s="60"/>
      <c r="E68" s="92"/>
      <c r="F68" s="93"/>
      <c r="G68" s="93"/>
      <c r="H68" s="106">
        <f t="shared" si="1"/>
        <v>0</v>
      </c>
      <c r="I68" s="73" t="str">
        <f t="shared" si="2"/>
        <v>N/TRANSITA</v>
      </c>
      <c r="J68" s="107">
        <v>13</v>
      </c>
      <c r="K68" s="108">
        <v>4</v>
      </c>
      <c r="L68" s="66"/>
      <c r="M68" s="106">
        <f t="shared" si="3"/>
        <v>8.5</v>
      </c>
      <c r="N68" s="73" t="str">
        <f t="shared" si="4"/>
        <v>N/TRANSITA</v>
      </c>
      <c r="O68" s="111"/>
      <c r="P68" s="93"/>
      <c r="Q68" s="32"/>
      <c r="R68" s="106">
        <f t="shared" si="5"/>
        <v>0</v>
      </c>
      <c r="S68" s="38">
        <f t="shared" si="14"/>
        <v>2.8333333333333335</v>
      </c>
      <c r="T68" s="78" t="str">
        <f t="shared" si="6"/>
        <v>N/TRANSITA</v>
      </c>
    </row>
    <row r="69" spans="1:20" ht="14.25" customHeight="1" x14ac:dyDescent="0.3">
      <c r="B69" s="33">
        <v>61</v>
      </c>
      <c r="C69" s="127" t="s">
        <v>126</v>
      </c>
      <c r="D69" s="60"/>
      <c r="E69" s="92"/>
      <c r="F69" s="93"/>
      <c r="G69" s="93"/>
      <c r="H69" s="106">
        <f t="shared" si="1"/>
        <v>0</v>
      </c>
      <c r="I69" s="73" t="str">
        <f t="shared" si="2"/>
        <v>N/TRANSITA</v>
      </c>
      <c r="J69" s="107"/>
      <c r="K69" s="108"/>
      <c r="L69" s="66"/>
      <c r="M69" s="106">
        <f t="shared" si="3"/>
        <v>0</v>
      </c>
      <c r="N69" s="73" t="str">
        <f t="shared" si="4"/>
        <v>N/TRANSITA</v>
      </c>
      <c r="O69" s="111"/>
      <c r="P69" s="93"/>
      <c r="Q69" s="32"/>
      <c r="R69" s="106">
        <f t="shared" si="5"/>
        <v>0</v>
      </c>
      <c r="S69" s="38">
        <f t="shared" si="14"/>
        <v>0</v>
      </c>
      <c r="T69" s="78" t="str">
        <f t="shared" si="6"/>
        <v>N/TRANSITA</v>
      </c>
    </row>
    <row r="70" spans="1:20" ht="14.25" customHeight="1" x14ac:dyDescent="0.3">
      <c r="B70" s="33">
        <v>62</v>
      </c>
      <c r="C70" s="127" t="s">
        <v>127</v>
      </c>
      <c r="D70" s="60"/>
      <c r="E70" s="92">
        <v>13</v>
      </c>
      <c r="F70" s="93"/>
      <c r="G70" s="93"/>
      <c r="H70" s="106">
        <f t="shared" si="1"/>
        <v>6.5</v>
      </c>
      <c r="I70" s="73" t="str">
        <f t="shared" si="2"/>
        <v>N/TRANSITA</v>
      </c>
      <c r="J70" s="107"/>
      <c r="K70" s="108"/>
      <c r="L70" s="66"/>
      <c r="M70" s="106">
        <f t="shared" si="3"/>
        <v>0</v>
      </c>
      <c r="N70" s="73" t="str">
        <f t="shared" si="4"/>
        <v>N/TRANSITA</v>
      </c>
      <c r="O70" s="111"/>
      <c r="P70" s="93"/>
      <c r="Q70" s="32"/>
      <c r="R70" s="106">
        <f t="shared" si="5"/>
        <v>0</v>
      </c>
      <c r="S70" s="38">
        <f t="shared" si="14"/>
        <v>2.1666666666666665</v>
      </c>
      <c r="T70" s="78" t="str">
        <f t="shared" si="6"/>
        <v>N/TRANSITA</v>
      </c>
    </row>
    <row r="71" spans="1:20" ht="14.25" customHeight="1" thickBot="1" x14ac:dyDescent="0.35">
      <c r="B71" s="33">
        <v>63</v>
      </c>
      <c r="C71" s="129" t="s">
        <v>128</v>
      </c>
      <c r="D71" s="62"/>
      <c r="E71" s="94">
        <v>15</v>
      </c>
      <c r="F71" s="95">
        <v>18.5</v>
      </c>
      <c r="G71" s="95"/>
      <c r="H71" s="147">
        <f t="shared" si="1"/>
        <v>16.75</v>
      </c>
      <c r="I71" s="148" t="str">
        <f t="shared" si="2"/>
        <v>TRANSITA</v>
      </c>
      <c r="J71" s="109"/>
      <c r="K71" s="110"/>
      <c r="L71" s="69"/>
      <c r="M71" s="147">
        <f t="shared" si="3"/>
        <v>0</v>
      </c>
      <c r="N71" s="148" t="str">
        <f t="shared" si="4"/>
        <v>N/TRANSITA</v>
      </c>
      <c r="O71" s="112"/>
      <c r="P71" s="95"/>
      <c r="Q71" s="34"/>
      <c r="R71" s="147">
        <f t="shared" si="5"/>
        <v>0</v>
      </c>
      <c r="S71" s="39">
        <f t="shared" si="14"/>
        <v>5.583333333333333</v>
      </c>
      <c r="T71" s="79" t="str">
        <f t="shared" si="6"/>
        <v>N/TRANSITA</v>
      </c>
    </row>
    <row r="72" spans="1:20" ht="93.75" customHeight="1" thickTop="1" x14ac:dyDescent="0.3">
      <c r="B72" s="19"/>
      <c r="C72" s="19"/>
      <c r="D72" s="19"/>
      <c r="E72" s="19"/>
      <c r="F72" s="19"/>
      <c r="G72" s="19"/>
      <c r="H72" s="19"/>
      <c r="I72" s="19"/>
      <c r="J72" s="19"/>
      <c r="O72" s="19"/>
      <c r="P72" s="19"/>
      <c r="Q72" s="19"/>
      <c r="R72" s="19"/>
      <c r="S72" s="19"/>
      <c r="T72" s="19"/>
    </row>
    <row r="73" spans="1:20" ht="20.25" customHeight="1" x14ac:dyDescent="0.45">
      <c r="A73" s="20"/>
      <c r="B73" s="20"/>
      <c r="C73" s="20"/>
      <c r="D73" s="20"/>
      <c r="E73" s="20"/>
      <c r="F73" s="20"/>
      <c r="G73" s="20"/>
      <c r="H73" s="20"/>
      <c r="I73" s="20"/>
      <c r="J73" s="20"/>
      <c r="O73" s="20"/>
      <c r="P73" s="21"/>
      <c r="Q73" s="21"/>
      <c r="R73" s="21"/>
      <c r="S73" s="20"/>
      <c r="T73" s="20"/>
    </row>
    <row r="74" spans="1:20" ht="15.6" x14ac:dyDescent="0.3">
      <c r="A74" s="253" t="s">
        <v>56</v>
      </c>
      <c r="B74" s="253"/>
      <c r="C74" s="253"/>
      <c r="D74" s="253"/>
      <c r="E74" s="253"/>
      <c r="F74" s="22"/>
      <c r="G74" s="22"/>
      <c r="H74" s="22"/>
      <c r="I74" s="22"/>
      <c r="J74" s="22"/>
      <c r="K74" s="23"/>
      <c r="L74" s="23"/>
      <c r="M74" s="23"/>
      <c r="N74" s="23"/>
      <c r="O74" s="253" t="s">
        <v>9</v>
      </c>
      <c r="P74" s="253"/>
      <c r="Q74" s="253"/>
      <c r="R74" s="253"/>
      <c r="S74" s="253"/>
      <c r="T74" s="253"/>
    </row>
    <row r="75" spans="1:20" ht="15.6" x14ac:dyDescent="0.3">
      <c r="A75" s="254" t="s">
        <v>22</v>
      </c>
      <c r="B75" s="254"/>
      <c r="C75" s="254"/>
      <c r="D75" s="254"/>
      <c r="E75" s="254"/>
      <c r="F75" s="24"/>
      <c r="G75" s="24"/>
      <c r="H75" s="24"/>
      <c r="I75" s="24"/>
      <c r="J75" s="24"/>
      <c r="O75" s="255" t="s">
        <v>23</v>
      </c>
      <c r="P75" s="255"/>
      <c r="Q75" s="255"/>
      <c r="R75" s="255"/>
      <c r="S75" s="255"/>
      <c r="T75" s="255"/>
    </row>
    <row r="76" spans="1:20" x14ac:dyDescent="0.3">
      <c r="A76" s="247"/>
      <c r="B76" s="247"/>
      <c r="C76" s="247"/>
      <c r="D76" s="247"/>
      <c r="E76" s="247"/>
      <c r="O76" s="247" t="s">
        <v>24</v>
      </c>
      <c r="P76" s="247"/>
      <c r="Q76" s="247"/>
      <c r="R76" s="247"/>
      <c r="S76" s="247"/>
      <c r="T76" s="247"/>
    </row>
  </sheetData>
  <mergeCells count="22">
    <mergeCell ref="A76:E76"/>
    <mergeCell ref="O76:T76"/>
    <mergeCell ref="P4:T4"/>
    <mergeCell ref="S7:S8"/>
    <mergeCell ref="T7:T8"/>
    <mergeCell ref="A74:E74"/>
    <mergeCell ref="O74:T74"/>
    <mergeCell ref="A75:E75"/>
    <mergeCell ref="O75:T75"/>
    <mergeCell ref="B7:B8"/>
    <mergeCell ref="C7:C8"/>
    <mergeCell ref="E7:H7"/>
    <mergeCell ref="J7:M7"/>
    <mergeCell ref="O7:R7"/>
    <mergeCell ref="B6:T6"/>
    <mergeCell ref="I7:I8"/>
    <mergeCell ref="N7:N8"/>
    <mergeCell ref="A1:T1"/>
    <mergeCell ref="B3:R3"/>
    <mergeCell ref="B4:C4"/>
    <mergeCell ref="B5:C5"/>
    <mergeCell ref="N5:T5"/>
  </mergeCells>
  <conditionalFormatting sqref="S9:S71">
    <cfRule type="cellIs" dxfId="263" priority="211" stopIfTrue="1" operator="greaterThan">
      <formula>9.5</formula>
    </cfRule>
    <cfRule type="cellIs" dxfId="262" priority="212" stopIfTrue="1" operator="lessThanOrEqual">
      <formula>9.5</formula>
    </cfRule>
  </conditionalFormatting>
  <conditionalFormatting sqref="Q9:Q71">
    <cfRule type="cellIs" dxfId="261" priority="197" stopIfTrue="1" operator="lessThan">
      <formula>10</formula>
    </cfRule>
    <cfRule type="cellIs" dxfId="260" priority="198" stopIfTrue="1" operator="greaterThan">
      <formula>9</formula>
    </cfRule>
  </conditionalFormatting>
  <conditionalFormatting sqref="Q9:Q71">
    <cfRule type="cellIs" dxfId="259" priority="195" stopIfTrue="1" operator="lessThan">
      <formula>10</formula>
    </cfRule>
    <cfRule type="cellIs" dxfId="258" priority="196" stopIfTrue="1" operator="greaterThan">
      <formula>9</formula>
    </cfRule>
  </conditionalFormatting>
  <conditionalFormatting sqref="L40:L71">
    <cfRule type="cellIs" dxfId="257" priority="95" stopIfTrue="1" operator="lessThan">
      <formula>10</formula>
    </cfRule>
    <cfRule type="cellIs" dxfId="256" priority="96" stopIfTrue="1" operator="greaterThan">
      <formula>9</formula>
    </cfRule>
    <cfRule type="cellIs" dxfId="255" priority="97" stopIfTrue="1" operator="lessThan">
      <formula>10</formula>
    </cfRule>
    <cfRule type="cellIs" dxfId="254" priority="98" stopIfTrue="1" operator="greaterThan">
      <formula>9</formula>
    </cfRule>
  </conditionalFormatting>
  <conditionalFormatting sqref="L9:L39">
    <cfRule type="cellIs" dxfId="253" priority="99" stopIfTrue="1" operator="lessThan">
      <formula>10</formula>
    </cfRule>
    <cfRule type="cellIs" dxfId="252" priority="100" stopIfTrue="1" operator="greaterThan">
      <formula>9</formula>
    </cfRule>
    <cfRule type="cellIs" dxfId="251" priority="101" stopIfTrue="1" operator="lessThan">
      <formula>10</formula>
    </cfRule>
    <cfRule type="cellIs" dxfId="250" priority="102" stopIfTrue="1" operator="greaterThan">
      <formula>9</formula>
    </cfRule>
  </conditionalFormatting>
  <conditionalFormatting sqref="O9:P71">
    <cfRule type="cellIs" dxfId="249" priority="55" stopIfTrue="1" operator="lessThan">
      <formula>10</formula>
    </cfRule>
    <cfRule type="cellIs" dxfId="248" priority="56" stopIfTrue="1" operator="greaterThan">
      <formula>9</formula>
    </cfRule>
    <cfRule type="cellIs" dxfId="247" priority="57" stopIfTrue="1" operator="lessThan">
      <formula>10</formula>
    </cfRule>
    <cfRule type="cellIs" dxfId="246" priority="58" stopIfTrue="1" operator="greaterThan">
      <formula>9</formula>
    </cfRule>
  </conditionalFormatting>
  <conditionalFormatting sqref="M9:M71 R9:R71">
    <cfRule type="cellIs" dxfId="245" priority="39" stopIfTrue="1" operator="greaterThanOrEqual">
      <formula>10</formula>
    </cfRule>
    <cfRule type="cellIs" dxfId="244" priority="40" stopIfTrue="1" operator="lessThan">
      <formula>10</formula>
    </cfRule>
  </conditionalFormatting>
  <conditionalFormatting sqref="J9:K71">
    <cfRule type="cellIs" dxfId="243" priority="15" stopIfTrue="1" operator="lessThan">
      <formula>10</formula>
    </cfRule>
    <cfRule type="cellIs" dxfId="242" priority="16" stopIfTrue="1" operator="greaterThan">
      <formula>9</formula>
    </cfRule>
    <cfRule type="cellIs" dxfId="241" priority="17" stopIfTrue="1" operator="lessThan">
      <formula>10</formula>
    </cfRule>
    <cfRule type="cellIs" dxfId="240" priority="18" stopIfTrue="1" operator="greaterThan">
      <formula>9</formula>
    </cfRule>
  </conditionalFormatting>
  <conditionalFormatting sqref="G9:G71">
    <cfRule type="cellIs" dxfId="239" priority="11" stopIfTrue="1" operator="lessThan">
      <formula>10</formula>
    </cfRule>
    <cfRule type="cellIs" dxfId="238" priority="12" stopIfTrue="1" operator="greaterThan">
      <formula>9</formula>
    </cfRule>
    <cfRule type="cellIs" dxfId="237" priority="13" stopIfTrue="1" operator="lessThan">
      <formula>10</formula>
    </cfRule>
    <cfRule type="cellIs" dxfId="236" priority="14" stopIfTrue="1" operator="greaterThan">
      <formula>9</formula>
    </cfRule>
  </conditionalFormatting>
  <conditionalFormatting sqref="H9:H71">
    <cfRule type="cellIs" dxfId="235" priority="7" stopIfTrue="1" operator="greaterThanOrEqual">
      <formula>10</formula>
    </cfRule>
    <cfRule type="cellIs" dxfId="234" priority="8" stopIfTrue="1" operator="lessThan">
      <formula>10</formula>
    </cfRule>
  </conditionalFormatting>
  <conditionalFormatting sqref="E9:F71">
    <cfRule type="cellIs" dxfId="233" priority="3" stopIfTrue="1" operator="lessThan">
      <formula>10</formula>
    </cfRule>
    <cfRule type="cellIs" dxfId="232" priority="4" stopIfTrue="1" operator="greaterThan">
      <formula>9</formula>
    </cfRule>
    <cfRule type="cellIs" dxfId="231" priority="5" stopIfTrue="1" operator="lessThan">
      <formula>10</formula>
    </cfRule>
    <cfRule type="cellIs" dxfId="230" priority="6" stopIfTrue="1" operator="greaterThan">
      <formula>9</formula>
    </cfRule>
  </conditionalFormatting>
  <dataValidations count="1">
    <dataValidation type="decimal" allowBlank="1" showInputMessage="1" showErrorMessage="1" errorTitle="ATENÇÃO!" error="O valor introduzido não é válido. Grato!" sqref="J9:L71 O9:Q71 E9:G71">
      <formula1>0</formula1>
      <formula2>20</formula2>
    </dataValidation>
  </dataValidations>
  <pageMargins left="0.15748031496062992" right="0.51181102362204722" top="0.15748031496062992" bottom="0.15748031496062992" header="0.31496062992125984" footer="0.15748031496062992"/>
  <pageSetup paperSize="9" scale="95" orientation="portrait" verticalDpi="4294967293" r:id="rId1"/>
  <drawing r:id="rId2"/>
  <legacyDrawing r:id="rId3"/>
  <oleObjects>
    <mc:AlternateContent xmlns:mc="http://schemas.openxmlformats.org/markup-compatibility/2006">
      <mc:Choice Requires="x14">
        <oleObject progId="Word.Document.8" shapeId="2049" r:id="rId4">
          <objectPr defaultSize="0" autoPict="0" r:id="rId5">
            <anchor moveWithCells="1">
              <from>
                <xdr:col>1</xdr:col>
                <xdr:colOff>60960</xdr:colOff>
                <xdr:row>71</xdr:row>
                <xdr:rowOff>160020</xdr:rowOff>
              </from>
              <to>
                <xdr:col>13</xdr:col>
                <xdr:colOff>144780</xdr:colOff>
                <xdr:row>73</xdr:row>
                <xdr:rowOff>22860</xdr:rowOff>
              </to>
            </anchor>
          </objectPr>
        </oleObject>
      </mc:Choice>
      <mc:Fallback>
        <oleObject progId="Word.Document.8" shapeId="2049" r:id="rId4"/>
      </mc:Fallback>
    </mc:AlternateContent>
  </oleObjec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5" stopIfTrue="1" operator="containsText" id="{7501F7CF-9FC0-45FE-9D92-57A4193917A2}">
            <xm:f>NOT(ISERROR(SEARCH("N/TRANSITA",N9)))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76" stopIfTrue="1" operator="containsText" id="{CB1C6A53-D7C8-46B3-9578-51E0AC741BC8}">
            <xm:f>NOT(ISERROR(SEARCH("TRANSITA",N9)))</xm:f>
            <xm:f>"TRANSITA"</xm:f>
            <x14:dxf>
              <font>
                <b/>
                <i val="0"/>
                <color rgb="FF0000FF"/>
              </font>
            </x14:dxf>
          </x14:cfRule>
          <xm:sqref>N9:N71 T9:T71</xm:sqref>
        </x14:conditionalFormatting>
        <x14:conditionalFormatting xmlns:xm="http://schemas.microsoft.com/office/excel/2006/main">
          <x14:cfRule type="containsText" priority="1" stopIfTrue="1" operator="containsText" id="{4F83522D-2C74-49DC-90F5-764620D1E660}">
            <xm:f>NOT(ISERROR(SEARCH("N/TRANSITA",I9)))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2" stopIfTrue="1" operator="containsText" id="{F0A08358-00EF-418F-B9CB-84026C15CA50}">
            <xm:f>NOT(ISERROR(SEARCH("TRANSITA",I9)))</xm:f>
            <xm:f>"TRANSITA"</xm:f>
            <x14:dxf>
              <font>
                <b/>
                <i val="0"/>
                <color rgb="FF0000FF"/>
              </font>
            </x14:dxf>
          </x14:cfRule>
          <xm:sqref>I9:I71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W76"/>
  <sheetViews>
    <sheetView showGridLines="0" topLeftCell="A40" zoomScaleNormal="100" zoomScalePageLayoutView="85" workbookViewId="0">
      <selection activeCell="G65" sqref="G65"/>
    </sheetView>
  </sheetViews>
  <sheetFormatPr defaultRowHeight="14.4" x14ac:dyDescent="0.3"/>
  <cols>
    <col min="1" max="1" width="1.6640625" customWidth="1"/>
    <col min="2" max="2" width="3.6640625" customWidth="1"/>
    <col min="3" max="3" width="35.109375" customWidth="1"/>
    <col min="4" max="4" width="6.44140625" customWidth="1"/>
    <col min="5" max="8" width="5.109375" customWidth="1"/>
    <col min="9" max="9" width="11.109375" customWidth="1"/>
    <col min="10" max="13" width="5.109375" customWidth="1"/>
    <col min="14" max="14" width="11.109375" customWidth="1"/>
    <col min="15" max="18" width="5.109375" customWidth="1"/>
    <col min="19" max="19" width="6" customWidth="1"/>
    <col min="20" max="20" width="11.5546875" customWidth="1"/>
    <col min="21" max="21" width="3.44140625" customWidth="1"/>
    <col min="22" max="22" width="5" customWidth="1"/>
  </cols>
  <sheetData>
    <row r="1" spans="1:23" ht="30" customHeight="1" x14ac:dyDescent="0.3">
      <c r="A1" s="246" t="s">
        <v>49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</row>
    <row r="2" spans="1:23" ht="30" customHeight="1" x14ac:dyDescent="0.3"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23" ht="12" customHeight="1" x14ac:dyDescent="0.3">
      <c r="B3" s="247"/>
      <c r="C3" s="247"/>
      <c r="D3" s="247"/>
      <c r="E3" s="247"/>
      <c r="F3" s="247"/>
      <c r="G3" s="247"/>
      <c r="H3" s="247"/>
      <c r="I3" s="247"/>
      <c r="J3" s="247"/>
      <c r="K3" s="247"/>
      <c r="L3" s="247"/>
      <c r="M3" s="247"/>
      <c r="N3" s="247"/>
      <c r="O3" s="247"/>
      <c r="P3" s="247"/>
      <c r="Q3" s="247"/>
      <c r="R3" s="247"/>
    </row>
    <row r="4" spans="1:23" ht="17.399999999999999" customHeight="1" x14ac:dyDescent="0.3">
      <c r="B4" s="248" t="s">
        <v>68</v>
      </c>
      <c r="C4" s="248"/>
      <c r="D4" s="31"/>
      <c r="F4" s="76"/>
      <c r="G4" s="76"/>
      <c r="I4" s="76" t="s">
        <v>31</v>
      </c>
      <c r="J4" s="76"/>
      <c r="K4" s="76"/>
      <c r="L4" s="76"/>
      <c r="M4" s="76"/>
      <c r="N4" s="31"/>
      <c r="P4" s="250" t="s">
        <v>61</v>
      </c>
      <c r="Q4" s="250"/>
      <c r="R4" s="250"/>
      <c r="S4" s="250"/>
      <c r="T4" s="250"/>
    </row>
    <row r="5" spans="1:23" ht="18" customHeight="1" x14ac:dyDescent="0.3">
      <c r="B5" s="248" t="s">
        <v>51</v>
      </c>
      <c r="C5" s="248"/>
      <c r="D5" s="31"/>
      <c r="E5" s="77" t="s">
        <v>58</v>
      </c>
      <c r="F5" s="77"/>
      <c r="I5" s="77" t="s">
        <v>67</v>
      </c>
      <c r="J5" s="77"/>
      <c r="K5" s="77"/>
      <c r="N5" s="249" t="s">
        <v>66</v>
      </c>
      <c r="O5" s="249"/>
      <c r="P5" s="249"/>
      <c r="Q5" s="249"/>
      <c r="R5" s="249"/>
      <c r="S5" s="249"/>
      <c r="T5" s="249"/>
    </row>
    <row r="6" spans="1:23" ht="34.5" customHeight="1" thickBot="1" x14ac:dyDescent="1.05">
      <c r="B6" s="263" t="s">
        <v>45</v>
      </c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5"/>
    </row>
    <row r="7" spans="1:23" ht="19.5" customHeight="1" thickTop="1" x14ac:dyDescent="0.3">
      <c r="B7" s="256" t="s">
        <v>39</v>
      </c>
      <c r="C7" s="258" t="s">
        <v>14</v>
      </c>
      <c r="D7" s="43" t="s">
        <v>43</v>
      </c>
      <c r="E7" s="260" t="s">
        <v>40</v>
      </c>
      <c r="F7" s="261"/>
      <c r="G7" s="261"/>
      <c r="H7" s="262"/>
      <c r="I7" s="244" t="s">
        <v>16</v>
      </c>
      <c r="J7" s="260" t="s">
        <v>41</v>
      </c>
      <c r="K7" s="261"/>
      <c r="L7" s="261"/>
      <c r="M7" s="262"/>
      <c r="N7" s="244" t="s">
        <v>16</v>
      </c>
      <c r="O7" s="260" t="s">
        <v>42</v>
      </c>
      <c r="P7" s="261"/>
      <c r="Q7" s="261"/>
      <c r="R7" s="262"/>
      <c r="S7" s="251" t="s">
        <v>15</v>
      </c>
      <c r="T7" s="244" t="s">
        <v>16</v>
      </c>
    </row>
    <row r="8" spans="1:23" ht="20.25" customHeight="1" thickBot="1" x14ac:dyDescent="0.35">
      <c r="B8" s="257"/>
      <c r="C8" s="259"/>
      <c r="D8" s="44" t="s">
        <v>44</v>
      </c>
      <c r="E8" s="36" t="s">
        <v>17</v>
      </c>
      <c r="F8" s="35" t="s">
        <v>18</v>
      </c>
      <c r="G8" s="35" t="s">
        <v>38</v>
      </c>
      <c r="H8" s="37" t="s">
        <v>19</v>
      </c>
      <c r="I8" s="245"/>
      <c r="J8" s="36" t="s">
        <v>17</v>
      </c>
      <c r="K8" s="35" t="s">
        <v>18</v>
      </c>
      <c r="L8" s="35" t="s">
        <v>38</v>
      </c>
      <c r="M8" s="37" t="s">
        <v>20</v>
      </c>
      <c r="N8" s="245"/>
      <c r="O8" s="36" t="s">
        <v>17</v>
      </c>
      <c r="P8" s="35" t="s">
        <v>18</v>
      </c>
      <c r="Q8" s="35" t="s">
        <v>38</v>
      </c>
      <c r="R8" s="37" t="s">
        <v>21</v>
      </c>
      <c r="S8" s="252"/>
      <c r="T8" s="245"/>
    </row>
    <row r="9" spans="1:23" ht="14.25" customHeight="1" thickTop="1" x14ac:dyDescent="0.3">
      <c r="B9" s="135">
        <v>1</v>
      </c>
      <c r="C9" s="126" t="s">
        <v>69</v>
      </c>
      <c r="D9" s="136"/>
      <c r="E9" s="157">
        <v>12</v>
      </c>
      <c r="F9" s="158">
        <v>13</v>
      </c>
      <c r="G9" s="158"/>
      <c r="H9" s="162">
        <f>AVERAGE(E9,MAX(F9:G9))</f>
        <v>12.5</v>
      </c>
      <c r="I9" s="151" t="str">
        <f>IF(H9&gt;=10,"TRANSITA","N/TRANSITA")</f>
        <v>TRANSITA</v>
      </c>
      <c r="J9" s="152">
        <v>14</v>
      </c>
      <c r="K9" s="153">
        <v>14</v>
      </c>
      <c r="L9" s="154"/>
      <c r="M9" s="162">
        <f>AVERAGE(J9,MAX(K9:L9))</f>
        <v>14</v>
      </c>
      <c r="N9" s="151" t="str">
        <f>IF(M9&gt;=10,"TRANSITA","N/TRANSITA")</f>
        <v>TRANSITA</v>
      </c>
      <c r="O9" s="152"/>
      <c r="P9" s="153"/>
      <c r="Q9" s="154"/>
      <c r="R9" s="162">
        <f>AVERAGE(O9,MAX(P9:Q9))</f>
        <v>0</v>
      </c>
      <c r="S9" s="155">
        <f t="shared" ref="S9:S41" si="0">SUM(H9,M9,R9)/3</f>
        <v>8.8333333333333339</v>
      </c>
      <c r="T9" s="80" t="str">
        <f>IF(S9&gt;=10,"TRANSITA","N/TRANSITA")</f>
        <v>N/TRANSITA</v>
      </c>
    </row>
    <row r="10" spans="1:23" ht="14.25" customHeight="1" x14ac:dyDescent="0.3">
      <c r="B10" s="33">
        <v>2</v>
      </c>
      <c r="C10" s="127" t="s">
        <v>70</v>
      </c>
      <c r="D10" s="60"/>
      <c r="E10" s="85">
        <v>14</v>
      </c>
      <c r="F10" s="86">
        <v>10</v>
      </c>
      <c r="G10" s="86"/>
      <c r="H10" s="97">
        <f t="shared" ref="H10:H71" si="1">AVERAGE(E10,MAX(F10:G10))</f>
        <v>12</v>
      </c>
      <c r="I10" s="63" t="str">
        <f t="shared" ref="I10:I71" si="2">IF(H10&gt;=10,"TRANSITA","N/TRANSITA")</f>
        <v>TRANSITA</v>
      </c>
      <c r="J10" s="98">
        <v>12</v>
      </c>
      <c r="K10" s="99">
        <v>10</v>
      </c>
      <c r="L10" s="64"/>
      <c r="M10" s="97">
        <f t="shared" ref="M10:M71" si="3">AVERAGE(J10,MAX(K10:L10))</f>
        <v>11</v>
      </c>
      <c r="N10" s="63" t="str">
        <f t="shared" ref="N10:N71" si="4">IF(M10&gt;=10,"TRANSITA","N/TRANSITA")</f>
        <v>TRANSITA</v>
      </c>
      <c r="O10" s="98"/>
      <c r="P10" s="99"/>
      <c r="Q10" s="64"/>
      <c r="R10" s="97">
        <f t="shared" ref="R10:R71" si="5">AVERAGE(O10,MAX(P10:Q10))</f>
        <v>0</v>
      </c>
      <c r="S10" s="41">
        <f t="shared" si="0"/>
        <v>7.666666666666667</v>
      </c>
      <c r="T10" s="81" t="str">
        <f t="shared" ref="T10:T71" si="6">IF(S10&gt;=10,"TRANSITA","N/TRANSITA")</f>
        <v>N/TRANSITA</v>
      </c>
    </row>
    <row r="11" spans="1:23" ht="14.25" customHeight="1" x14ac:dyDescent="0.3">
      <c r="B11" s="33">
        <v>3</v>
      </c>
      <c r="C11" s="127" t="s">
        <v>71</v>
      </c>
      <c r="D11" s="60"/>
      <c r="E11" s="85">
        <v>15</v>
      </c>
      <c r="F11" s="86">
        <v>15</v>
      </c>
      <c r="G11" s="86"/>
      <c r="H11" s="97">
        <f t="shared" si="1"/>
        <v>15</v>
      </c>
      <c r="I11" s="63" t="str">
        <f t="shared" si="2"/>
        <v>TRANSITA</v>
      </c>
      <c r="J11" s="98">
        <v>10</v>
      </c>
      <c r="K11" s="99">
        <v>12</v>
      </c>
      <c r="L11" s="64"/>
      <c r="M11" s="97">
        <f t="shared" si="3"/>
        <v>11</v>
      </c>
      <c r="N11" s="63" t="str">
        <f t="shared" si="4"/>
        <v>TRANSITA</v>
      </c>
      <c r="O11" s="98"/>
      <c r="P11" s="99"/>
      <c r="Q11" s="64"/>
      <c r="R11" s="97">
        <f t="shared" si="5"/>
        <v>0</v>
      </c>
      <c r="S11" s="41">
        <f t="shared" si="0"/>
        <v>8.6666666666666661</v>
      </c>
      <c r="T11" s="81" t="str">
        <f t="shared" si="6"/>
        <v>N/TRANSITA</v>
      </c>
    </row>
    <row r="12" spans="1:23" ht="14.25" customHeight="1" x14ac:dyDescent="0.3">
      <c r="B12" s="33">
        <v>4</v>
      </c>
      <c r="C12" s="127" t="s">
        <v>72</v>
      </c>
      <c r="D12" s="60"/>
      <c r="E12" s="85">
        <v>12</v>
      </c>
      <c r="F12" s="86">
        <v>3</v>
      </c>
      <c r="G12" s="86"/>
      <c r="H12" s="97">
        <f t="shared" si="1"/>
        <v>7.5</v>
      </c>
      <c r="I12" s="63" t="str">
        <f t="shared" si="2"/>
        <v>N/TRANSITA</v>
      </c>
      <c r="J12" s="98"/>
      <c r="K12" s="99"/>
      <c r="L12" s="64"/>
      <c r="M12" s="97">
        <f t="shared" si="3"/>
        <v>0</v>
      </c>
      <c r="N12" s="63" t="str">
        <f t="shared" si="4"/>
        <v>N/TRANSITA</v>
      </c>
      <c r="O12" s="98"/>
      <c r="P12" s="99"/>
      <c r="Q12" s="64"/>
      <c r="R12" s="97">
        <f t="shared" si="5"/>
        <v>0</v>
      </c>
      <c r="S12" s="41">
        <f t="shared" si="0"/>
        <v>2.5</v>
      </c>
      <c r="T12" s="81" t="str">
        <f t="shared" si="6"/>
        <v>N/TRANSITA</v>
      </c>
    </row>
    <row r="13" spans="1:23" ht="14.25" customHeight="1" x14ac:dyDescent="0.3">
      <c r="B13" s="33">
        <v>5</v>
      </c>
      <c r="C13" s="127" t="s">
        <v>73</v>
      </c>
      <c r="D13" s="60"/>
      <c r="E13" s="85">
        <v>19</v>
      </c>
      <c r="F13" s="86">
        <v>19</v>
      </c>
      <c r="G13" s="86"/>
      <c r="H13" s="97">
        <f t="shared" si="1"/>
        <v>19</v>
      </c>
      <c r="I13" s="63" t="str">
        <f t="shared" si="2"/>
        <v>TRANSITA</v>
      </c>
      <c r="J13" s="98">
        <v>20</v>
      </c>
      <c r="K13" s="99">
        <v>20</v>
      </c>
      <c r="L13" s="64"/>
      <c r="M13" s="97">
        <f t="shared" si="3"/>
        <v>20</v>
      </c>
      <c r="N13" s="63" t="str">
        <f t="shared" si="4"/>
        <v>TRANSITA</v>
      </c>
      <c r="O13" s="98"/>
      <c r="P13" s="99"/>
      <c r="Q13" s="64"/>
      <c r="R13" s="97">
        <f t="shared" si="5"/>
        <v>0</v>
      </c>
      <c r="S13" s="41">
        <f t="shared" si="0"/>
        <v>13</v>
      </c>
      <c r="T13" s="81" t="str">
        <f t="shared" si="6"/>
        <v>TRANSITA</v>
      </c>
      <c r="U13" s="18"/>
      <c r="V13" s="18"/>
      <c r="W13" s="18"/>
    </row>
    <row r="14" spans="1:23" ht="14.25" customHeight="1" x14ac:dyDescent="0.3">
      <c r="B14" s="33">
        <v>6</v>
      </c>
      <c r="C14" s="127" t="s">
        <v>74</v>
      </c>
      <c r="D14" s="60"/>
      <c r="E14" s="85">
        <v>14</v>
      </c>
      <c r="F14" s="86">
        <v>16</v>
      </c>
      <c r="G14" s="86"/>
      <c r="H14" s="97">
        <f t="shared" si="1"/>
        <v>15</v>
      </c>
      <c r="I14" s="63" t="str">
        <f t="shared" si="2"/>
        <v>TRANSITA</v>
      </c>
      <c r="J14" s="98">
        <v>2</v>
      </c>
      <c r="K14" s="99">
        <v>6</v>
      </c>
      <c r="L14" s="64"/>
      <c r="M14" s="97">
        <f t="shared" si="3"/>
        <v>4</v>
      </c>
      <c r="N14" s="63" t="str">
        <f t="shared" si="4"/>
        <v>N/TRANSITA</v>
      </c>
      <c r="O14" s="98"/>
      <c r="P14" s="99"/>
      <c r="Q14" s="64"/>
      <c r="R14" s="97">
        <f t="shared" si="5"/>
        <v>0</v>
      </c>
      <c r="S14" s="41">
        <f t="shared" si="0"/>
        <v>6.333333333333333</v>
      </c>
      <c r="T14" s="81" t="str">
        <f t="shared" si="6"/>
        <v>N/TRANSITA</v>
      </c>
    </row>
    <row r="15" spans="1:23" ht="14.25" customHeight="1" x14ac:dyDescent="0.3">
      <c r="B15" s="33">
        <v>7</v>
      </c>
      <c r="C15" s="127" t="s">
        <v>75</v>
      </c>
      <c r="D15" s="60"/>
      <c r="E15" s="85">
        <v>12</v>
      </c>
      <c r="F15" s="86">
        <v>7</v>
      </c>
      <c r="G15" s="86"/>
      <c r="H15" s="97">
        <f t="shared" si="1"/>
        <v>9.5</v>
      </c>
      <c r="I15" s="63" t="str">
        <f t="shared" si="2"/>
        <v>N/TRANSITA</v>
      </c>
      <c r="J15" s="98"/>
      <c r="K15" s="99"/>
      <c r="L15" s="64"/>
      <c r="M15" s="97">
        <f t="shared" si="3"/>
        <v>0</v>
      </c>
      <c r="N15" s="63" t="str">
        <f t="shared" si="4"/>
        <v>N/TRANSITA</v>
      </c>
      <c r="O15" s="98"/>
      <c r="P15" s="99"/>
      <c r="Q15" s="64"/>
      <c r="R15" s="97">
        <f t="shared" si="5"/>
        <v>0</v>
      </c>
      <c r="S15" s="41">
        <f t="shared" si="0"/>
        <v>3.1666666666666665</v>
      </c>
      <c r="T15" s="81" t="str">
        <f t="shared" si="6"/>
        <v>N/TRANSITA</v>
      </c>
    </row>
    <row r="16" spans="1:23" ht="14.25" customHeight="1" x14ac:dyDescent="0.3">
      <c r="B16" s="33">
        <v>8</v>
      </c>
      <c r="C16" s="127" t="s">
        <v>76</v>
      </c>
      <c r="D16" s="60"/>
      <c r="E16" s="85">
        <v>11</v>
      </c>
      <c r="F16" s="86">
        <v>12</v>
      </c>
      <c r="G16" s="86"/>
      <c r="H16" s="97">
        <f t="shared" si="1"/>
        <v>11.5</v>
      </c>
      <c r="I16" s="63" t="str">
        <f t="shared" si="2"/>
        <v>TRANSITA</v>
      </c>
      <c r="J16" s="98">
        <v>12</v>
      </c>
      <c r="K16" s="99">
        <v>12</v>
      </c>
      <c r="L16" s="64"/>
      <c r="M16" s="97">
        <f t="shared" si="3"/>
        <v>12</v>
      </c>
      <c r="N16" s="63" t="str">
        <f t="shared" si="4"/>
        <v>TRANSITA</v>
      </c>
      <c r="O16" s="98"/>
      <c r="P16" s="99"/>
      <c r="Q16" s="64"/>
      <c r="R16" s="97">
        <f t="shared" si="5"/>
        <v>0</v>
      </c>
      <c r="S16" s="41">
        <f t="shared" si="0"/>
        <v>7.833333333333333</v>
      </c>
      <c r="T16" s="81" t="str">
        <f t="shared" si="6"/>
        <v>N/TRANSITA</v>
      </c>
    </row>
    <row r="17" spans="2:20" ht="14.25" customHeight="1" x14ac:dyDescent="0.3">
      <c r="B17" s="33">
        <v>9</v>
      </c>
      <c r="C17" s="127" t="s">
        <v>77</v>
      </c>
      <c r="D17" s="60"/>
      <c r="E17" s="85">
        <v>13</v>
      </c>
      <c r="F17" s="86">
        <v>16</v>
      </c>
      <c r="G17" s="86"/>
      <c r="H17" s="97">
        <f t="shared" si="1"/>
        <v>14.5</v>
      </c>
      <c r="I17" s="63" t="str">
        <f t="shared" si="2"/>
        <v>TRANSITA</v>
      </c>
      <c r="J17" s="98">
        <v>8</v>
      </c>
      <c r="K17" s="99">
        <v>13</v>
      </c>
      <c r="L17" s="64"/>
      <c r="M17" s="97">
        <f t="shared" si="3"/>
        <v>10.5</v>
      </c>
      <c r="N17" s="63" t="str">
        <f t="shared" ref="N17:N18" si="7">IF(M17&gt;=10,"TRANSITA","N/TRANSITA")</f>
        <v>TRANSITA</v>
      </c>
      <c r="O17" s="98"/>
      <c r="P17" s="99"/>
      <c r="Q17" s="64"/>
      <c r="R17" s="97">
        <f t="shared" si="5"/>
        <v>0</v>
      </c>
      <c r="S17" s="41">
        <f t="shared" si="0"/>
        <v>8.3333333333333339</v>
      </c>
      <c r="T17" s="81" t="str">
        <f t="shared" ref="T17:T18" si="8">IF(S17&gt;=10,"TRANSITA","N/TRANSITA")</f>
        <v>N/TRANSITA</v>
      </c>
    </row>
    <row r="18" spans="2:20" ht="14.25" customHeight="1" x14ac:dyDescent="0.3">
      <c r="B18" s="33">
        <v>10</v>
      </c>
      <c r="C18" s="128" t="s">
        <v>78</v>
      </c>
      <c r="D18" s="60"/>
      <c r="E18" s="85">
        <v>6</v>
      </c>
      <c r="F18" s="86">
        <v>11</v>
      </c>
      <c r="G18" s="86"/>
      <c r="H18" s="97">
        <f t="shared" si="1"/>
        <v>8.5</v>
      </c>
      <c r="I18" s="63" t="str">
        <f t="shared" si="2"/>
        <v>N/TRANSITA</v>
      </c>
      <c r="J18" s="98">
        <v>12</v>
      </c>
      <c r="K18" s="204"/>
      <c r="L18" s="64"/>
      <c r="M18" s="97">
        <f t="shared" si="3"/>
        <v>6</v>
      </c>
      <c r="N18" s="63" t="str">
        <f t="shared" si="7"/>
        <v>N/TRANSITA</v>
      </c>
      <c r="O18" s="98"/>
      <c r="P18" s="99"/>
      <c r="Q18" s="64"/>
      <c r="R18" s="97">
        <f t="shared" si="5"/>
        <v>0</v>
      </c>
      <c r="S18" s="41">
        <f t="shared" si="0"/>
        <v>4.833333333333333</v>
      </c>
      <c r="T18" s="81" t="str">
        <f t="shared" si="8"/>
        <v>N/TRANSITA</v>
      </c>
    </row>
    <row r="19" spans="2:20" ht="14.25" customHeight="1" x14ac:dyDescent="0.3">
      <c r="B19" s="33">
        <v>11</v>
      </c>
      <c r="C19" s="127" t="s">
        <v>79</v>
      </c>
      <c r="D19" s="60"/>
      <c r="E19" s="85"/>
      <c r="F19" s="86"/>
      <c r="G19" s="86"/>
      <c r="H19" s="97">
        <f t="shared" si="1"/>
        <v>0</v>
      </c>
      <c r="I19" s="63" t="str">
        <f t="shared" si="2"/>
        <v>N/TRANSITA</v>
      </c>
      <c r="J19" s="98"/>
      <c r="K19" s="99"/>
      <c r="L19" s="64"/>
      <c r="M19" s="97">
        <f t="shared" si="3"/>
        <v>0</v>
      </c>
      <c r="N19" s="63" t="str">
        <f t="shared" si="4"/>
        <v>N/TRANSITA</v>
      </c>
      <c r="O19" s="98"/>
      <c r="P19" s="99"/>
      <c r="Q19" s="64"/>
      <c r="R19" s="97">
        <f t="shared" si="5"/>
        <v>0</v>
      </c>
      <c r="S19" s="41">
        <f t="shared" si="0"/>
        <v>0</v>
      </c>
      <c r="T19" s="81" t="str">
        <f t="shared" si="6"/>
        <v>N/TRANSITA</v>
      </c>
    </row>
    <row r="20" spans="2:20" ht="14.25" customHeight="1" x14ac:dyDescent="0.3">
      <c r="B20" s="33">
        <v>12</v>
      </c>
      <c r="C20" s="127" t="s">
        <v>80</v>
      </c>
      <c r="D20" s="60"/>
      <c r="E20" s="85">
        <v>14</v>
      </c>
      <c r="F20" s="86">
        <v>17</v>
      </c>
      <c r="G20" s="86"/>
      <c r="H20" s="97">
        <f t="shared" si="1"/>
        <v>15.5</v>
      </c>
      <c r="I20" s="63" t="str">
        <f t="shared" si="2"/>
        <v>TRANSITA</v>
      </c>
      <c r="J20" s="98">
        <v>14</v>
      </c>
      <c r="K20" s="99">
        <v>14</v>
      </c>
      <c r="L20" s="64"/>
      <c r="M20" s="97">
        <f t="shared" si="3"/>
        <v>14</v>
      </c>
      <c r="N20" s="63" t="str">
        <f t="shared" si="4"/>
        <v>TRANSITA</v>
      </c>
      <c r="O20" s="98"/>
      <c r="P20" s="99"/>
      <c r="Q20" s="64"/>
      <c r="R20" s="97">
        <f t="shared" si="5"/>
        <v>0</v>
      </c>
      <c r="S20" s="41">
        <f t="shared" si="0"/>
        <v>9.8333333333333339</v>
      </c>
      <c r="T20" s="81" t="str">
        <f t="shared" si="6"/>
        <v>N/TRANSITA</v>
      </c>
    </row>
    <row r="21" spans="2:20" ht="14.25" customHeight="1" x14ac:dyDescent="0.3">
      <c r="B21" s="33">
        <v>13</v>
      </c>
      <c r="C21" s="127" t="s">
        <v>81</v>
      </c>
      <c r="D21" s="60"/>
      <c r="E21" s="85"/>
      <c r="F21" s="86"/>
      <c r="G21" s="86"/>
      <c r="H21" s="97">
        <f t="shared" si="1"/>
        <v>0</v>
      </c>
      <c r="I21" s="63" t="str">
        <f t="shared" si="2"/>
        <v>N/TRANSITA</v>
      </c>
      <c r="J21" s="98"/>
      <c r="K21" s="99"/>
      <c r="L21" s="64"/>
      <c r="M21" s="97">
        <f t="shared" si="3"/>
        <v>0</v>
      </c>
      <c r="N21" s="63" t="str">
        <f t="shared" si="4"/>
        <v>N/TRANSITA</v>
      </c>
      <c r="O21" s="98"/>
      <c r="P21" s="99"/>
      <c r="Q21" s="64"/>
      <c r="R21" s="97">
        <f t="shared" si="5"/>
        <v>0</v>
      </c>
      <c r="S21" s="41">
        <f t="shared" si="0"/>
        <v>0</v>
      </c>
      <c r="T21" s="81" t="str">
        <f t="shared" si="6"/>
        <v>N/TRANSITA</v>
      </c>
    </row>
    <row r="22" spans="2:20" ht="14.25" customHeight="1" x14ac:dyDescent="0.3">
      <c r="B22" s="33">
        <v>14</v>
      </c>
      <c r="C22" s="127" t="s">
        <v>82</v>
      </c>
      <c r="D22" s="60"/>
      <c r="E22" s="85"/>
      <c r="F22" s="86"/>
      <c r="G22" s="86"/>
      <c r="H22" s="97">
        <f t="shared" si="1"/>
        <v>0</v>
      </c>
      <c r="I22" s="63" t="str">
        <f t="shared" si="2"/>
        <v>N/TRANSITA</v>
      </c>
      <c r="J22" s="98"/>
      <c r="K22" s="99"/>
      <c r="L22" s="64"/>
      <c r="M22" s="97">
        <f t="shared" si="3"/>
        <v>0</v>
      </c>
      <c r="N22" s="63" t="str">
        <f t="shared" si="4"/>
        <v>N/TRANSITA</v>
      </c>
      <c r="O22" s="98"/>
      <c r="P22" s="99"/>
      <c r="Q22" s="64"/>
      <c r="R22" s="97">
        <f t="shared" si="5"/>
        <v>0</v>
      </c>
      <c r="S22" s="41">
        <f t="shared" si="0"/>
        <v>0</v>
      </c>
      <c r="T22" s="81" t="str">
        <f t="shared" si="6"/>
        <v>N/TRANSITA</v>
      </c>
    </row>
    <row r="23" spans="2:20" ht="14.25" customHeight="1" x14ac:dyDescent="0.3">
      <c r="B23" s="33">
        <v>15</v>
      </c>
      <c r="C23" s="127" t="s">
        <v>83</v>
      </c>
      <c r="D23" s="60"/>
      <c r="E23" s="85">
        <v>15</v>
      </c>
      <c r="F23" s="86">
        <v>14</v>
      </c>
      <c r="G23" s="86"/>
      <c r="H23" s="97">
        <f t="shared" si="1"/>
        <v>14.5</v>
      </c>
      <c r="I23" s="63" t="str">
        <f t="shared" si="2"/>
        <v>TRANSITA</v>
      </c>
      <c r="J23" s="98">
        <v>15</v>
      </c>
      <c r="K23" s="99">
        <v>12</v>
      </c>
      <c r="L23" s="64"/>
      <c r="M23" s="97">
        <f t="shared" si="3"/>
        <v>13.5</v>
      </c>
      <c r="N23" s="63" t="str">
        <f t="shared" si="4"/>
        <v>TRANSITA</v>
      </c>
      <c r="O23" s="98"/>
      <c r="P23" s="99"/>
      <c r="Q23" s="64"/>
      <c r="R23" s="97">
        <f t="shared" si="5"/>
        <v>0</v>
      </c>
      <c r="S23" s="41">
        <f t="shared" si="0"/>
        <v>9.3333333333333339</v>
      </c>
      <c r="T23" s="81" t="str">
        <f t="shared" si="6"/>
        <v>N/TRANSITA</v>
      </c>
    </row>
    <row r="24" spans="2:20" ht="14.25" customHeight="1" x14ac:dyDescent="0.3">
      <c r="B24" s="33">
        <v>16</v>
      </c>
      <c r="C24" s="127" t="s">
        <v>84</v>
      </c>
      <c r="D24" s="60"/>
      <c r="E24" s="85">
        <v>15</v>
      </c>
      <c r="F24" s="86">
        <v>12</v>
      </c>
      <c r="G24" s="86"/>
      <c r="H24" s="97">
        <f t="shared" si="1"/>
        <v>13.5</v>
      </c>
      <c r="I24" s="63" t="str">
        <f t="shared" si="2"/>
        <v>TRANSITA</v>
      </c>
      <c r="J24" s="98">
        <v>15</v>
      </c>
      <c r="K24" s="99">
        <v>14</v>
      </c>
      <c r="L24" s="64"/>
      <c r="M24" s="97">
        <f t="shared" si="3"/>
        <v>14.5</v>
      </c>
      <c r="N24" s="63" t="str">
        <f t="shared" si="4"/>
        <v>TRANSITA</v>
      </c>
      <c r="O24" s="98"/>
      <c r="P24" s="99"/>
      <c r="Q24" s="64"/>
      <c r="R24" s="97">
        <f t="shared" si="5"/>
        <v>0</v>
      </c>
      <c r="S24" s="41">
        <f t="shared" si="0"/>
        <v>9.3333333333333339</v>
      </c>
      <c r="T24" s="81" t="str">
        <f t="shared" si="6"/>
        <v>N/TRANSITA</v>
      </c>
    </row>
    <row r="25" spans="2:20" ht="14.25" customHeight="1" x14ac:dyDescent="0.3">
      <c r="B25" s="33">
        <v>17</v>
      </c>
      <c r="C25" s="127" t="s">
        <v>85</v>
      </c>
      <c r="D25" s="60"/>
      <c r="E25" s="85">
        <v>14</v>
      </c>
      <c r="F25" s="86">
        <v>9</v>
      </c>
      <c r="G25" s="86"/>
      <c r="H25" s="97">
        <f t="shared" si="1"/>
        <v>11.5</v>
      </c>
      <c r="I25" s="63" t="str">
        <f t="shared" si="2"/>
        <v>TRANSITA</v>
      </c>
      <c r="J25" s="98">
        <v>10</v>
      </c>
      <c r="K25" s="99">
        <v>8</v>
      </c>
      <c r="L25" s="64"/>
      <c r="M25" s="97">
        <f t="shared" si="3"/>
        <v>9</v>
      </c>
      <c r="N25" s="63" t="str">
        <f t="shared" si="4"/>
        <v>N/TRANSITA</v>
      </c>
      <c r="O25" s="98"/>
      <c r="P25" s="99"/>
      <c r="Q25" s="64"/>
      <c r="R25" s="97">
        <f t="shared" si="5"/>
        <v>0</v>
      </c>
      <c r="S25" s="41">
        <f t="shared" si="0"/>
        <v>6.833333333333333</v>
      </c>
      <c r="T25" s="81" t="str">
        <f t="shared" si="6"/>
        <v>N/TRANSITA</v>
      </c>
    </row>
    <row r="26" spans="2:20" ht="14.25" customHeight="1" x14ac:dyDescent="0.3">
      <c r="B26" s="33">
        <v>18</v>
      </c>
      <c r="C26" s="127" t="s">
        <v>140</v>
      </c>
      <c r="D26" s="60"/>
      <c r="E26" s="85">
        <v>7</v>
      </c>
      <c r="F26" s="86">
        <v>14</v>
      </c>
      <c r="G26" s="86"/>
      <c r="H26" s="97">
        <f t="shared" si="1"/>
        <v>10.5</v>
      </c>
      <c r="I26" s="63" t="str">
        <f t="shared" si="2"/>
        <v>TRANSITA</v>
      </c>
      <c r="J26" s="98">
        <v>11</v>
      </c>
      <c r="K26" s="99">
        <v>0</v>
      </c>
      <c r="L26" s="64"/>
      <c r="M26" s="97">
        <f t="shared" ref="M26:M27" si="9">AVERAGE(J26,MAX(K26:L26))</f>
        <v>5.5</v>
      </c>
      <c r="N26" s="63" t="str">
        <f t="shared" ref="N26:N27" si="10">IF(M26&gt;=10,"TRANSITA","N/TRANSITA")</f>
        <v>N/TRANSITA</v>
      </c>
      <c r="O26" s="98"/>
      <c r="P26" s="99"/>
      <c r="Q26" s="64"/>
      <c r="R26" s="97">
        <f t="shared" ref="R26:R27" si="11">AVERAGE(O26,MAX(P26:Q26))</f>
        <v>0</v>
      </c>
      <c r="S26" s="41">
        <f t="shared" ref="S26:S27" si="12">SUM(H26,M26,R26)/3</f>
        <v>5.333333333333333</v>
      </c>
      <c r="T26" s="81" t="str">
        <f t="shared" ref="T26:T27" si="13">IF(S26&gt;=10,"TRANSITA","N/TRANSITA")</f>
        <v>N/TRANSITA</v>
      </c>
    </row>
    <row r="27" spans="2:20" ht="14.25" customHeight="1" x14ac:dyDescent="0.3">
      <c r="B27" s="33">
        <v>19</v>
      </c>
      <c r="C27" s="127" t="s">
        <v>86</v>
      </c>
      <c r="D27" s="60"/>
      <c r="E27" s="85"/>
      <c r="F27" s="86"/>
      <c r="G27" s="86"/>
      <c r="H27" s="97">
        <f t="shared" si="1"/>
        <v>0</v>
      </c>
      <c r="I27" s="63" t="str">
        <f t="shared" si="2"/>
        <v>N/TRANSITA</v>
      </c>
      <c r="J27" s="98"/>
      <c r="K27" s="99"/>
      <c r="L27" s="64"/>
      <c r="M27" s="97">
        <f t="shared" si="9"/>
        <v>0</v>
      </c>
      <c r="N27" s="63" t="str">
        <f t="shared" si="10"/>
        <v>N/TRANSITA</v>
      </c>
      <c r="O27" s="98"/>
      <c r="P27" s="99"/>
      <c r="Q27" s="64"/>
      <c r="R27" s="97">
        <f t="shared" si="11"/>
        <v>0</v>
      </c>
      <c r="S27" s="41">
        <f t="shared" si="12"/>
        <v>0</v>
      </c>
      <c r="T27" s="81" t="str">
        <f t="shared" si="13"/>
        <v>N/TRANSITA</v>
      </c>
    </row>
    <row r="28" spans="2:20" ht="14.25" customHeight="1" x14ac:dyDescent="0.3">
      <c r="B28" s="33">
        <v>20</v>
      </c>
      <c r="C28" s="127" t="s">
        <v>87</v>
      </c>
      <c r="D28" s="60"/>
      <c r="E28" s="85">
        <v>14</v>
      </c>
      <c r="F28" s="86">
        <v>16</v>
      </c>
      <c r="G28" s="86"/>
      <c r="H28" s="97">
        <f t="shared" si="1"/>
        <v>15</v>
      </c>
      <c r="I28" s="63" t="str">
        <f t="shared" si="2"/>
        <v>TRANSITA</v>
      </c>
      <c r="J28" s="98">
        <v>10</v>
      </c>
      <c r="K28" s="99">
        <v>6</v>
      </c>
      <c r="L28" s="64"/>
      <c r="M28" s="97">
        <f t="shared" si="3"/>
        <v>8</v>
      </c>
      <c r="N28" s="63" t="str">
        <f t="shared" si="4"/>
        <v>N/TRANSITA</v>
      </c>
      <c r="O28" s="98"/>
      <c r="P28" s="99"/>
      <c r="Q28" s="64"/>
      <c r="R28" s="97">
        <f t="shared" si="5"/>
        <v>0</v>
      </c>
      <c r="S28" s="41">
        <f t="shared" si="0"/>
        <v>7.666666666666667</v>
      </c>
      <c r="T28" s="81" t="str">
        <f t="shared" si="6"/>
        <v>N/TRANSITA</v>
      </c>
    </row>
    <row r="29" spans="2:20" ht="14.25" customHeight="1" x14ac:dyDescent="0.3">
      <c r="B29" s="33">
        <v>21</v>
      </c>
      <c r="C29" s="127" t="s">
        <v>88</v>
      </c>
      <c r="D29" s="60"/>
      <c r="E29" s="85">
        <v>14</v>
      </c>
      <c r="F29" s="86">
        <v>12</v>
      </c>
      <c r="G29" s="86"/>
      <c r="H29" s="97">
        <f t="shared" si="1"/>
        <v>13</v>
      </c>
      <c r="I29" s="63" t="str">
        <f t="shared" si="2"/>
        <v>TRANSITA</v>
      </c>
      <c r="J29" s="98"/>
      <c r="K29" s="99"/>
      <c r="L29" s="64"/>
      <c r="M29" s="97">
        <f t="shared" si="3"/>
        <v>0</v>
      </c>
      <c r="N29" s="63" t="str">
        <f t="shared" si="4"/>
        <v>N/TRANSITA</v>
      </c>
      <c r="O29" s="98"/>
      <c r="P29" s="99"/>
      <c r="Q29" s="64"/>
      <c r="R29" s="97">
        <f t="shared" si="5"/>
        <v>0</v>
      </c>
      <c r="S29" s="41">
        <f t="shared" si="0"/>
        <v>4.333333333333333</v>
      </c>
      <c r="T29" s="81" t="str">
        <f t="shared" si="6"/>
        <v>N/TRANSITA</v>
      </c>
    </row>
    <row r="30" spans="2:20" ht="14.25" customHeight="1" x14ac:dyDescent="0.3">
      <c r="B30" s="33">
        <v>22</v>
      </c>
      <c r="C30" s="127" t="s">
        <v>89</v>
      </c>
      <c r="D30" s="60"/>
      <c r="E30" s="85">
        <v>12</v>
      </c>
      <c r="F30" s="86">
        <v>10</v>
      </c>
      <c r="G30" s="86"/>
      <c r="H30" s="97">
        <f t="shared" si="1"/>
        <v>11</v>
      </c>
      <c r="I30" s="63" t="str">
        <f t="shared" si="2"/>
        <v>TRANSITA</v>
      </c>
      <c r="J30" s="98">
        <v>13</v>
      </c>
      <c r="K30" s="99">
        <v>14</v>
      </c>
      <c r="L30" s="64"/>
      <c r="M30" s="97">
        <f t="shared" si="3"/>
        <v>13.5</v>
      </c>
      <c r="N30" s="63" t="str">
        <f t="shared" si="4"/>
        <v>TRANSITA</v>
      </c>
      <c r="O30" s="98"/>
      <c r="P30" s="99"/>
      <c r="Q30" s="64"/>
      <c r="R30" s="97">
        <f t="shared" si="5"/>
        <v>0</v>
      </c>
      <c r="S30" s="41">
        <f t="shared" si="0"/>
        <v>8.1666666666666661</v>
      </c>
      <c r="T30" s="81" t="str">
        <f t="shared" si="6"/>
        <v>N/TRANSITA</v>
      </c>
    </row>
    <row r="31" spans="2:20" ht="14.25" customHeight="1" x14ac:dyDescent="0.3">
      <c r="B31" s="33">
        <v>23</v>
      </c>
      <c r="C31" s="127" t="s">
        <v>90</v>
      </c>
      <c r="D31" s="60"/>
      <c r="E31" s="85">
        <v>6</v>
      </c>
      <c r="F31" s="86">
        <v>9</v>
      </c>
      <c r="G31" s="86"/>
      <c r="H31" s="97">
        <f t="shared" si="1"/>
        <v>7.5</v>
      </c>
      <c r="I31" s="63" t="str">
        <f t="shared" si="2"/>
        <v>N/TRANSITA</v>
      </c>
      <c r="J31" s="98">
        <v>2</v>
      </c>
      <c r="K31" s="99">
        <v>12</v>
      </c>
      <c r="L31" s="64"/>
      <c r="M31" s="97">
        <f t="shared" si="3"/>
        <v>7</v>
      </c>
      <c r="N31" s="63" t="str">
        <f t="shared" si="4"/>
        <v>N/TRANSITA</v>
      </c>
      <c r="O31" s="98"/>
      <c r="P31" s="99"/>
      <c r="Q31" s="64"/>
      <c r="R31" s="97">
        <f t="shared" si="5"/>
        <v>0</v>
      </c>
      <c r="S31" s="41">
        <f t="shared" si="0"/>
        <v>4.833333333333333</v>
      </c>
      <c r="T31" s="81" t="str">
        <f t="shared" si="6"/>
        <v>N/TRANSITA</v>
      </c>
    </row>
    <row r="32" spans="2:20" ht="14.25" customHeight="1" x14ac:dyDescent="0.3">
      <c r="B32" s="33">
        <v>24</v>
      </c>
      <c r="C32" s="127" t="s">
        <v>91</v>
      </c>
      <c r="D32" s="60"/>
      <c r="E32" s="85"/>
      <c r="F32" s="86"/>
      <c r="G32" s="86"/>
      <c r="H32" s="97">
        <f t="shared" si="1"/>
        <v>0</v>
      </c>
      <c r="I32" s="63" t="str">
        <f t="shared" si="2"/>
        <v>N/TRANSITA</v>
      </c>
      <c r="J32" s="98"/>
      <c r="K32" s="99"/>
      <c r="L32" s="64"/>
      <c r="M32" s="97">
        <f t="shared" si="3"/>
        <v>0</v>
      </c>
      <c r="N32" s="63" t="str">
        <f t="shared" si="4"/>
        <v>N/TRANSITA</v>
      </c>
      <c r="O32" s="98"/>
      <c r="P32" s="99"/>
      <c r="Q32" s="64"/>
      <c r="R32" s="97">
        <f t="shared" si="5"/>
        <v>0</v>
      </c>
      <c r="S32" s="41">
        <f t="shared" si="0"/>
        <v>0</v>
      </c>
      <c r="T32" s="81" t="str">
        <f t="shared" si="6"/>
        <v>N/TRANSITA</v>
      </c>
    </row>
    <row r="33" spans="2:20" ht="14.25" customHeight="1" x14ac:dyDescent="0.3">
      <c r="B33" s="33">
        <v>25</v>
      </c>
      <c r="C33" s="127" t="s">
        <v>92</v>
      </c>
      <c r="D33" s="60"/>
      <c r="E33" s="85">
        <v>8</v>
      </c>
      <c r="F33" s="86">
        <v>11</v>
      </c>
      <c r="G33" s="86"/>
      <c r="H33" s="97">
        <f t="shared" si="1"/>
        <v>9.5</v>
      </c>
      <c r="I33" s="63" t="str">
        <f t="shared" si="2"/>
        <v>N/TRANSITA</v>
      </c>
      <c r="J33" s="98">
        <v>12</v>
      </c>
      <c r="K33" s="99">
        <v>12</v>
      </c>
      <c r="L33" s="64"/>
      <c r="M33" s="97">
        <f t="shared" si="3"/>
        <v>12</v>
      </c>
      <c r="N33" s="63" t="str">
        <f t="shared" si="4"/>
        <v>TRANSITA</v>
      </c>
      <c r="O33" s="98"/>
      <c r="P33" s="99"/>
      <c r="Q33" s="64"/>
      <c r="R33" s="97">
        <f t="shared" si="5"/>
        <v>0</v>
      </c>
      <c r="S33" s="41">
        <f t="shared" si="0"/>
        <v>7.166666666666667</v>
      </c>
      <c r="T33" s="81" t="str">
        <f t="shared" si="6"/>
        <v>N/TRANSITA</v>
      </c>
    </row>
    <row r="34" spans="2:20" ht="14.25" customHeight="1" x14ac:dyDescent="0.3">
      <c r="B34" s="33">
        <v>26</v>
      </c>
      <c r="C34" s="127" t="s">
        <v>93</v>
      </c>
      <c r="D34" s="60"/>
      <c r="E34" s="85"/>
      <c r="F34" s="86"/>
      <c r="G34" s="86"/>
      <c r="H34" s="97">
        <f t="shared" si="1"/>
        <v>0</v>
      </c>
      <c r="I34" s="63" t="str">
        <f t="shared" si="2"/>
        <v>N/TRANSITA</v>
      </c>
      <c r="J34" s="98"/>
      <c r="K34" s="99"/>
      <c r="L34" s="64"/>
      <c r="M34" s="97">
        <f t="shared" si="3"/>
        <v>0</v>
      </c>
      <c r="N34" s="63" t="str">
        <f t="shared" si="4"/>
        <v>N/TRANSITA</v>
      </c>
      <c r="O34" s="98"/>
      <c r="P34" s="99"/>
      <c r="Q34" s="64"/>
      <c r="R34" s="97">
        <f t="shared" si="5"/>
        <v>0</v>
      </c>
      <c r="S34" s="41">
        <f t="shared" si="0"/>
        <v>0</v>
      </c>
      <c r="T34" s="81" t="str">
        <f t="shared" si="6"/>
        <v>N/TRANSITA</v>
      </c>
    </row>
    <row r="35" spans="2:20" ht="14.25" customHeight="1" x14ac:dyDescent="0.3">
      <c r="B35" s="33">
        <v>27</v>
      </c>
      <c r="C35" s="128" t="s">
        <v>94</v>
      </c>
      <c r="D35" s="60"/>
      <c r="E35" s="85"/>
      <c r="F35" s="86"/>
      <c r="G35" s="86"/>
      <c r="H35" s="97">
        <f t="shared" si="1"/>
        <v>0</v>
      </c>
      <c r="I35" s="63" t="str">
        <f t="shared" si="2"/>
        <v>N/TRANSITA</v>
      </c>
      <c r="J35" s="98"/>
      <c r="K35" s="99"/>
      <c r="L35" s="64"/>
      <c r="M35" s="97">
        <f t="shared" si="3"/>
        <v>0</v>
      </c>
      <c r="N35" s="63" t="str">
        <f t="shared" si="4"/>
        <v>N/TRANSITA</v>
      </c>
      <c r="O35" s="98"/>
      <c r="P35" s="99"/>
      <c r="Q35" s="64"/>
      <c r="R35" s="97">
        <f t="shared" si="5"/>
        <v>0</v>
      </c>
      <c r="S35" s="41">
        <f t="shared" si="0"/>
        <v>0</v>
      </c>
      <c r="T35" s="81" t="str">
        <f t="shared" si="6"/>
        <v>N/TRANSITA</v>
      </c>
    </row>
    <row r="36" spans="2:20" ht="14.25" customHeight="1" x14ac:dyDescent="0.3">
      <c r="B36" s="33">
        <v>28</v>
      </c>
      <c r="C36" s="127" t="s">
        <v>95</v>
      </c>
      <c r="D36" s="60"/>
      <c r="E36" s="85">
        <v>8</v>
      </c>
      <c r="F36" s="86">
        <v>11</v>
      </c>
      <c r="G36" s="86"/>
      <c r="H36" s="97">
        <f t="shared" si="1"/>
        <v>9.5</v>
      </c>
      <c r="I36" s="63" t="str">
        <f t="shared" si="2"/>
        <v>N/TRANSITA</v>
      </c>
      <c r="J36" s="98">
        <v>4</v>
      </c>
      <c r="K36" s="204"/>
      <c r="L36" s="64"/>
      <c r="M36" s="97">
        <f t="shared" si="3"/>
        <v>2</v>
      </c>
      <c r="N36" s="63" t="str">
        <f t="shared" si="4"/>
        <v>N/TRANSITA</v>
      </c>
      <c r="O36" s="98"/>
      <c r="P36" s="99"/>
      <c r="Q36" s="64"/>
      <c r="R36" s="97">
        <f t="shared" si="5"/>
        <v>0</v>
      </c>
      <c r="S36" s="41">
        <f t="shared" si="0"/>
        <v>3.8333333333333335</v>
      </c>
      <c r="T36" s="81" t="str">
        <f t="shared" si="6"/>
        <v>N/TRANSITA</v>
      </c>
    </row>
    <row r="37" spans="2:20" ht="14.25" customHeight="1" x14ac:dyDescent="0.3">
      <c r="B37" s="33">
        <v>29</v>
      </c>
      <c r="C37" s="127" t="s">
        <v>96</v>
      </c>
      <c r="D37" s="60"/>
      <c r="E37" s="85">
        <v>12</v>
      </c>
      <c r="F37" s="86">
        <v>14</v>
      </c>
      <c r="G37" s="86"/>
      <c r="H37" s="97">
        <f t="shared" si="1"/>
        <v>13</v>
      </c>
      <c r="I37" s="63" t="str">
        <f t="shared" si="2"/>
        <v>TRANSITA</v>
      </c>
      <c r="J37" s="98">
        <v>10</v>
      </c>
      <c r="K37" s="99">
        <v>6</v>
      </c>
      <c r="L37" s="64"/>
      <c r="M37" s="97">
        <f t="shared" si="3"/>
        <v>8</v>
      </c>
      <c r="N37" s="63" t="str">
        <f t="shared" si="4"/>
        <v>N/TRANSITA</v>
      </c>
      <c r="O37" s="98"/>
      <c r="P37" s="99"/>
      <c r="Q37" s="64"/>
      <c r="R37" s="97">
        <f t="shared" si="5"/>
        <v>0</v>
      </c>
      <c r="S37" s="41">
        <f t="shared" si="0"/>
        <v>7</v>
      </c>
      <c r="T37" s="81" t="str">
        <f t="shared" si="6"/>
        <v>N/TRANSITA</v>
      </c>
    </row>
    <row r="38" spans="2:20" ht="14.25" customHeight="1" x14ac:dyDescent="0.3">
      <c r="B38" s="33">
        <v>30</v>
      </c>
      <c r="C38" s="127" t="s">
        <v>97</v>
      </c>
      <c r="D38" s="60"/>
      <c r="E38" s="85"/>
      <c r="F38" s="86"/>
      <c r="G38" s="86"/>
      <c r="H38" s="97">
        <f t="shared" si="1"/>
        <v>0</v>
      </c>
      <c r="I38" s="63" t="str">
        <f t="shared" si="2"/>
        <v>N/TRANSITA</v>
      </c>
      <c r="J38" s="98"/>
      <c r="K38" s="99"/>
      <c r="L38" s="64"/>
      <c r="M38" s="97">
        <f t="shared" si="3"/>
        <v>0</v>
      </c>
      <c r="N38" s="63" t="str">
        <f t="shared" si="4"/>
        <v>N/TRANSITA</v>
      </c>
      <c r="O38" s="98"/>
      <c r="P38" s="99"/>
      <c r="Q38" s="64"/>
      <c r="R38" s="97">
        <f t="shared" si="5"/>
        <v>0</v>
      </c>
      <c r="S38" s="41">
        <f t="shared" si="0"/>
        <v>0</v>
      </c>
      <c r="T38" s="81" t="str">
        <f t="shared" si="6"/>
        <v>N/TRANSITA</v>
      </c>
    </row>
    <row r="39" spans="2:20" ht="14.25" customHeight="1" x14ac:dyDescent="0.3">
      <c r="B39" s="33">
        <v>31</v>
      </c>
      <c r="C39" s="127" t="s">
        <v>98</v>
      </c>
      <c r="D39" s="60"/>
      <c r="E39" s="85"/>
      <c r="F39" s="86"/>
      <c r="G39" s="86"/>
      <c r="H39" s="97">
        <f t="shared" si="1"/>
        <v>0</v>
      </c>
      <c r="I39" s="63" t="str">
        <f t="shared" si="2"/>
        <v>N/TRANSITA</v>
      </c>
      <c r="J39" s="98"/>
      <c r="K39" s="99"/>
      <c r="L39" s="64"/>
      <c r="M39" s="97">
        <f t="shared" si="3"/>
        <v>0</v>
      </c>
      <c r="N39" s="63" t="str">
        <f t="shared" si="4"/>
        <v>N/TRANSITA</v>
      </c>
      <c r="O39" s="98"/>
      <c r="P39" s="99"/>
      <c r="Q39" s="64"/>
      <c r="R39" s="97">
        <f t="shared" si="5"/>
        <v>0</v>
      </c>
      <c r="S39" s="41">
        <f t="shared" si="0"/>
        <v>0</v>
      </c>
      <c r="T39" s="81" t="str">
        <f t="shared" si="6"/>
        <v>N/TRANSITA</v>
      </c>
    </row>
    <row r="40" spans="2:20" ht="14.25" customHeight="1" x14ac:dyDescent="0.3">
      <c r="B40" s="33">
        <v>32</v>
      </c>
      <c r="C40" s="128" t="s">
        <v>99</v>
      </c>
      <c r="D40" s="60"/>
      <c r="E40" s="85">
        <v>6</v>
      </c>
      <c r="F40" s="86">
        <v>0</v>
      </c>
      <c r="G40" s="86"/>
      <c r="H40" s="97">
        <f t="shared" si="1"/>
        <v>3</v>
      </c>
      <c r="I40" s="63" t="str">
        <f t="shared" si="2"/>
        <v>N/TRANSITA</v>
      </c>
      <c r="J40" s="98">
        <v>2</v>
      </c>
      <c r="K40" s="99">
        <v>11</v>
      </c>
      <c r="L40" s="64"/>
      <c r="M40" s="97">
        <f t="shared" si="3"/>
        <v>6.5</v>
      </c>
      <c r="N40" s="63" t="str">
        <f t="shared" si="4"/>
        <v>N/TRANSITA</v>
      </c>
      <c r="O40" s="98"/>
      <c r="P40" s="99"/>
      <c r="Q40" s="64"/>
      <c r="R40" s="97">
        <f t="shared" si="5"/>
        <v>0</v>
      </c>
      <c r="S40" s="41">
        <f t="shared" si="0"/>
        <v>3.1666666666666665</v>
      </c>
      <c r="T40" s="81" t="str">
        <f t="shared" si="6"/>
        <v>N/TRANSITA</v>
      </c>
    </row>
    <row r="41" spans="2:20" ht="14.25" customHeight="1" x14ac:dyDescent="0.3">
      <c r="B41" s="33">
        <v>33</v>
      </c>
      <c r="C41" s="127" t="s">
        <v>100</v>
      </c>
      <c r="D41" s="60"/>
      <c r="E41" s="85">
        <v>16</v>
      </c>
      <c r="F41" s="86">
        <v>17</v>
      </c>
      <c r="G41" s="86"/>
      <c r="H41" s="97">
        <f t="shared" si="1"/>
        <v>16.5</v>
      </c>
      <c r="I41" s="63" t="str">
        <f t="shared" si="2"/>
        <v>TRANSITA</v>
      </c>
      <c r="J41" s="98">
        <v>16</v>
      </c>
      <c r="K41" s="99">
        <v>15</v>
      </c>
      <c r="L41" s="64"/>
      <c r="M41" s="97">
        <f t="shared" si="3"/>
        <v>15.5</v>
      </c>
      <c r="N41" s="63" t="str">
        <f t="shared" si="4"/>
        <v>TRANSITA</v>
      </c>
      <c r="O41" s="98"/>
      <c r="P41" s="99"/>
      <c r="Q41" s="64"/>
      <c r="R41" s="97">
        <f t="shared" si="5"/>
        <v>0</v>
      </c>
      <c r="S41" s="41">
        <f t="shared" si="0"/>
        <v>10.666666666666666</v>
      </c>
      <c r="T41" s="81" t="str">
        <f t="shared" si="6"/>
        <v>TRANSITA</v>
      </c>
    </row>
    <row r="42" spans="2:20" ht="14.25" customHeight="1" x14ac:dyDescent="0.3">
      <c r="B42" s="33">
        <v>34</v>
      </c>
      <c r="C42" s="127" t="s">
        <v>101</v>
      </c>
      <c r="D42" s="60"/>
      <c r="E42" s="85"/>
      <c r="F42" s="86"/>
      <c r="G42" s="86"/>
      <c r="H42" s="97">
        <f t="shared" si="1"/>
        <v>0</v>
      </c>
      <c r="I42" s="63" t="str">
        <f t="shared" si="2"/>
        <v>N/TRANSITA</v>
      </c>
      <c r="J42" s="98"/>
      <c r="K42" s="99"/>
      <c r="L42" s="64"/>
      <c r="M42" s="97">
        <f t="shared" si="3"/>
        <v>0</v>
      </c>
      <c r="N42" s="63" t="str">
        <f t="shared" si="4"/>
        <v>N/TRANSITA</v>
      </c>
      <c r="O42" s="98"/>
      <c r="P42" s="99"/>
      <c r="Q42" s="64"/>
      <c r="R42" s="97">
        <f t="shared" si="5"/>
        <v>0</v>
      </c>
      <c r="S42" s="41">
        <f t="shared" ref="S42:S71" si="14">SUM(H42,M42,R42)/3</f>
        <v>0</v>
      </c>
      <c r="T42" s="81" t="str">
        <f t="shared" si="6"/>
        <v>N/TRANSITA</v>
      </c>
    </row>
    <row r="43" spans="2:20" ht="14.25" customHeight="1" x14ac:dyDescent="0.3">
      <c r="B43" s="33">
        <v>35</v>
      </c>
      <c r="C43" s="127" t="s">
        <v>102</v>
      </c>
      <c r="D43" s="60"/>
      <c r="E43" s="85">
        <v>14</v>
      </c>
      <c r="F43" s="86">
        <v>11</v>
      </c>
      <c r="G43" s="86"/>
      <c r="H43" s="97">
        <f t="shared" si="1"/>
        <v>12.5</v>
      </c>
      <c r="I43" s="63" t="str">
        <f t="shared" si="2"/>
        <v>TRANSITA</v>
      </c>
      <c r="J43" s="98">
        <v>4</v>
      </c>
      <c r="K43" s="99">
        <v>11</v>
      </c>
      <c r="L43" s="64"/>
      <c r="M43" s="97">
        <f t="shared" si="3"/>
        <v>7.5</v>
      </c>
      <c r="N43" s="63" t="str">
        <f t="shared" si="4"/>
        <v>N/TRANSITA</v>
      </c>
      <c r="O43" s="98"/>
      <c r="P43" s="99"/>
      <c r="Q43" s="64"/>
      <c r="R43" s="97">
        <f t="shared" si="5"/>
        <v>0</v>
      </c>
      <c r="S43" s="41">
        <f t="shared" si="14"/>
        <v>6.666666666666667</v>
      </c>
      <c r="T43" s="81" t="str">
        <f t="shared" si="6"/>
        <v>N/TRANSITA</v>
      </c>
    </row>
    <row r="44" spans="2:20" ht="14.25" customHeight="1" x14ac:dyDescent="0.3">
      <c r="B44" s="33">
        <v>36</v>
      </c>
      <c r="C44" s="127" t="s">
        <v>103</v>
      </c>
      <c r="D44" s="60"/>
      <c r="E44" s="169">
        <v>0</v>
      </c>
      <c r="F44" s="86">
        <v>7</v>
      </c>
      <c r="G44" s="86"/>
      <c r="H44" s="97">
        <f t="shared" si="1"/>
        <v>3.5</v>
      </c>
      <c r="I44" s="63" t="str">
        <f t="shared" si="2"/>
        <v>N/TRANSITA</v>
      </c>
      <c r="J44" s="98"/>
      <c r="K44" s="99"/>
      <c r="L44" s="64"/>
      <c r="M44" s="97">
        <f t="shared" si="3"/>
        <v>0</v>
      </c>
      <c r="N44" s="63" t="str">
        <f t="shared" ref="N44:N49" si="15">IF(M44&gt;=10,"TRANSITA","N/TRANSITA")</f>
        <v>N/TRANSITA</v>
      </c>
      <c r="O44" s="98"/>
      <c r="P44" s="99"/>
      <c r="Q44" s="64"/>
      <c r="R44" s="97">
        <f t="shared" si="5"/>
        <v>0</v>
      </c>
      <c r="S44" s="41">
        <f t="shared" si="14"/>
        <v>1.1666666666666667</v>
      </c>
      <c r="T44" s="81" t="str">
        <f t="shared" ref="T44:T49" si="16">IF(S44&gt;=10,"TRANSITA","N/TRANSITA")</f>
        <v>N/TRANSITA</v>
      </c>
    </row>
    <row r="45" spans="2:20" ht="14.25" customHeight="1" x14ac:dyDescent="0.3">
      <c r="B45" s="33">
        <v>37</v>
      </c>
      <c r="C45" s="127" t="s">
        <v>104</v>
      </c>
      <c r="D45" s="60"/>
      <c r="E45" s="85">
        <v>8</v>
      </c>
      <c r="F45" s="86">
        <v>4</v>
      </c>
      <c r="G45" s="86"/>
      <c r="H45" s="97">
        <f t="shared" si="1"/>
        <v>6</v>
      </c>
      <c r="I45" s="63" t="str">
        <f t="shared" si="2"/>
        <v>N/TRANSITA</v>
      </c>
      <c r="J45" s="98"/>
      <c r="K45" s="99">
        <v>5</v>
      </c>
      <c r="L45" s="64"/>
      <c r="M45" s="97">
        <f t="shared" si="3"/>
        <v>5</v>
      </c>
      <c r="N45" s="63" t="str">
        <f t="shared" si="15"/>
        <v>N/TRANSITA</v>
      </c>
      <c r="O45" s="98"/>
      <c r="P45" s="99"/>
      <c r="Q45" s="64"/>
      <c r="R45" s="97">
        <f t="shared" si="5"/>
        <v>0</v>
      </c>
      <c r="S45" s="41">
        <f t="shared" si="14"/>
        <v>3.6666666666666665</v>
      </c>
      <c r="T45" s="81" t="str">
        <f t="shared" si="16"/>
        <v>N/TRANSITA</v>
      </c>
    </row>
    <row r="46" spans="2:20" ht="14.25" customHeight="1" x14ac:dyDescent="0.3">
      <c r="B46" s="33">
        <v>38</v>
      </c>
      <c r="C46" s="127" t="s">
        <v>105</v>
      </c>
      <c r="D46" s="60"/>
      <c r="E46" s="85">
        <v>8</v>
      </c>
      <c r="F46" s="86"/>
      <c r="G46" s="86"/>
      <c r="H46" s="97">
        <f t="shared" si="1"/>
        <v>4</v>
      </c>
      <c r="I46" s="63" t="str">
        <f t="shared" si="2"/>
        <v>N/TRANSITA</v>
      </c>
      <c r="J46" s="98"/>
      <c r="K46" s="99"/>
      <c r="L46" s="64"/>
      <c r="M46" s="97">
        <f t="shared" si="3"/>
        <v>0</v>
      </c>
      <c r="N46" s="63" t="str">
        <f t="shared" si="15"/>
        <v>N/TRANSITA</v>
      </c>
      <c r="O46" s="98"/>
      <c r="P46" s="99"/>
      <c r="Q46" s="64"/>
      <c r="R46" s="97">
        <f t="shared" si="5"/>
        <v>0</v>
      </c>
      <c r="S46" s="41">
        <f t="shared" si="14"/>
        <v>1.3333333333333333</v>
      </c>
      <c r="T46" s="81" t="str">
        <f t="shared" si="16"/>
        <v>N/TRANSITA</v>
      </c>
    </row>
    <row r="47" spans="2:20" ht="14.25" customHeight="1" x14ac:dyDescent="0.3">
      <c r="B47" s="33">
        <v>39</v>
      </c>
      <c r="C47" s="127" t="s">
        <v>106</v>
      </c>
      <c r="D47" s="60"/>
      <c r="E47" s="85">
        <v>13</v>
      </c>
      <c r="F47" s="86">
        <v>17</v>
      </c>
      <c r="G47" s="86"/>
      <c r="H47" s="97">
        <f t="shared" si="1"/>
        <v>15</v>
      </c>
      <c r="I47" s="63" t="str">
        <f t="shared" si="2"/>
        <v>TRANSITA</v>
      </c>
      <c r="J47" s="98">
        <v>17</v>
      </c>
      <c r="K47" s="99">
        <v>10</v>
      </c>
      <c r="L47" s="64"/>
      <c r="M47" s="97">
        <f t="shared" si="3"/>
        <v>13.5</v>
      </c>
      <c r="N47" s="63" t="str">
        <f t="shared" si="15"/>
        <v>TRANSITA</v>
      </c>
      <c r="O47" s="98"/>
      <c r="P47" s="99"/>
      <c r="Q47" s="64"/>
      <c r="R47" s="97">
        <f t="shared" si="5"/>
        <v>0</v>
      </c>
      <c r="S47" s="41">
        <f t="shared" si="14"/>
        <v>9.5</v>
      </c>
      <c r="T47" s="81" t="str">
        <f t="shared" si="16"/>
        <v>N/TRANSITA</v>
      </c>
    </row>
    <row r="48" spans="2:20" ht="14.25" customHeight="1" x14ac:dyDescent="0.3">
      <c r="B48" s="33">
        <v>40</v>
      </c>
      <c r="C48" s="127" t="s">
        <v>145</v>
      </c>
      <c r="D48" s="60"/>
      <c r="E48" s="85">
        <v>10</v>
      </c>
      <c r="F48" s="86">
        <v>9</v>
      </c>
      <c r="G48" s="86"/>
      <c r="H48" s="97">
        <f t="shared" si="1"/>
        <v>9.5</v>
      </c>
      <c r="I48" s="63" t="str">
        <f t="shared" si="2"/>
        <v>N/TRANSITA</v>
      </c>
      <c r="J48" s="98">
        <v>2</v>
      </c>
      <c r="K48" s="99">
        <v>12</v>
      </c>
      <c r="L48" s="64"/>
      <c r="M48" s="97">
        <f t="shared" ref="M48" si="17">AVERAGE(J48,MAX(K48:L48))</f>
        <v>7</v>
      </c>
      <c r="N48" s="63" t="str">
        <f t="shared" ref="N48" si="18">IF(M48&gt;=10,"TRANSITA","N/TRANSITA")</f>
        <v>N/TRANSITA</v>
      </c>
      <c r="O48" s="98"/>
      <c r="P48" s="99"/>
      <c r="Q48" s="64"/>
      <c r="R48" s="97">
        <f t="shared" ref="R48" si="19">AVERAGE(O48,MAX(P48:Q48))</f>
        <v>0</v>
      </c>
      <c r="S48" s="41">
        <f t="shared" ref="S48" si="20">SUM(H48,M48,R48)/3</f>
        <v>5.5</v>
      </c>
      <c r="T48" s="81" t="str">
        <f t="shared" ref="T48" si="21">IF(S48&gt;=10,"TRANSITA","N/TRANSITA")</f>
        <v>N/TRANSITA</v>
      </c>
    </row>
    <row r="49" spans="2:20" ht="14.25" customHeight="1" x14ac:dyDescent="0.3">
      <c r="B49" s="33">
        <v>41</v>
      </c>
      <c r="C49" s="128" t="s">
        <v>107</v>
      </c>
      <c r="D49" s="60"/>
      <c r="E49" s="85">
        <v>12</v>
      </c>
      <c r="F49" s="86">
        <v>11</v>
      </c>
      <c r="G49" s="86"/>
      <c r="H49" s="97">
        <f t="shared" si="1"/>
        <v>11.5</v>
      </c>
      <c r="I49" s="63" t="str">
        <f t="shared" si="2"/>
        <v>TRANSITA</v>
      </c>
      <c r="J49" s="98">
        <v>14</v>
      </c>
      <c r="K49" s="99">
        <v>6</v>
      </c>
      <c r="L49" s="64"/>
      <c r="M49" s="97">
        <f t="shared" si="3"/>
        <v>10</v>
      </c>
      <c r="N49" s="63" t="str">
        <f t="shared" si="15"/>
        <v>TRANSITA</v>
      </c>
      <c r="O49" s="98"/>
      <c r="P49" s="99"/>
      <c r="Q49" s="64"/>
      <c r="R49" s="97">
        <f t="shared" si="5"/>
        <v>0</v>
      </c>
      <c r="S49" s="41">
        <f t="shared" si="14"/>
        <v>7.166666666666667</v>
      </c>
      <c r="T49" s="81" t="str">
        <f t="shared" si="16"/>
        <v>N/TRANSITA</v>
      </c>
    </row>
    <row r="50" spans="2:20" ht="14.25" customHeight="1" x14ac:dyDescent="0.3">
      <c r="B50" s="33">
        <v>42</v>
      </c>
      <c r="C50" s="127" t="s">
        <v>108</v>
      </c>
      <c r="D50" s="61"/>
      <c r="E50" s="85">
        <v>13</v>
      </c>
      <c r="F50" s="86">
        <v>11</v>
      </c>
      <c r="G50" s="86"/>
      <c r="H50" s="97">
        <f t="shared" si="1"/>
        <v>12</v>
      </c>
      <c r="I50" s="63" t="str">
        <f t="shared" si="2"/>
        <v>TRANSITA</v>
      </c>
      <c r="J50" s="98">
        <v>14</v>
      </c>
      <c r="K50" s="99">
        <v>16</v>
      </c>
      <c r="L50" s="64"/>
      <c r="M50" s="97">
        <f t="shared" si="3"/>
        <v>15</v>
      </c>
      <c r="N50" s="63" t="str">
        <f t="shared" si="4"/>
        <v>TRANSITA</v>
      </c>
      <c r="O50" s="98"/>
      <c r="P50" s="99"/>
      <c r="Q50" s="64"/>
      <c r="R50" s="97">
        <f t="shared" si="5"/>
        <v>0</v>
      </c>
      <c r="S50" s="41">
        <f t="shared" si="14"/>
        <v>9</v>
      </c>
      <c r="T50" s="81" t="str">
        <f t="shared" si="6"/>
        <v>N/TRANSITA</v>
      </c>
    </row>
    <row r="51" spans="2:20" ht="14.25" customHeight="1" x14ac:dyDescent="0.3">
      <c r="B51" s="33">
        <v>43</v>
      </c>
      <c r="C51" s="127" t="s">
        <v>109</v>
      </c>
      <c r="D51" s="61"/>
      <c r="E51" s="85">
        <v>13</v>
      </c>
      <c r="F51" s="86">
        <v>13</v>
      </c>
      <c r="G51" s="86"/>
      <c r="H51" s="97">
        <f t="shared" si="1"/>
        <v>13</v>
      </c>
      <c r="I51" s="63" t="str">
        <f t="shared" si="2"/>
        <v>TRANSITA</v>
      </c>
      <c r="J51" s="98">
        <v>2</v>
      </c>
      <c r="K51" s="204"/>
      <c r="L51" s="64"/>
      <c r="M51" s="97">
        <f t="shared" si="3"/>
        <v>1</v>
      </c>
      <c r="N51" s="63" t="str">
        <f t="shared" si="4"/>
        <v>N/TRANSITA</v>
      </c>
      <c r="O51" s="98"/>
      <c r="P51" s="99"/>
      <c r="Q51" s="64"/>
      <c r="R51" s="97">
        <f t="shared" si="5"/>
        <v>0</v>
      </c>
      <c r="S51" s="41">
        <f t="shared" si="14"/>
        <v>4.666666666666667</v>
      </c>
      <c r="T51" s="81" t="str">
        <f t="shared" si="6"/>
        <v>N/TRANSITA</v>
      </c>
    </row>
    <row r="52" spans="2:20" ht="14.25" customHeight="1" x14ac:dyDescent="0.3">
      <c r="B52" s="33">
        <v>44</v>
      </c>
      <c r="C52" s="127" t="s">
        <v>110</v>
      </c>
      <c r="D52" s="60"/>
      <c r="E52" s="85">
        <v>13</v>
      </c>
      <c r="F52" s="86">
        <v>7</v>
      </c>
      <c r="G52" s="86"/>
      <c r="H52" s="97">
        <f t="shared" si="1"/>
        <v>10</v>
      </c>
      <c r="I52" s="63" t="str">
        <f t="shared" si="2"/>
        <v>TRANSITA</v>
      </c>
      <c r="J52" s="98">
        <v>10</v>
      </c>
      <c r="K52" s="99">
        <v>7</v>
      </c>
      <c r="L52" s="64"/>
      <c r="M52" s="97">
        <f t="shared" si="3"/>
        <v>8.5</v>
      </c>
      <c r="N52" s="63" t="str">
        <f t="shared" si="4"/>
        <v>N/TRANSITA</v>
      </c>
      <c r="O52" s="98"/>
      <c r="P52" s="99"/>
      <c r="Q52" s="64"/>
      <c r="R52" s="97">
        <f t="shared" si="5"/>
        <v>0</v>
      </c>
      <c r="S52" s="41">
        <f t="shared" si="14"/>
        <v>6.166666666666667</v>
      </c>
      <c r="T52" s="81" t="str">
        <f t="shared" si="6"/>
        <v>N/TRANSITA</v>
      </c>
    </row>
    <row r="53" spans="2:20" ht="14.25" customHeight="1" x14ac:dyDescent="0.3">
      <c r="B53" s="33">
        <v>45</v>
      </c>
      <c r="C53" s="127" t="s">
        <v>111</v>
      </c>
      <c r="D53" s="60"/>
      <c r="E53" s="85"/>
      <c r="F53" s="86"/>
      <c r="G53" s="86"/>
      <c r="H53" s="97">
        <f t="shared" si="1"/>
        <v>0</v>
      </c>
      <c r="I53" s="63" t="str">
        <f t="shared" si="2"/>
        <v>N/TRANSITA</v>
      </c>
      <c r="J53" s="98"/>
      <c r="K53" s="99"/>
      <c r="L53" s="64"/>
      <c r="M53" s="97">
        <f t="shared" si="3"/>
        <v>0</v>
      </c>
      <c r="N53" s="63" t="str">
        <f t="shared" si="4"/>
        <v>N/TRANSITA</v>
      </c>
      <c r="O53" s="98"/>
      <c r="P53" s="99"/>
      <c r="Q53" s="64"/>
      <c r="R53" s="97">
        <f t="shared" si="5"/>
        <v>0</v>
      </c>
      <c r="S53" s="41">
        <f t="shared" si="14"/>
        <v>0</v>
      </c>
      <c r="T53" s="81" t="str">
        <f t="shared" si="6"/>
        <v>N/TRANSITA</v>
      </c>
    </row>
    <row r="54" spans="2:20" ht="14.25" customHeight="1" x14ac:dyDescent="0.3">
      <c r="B54" s="33">
        <v>46</v>
      </c>
      <c r="C54" s="127" t="s">
        <v>112</v>
      </c>
      <c r="D54" s="60"/>
      <c r="E54" s="85">
        <v>6</v>
      </c>
      <c r="F54" s="86">
        <v>4</v>
      </c>
      <c r="G54" s="86"/>
      <c r="H54" s="97">
        <f t="shared" si="1"/>
        <v>5</v>
      </c>
      <c r="I54" s="63" t="str">
        <f t="shared" si="2"/>
        <v>N/TRANSITA</v>
      </c>
      <c r="J54" s="98">
        <v>13</v>
      </c>
      <c r="K54" s="99">
        <v>5</v>
      </c>
      <c r="L54" s="64"/>
      <c r="M54" s="97">
        <f t="shared" si="3"/>
        <v>9</v>
      </c>
      <c r="N54" s="63" t="str">
        <f t="shared" si="4"/>
        <v>N/TRANSITA</v>
      </c>
      <c r="O54" s="98"/>
      <c r="P54" s="99"/>
      <c r="Q54" s="64"/>
      <c r="R54" s="97">
        <f t="shared" si="5"/>
        <v>0</v>
      </c>
      <c r="S54" s="41">
        <f t="shared" si="14"/>
        <v>4.666666666666667</v>
      </c>
      <c r="T54" s="81" t="str">
        <f t="shared" si="6"/>
        <v>N/TRANSITA</v>
      </c>
    </row>
    <row r="55" spans="2:20" ht="14.25" customHeight="1" x14ac:dyDescent="0.3">
      <c r="B55" s="33">
        <v>47</v>
      </c>
      <c r="C55" s="127" t="s">
        <v>141</v>
      </c>
      <c r="D55" s="60"/>
      <c r="E55" s="85"/>
      <c r="F55" s="86"/>
      <c r="G55" s="86"/>
      <c r="H55" s="97">
        <f t="shared" si="1"/>
        <v>0</v>
      </c>
      <c r="I55" s="63" t="str">
        <f t="shared" si="2"/>
        <v>N/TRANSITA</v>
      </c>
      <c r="J55" s="98"/>
      <c r="K55" s="99">
        <v>6</v>
      </c>
      <c r="L55" s="64"/>
      <c r="M55" s="97">
        <f t="shared" ref="M55:M56" si="22">AVERAGE(J55,MAX(K55:L55))</f>
        <v>6</v>
      </c>
      <c r="N55" s="63" t="str">
        <f t="shared" ref="N55:N56" si="23">IF(M55&gt;=10,"TRANSITA","N/TRANSITA")</f>
        <v>N/TRANSITA</v>
      </c>
      <c r="O55" s="98"/>
      <c r="P55" s="99"/>
      <c r="Q55" s="64"/>
      <c r="R55" s="97">
        <f t="shared" ref="R55:R56" si="24">AVERAGE(O55,MAX(P55:Q55))</f>
        <v>0</v>
      </c>
      <c r="S55" s="41">
        <f t="shared" ref="S55:S56" si="25">SUM(H55,M55,R55)/3</f>
        <v>2</v>
      </c>
      <c r="T55" s="81" t="str">
        <f t="shared" ref="T55:T56" si="26">IF(S55&gt;=10,"TRANSITA","N/TRANSITA")</f>
        <v>N/TRANSITA</v>
      </c>
    </row>
    <row r="56" spans="2:20" ht="14.25" customHeight="1" x14ac:dyDescent="0.3">
      <c r="B56" s="33">
        <v>48</v>
      </c>
      <c r="C56" s="127" t="s">
        <v>113</v>
      </c>
      <c r="D56" s="60"/>
      <c r="E56" s="85"/>
      <c r="F56" s="86"/>
      <c r="G56" s="86"/>
      <c r="H56" s="97">
        <f t="shared" si="1"/>
        <v>0</v>
      </c>
      <c r="I56" s="63" t="str">
        <f t="shared" si="2"/>
        <v>N/TRANSITA</v>
      </c>
      <c r="J56" s="98"/>
      <c r="K56" s="99"/>
      <c r="L56" s="64"/>
      <c r="M56" s="97">
        <f t="shared" si="22"/>
        <v>0</v>
      </c>
      <c r="N56" s="63" t="str">
        <f t="shared" si="23"/>
        <v>N/TRANSITA</v>
      </c>
      <c r="O56" s="98"/>
      <c r="P56" s="99"/>
      <c r="Q56" s="64"/>
      <c r="R56" s="97">
        <f t="shared" si="24"/>
        <v>0</v>
      </c>
      <c r="S56" s="41">
        <f t="shared" si="25"/>
        <v>0</v>
      </c>
      <c r="T56" s="81" t="str">
        <f t="shared" si="26"/>
        <v>N/TRANSITA</v>
      </c>
    </row>
    <row r="57" spans="2:20" ht="14.25" customHeight="1" x14ac:dyDescent="0.3">
      <c r="B57" s="33">
        <v>49</v>
      </c>
      <c r="C57" s="127" t="s">
        <v>114</v>
      </c>
      <c r="D57" s="60"/>
      <c r="E57" s="85">
        <v>8</v>
      </c>
      <c r="F57" s="86">
        <v>1</v>
      </c>
      <c r="G57" s="86"/>
      <c r="H57" s="97">
        <f t="shared" si="1"/>
        <v>4.5</v>
      </c>
      <c r="I57" s="63" t="str">
        <f t="shared" si="2"/>
        <v>N/TRANSITA</v>
      </c>
      <c r="J57" s="98"/>
      <c r="K57" s="99">
        <v>0</v>
      </c>
      <c r="L57" s="64"/>
      <c r="M57" s="97">
        <f t="shared" ref="M57:M63" si="27">AVERAGE(J57,MAX(K57:L57))</f>
        <v>0</v>
      </c>
      <c r="N57" s="63" t="str">
        <f t="shared" ref="N57:N63" si="28">IF(M57&gt;=10,"TRANSITA","N/TRANSITA")</f>
        <v>N/TRANSITA</v>
      </c>
      <c r="O57" s="98"/>
      <c r="P57" s="99"/>
      <c r="Q57" s="64"/>
      <c r="R57" s="97">
        <f t="shared" ref="R57:R63" si="29">AVERAGE(O57,MAX(P57:Q57))</f>
        <v>0</v>
      </c>
      <c r="S57" s="41">
        <f t="shared" ref="S57:S63" si="30">SUM(H57,M57,R57)/3</f>
        <v>1.5</v>
      </c>
      <c r="T57" s="81" t="str">
        <f t="shared" ref="T57:T63" si="31">IF(S57&gt;=10,"TRANSITA","N/TRANSITA")</f>
        <v>N/TRANSITA</v>
      </c>
    </row>
    <row r="58" spans="2:20" ht="14.25" customHeight="1" x14ac:dyDescent="0.3">
      <c r="B58" s="33">
        <v>50</v>
      </c>
      <c r="C58" s="127" t="s">
        <v>115</v>
      </c>
      <c r="D58" s="60"/>
      <c r="E58" s="85">
        <v>7</v>
      </c>
      <c r="F58" s="86">
        <v>17</v>
      </c>
      <c r="G58" s="86"/>
      <c r="H58" s="97">
        <f t="shared" si="1"/>
        <v>12</v>
      </c>
      <c r="I58" s="63" t="str">
        <f t="shared" si="2"/>
        <v>TRANSITA</v>
      </c>
      <c r="J58" s="98">
        <v>18</v>
      </c>
      <c r="K58" s="99">
        <v>8</v>
      </c>
      <c r="L58" s="64"/>
      <c r="M58" s="97">
        <f t="shared" si="27"/>
        <v>13</v>
      </c>
      <c r="N58" s="63" t="str">
        <f t="shared" si="28"/>
        <v>TRANSITA</v>
      </c>
      <c r="O58" s="98"/>
      <c r="P58" s="99"/>
      <c r="Q58" s="64"/>
      <c r="R58" s="97">
        <f t="shared" si="29"/>
        <v>0</v>
      </c>
      <c r="S58" s="41">
        <f t="shared" si="30"/>
        <v>8.3333333333333339</v>
      </c>
      <c r="T58" s="81" t="str">
        <f t="shared" si="31"/>
        <v>N/TRANSITA</v>
      </c>
    </row>
    <row r="59" spans="2:20" ht="14.25" customHeight="1" x14ac:dyDescent="0.3">
      <c r="B59" s="33">
        <v>51</v>
      </c>
      <c r="C59" s="127" t="s">
        <v>116</v>
      </c>
      <c r="D59" s="60"/>
      <c r="E59" s="85"/>
      <c r="F59" s="86"/>
      <c r="G59" s="86"/>
      <c r="H59" s="97">
        <f t="shared" si="1"/>
        <v>0</v>
      </c>
      <c r="I59" s="63" t="str">
        <f t="shared" si="2"/>
        <v>N/TRANSITA</v>
      </c>
      <c r="J59" s="98"/>
      <c r="K59" s="99"/>
      <c r="L59" s="64"/>
      <c r="M59" s="97">
        <f t="shared" si="27"/>
        <v>0</v>
      </c>
      <c r="N59" s="63" t="str">
        <f t="shared" si="28"/>
        <v>N/TRANSITA</v>
      </c>
      <c r="O59" s="98"/>
      <c r="P59" s="99"/>
      <c r="Q59" s="64"/>
      <c r="R59" s="97">
        <f t="shared" si="29"/>
        <v>0</v>
      </c>
      <c r="S59" s="41">
        <f t="shared" si="30"/>
        <v>0</v>
      </c>
      <c r="T59" s="81" t="str">
        <f t="shared" si="31"/>
        <v>N/TRANSITA</v>
      </c>
    </row>
    <row r="60" spans="2:20" ht="14.25" customHeight="1" x14ac:dyDescent="0.3">
      <c r="B60" s="33">
        <v>52</v>
      </c>
      <c r="C60" s="127" t="s">
        <v>117</v>
      </c>
      <c r="D60" s="60"/>
      <c r="E60" s="85"/>
      <c r="F60" s="86"/>
      <c r="G60" s="86"/>
      <c r="H60" s="97">
        <f t="shared" si="1"/>
        <v>0</v>
      </c>
      <c r="I60" s="63" t="str">
        <f t="shared" si="2"/>
        <v>N/TRANSITA</v>
      </c>
      <c r="J60" s="98">
        <v>15</v>
      </c>
      <c r="K60" s="99">
        <v>5</v>
      </c>
      <c r="L60" s="64"/>
      <c r="M60" s="97">
        <f t="shared" si="27"/>
        <v>10</v>
      </c>
      <c r="N60" s="63" t="str">
        <f t="shared" si="28"/>
        <v>TRANSITA</v>
      </c>
      <c r="O60" s="98"/>
      <c r="P60" s="99"/>
      <c r="Q60" s="64"/>
      <c r="R60" s="97">
        <f t="shared" si="29"/>
        <v>0</v>
      </c>
      <c r="S60" s="41">
        <f t="shared" si="30"/>
        <v>3.3333333333333335</v>
      </c>
      <c r="T60" s="81" t="str">
        <f t="shared" si="31"/>
        <v>N/TRANSITA</v>
      </c>
    </row>
    <row r="61" spans="2:20" ht="14.25" customHeight="1" x14ac:dyDescent="0.3">
      <c r="B61" s="33">
        <v>53</v>
      </c>
      <c r="C61" s="127" t="s">
        <v>118</v>
      </c>
      <c r="D61" s="60"/>
      <c r="E61" s="85"/>
      <c r="F61" s="86"/>
      <c r="G61" s="86"/>
      <c r="H61" s="97">
        <f t="shared" si="1"/>
        <v>0</v>
      </c>
      <c r="I61" s="63" t="str">
        <f t="shared" si="2"/>
        <v>N/TRANSITA</v>
      </c>
      <c r="J61" s="98"/>
      <c r="K61" s="99"/>
      <c r="L61" s="64"/>
      <c r="M61" s="97">
        <f t="shared" si="27"/>
        <v>0</v>
      </c>
      <c r="N61" s="63" t="str">
        <f t="shared" si="28"/>
        <v>N/TRANSITA</v>
      </c>
      <c r="O61" s="98"/>
      <c r="P61" s="99"/>
      <c r="Q61" s="64"/>
      <c r="R61" s="97">
        <f t="shared" si="29"/>
        <v>0</v>
      </c>
      <c r="S61" s="41">
        <f t="shared" si="30"/>
        <v>0</v>
      </c>
      <c r="T61" s="81" t="str">
        <f t="shared" si="31"/>
        <v>N/TRANSITA</v>
      </c>
    </row>
    <row r="62" spans="2:20" ht="14.25" customHeight="1" x14ac:dyDescent="0.3">
      <c r="B62" s="33">
        <v>54</v>
      </c>
      <c r="C62" s="128" t="s">
        <v>119</v>
      </c>
      <c r="D62" s="60"/>
      <c r="E62" s="85">
        <v>8</v>
      </c>
      <c r="F62" s="86">
        <v>0</v>
      </c>
      <c r="G62" s="86"/>
      <c r="H62" s="97">
        <f t="shared" si="1"/>
        <v>4</v>
      </c>
      <c r="I62" s="63" t="str">
        <f t="shared" si="2"/>
        <v>N/TRANSITA</v>
      </c>
      <c r="J62" s="98"/>
      <c r="K62" s="99"/>
      <c r="L62" s="64"/>
      <c r="M62" s="97">
        <f t="shared" si="27"/>
        <v>0</v>
      </c>
      <c r="N62" s="63" t="str">
        <f t="shared" si="28"/>
        <v>N/TRANSITA</v>
      </c>
      <c r="O62" s="98"/>
      <c r="P62" s="99"/>
      <c r="Q62" s="64"/>
      <c r="R62" s="97">
        <f t="shared" si="29"/>
        <v>0</v>
      </c>
      <c r="S62" s="41">
        <f t="shared" si="30"/>
        <v>1.3333333333333333</v>
      </c>
      <c r="T62" s="81" t="str">
        <f t="shared" si="31"/>
        <v>N/TRANSITA</v>
      </c>
    </row>
    <row r="63" spans="2:20" ht="14.25" customHeight="1" x14ac:dyDescent="0.3">
      <c r="B63" s="33">
        <v>55</v>
      </c>
      <c r="C63" s="127" t="s">
        <v>120</v>
      </c>
      <c r="D63" s="60"/>
      <c r="E63" s="85">
        <v>15</v>
      </c>
      <c r="F63" s="86">
        <v>15</v>
      </c>
      <c r="G63" s="86"/>
      <c r="H63" s="97">
        <f t="shared" si="1"/>
        <v>15</v>
      </c>
      <c r="I63" s="63" t="str">
        <f t="shared" si="2"/>
        <v>TRANSITA</v>
      </c>
      <c r="J63" s="98">
        <v>12</v>
      </c>
      <c r="K63" s="99">
        <v>5</v>
      </c>
      <c r="L63" s="64"/>
      <c r="M63" s="97">
        <f t="shared" si="27"/>
        <v>8.5</v>
      </c>
      <c r="N63" s="63" t="str">
        <f t="shared" si="28"/>
        <v>N/TRANSITA</v>
      </c>
      <c r="O63" s="98"/>
      <c r="P63" s="99"/>
      <c r="Q63" s="64"/>
      <c r="R63" s="97">
        <f t="shared" si="29"/>
        <v>0</v>
      </c>
      <c r="S63" s="41">
        <f t="shared" si="30"/>
        <v>7.833333333333333</v>
      </c>
      <c r="T63" s="81" t="str">
        <f t="shared" si="31"/>
        <v>N/TRANSITA</v>
      </c>
    </row>
    <row r="64" spans="2:20" ht="14.25" customHeight="1" x14ac:dyDescent="0.3">
      <c r="B64" s="33">
        <v>56</v>
      </c>
      <c r="C64" s="127" t="s">
        <v>121</v>
      </c>
      <c r="D64" s="60"/>
      <c r="E64" s="85">
        <v>6</v>
      </c>
      <c r="F64" s="86">
        <v>9</v>
      </c>
      <c r="G64" s="86"/>
      <c r="H64" s="97">
        <f t="shared" si="1"/>
        <v>7.5</v>
      </c>
      <c r="I64" s="63" t="str">
        <f t="shared" si="2"/>
        <v>N/TRANSITA</v>
      </c>
      <c r="J64" s="98"/>
      <c r="K64" s="99">
        <v>8</v>
      </c>
      <c r="L64" s="64"/>
      <c r="M64" s="97">
        <f t="shared" si="3"/>
        <v>8</v>
      </c>
      <c r="N64" s="63" t="str">
        <f t="shared" si="4"/>
        <v>N/TRANSITA</v>
      </c>
      <c r="O64" s="98"/>
      <c r="P64" s="99"/>
      <c r="Q64" s="64"/>
      <c r="R64" s="97">
        <f t="shared" si="5"/>
        <v>0</v>
      </c>
      <c r="S64" s="41">
        <f t="shared" si="14"/>
        <v>5.166666666666667</v>
      </c>
      <c r="T64" s="81" t="str">
        <f t="shared" si="6"/>
        <v>N/TRANSITA</v>
      </c>
    </row>
    <row r="65" spans="1:20" ht="14.25" customHeight="1" x14ac:dyDescent="0.3">
      <c r="B65" s="33">
        <v>57</v>
      </c>
      <c r="C65" s="127" t="s">
        <v>122</v>
      </c>
      <c r="D65" s="61"/>
      <c r="E65" s="85"/>
      <c r="F65" s="86"/>
      <c r="G65" s="86"/>
      <c r="H65" s="97">
        <f t="shared" si="1"/>
        <v>0</v>
      </c>
      <c r="I65" s="63" t="str">
        <f t="shared" si="2"/>
        <v>N/TRANSITA</v>
      </c>
      <c r="J65" s="98"/>
      <c r="K65" s="99"/>
      <c r="L65" s="64"/>
      <c r="M65" s="97">
        <f t="shared" si="3"/>
        <v>0</v>
      </c>
      <c r="N65" s="63" t="str">
        <f t="shared" si="4"/>
        <v>N/TRANSITA</v>
      </c>
      <c r="O65" s="98"/>
      <c r="P65" s="99"/>
      <c r="Q65" s="64"/>
      <c r="R65" s="97">
        <f t="shared" si="5"/>
        <v>0</v>
      </c>
      <c r="S65" s="41">
        <f t="shared" si="14"/>
        <v>0</v>
      </c>
      <c r="T65" s="81" t="str">
        <f t="shared" si="6"/>
        <v>N/TRANSITA</v>
      </c>
    </row>
    <row r="66" spans="1:20" ht="14.25" customHeight="1" x14ac:dyDescent="0.3">
      <c r="B66" s="33">
        <v>58</v>
      </c>
      <c r="C66" s="127" t="s">
        <v>123</v>
      </c>
      <c r="D66" s="60"/>
      <c r="E66" s="85">
        <v>6</v>
      </c>
      <c r="F66" s="86">
        <v>11</v>
      </c>
      <c r="G66" s="86"/>
      <c r="H66" s="97">
        <f t="shared" si="1"/>
        <v>8.5</v>
      </c>
      <c r="I66" s="63" t="str">
        <f t="shared" si="2"/>
        <v>N/TRANSITA</v>
      </c>
      <c r="J66" s="98">
        <v>14</v>
      </c>
      <c r="K66" s="99">
        <v>6</v>
      </c>
      <c r="L66" s="64"/>
      <c r="M66" s="97">
        <f t="shared" si="3"/>
        <v>10</v>
      </c>
      <c r="N66" s="63" t="str">
        <f t="shared" si="4"/>
        <v>TRANSITA</v>
      </c>
      <c r="O66" s="98"/>
      <c r="P66" s="99"/>
      <c r="Q66" s="64"/>
      <c r="R66" s="97">
        <f t="shared" si="5"/>
        <v>0</v>
      </c>
      <c r="S66" s="41">
        <f t="shared" si="14"/>
        <v>6.166666666666667</v>
      </c>
      <c r="T66" s="81" t="str">
        <f t="shared" si="6"/>
        <v>N/TRANSITA</v>
      </c>
    </row>
    <row r="67" spans="1:20" ht="14.25" customHeight="1" x14ac:dyDescent="0.3">
      <c r="B67" s="33">
        <v>59</v>
      </c>
      <c r="C67" s="127" t="s">
        <v>124</v>
      </c>
      <c r="D67" s="60"/>
      <c r="E67" s="85">
        <v>13</v>
      </c>
      <c r="F67" s="86">
        <v>13</v>
      </c>
      <c r="G67" s="86"/>
      <c r="H67" s="97">
        <f t="shared" si="1"/>
        <v>13</v>
      </c>
      <c r="I67" s="63" t="str">
        <f t="shared" si="2"/>
        <v>TRANSITA</v>
      </c>
      <c r="J67" s="98">
        <v>14</v>
      </c>
      <c r="K67" s="99">
        <v>8</v>
      </c>
      <c r="L67" s="64"/>
      <c r="M67" s="97">
        <f t="shared" si="3"/>
        <v>11</v>
      </c>
      <c r="N67" s="63" t="str">
        <f t="shared" si="4"/>
        <v>TRANSITA</v>
      </c>
      <c r="O67" s="98"/>
      <c r="P67" s="99"/>
      <c r="Q67" s="64"/>
      <c r="R67" s="97">
        <f t="shared" si="5"/>
        <v>0</v>
      </c>
      <c r="S67" s="41">
        <f t="shared" si="14"/>
        <v>8</v>
      </c>
      <c r="T67" s="81" t="str">
        <f t="shared" si="6"/>
        <v>N/TRANSITA</v>
      </c>
    </row>
    <row r="68" spans="1:20" ht="14.25" customHeight="1" x14ac:dyDescent="0.3">
      <c r="B68" s="33">
        <v>60</v>
      </c>
      <c r="C68" s="128" t="s">
        <v>125</v>
      </c>
      <c r="D68" s="60"/>
      <c r="E68" s="85">
        <v>5</v>
      </c>
      <c r="F68" s="86">
        <v>6</v>
      </c>
      <c r="G68" s="86"/>
      <c r="H68" s="97">
        <f t="shared" si="1"/>
        <v>5.5</v>
      </c>
      <c r="I68" s="63" t="str">
        <f t="shared" si="2"/>
        <v>N/TRANSITA</v>
      </c>
      <c r="J68" s="98">
        <v>14</v>
      </c>
      <c r="K68" s="99">
        <v>5</v>
      </c>
      <c r="L68" s="64"/>
      <c r="M68" s="97">
        <f t="shared" si="3"/>
        <v>9.5</v>
      </c>
      <c r="N68" s="63" t="str">
        <f t="shared" si="4"/>
        <v>N/TRANSITA</v>
      </c>
      <c r="O68" s="98"/>
      <c r="P68" s="99"/>
      <c r="Q68" s="64"/>
      <c r="R68" s="97">
        <f t="shared" si="5"/>
        <v>0</v>
      </c>
      <c r="S68" s="41">
        <f t="shared" si="14"/>
        <v>5</v>
      </c>
      <c r="T68" s="81" t="str">
        <f t="shared" si="6"/>
        <v>N/TRANSITA</v>
      </c>
    </row>
    <row r="69" spans="1:20" ht="14.25" customHeight="1" x14ac:dyDescent="0.3">
      <c r="B69" s="33">
        <v>61</v>
      </c>
      <c r="C69" s="127" t="s">
        <v>126</v>
      </c>
      <c r="D69" s="60"/>
      <c r="E69" s="85"/>
      <c r="F69" s="86"/>
      <c r="G69" s="86"/>
      <c r="H69" s="97">
        <f t="shared" si="1"/>
        <v>0</v>
      </c>
      <c r="I69" s="63" t="str">
        <f t="shared" si="2"/>
        <v>N/TRANSITA</v>
      </c>
      <c r="J69" s="98"/>
      <c r="K69" s="99"/>
      <c r="L69" s="64"/>
      <c r="M69" s="97">
        <f t="shared" si="3"/>
        <v>0</v>
      </c>
      <c r="N69" s="63" t="str">
        <f t="shared" si="4"/>
        <v>N/TRANSITA</v>
      </c>
      <c r="O69" s="98"/>
      <c r="P69" s="99"/>
      <c r="Q69" s="64"/>
      <c r="R69" s="97">
        <f t="shared" si="5"/>
        <v>0</v>
      </c>
      <c r="S69" s="41">
        <f t="shared" si="14"/>
        <v>0</v>
      </c>
      <c r="T69" s="81" t="str">
        <f t="shared" si="6"/>
        <v>N/TRANSITA</v>
      </c>
    </row>
    <row r="70" spans="1:20" ht="14.25" customHeight="1" x14ac:dyDescent="0.3">
      <c r="B70" s="33">
        <v>62</v>
      </c>
      <c r="C70" s="127" t="s">
        <v>127</v>
      </c>
      <c r="D70" s="60"/>
      <c r="E70" s="85">
        <v>8</v>
      </c>
      <c r="F70" s="170">
        <v>0</v>
      </c>
      <c r="G70" s="86"/>
      <c r="H70" s="97">
        <f t="shared" si="1"/>
        <v>4</v>
      </c>
      <c r="I70" s="63" t="str">
        <f t="shared" si="2"/>
        <v>N/TRANSITA</v>
      </c>
      <c r="J70" s="98"/>
      <c r="K70" s="99"/>
      <c r="L70" s="64"/>
      <c r="M70" s="97">
        <f t="shared" si="3"/>
        <v>0</v>
      </c>
      <c r="N70" s="63" t="str">
        <f t="shared" si="4"/>
        <v>N/TRANSITA</v>
      </c>
      <c r="O70" s="98"/>
      <c r="P70" s="99"/>
      <c r="Q70" s="64"/>
      <c r="R70" s="97">
        <f t="shared" si="5"/>
        <v>0</v>
      </c>
      <c r="S70" s="41">
        <f t="shared" si="14"/>
        <v>1.3333333333333333</v>
      </c>
      <c r="T70" s="81" t="str">
        <f t="shared" si="6"/>
        <v>N/TRANSITA</v>
      </c>
    </row>
    <row r="71" spans="1:20" ht="14.25" customHeight="1" thickBot="1" x14ac:dyDescent="0.35">
      <c r="B71" s="33">
        <v>63</v>
      </c>
      <c r="C71" s="129" t="s">
        <v>128</v>
      </c>
      <c r="D71" s="62"/>
      <c r="E71" s="87">
        <v>17</v>
      </c>
      <c r="F71" s="88">
        <v>16</v>
      </c>
      <c r="G71" s="88"/>
      <c r="H71" s="163">
        <f t="shared" si="1"/>
        <v>16.5</v>
      </c>
      <c r="I71" s="75" t="str">
        <f t="shared" si="2"/>
        <v>TRANSITA</v>
      </c>
      <c r="J71" s="100"/>
      <c r="K71" s="101"/>
      <c r="L71" s="67"/>
      <c r="M71" s="163">
        <f t="shared" si="3"/>
        <v>0</v>
      </c>
      <c r="N71" s="75" t="str">
        <f t="shared" si="4"/>
        <v>N/TRANSITA</v>
      </c>
      <c r="O71" s="100"/>
      <c r="P71" s="101"/>
      <c r="Q71" s="67"/>
      <c r="R71" s="163">
        <f t="shared" si="5"/>
        <v>0</v>
      </c>
      <c r="S71" s="42">
        <f t="shared" si="14"/>
        <v>5.5</v>
      </c>
      <c r="T71" s="82" t="str">
        <f t="shared" si="6"/>
        <v>N/TRANSITA</v>
      </c>
    </row>
    <row r="72" spans="1:20" ht="93.75" customHeight="1" thickTop="1" x14ac:dyDescent="0.3">
      <c r="B72" s="19"/>
      <c r="C72" s="19"/>
      <c r="D72" s="19"/>
      <c r="E72" s="19"/>
      <c r="F72" s="19"/>
      <c r="G72" s="19"/>
      <c r="H72" s="19"/>
      <c r="I72" s="19"/>
      <c r="J72" s="19"/>
      <c r="O72" s="19"/>
      <c r="P72" s="19"/>
      <c r="Q72" s="19"/>
      <c r="R72" s="19"/>
      <c r="S72" s="19"/>
      <c r="T72" s="19"/>
    </row>
    <row r="73" spans="1:20" ht="20.25" customHeight="1" x14ac:dyDescent="0.45">
      <c r="A73" s="20"/>
      <c r="B73" s="20"/>
      <c r="C73" s="20"/>
      <c r="D73" s="20"/>
      <c r="E73" s="20"/>
      <c r="F73" s="20"/>
      <c r="G73" s="20"/>
      <c r="H73" s="20"/>
      <c r="I73" s="20"/>
      <c r="J73" s="20"/>
      <c r="O73" s="20"/>
      <c r="P73" s="21"/>
      <c r="Q73" s="21"/>
      <c r="R73" s="21"/>
      <c r="S73" s="20"/>
      <c r="T73" s="20"/>
    </row>
    <row r="74" spans="1:20" ht="15.6" x14ac:dyDescent="0.3">
      <c r="A74" s="253" t="s">
        <v>56</v>
      </c>
      <c r="B74" s="253"/>
      <c r="C74" s="253"/>
      <c r="D74" s="253"/>
      <c r="E74" s="253"/>
      <c r="F74" s="22"/>
      <c r="G74" s="22"/>
      <c r="H74" s="22"/>
      <c r="I74" s="22"/>
      <c r="J74" s="22"/>
      <c r="K74" s="23"/>
      <c r="L74" s="23"/>
      <c r="M74" s="23"/>
      <c r="N74" s="23"/>
      <c r="O74" s="253" t="s">
        <v>9</v>
      </c>
      <c r="P74" s="253"/>
      <c r="Q74" s="253"/>
      <c r="R74" s="253"/>
      <c r="S74" s="253"/>
      <c r="T74" s="253"/>
    </row>
    <row r="75" spans="1:20" ht="15.6" x14ac:dyDescent="0.3">
      <c r="A75" s="254" t="s">
        <v>22</v>
      </c>
      <c r="B75" s="254"/>
      <c r="C75" s="254"/>
      <c r="D75" s="254"/>
      <c r="E75" s="254"/>
      <c r="F75" s="24"/>
      <c r="G75" s="24"/>
      <c r="H75" s="24"/>
      <c r="I75" s="24"/>
      <c r="J75" s="24"/>
      <c r="O75" s="255" t="s">
        <v>23</v>
      </c>
      <c r="P75" s="255"/>
      <c r="Q75" s="255"/>
      <c r="R75" s="255"/>
      <c r="S75" s="255"/>
      <c r="T75" s="255"/>
    </row>
    <row r="76" spans="1:20" x14ac:dyDescent="0.3">
      <c r="A76" s="247"/>
      <c r="B76" s="247"/>
      <c r="C76" s="247"/>
      <c r="D76" s="247"/>
      <c r="E76" s="247"/>
      <c r="O76" s="247" t="s">
        <v>24</v>
      </c>
      <c r="P76" s="247"/>
      <c r="Q76" s="247"/>
      <c r="R76" s="247"/>
      <c r="S76" s="247"/>
      <c r="T76" s="247"/>
    </row>
  </sheetData>
  <mergeCells count="22">
    <mergeCell ref="A76:E76"/>
    <mergeCell ref="O76:T76"/>
    <mergeCell ref="S7:S8"/>
    <mergeCell ref="T7:T8"/>
    <mergeCell ref="A74:E74"/>
    <mergeCell ref="O74:T74"/>
    <mergeCell ref="A75:E75"/>
    <mergeCell ref="O75:T75"/>
    <mergeCell ref="B7:B8"/>
    <mergeCell ref="C7:C8"/>
    <mergeCell ref="E7:H7"/>
    <mergeCell ref="J7:M7"/>
    <mergeCell ref="O7:R7"/>
    <mergeCell ref="I7:I8"/>
    <mergeCell ref="N7:N8"/>
    <mergeCell ref="B6:T6"/>
    <mergeCell ref="B5:C5"/>
    <mergeCell ref="A1:T1"/>
    <mergeCell ref="B3:R3"/>
    <mergeCell ref="B4:C4"/>
    <mergeCell ref="P4:T4"/>
    <mergeCell ref="N5:T5"/>
  </mergeCells>
  <conditionalFormatting sqref="S9:S71">
    <cfRule type="cellIs" dxfId="225" priority="137" stopIfTrue="1" operator="greaterThan">
      <formula>9.5</formula>
    </cfRule>
    <cfRule type="cellIs" dxfId="224" priority="138" stopIfTrue="1" operator="lessThanOrEqual">
      <formula>9.5</formula>
    </cfRule>
  </conditionalFormatting>
  <conditionalFormatting sqref="L9:L71 Q9:Q71">
    <cfRule type="cellIs" dxfId="223" priority="47" stopIfTrue="1" operator="lessThan">
      <formula>10</formula>
    </cfRule>
    <cfRule type="cellIs" dxfId="222" priority="48" stopIfTrue="1" operator="greaterThan">
      <formula>9</formula>
    </cfRule>
    <cfRule type="cellIs" dxfId="221" priority="49" stopIfTrue="1" operator="lessThan">
      <formula>10</formula>
    </cfRule>
    <cfRule type="cellIs" dxfId="220" priority="50" stopIfTrue="1" operator="greaterThan">
      <formula>9</formula>
    </cfRule>
  </conditionalFormatting>
  <conditionalFormatting sqref="O9:P71">
    <cfRule type="cellIs" dxfId="219" priority="25" stopIfTrue="1" operator="greaterThan">
      <formula>9</formula>
    </cfRule>
    <cfRule type="cellIs" dxfId="218" priority="26" stopIfTrue="1" operator="lessThan">
      <formula>10</formula>
    </cfRule>
    <cfRule type="cellIs" dxfId="217" priority="27" stopIfTrue="1" operator="greaterThan">
      <formula>9</formula>
    </cfRule>
  </conditionalFormatting>
  <conditionalFormatting sqref="O9:P71 M9:M71 R9:R71">
    <cfRule type="cellIs" dxfId="216" priority="24" stopIfTrue="1" operator="lessThan">
      <formula>10</formula>
    </cfRule>
  </conditionalFormatting>
  <conditionalFormatting sqref="M9:M71 R9:R71">
    <cfRule type="cellIs" dxfId="215" priority="34" stopIfTrue="1" operator="greaterThanOrEqual">
      <formula>10</formula>
    </cfRule>
  </conditionalFormatting>
  <conditionalFormatting sqref="G9:G71 J9:K71">
    <cfRule type="cellIs" dxfId="214" priority="6" stopIfTrue="1" operator="greaterThan">
      <formula>9</formula>
    </cfRule>
    <cfRule type="cellIs" dxfId="213" priority="7" stopIfTrue="1" operator="lessThan">
      <formula>10</formula>
    </cfRule>
    <cfRule type="cellIs" dxfId="212" priority="8" stopIfTrue="1" operator="greaterThan">
      <formula>9</formula>
    </cfRule>
  </conditionalFormatting>
  <conditionalFormatting sqref="J9:K71 G9:H71">
    <cfRule type="cellIs" dxfId="211" priority="5" stopIfTrue="1" operator="lessThan">
      <formula>10</formula>
    </cfRule>
  </conditionalFormatting>
  <conditionalFormatting sqref="H9:H71">
    <cfRule type="cellIs" dxfId="210" priority="9" stopIfTrue="1" operator="greaterThanOrEqual">
      <formula>10</formula>
    </cfRule>
  </conditionalFormatting>
  <conditionalFormatting sqref="E9:F71">
    <cfRule type="cellIs" dxfId="209" priority="2" stopIfTrue="1" operator="greaterThan">
      <formula>9</formula>
    </cfRule>
    <cfRule type="cellIs" dxfId="208" priority="3" stopIfTrue="1" operator="lessThan">
      <formula>10</formula>
    </cfRule>
    <cfRule type="cellIs" dxfId="207" priority="4" stopIfTrue="1" operator="greaterThan">
      <formula>9</formula>
    </cfRule>
  </conditionalFormatting>
  <conditionalFormatting sqref="E9:F71">
    <cfRule type="cellIs" dxfId="206" priority="1" stopIfTrue="1" operator="lessThan">
      <formula>10</formula>
    </cfRule>
  </conditionalFormatting>
  <dataValidations count="1">
    <dataValidation type="decimal" allowBlank="1" showInputMessage="1" showErrorMessage="1" errorTitle="ATENÇÃO!" error="O valor introduzido não é válido. Grato!" sqref="J9:L71 O9:Q71 E9:G71">
      <formula1>0</formula1>
      <formula2>20</formula2>
    </dataValidation>
  </dataValidations>
  <pageMargins left="0.15748031496062992" right="0.51181102362204722" top="0.15748031496062992" bottom="0.15748031496062992" header="0.31496062992125984" footer="0.15748031496062992"/>
  <pageSetup paperSize="9" scale="95" orientation="portrait" verticalDpi="4294967293" r:id="rId1"/>
  <drawing r:id="rId2"/>
  <legacyDrawing r:id="rId3"/>
  <oleObjects>
    <mc:AlternateContent xmlns:mc="http://schemas.openxmlformats.org/markup-compatibility/2006">
      <mc:Choice Requires="x14">
        <oleObject progId="Word.Document.8" shapeId="11265" r:id="rId4">
          <objectPr defaultSize="0" r:id="rId5">
            <anchor moveWithCells="1">
              <from>
                <xdr:col>1</xdr:col>
                <xdr:colOff>60960</xdr:colOff>
                <xdr:row>71</xdr:row>
                <xdr:rowOff>160020</xdr:rowOff>
              </from>
              <to>
                <xdr:col>13</xdr:col>
                <xdr:colOff>175260</xdr:colOff>
                <xdr:row>73</xdr:row>
                <xdr:rowOff>22860</xdr:rowOff>
              </to>
            </anchor>
          </objectPr>
        </oleObject>
      </mc:Choice>
      <mc:Fallback>
        <oleObject progId="Word.Document.8" shapeId="11265" r:id="rId4"/>
      </mc:Fallback>
    </mc:AlternateContent>
  </oleObjec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7" stopIfTrue="1" operator="containsText" id="{A02C03E8-823C-465D-9D2D-C414C61A59E6}">
            <xm:f>NOT(ISERROR(SEARCH("N/TRANSITA",N9)))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58" stopIfTrue="1" operator="containsText" id="{9863FC00-E7B5-43F0-886E-117C349CB645}">
            <xm:f>NOT(ISERROR(SEARCH("TRANSITA",N9)))</xm:f>
            <xm:f>"TRANSITA"</xm:f>
            <x14:dxf>
              <font>
                <b/>
                <i val="0"/>
                <color rgb="FF0000FF"/>
              </font>
            </x14:dxf>
          </x14:cfRule>
          <xm:sqref>N9:N71 T9:T71</xm:sqref>
        </x14:conditionalFormatting>
        <x14:conditionalFormatting xmlns:xm="http://schemas.microsoft.com/office/excel/2006/main">
          <x14:cfRule type="containsText" priority="10" stopIfTrue="1" operator="containsText" id="{3AF8B3AD-3C62-453A-9CE2-7D4FF1DF153A}">
            <xm:f>NOT(ISERROR(SEARCH("N/TRANSITA",I9)))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11" stopIfTrue="1" operator="containsText" id="{398ED9A1-82D5-4550-972B-BF564E837C52}">
            <xm:f>NOT(ISERROR(SEARCH("TRANSITA",I9)))</xm:f>
            <xm:f>"TRANSITA"</xm:f>
            <x14:dxf>
              <font>
                <b/>
                <i val="0"/>
                <color rgb="FF0000FF"/>
              </font>
            </x14:dxf>
          </x14:cfRule>
          <xm:sqref>I9:I71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W76"/>
  <sheetViews>
    <sheetView showGridLines="0" topLeftCell="C28" zoomScale="115" zoomScaleNormal="115" zoomScalePageLayoutView="85" workbookViewId="0">
      <selection activeCell="G16" sqref="G16"/>
    </sheetView>
  </sheetViews>
  <sheetFormatPr defaultRowHeight="14.4" x14ac:dyDescent="0.3"/>
  <cols>
    <col min="1" max="1" width="1.6640625" customWidth="1"/>
    <col min="2" max="2" width="3.6640625" customWidth="1"/>
    <col min="3" max="3" width="35.109375" customWidth="1"/>
    <col min="4" max="4" width="6.44140625" customWidth="1"/>
    <col min="5" max="8" width="5.109375" customWidth="1"/>
    <col min="9" max="9" width="11.109375" customWidth="1"/>
    <col min="10" max="13" width="5.109375" customWidth="1"/>
    <col min="14" max="14" width="11.109375" customWidth="1"/>
    <col min="15" max="18" width="5.109375" customWidth="1"/>
    <col min="19" max="19" width="6" customWidth="1"/>
    <col min="20" max="20" width="11.5546875" customWidth="1"/>
    <col min="21" max="21" width="3.44140625" customWidth="1"/>
    <col min="22" max="22" width="5" customWidth="1"/>
  </cols>
  <sheetData>
    <row r="1" spans="1:23" ht="30" customHeight="1" x14ac:dyDescent="0.3">
      <c r="A1" s="246" t="s">
        <v>47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</row>
    <row r="2" spans="1:23" ht="30" customHeight="1" x14ac:dyDescent="0.3"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23" ht="12" customHeight="1" x14ac:dyDescent="0.3">
      <c r="B3" s="247"/>
      <c r="C3" s="247"/>
      <c r="D3" s="247"/>
      <c r="E3" s="247"/>
      <c r="F3" s="247"/>
      <c r="G3" s="247"/>
      <c r="H3" s="247"/>
      <c r="I3" s="247"/>
      <c r="J3" s="247"/>
      <c r="K3" s="247"/>
      <c r="L3" s="247"/>
      <c r="M3" s="247"/>
      <c r="N3" s="247"/>
      <c r="O3" s="247"/>
      <c r="P3" s="247"/>
      <c r="Q3" s="247"/>
      <c r="R3" s="247"/>
    </row>
    <row r="4" spans="1:23" ht="17.399999999999999" customHeight="1" x14ac:dyDescent="0.3">
      <c r="B4" s="248" t="s">
        <v>68</v>
      </c>
      <c r="C4" s="248"/>
      <c r="D4" s="31"/>
      <c r="F4" s="76"/>
      <c r="G4" s="76"/>
      <c r="I4" s="76" t="s">
        <v>27</v>
      </c>
      <c r="J4" s="76"/>
      <c r="K4" s="76"/>
      <c r="L4" s="76"/>
      <c r="M4" s="76"/>
      <c r="N4" s="31"/>
      <c r="P4" s="250" t="s">
        <v>61</v>
      </c>
      <c r="Q4" s="250"/>
      <c r="R4" s="250"/>
      <c r="S4" s="250"/>
      <c r="T4" s="250"/>
    </row>
    <row r="5" spans="1:23" ht="18" customHeight="1" x14ac:dyDescent="0.3">
      <c r="B5" s="248" t="s">
        <v>51</v>
      </c>
      <c r="C5" s="248"/>
      <c r="D5" s="31"/>
      <c r="E5" s="77" t="s">
        <v>58</v>
      </c>
      <c r="F5" s="77"/>
      <c r="I5" s="77" t="s">
        <v>67</v>
      </c>
      <c r="J5" s="77"/>
      <c r="K5" s="77"/>
      <c r="N5" s="249" t="s">
        <v>66</v>
      </c>
      <c r="O5" s="249"/>
      <c r="P5" s="249"/>
      <c r="Q5" s="249"/>
      <c r="R5" s="249"/>
      <c r="S5" s="249"/>
      <c r="T5" s="249"/>
    </row>
    <row r="6" spans="1:23" ht="34.5" customHeight="1" thickBot="1" x14ac:dyDescent="1.05">
      <c r="B6" s="263" t="s">
        <v>45</v>
      </c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5"/>
    </row>
    <row r="7" spans="1:23" ht="19.5" customHeight="1" thickTop="1" x14ac:dyDescent="0.3">
      <c r="B7" s="256" t="s">
        <v>39</v>
      </c>
      <c r="C7" s="258" t="s">
        <v>14</v>
      </c>
      <c r="D7" s="43" t="s">
        <v>43</v>
      </c>
      <c r="E7" s="260" t="s">
        <v>40</v>
      </c>
      <c r="F7" s="261"/>
      <c r="G7" s="261"/>
      <c r="H7" s="262"/>
      <c r="I7" s="244" t="s">
        <v>16</v>
      </c>
      <c r="J7" s="260" t="s">
        <v>41</v>
      </c>
      <c r="K7" s="261"/>
      <c r="L7" s="261"/>
      <c r="M7" s="262"/>
      <c r="N7" s="244" t="s">
        <v>16</v>
      </c>
      <c r="O7" s="260" t="s">
        <v>42</v>
      </c>
      <c r="P7" s="261"/>
      <c r="Q7" s="261"/>
      <c r="R7" s="262"/>
      <c r="S7" s="251" t="s">
        <v>15</v>
      </c>
      <c r="T7" s="244" t="s">
        <v>16</v>
      </c>
    </row>
    <row r="8" spans="1:23" ht="20.25" customHeight="1" thickBot="1" x14ac:dyDescent="0.35">
      <c r="B8" s="257"/>
      <c r="C8" s="259"/>
      <c r="D8" s="44" t="s">
        <v>44</v>
      </c>
      <c r="E8" s="36" t="s">
        <v>17</v>
      </c>
      <c r="F8" s="35" t="s">
        <v>18</v>
      </c>
      <c r="G8" s="35" t="s">
        <v>38</v>
      </c>
      <c r="H8" s="37" t="s">
        <v>19</v>
      </c>
      <c r="I8" s="245"/>
      <c r="J8" s="36" t="s">
        <v>17</v>
      </c>
      <c r="K8" s="35" t="s">
        <v>18</v>
      </c>
      <c r="L8" s="35" t="s">
        <v>38</v>
      </c>
      <c r="M8" s="37" t="s">
        <v>20</v>
      </c>
      <c r="N8" s="245"/>
      <c r="O8" s="36" t="s">
        <v>17</v>
      </c>
      <c r="P8" s="35" t="s">
        <v>18</v>
      </c>
      <c r="Q8" s="35" t="s">
        <v>38</v>
      </c>
      <c r="R8" s="37" t="s">
        <v>21</v>
      </c>
      <c r="S8" s="252"/>
      <c r="T8" s="245"/>
    </row>
    <row r="9" spans="1:23" ht="14.25" customHeight="1" thickTop="1" x14ac:dyDescent="0.3">
      <c r="B9" s="135">
        <v>1</v>
      </c>
      <c r="C9" s="126" t="s">
        <v>69</v>
      </c>
      <c r="D9" s="136"/>
      <c r="E9" s="157">
        <v>16</v>
      </c>
      <c r="F9" s="158">
        <v>3</v>
      </c>
      <c r="G9" s="158">
        <v>10</v>
      </c>
      <c r="H9" s="150">
        <f>AVERAGE(E9,MAX(F9:G9))</f>
        <v>13</v>
      </c>
      <c r="I9" s="151" t="str">
        <f>IF(H9&gt;=10,"TRANSITA","N/TRANSITA")</f>
        <v>TRANSITA</v>
      </c>
      <c r="J9" s="152">
        <v>13</v>
      </c>
      <c r="K9" s="160">
        <v>13</v>
      </c>
      <c r="L9" s="161"/>
      <c r="M9" s="150">
        <f>AVERAGE(J9,MAX(K9:L9))</f>
        <v>13</v>
      </c>
      <c r="N9" s="151" t="str">
        <f>IF(M9&gt;=10,"TRANSITA","N/TRANSITA")</f>
        <v>TRANSITA</v>
      </c>
      <c r="O9" s="152"/>
      <c r="P9" s="160"/>
      <c r="Q9" s="161"/>
      <c r="R9" s="150">
        <f>AVERAGE(O9,MAX(P9:Q9))</f>
        <v>0</v>
      </c>
      <c r="S9" s="155">
        <f t="shared" ref="S9:S41" si="0">SUM(H9,M9,R9)/3</f>
        <v>8.6666666666666661</v>
      </c>
      <c r="T9" s="80" t="str">
        <f>IF(S9&gt;=10,"TRANSITA","N/TRANSITA")</f>
        <v>N/TRANSITA</v>
      </c>
    </row>
    <row r="10" spans="1:23" ht="14.25" customHeight="1" x14ac:dyDescent="0.3">
      <c r="B10" s="33">
        <v>2</v>
      </c>
      <c r="C10" s="127" t="s">
        <v>70</v>
      </c>
      <c r="D10" s="60"/>
      <c r="E10" s="85">
        <v>13</v>
      </c>
      <c r="F10" s="86"/>
      <c r="G10" s="86"/>
      <c r="H10" s="40">
        <f t="shared" ref="H10:H71" si="1">AVERAGE(E10,MAX(F10:G10))</f>
        <v>6.5</v>
      </c>
      <c r="I10" s="63" t="str">
        <f t="shared" ref="I10:I71" si="2">IF(H10&gt;=10,"TRANSITA","N/TRANSITA")</f>
        <v>N/TRANSITA</v>
      </c>
      <c r="J10" s="98">
        <v>12</v>
      </c>
      <c r="K10" s="102">
        <v>15</v>
      </c>
      <c r="L10" s="65"/>
      <c r="M10" s="40">
        <f t="shared" ref="M10:M71" si="3">AVERAGE(J10,MAX(K10:L10))</f>
        <v>13.5</v>
      </c>
      <c r="N10" s="63" t="str">
        <f t="shared" ref="N10:N71" si="4">IF(M10&gt;=10,"TRANSITA","N/TRANSITA")</f>
        <v>TRANSITA</v>
      </c>
      <c r="O10" s="98"/>
      <c r="P10" s="102"/>
      <c r="Q10" s="65"/>
      <c r="R10" s="40">
        <f t="shared" ref="R10:R71" si="5">AVERAGE(O10,MAX(P10:Q10))</f>
        <v>0</v>
      </c>
      <c r="S10" s="41">
        <f t="shared" si="0"/>
        <v>6.666666666666667</v>
      </c>
      <c r="T10" s="81" t="str">
        <f t="shared" ref="T10:T71" si="6">IF(S10&gt;=10,"TRANSITA","N/TRANSITA")</f>
        <v>N/TRANSITA</v>
      </c>
    </row>
    <row r="11" spans="1:23" ht="14.25" customHeight="1" x14ac:dyDescent="0.3">
      <c r="B11" s="33">
        <v>3</v>
      </c>
      <c r="C11" s="127" t="s">
        <v>71</v>
      </c>
      <c r="D11" s="60"/>
      <c r="E11" s="85">
        <v>17</v>
      </c>
      <c r="F11" s="86">
        <v>10</v>
      </c>
      <c r="G11" s="86"/>
      <c r="H11" s="40">
        <f t="shared" si="1"/>
        <v>13.5</v>
      </c>
      <c r="I11" s="63" t="str">
        <f t="shared" si="2"/>
        <v>TRANSITA</v>
      </c>
      <c r="J11" s="98">
        <v>10</v>
      </c>
      <c r="K11" s="102">
        <v>10</v>
      </c>
      <c r="L11" s="65"/>
      <c r="M11" s="40">
        <f t="shared" si="3"/>
        <v>10</v>
      </c>
      <c r="N11" s="63" t="str">
        <f t="shared" si="4"/>
        <v>TRANSITA</v>
      </c>
      <c r="O11" s="98"/>
      <c r="P11" s="102"/>
      <c r="Q11" s="65"/>
      <c r="R11" s="40">
        <f t="shared" si="5"/>
        <v>0</v>
      </c>
      <c r="S11" s="41">
        <f t="shared" si="0"/>
        <v>7.833333333333333</v>
      </c>
      <c r="T11" s="81" t="str">
        <f t="shared" si="6"/>
        <v>N/TRANSITA</v>
      </c>
    </row>
    <row r="12" spans="1:23" ht="14.25" customHeight="1" x14ac:dyDescent="0.3">
      <c r="B12" s="33">
        <v>4</v>
      </c>
      <c r="C12" s="127" t="s">
        <v>72</v>
      </c>
      <c r="D12" s="60"/>
      <c r="E12" s="85">
        <v>11</v>
      </c>
      <c r="F12" s="86"/>
      <c r="G12" s="86"/>
      <c r="H12" s="40">
        <f t="shared" si="1"/>
        <v>5.5</v>
      </c>
      <c r="I12" s="63" t="str">
        <f t="shared" si="2"/>
        <v>N/TRANSITA</v>
      </c>
      <c r="J12" s="98"/>
      <c r="K12" s="102"/>
      <c r="L12" s="65"/>
      <c r="M12" s="40">
        <f t="shared" si="3"/>
        <v>0</v>
      </c>
      <c r="N12" s="63" t="str">
        <f t="shared" si="4"/>
        <v>N/TRANSITA</v>
      </c>
      <c r="O12" s="98"/>
      <c r="P12" s="102"/>
      <c r="Q12" s="65"/>
      <c r="R12" s="40">
        <f t="shared" si="5"/>
        <v>0</v>
      </c>
      <c r="S12" s="41">
        <f t="shared" si="0"/>
        <v>1.8333333333333333</v>
      </c>
      <c r="T12" s="81" t="str">
        <f t="shared" si="6"/>
        <v>N/TRANSITA</v>
      </c>
    </row>
    <row r="13" spans="1:23" ht="14.25" customHeight="1" x14ac:dyDescent="0.3">
      <c r="B13" s="33">
        <v>5</v>
      </c>
      <c r="C13" s="127" t="s">
        <v>73</v>
      </c>
      <c r="D13" s="60"/>
      <c r="E13" s="85">
        <v>20</v>
      </c>
      <c r="F13" s="86">
        <v>20</v>
      </c>
      <c r="G13" s="86"/>
      <c r="H13" s="40">
        <f t="shared" si="1"/>
        <v>20</v>
      </c>
      <c r="I13" s="63" t="str">
        <f t="shared" si="2"/>
        <v>TRANSITA</v>
      </c>
      <c r="J13" s="98">
        <v>18</v>
      </c>
      <c r="K13" s="102">
        <v>20</v>
      </c>
      <c r="L13" s="65"/>
      <c r="M13" s="40">
        <f t="shared" si="3"/>
        <v>19</v>
      </c>
      <c r="N13" s="63" t="str">
        <f t="shared" si="4"/>
        <v>TRANSITA</v>
      </c>
      <c r="O13" s="98"/>
      <c r="P13" s="102"/>
      <c r="Q13" s="65"/>
      <c r="R13" s="40">
        <f t="shared" si="5"/>
        <v>0</v>
      </c>
      <c r="S13" s="41">
        <f t="shared" si="0"/>
        <v>13</v>
      </c>
      <c r="T13" s="81" t="str">
        <f t="shared" si="6"/>
        <v>TRANSITA</v>
      </c>
      <c r="U13" s="18"/>
      <c r="V13" s="18"/>
      <c r="W13" s="18"/>
    </row>
    <row r="14" spans="1:23" ht="14.25" customHeight="1" x14ac:dyDescent="0.3">
      <c r="B14" s="33">
        <v>6</v>
      </c>
      <c r="C14" s="127" t="s">
        <v>74</v>
      </c>
      <c r="D14" s="60"/>
      <c r="E14" s="85">
        <v>13</v>
      </c>
      <c r="F14" s="86">
        <v>10</v>
      </c>
      <c r="G14" s="86"/>
      <c r="H14" s="40">
        <f t="shared" si="1"/>
        <v>11.5</v>
      </c>
      <c r="I14" s="63" t="str">
        <f t="shared" si="2"/>
        <v>TRANSITA</v>
      </c>
      <c r="J14" s="98">
        <v>8</v>
      </c>
      <c r="K14" s="102">
        <v>15</v>
      </c>
      <c r="L14" s="65"/>
      <c r="M14" s="40">
        <f t="shared" si="3"/>
        <v>11.5</v>
      </c>
      <c r="N14" s="63" t="str">
        <f t="shared" si="4"/>
        <v>TRANSITA</v>
      </c>
      <c r="O14" s="98"/>
      <c r="P14" s="102"/>
      <c r="Q14" s="65"/>
      <c r="R14" s="40">
        <f t="shared" si="5"/>
        <v>0</v>
      </c>
      <c r="S14" s="41">
        <f t="shared" si="0"/>
        <v>7.666666666666667</v>
      </c>
      <c r="T14" s="81" t="str">
        <f t="shared" si="6"/>
        <v>N/TRANSITA</v>
      </c>
    </row>
    <row r="15" spans="1:23" ht="14.25" customHeight="1" x14ac:dyDescent="0.3">
      <c r="B15" s="33">
        <v>7</v>
      </c>
      <c r="C15" s="127" t="s">
        <v>75</v>
      </c>
      <c r="D15" s="60"/>
      <c r="E15" s="85">
        <v>14</v>
      </c>
      <c r="F15" s="86">
        <v>12</v>
      </c>
      <c r="G15" s="86"/>
      <c r="H15" s="40">
        <f t="shared" si="1"/>
        <v>13</v>
      </c>
      <c r="I15" s="63" t="str">
        <f t="shared" si="2"/>
        <v>TRANSITA</v>
      </c>
      <c r="J15" s="98">
        <v>8</v>
      </c>
      <c r="K15" s="102"/>
      <c r="L15" s="65"/>
      <c r="M15" s="40">
        <f t="shared" si="3"/>
        <v>4</v>
      </c>
      <c r="N15" s="63" t="str">
        <f t="shared" si="4"/>
        <v>N/TRANSITA</v>
      </c>
      <c r="O15" s="98"/>
      <c r="P15" s="102"/>
      <c r="Q15" s="65"/>
      <c r="R15" s="40">
        <f t="shared" si="5"/>
        <v>0</v>
      </c>
      <c r="S15" s="41">
        <f t="shared" si="0"/>
        <v>5.666666666666667</v>
      </c>
      <c r="T15" s="81" t="str">
        <f t="shared" si="6"/>
        <v>N/TRANSITA</v>
      </c>
    </row>
    <row r="16" spans="1:23" ht="14.25" customHeight="1" x14ac:dyDescent="0.3">
      <c r="B16" s="33">
        <v>8</v>
      </c>
      <c r="C16" s="127" t="s">
        <v>76</v>
      </c>
      <c r="D16" s="60"/>
      <c r="E16" s="85">
        <v>14</v>
      </c>
      <c r="F16" s="86"/>
      <c r="G16" s="86"/>
      <c r="H16" s="40">
        <f t="shared" si="1"/>
        <v>7</v>
      </c>
      <c r="I16" s="63" t="str">
        <f t="shared" si="2"/>
        <v>N/TRANSITA</v>
      </c>
      <c r="J16" s="98">
        <v>8</v>
      </c>
      <c r="K16" s="102">
        <v>17</v>
      </c>
      <c r="L16" s="65"/>
      <c r="M16" s="40">
        <f t="shared" si="3"/>
        <v>12.5</v>
      </c>
      <c r="N16" s="63" t="str">
        <f t="shared" si="4"/>
        <v>TRANSITA</v>
      </c>
      <c r="O16" s="98"/>
      <c r="P16" s="102"/>
      <c r="Q16" s="65"/>
      <c r="R16" s="40">
        <f t="shared" si="5"/>
        <v>0</v>
      </c>
      <c r="S16" s="41">
        <f t="shared" si="0"/>
        <v>6.5</v>
      </c>
      <c r="T16" s="81" t="str">
        <f t="shared" si="6"/>
        <v>N/TRANSITA</v>
      </c>
    </row>
    <row r="17" spans="2:20" ht="14.25" customHeight="1" x14ac:dyDescent="0.3">
      <c r="B17" s="33">
        <v>9</v>
      </c>
      <c r="C17" s="127" t="s">
        <v>77</v>
      </c>
      <c r="D17" s="60"/>
      <c r="E17" s="85">
        <v>15</v>
      </c>
      <c r="F17" s="86">
        <v>12</v>
      </c>
      <c r="G17" s="86"/>
      <c r="H17" s="40">
        <f t="shared" si="1"/>
        <v>13.5</v>
      </c>
      <c r="I17" s="63" t="str">
        <f t="shared" si="2"/>
        <v>TRANSITA</v>
      </c>
      <c r="J17" s="85">
        <v>13</v>
      </c>
      <c r="K17" s="86">
        <v>15</v>
      </c>
      <c r="L17" s="65"/>
      <c r="M17" s="40">
        <f t="shared" si="3"/>
        <v>14</v>
      </c>
      <c r="N17" s="63" t="str">
        <f t="shared" ref="N17:N18" si="7">IF(M17&gt;=10,"TRANSITA","N/TRANSITA")</f>
        <v>TRANSITA</v>
      </c>
      <c r="O17" s="98"/>
      <c r="P17" s="102"/>
      <c r="Q17" s="65"/>
      <c r="R17" s="40">
        <f t="shared" si="5"/>
        <v>0</v>
      </c>
      <c r="S17" s="41">
        <f t="shared" si="0"/>
        <v>9.1666666666666661</v>
      </c>
      <c r="T17" s="81" t="str">
        <f t="shared" ref="T17:T18" si="8">IF(S17&gt;=10,"TRANSITA","N/TRANSITA")</f>
        <v>N/TRANSITA</v>
      </c>
    </row>
    <row r="18" spans="2:20" ht="14.25" customHeight="1" x14ac:dyDescent="0.3">
      <c r="B18" s="33">
        <v>10</v>
      </c>
      <c r="C18" s="128" t="s">
        <v>78</v>
      </c>
      <c r="D18" s="60"/>
      <c r="E18" s="85">
        <v>8</v>
      </c>
      <c r="F18" s="86"/>
      <c r="G18" s="86"/>
      <c r="H18" s="40">
        <f t="shared" si="1"/>
        <v>4</v>
      </c>
      <c r="I18" s="63" t="str">
        <f t="shared" si="2"/>
        <v>N/TRANSITA</v>
      </c>
      <c r="J18" s="98">
        <v>10</v>
      </c>
      <c r="K18" s="102">
        <v>12</v>
      </c>
      <c r="L18" s="65"/>
      <c r="M18" s="40">
        <f t="shared" si="3"/>
        <v>11</v>
      </c>
      <c r="N18" s="63" t="str">
        <f t="shared" si="7"/>
        <v>TRANSITA</v>
      </c>
      <c r="O18" s="98"/>
      <c r="P18" s="102"/>
      <c r="Q18" s="65"/>
      <c r="R18" s="40">
        <f t="shared" si="5"/>
        <v>0</v>
      </c>
      <c r="S18" s="41">
        <f t="shared" si="0"/>
        <v>5</v>
      </c>
      <c r="T18" s="81" t="str">
        <f t="shared" si="8"/>
        <v>N/TRANSITA</v>
      </c>
    </row>
    <row r="19" spans="2:20" ht="14.25" customHeight="1" x14ac:dyDescent="0.3">
      <c r="B19" s="33">
        <v>11</v>
      </c>
      <c r="C19" s="127" t="s">
        <v>79</v>
      </c>
      <c r="D19" s="60"/>
      <c r="E19" s="85"/>
      <c r="F19" s="86"/>
      <c r="G19" s="86"/>
      <c r="H19" s="40">
        <f t="shared" si="1"/>
        <v>0</v>
      </c>
      <c r="I19" s="63" t="str">
        <f t="shared" si="2"/>
        <v>N/TRANSITA</v>
      </c>
      <c r="J19" s="98"/>
      <c r="K19" s="102"/>
      <c r="L19" s="65"/>
      <c r="M19" s="40">
        <f t="shared" si="3"/>
        <v>0</v>
      </c>
      <c r="N19" s="63" t="str">
        <f t="shared" si="4"/>
        <v>N/TRANSITA</v>
      </c>
      <c r="O19" s="98"/>
      <c r="P19" s="102"/>
      <c r="Q19" s="65"/>
      <c r="R19" s="40">
        <f t="shared" si="5"/>
        <v>0</v>
      </c>
      <c r="S19" s="41">
        <f t="shared" si="0"/>
        <v>0</v>
      </c>
      <c r="T19" s="81" t="str">
        <f t="shared" si="6"/>
        <v>N/TRANSITA</v>
      </c>
    </row>
    <row r="20" spans="2:20" ht="14.25" customHeight="1" x14ac:dyDescent="0.3">
      <c r="B20" s="33">
        <v>12</v>
      </c>
      <c r="C20" s="127" t="s">
        <v>80</v>
      </c>
      <c r="D20" s="60"/>
      <c r="E20" s="85">
        <v>14</v>
      </c>
      <c r="F20" s="86">
        <v>11</v>
      </c>
      <c r="G20" s="86"/>
      <c r="H20" s="40">
        <f t="shared" si="1"/>
        <v>12.5</v>
      </c>
      <c r="I20" s="63" t="str">
        <f t="shared" si="2"/>
        <v>TRANSITA</v>
      </c>
      <c r="J20" s="98">
        <v>10</v>
      </c>
      <c r="K20" s="102">
        <v>16</v>
      </c>
      <c r="L20" s="65"/>
      <c r="M20" s="40">
        <f t="shared" si="3"/>
        <v>13</v>
      </c>
      <c r="N20" s="63" t="str">
        <f t="shared" si="4"/>
        <v>TRANSITA</v>
      </c>
      <c r="O20" s="98"/>
      <c r="P20" s="102"/>
      <c r="Q20" s="65"/>
      <c r="R20" s="40">
        <f t="shared" si="5"/>
        <v>0</v>
      </c>
      <c r="S20" s="41">
        <f t="shared" si="0"/>
        <v>8.5</v>
      </c>
      <c r="T20" s="81" t="str">
        <f t="shared" si="6"/>
        <v>N/TRANSITA</v>
      </c>
    </row>
    <row r="21" spans="2:20" ht="14.25" customHeight="1" x14ac:dyDescent="0.3">
      <c r="B21" s="33">
        <v>13</v>
      </c>
      <c r="C21" s="127" t="s">
        <v>81</v>
      </c>
      <c r="D21" s="60"/>
      <c r="E21" s="85"/>
      <c r="F21" s="86"/>
      <c r="G21" s="86"/>
      <c r="H21" s="40">
        <f t="shared" si="1"/>
        <v>0</v>
      </c>
      <c r="I21" s="63" t="str">
        <f t="shared" si="2"/>
        <v>N/TRANSITA</v>
      </c>
      <c r="J21" s="98"/>
      <c r="K21" s="102"/>
      <c r="L21" s="65"/>
      <c r="M21" s="40">
        <f t="shared" si="3"/>
        <v>0</v>
      </c>
      <c r="N21" s="63" t="str">
        <f t="shared" si="4"/>
        <v>N/TRANSITA</v>
      </c>
      <c r="O21" s="98"/>
      <c r="P21" s="102"/>
      <c r="Q21" s="65"/>
      <c r="R21" s="40">
        <f t="shared" si="5"/>
        <v>0</v>
      </c>
      <c r="S21" s="41">
        <f t="shared" si="0"/>
        <v>0</v>
      </c>
      <c r="T21" s="81" t="str">
        <f t="shared" si="6"/>
        <v>N/TRANSITA</v>
      </c>
    </row>
    <row r="22" spans="2:20" ht="14.25" customHeight="1" x14ac:dyDescent="0.3">
      <c r="B22" s="33">
        <v>14</v>
      </c>
      <c r="C22" s="127" t="s">
        <v>82</v>
      </c>
      <c r="D22" s="60"/>
      <c r="E22" s="85"/>
      <c r="F22" s="86"/>
      <c r="G22" s="86"/>
      <c r="H22" s="40">
        <f t="shared" si="1"/>
        <v>0</v>
      </c>
      <c r="I22" s="63" t="str">
        <f t="shared" si="2"/>
        <v>N/TRANSITA</v>
      </c>
      <c r="J22" s="98"/>
      <c r="K22" s="102"/>
      <c r="L22" s="65"/>
      <c r="M22" s="40">
        <f t="shared" si="3"/>
        <v>0</v>
      </c>
      <c r="N22" s="63" t="str">
        <f t="shared" si="4"/>
        <v>N/TRANSITA</v>
      </c>
      <c r="O22" s="98"/>
      <c r="P22" s="102"/>
      <c r="Q22" s="65"/>
      <c r="R22" s="40">
        <f t="shared" si="5"/>
        <v>0</v>
      </c>
      <c r="S22" s="41">
        <f t="shared" si="0"/>
        <v>0</v>
      </c>
      <c r="T22" s="81" t="str">
        <f t="shared" si="6"/>
        <v>N/TRANSITA</v>
      </c>
    </row>
    <row r="23" spans="2:20" ht="14.25" customHeight="1" x14ac:dyDescent="0.3">
      <c r="B23" s="33">
        <v>15</v>
      </c>
      <c r="C23" s="127" t="s">
        <v>83</v>
      </c>
      <c r="D23" s="60"/>
      <c r="E23" s="85">
        <v>17</v>
      </c>
      <c r="F23" s="86">
        <v>16</v>
      </c>
      <c r="G23" s="86"/>
      <c r="H23" s="40">
        <f t="shared" si="1"/>
        <v>16.5</v>
      </c>
      <c r="I23" s="63" t="str">
        <f t="shared" si="2"/>
        <v>TRANSITA</v>
      </c>
      <c r="J23" s="98">
        <v>13</v>
      </c>
      <c r="K23" s="102">
        <v>16</v>
      </c>
      <c r="L23" s="65"/>
      <c r="M23" s="40">
        <f t="shared" si="3"/>
        <v>14.5</v>
      </c>
      <c r="N23" s="63" t="str">
        <f t="shared" si="4"/>
        <v>TRANSITA</v>
      </c>
      <c r="O23" s="98"/>
      <c r="P23" s="102"/>
      <c r="Q23" s="65"/>
      <c r="R23" s="40">
        <f t="shared" si="5"/>
        <v>0</v>
      </c>
      <c r="S23" s="41">
        <f t="shared" si="0"/>
        <v>10.333333333333334</v>
      </c>
      <c r="T23" s="81" t="str">
        <f t="shared" si="6"/>
        <v>TRANSITA</v>
      </c>
    </row>
    <row r="24" spans="2:20" ht="14.25" customHeight="1" x14ac:dyDescent="0.3">
      <c r="B24" s="33">
        <v>16</v>
      </c>
      <c r="C24" s="127" t="s">
        <v>84</v>
      </c>
      <c r="D24" s="60"/>
      <c r="E24" s="85">
        <v>14</v>
      </c>
      <c r="F24" s="86">
        <v>6</v>
      </c>
      <c r="G24" s="86"/>
      <c r="H24" s="40">
        <f t="shared" si="1"/>
        <v>10</v>
      </c>
      <c r="I24" s="63" t="str">
        <f t="shared" si="2"/>
        <v>TRANSITA</v>
      </c>
      <c r="J24" s="98">
        <v>13</v>
      </c>
      <c r="K24" s="102">
        <v>16</v>
      </c>
      <c r="L24" s="65"/>
      <c r="M24" s="40">
        <f t="shared" si="3"/>
        <v>14.5</v>
      </c>
      <c r="N24" s="63" t="str">
        <f t="shared" si="4"/>
        <v>TRANSITA</v>
      </c>
      <c r="O24" s="98"/>
      <c r="P24" s="102"/>
      <c r="Q24" s="65"/>
      <c r="R24" s="40">
        <f t="shared" si="5"/>
        <v>0</v>
      </c>
      <c r="S24" s="41">
        <f t="shared" si="0"/>
        <v>8.1666666666666661</v>
      </c>
      <c r="T24" s="81" t="str">
        <f t="shared" si="6"/>
        <v>N/TRANSITA</v>
      </c>
    </row>
    <row r="25" spans="2:20" ht="14.25" customHeight="1" x14ac:dyDescent="0.3">
      <c r="B25" s="33">
        <v>17</v>
      </c>
      <c r="C25" s="127" t="s">
        <v>85</v>
      </c>
      <c r="D25" s="60"/>
      <c r="E25" s="85">
        <v>15</v>
      </c>
      <c r="F25" s="86">
        <v>13</v>
      </c>
      <c r="G25" s="86"/>
      <c r="H25" s="40">
        <f t="shared" si="1"/>
        <v>14</v>
      </c>
      <c r="I25" s="63" t="str">
        <f t="shared" si="2"/>
        <v>TRANSITA</v>
      </c>
      <c r="J25" s="98">
        <v>10</v>
      </c>
      <c r="K25" s="102">
        <v>13</v>
      </c>
      <c r="L25" s="65"/>
      <c r="M25" s="40">
        <f t="shared" si="3"/>
        <v>11.5</v>
      </c>
      <c r="N25" s="63" t="str">
        <f t="shared" si="4"/>
        <v>TRANSITA</v>
      </c>
      <c r="O25" s="98"/>
      <c r="P25" s="102"/>
      <c r="Q25" s="65"/>
      <c r="R25" s="40">
        <f t="shared" si="5"/>
        <v>0</v>
      </c>
      <c r="S25" s="41">
        <f t="shared" si="0"/>
        <v>8.5</v>
      </c>
      <c r="T25" s="81" t="str">
        <f t="shared" si="6"/>
        <v>N/TRANSITA</v>
      </c>
    </row>
    <row r="26" spans="2:20" ht="14.25" customHeight="1" x14ac:dyDescent="0.3">
      <c r="B26" s="33">
        <v>18</v>
      </c>
      <c r="C26" s="127" t="s">
        <v>140</v>
      </c>
      <c r="D26" s="60"/>
      <c r="E26" s="85">
        <v>11</v>
      </c>
      <c r="F26" s="86"/>
      <c r="G26" s="86"/>
      <c r="H26" s="40">
        <f t="shared" si="1"/>
        <v>5.5</v>
      </c>
      <c r="I26" s="63" t="str">
        <f t="shared" si="2"/>
        <v>N/TRANSITA</v>
      </c>
      <c r="J26" s="98">
        <v>10</v>
      </c>
      <c r="K26" s="102">
        <v>14</v>
      </c>
      <c r="L26" s="65"/>
      <c r="M26" s="40">
        <f t="shared" ref="M26:M27" si="9">AVERAGE(J26,MAX(K26:L26))</f>
        <v>12</v>
      </c>
      <c r="N26" s="63" t="str">
        <f t="shared" ref="N26:N27" si="10">IF(M26&gt;=10,"TRANSITA","N/TRANSITA")</f>
        <v>TRANSITA</v>
      </c>
      <c r="O26" s="98"/>
      <c r="P26" s="102"/>
      <c r="Q26" s="65"/>
      <c r="R26" s="40">
        <f t="shared" ref="R26:R27" si="11">AVERAGE(O26,MAX(P26:Q26))</f>
        <v>0</v>
      </c>
      <c r="S26" s="41">
        <f t="shared" ref="S26:S27" si="12">SUM(H26,M26,R26)/3</f>
        <v>5.833333333333333</v>
      </c>
      <c r="T26" s="81" t="str">
        <f t="shared" ref="T26:T27" si="13">IF(S26&gt;=10,"TRANSITA","N/TRANSITA")</f>
        <v>N/TRANSITA</v>
      </c>
    </row>
    <row r="27" spans="2:20" ht="14.25" customHeight="1" x14ac:dyDescent="0.3">
      <c r="B27" s="33">
        <v>19</v>
      </c>
      <c r="C27" s="127" t="s">
        <v>86</v>
      </c>
      <c r="D27" s="60"/>
      <c r="E27" s="85"/>
      <c r="F27" s="86"/>
      <c r="G27" s="86"/>
      <c r="H27" s="40">
        <f t="shared" si="1"/>
        <v>0</v>
      </c>
      <c r="I27" s="63" t="str">
        <f t="shared" si="2"/>
        <v>N/TRANSITA</v>
      </c>
      <c r="J27" s="98"/>
      <c r="K27" s="102"/>
      <c r="L27" s="65"/>
      <c r="M27" s="40">
        <f t="shared" si="9"/>
        <v>0</v>
      </c>
      <c r="N27" s="63" t="str">
        <f t="shared" si="10"/>
        <v>N/TRANSITA</v>
      </c>
      <c r="O27" s="98"/>
      <c r="P27" s="102"/>
      <c r="Q27" s="65"/>
      <c r="R27" s="40">
        <f t="shared" si="11"/>
        <v>0</v>
      </c>
      <c r="S27" s="41">
        <f t="shared" si="12"/>
        <v>0</v>
      </c>
      <c r="T27" s="81" t="str">
        <f t="shared" si="13"/>
        <v>N/TRANSITA</v>
      </c>
    </row>
    <row r="28" spans="2:20" ht="14.25" customHeight="1" x14ac:dyDescent="0.3">
      <c r="B28" s="33">
        <v>20</v>
      </c>
      <c r="C28" s="127" t="s">
        <v>87</v>
      </c>
      <c r="D28" s="60"/>
      <c r="E28" s="85">
        <v>14</v>
      </c>
      <c r="F28" s="86">
        <v>8</v>
      </c>
      <c r="G28" s="86">
        <v>10</v>
      </c>
      <c r="H28" s="40">
        <f t="shared" si="1"/>
        <v>12</v>
      </c>
      <c r="I28" s="63" t="str">
        <f t="shared" si="2"/>
        <v>TRANSITA</v>
      </c>
      <c r="J28" s="98">
        <v>10</v>
      </c>
      <c r="K28" s="102">
        <v>14</v>
      </c>
      <c r="L28" s="65"/>
      <c r="M28" s="40">
        <f t="shared" si="3"/>
        <v>12</v>
      </c>
      <c r="N28" s="63" t="str">
        <f t="shared" si="4"/>
        <v>TRANSITA</v>
      </c>
      <c r="O28" s="98"/>
      <c r="P28" s="102"/>
      <c r="Q28" s="65"/>
      <c r="R28" s="40">
        <f t="shared" si="5"/>
        <v>0</v>
      </c>
      <c r="S28" s="41">
        <f t="shared" si="0"/>
        <v>8</v>
      </c>
      <c r="T28" s="81" t="str">
        <f t="shared" si="6"/>
        <v>N/TRANSITA</v>
      </c>
    </row>
    <row r="29" spans="2:20" ht="14.25" customHeight="1" x14ac:dyDescent="0.3">
      <c r="B29" s="33">
        <v>21</v>
      </c>
      <c r="C29" s="127" t="s">
        <v>88</v>
      </c>
      <c r="D29" s="60"/>
      <c r="E29" s="85">
        <v>13</v>
      </c>
      <c r="F29" s="86"/>
      <c r="G29" s="86"/>
      <c r="H29" s="40">
        <f t="shared" si="1"/>
        <v>6.5</v>
      </c>
      <c r="I29" s="63" t="str">
        <f t="shared" si="2"/>
        <v>N/TRANSITA</v>
      </c>
      <c r="J29" s="98">
        <v>10</v>
      </c>
      <c r="K29" s="102"/>
      <c r="L29" s="65"/>
      <c r="M29" s="40">
        <f t="shared" si="3"/>
        <v>5</v>
      </c>
      <c r="N29" s="63" t="str">
        <f t="shared" si="4"/>
        <v>N/TRANSITA</v>
      </c>
      <c r="O29" s="98"/>
      <c r="P29" s="102"/>
      <c r="Q29" s="65"/>
      <c r="R29" s="40">
        <f t="shared" si="5"/>
        <v>0</v>
      </c>
      <c r="S29" s="41">
        <f t="shared" si="0"/>
        <v>3.8333333333333335</v>
      </c>
      <c r="T29" s="81" t="str">
        <f t="shared" si="6"/>
        <v>N/TRANSITA</v>
      </c>
    </row>
    <row r="30" spans="2:20" ht="14.25" customHeight="1" x14ac:dyDescent="0.3">
      <c r="B30" s="33">
        <v>22</v>
      </c>
      <c r="C30" s="127" t="s">
        <v>89</v>
      </c>
      <c r="D30" s="60"/>
      <c r="E30" s="85">
        <v>11</v>
      </c>
      <c r="F30" s="86"/>
      <c r="G30" s="86"/>
      <c r="H30" s="40">
        <f t="shared" si="1"/>
        <v>5.5</v>
      </c>
      <c r="I30" s="63" t="str">
        <f t="shared" si="2"/>
        <v>N/TRANSITA</v>
      </c>
      <c r="J30" s="98">
        <v>10</v>
      </c>
      <c r="K30" s="102">
        <v>12</v>
      </c>
      <c r="L30" s="65"/>
      <c r="M30" s="40">
        <f t="shared" si="3"/>
        <v>11</v>
      </c>
      <c r="N30" s="63" t="str">
        <f t="shared" si="4"/>
        <v>TRANSITA</v>
      </c>
      <c r="O30" s="98"/>
      <c r="P30" s="102"/>
      <c r="Q30" s="65"/>
      <c r="R30" s="40">
        <f t="shared" si="5"/>
        <v>0</v>
      </c>
      <c r="S30" s="41">
        <f t="shared" si="0"/>
        <v>5.5</v>
      </c>
      <c r="T30" s="81" t="str">
        <f t="shared" si="6"/>
        <v>N/TRANSITA</v>
      </c>
    </row>
    <row r="31" spans="2:20" ht="14.25" customHeight="1" x14ac:dyDescent="0.3">
      <c r="B31" s="33">
        <v>23</v>
      </c>
      <c r="C31" s="127" t="s">
        <v>90</v>
      </c>
      <c r="D31" s="60"/>
      <c r="E31" s="85">
        <v>13</v>
      </c>
      <c r="F31" s="86">
        <v>4</v>
      </c>
      <c r="G31" s="86"/>
      <c r="H31" s="40">
        <f t="shared" si="1"/>
        <v>8.5</v>
      </c>
      <c r="I31" s="63" t="str">
        <f t="shared" si="2"/>
        <v>N/TRANSITA</v>
      </c>
      <c r="J31" s="98">
        <v>8</v>
      </c>
      <c r="K31" s="102">
        <v>13</v>
      </c>
      <c r="L31" s="65"/>
      <c r="M31" s="40">
        <f t="shared" si="3"/>
        <v>10.5</v>
      </c>
      <c r="N31" s="63" t="str">
        <f t="shared" si="4"/>
        <v>TRANSITA</v>
      </c>
      <c r="O31" s="98"/>
      <c r="P31" s="102"/>
      <c r="Q31" s="65"/>
      <c r="R31" s="40">
        <f t="shared" si="5"/>
        <v>0</v>
      </c>
      <c r="S31" s="41">
        <f t="shared" si="0"/>
        <v>6.333333333333333</v>
      </c>
      <c r="T31" s="81" t="str">
        <f t="shared" si="6"/>
        <v>N/TRANSITA</v>
      </c>
    </row>
    <row r="32" spans="2:20" ht="14.25" customHeight="1" x14ac:dyDescent="0.3">
      <c r="B32" s="33">
        <v>24</v>
      </c>
      <c r="C32" s="127" t="s">
        <v>91</v>
      </c>
      <c r="D32" s="60"/>
      <c r="E32" s="85"/>
      <c r="F32" s="86"/>
      <c r="G32" s="86"/>
      <c r="H32" s="40">
        <f t="shared" si="1"/>
        <v>0</v>
      </c>
      <c r="I32" s="63" t="str">
        <f t="shared" si="2"/>
        <v>N/TRANSITA</v>
      </c>
      <c r="J32" s="98"/>
      <c r="K32" s="102"/>
      <c r="L32" s="65"/>
      <c r="M32" s="40">
        <f t="shared" si="3"/>
        <v>0</v>
      </c>
      <c r="N32" s="63" t="str">
        <f t="shared" si="4"/>
        <v>N/TRANSITA</v>
      </c>
      <c r="O32" s="98"/>
      <c r="P32" s="102"/>
      <c r="Q32" s="65"/>
      <c r="R32" s="40">
        <f t="shared" si="5"/>
        <v>0</v>
      </c>
      <c r="S32" s="41">
        <f t="shared" si="0"/>
        <v>0</v>
      </c>
      <c r="T32" s="81" t="str">
        <f t="shared" si="6"/>
        <v>N/TRANSITA</v>
      </c>
    </row>
    <row r="33" spans="2:20" ht="14.25" customHeight="1" x14ac:dyDescent="0.3">
      <c r="B33" s="33">
        <v>25</v>
      </c>
      <c r="C33" s="127" t="s">
        <v>92</v>
      </c>
      <c r="D33" s="60"/>
      <c r="E33" s="85">
        <v>14</v>
      </c>
      <c r="F33" s="86">
        <v>10</v>
      </c>
      <c r="G33" s="86"/>
      <c r="H33" s="40">
        <f t="shared" si="1"/>
        <v>12</v>
      </c>
      <c r="I33" s="63" t="str">
        <f t="shared" si="2"/>
        <v>TRANSITA</v>
      </c>
      <c r="J33" s="98">
        <v>8</v>
      </c>
      <c r="K33" s="102">
        <v>13</v>
      </c>
      <c r="L33" s="65"/>
      <c r="M33" s="40">
        <f t="shared" si="3"/>
        <v>10.5</v>
      </c>
      <c r="N33" s="63" t="str">
        <f t="shared" si="4"/>
        <v>TRANSITA</v>
      </c>
      <c r="O33" s="98"/>
      <c r="P33" s="102"/>
      <c r="Q33" s="65"/>
      <c r="R33" s="40">
        <f t="shared" si="5"/>
        <v>0</v>
      </c>
      <c r="S33" s="41">
        <f t="shared" si="0"/>
        <v>7.5</v>
      </c>
      <c r="T33" s="81" t="str">
        <f t="shared" si="6"/>
        <v>N/TRANSITA</v>
      </c>
    </row>
    <row r="34" spans="2:20" ht="14.25" customHeight="1" x14ac:dyDescent="0.3">
      <c r="B34" s="33">
        <v>26</v>
      </c>
      <c r="C34" s="127" t="s">
        <v>93</v>
      </c>
      <c r="D34" s="60"/>
      <c r="E34" s="85"/>
      <c r="F34" s="86"/>
      <c r="G34" s="86"/>
      <c r="H34" s="40">
        <f t="shared" si="1"/>
        <v>0</v>
      </c>
      <c r="I34" s="63" t="str">
        <f t="shared" si="2"/>
        <v>N/TRANSITA</v>
      </c>
      <c r="J34" s="98"/>
      <c r="K34" s="102"/>
      <c r="L34" s="65"/>
      <c r="M34" s="40">
        <f t="shared" si="3"/>
        <v>0</v>
      </c>
      <c r="N34" s="63" t="str">
        <f t="shared" si="4"/>
        <v>N/TRANSITA</v>
      </c>
      <c r="O34" s="98"/>
      <c r="P34" s="102"/>
      <c r="Q34" s="65"/>
      <c r="R34" s="40">
        <f t="shared" si="5"/>
        <v>0</v>
      </c>
      <c r="S34" s="41">
        <f t="shared" si="0"/>
        <v>0</v>
      </c>
      <c r="T34" s="81" t="str">
        <f t="shared" si="6"/>
        <v>N/TRANSITA</v>
      </c>
    </row>
    <row r="35" spans="2:20" ht="14.25" customHeight="1" x14ac:dyDescent="0.3">
      <c r="B35" s="33">
        <v>27</v>
      </c>
      <c r="C35" s="128" t="s">
        <v>94</v>
      </c>
      <c r="D35" s="60"/>
      <c r="E35" s="85"/>
      <c r="F35" s="86"/>
      <c r="G35" s="86"/>
      <c r="H35" s="40">
        <f t="shared" si="1"/>
        <v>0</v>
      </c>
      <c r="I35" s="63" t="str">
        <f t="shared" si="2"/>
        <v>N/TRANSITA</v>
      </c>
      <c r="J35" s="98"/>
      <c r="K35" s="102"/>
      <c r="L35" s="65"/>
      <c r="M35" s="40">
        <f t="shared" si="3"/>
        <v>0</v>
      </c>
      <c r="N35" s="63" t="str">
        <f t="shared" si="4"/>
        <v>N/TRANSITA</v>
      </c>
      <c r="O35" s="98"/>
      <c r="P35" s="102"/>
      <c r="Q35" s="65"/>
      <c r="R35" s="40">
        <f t="shared" si="5"/>
        <v>0</v>
      </c>
      <c r="S35" s="41">
        <f t="shared" si="0"/>
        <v>0</v>
      </c>
      <c r="T35" s="81" t="str">
        <f t="shared" si="6"/>
        <v>N/TRANSITA</v>
      </c>
    </row>
    <row r="36" spans="2:20" ht="14.25" customHeight="1" x14ac:dyDescent="0.3">
      <c r="B36" s="33">
        <v>28</v>
      </c>
      <c r="C36" s="127" t="s">
        <v>95</v>
      </c>
      <c r="D36" s="60"/>
      <c r="E36" s="85">
        <v>13</v>
      </c>
      <c r="F36" s="86"/>
      <c r="G36" s="86"/>
      <c r="H36" s="40">
        <f t="shared" si="1"/>
        <v>6.5</v>
      </c>
      <c r="I36" s="63" t="str">
        <f t="shared" si="2"/>
        <v>N/TRANSITA</v>
      </c>
      <c r="J36" s="98">
        <v>8</v>
      </c>
      <c r="K36" s="102"/>
      <c r="L36" s="65"/>
      <c r="M36" s="40">
        <f t="shared" si="3"/>
        <v>4</v>
      </c>
      <c r="N36" s="63" t="str">
        <f t="shared" si="4"/>
        <v>N/TRANSITA</v>
      </c>
      <c r="O36" s="98"/>
      <c r="P36" s="102"/>
      <c r="Q36" s="65"/>
      <c r="R36" s="40">
        <f t="shared" si="5"/>
        <v>0</v>
      </c>
      <c r="S36" s="41">
        <f t="shared" si="0"/>
        <v>3.5</v>
      </c>
      <c r="T36" s="81" t="str">
        <f t="shared" si="6"/>
        <v>N/TRANSITA</v>
      </c>
    </row>
    <row r="37" spans="2:20" ht="14.25" customHeight="1" x14ac:dyDescent="0.3">
      <c r="B37" s="33">
        <v>29</v>
      </c>
      <c r="C37" s="127" t="s">
        <v>96</v>
      </c>
      <c r="D37" s="60"/>
      <c r="E37" s="85">
        <v>14</v>
      </c>
      <c r="F37" s="86">
        <v>6</v>
      </c>
      <c r="G37" s="86"/>
      <c r="H37" s="40">
        <f t="shared" si="1"/>
        <v>10</v>
      </c>
      <c r="I37" s="63" t="str">
        <f t="shared" si="2"/>
        <v>TRANSITA</v>
      </c>
      <c r="J37" s="98">
        <v>10</v>
      </c>
      <c r="K37" s="102">
        <v>13</v>
      </c>
      <c r="L37" s="65"/>
      <c r="M37" s="40">
        <f t="shared" si="3"/>
        <v>11.5</v>
      </c>
      <c r="N37" s="63" t="str">
        <f t="shared" si="4"/>
        <v>TRANSITA</v>
      </c>
      <c r="O37" s="98"/>
      <c r="P37" s="102"/>
      <c r="Q37" s="65"/>
      <c r="R37" s="40">
        <f t="shared" si="5"/>
        <v>0</v>
      </c>
      <c r="S37" s="41">
        <f t="shared" si="0"/>
        <v>7.166666666666667</v>
      </c>
      <c r="T37" s="81" t="str">
        <f t="shared" si="6"/>
        <v>N/TRANSITA</v>
      </c>
    </row>
    <row r="38" spans="2:20" ht="14.25" customHeight="1" x14ac:dyDescent="0.3">
      <c r="B38" s="33">
        <v>30</v>
      </c>
      <c r="C38" s="127" t="s">
        <v>97</v>
      </c>
      <c r="D38" s="60"/>
      <c r="E38" s="85"/>
      <c r="F38" s="86"/>
      <c r="G38" s="86"/>
      <c r="H38" s="40">
        <f t="shared" si="1"/>
        <v>0</v>
      </c>
      <c r="I38" s="63" t="str">
        <f t="shared" si="2"/>
        <v>N/TRANSITA</v>
      </c>
      <c r="J38" s="98"/>
      <c r="K38" s="102"/>
      <c r="L38" s="65"/>
      <c r="M38" s="40">
        <f t="shared" si="3"/>
        <v>0</v>
      </c>
      <c r="N38" s="63" t="str">
        <f t="shared" si="4"/>
        <v>N/TRANSITA</v>
      </c>
      <c r="O38" s="98"/>
      <c r="P38" s="102"/>
      <c r="Q38" s="65"/>
      <c r="R38" s="40">
        <f t="shared" si="5"/>
        <v>0</v>
      </c>
      <c r="S38" s="41">
        <f t="shared" si="0"/>
        <v>0</v>
      </c>
      <c r="T38" s="81" t="str">
        <f t="shared" si="6"/>
        <v>N/TRANSITA</v>
      </c>
    </row>
    <row r="39" spans="2:20" ht="14.25" customHeight="1" x14ac:dyDescent="0.3">
      <c r="B39" s="33">
        <v>31</v>
      </c>
      <c r="C39" s="127" t="s">
        <v>98</v>
      </c>
      <c r="D39" s="60"/>
      <c r="E39" s="85"/>
      <c r="F39" s="86"/>
      <c r="G39" s="86"/>
      <c r="H39" s="40">
        <f t="shared" si="1"/>
        <v>0</v>
      </c>
      <c r="I39" s="63" t="str">
        <f t="shared" si="2"/>
        <v>N/TRANSITA</v>
      </c>
      <c r="J39" s="98"/>
      <c r="K39" s="102"/>
      <c r="L39" s="65"/>
      <c r="M39" s="40">
        <f t="shared" si="3"/>
        <v>0</v>
      </c>
      <c r="N39" s="63" t="str">
        <f t="shared" si="4"/>
        <v>N/TRANSITA</v>
      </c>
      <c r="O39" s="98"/>
      <c r="P39" s="102"/>
      <c r="Q39" s="65"/>
      <c r="R39" s="40">
        <f t="shared" si="5"/>
        <v>0</v>
      </c>
      <c r="S39" s="41">
        <f t="shared" si="0"/>
        <v>0</v>
      </c>
      <c r="T39" s="81" t="str">
        <f t="shared" si="6"/>
        <v>N/TRANSITA</v>
      </c>
    </row>
    <row r="40" spans="2:20" ht="14.25" customHeight="1" x14ac:dyDescent="0.3">
      <c r="B40" s="33">
        <v>32</v>
      </c>
      <c r="C40" s="128" t="s">
        <v>99</v>
      </c>
      <c r="D40" s="60"/>
      <c r="E40" s="85">
        <v>12</v>
      </c>
      <c r="F40" s="86">
        <v>1</v>
      </c>
      <c r="G40" s="86"/>
      <c r="H40" s="40">
        <f t="shared" si="1"/>
        <v>6.5</v>
      </c>
      <c r="I40" s="63" t="str">
        <f t="shared" si="2"/>
        <v>N/TRANSITA</v>
      </c>
      <c r="J40" s="98">
        <v>5</v>
      </c>
      <c r="K40" s="102">
        <v>5</v>
      </c>
      <c r="L40" s="65"/>
      <c r="M40" s="40">
        <f t="shared" si="3"/>
        <v>5</v>
      </c>
      <c r="N40" s="63" t="str">
        <f t="shared" si="4"/>
        <v>N/TRANSITA</v>
      </c>
      <c r="O40" s="98"/>
      <c r="P40" s="102"/>
      <c r="Q40" s="65"/>
      <c r="R40" s="40">
        <f t="shared" si="5"/>
        <v>0</v>
      </c>
      <c r="S40" s="41">
        <f t="shared" si="0"/>
        <v>3.8333333333333335</v>
      </c>
      <c r="T40" s="81" t="str">
        <f t="shared" si="6"/>
        <v>N/TRANSITA</v>
      </c>
    </row>
    <row r="41" spans="2:20" ht="14.25" customHeight="1" x14ac:dyDescent="0.3">
      <c r="B41" s="33">
        <v>33</v>
      </c>
      <c r="C41" s="127" t="s">
        <v>100</v>
      </c>
      <c r="D41" s="60"/>
      <c r="E41" s="85">
        <v>17</v>
      </c>
      <c r="F41" s="86"/>
      <c r="G41" s="86"/>
      <c r="H41" s="40">
        <f t="shared" si="1"/>
        <v>8.5</v>
      </c>
      <c r="I41" s="63" t="str">
        <f t="shared" si="2"/>
        <v>N/TRANSITA</v>
      </c>
      <c r="J41" s="98">
        <v>12</v>
      </c>
      <c r="K41" s="102">
        <v>15</v>
      </c>
      <c r="L41" s="65"/>
      <c r="M41" s="40">
        <f t="shared" si="3"/>
        <v>13.5</v>
      </c>
      <c r="N41" s="63" t="str">
        <f t="shared" si="4"/>
        <v>TRANSITA</v>
      </c>
      <c r="O41" s="98"/>
      <c r="P41" s="102"/>
      <c r="Q41" s="65"/>
      <c r="R41" s="40">
        <f t="shared" si="5"/>
        <v>0</v>
      </c>
      <c r="S41" s="41">
        <f t="shared" si="0"/>
        <v>7.333333333333333</v>
      </c>
      <c r="T41" s="81" t="str">
        <f t="shared" si="6"/>
        <v>N/TRANSITA</v>
      </c>
    </row>
    <row r="42" spans="2:20" ht="14.25" customHeight="1" x14ac:dyDescent="0.3">
      <c r="B42" s="33">
        <v>34</v>
      </c>
      <c r="C42" s="127" t="s">
        <v>101</v>
      </c>
      <c r="D42" s="60"/>
      <c r="E42" s="85"/>
      <c r="F42" s="86"/>
      <c r="G42" s="86"/>
      <c r="H42" s="40">
        <f t="shared" si="1"/>
        <v>0</v>
      </c>
      <c r="I42" s="63" t="str">
        <f t="shared" si="2"/>
        <v>N/TRANSITA</v>
      </c>
      <c r="J42" s="98"/>
      <c r="K42" s="102"/>
      <c r="L42" s="65"/>
      <c r="M42" s="40">
        <f t="shared" si="3"/>
        <v>0</v>
      </c>
      <c r="N42" s="63" t="str">
        <f t="shared" si="4"/>
        <v>N/TRANSITA</v>
      </c>
      <c r="O42" s="98"/>
      <c r="P42" s="102"/>
      <c r="Q42" s="65"/>
      <c r="R42" s="40">
        <f t="shared" si="5"/>
        <v>0</v>
      </c>
      <c r="S42" s="41">
        <f t="shared" ref="S42:S71" si="14">SUM(H42,M42,R42)/3</f>
        <v>0</v>
      </c>
      <c r="T42" s="81" t="str">
        <f t="shared" si="6"/>
        <v>N/TRANSITA</v>
      </c>
    </row>
    <row r="43" spans="2:20" ht="14.25" customHeight="1" x14ac:dyDescent="0.3">
      <c r="B43" s="33">
        <v>35</v>
      </c>
      <c r="C43" s="127" t="s">
        <v>102</v>
      </c>
      <c r="D43" s="60"/>
      <c r="E43" s="85">
        <v>13</v>
      </c>
      <c r="F43" s="86">
        <v>10</v>
      </c>
      <c r="G43" s="86"/>
      <c r="H43" s="40">
        <f t="shared" si="1"/>
        <v>11.5</v>
      </c>
      <c r="I43" s="63" t="str">
        <f t="shared" si="2"/>
        <v>TRANSITA</v>
      </c>
      <c r="J43" s="98">
        <v>5</v>
      </c>
      <c r="K43" s="102">
        <v>14</v>
      </c>
      <c r="L43" s="65"/>
      <c r="M43" s="40">
        <f t="shared" si="3"/>
        <v>9.5</v>
      </c>
      <c r="N43" s="63" t="str">
        <f t="shared" si="4"/>
        <v>N/TRANSITA</v>
      </c>
      <c r="O43" s="98"/>
      <c r="P43" s="102"/>
      <c r="Q43" s="65"/>
      <c r="R43" s="40">
        <f t="shared" si="5"/>
        <v>0</v>
      </c>
      <c r="S43" s="41">
        <f t="shared" si="14"/>
        <v>7</v>
      </c>
      <c r="T43" s="81" t="str">
        <f t="shared" si="6"/>
        <v>N/TRANSITA</v>
      </c>
    </row>
    <row r="44" spans="2:20" ht="14.25" customHeight="1" x14ac:dyDescent="0.3">
      <c r="B44" s="33">
        <v>36</v>
      </c>
      <c r="C44" s="127" t="s">
        <v>103</v>
      </c>
      <c r="D44" s="60"/>
      <c r="E44" s="85"/>
      <c r="F44" s="86"/>
      <c r="G44" s="86"/>
      <c r="H44" s="40">
        <f t="shared" si="1"/>
        <v>0</v>
      </c>
      <c r="I44" s="63" t="str">
        <f t="shared" si="2"/>
        <v>N/TRANSITA</v>
      </c>
      <c r="J44" s="98"/>
      <c r="K44" s="102"/>
      <c r="L44" s="65"/>
      <c r="M44" s="40">
        <f t="shared" si="3"/>
        <v>0</v>
      </c>
      <c r="N44" s="63" t="str">
        <f t="shared" ref="N44:N49" si="15">IF(M44&gt;=10,"TRANSITA","N/TRANSITA")</f>
        <v>N/TRANSITA</v>
      </c>
      <c r="O44" s="98"/>
      <c r="P44" s="102"/>
      <c r="Q44" s="65"/>
      <c r="R44" s="40">
        <f t="shared" si="5"/>
        <v>0</v>
      </c>
      <c r="S44" s="41">
        <f t="shared" si="14"/>
        <v>0</v>
      </c>
      <c r="T44" s="81" t="str">
        <f t="shared" ref="T44:T49" si="16">IF(S44&gt;=10,"TRANSITA","N/TRANSITA")</f>
        <v>N/TRANSITA</v>
      </c>
    </row>
    <row r="45" spans="2:20" ht="14.25" customHeight="1" x14ac:dyDescent="0.3">
      <c r="B45" s="33">
        <v>37</v>
      </c>
      <c r="C45" s="127" t="s">
        <v>104</v>
      </c>
      <c r="D45" s="60"/>
      <c r="E45" s="85">
        <v>13</v>
      </c>
      <c r="F45" s="86"/>
      <c r="G45" s="86"/>
      <c r="H45" s="40">
        <f t="shared" si="1"/>
        <v>6.5</v>
      </c>
      <c r="I45" s="63" t="str">
        <f t="shared" si="2"/>
        <v>N/TRANSITA</v>
      </c>
      <c r="J45" s="98">
        <v>5</v>
      </c>
      <c r="K45" s="102">
        <v>13</v>
      </c>
      <c r="L45" s="65"/>
      <c r="M45" s="40">
        <f t="shared" si="3"/>
        <v>9</v>
      </c>
      <c r="N45" s="63" t="str">
        <f t="shared" si="15"/>
        <v>N/TRANSITA</v>
      </c>
      <c r="O45" s="98"/>
      <c r="P45" s="102"/>
      <c r="Q45" s="65"/>
      <c r="R45" s="40">
        <f t="shared" si="5"/>
        <v>0</v>
      </c>
      <c r="S45" s="41">
        <f t="shared" si="14"/>
        <v>5.166666666666667</v>
      </c>
      <c r="T45" s="81" t="str">
        <f t="shared" si="16"/>
        <v>N/TRANSITA</v>
      </c>
    </row>
    <row r="46" spans="2:20" ht="14.25" customHeight="1" x14ac:dyDescent="0.3">
      <c r="B46" s="33">
        <v>38</v>
      </c>
      <c r="C46" s="127" t="s">
        <v>105</v>
      </c>
      <c r="D46" s="60"/>
      <c r="E46" s="85">
        <v>15</v>
      </c>
      <c r="F46" s="86"/>
      <c r="G46" s="86"/>
      <c r="H46" s="40">
        <f t="shared" si="1"/>
        <v>7.5</v>
      </c>
      <c r="I46" s="63" t="str">
        <f t="shared" si="2"/>
        <v>N/TRANSITA</v>
      </c>
      <c r="J46" s="98"/>
      <c r="K46" s="102"/>
      <c r="L46" s="65"/>
      <c r="M46" s="40">
        <f t="shared" si="3"/>
        <v>0</v>
      </c>
      <c r="N46" s="63" t="str">
        <f t="shared" si="15"/>
        <v>N/TRANSITA</v>
      </c>
      <c r="O46" s="98"/>
      <c r="P46" s="102"/>
      <c r="Q46" s="65"/>
      <c r="R46" s="40">
        <f t="shared" si="5"/>
        <v>0</v>
      </c>
      <c r="S46" s="41">
        <f t="shared" si="14"/>
        <v>2.5</v>
      </c>
      <c r="T46" s="81" t="str">
        <f t="shared" si="16"/>
        <v>N/TRANSITA</v>
      </c>
    </row>
    <row r="47" spans="2:20" ht="14.25" customHeight="1" x14ac:dyDescent="0.3">
      <c r="B47" s="33">
        <v>39</v>
      </c>
      <c r="C47" s="127" t="s">
        <v>106</v>
      </c>
      <c r="D47" s="60"/>
      <c r="E47" s="85">
        <v>15</v>
      </c>
      <c r="F47" s="86">
        <v>10</v>
      </c>
      <c r="G47" s="86">
        <v>12</v>
      </c>
      <c r="H47" s="40">
        <f t="shared" si="1"/>
        <v>13.5</v>
      </c>
      <c r="I47" s="63" t="str">
        <f t="shared" si="2"/>
        <v>TRANSITA</v>
      </c>
      <c r="J47" s="98">
        <v>11</v>
      </c>
      <c r="K47" s="102">
        <v>14</v>
      </c>
      <c r="L47" s="65"/>
      <c r="M47" s="40">
        <f t="shared" si="3"/>
        <v>12.5</v>
      </c>
      <c r="N47" s="63" t="str">
        <f t="shared" si="15"/>
        <v>TRANSITA</v>
      </c>
      <c r="O47" s="98"/>
      <c r="P47" s="102"/>
      <c r="Q47" s="65"/>
      <c r="R47" s="40">
        <f t="shared" si="5"/>
        <v>0</v>
      </c>
      <c r="S47" s="41">
        <f t="shared" si="14"/>
        <v>8.6666666666666661</v>
      </c>
      <c r="T47" s="81" t="str">
        <f t="shared" si="16"/>
        <v>N/TRANSITA</v>
      </c>
    </row>
    <row r="48" spans="2:20" ht="14.25" customHeight="1" x14ac:dyDescent="0.3">
      <c r="B48" s="33">
        <v>40</v>
      </c>
      <c r="C48" s="127" t="s">
        <v>145</v>
      </c>
      <c r="D48" s="60"/>
      <c r="E48" s="85"/>
      <c r="F48" s="86"/>
      <c r="G48" s="86"/>
      <c r="H48" s="40">
        <f t="shared" si="1"/>
        <v>0</v>
      </c>
      <c r="I48" s="63" t="str">
        <f t="shared" si="2"/>
        <v>N/TRANSITA</v>
      </c>
      <c r="J48" s="98">
        <v>5</v>
      </c>
      <c r="K48" s="102">
        <v>11</v>
      </c>
      <c r="L48" s="65"/>
      <c r="M48" s="40">
        <f t="shared" ref="M48" si="17">AVERAGE(J48,MAX(K48:L48))</f>
        <v>8</v>
      </c>
      <c r="N48" s="63" t="str">
        <f t="shared" ref="N48" si="18">IF(M48&gt;=10,"TRANSITA","N/TRANSITA")</f>
        <v>N/TRANSITA</v>
      </c>
      <c r="O48" s="98"/>
      <c r="P48" s="102"/>
      <c r="Q48" s="65"/>
      <c r="R48" s="40">
        <f t="shared" ref="R48" si="19">AVERAGE(O48,MAX(P48:Q48))</f>
        <v>0</v>
      </c>
      <c r="S48" s="41">
        <f t="shared" ref="S48" si="20">SUM(H48,M48,R48)/3</f>
        <v>2.6666666666666665</v>
      </c>
      <c r="T48" s="81" t="str">
        <f t="shared" ref="T48" si="21">IF(S48&gt;=10,"TRANSITA","N/TRANSITA")</f>
        <v>N/TRANSITA</v>
      </c>
    </row>
    <row r="49" spans="2:20" ht="14.25" customHeight="1" x14ac:dyDescent="0.3">
      <c r="B49" s="33">
        <v>41</v>
      </c>
      <c r="C49" s="128" t="s">
        <v>107</v>
      </c>
      <c r="D49" s="60"/>
      <c r="E49" s="85">
        <v>18</v>
      </c>
      <c r="F49" s="86">
        <v>20</v>
      </c>
      <c r="G49" s="86"/>
      <c r="H49" s="40">
        <f t="shared" si="1"/>
        <v>19</v>
      </c>
      <c r="I49" s="63" t="str">
        <f t="shared" si="2"/>
        <v>TRANSITA</v>
      </c>
      <c r="J49" s="98">
        <v>16</v>
      </c>
      <c r="K49" s="102">
        <v>19</v>
      </c>
      <c r="L49" s="65"/>
      <c r="M49" s="40">
        <f t="shared" si="3"/>
        <v>17.5</v>
      </c>
      <c r="N49" s="63" t="str">
        <f t="shared" si="15"/>
        <v>TRANSITA</v>
      </c>
      <c r="O49" s="98"/>
      <c r="P49" s="102"/>
      <c r="Q49" s="65"/>
      <c r="R49" s="40">
        <f t="shared" si="5"/>
        <v>0</v>
      </c>
      <c r="S49" s="41">
        <f t="shared" si="14"/>
        <v>12.166666666666666</v>
      </c>
      <c r="T49" s="81" t="str">
        <f t="shared" si="16"/>
        <v>TRANSITA</v>
      </c>
    </row>
    <row r="50" spans="2:20" ht="14.25" customHeight="1" x14ac:dyDescent="0.3">
      <c r="B50" s="33">
        <v>42</v>
      </c>
      <c r="C50" s="127" t="s">
        <v>108</v>
      </c>
      <c r="D50" s="61"/>
      <c r="E50" s="85">
        <v>13</v>
      </c>
      <c r="F50" s="86">
        <v>8</v>
      </c>
      <c r="G50" s="86">
        <v>10</v>
      </c>
      <c r="H50" s="40">
        <f t="shared" si="1"/>
        <v>11.5</v>
      </c>
      <c r="I50" s="63" t="str">
        <f t="shared" si="2"/>
        <v>TRANSITA</v>
      </c>
      <c r="J50" s="98">
        <v>10</v>
      </c>
      <c r="K50" s="102">
        <v>16</v>
      </c>
      <c r="L50" s="65"/>
      <c r="M50" s="40">
        <f t="shared" si="3"/>
        <v>13</v>
      </c>
      <c r="N50" s="63" t="str">
        <f t="shared" si="4"/>
        <v>TRANSITA</v>
      </c>
      <c r="O50" s="98"/>
      <c r="P50" s="102"/>
      <c r="Q50" s="65"/>
      <c r="R50" s="40">
        <f t="shared" si="5"/>
        <v>0</v>
      </c>
      <c r="S50" s="41">
        <f t="shared" si="14"/>
        <v>8.1666666666666661</v>
      </c>
      <c r="T50" s="81" t="str">
        <f t="shared" si="6"/>
        <v>N/TRANSITA</v>
      </c>
    </row>
    <row r="51" spans="2:20" ht="14.25" customHeight="1" x14ac:dyDescent="0.3">
      <c r="B51" s="33">
        <v>43</v>
      </c>
      <c r="C51" s="127" t="s">
        <v>109</v>
      </c>
      <c r="D51" s="61"/>
      <c r="E51" s="85"/>
      <c r="F51" s="86"/>
      <c r="G51" s="86"/>
      <c r="H51" s="40">
        <f t="shared" si="1"/>
        <v>0</v>
      </c>
      <c r="I51" s="63" t="str">
        <f t="shared" si="2"/>
        <v>N/TRANSITA</v>
      </c>
      <c r="J51" s="98"/>
      <c r="K51" s="102"/>
      <c r="L51" s="65"/>
      <c r="M51" s="40">
        <f t="shared" si="3"/>
        <v>0</v>
      </c>
      <c r="N51" s="63" t="str">
        <f t="shared" si="4"/>
        <v>N/TRANSITA</v>
      </c>
      <c r="O51" s="98"/>
      <c r="P51" s="102"/>
      <c r="Q51" s="65"/>
      <c r="R51" s="40">
        <f t="shared" si="5"/>
        <v>0</v>
      </c>
      <c r="S51" s="41">
        <f t="shared" si="14"/>
        <v>0</v>
      </c>
      <c r="T51" s="81" t="str">
        <f t="shared" si="6"/>
        <v>N/TRANSITA</v>
      </c>
    </row>
    <row r="52" spans="2:20" ht="14.25" customHeight="1" x14ac:dyDescent="0.3">
      <c r="B52" s="33">
        <v>44</v>
      </c>
      <c r="C52" s="127" t="s">
        <v>110</v>
      </c>
      <c r="D52" s="60"/>
      <c r="E52" s="85">
        <v>16</v>
      </c>
      <c r="F52" s="86">
        <v>7</v>
      </c>
      <c r="G52" s="86"/>
      <c r="H52" s="40">
        <f t="shared" si="1"/>
        <v>11.5</v>
      </c>
      <c r="I52" s="63" t="str">
        <f t="shared" si="2"/>
        <v>TRANSITA</v>
      </c>
      <c r="J52" s="98">
        <v>10</v>
      </c>
      <c r="K52" s="102">
        <v>12</v>
      </c>
      <c r="L52" s="65"/>
      <c r="M52" s="40">
        <f t="shared" si="3"/>
        <v>11</v>
      </c>
      <c r="N52" s="63" t="str">
        <f t="shared" si="4"/>
        <v>TRANSITA</v>
      </c>
      <c r="O52" s="98"/>
      <c r="P52" s="102"/>
      <c r="Q52" s="65"/>
      <c r="R52" s="40">
        <f t="shared" si="5"/>
        <v>0</v>
      </c>
      <c r="S52" s="41">
        <f t="shared" si="14"/>
        <v>7.5</v>
      </c>
      <c r="T52" s="81" t="str">
        <f t="shared" si="6"/>
        <v>N/TRANSITA</v>
      </c>
    </row>
    <row r="53" spans="2:20" ht="14.25" customHeight="1" x14ac:dyDescent="0.3">
      <c r="B53" s="33">
        <v>45</v>
      </c>
      <c r="C53" s="127" t="s">
        <v>111</v>
      </c>
      <c r="D53" s="60"/>
      <c r="E53" s="85"/>
      <c r="F53" s="86"/>
      <c r="G53" s="86"/>
      <c r="H53" s="40">
        <f t="shared" si="1"/>
        <v>0</v>
      </c>
      <c r="I53" s="63" t="str">
        <f t="shared" si="2"/>
        <v>N/TRANSITA</v>
      </c>
      <c r="J53" s="98"/>
      <c r="K53" s="102"/>
      <c r="L53" s="65"/>
      <c r="M53" s="40">
        <f t="shared" si="3"/>
        <v>0</v>
      </c>
      <c r="N53" s="63" t="str">
        <f t="shared" si="4"/>
        <v>N/TRANSITA</v>
      </c>
      <c r="O53" s="98"/>
      <c r="P53" s="102"/>
      <c r="Q53" s="65"/>
      <c r="R53" s="40">
        <f t="shared" si="5"/>
        <v>0</v>
      </c>
      <c r="S53" s="41">
        <f t="shared" si="14"/>
        <v>0</v>
      </c>
      <c r="T53" s="81" t="str">
        <f t="shared" si="6"/>
        <v>N/TRANSITA</v>
      </c>
    </row>
    <row r="54" spans="2:20" ht="14.25" customHeight="1" x14ac:dyDescent="0.3">
      <c r="B54" s="33">
        <v>46</v>
      </c>
      <c r="C54" s="127" t="s">
        <v>112</v>
      </c>
      <c r="D54" s="60"/>
      <c r="E54" s="85">
        <v>12</v>
      </c>
      <c r="F54" s="86">
        <v>1</v>
      </c>
      <c r="G54" s="86"/>
      <c r="H54" s="40">
        <f t="shared" si="1"/>
        <v>6.5</v>
      </c>
      <c r="I54" s="63" t="str">
        <f t="shared" si="2"/>
        <v>N/TRANSITA</v>
      </c>
      <c r="J54" s="98">
        <v>10</v>
      </c>
      <c r="K54" s="102">
        <v>14</v>
      </c>
      <c r="L54" s="65"/>
      <c r="M54" s="40">
        <f t="shared" si="3"/>
        <v>12</v>
      </c>
      <c r="N54" s="63" t="str">
        <f t="shared" si="4"/>
        <v>TRANSITA</v>
      </c>
      <c r="O54" s="98"/>
      <c r="P54" s="102"/>
      <c r="Q54" s="65"/>
      <c r="R54" s="40">
        <f t="shared" si="5"/>
        <v>0</v>
      </c>
      <c r="S54" s="41">
        <f t="shared" si="14"/>
        <v>6.166666666666667</v>
      </c>
      <c r="T54" s="81" t="str">
        <f t="shared" si="6"/>
        <v>N/TRANSITA</v>
      </c>
    </row>
    <row r="55" spans="2:20" ht="14.25" customHeight="1" x14ac:dyDescent="0.3">
      <c r="B55" s="33">
        <v>47</v>
      </c>
      <c r="C55" s="127" t="s">
        <v>141</v>
      </c>
      <c r="D55" s="60"/>
      <c r="E55" s="85">
        <v>10</v>
      </c>
      <c r="F55" s="86">
        <v>4</v>
      </c>
      <c r="G55" s="86"/>
      <c r="H55" s="40">
        <f t="shared" si="1"/>
        <v>7</v>
      </c>
      <c r="I55" s="63" t="str">
        <f t="shared" si="2"/>
        <v>N/TRANSITA</v>
      </c>
      <c r="J55" s="98">
        <v>5</v>
      </c>
      <c r="K55" s="102">
        <v>8</v>
      </c>
      <c r="L55" s="65"/>
      <c r="M55" s="40">
        <f t="shared" ref="M55:M56" si="22">AVERAGE(J55,MAX(K55:L55))</f>
        <v>6.5</v>
      </c>
      <c r="N55" s="63" t="str">
        <f t="shared" ref="N55:N56" si="23">IF(M55&gt;=10,"TRANSITA","N/TRANSITA")</f>
        <v>N/TRANSITA</v>
      </c>
      <c r="O55" s="98"/>
      <c r="P55" s="102"/>
      <c r="Q55" s="65"/>
      <c r="R55" s="40">
        <f t="shared" ref="R55:R56" si="24">AVERAGE(O55,MAX(P55:Q55))</f>
        <v>0</v>
      </c>
      <c r="S55" s="41">
        <f t="shared" ref="S55:S56" si="25">SUM(H55,M55,R55)/3</f>
        <v>4.5</v>
      </c>
      <c r="T55" s="81" t="str">
        <f t="shared" ref="T55:T56" si="26">IF(S55&gt;=10,"TRANSITA","N/TRANSITA")</f>
        <v>N/TRANSITA</v>
      </c>
    </row>
    <row r="56" spans="2:20" ht="14.25" customHeight="1" x14ac:dyDescent="0.3">
      <c r="B56" s="33">
        <v>48</v>
      </c>
      <c r="C56" s="127" t="s">
        <v>113</v>
      </c>
      <c r="D56" s="60"/>
      <c r="E56" s="85"/>
      <c r="F56" s="86"/>
      <c r="G56" s="86"/>
      <c r="H56" s="40">
        <f t="shared" si="1"/>
        <v>0</v>
      </c>
      <c r="I56" s="63" t="str">
        <f t="shared" si="2"/>
        <v>N/TRANSITA</v>
      </c>
      <c r="J56" s="98"/>
      <c r="K56" s="102"/>
      <c r="L56" s="65"/>
      <c r="M56" s="40">
        <f t="shared" si="22"/>
        <v>0</v>
      </c>
      <c r="N56" s="63" t="str">
        <f t="shared" si="23"/>
        <v>N/TRANSITA</v>
      </c>
      <c r="O56" s="98"/>
      <c r="P56" s="102"/>
      <c r="Q56" s="65"/>
      <c r="R56" s="40">
        <f t="shared" si="24"/>
        <v>0</v>
      </c>
      <c r="S56" s="41">
        <f t="shared" si="25"/>
        <v>0</v>
      </c>
      <c r="T56" s="81" t="str">
        <f t="shared" si="26"/>
        <v>N/TRANSITA</v>
      </c>
    </row>
    <row r="57" spans="2:20" ht="14.25" customHeight="1" x14ac:dyDescent="0.3">
      <c r="B57" s="33">
        <v>49</v>
      </c>
      <c r="C57" s="127" t="s">
        <v>114</v>
      </c>
      <c r="D57" s="60"/>
      <c r="E57" s="85">
        <v>12</v>
      </c>
      <c r="F57" s="86"/>
      <c r="G57" s="86"/>
      <c r="H57" s="40">
        <f t="shared" si="1"/>
        <v>6</v>
      </c>
      <c r="I57" s="63" t="str">
        <f t="shared" si="2"/>
        <v>N/TRANSITA</v>
      </c>
      <c r="J57" s="98">
        <v>5</v>
      </c>
      <c r="K57" s="102">
        <v>10</v>
      </c>
      <c r="L57" s="65"/>
      <c r="M57" s="40">
        <f t="shared" ref="M57:M63" si="27">AVERAGE(J57,MAX(K57:L57))</f>
        <v>7.5</v>
      </c>
      <c r="N57" s="63" t="str">
        <f t="shared" ref="N57:N63" si="28">IF(M57&gt;=10,"TRANSITA","N/TRANSITA")</f>
        <v>N/TRANSITA</v>
      </c>
      <c r="O57" s="98"/>
      <c r="P57" s="102"/>
      <c r="Q57" s="65"/>
      <c r="R57" s="40">
        <f t="shared" ref="R57:R63" si="29">AVERAGE(O57,MAX(P57:Q57))</f>
        <v>0</v>
      </c>
      <c r="S57" s="41">
        <f t="shared" ref="S57:S63" si="30">SUM(H57,M57,R57)/3</f>
        <v>4.5</v>
      </c>
      <c r="T57" s="81" t="str">
        <f t="shared" ref="T57:T63" si="31">IF(S57&gt;=10,"TRANSITA","N/TRANSITA")</f>
        <v>N/TRANSITA</v>
      </c>
    </row>
    <row r="58" spans="2:20" ht="14.25" customHeight="1" x14ac:dyDescent="0.3">
      <c r="B58" s="33">
        <v>50</v>
      </c>
      <c r="C58" s="127" t="s">
        <v>115</v>
      </c>
      <c r="D58" s="60"/>
      <c r="E58" s="85">
        <v>16</v>
      </c>
      <c r="F58" s="86">
        <v>10</v>
      </c>
      <c r="G58" s="86">
        <v>12</v>
      </c>
      <c r="H58" s="40">
        <f t="shared" si="1"/>
        <v>14</v>
      </c>
      <c r="I58" s="63" t="str">
        <f t="shared" si="2"/>
        <v>TRANSITA</v>
      </c>
      <c r="J58" s="98">
        <v>11</v>
      </c>
      <c r="K58" s="102">
        <v>17</v>
      </c>
      <c r="L58" s="65"/>
      <c r="M58" s="40">
        <f t="shared" si="27"/>
        <v>14</v>
      </c>
      <c r="N58" s="63" t="str">
        <f t="shared" si="28"/>
        <v>TRANSITA</v>
      </c>
      <c r="O58" s="98"/>
      <c r="P58" s="102"/>
      <c r="Q58" s="65"/>
      <c r="R58" s="40">
        <f t="shared" si="29"/>
        <v>0</v>
      </c>
      <c r="S58" s="41">
        <f t="shared" si="30"/>
        <v>9.3333333333333339</v>
      </c>
      <c r="T58" s="81" t="str">
        <f t="shared" si="31"/>
        <v>N/TRANSITA</v>
      </c>
    </row>
    <row r="59" spans="2:20" ht="14.25" customHeight="1" x14ac:dyDescent="0.3">
      <c r="B59" s="33">
        <v>51</v>
      </c>
      <c r="C59" s="127" t="s">
        <v>116</v>
      </c>
      <c r="D59" s="60"/>
      <c r="E59" s="85"/>
      <c r="F59" s="86"/>
      <c r="G59" s="86"/>
      <c r="H59" s="40">
        <f t="shared" si="1"/>
        <v>0</v>
      </c>
      <c r="I59" s="63" t="str">
        <f t="shared" si="2"/>
        <v>N/TRANSITA</v>
      </c>
      <c r="J59" s="98"/>
      <c r="K59" s="102"/>
      <c r="L59" s="65"/>
      <c r="M59" s="40">
        <f t="shared" si="27"/>
        <v>0</v>
      </c>
      <c r="N59" s="63" t="str">
        <f t="shared" si="28"/>
        <v>N/TRANSITA</v>
      </c>
      <c r="O59" s="98"/>
      <c r="P59" s="102"/>
      <c r="Q59" s="65"/>
      <c r="R59" s="40">
        <f t="shared" si="29"/>
        <v>0</v>
      </c>
      <c r="S59" s="41">
        <f t="shared" si="30"/>
        <v>0</v>
      </c>
      <c r="T59" s="81" t="str">
        <f t="shared" si="31"/>
        <v>N/TRANSITA</v>
      </c>
    </row>
    <row r="60" spans="2:20" ht="14.25" customHeight="1" x14ac:dyDescent="0.3">
      <c r="B60" s="33">
        <v>52</v>
      </c>
      <c r="C60" s="127" t="s">
        <v>117</v>
      </c>
      <c r="D60" s="60"/>
      <c r="E60" s="85">
        <v>10</v>
      </c>
      <c r="F60" s="86">
        <v>1</v>
      </c>
      <c r="G60" s="86"/>
      <c r="H60" s="40">
        <f t="shared" si="1"/>
        <v>5.5</v>
      </c>
      <c r="I60" s="63" t="str">
        <f t="shared" si="2"/>
        <v>N/TRANSITA</v>
      </c>
      <c r="J60" s="98">
        <v>10</v>
      </c>
      <c r="K60" s="102">
        <v>14</v>
      </c>
      <c r="L60" s="65"/>
      <c r="M60" s="40">
        <f t="shared" si="27"/>
        <v>12</v>
      </c>
      <c r="N60" s="63" t="str">
        <f t="shared" si="28"/>
        <v>TRANSITA</v>
      </c>
      <c r="O60" s="98"/>
      <c r="P60" s="102"/>
      <c r="Q60" s="65"/>
      <c r="R60" s="40">
        <f t="shared" si="29"/>
        <v>0</v>
      </c>
      <c r="S60" s="41">
        <f t="shared" si="30"/>
        <v>5.833333333333333</v>
      </c>
      <c r="T60" s="81" t="str">
        <f t="shared" si="31"/>
        <v>N/TRANSITA</v>
      </c>
    </row>
    <row r="61" spans="2:20" ht="14.25" customHeight="1" x14ac:dyDescent="0.3">
      <c r="B61" s="33">
        <v>53</v>
      </c>
      <c r="C61" s="127" t="s">
        <v>118</v>
      </c>
      <c r="D61" s="60"/>
      <c r="E61" s="85">
        <v>15</v>
      </c>
      <c r="F61" s="86"/>
      <c r="G61" s="86"/>
      <c r="H61" s="40">
        <f t="shared" si="1"/>
        <v>7.5</v>
      </c>
      <c r="I61" s="63" t="str">
        <f t="shared" si="2"/>
        <v>N/TRANSITA</v>
      </c>
      <c r="J61" s="98"/>
      <c r="K61" s="102"/>
      <c r="L61" s="65"/>
      <c r="M61" s="40">
        <f t="shared" si="27"/>
        <v>0</v>
      </c>
      <c r="N61" s="63" t="str">
        <f t="shared" si="28"/>
        <v>N/TRANSITA</v>
      </c>
      <c r="O61" s="98"/>
      <c r="P61" s="102"/>
      <c r="Q61" s="65"/>
      <c r="R61" s="40">
        <f t="shared" si="29"/>
        <v>0</v>
      </c>
      <c r="S61" s="41">
        <f t="shared" si="30"/>
        <v>2.5</v>
      </c>
      <c r="T61" s="81" t="str">
        <f t="shared" si="31"/>
        <v>N/TRANSITA</v>
      </c>
    </row>
    <row r="62" spans="2:20" ht="14.25" customHeight="1" x14ac:dyDescent="0.3">
      <c r="B62" s="33">
        <v>54</v>
      </c>
      <c r="C62" s="128" t="s">
        <v>119</v>
      </c>
      <c r="D62" s="60"/>
      <c r="E62" s="85"/>
      <c r="F62" s="86"/>
      <c r="G62" s="86"/>
      <c r="H62" s="40">
        <f t="shared" si="1"/>
        <v>0</v>
      </c>
      <c r="I62" s="63" t="str">
        <f t="shared" si="2"/>
        <v>N/TRANSITA</v>
      </c>
      <c r="J62" s="98"/>
      <c r="K62" s="102"/>
      <c r="L62" s="65"/>
      <c r="M62" s="40">
        <f t="shared" si="27"/>
        <v>0</v>
      </c>
      <c r="N62" s="63" t="str">
        <f t="shared" si="28"/>
        <v>N/TRANSITA</v>
      </c>
      <c r="O62" s="98"/>
      <c r="P62" s="102"/>
      <c r="Q62" s="65"/>
      <c r="R62" s="40">
        <f t="shared" si="29"/>
        <v>0</v>
      </c>
      <c r="S62" s="41">
        <f t="shared" si="30"/>
        <v>0</v>
      </c>
      <c r="T62" s="81" t="str">
        <f t="shared" si="31"/>
        <v>N/TRANSITA</v>
      </c>
    </row>
    <row r="63" spans="2:20" ht="14.25" customHeight="1" x14ac:dyDescent="0.3">
      <c r="B63" s="33">
        <v>55</v>
      </c>
      <c r="C63" s="127" t="s">
        <v>120</v>
      </c>
      <c r="D63" s="60"/>
      <c r="E63" s="85">
        <v>16</v>
      </c>
      <c r="F63" s="86">
        <v>4</v>
      </c>
      <c r="G63" s="86"/>
      <c r="H63" s="40">
        <f t="shared" si="1"/>
        <v>10</v>
      </c>
      <c r="I63" s="63" t="str">
        <f t="shared" si="2"/>
        <v>TRANSITA</v>
      </c>
      <c r="J63" s="98">
        <v>12</v>
      </c>
      <c r="K63" s="102">
        <v>10</v>
      </c>
      <c r="L63" s="65"/>
      <c r="M63" s="40">
        <f t="shared" si="27"/>
        <v>11</v>
      </c>
      <c r="N63" s="63" t="str">
        <f t="shared" si="28"/>
        <v>TRANSITA</v>
      </c>
      <c r="O63" s="98"/>
      <c r="P63" s="102"/>
      <c r="Q63" s="65"/>
      <c r="R63" s="40">
        <f t="shared" si="29"/>
        <v>0</v>
      </c>
      <c r="S63" s="41">
        <f t="shared" si="30"/>
        <v>7</v>
      </c>
      <c r="T63" s="81" t="str">
        <f t="shared" si="31"/>
        <v>N/TRANSITA</v>
      </c>
    </row>
    <row r="64" spans="2:20" ht="14.25" customHeight="1" x14ac:dyDescent="0.3">
      <c r="B64" s="33">
        <v>56</v>
      </c>
      <c r="C64" s="127" t="s">
        <v>121</v>
      </c>
      <c r="D64" s="60"/>
      <c r="E64" s="85">
        <v>14</v>
      </c>
      <c r="F64" s="86">
        <v>4</v>
      </c>
      <c r="G64" s="86"/>
      <c r="H64" s="40">
        <f t="shared" si="1"/>
        <v>9</v>
      </c>
      <c r="I64" s="63" t="str">
        <f t="shared" si="2"/>
        <v>N/TRANSITA</v>
      </c>
      <c r="J64" s="98">
        <v>10</v>
      </c>
      <c r="K64" s="102">
        <v>11</v>
      </c>
      <c r="L64" s="65"/>
      <c r="M64" s="40">
        <f t="shared" si="3"/>
        <v>10.5</v>
      </c>
      <c r="N64" s="63" t="str">
        <f t="shared" si="4"/>
        <v>TRANSITA</v>
      </c>
      <c r="O64" s="98"/>
      <c r="P64" s="102"/>
      <c r="Q64" s="65"/>
      <c r="R64" s="40">
        <f t="shared" si="5"/>
        <v>0</v>
      </c>
      <c r="S64" s="41">
        <f t="shared" si="14"/>
        <v>6.5</v>
      </c>
      <c r="T64" s="81" t="str">
        <f t="shared" si="6"/>
        <v>N/TRANSITA</v>
      </c>
    </row>
    <row r="65" spans="1:20" ht="14.25" customHeight="1" x14ac:dyDescent="0.3">
      <c r="B65" s="33">
        <v>57</v>
      </c>
      <c r="C65" s="127" t="s">
        <v>122</v>
      </c>
      <c r="D65" s="61"/>
      <c r="E65" s="85"/>
      <c r="F65" s="86"/>
      <c r="G65" s="86"/>
      <c r="H65" s="40">
        <f t="shared" si="1"/>
        <v>0</v>
      </c>
      <c r="I65" s="63" t="str">
        <f t="shared" si="2"/>
        <v>N/TRANSITA</v>
      </c>
      <c r="J65" s="98"/>
      <c r="K65" s="102"/>
      <c r="L65" s="65"/>
      <c r="M65" s="40">
        <f t="shared" si="3"/>
        <v>0</v>
      </c>
      <c r="N65" s="63" t="str">
        <f t="shared" si="4"/>
        <v>N/TRANSITA</v>
      </c>
      <c r="O65" s="98"/>
      <c r="P65" s="102"/>
      <c r="Q65" s="65"/>
      <c r="R65" s="40">
        <f t="shared" si="5"/>
        <v>0</v>
      </c>
      <c r="S65" s="41">
        <f t="shared" si="14"/>
        <v>0</v>
      </c>
      <c r="T65" s="81" t="str">
        <f t="shared" si="6"/>
        <v>N/TRANSITA</v>
      </c>
    </row>
    <row r="66" spans="1:20" ht="14.25" customHeight="1" x14ac:dyDescent="0.3">
      <c r="B66" s="33">
        <v>58</v>
      </c>
      <c r="C66" s="127" t="s">
        <v>123</v>
      </c>
      <c r="D66" s="60"/>
      <c r="E66" s="85">
        <v>13</v>
      </c>
      <c r="F66" s="86"/>
      <c r="G66" s="86"/>
      <c r="H66" s="40">
        <f t="shared" si="1"/>
        <v>6.5</v>
      </c>
      <c r="I66" s="63" t="str">
        <f t="shared" si="2"/>
        <v>N/TRANSITA</v>
      </c>
      <c r="J66" s="98">
        <v>10</v>
      </c>
      <c r="K66" s="102">
        <v>15</v>
      </c>
      <c r="L66" s="65"/>
      <c r="M66" s="40">
        <f t="shared" si="3"/>
        <v>12.5</v>
      </c>
      <c r="N66" s="63" t="str">
        <f t="shared" si="4"/>
        <v>TRANSITA</v>
      </c>
      <c r="O66" s="98"/>
      <c r="P66" s="102"/>
      <c r="Q66" s="65"/>
      <c r="R66" s="40">
        <f t="shared" si="5"/>
        <v>0</v>
      </c>
      <c r="S66" s="41">
        <f t="shared" si="14"/>
        <v>6.333333333333333</v>
      </c>
      <c r="T66" s="81" t="str">
        <f t="shared" si="6"/>
        <v>N/TRANSITA</v>
      </c>
    </row>
    <row r="67" spans="1:20" ht="14.25" customHeight="1" x14ac:dyDescent="0.3">
      <c r="B67" s="33">
        <v>59</v>
      </c>
      <c r="C67" s="127" t="s">
        <v>124</v>
      </c>
      <c r="D67" s="60"/>
      <c r="E67" s="85">
        <v>11</v>
      </c>
      <c r="F67" s="86">
        <v>6</v>
      </c>
      <c r="G67" s="86">
        <v>10</v>
      </c>
      <c r="H67" s="40">
        <f t="shared" si="1"/>
        <v>10.5</v>
      </c>
      <c r="I67" s="63" t="str">
        <f t="shared" si="2"/>
        <v>TRANSITA</v>
      </c>
      <c r="J67" s="98">
        <v>10</v>
      </c>
      <c r="K67" s="102">
        <v>14</v>
      </c>
      <c r="L67" s="65"/>
      <c r="M67" s="40">
        <f t="shared" si="3"/>
        <v>12</v>
      </c>
      <c r="N67" s="63" t="str">
        <f t="shared" si="4"/>
        <v>TRANSITA</v>
      </c>
      <c r="O67" s="98"/>
      <c r="P67" s="102"/>
      <c r="Q67" s="65"/>
      <c r="R67" s="40">
        <f t="shared" si="5"/>
        <v>0</v>
      </c>
      <c r="S67" s="41">
        <f t="shared" si="14"/>
        <v>7.5</v>
      </c>
      <c r="T67" s="81" t="str">
        <f t="shared" si="6"/>
        <v>N/TRANSITA</v>
      </c>
    </row>
    <row r="68" spans="1:20" ht="14.25" customHeight="1" x14ac:dyDescent="0.3">
      <c r="B68" s="33">
        <v>60</v>
      </c>
      <c r="C68" s="128" t="s">
        <v>125</v>
      </c>
      <c r="D68" s="60"/>
      <c r="E68" s="85">
        <v>10</v>
      </c>
      <c r="F68" s="86">
        <v>5</v>
      </c>
      <c r="G68" s="86"/>
      <c r="H68" s="40">
        <f t="shared" si="1"/>
        <v>7.5</v>
      </c>
      <c r="I68" s="63" t="str">
        <f t="shared" si="2"/>
        <v>N/TRANSITA</v>
      </c>
      <c r="J68" s="98">
        <v>10</v>
      </c>
      <c r="K68" s="102">
        <v>10</v>
      </c>
      <c r="L68" s="65"/>
      <c r="M68" s="40">
        <f t="shared" si="3"/>
        <v>10</v>
      </c>
      <c r="N68" s="63" t="str">
        <f t="shared" si="4"/>
        <v>TRANSITA</v>
      </c>
      <c r="O68" s="98"/>
      <c r="P68" s="102"/>
      <c r="Q68" s="65"/>
      <c r="R68" s="40">
        <f t="shared" si="5"/>
        <v>0</v>
      </c>
      <c r="S68" s="41">
        <f t="shared" si="14"/>
        <v>5.833333333333333</v>
      </c>
      <c r="T68" s="81" t="str">
        <f t="shared" si="6"/>
        <v>N/TRANSITA</v>
      </c>
    </row>
    <row r="69" spans="1:20" ht="14.25" customHeight="1" x14ac:dyDescent="0.3">
      <c r="B69" s="33">
        <v>61</v>
      </c>
      <c r="C69" s="127" t="s">
        <v>126</v>
      </c>
      <c r="D69" s="60"/>
      <c r="E69" s="85"/>
      <c r="F69" s="86"/>
      <c r="G69" s="86"/>
      <c r="H69" s="40">
        <f t="shared" si="1"/>
        <v>0</v>
      </c>
      <c r="I69" s="63" t="str">
        <f t="shared" si="2"/>
        <v>N/TRANSITA</v>
      </c>
      <c r="J69" s="98"/>
      <c r="K69" s="102"/>
      <c r="L69" s="65"/>
      <c r="M69" s="40">
        <f t="shared" si="3"/>
        <v>0</v>
      </c>
      <c r="N69" s="63" t="str">
        <f t="shared" si="4"/>
        <v>N/TRANSITA</v>
      </c>
      <c r="O69" s="98"/>
      <c r="P69" s="102"/>
      <c r="Q69" s="65"/>
      <c r="R69" s="40">
        <f t="shared" si="5"/>
        <v>0</v>
      </c>
      <c r="S69" s="41">
        <f t="shared" si="14"/>
        <v>0</v>
      </c>
      <c r="T69" s="81" t="str">
        <f t="shared" si="6"/>
        <v>N/TRANSITA</v>
      </c>
    </row>
    <row r="70" spans="1:20" ht="14.25" customHeight="1" x14ac:dyDescent="0.3">
      <c r="B70" s="33">
        <v>62</v>
      </c>
      <c r="C70" s="127" t="s">
        <v>127</v>
      </c>
      <c r="D70" s="60"/>
      <c r="E70" s="85">
        <v>14</v>
      </c>
      <c r="F70" s="86"/>
      <c r="G70" s="86"/>
      <c r="H70" s="40">
        <f t="shared" si="1"/>
        <v>7</v>
      </c>
      <c r="I70" s="63" t="str">
        <f t="shared" si="2"/>
        <v>N/TRANSITA</v>
      </c>
      <c r="J70" s="98"/>
      <c r="K70" s="102"/>
      <c r="L70" s="65"/>
      <c r="M70" s="40">
        <f t="shared" si="3"/>
        <v>0</v>
      </c>
      <c r="N70" s="63" t="str">
        <f t="shared" si="4"/>
        <v>N/TRANSITA</v>
      </c>
      <c r="O70" s="98"/>
      <c r="P70" s="102"/>
      <c r="Q70" s="65"/>
      <c r="R70" s="40">
        <f t="shared" si="5"/>
        <v>0</v>
      </c>
      <c r="S70" s="41">
        <f t="shared" si="14"/>
        <v>2.3333333333333335</v>
      </c>
      <c r="T70" s="81" t="str">
        <f t="shared" si="6"/>
        <v>N/TRANSITA</v>
      </c>
    </row>
    <row r="71" spans="1:20" ht="14.25" customHeight="1" thickBot="1" x14ac:dyDescent="0.35">
      <c r="B71" s="33">
        <v>63</v>
      </c>
      <c r="C71" s="129" t="s">
        <v>128</v>
      </c>
      <c r="D71" s="62"/>
      <c r="E71" s="87">
        <v>16</v>
      </c>
      <c r="F71" s="88"/>
      <c r="G71" s="88"/>
      <c r="H71" s="156">
        <f t="shared" si="1"/>
        <v>8</v>
      </c>
      <c r="I71" s="75" t="str">
        <f t="shared" si="2"/>
        <v>N/TRANSITA</v>
      </c>
      <c r="J71" s="100"/>
      <c r="K71" s="103"/>
      <c r="L71" s="68"/>
      <c r="M71" s="156">
        <f t="shared" si="3"/>
        <v>0</v>
      </c>
      <c r="N71" s="75" t="str">
        <f t="shared" si="4"/>
        <v>N/TRANSITA</v>
      </c>
      <c r="O71" s="100"/>
      <c r="P71" s="103"/>
      <c r="Q71" s="68"/>
      <c r="R71" s="156">
        <f t="shared" si="5"/>
        <v>0</v>
      </c>
      <c r="S71" s="42">
        <f t="shared" si="14"/>
        <v>2.6666666666666665</v>
      </c>
      <c r="T71" s="82" t="str">
        <f t="shared" si="6"/>
        <v>N/TRANSITA</v>
      </c>
    </row>
    <row r="72" spans="1:20" ht="93.75" customHeight="1" thickTop="1" x14ac:dyDescent="0.3">
      <c r="B72" s="19"/>
      <c r="C72" s="19"/>
      <c r="D72" s="19"/>
      <c r="E72" s="19"/>
      <c r="F72" s="19"/>
      <c r="G72" s="19"/>
      <c r="H72" s="19"/>
      <c r="I72" s="19"/>
      <c r="J72" s="19"/>
      <c r="O72" s="19"/>
      <c r="P72" s="19"/>
      <c r="Q72" s="19"/>
      <c r="R72" s="19"/>
      <c r="S72" s="19"/>
      <c r="T72" s="19"/>
    </row>
    <row r="73" spans="1:20" ht="20.25" customHeight="1" x14ac:dyDescent="0.45">
      <c r="A73" s="20"/>
      <c r="B73" s="20"/>
      <c r="C73" s="20"/>
      <c r="D73" s="20"/>
      <c r="E73" s="20"/>
      <c r="F73" s="20"/>
      <c r="G73" s="20"/>
      <c r="H73" s="20"/>
      <c r="I73" s="20"/>
      <c r="J73" s="20"/>
      <c r="O73" s="20"/>
      <c r="P73" s="21"/>
      <c r="Q73" s="21"/>
      <c r="R73" s="21"/>
      <c r="S73" s="20"/>
      <c r="T73" s="20"/>
    </row>
    <row r="74" spans="1:20" ht="15.6" x14ac:dyDescent="0.3">
      <c r="A74" s="253" t="s">
        <v>56</v>
      </c>
      <c r="B74" s="253"/>
      <c r="C74" s="253"/>
      <c r="D74" s="253"/>
      <c r="E74" s="253"/>
      <c r="F74" s="22"/>
      <c r="G74" s="22"/>
      <c r="H74" s="22"/>
      <c r="I74" s="22"/>
      <c r="J74" s="22"/>
      <c r="K74" s="23"/>
      <c r="L74" s="23"/>
      <c r="M74" s="23"/>
      <c r="N74" s="23"/>
      <c r="O74" s="253" t="s">
        <v>9</v>
      </c>
      <c r="P74" s="253"/>
      <c r="Q74" s="253"/>
      <c r="R74" s="253"/>
      <c r="S74" s="253"/>
      <c r="T74" s="253"/>
    </row>
    <row r="75" spans="1:20" ht="15.6" x14ac:dyDescent="0.3">
      <c r="A75" s="254" t="s">
        <v>22</v>
      </c>
      <c r="B75" s="254"/>
      <c r="C75" s="254"/>
      <c r="D75" s="254"/>
      <c r="E75" s="254"/>
      <c r="F75" s="24"/>
      <c r="G75" s="24"/>
      <c r="H75" s="24"/>
      <c r="I75" s="24"/>
      <c r="J75" s="24"/>
      <c r="O75" s="255" t="s">
        <v>23</v>
      </c>
      <c r="P75" s="255"/>
      <c r="Q75" s="255"/>
      <c r="R75" s="255"/>
      <c r="S75" s="255"/>
      <c r="T75" s="255"/>
    </row>
    <row r="76" spans="1:20" x14ac:dyDescent="0.3">
      <c r="A76" s="247"/>
      <c r="B76" s="247"/>
      <c r="C76" s="247"/>
      <c r="D76" s="247"/>
      <c r="E76" s="247"/>
      <c r="O76" s="247" t="s">
        <v>24</v>
      </c>
      <c r="P76" s="247"/>
      <c r="Q76" s="247"/>
      <c r="R76" s="247"/>
      <c r="S76" s="247"/>
      <c r="T76" s="247"/>
    </row>
  </sheetData>
  <mergeCells count="22">
    <mergeCell ref="A76:E76"/>
    <mergeCell ref="O76:T76"/>
    <mergeCell ref="S7:S8"/>
    <mergeCell ref="T7:T8"/>
    <mergeCell ref="A74:E74"/>
    <mergeCell ref="O74:T74"/>
    <mergeCell ref="A75:E75"/>
    <mergeCell ref="O75:T75"/>
    <mergeCell ref="B7:B8"/>
    <mergeCell ref="C7:C8"/>
    <mergeCell ref="E7:H7"/>
    <mergeCell ref="J7:M7"/>
    <mergeCell ref="O7:R7"/>
    <mergeCell ref="I7:I8"/>
    <mergeCell ref="N7:N8"/>
    <mergeCell ref="B6:T6"/>
    <mergeCell ref="B5:C5"/>
    <mergeCell ref="A1:T1"/>
    <mergeCell ref="B3:R3"/>
    <mergeCell ref="B4:C4"/>
    <mergeCell ref="P4:T4"/>
    <mergeCell ref="N5:T5"/>
  </mergeCells>
  <conditionalFormatting sqref="S9:S71">
    <cfRule type="cellIs" dxfId="201" priority="159" stopIfTrue="1" operator="greaterThan">
      <formula>9.5</formula>
    </cfRule>
    <cfRule type="cellIs" dxfId="200" priority="160" stopIfTrue="1" operator="lessThanOrEqual">
      <formula>9.5</formula>
    </cfRule>
  </conditionalFormatting>
  <conditionalFormatting sqref="M9:M71 R9:R71">
    <cfRule type="cellIs" dxfId="199" priority="129" stopIfTrue="1" operator="lessThan">
      <formula>10</formula>
    </cfRule>
    <cfRule type="cellIs" dxfId="198" priority="130" stopIfTrue="1" operator="greaterThanOrEqual">
      <formula>10</formula>
    </cfRule>
  </conditionalFormatting>
  <conditionalFormatting sqref="L9:L71 O9:Q71">
    <cfRule type="cellIs" dxfId="197" priority="65" stopIfTrue="1" operator="lessThan">
      <formula>10</formula>
    </cfRule>
    <cfRule type="cellIs" dxfId="196" priority="66" stopIfTrue="1" operator="greaterThan">
      <formula>9</formula>
    </cfRule>
    <cfRule type="cellIs" dxfId="195" priority="67" stopIfTrue="1" operator="lessThan">
      <formula>10</formula>
    </cfRule>
    <cfRule type="cellIs" dxfId="194" priority="68" stopIfTrue="1" operator="greaterThan">
      <formula>9</formula>
    </cfRule>
  </conditionalFormatting>
  <conditionalFormatting sqref="H9:H71">
    <cfRule type="cellIs" dxfId="193" priority="15" stopIfTrue="1" operator="lessThan">
      <formula>10</formula>
    </cfRule>
    <cfRule type="cellIs" dxfId="192" priority="16" stopIfTrue="1" operator="greaterThanOrEqual">
      <formula>10</formula>
    </cfRule>
  </conditionalFormatting>
  <conditionalFormatting sqref="J9:K71">
    <cfRule type="cellIs" dxfId="191" priority="9" stopIfTrue="1" operator="lessThan">
      <formula>10</formula>
    </cfRule>
    <cfRule type="cellIs" dxfId="190" priority="10" stopIfTrue="1" operator="greaterThan">
      <formula>9</formula>
    </cfRule>
    <cfRule type="cellIs" dxfId="189" priority="11" stopIfTrue="1" operator="lessThan">
      <formula>10</formula>
    </cfRule>
    <cfRule type="cellIs" dxfId="188" priority="12" stopIfTrue="1" operator="greaterThan">
      <formula>9</formula>
    </cfRule>
  </conditionalFormatting>
  <conditionalFormatting sqref="E9:F16 E17:G71">
    <cfRule type="cellIs" dxfId="187" priority="5" stopIfTrue="1" operator="lessThan">
      <formula>10</formula>
    </cfRule>
    <cfRule type="cellIs" dxfId="186" priority="6" stopIfTrue="1" operator="greaterThan">
      <formula>9</formula>
    </cfRule>
    <cfRule type="cellIs" dxfId="185" priority="7" stopIfTrue="1" operator="lessThan">
      <formula>10</formula>
    </cfRule>
    <cfRule type="cellIs" dxfId="184" priority="8" stopIfTrue="1" operator="greaterThan">
      <formula>9</formula>
    </cfRule>
  </conditionalFormatting>
  <conditionalFormatting sqref="G9:G16">
    <cfRule type="cellIs" dxfId="183" priority="1" stopIfTrue="1" operator="lessThan">
      <formula>10</formula>
    </cfRule>
    <cfRule type="cellIs" dxfId="182" priority="2" stopIfTrue="1" operator="greaterThan">
      <formula>9</formula>
    </cfRule>
    <cfRule type="cellIs" dxfId="181" priority="3" stopIfTrue="1" operator="lessThan">
      <formula>10</formula>
    </cfRule>
    <cfRule type="cellIs" dxfId="180" priority="4" stopIfTrue="1" operator="greaterThan">
      <formula>9</formula>
    </cfRule>
  </conditionalFormatting>
  <dataValidations count="1">
    <dataValidation type="decimal" allowBlank="1" showInputMessage="1" showErrorMessage="1" errorTitle="ATENÇÃO!" error="O valor introduzido não é válido. Grato!" sqref="J9:L71 O9:Q71 E9:G71">
      <formula1>0</formula1>
      <formula2>20</formula2>
    </dataValidation>
  </dataValidations>
  <pageMargins left="0.15748031496062992" right="0.51181102362204722" top="0.15748031496062992" bottom="0.15748031496062992" header="0.31496062992125984" footer="0.15748031496062992"/>
  <pageSetup paperSize="9" scale="95" orientation="portrait" verticalDpi="4294967293" r:id="rId1"/>
  <drawing r:id="rId2"/>
  <legacyDrawing r:id="rId3"/>
  <oleObjects>
    <mc:AlternateContent xmlns:mc="http://schemas.openxmlformats.org/markup-compatibility/2006">
      <mc:Choice Requires="x14">
        <oleObject progId="Word.Document.8" shapeId="3073" r:id="rId4">
          <objectPr defaultSize="0" r:id="rId5">
            <anchor moveWithCells="1">
              <from>
                <xdr:col>1</xdr:col>
                <xdr:colOff>60960</xdr:colOff>
                <xdr:row>71</xdr:row>
                <xdr:rowOff>160020</xdr:rowOff>
              </from>
              <to>
                <xdr:col>13</xdr:col>
                <xdr:colOff>175260</xdr:colOff>
                <xdr:row>73</xdr:row>
                <xdr:rowOff>22860</xdr:rowOff>
              </to>
            </anchor>
          </objectPr>
        </oleObject>
      </mc:Choice>
      <mc:Fallback>
        <oleObject progId="Word.Document.8" shapeId="3073" r:id="rId4"/>
      </mc:Fallback>
    </mc:AlternateContent>
  </oleObjec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5" stopIfTrue="1" operator="containsText" id="{111C082C-C183-4C8C-AB4F-C2B7C51C8260}">
            <xm:f>NOT(ISERROR(SEARCH("N/TRANSITA",N9)))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76" stopIfTrue="1" operator="containsText" id="{E8418621-1852-4C05-8FFC-775CDDA51CD4}">
            <xm:f>NOT(ISERROR(SEARCH("TRANSITA",N9)))</xm:f>
            <xm:f>"TRANSITA"</xm:f>
            <x14:dxf>
              <font>
                <b/>
                <i val="0"/>
                <color rgb="FF0000FF"/>
              </font>
            </x14:dxf>
          </x14:cfRule>
          <xm:sqref>N9:N71 T9:T71</xm:sqref>
        </x14:conditionalFormatting>
        <x14:conditionalFormatting xmlns:xm="http://schemas.microsoft.com/office/excel/2006/main">
          <x14:cfRule type="containsText" priority="13" stopIfTrue="1" operator="containsText" id="{34F653BA-930B-47FC-BB63-B31F4943C13F}">
            <xm:f>NOT(ISERROR(SEARCH("N/TRANSITA",I9)))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14" stopIfTrue="1" operator="containsText" id="{EA83B947-1DCF-4DD4-BFE0-9FA8B553C630}">
            <xm:f>NOT(ISERROR(SEARCH("TRANSITA",I9)))</xm:f>
            <xm:f>"TRANSITA"</xm:f>
            <x14:dxf>
              <font>
                <b/>
                <i val="0"/>
                <color rgb="FF0000FF"/>
              </font>
            </x14:dxf>
          </x14:cfRule>
          <xm:sqref>I9:I71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W76"/>
  <sheetViews>
    <sheetView showGridLines="0" topLeftCell="C28" zoomScale="115" zoomScaleNormal="115" zoomScalePageLayoutView="85" workbookViewId="0">
      <selection activeCell="H16" sqref="H16"/>
    </sheetView>
  </sheetViews>
  <sheetFormatPr defaultRowHeight="14.4" x14ac:dyDescent="0.3"/>
  <cols>
    <col min="1" max="1" width="1.6640625" customWidth="1"/>
    <col min="2" max="2" width="3.6640625" customWidth="1"/>
    <col min="3" max="3" width="35.109375" customWidth="1"/>
    <col min="4" max="4" width="6.44140625" customWidth="1"/>
    <col min="5" max="8" width="5.109375" customWidth="1"/>
    <col min="9" max="9" width="11.109375" customWidth="1"/>
    <col min="10" max="13" width="5.109375" customWidth="1"/>
    <col min="14" max="14" width="11.109375" customWidth="1"/>
    <col min="15" max="18" width="5.109375" customWidth="1"/>
    <col min="19" max="19" width="6" customWidth="1"/>
    <col min="20" max="20" width="11.5546875" customWidth="1"/>
    <col min="21" max="21" width="3.44140625" customWidth="1"/>
    <col min="22" max="22" width="5" customWidth="1"/>
  </cols>
  <sheetData>
    <row r="1" spans="1:23" ht="30" customHeight="1" x14ac:dyDescent="0.3">
      <c r="A1" s="246" t="s">
        <v>47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</row>
    <row r="2" spans="1:23" ht="30" customHeight="1" x14ac:dyDescent="0.3"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23" ht="12" customHeight="1" x14ac:dyDescent="0.3">
      <c r="B3" s="247"/>
      <c r="C3" s="247"/>
      <c r="D3" s="247"/>
      <c r="E3" s="247"/>
      <c r="F3" s="247"/>
      <c r="G3" s="247"/>
      <c r="H3" s="247"/>
      <c r="I3" s="247"/>
      <c r="J3" s="247"/>
      <c r="K3" s="247"/>
      <c r="L3" s="247"/>
      <c r="M3" s="247"/>
      <c r="N3" s="247"/>
      <c r="O3" s="247"/>
      <c r="P3" s="247"/>
      <c r="Q3" s="247"/>
      <c r="R3" s="247"/>
    </row>
    <row r="4" spans="1:23" ht="17.399999999999999" customHeight="1" x14ac:dyDescent="0.3">
      <c r="B4" s="248" t="s">
        <v>68</v>
      </c>
      <c r="C4" s="248"/>
      <c r="D4" s="131"/>
      <c r="F4" s="76"/>
      <c r="G4" s="76"/>
      <c r="I4" s="76" t="s">
        <v>65</v>
      </c>
      <c r="J4" s="76"/>
      <c r="K4" s="76"/>
      <c r="L4" s="76"/>
      <c r="M4" s="76"/>
      <c r="N4" s="131"/>
      <c r="P4" s="250" t="s">
        <v>61</v>
      </c>
      <c r="Q4" s="250"/>
      <c r="R4" s="250"/>
      <c r="S4" s="250"/>
      <c r="T4" s="250"/>
    </row>
    <row r="5" spans="1:23" ht="18" customHeight="1" x14ac:dyDescent="0.3">
      <c r="B5" s="248" t="s">
        <v>51</v>
      </c>
      <c r="C5" s="248"/>
      <c r="D5" s="131"/>
      <c r="E5" s="77" t="s">
        <v>58</v>
      </c>
      <c r="F5" s="77"/>
      <c r="I5" s="77" t="s">
        <v>67</v>
      </c>
      <c r="J5" s="77"/>
      <c r="K5" s="77"/>
      <c r="N5" s="249" t="s">
        <v>66</v>
      </c>
      <c r="O5" s="249"/>
      <c r="P5" s="249"/>
      <c r="Q5" s="249"/>
      <c r="R5" s="249"/>
      <c r="S5" s="249"/>
      <c r="T5" s="249"/>
    </row>
    <row r="6" spans="1:23" ht="34.5" customHeight="1" thickBot="1" x14ac:dyDescent="1.05">
      <c r="B6" s="263" t="s">
        <v>45</v>
      </c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5"/>
    </row>
    <row r="7" spans="1:23" ht="19.5" customHeight="1" thickTop="1" x14ac:dyDescent="0.3">
      <c r="B7" s="256" t="s">
        <v>39</v>
      </c>
      <c r="C7" s="258" t="s">
        <v>14</v>
      </c>
      <c r="D7" s="43" t="s">
        <v>43</v>
      </c>
      <c r="E7" s="260" t="s">
        <v>40</v>
      </c>
      <c r="F7" s="261"/>
      <c r="G7" s="261"/>
      <c r="H7" s="262"/>
      <c r="I7" s="244" t="s">
        <v>16</v>
      </c>
      <c r="J7" s="260" t="s">
        <v>41</v>
      </c>
      <c r="K7" s="261"/>
      <c r="L7" s="261"/>
      <c r="M7" s="262"/>
      <c r="N7" s="244" t="s">
        <v>16</v>
      </c>
      <c r="O7" s="260" t="s">
        <v>42</v>
      </c>
      <c r="P7" s="261"/>
      <c r="Q7" s="261"/>
      <c r="R7" s="262"/>
      <c r="S7" s="251" t="s">
        <v>15</v>
      </c>
      <c r="T7" s="244" t="s">
        <v>16</v>
      </c>
    </row>
    <row r="8" spans="1:23" ht="20.25" customHeight="1" thickBot="1" x14ac:dyDescent="0.35">
      <c r="B8" s="257"/>
      <c r="C8" s="259"/>
      <c r="D8" s="44" t="s">
        <v>44</v>
      </c>
      <c r="E8" s="36" t="s">
        <v>17</v>
      </c>
      <c r="F8" s="35" t="s">
        <v>18</v>
      </c>
      <c r="G8" s="35" t="s">
        <v>38</v>
      </c>
      <c r="H8" s="37" t="s">
        <v>19</v>
      </c>
      <c r="I8" s="245"/>
      <c r="J8" s="36" t="s">
        <v>17</v>
      </c>
      <c r="K8" s="35" t="s">
        <v>18</v>
      </c>
      <c r="L8" s="35" t="s">
        <v>38</v>
      </c>
      <c r="M8" s="37" t="s">
        <v>20</v>
      </c>
      <c r="N8" s="245"/>
      <c r="O8" s="36" t="s">
        <v>17</v>
      </c>
      <c r="P8" s="35" t="s">
        <v>18</v>
      </c>
      <c r="Q8" s="35" t="s">
        <v>38</v>
      </c>
      <c r="R8" s="37" t="s">
        <v>21</v>
      </c>
      <c r="S8" s="252"/>
      <c r="T8" s="245"/>
    </row>
    <row r="9" spans="1:23" ht="14.25" customHeight="1" thickTop="1" x14ac:dyDescent="0.3">
      <c r="B9" s="135">
        <v>1</v>
      </c>
      <c r="C9" s="126" t="s">
        <v>69</v>
      </c>
      <c r="D9" s="136"/>
      <c r="E9" s="137">
        <v>17</v>
      </c>
      <c r="F9" s="138">
        <v>8.5</v>
      </c>
      <c r="G9" s="138">
        <v>12</v>
      </c>
      <c r="H9" s="139">
        <f>AVERAGE(E9,MAX(F9:G9))</f>
        <v>14.5</v>
      </c>
      <c r="I9" s="151" t="str">
        <f>IF(H9&gt;=10,"TRANSITA","N/TRANSITA")</f>
        <v>TRANSITA</v>
      </c>
      <c r="J9" s="197">
        <v>18.5</v>
      </c>
      <c r="K9" s="198">
        <v>14</v>
      </c>
      <c r="L9" s="161"/>
      <c r="M9" s="150">
        <f>AVERAGE(J9,MAX(K9:L9))</f>
        <v>16.25</v>
      </c>
      <c r="N9" s="151" t="str">
        <f>IF(M9&gt;=10,"TRANSITA","N/TRANSITA")</f>
        <v>TRANSITA</v>
      </c>
      <c r="O9" s="152"/>
      <c r="P9" s="160"/>
      <c r="Q9" s="161"/>
      <c r="R9" s="150">
        <f>AVERAGE(O9,MAX(P9:Q9))</f>
        <v>0</v>
      </c>
      <c r="S9" s="155">
        <f t="shared" ref="S9:S71" si="0">SUM(H9,M9,R9)/3</f>
        <v>10.25</v>
      </c>
      <c r="T9" s="80" t="str">
        <f>IF(S9&gt;=10,"TRANSITA","N/TRANSITA")</f>
        <v>TRANSITA</v>
      </c>
    </row>
    <row r="10" spans="1:23" ht="14.25" customHeight="1" x14ac:dyDescent="0.3">
      <c r="B10" s="33">
        <v>2</v>
      </c>
      <c r="C10" s="127" t="s">
        <v>70</v>
      </c>
      <c r="D10" s="60"/>
      <c r="E10" s="92">
        <v>10</v>
      </c>
      <c r="F10" s="93">
        <v>6.5</v>
      </c>
      <c r="G10" s="93">
        <v>15</v>
      </c>
      <c r="H10" s="106">
        <f t="shared" ref="H10:H71" si="1">AVERAGE(E10,MAX(F10:G10))</f>
        <v>12.5</v>
      </c>
      <c r="I10" s="63" t="str">
        <f t="shared" ref="I10:I71" si="2">IF(H10&gt;=10,"TRANSITA","N/TRANSITA")</f>
        <v>TRANSITA</v>
      </c>
      <c r="J10" s="192">
        <v>12</v>
      </c>
      <c r="K10" s="199">
        <v>10</v>
      </c>
      <c r="L10" s="65"/>
      <c r="M10" s="40">
        <f t="shared" ref="M10:M71" si="3">AVERAGE(J10,MAX(K10:L10))</f>
        <v>11</v>
      </c>
      <c r="N10" s="63" t="str">
        <f t="shared" ref="N10:N71" si="4">IF(M10&gt;=10,"TRANSITA","N/TRANSITA")</f>
        <v>TRANSITA</v>
      </c>
      <c r="O10" s="98"/>
      <c r="P10" s="102"/>
      <c r="Q10" s="65"/>
      <c r="R10" s="40">
        <f t="shared" ref="R10:R71" si="5">AVERAGE(O10,MAX(P10:Q10))</f>
        <v>0</v>
      </c>
      <c r="S10" s="41">
        <f t="shared" si="0"/>
        <v>7.833333333333333</v>
      </c>
      <c r="T10" s="81" t="str">
        <f t="shared" ref="T10:T71" si="6">IF(S10&gt;=10,"TRANSITA","N/TRANSITA")</f>
        <v>N/TRANSITA</v>
      </c>
    </row>
    <row r="11" spans="1:23" ht="14.25" customHeight="1" x14ac:dyDescent="0.3">
      <c r="B11" s="33">
        <v>3</v>
      </c>
      <c r="C11" s="127" t="s">
        <v>71</v>
      </c>
      <c r="D11" s="60"/>
      <c r="E11" s="92">
        <v>15</v>
      </c>
      <c r="F11" s="93">
        <v>8</v>
      </c>
      <c r="G11" s="93"/>
      <c r="H11" s="106">
        <f t="shared" si="1"/>
        <v>11.5</v>
      </c>
      <c r="I11" s="63" t="str">
        <f t="shared" si="2"/>
        <v>TRANSITA</v>
      </c>
      <c r="J11" s="192">
        <v>11</v>
      </c>
      <c r="K11" s="199">
        <v>15</v>
      </c>
      <c r="L11" s="65"/>
      <c r="M11" s="40">
        <f t="shared" si="3"/>
        <v>13</v>
      </c>
      <c r="N11" s="63" t="str">
        <f t="shared" si="4"/>
        <v>TRANSITA</v>
      </c>
      <c r="O11" s="98"/>
      <c r="P11" s="102"/>
      <c r="Q11" s="65"/>
      <c r="R11" s="40">
        <f t="shared" si="5"/>
        <v>0</v>
      </c>
      <c r="S11" s="41">
        <f t="shared" si="0"/>
        <v>8.1666666666666661</v>
      </c>
      <c r="T11" s="81" t="str">
        <f t="shared" si="6"/>
        <v>N/TRANSITA</v>
      </c>
    </row>
    <row r="12" spans="1:23" ht="14.25" customHeight="1" x14ac:dyDescent="0.3">
      <c r="B12" s="33">
        <v>4</v>
      </c>
      <c r="C12" s="127" t="s">
        <v>72</v>
      </c>
      <c r="D12" s="60"/>
      <c r="E12" s="92">
        <v>10</v>
      </c>
      <c r="F12" s="93">
        <v>5.5</v>
      </c>
      <c r="G12" s="93"/>
      <c r="H12" s="106">
        <f t="shared" si="1"/>
        <v>7.75</v>
      </c>
      <c r="I12" s="63" t="str">
        <f t="shared" si="2"/>
        <v>N/TRANSITA</v>
      </c>
      <c r="J12" s="192"/>
      <c r="K12" s="199"/>
      <c r="L12" s="65"/>
      <c r="M12" s="40">
        <f t="shared" si="3"/>
        <v>0</v>
      </c>
      <c r="N12" s="63" t="str">
        <f t="shared" si="4"/>
        <v>N/TRANSITA</v>
      </c>
      <c r="O12" s="98"/>
      <c r="P12" s="102"/>
      <c r="Q12" s="65"/>
      <c r="R12" s="40">
        <f t="shared" si="5"/>
        <v>0</v>
      </c>
      <c r="S12" s="41">
        <f t="shared" si="0"/>
        <v>2.5833333333333335</v>
      </c>
      <c r="T12" s="81" t="str">
        <f t="shared" si="6"/>
        <v>N/TRANSITA</v>
      </c>
    </row>
    <row r="13" spans="1:23" ht="14.25" customHeight="1" x14ac:dyDescent="0.3">
      <c r="B13" s="33">
        <v>5</v>
      </c>
      <c r="C13" s="127" t="s">
        <v>73</v>
      </c>
      <c r="D13" s="60"/>
      <c r="E13" s="92">
        <v>20</v>
      </c>
      <c r="F13" s="93">
        <v>20</v>
      </c>
      <c r="G13" s="93"/>
      <c r="H13" s="106">
        <f t="shared" si="1"/>
        <v>20</v>
      </c>
      <c r="I13" s="63" t="str">
        <f t="shared" si="2"/>
        <v>TRANSITA</v>
      </c>
      <c r="J13" s="192">
        <v>19.5</v>
      </c>
      <c r="K13" s="199">
        <v>19</v>
      </c>
      <c r="L13" s="65"/>
      <c r="M13" s="40">
        <f t="shared" si="3"/>
        <v>19.25</v>
      </c>
      <c r="N13" s="63" t="str">
        <f t="shared" si="4"/>
        <v>TRANSITA</v>
      </c>
      <c r="O13" s="98"/>
      <c r="P13" s="102"/>
      <c r="Q13" s="65"/>
      <c r="R13" s="40">
        <f t="shared" si="5"/>
        <v>0</v>
      </c>
      <c r="S13" s="41">
        <f t="shared" si="0"/>
        <v>13.083333333333334</v>
      </c>
      <c r="T13" s="81" t="str">
        <f t="shared" si="6"/>
        <v>TRANSITA</v>
      </c>
      <c r="U13" s="18"/>
      <c r="V13" s="18"/>
      <c r="W13" s="18"/>
    </row>
    <row r="14" spans="1:23" ht="14.25" customHeight="1" x14ac:dyDescent="0.3">
      <c r="B14" s="33">
        <v>6</v>
      </c>
      <c r="C14" s="127" t="s">
        <v>74</v>
      </c>
      <c r="D14" s="60"/>
      <c r="E14" s="92">
        <v>13</v>
      </c>
      <c r="F14" s="93">
        <v>7</v>
      </c>
      <c r="G14" s="93"/>
      <c r="H14" s="106">
        <f t="shared" si="1"/>
        <v>10</v>
      </c>
      <c r="I14" s="63" t="str">
        <f t="shared" si="2"/>
        <v>TRANSITA</v>
      </c>
      <c r="J14" s="192">
        <v>10</v>
      </c>
      <c r="K14" s="199">
        <v>5</v>
      </c>
      <c r="L14" s="65"/>
      <c r="M14" s="40">
        <f t="shared" si="3"/>
        <v>7.5</v>
      </c>
      <c r="N14" s="63" t="str">
        <f t="shared" si="4"/>
        <v>N/TRANSITA</v>
      </c>
      <c r="O14" s="98"/>
      <c r="P14" s="102"/>
      <c r="Q14" s="65"/>
      <c r="R14" s="40">
        <f t="shared" si="5"/>
        <v>0</v>
      </c>
      <c r="S14" s="41">
        <f t="shared" si="0"/>
        <v>5.833333333333333</v>
      </c>
      <c r="T14" s="81" t="str">
        <f t="shared" si="6"/>
        <v>N/TRANSITA</v>
      </c>
    </row>
    <row r="15" spans="1:23" ht="14.25" customHeight="1" x14ac:dyDescent="0.3">
      <c r="B15" s="33">
        <v>7</v>
      </c>
      <c r="C15" s="127" t="s">
        <v>75</v>
      </c>
      <c r="D15" s="60"/>
      <c r="E15" s="92">
        <v>10</v>
      </c>
      <c r="F15" s="93">
        <v>3.5</v>
      </c>
      <c r="G15" s="93"/>
      <c r="H15" s="106">
        <f t="shared" si="1"/>
        <v>6.75</v>
      </c>
      <c r="I15" s="63" t="str">
        <f t="shared" si="2"/>
        <v>N/TRANSITA</v>
      </c>
      <c r="J15" s="192"/>
      <c r="K15" s="199"/>
      <c r="L15" s="65"/>
      <c r="M15" s="40">
        <f t="shared" si="3"/>
        <v>0</v>
      </c>
      <c r="N15" s="63" t="str">
        <f t="shared" si="4"/>
        <v>N/TRANSITA</v>
      </c>
      <c r="O15" s="98"/>
      <c r="P15" s="102"/>
      <c r="Q15" s="65"/>
      <c r="R15" s="40">
        <f t="shared" si="5"/>
        <v>0</v>
      </c>
      <c r="S15" s="41">
        <f t="shared" si="0"/>
        <v>2.25</v>
      </c>
      <c r="T15" s="81" t="str">
        <f t="shared" si="6"/>
        <v>N/TRANSITA</v>
      </c>
    </row>
    <row r="16" spans="1:23" ht="14.25" customHeight="1" x14ac:dyDescent="0.3">
      <c r="B16" s="33">
        <v>8</v>
      </c>
      <c r="C16" s="127" t="s">
        <v>76</v>
      </c>
      <c r="D16" s="60"/>
      <c r="E16" s="92">
        <v>10</v>
      </c>
      <c r="F16" s="93">
        <v>6</v>
      </c>
      <c r="G16" s="93"/>
      <c r="H16" s="106">
        <f t="shared" si="1"/>
        <v>8</v>
      </c>
      <c r="I16" s="63" t="str">
        <f t="shared" si="2"/>
        <v>N/TRANSITA</v>
      </c>
      <c r="J16" s="192">
        <v>13</v>
      </c>
      <c r="K16" s="199">
        <v>12</v>
      </c>
      <c r="L16" s="65"/>
      <c r="M16" s="40">
        <f t="shared" si="3"/>
        <v>12.5</v>
      </c>
      <c r="N16" s="63" t="str">
        <f t="shared" si="4"/>
        <v>TRANSITA</v>
      </c>
      <c r="O16" s="98"/>
      <c r="P16" s="102"/>
      <c r="Q16" s="65"/>
      <c r="R16" s="40">
        <f t="shared" si="5"/>
        <v>0</v>
      </c>
      <c r="S16" s="41">
        <f t="shared" si="0"/>
        <v>6.833333333333333</v>
      </c>
      <c r="T16" s="81" t="str">
        <f t="shared" si="6"/>
        <v>N/TRANSITA</v>
      </c>
    </row>
    <row r="17" spans="2:20" ht="14.25" customHeight="1" x14ac:dyDescent="0.3">
      <c r="B17" s="33">
        <v>9</v>
      </c>
      <c r="C17" s="127" t="s">
        <v>77</v>
      </c>
      <c r="D17" s="60"/>
      <c r="E17" s="92">
        <v>14</v>
      </c>
      <c r="F17" s="93">
        <v>8.5</v>
      </c>
      <c r="G17" s="93"/>
      <c r="H17" s="106">
        <f t="shared" si="1"/>
        <v>11.25</v>
      </c>
      <c r="I17" s="63" t="str">
        <f t="shared" si="2"/>
        <v>TRANSITA</v>
      </c>
      <c r="J17" s="92">
        <v>8</v>
      </c>
      <c r="K17" s="93">
        <v>10.5</v>
      </c>
      <c r="L17" s="65"/>
      <c r="M17" s="40">
        <f t="shared" si="3"/>
        <v>9.25</v>
      </c>
      <c r="N17" s="63" t="str">
        <f t="shared" si="4"/>
        <v>N/TRANSITA</v>
      </c>
      <c r="O17" s="98"/>
      <c r="P17" s="102"/>
      <c r="Q17" s="65"/>
      <c r="R17" s="40">
        <f t="shared" si="5"/>
        <v>0</v>
      </c>
      <c r="S17" s="41">
        <f t="shared" si="0"/>
        <v>6.833333333333333</v>
      </c>
      <c r="T17" s="81" t="str">
        <f t="shared" si="6"/>
        <v>N/TRANSITA</v>
      </c>
    </row>
    <row r="18" spans="2:20" ht="14.25" customHeight="1" x14ac:dyDescent="0.3">
      <c r="B18" s="33">
        <v>10</v>
      </c>
      <c r="C18" s="128" t="s">
        <v>78</v>
      </c>
      <c r="D18" s="60"/>
      <c r="E18" s="92">
        <v>10</v>
      </c>
      <c r="F18" s="93">
        <v>8.5</v>
      </c>
      <c r="G18" s="93">
        <v>10</v>
      </c>
      <c r="H18" s="106">
        <f t="shared" si="1"/>
        <v>10</v>
      </c>
      <c r="I18" s="63" t="str">
        <f t="shared" si="2"/>
        <v>TRANSITA</v>
      </c>
      <c r="J18" s="192">
        <v>11</v>
      </c>
      <c r="K18" s="199">
        <v>6</v>
      </c>
      <c r="L18" s="65"/>
      <c r="M18" s="40">
        <f t="shared" si="3"/>
        <v>8.5</v>
      </c>
      <c r="N18" s="63" t="str">
        <f t="shared" si="4"/>
        <v>N/TRANSITA</v>
      </c>
      <c r="O18" s="98"/>
      <c r="P18" s="102"/>
      <c r="Q18" s="65"/>
      <c r="R18" s="40">
        <f t="shared" si="5"/>
        <v>0</v>
      </c>
      <c r="S18" s="41">
        <f t="shared" si="0"/>
        <v>6.166666666666667</v>
      </c>
      <c r="T18" s="81" t="str">
        <f t="shared" si="6"/>
        <v>N/TRANSITA</v>
      </c>
    </row>
    <row r="19" spans="2:20" ht="14.25" customHeight="1" x14ac:dyDescent="0.3">
      <c r="B19" s="33">
        <v>11</v>
      </c>
      <c r="C19" s="127" t="s">
        <v>79</v>
      </c>
      <c r="D19" s="60"/>
      <c r="E19" s="92"/>
      <c r="F19" s="93"/>
      <c r="G19" s="93"/>
      <c r="H19" s="106">
        <f t="shared" si="1"/>
        <v>0</v>
      </c>
      <c r="I19" s="63" t="str">
        <f t="shared" si="2"/>
        <v>N/TRANSITA</v>
      </c>
      <c r="J19" s="192"/>
      <c r="K19" s="199"/>
      <c r="L19" s="65"/>
      <c r="M19" s="40">
        <f t="shared" si="3"/>
        <v>0</v>
      </c>
      <c r="N19" s="63" t="str">
        <f t="shared" si="4"/>
        <v>N/TRANSITA</v>
      </c>
      <c r="O19" s="98"/>
      <c r="P19" s="102"/>
      <c r="Q19" s="65"/>
      <c r="R19" s="40">
        <f t="shared" si="5"/>
        <v>0</v>
      </c>
      <c r="S19" s="41">
        <f t="shared" si="0"/>
        <v>0</v>
      </c>
      <c r="T19" s="81" t="str">
        <f t="shared" si="6"/>
        <v>N/TRANSITA</v>
      </c>
    </row>
    <row r="20" spans="2:20" ht="14.25" customHeight="1" x14ac:dyDescent="0.3">
      <c r="B20" s="33">
        <v>12</v>
      </c>
      <c r="C20" s="127" t="s">
        <v>80</v>
      </c>
      <c r="D20" s="60"/>
      <c r="E20" s="92">
        <v>13.8</v>
      </c>
      <c r="F20" s="93">
        <v>11</v>
      </c>
      <c r="G20" s="93"/>
      <c r="H20" s="106">
        <f t="shared" si="1"/>
        <v>12.4</v>
      </c>
      <c r="I20" s="63" t="str">
        <f t="shared" si="2"/>
        <v>TRANSITA</v>
      </c>
      <c r="J20" s="192">
        <v>19.5</v>
      </c>
      <c r="K20" s="199">
        <v>18</v>
      </c>
      <c r="L20" s="65"/>
      <c r="M20" s="40">
        <f t="shared" si="3"/>
        <v>18.75</v>
      </c>
      <c r="N20" s="63" t="str">
        <f t="shared" si="4"/>
        <v>TRANSITA</v>
      </c>
      <c r="O20" s="98"/>
      <c r="P20" s="102"/>
      <c r="Q20" s="65"/>
      <c r="R20" s="40">
        <f t="shared" si="5"/>
        <v>0</v>
      </c>
      <c r="S20" s="41">
        <f t="shared" si="0"/>
        <v>10.383333333333333</v>
      </c>
      <c r="T20" s="81" t="str">
        <f t="shared" si="6"/>
        <v>TRANSITA</v>
      </c>
    </row>
    <row r="21" spans="2:20" ht="14.25" customHeight="1" x14ac:dyDescent="0.3">
      <c r="B21" s="33">
        <v>13</v>
      </c>
      <c r="C21" s="127" t="s">
        <v>81</v>
      </c>
      <c r="D21" s="60"/>
      <c r="E21" s="92">
        <v>10</v>
      </c>
      <c r="F21" s="93"/>
      <c r="G21" s="93"/>
      <c r="H21" s="106">
        <f t="shared" si="1"/>
        <v>5</v>
      </c>
      <c r="I21" s="63" t="str">
        <f t="shared" si="2"/>
        <v>N/TRANSITA</v>
      </c>
      <c r="J21" s="192"/>
      <c r="K21" s="199"/>
      <c r="L21" s="65"/>
      <c r="M21" s="40">
        <f t="shared" si="3"/>
        <v>0</v>
      </c>
      <c r="N21" s="63" t="str">
        <f t="shared" si="4"/>
        <v>N/TRANSITA</v>
      </c>
      <c r="O21" s="98"/>
      <c r="P21" s="102"/>
      <c r="Q21" s="65"/>
      <c r="R21" s="40">
        <f t="shared" si="5"/>
        <v>0</v>
      </c>
      <c r="S21" s="41">
        <f t="shared" si="0"/>
        <v>1.6666666666666667</v>
      </c>
      <c r="T21" s="81" t="str">
        <f t="shared" si="6"/>
        <v>N/TRANSITA</v>
      </c>
    </row>
    <row r="22" spans="2:20" ht="14.25" customHeight="1" x14ac:dyDescent="0.3">
      <c r="B22" s="33">
        <v>14</v>
      </c>
      <c r="C22" s="127" t="s">
        <v>82</v>
      </c>
      <c r="D22" s="60"/>
      <c r="E22" s="92"/>
      <c r="F22" s="93"/>
      <c r="G22" s="93"/>
      <c r="H22" s="106">
        <f t="shared" si="1"/>
        <v>0</v>
      </c>
      <c r="I22" s="63" t="str">
        <f t="shared" si="2"/>
        <v>N/TRANSITA</v>
      </c>
      <c r="J22" s="192"/>
      <c r="K22" s="199"/>
      <c r="L22" s="65"/>
      <c r="M22" s="40">
        <f t="shared" si="3"/>
        <v>0</v>
      </c>
      <c r="N22" s="63" t="str">
        <f t="shared" si="4"/>
        <v>N/TRANSITA</v>
      </c>
      <c r="O22" s="98"/>
      <c r="P22" s="102"/>
      <c r="Q22" s="65"/>
      <c r="R22" s="40">
        <f t="shared" si="5"/>
        <v>0</v>
      </c>
      <c r="S22" s="41">
        <f t="shared" si="0"/>
        <v>0</v>
      </c>
      <c r="T22" s="81" t="str">
        <f t="shared" si="6"/>
        <v>N/TRANSITA</v>
      </c>
    </row>
    <row r="23" spans="2:20" ht="14.25" customHeight="1" x14ac:dyDescent="0.3">
      <c r="B23" s="33">
        <v>15</v>
      </c>
      <c r="C23" s="127" t="s">
        <v>83</v>
      </c>
      <c r="D23" s="60"/>
      <c r="E23" s="92">
        <v>18</v>
      </c>
      <c r="F23" s="93">
        <v>9</v>
      </c>
      <c r="G23" s="93">
        <v>15</v>
      </c>
      <c r="H23" s="106">
        <f t="shared" si="1"/>
        <v>16.5</v>
      </c>
      <c r="I23" s="63" t="str">
        <f t="shared" si="2"/>
        <v>TRANSITA</v>
      </c>
      <c r="J23" s="192">
        <v>19.5</v>
      </c>
      <c r="K23" s="199">
        <v>18</v>
      </c>
      <c r="L23" s="65"/>
      <c r="M23" s="40">
        <f t="shared" si="3"/>
        <v>18.75</v>
      </c>
      <c r="N23" s="63" t="str">
        <f t="shared" si="4"/>
        <v>TRANSITA</v>
      </c>
      <c r="O23" s="98"/>
      <c r="P23" s="102"/>
      <c r="Q23" s="65"/>
      <c r="R23" s="40">
        <f t="shared" si="5"/>
        <v>0</v>
      </c>
      <c r="S23" s="41">
        <f t="shared" si="0"/>
        <v>11.75</v>
      </c>
      <c r="T23" s="81" t="str">
        <f t="shared" si="6"/>
        <v>TRANSITA</v>
      </c>
    </row>
    <row r="24" spans="2:20" ht="14.25" customHeight="1" x14ac:dyDescent="0.3">
      <c r="B24" s="33">
        <v>16</v>
      </c>
      <c r="C24" s="127" t="s">
        <v>84</v>
      </c>
      <c r="D24" s="60"/>
      <c r="E24" s="92">
        <v>15.1</v>
      </c>
      <c r="F24" s="93">
        <v>10</v>
      </c>
      <c r="G24" s="93"/>
      <c r="H24" s="106">
        <f t="shared" si="1"/>
        <v>12.55</v>
      </c>
      <c r="I24" s="63" t="str">
        <f t="shared" si="2"/>
        <v>TRANSITA</v>
      </c>
      <c r="J24" s="192">
        <v>19.5</v>
      </c>
      <c r="K24" s="199">
        <v>16</v>
      </c>
      <c r="L24" s="65"/>
      <c r="M24" s="40">
        <f t="shared" si="3"/>
        <v>17.75</v>
      </c>
      <c r="N24" s="63" t="str">
        <f t="shared" si="4"/>
        <v>TRANSITA</v>
      </c>
      <c r="O24" s="98"/>
      <c r="P24" s="102"/>
      <c r="Q24" s="65"/>
      <c r="R24" s="40">
        <f t="shared" si="5"/>
        <v>0</v>
      </c>
      <c r="S24" s="41">
        <f t="shared" si="0"/>
        <v>10.1</v>
      </c>
      <c r="T24" s="81" t="str">
        <f t="shared" si="6"/>
        <v>TRANSITA</v>
      </c>
    </row>
    <row r="25" spans="2:20" ht="14.25" customHeight="1" x14ac:dyDescent="0.3">
      <c r="B25" s="33">
        <v>17</v>
      </c>
      <c r="C25" s="127" t="s">
        <v>85</v>
      </c>
      <c r="D25" s="60"/>
      <c r="E25" s="92">
        <v>15</v>
      </c>
      <c r="F25" s="93">
        <v>6</v>
      </c>
      <c r="G25" s="93"/>
      <c r="H25" s="106">
        <f t="shared" si="1"/>
        <v>10.5</v>
      </c>
      <c r="I25" s="63" t="str">
        <f t="shared" si="2"/>
        <v>TRANSITA</v>
      </c>
      <c r="J25" s="192">
        <v>11</v>
      </c>
      <c r="K25" s="199">
        <v>9</v>
      </c>
      <c r="L25" s="65"/>
      <c r="M25" s="40">
        <f t="shared" si="3"/>
        <v>10</v>
      </c>
      <c r="N25" s="63" t="str">
        <f t="shared" si="4"/>
        <v>TRANSITA</v>
      </c>
      <c r="O25" s="98"/>
      <c r="P25" s="102"/>
      <c r="Q25" s="65"/>
      <c r="R25" s="40">
        <f t="shared" si="5"/>
        <v>0</v>
      </c>
      <c r="S25" s="41">
        <f t="shared" si="0"/>
        <v>6.833333333333333</v>
      </c>
      <c r="T25" s="81" t="str">
        <f t="shared" si="6"/>
        <v>N/TRANSITA</v>
      </c>
    </row>
    <row r="26" spans="2:20" ht="14.25" customHeight="1" x14ac:dyDescent="0.3">
      <c r="B26" s="33">
        <v>18</v>
      </c>
      <c r="C26" s="127" t="s">
        <v>140</v>
      </c>
      <c r="D26" s="60"/>
      <c r="E26" s="92"/>
      <c r="F26" s="93"/>
      <c r="G26" s="93"/>
      <c r="H26" s="106">
        <f t="shared" si="1"/>
        <v>0</v>
      </c>
      <c r="I26" s="63" t="str">
        <f t="shared" si="2"/>
        <v>N/TRANSITA</v>
      </c>
      <c r="J26" s="192">
        <v>11</v>
      </c>
      <c r="K26" s="199">
        <v>0</v>
      </c>
      <c r="L26" s="65"/>
      <c r="M26" s="40">
        <f t="shared" ref="M26:M27" si="7">AVERAGE(J26,MAX(K26:L26))</f>
        <v>5.5</v>
      </c>
      <c r="N26" s="63" t="str">
        <f t="shared" ref="N26:N27" si="8">IF(M26&gt;=10,"TRANSITA","N/TRANSITA")</f>
        <v>N/TRANSITA</v>
      </c>
      <c r="O26" s="98"/>
      <c r="P26" s="102"/>
      <c r="Q26" s="65"/>
      <c r="R26" s="40">
        <f t="shared" ref="R26:R27" si="9">AVERAGE(O26,MAX(P26:Q26))</f>
        <v>0</v>
      </c>
      <c r="S26" s="41">
        <f t="shared" ref="S26:S27" si="10">SUM(H26,M26,R26)/3</f>
        <v>1.8333333333333333</v>
      </c>
      <c r="T26" s="81" t="str">
        <f t="shared" ref="T26:T27" si="11">IF(S26&gt;=10,"TRANSITA","N/TRANSITA")</f>
        <v>N/TRANSITA</v>
      </c>
    </row>
    <row r="27" spans="2:20" ht="14.25" customHeight="1" x14ac:dyDescent="0.3">
      <c r="B27" s="33">
        <v>19</v>
      </c>
      <c r="C27" s="127" t="s">
        <v>86</v>
      </c>
      <c r="D27" s="60"/>
      <c r="E27" s="92"/>
      <c r="F27" s="93"/>
      <c r="G27" s="93"/>
      <c r="H27" s="106">
        <f t="shared" si="1"/>
        <v>0</v>
      </c>
      <c r="I27" s="63" t="str">
        <f t="shared" si="2"/>
        <v>N/TRANSITA</v>
      </c>
      <c r="J27" s="192"/>
      <c r="K27" s="199"/>
      <c r="L27" s="65"/>
      <c r="M27" s="40">
        <f t="shared" si="7"/>
        <v>0</v>
      </c>
      <c r="N27" s="63" t="str">
        <f t="shared" si="8"/>
        <v>N/TRANSITA</v>
      </c>
      <c r="O27" s="98"/>
      <c r="P27" s="102"/>
      <c r="Q27" s="65"/>
      <c r="R27" s="40">
        <f t="shared" si="9"/>
        <v>0</v>
      </c>
      <c r="S27" s="41">
        <f t="shared" si="10"/>
        <v>0</v>
      </c>
      <c r="T27" s="81" t="str">
        <f t="shared" si="11"/>
        <v>N/TRANSITA</v>
      </c>
    </row>
    <row r="28" spans="2:20" ht="14.25" customHeight="1" x14ac:dyDescent="0.3">
      <c r="B28" s="33">
        <v>20</v>
      </c>
      <c r="C28" s="127" t="s">
        <v>87</v>
      </c>
      <c r="D28" s="60"/>
      <c r="E28" s="92">
        <v>13.8</v>
      </c>
      <c r="F28" s="93">
        <v>7</v>
      </c>
      <c r="G28" s="93">
        <v>14</v>
      </c>
      <c r="H28" s="106">
        <f t="shared" si="1"/>
        <v>13.9</v>
      </c>
      <c r="I28" s="63" t="str">
        <f t="shared" si="2"/>
        <v>TRANSITA</v>
      </c>
      <c r="J28" s="192">
        <v>11</v>
      </c>
      <c r="K28" s="199">
        <v>17.5</v>
      </c>
      <c r="L28" s="65"/>
      <c r="M28" s="40">
        <f t="shared" si="3"/>
        <v>14.25</v>
      </c>
      <c r="N28" s="63" t="str">
        <f t="shared" si="4"/>
        <v>TRANSITA</v>
      </c>
      <c r="O28" s="98"/>
      <c r="P28" s="102"/>
      <c r="Q28" s="65"/>
      <c r="R28" s="40">
        <f t="shared" si="5"/>
        <v>0</v>
      </c>
      <c r="S28" s="41">
        <f t="shared" si="0"/>
        <v>9.3833333333333329</v>
      </c>
      <c r="T28" s="81" t="str">
        <f t="shared" si="6"/>
        <v>N/TRANSITA</v>
      </c>
    </row>
    <row r="29" spans="2:20" ht="14.25" customHeight="1" x14ac:dyDescent="0.3">
      <c r="B29" s="33">
        <v>21</v>
      </c>
      <c r="C29" s="127" t="s">
        <v>88</v>
      </c>
      <c r="D29" s="60"/>
      <c r="E29" s="92">
        <v>13</v>
      </c>
      <c r="F29" s="93">
        <v>1</v>
      </c>
      <c r="G29" s="93"/>
      <c r="H29" s="106">
        <f t="shared" si="1"/>
        <v>7</v>
      </c>
      <c r="I29" s="63" t="str">
        <f t="shared" si="2"/>
        <v>N/TRANSITA</v>
      </c>
      <c r="J29" s="192"/>
      <c r="K29" s="199"/>
      <c r="L29" s="65"/>
      <c r="M29" s="40">
        <f t="shared" si="3"/>
        <v>0</v>
      </c>
      <c r="N29" s="63" t="str">
        <f t="shared" si="4"/>
        <v>N/TRANSITA</v>
      </c>
      <c r="O29" s="98"/>
      <c r="P29" s="102"/>
      <c r="Q29" s="65"/>
      <c r="R29" s="40">
        <f t="shared" si="5"/>
        <v>0</v>
      </c>
      <c r="S29" s="41">
        <f t="shared" si="0"/>
        <v>2.3333333333333335</v>
      </c>
      <c r="T29" s="81" t="str">
        <f t="shared" si="6"/>
        <v>N/TRANSITA</v>
      </c>
    </row>
    <row r="30" spans="2:20" ht="14.25" customHeight="1" x14ac:dyDescent="0.3">
      <c r="B30" s="33">
        <v>22</v>
      </c>
      <c r="C30" s="127" t="s">
        <v>89</v>
      </c>
      <c r="D30" s="60"/>
      <c r="E30" s="92">
        <v>15</v>
      </c>
      <c r="F30" s="93">
        <v>8.5</v>
      </c>
      <c r="G30" s="93">
        <v>12</v>
      </c>
      <c r="H30" s="106">
        <f t="shared" si="1"/>
        <v>13.5</v>
      </c>
      <c r="I30" s="63" t="str">
        <f t="shared" si="2"/>
        <v>TRANSITA</v>
      </c>
      <c r="J30" s="192">
        <v>10</v>
      </c>
      <c r="K30" s="199">
        <v>7.5</v>
      </c>
      <c r="L30" s="65"/>
      <c r="M30" s="40">
        <f t="shared" si="3"/>
        <v>8.75</v>
      </c>
      <c r="N30" s="63" t="str">
        <f t="shared" si="4"/>
        <v>N/TRANSITA</v>
      </c>
      <c r="O30" s="98"/>
      <c r="P30" s="102"/>
      <c r="Q30" s="65"/>
      <c r="R30" s="40">
        <f t="shared" si="5"/>
        <v>0</v>
      </c>
      <c r="S30" s="41">
        <f t="shared" si="0"/>
        <v>7.416666666666667</v>
      </c>
      <c r="T30" s="81" t="str">
        <f t="shared" si="6"/>
        <v>N/TRANSITA</v>
      </c>
    </row>
    <row r="31" spans="2:20" ht="14.25" customHeight="1" x14ac:dyDescent="0.3">
      <c r="B31" s="33">
        <v>23</v>
      </c>
      <c r="C31" s="127" t="s">
        <v>90</v>
      </c>
      <c r="D31" s="60"/>
      <c r="E31" s="92">
        <v>13</v>
      </c>
      <c r="F31" s="93">
        <v>0.5</v>
      </c>
      <c r="G31" s="93"/>
      <c r="H31" s="106">
        <f t="shared" si="1"/>
        <v>6.75</v>
      </c>
      <c r="I31" s="63" t="str">
        <f t="shared" si="2"/>
        <v>N/TRANSITA</v>
      </c>
      <c r="J31" s="192">
        <v>10</v>
      </c>
      <c r="K31" s="199">
        <v>2.5</v>
      </c>
      <c r="L31" s="65"/>
      <c r="M31" s="40">
        <f t="shared" si="3"/>
        <v>6.25</v>
      </c>
      <c r="N31" s="63" t="str">
        <f t="shared" si="4"/>
        <v>N/TRANSITA</v>
      </c>
      <c r="O31" s="98"/>
      <c r="P31" s="102"/>
      <c r="Q31" s="65"/>
      <c r="R31" s="40">
        <f t="shared" si="5"/>
        <v>0</v>
      </c>
      <c r="S31" s="41">
        <f t="shared" si="0"/>
        <v>4.333333333333333</v>
      </c>
      <c r="T31" s="81" t="str">
        <f t="shared" si="6"/>
        <v>N/TRANSITA</v>
      </c>
    </row>
    <row r="32" spans="2:20" ht="14.25" customHeight="1" x14ac:dyDescent="0.3">
      <c r="B32" s="33">
        <v>24</v>
      </c>
      <c r="C32" s="127" t="s">
        <v>91</v>
      </c>
      <c r="D32" s="60"/>
      <c r="E32" s="92"/>
      <c r="F32" s="93"/>
      <c r="G32" s="93"/>
      <c r="H32" s="106">
        <f t="shared" si="1"/>
        <v>0</v>
      </c>
      <c r="I32" s="63" t="str">
        <f t="shared" si="2"/>
        <v>N/TRANSITA</v>
      </c>
      <c r="J32" s="192"/>
      <c r="K32" s="199"/>
      <c r="L32" s="65"/>
      <c r="M32" s="40">
        <f t="shared" si="3"/>
        <v>0</v>
      </c>
      <c r="N32" s="63" t="str">
        <f t="shared" si="4"/>
        <v>N/TRANSITA</v>
      </c>
      <c r="O32" s="98"/>
      <c r="P32" s="102"/>
      <c r="Q32" s="65"/>
      <c r="R32" s="40">
        <f t="shared" si="5"/>
        <v>0</v>
      </c>
      <c r="S32" s="41">
        <f t="shared" si="0"/>
        <v>0</v>
      </c>
      <c r="T32" s="81" t="str">
        <f t="shared" si="6"/>
        <v>N/TRANSITA</v>
      </c>
    </row>
    <row r="33" spans="2:20" ht="14.25" customHeight="1" x14ac:dyDescent="0.3">
      <c r="B33" s="33">
        <v>25</v>
      </c>
      <c r="C33" s="127" t="s">
        <v>92</v>
      </c>
      <c r="D33" s="60"/>
      <c r="E33" s="92">
        <v>12</v>
      </c>
      <c r="F33" s="93">
        <v>8.5</v>
      </c>
      <c r="G33" s="93"/>
      <c r="H33" s="106">
        <f t="shared" si="1"/>
        <v>10.25</v>
      </c>
      <c r="I33" s="63" t="str">
        <f t="shared" si="2"/>
        <v>TRANSITA</v>
      </c>
      <c r="J33" s="192">
        <v>13.3</v>
      </c>
      <c r="K33" s="199">
        <v>10.5</v>
      </c>
      <c r="L33" s="65"/>
      <c r="M33" s="40">
        <f t="shared" si="3"/>
        <v>11.9</v>
      </c>
      <c r="N33" s="63" t="str">
        <f t="shared" si="4"/>
        <v>TRANSITA</v>
      </c>
      <c r="O33" s="98"/>
      <c r="P33" s="102"/>
      <c r="Q33" s="65"/>
      <c r="R33" s="40">
        <f t="shared" si="5"/>
        <v>0</v>
      </c>
      <c r="S33" s="41">
        <f t="shared" si="0"/>
        <v>7.3833333333333329</v>
      </c>
      <c r="T33" s="81" t="str">
        <f t="shared" si="6"/>
        <v>N/TRANSITA</v>
      </c>
    </row>
    <row r="34" spans="2:20" ht="14.25" customHeight="1" x14ac:dyDescent="0.3">
      <c r="B34" s="33">
        <v>26</v>
      </c>
      <c r="C34" s="127" t="s">
        <v>93</v>
      </c>
      <c r="D34" s="60"/>
      <c r="E34" s="92"/>
      <c r="F34" s="93"/>
      <c r="G34" s="93"/>
      <c r="H34" s="106">
        <f t="shared" si="1"/>
        <v>0</v>
      </c>
      <c r="I34" s="63" t="str">
        <f t="shared" si="2"/>
        <v>N/TRANSITA</v>
      </c>
      <c r="J34" s="192"/>
      <c r="K34" s="199"/>
      <c r="L34" s="65"/>
      <c r="M34" s="40">
        <f t="shared" si="3"/>
        <v>0</v>
      </c>
      <c r="N34" s="63" t="str">
        <f t="shared" si="4"/>
        <v>N/TRANSITA</v>
      </c>
      <c r="O34" s="98"/>
      <c r="P34" s="102"/>
      <c r="Q34" s="65"/>
      <c r="R34" s="40">
        <f t="shared" si="5"/>
        <v>0</v>
      </c>
      <c r="S34" s="41">
        <f t="shared" si="0"/>
        <v>0</v>
      </c>
      <c r="T34" s="81" t="str">
        <f t="shared" si="6"/>
        <v>N/TRANSITA</v>
      </c>
    </row>
    <row r="35" spans="2:20" ht="14.25" customHeight="1" x14ac:dyDescent="0.3">
      <c r="B35" s="33">
        <v>27</v>
      </c>
      <c r="C35" s="128" t="s">
        <v>94</v>
      </c>
      <c r="D35" s="60"/>
      <c r="E35" s="92"/>
      <c r="F35" s="93"/>
      <c r="G35" s="93"/>
      <c r="H35" s="106">
        <f t="shared" si="1"/>
        <v>0</v>
      </c>
      <c r="I35" s="63" t="str">
        <f t="shared" si="2"/>
        <v>N/TRANSITA</v>
      </c>
      <c r="J35" s="192"/>
      <c r="K35" s="199"/>
      <c r="L35" s="65"/>
      <c r="M35" s="40">
        <f t="shared" si="3"/>
        <v>0</v>
      </c>
      <c r="N35" s="63" t="str">
        <f t="shared" si="4"/>
        <v>N/TRANSITA</v>
      </c>
      <c r="O35" s="98"/>
      <c r="P35" s="102"/>
      <c r="Q35" s="65"/>
      <c r="R35" s="40">
        <f t="shared" si="5"/>
        <v>0</v>
      </c>
      <c r="S35" s="41">
        <f t="shared" si="0"/>
        <v>0</v>
      </c>
      <c r="T35" s="81" t="str">
        <f t="shared" si="6"/>
        <v>N/TRANSITA</v>
      </c>
    </row>
    <row r="36" spans="2:20" ht="14.25" customHeight="1" x14ac:dyDescent="0.3">
      <c r="B36" s="33">
        <v>28</v>
      </c>
      <c r="C36" s="127" t="s">
        <v>95</v>
      </c>
      <c r="D36" s="60"/>
      <c r="E36" s="92">
        <v>13.5</v>
      </c>
      <c r="F36" s="93">
        <v>10.5</v>
      </c>
      <c r="G36" s="93"/>
      <c r="H36" s="106">
        <f t="shared" si="1"/>
        <v>12</v>
      </c>
      <c r="I36" s="63" t="str">
        <f t="shared" si="2"/>
        <v>TRANSITA</v>
      </c>
      <c r="J36" s="192"/>
      <c r="K36" s="199"/>
      <c r="L36" s="65"/>
      <c r="M36" s="40">
        <f t="shared" si="3"/>
        <v>0</v>
      </c>
      <c r="N36" s="63" t="str">
        <f t="shared" si="4"/>
        <v>N/TRANSITA</v>
      </c>
      <c r="O36" s="98"/>
      <c r="P36" s="102"/>
      <c r="Q36" s="65"/>
      <c r="R36" s="40">
        <f t="shared" si="5"/>
        <v>0</v>
      </c>
      <c r="S36" s="41">
        <f t="shared" si="0"/>
        <v>4</v>
      </c>
      <c r="T36" s="81" t="str">
        <f t="shared" si="6"/>
        <v>N/TRANSITA</v>
      </c>
    </row>
    <row r="37" spans="2:20" ht="14.25" customHeight="1" x14ac:dyDescent="0.3">
      <c r="B37" s="33">
        <v>29</v>
      </c>
      <c r="C37" s="127" t="s">
        <v>96</v>
      </c>
      <c r="D37" s="60"/>
      <c r="E37" s="92">
        <v>10</v>
      </c>
      <c r="F37" s="93">
        <v>7</v>
      </c>
      <c r="G37" s="93"/>
      <c r="H37" s="106">
        <f t="shared" si="1"/>
        <v>8.5</v>
      </c>
      <c r="I37" s="63" t="str">
        <f t="shared" si="2"/>
        <v>N/TRANSITA</v>
      </c>
      <c r="J37" s="192">
        <v>11.6</v>
      </c>
      <c r="K37" s="199">
        <v>6</v>
      </c>
      <c r="L37" s="65"/>
      <c r="M37" s="40">
        <f t="shared" si="3"/>
        <v>8.8000000000000007</v>
      </c>
      <c r="N37" s="63" t="str">
        <f t="shared" si="4"/>
        <v>N/TRANSITA</v>
      </c>
      <c r="O37" s="98"/>
      <c r="P37" s="102"/>
      <c r="Q37" s="65"/>
      <c r="R37" s="40">
        <f t="shared" si="5"/>
        <v>0</v>
      </c>
      <c r="S37" s="41">
        <f t="shared" si="0"/>
        <v>5.7666666666666666</v>
      </c>
      <c r="T37" s="81" t="str">
        <f t="shared" si="6"/>
        <v>N/TRANSITA</v>
      </c>
    </row>
    <row r="38" spans="2:20" ht="14.25" customHeight="1" x14ac:dyDescent="0.3">
      <c r="B38" s="33">
        <v>30</v>
      </c>
      <c r="C38" s="127" t="s">
        <v>97</v>
      </c>
      <c r="D38" s="60"/>
      <c r="E38" s="92"/>
      <c r="F38" s="93"/>
      <c r="G38" s="93"/>
      <c r="H38" s="106">
        <f t="shared" si="1"/>
        <v>0</v>
      </c>
      <c r="I38" s="63" t="str">
        <f t="shared" si="2"/>
        <v>N/TRANSITA</v>
      </c>
      <c r="J38" s="192"/>
      <c r="K38" s="199"/>
      <c r="L38" s="65"/>
      <c r="M38" s="40">
        <f t="shared" si="3"/>
        <v>0</v>
      </c>
      <c r="N38" s="63" t="str">
        <f t="shared" si="4"/>
        <v>N/TRANSITA</v>
      </c>
      <c r="O38" s="98"/>
      <c r="P38" s="102"/>
      <c r="Q38" s="65"/>
      <c r="R38" s="40">
        <f t="shared" si="5"/>
        <v>0</v>
      </c>
      <c r="S38" s="41">
        <f t="shared" si="0"/>
        <v>0</v>
      </c>
      <c r="T38" s="81" t="str">
        <f t="shared" si="6"/>
        <v>N/TRANSITA</v>
      </c>
    </row>
    <row r="39" spans="2:20" ht="14.25" customHeight="1" x14ac:dyDescent="0.3">
      <c r="B39" s="33">
        <v>31</v>
      </c>
      <c r="C39" s="127" t="s">
        <v>98</v>
      </c>
      <c r="D39" s="60"/>
      <c r="E39" s="92">
        <v>10</v>
      </c>
      <c r="F39" s="93"/>
      <c r="G39" s="93"/>
      <c r="H39" s="106">
        <f t="shared" si="1"/>
        <v>5</v>
      </c>
      <c r="I39" s="63" t="str">
        <f t="shared" si="2"/>
        <v>N/TRANSITA</v>
      </c>
      <c r="J39" s="192"/>
      <c r="K39" s="199"/>
      <c r="L39" s="65"/>
      <c r="M39" s="40">
        <f t="shared" si="3"/>
        <v>0</v>
      </c>
      <c r="N39" s="63" t="str">
        <f t="shared" si="4"/>
        <v>N/TRANSITA</v>
      </c>
      <c r="O39" s="98"/>
      <c r="P39" s="102"/>
      <c r="Q39" s="65"/>
      <c r="R39" s="40">
        <f t="shared" si="5"/>
        <v>0</v>
      </c>
      <c r="S39" s="41">
        <f t="shared" si="0"/>
        <v>1.6666666666666667</v>
      </c>
      <c r="T39" s="81" t="str">
        <f t="shared" si="6"/>
        <v>N/TRANSITA</v>
      </c>
    </row>
    <row r="40" spans="2:20" ht="14.25" customHeight="1" x14ac:dyDescent="0.3">
      <c r="B40" s="33">
        <v>32</v>
      </c>
      <c r="C40" s="128" t="s">
        <v>99</v>
      </c>
      <c r="D40" s="60"/>
      <c r="E40" s="92">
        <v>10</v>
      </c>
      <c r="F40" s="93">
        <v>1.5</v>
      </c>
      <c r="G40" s="93"/>
      <c r="H40" s="106">
        <f t="shared" si="1"/>
        <v>5.75</v>
      </c>
      <c r="I40" s="63" t="str">
        <f t="shared" si="2"/>
        <v>N/TRANSITA</v>
      </c>
      <c r="J40" s="192">
        <v>7</v>
      </c>
      <c r="K40" s="199">
        <v>0.5</v>
      </c>
      <c r="L40" s="65"/>
      <c r="M40" s="40">
        <f t="shared" si="3"/>
        <v>3.75</v>
      </c>
      <c r="N40" s="63" t="str">
        <f t="shared" si="4"/>
        <v>N/TRANSITA</v>
      </c>
      <c r="O40" s="98"/>
      <c r="P40" s="102"/>
      <c r="Q40" s="65"/>
      <c r="R40" s="40">
        <f t="shared" si="5"/>
        <v>0</v>
      </c>
      <c r="S40" s="41">
        <f t="shared" si="0"/>
        <v>3.1666666666666665</v>
      </c>
      <c r="T40" s="81" t="str">
        <f t="shared" si="6"/>
        <v>N/TRANSITA</v>
      </c>
    </row>
    <row r="41" spans="2:20" ht="14.25" customHeight="1" x14ac:dyDescent="0.3">
      <c r="B41" s="33">
        <v>33</v>
      </c>
      <c r="C41" s="127" t="s">
        <v>100</v>
      </c>
      <c r="D41" s="60"/>
      <c r="E41" s="92">
        <v>18</v>
      </c>
      <c r="F41" s="93">
        <v>20</v>
      </c>
      <c r="G41" s="93"/>
      <c r="H41" s="106">
        <f t="shared" si="1"/>
        <v>19</v>
      </c>
      <c r="I41" s="63" t="str">
        <f t="shared" si="2"/>
        <v>TRANSITA</v>
      </c>
      <c r="J41" s="192">
        <v>19.3</v>
      </c>
      <c r="K41" s="199">
        <v>16</v>
      </c>
      <c r="L41" s="65"/>
      <c r="M41" s="40">
        <f t="shared" si="3"/>
        <v>17.649999999999999</v>
      </c>
      <c r="N41" s="63" t="str">
        <f t="shared" si="4"/>
        <v>TRANSITA</v>
      </c>
      <c r="O41" s="98"/>
      <c r="P41" s="102"/>
      <c r="Q41" s="65"/>
      <c r="R41" s="40">
        <f t="shared" si="5"/>
        <v>0</v>
      </c>
      <c r="S41" s="41">
        <f t="shared" si="0"/>
        <v>12.216666666666667</v>
      </c>
      <c r="T41" s="81" t="str">
        <f t="shared" si="6"/>
        <v>TRANSITA</v>
      </c>
    </row>
    <row r="42" spans="2:20" ht="14.25" customHeight="1" x14ac:dyDescent="0.3">
      <c r="B42" s="33">
        <v>34</v>
      </c>
      <c r="C42" s="127" t="s">
        <v>101</v>
      </c>
      <c r="D42" s="60"/>
      <c r="E42" s="92"/>
      <c r="F42" s="93"/>
      <c r="G42" s="93"/>
      <c r="H42" s="106">
        <f t="shared" si="1"/>
        <v>0</v>
      </c>
      <c r="I42" s="63" t="str">
        <f t="shared" si="2"/>
        <v>N/TRANSITA</v>
      </c>
      <c r="J42" s="192"/>
      <c r="K42" s="199"/>
      <c r="L42" s="65"/>
      <c r="M42" s="40">
        <f t="shared" si="3"/>
        <v>0</v>
      </c>
      <c r="N42" s="63" t="str">
        <f t="shared" si="4"/>
        <v>N/TRANSITA</v>
      </c>
      <c r="O42" s="98"/>
      <c r="P42" s="102"/>
      <c r="Q42" s="65"/>
      <c r="R42" s="40">
        <f t="shared" si="5"/>
        <v>0</v>
      </c>
      <c r="S42" s="41">
        <f t="shared" si="0"/>
        <v>0</v>
      </c>
      <c r="T42" s="81" t="str">
        <f t="shared" si="6"/>
        <v>N/TRANSITA</v>
      </c>
    </row>
    <row r="43" spans="2:20" ht="14.25" customHeight="1" x14ac:dyDescent="0.3">
      <c r="B43" s="33">
        <v>35</v>
      </c>
      <c r="C43" s="127" t="s">
        <v>102</v>
      </c>
      <c r="D43" s="60"/>
      <c r="E43" s="92">
        <v>13</v>
      </c>
      <c r="F43" s="93">
        <v>11.5</v>
      </c>
      <c r="G43" s="93"/>
      <c r="H43" s="106">
        <f t="shared" si="1"/>
        <v>12.25</v>
      </c>
      <c r="I43" s="63" t="str">
        <f t="shared" si="2"/>
        <v>TRANSITA</v>
      </c>
      <c r="J43" s="192">
        <v>8</v>
      </c>
      <c r="K43" s="199">
        <v>5</v>
      </c>
      <c r="L43" s="65"/>
      <c r="M43" s="40">
        <f t="shared" si="3"/>
        <v>6.5</v>
      </c>
      <c r="N43" s="63" t="str">
        <f t="shared" si="4"/>
        <v>N/TRANSITA</v>
      </c>
      <c r="O43" s="98"/>
      <c r="P43" s="102"/>
      <c r="Q43" s="65"/>
      <c r="R43" s="40">
        <f t="shared" si="5"/>
        <v>0</v>
      </c>
      <c r="S43" s="41">
        <f t="shared" si="0"/>
        <v>6.25</v>
      </c>
      <c r="T43" s="81" t="str">
        <f t="shared" si="6"/>
        <v>N/TRANSITA</v>
      </c>
    </row>
    <row r="44" spans="2:20" ht="14.25" customHeight="1" x14ac:dyDescent="0.3">
      <c r="B44" s="33">
        <v>36</v>
      </c>
      <c r="C44" s="127" t="s">
        <v>103</v>
      </c>
      <c r="D44" s="60"/>
      <c r="E44" s="92"/>
      <c r="F44" s="93"/>
      <c r="G44" s="93"/>
      <c r="H44" s="106">
        <f t="shared" si="1"/>
        <v>0</v>
      </c>
      <c r="I44" s="63" t="str">
        <f t="shared" si="2"/>
        <v>N/TRANSITA</v>
      </c>
      <c r="J44" s="192"/>
      <c r="K44" s="199"/>
      <c r="L44" s="65"/>
      <c r="M44" s="40">
        <f t="shared" si="3"/>
        <v>0</v>
      </c>
      <c r="N44" s="63" t="str">
        <f t="shared" si="4"/>
        <v>N/TRANSITA</v>
      </c>
      <c r="O44" s="98"/>
      <c r="P44" s="102"/>
      <c r="Q44" s="65"/>
      <c r="R44" s="40">
        <f t="shared" si="5"/>
        <v>0</v>
      </c>
      <c r="S44" s="41">
        <f t="shared" si="0"/>
        <v>0</v>
      </c>
      <c r="T44" s="81" t="str">
        <f t="shared" si="6"/>
        <v>N/TRANSITA</v>
      </c>
    </row>
    <row r="45" spans="2:20" ht="14.25" customHeight="1" x14ac:dyDescent="0.3">
      <c r="B45" s="33">
        <v>37</v>
      </c>
      <c r="C45" s="127" t="s">
        <v>104</v>
      </c>
      <c r="D45" s="60"/>
      <c r="E45" s="92">
        <v>10</v>
      </c>
      <c r="F45" s="93">
        <v>0.5</v>
      </c>
      <c r="G45" s="93"/>
      <c r="H45" s="106">
        <f t="shared" si="1"/>
        <v>5.25</v>
      </c>
      <c r="I45" s="63" t="str">
        <f t="shared" si="2"/>
        <v>N/TRANSITA</v>
      </c>
      <c r="J45" s="192">
        <v>0</v>
      </c>
      <c r="K45" s="199">
        <v>6.5</v>
      </c>
      <c r="L45" s="65"/>
      <c r="M45" s="40">
        <f t="shared" si="3"/>
        <v>3.25</v>
      </c>
      <c r="N45" s="63" t="str">
        <f t="shared" si="4"/>
        <v>N/TRANSITA</v>
      </c>
      <c r="O45" s="98"/>
      <c r="P45" s="102"/>
      <c r="Q45" s="65"/>
      <c r="R45" s="40">
        <f t="shared" si="5"/>
        <v>0</v>
      </c>
      <c r="S45" s="41">
        <f t="shared" si="0"/>
        <v>2.8333333333333335</v>
      </c>
      <c r="T45" s="81" t="str">
        <f t="shared" si="6"/>
        <v>N/TRANSITA</v>
      </c>
    </row>
    <row r="46" spans="2:20" ht="14.25" customHeight="1" x14ac:dyDescent="0.3">
      <c r="B46" s="33">
        <v>38</v>
      </c>
      <c r="C46" s="127" t="s">
        <v>105</v>
      </c>
      <c r="D46" s="60"/>
      <c r="E46" s="92"/>
      <c r="F46" s="93"/>
      <c r="G46" s="93"/>
      <c r="H46" s="106">
        <f t="shared" si="1"/>
        <v>0</v>
      </c>
      <c r="I46" s="63" t="str">
        <f t="shared" si="2"/>
        <v>N/TRANSITA</v>
      </c>
      <c r="J46" s="192"/>
      <c r="K46" s="199"/>
      <c r="L46" s="65"/>
      <c r="M46" s="40">
        <f t="shared" si="3"/>
        <v>0</v>
      </c>
      <c r="N46" s="63" t="str">
        <f t="shared" si="4"/>
        <v>N/TRANSITA</v>
      </c>
      <c r="O46" s="98"/>
      <c r="P46" s="102"/>
      <c r="Q46" s="65"/>
      <c r="R46" s="40">
        <f t="shared" si="5"/>
        <v>0</v>
      </c>
      <c r="S46" s="41">
        <f t="shared" si="0"/>
        <v>0</v>
      </c>
      <c r="T46" s="81" t="str">
        <f t="shared" si="6"/>
        <v>N/TRANSITA</v>
      </c>
    </row>
    <row r="47" spans="2:20" ht="14.25" customHeight="1" x14ac:dyDescent="0.3">
      <c r="B47" s="33">
        <v>39</v>
      </c>
      <c r="C47" s="127" t="s">
        <v>106</v>
      </c>
      <c r="D47" s="60"/>
      <c r="E47" s="92">
        <v>15.8</v>
      </c>
      <c r="F47" s="93">
        <v>11.5</v>
      </c>
      <c r="G47" s="93"/>
      <c r="H47" s="106">
        <f t="shared" si="1"/>
        <v>13.65</v>
      </c>
      <c r="I47" s="63" t="str">
        <f t="shared" si="2"/>
        <v>TRANSITA</v>
      </c>
      <c r="J47" s="192">
        <v>12</v>
      </c>
      <c r="K47" s="199">
        <v>14.5</v>
      </c>
      <c r="L47" s="65"/>
      <c r="M47" s="40">
        <f t="shared" si="3"/>
        <v>13.25</v>
      </c>
      <c r="N47" s="63" t="str">
        <f t="shared" si="4"/>
        <v>TRANSITA</v>
      </c>
      <c r="O47" s="98"/>
      <c r="P47" s="102"/>
      <c r="Q47" s="65"/>
      <c r="R47" s="40">
        <f t="shared" si="5"/>
        <v>0</v>
      </c>
      <c r="S47" s="41">
        <f t="shared" si="0"/>
        <v>8.9666666666666668</v>
      </c>
      <c r="T47" s="81" t="str">
        <f t="shared" si="6"/>
        <v>N/TRANSITA</v>
      </c>
    </row>
    <row r="48" spans="2:20" ht="14.25" customHeight="1" x14ac:dyDescent="0.3">
      <c r="B48" s="33">
        <v>40</v>
      </c>
      <c r="C48" s="127" t="s">
        <v>145</v>
      </c>
      <c r="D48" s="60"/>
      <c r="E48" s="92">
        <v>10</v>
      </c>
      <c r="F48" s="93">
        <v>3.5</v>
      </c>
      <c r="G48" s="93"/>
      <c r="H48" s="106">
        <f t="shared" si="1"/>
        <v>6.75</v>
      </c>
      <c r="I48" s="63" t="str">
        <f t="shared" si="2"/>
        <v>N/TRANSITA</v>
      </c>
      <c r="J48" s="192">
        <v>10</v>
      </c>
      <c r="K48" s="199">
        <v>9.5</v>
      </c>
      <c r="L48" s="65"/>
      <c r="M48" s="40">
        <f t="shared" ref="M48" si="12">AVERAGE(J48,MAX(K48:L48))</f>
        <v>9.75</v>
      </c>
      <c r="N48" s="63" t="str">
        <f t="shared" ref="N48" si="13">IF(M48&gt;=10,"TRANSITA","N/TRANSITA")</f>
        <v>N/TRANSITA</v>
      </c>
      <c r="O48" s="98"/>
      <c r="P48" s="102"/>
      <c r="Q48" s="65"/>
      <c r="R48" s="40">
        <f t="shared" ref="R48" si="14">AVERAGE(O48,MAX(P48:Q48))</f>
        <v>0</v>
      </c>
      <c r="S48" s="41">
        <f t="shared" ref="S48" si="15">SUM(H48,M48,R48)/3</f>
        <v>5.5</v>
      </c>
      <c r="T48" s="81" t="str">
        <f t="shared" ref="T48" si="16">IF(S48&gt;=10,"TRANSITA","N/TRANSITA")</f>
        <v>N/TRANSITA</v>
      </c>
    </row>
    <row r="49" spans="2:20" ht="14.25" customHeight="1" x14ac:dyDescent="0.3">
      <c r="B49" s="33">
        <v>41</v>
      </c>
      <c r="C49" s="128" t="s">
        <v>107</v>
      </c>
      <c r="D49" s="60"/>
      <c r="E49" s="92">
        <v>12</v>
      </c>
      <c r="F49" s="93">
        <v>8.5</v>
      </c>
      <c r="G49" s="93"/>
      <c r="H49" s="106">
        <f t="shared" si="1"/>
        <v>10.25</v>
      </c>
      <c r="I49" s="63" t="str">
        <f t="shared" si="2"/>
        <v>TRANSITA</v>
      </c>
      <c r="J49" s="192">
        <v>19</v>
      </c>
      <c r="K49" s="199">
        <v>17.5</v>
      </c>
      <c r="L49" s="65"/>
      <c r="M49" s="40">
        <f t="shared" si="3"/>
        <v>18.25</v>
      </c>
      <c r="N49" s="63" t="str">
        <f t="shared" si="4"/>
        <v>TRANSITA</v>
      </c>
      <c r="O49" s="98"/>
      <c r="P49" s="102"/>
      <c r="Q49" s="65"/>
      <c r="R49" s="40">
        <f t="shared" si="5"/>
        <v>0</v>
      </c>
      <c r="S49" s="41">
        <f t="shared" si="0"/>
        <v>9.5</v>
      </c>
      <c r="T49" s="81" t="str">
        <f t="shared" si="6"/>
        <v>N/TRANSITA</v>
      </c>
    </row>
    <row r="50" spans="2:20" ht="14.25" customHeight="1" x14ac:dyDescent="0.3">
      <c r="B50" s="33">
        <v>42</v>
      </c>
      <c r="C50" s="127" t="s">
        <v>108</v>
      </c>
      <c r="D50" s="61"/>
      <c r="E50" s="92">
        <v>15.8</v>
      </c>
      <c r="F50" s="93">
        <v>12</v>
      </c>
      <c r="G50" s="93"/>
      <c r="H50" s="106">
        <f t="shared" si="1"/>
        <v>13.9</v>
      </c>
      <c r="I50" s="63" t="str">
        <f t="shared" si="2"/>
        <v>TRANSITA</v>
      </c>
      <c r="J50" s="192">
        <v>10</v>
      </c>
      <c r="K50" s="199">
        <v>14</v>
      </c>
      <c r="L50" s="65"/>
      <c r="M50" s="40">
        <f t="shared" si="3"/>
        <v>12</v>
      </c>
      <c r="N50" s="63" t="str">
        <f t="shared" si="4"/>
        <v>TRANSITA</v>
      </c>
      <c r="O50" s="98"/>
      <c r="P50" s="102"/>
      <c r="Q50" s="65"/>
      <c r="R50" s="40">
        <f t="shared" si="5"/>
        <v>0</v>
      </c>
      <c r="S50" s="41">
        <f t="shared" si="0"/>
        <v>8.6333333333333329</v>
      </c>
      <c r="T50" s="81" t="str">
        <f t="shared" si="6"/>
        <v>N/TRANSITA</v>
      </c>
    </row>
    <row r="51" spans="2:20" ht="14.25" customHeight="1" x14ac:dyDescent="0.3">
      <c r="B51" s="33">
        <v>43</v>
      </c>
      <c r="C51" s="127" t="s">
        <v>109</v>
      </c>
      <c r="D51" s="61"/>
      <c r="E51" s="92">
        <v>12</v>
      </c>
      <c r="F51" s="93">
        <v>7</v>
      </c>
      <c r="G51" s="93"/>
      <c r="H51" s="106">
        <f t="shared" si="1"/>
        <v>9.5</v>
      </c>
      <c r="I51" s="63" t="str">
        <f t="shared" si="2"/>
        <v>N/TRANSITA</v>
      </c>
      <c r="J51" s="192"/>
      <c r="K51" s="199"/>
      <c r="L51" s="65"/>
      <c r="M51" s="40">
        <f t="shared" si="3"/>
        <v>0</v>
      </c>
      <c r="N51" s="63" t="str">
        <f t="shared" si="4"/>
        <v>N/TRANSITA</v>
      </c>
      <c r="O51" s="98"/>
      <c r="P51" s="102"/>
      <c r="Q51" s="65"/>
      <c r="R51" s="40">
        <f t="shared" si="5"/>
        <v>0</v>
      </c>
      <c r="S51" s="41">
        <f t="shared" si="0"/>
        <v>3.1666666666666665</v>
      </c>
      <c r="T51" s="81" t="str">
        <f t="shared" si="6"/>
        <v>N/TRANSITA</v>
      </c>
    </row>
    <row r="52" spans="2:20" ht="14.25" customHeight="1" x14ac:dyDescent="0.3">
      <c r="B52" s="33">
        <v>44</v>
      </c>
      <c r="C52" s="127" t="s">
        <v>110</v>
      </c>
      <c r="D52" s="60"/>
      <c r="E52" s="92">
        <v>19.3</v>
      </c>
      <c r="F52" s="93">
        <v>18</v>
      </c>
      <c r="G52" s="93"/>
      <c r="H52" s="106">
        <f t="shared" si="1"/>
        <v>18.649999999999999</v>
      </c>
      <c r="I52" s="63" t="str">
        <f t="shared" si="2"/>
        <v>TRANSITA</v>
      </c>
      <c r="J52" s="192">
        <v>14</v>
      </c>
      <c r="K52" s="199">
        <v>13</v>
      </c>
      <c r="L52" s="65"/>
      <c r="M52" s="40">
        <f t="shared" si="3"/>
        <v>13.5</v>
      </c>
      <c r="N52" s="63" t="str">
        <f t="shared" si="4"/>
        <v>TRANSITA</v>
      </c>
      <c r="O52" s="98"/>
      <c r="P52" s="102"/>
      <c r="Q52" s="65"/>
      <c r="R52" s="40">
        <f t="shared" si="5"/>
        <v>0</v>
      </c>
      <c r="S52" s="41">
        <f t="shared" si="0"/>
        <v>10.716666666666667</v>
      </c>
      <c r="T52" s="81" t="str">
        <f t="shared" si="6"/>
        <v>TRANSITA</v>
      </c>
    </row>
    <row r="53" spans="2:20" ht="14.25" customHeight="1" x14ac:dyDescent="0.3">
      <c r="B53" s="33">
        <v>45</v>
      </c>
      <c r="C53" s="127" t="s">
        <v>111</v>
      </c>
      <c r="D53" s="60"/>
      <c r="E53" s="92">
        <v>10</v>
      </c>
      <c r="F53" s="93"/>
      <c r="G53" s="93"/>
      <c r="H53" s="106">
        <f t="shared" si="1"/>
        <v>5</v>
      </c>
      <c r="I53" s="63" t="str">
        <f t="shared" si="2"/>
        <v>N/TRANSITA</v>
      </c>
      <c r="J53" s="192"/>
      <c r="K53" s="199"/>
      <c r="L53" s="65"/>
      <c r="M53" s="40">
        <f t="shared" si="3"/>
        <v>0</v>
      </c>
      <c r="N53" s="63" t="str">
        <f t="shared" si="4"/>
        <v>N/TRANSITA</v>
      </c>
      <c r="O53" s="98"/>
      <c r="P53" s="102"/>
      <c r="Q53" s="65"/>
      <c r="R53" s="40">
        <f t="shared" si="5"/>
        <v>0</v>
      </c>
      <c r="S53" s="41">
        <f t="shared" si="0"/>
        <v>1.6666666666666667</v>
      </c>
      <c r="T53" s="81" t="str">
        <f t="shared" si="6"/>
        <v>N/TRANSITA</v>
      </c>
    </row>
    <row r="54" spans="2:20" ht="14.25" customHeight="1" x14ac:dyDescent="0.3">
      <c r="B54" s="33">
        <v>46</v>
      </c>
      <c r="C54" s="127" t="s">
        <v>112</v>
      </c>
      <c r="D54" s="60"/>
      <c r="E54" s="92">
        <v>12.3</v>
      </c>
      <c r="F54" s="93"/>
      <c r="G54" s="93"/>
      <c r="H54" s="106">
        <f t="shared" si="1"/>
        <v>6.15</v>
      </c>
      <c r="I54" s="63" t="str">
        <f t="shared" si="2"/>
        <v>N/TRANSITA</v>
      </c>
      <c r="J54" s="192">
        <v>8</v>
      </c>
      <c r="K54" s="199">
        <v>2</v>
      </c>
      <c r="L54" s="65"/>
      <c r="M54" s="40">
        <f t="shared" si="3"/>
        <v>5</v>
      </c>
      <c r="N54" s="63" t="str">
        <f t="shared" si="4"/>
        <v>N/TRANSITA</v>
      </c>
      <c r="O54" s="98"/>
      <c r="P54" s="102"/>
      <c r="Q54" s="65"/>
      <c r="R54" s="40">
        <f t="shared" si="5"/>
        <v>0</v>
      </c>
      <c r="S54" s="41">
        <f t="shared" si="0"/>
        <v>3.7166666666666668</v>
      </c>
      <c r="T54" s="81" t="str">
        <f t="shared" si="6"/>
        <v>N/TRANSITA</v>
      </c>
    </row>
    <row r="55" spans="2:20" ht="14.25" customHeight="1" x14ac:dyDescent="0.3">
      <c r="B55" s="33">
        <v>47</v>
      </c>
      <c r="C55" s="127" t="s">
        <v>141</v>
      </c>
      <c r="D55" s="60"/>
      <c r="E55" s="92">
        <v>10</v>
      </c>
      <c r="F55" s="93">
        <v>5</v>
      </c>
      <c r="G55" s="93"/>
      <c r="H55" s="106">
        <f t="shared" si="1"/>
        <v>7.5</v>
      </c>
      <c r="I55" s="63" t="str">
        <f t="shared" si="2"/>
        <v>N/TRANSITA</v>
      </c>
      <c r="J55" s="192">
        <v>0</v>
      </c>
      <c r="K55" s="199">
        <v>6.5</v>
      </c>
      <c r="L55" s="65"/>
      <c r="M55" s="40">
        <f t="shared" ref="M55:M56" si="17">AVERAGE(J55,MAX(K55:L55))</f>
        <v>3.25</v>
      </c>
      <c r="N55" s="63" t="str">
        <f t="shared" ref="N55:N56" si="18">IF(M55&gt;=10,"TRANSITA","N/TRANSITA")</f>
        <v>N/TRANSITA</v>
      </c>
      <c r="O55" s="98"/>
      <c r="P55" s="102"/>
      <c r="Q55" s="65"/>
      <c r="R55" s="40">
        <f t="shared" ref="R55:R56" si="19">AVERAGE(O55,MAX(P55:Q55))</f>
        <v>0</v>
      </c>
      <c r="S55" s="41">
        <f t="shared" ref="S55:S56" si="20">SUM(H55,M55,R55)/3</f>
        <v>3.5833333333333335</v>
      </c>
      <c r="T55" s="81" t="str">
        <f t="shared" ref="T55:T56" si="21">IF(S55&gt;=10,"TRANSITA","N/TRANSITA")</f>
        <v>N/TRANSITA</v>
      </c>
    </row>
    <row r="56" spans="2:20" ht="14.25" customHeight="1" x14ac:dyDescent="0.3">
      <c r="B56" s="33">
        <v>48</v>
      </c>
      <c r="C56" s="127" t="s">
        <v>113</v>
      </c>
      <c r="D56" s="60"/>
      <c r="E56" s="92"/>
      <c r="F56" s="93"/>
      <c r="G56" s="93"/>
      <c r="H56" s="106">
        <f t="shared" si="1"/>
        <v>0</v>
      </c>
      <c r="I56" s="63" t="str">
        <f t="shared" si="2"/>
        <v>N/TRANSITA</v>
      </c>
      <c r="J56" s="192"/>
      <c r="K56" s="199"/>
      <c r="L56" s="65"/>
      <c r="M56" s="40">
        <f t="shared" si="17"/>
        <v>0</v>
      </c>
      <c r="N56" s="63" t="str">
        <f t="shared" si="18"/>
        <v>N/TRANSITA</v>
      </c>
      <c r="O56" s="98"/>
      <c r="P56" s="102"/>
      <c r="Q56" s="65"/>
      <c r="R56" s="40">
        <f t="shared" si="19"/>
        <v>0</v>
      </c>
      <c r="S56" s="41">
        <f t="shared" si="20"/>
        <v>0</v>
      </c>
      <c r="T56" s="81" t="str">
        <f t="shared" si="21"/>
        <v>N/TRANSITA</v>
      </c>
    </row>
    <row r="57" spans="2:20" ht="14.25" customHeight="1" x14ac:dyDescent="0.3">
      <c r="B57" s="33">
        <v>49</v>
      </c>
      <c r="C57" s="127" t="s">
        <v>114</v>
      </c>
      <c r="D57" s="60"/>
      <c r="E57" s="92">
        <v>10</v>
      </c>
      <c r="F57" s="93">
        <v>3</v>
      </c>
      <c r="G57" s="93"/>
      <c r="H57" s="106">
        <f t="shared" si="1"/>
        <v>6.5</v>
      </c>
      <c r="I57" s="63" t="str">
        <f t="shared" si="2"/>
        <v>N/TRANSITA</v>
      </c>
      <c r="J57" s="192">
        <v>0</v>
      </c>
      <c r="K57" s="199">
        <v>3.5</v>
      </c>
      <c r="L57" s="65"/>
      <c r="M57" s="40">
        <f t="shared" ref="M57:M63" si="22">AVERAGE(J57,MAX(K57:L57))</f>
        <v>1.75</v>
      </c>
      <c r="N57" s="63" t="str">
        <f t="shared" ref="N57:N63" si="23">IF(M57&gt;=10,"TRANSITA","N/TRANSITA")</f>
        <v>N/TRANSITA</v>
      </c>
      <c r="O57" s="98"/>
      <c r="P57" s="102"/>
      <c r="Q57" s="65"/>
      <c r="R57" s="40">
        <f t="shared" ref="R57:R63" si="24">AVERAGE(O57,MAX(P57:Q57))</f>
        <v>0</v>
      </c>
      <c r="S57" s="41">
        <f t="shared" ref="S57:S63" si="25">SUM(H57,M57,R57)/3</f>
        <v>2.75</v>
      </c>
      <c r="T57" s="81" t="str">
        <f t="shared" ref="T57:T63" si="26">IF(S57&gt;=10,"TRANSITA","N/TRANSITA")</f>
        <v>N/TRANSITA</v>
      </c>
    </row>
    <row r="58" spans="2:20" ht="14.25" customHeight="1" x14ac:dyDescent="0.3">
      <c r="B58" s="33">
        <v>50</v>
      </c>
      <c r="C58" s="127" t="s">
        <v>115</v>
      </c>
      <c r="D58" s="60"/>
      <c r="E58" s="92">
        <v>17</v>
      </c>
      <c r="F58" s="93">
        <v>6</v>
      </c>
      <c r="G58" s="93"/>
      <c r="H58" s="106">
        <f t="shared" si="1"/>
        <v>11.5</v>
      </c>
      <c r="I58" s="63" t="str">
        <f t="shared" si="2"/>
        <v>TRANSITA</v>
      </c>
      <c r="J58" s="192">
        <v>16</v>
      </c>
      <c r="K58" s="199">
        <v>13</v>
      </c>
      <c r="L58" s="65"/>
      <c r="M58" s="40">
        <f t="shared" si="22"/>
        <v>14.5</v>
      </c>
      <c r="N58" s="63" t="str">
        <f t="shared" si="23"/>
        <v>TRANSITA</v>
      </c>
      <c r="O58" s="98"/>
      <c r="P58" s="102"/>
      <c r="Q58" s="65"/>
      <c r="R58" s="40">
        <f t="shared" si="24"/>
        <v>0</v>
      </c>
      <c r="S58" s="41">
        <f t="shared" si="25"/>
        <v>8.6666666666666661</v>
      </c>
      <c r="T58" s="81" t="str">
        <f t="shared" si="26"/>
        <v>N/TRANSITA</v>
      </c>
    </row>
    <row r="59" spans="2:20" ht="14.25" customHeight="1" x14ac:dyDescent="0.3">
      <c r="B59" s="33">
        <v>51</v>
      </c>
      <c r="C59" s="127" t="s">
        <v>116</v>
      </c>
      <c r="D59" s="60"/>
      <c r="E59" s="92"/>
      <c r="F59" s="93"/>
      <c r="G59" s="93"/>
      <c r="H59" s="106">
        <f t="shared" si="1"/>
        <v>0</v>
      </c>
      <c r="I59" s="63" t="str">
        <f t="shared" si="2"/>
        <v>N/TRANSITA</v>
      </c>
      <c r="J59" s="192"/>
      <c r="K59" s="199"/>
      <c r="L59" s="65"/>
      <c r="M59" s="40">
        <f t="shared" si="22"/>
        <v>0</v>
      </c>
      <c r="N59" s="63" t="str">
        <f t="shared" si="23"/>
        <v>N/TRANSITA</v>
      </c>
      <c r="O59" s="98"/>
      <c r="P59" s="102"/>
      <c r="Q59" s="65"/>
      <c r="R59" s="40">
        <f t="shared" si="24"/>
        <v>0</v>
      </c>
      <c r="S59" s="41">
        <f t="shared" si="25"/>
        <v>0</v>
      </c>
      <c r="T59" s="81" t="str">
        <f t="shared" si="26"/>
        <v>N/TRANSITA</v>
      </c>
    </row>
    <row r="60" spans="2:20" ht="14.25" customHeight="1" x14ac:dyDescent="0.3">
      <c r="B60" s="33">
        <v>52</v>
      </c>
      <c r="C60" s="127" t="s">
        <v>117</v>
      </c>
      <c r="D60" s="60"/>
      <c r="E60" s="92">
        <v>10</v>
      </c>
      <c r="F60" s="93">
        <v>8.5</v>
      </c>
      <c r="G60" s="93"/>
      <c r="H60" s="106">
        <f t="shared" si="1"/>
        <v>9.25</v>
      </c>
      <c r="I60" s="63" t="str">
        <f t="shared" si="2"/>
        <v>N/TRANSITA</v>
      </c>
      <c r="J60" s="192">
        <v>12</v>
      </c>
      <c r="K60" s="199">
        <v>5.5</v>
      </c>
      <c r="L60" s="65"/>
      <c r="M60" s="40">
        <f t="shared" si="22"/>
        <v>8.75</v>
      </c>
      <c r="N60" s="63" t="str">
        <f t="shared" si="23"/>
        <v>N/TRANSITA</v>
      </c>
      <c r="O60" s="98"/>
      <c r="P60" s="102"/>
      <c r="Q60" s="65"/>
      <c r="R60" s="40">
        <f t="shared" si="24"/>
        <v>0</v>
      </c>
      <c r="S60" s="41">
        <f t="shared" si="25"/>
        <v>6</v>
      </c>
      <c r="T60" s="81" t="str">
        <f t="shared" si="26"/>
        <v>N/TRANSITA</v>
      </c>
    </row>
    <row r="61" spans="2:20" ht="14.25" customHeight="1" x14ac:dyDescent="0.3">
      <c r="B61" s="33">
        <v>53</v>
      </c>
      <c r="C61" s="127" t="s">
        <v>118</v>
      </c>
      <c r="D61" s="60"/>
      <c r="E61" s="92"/>
      <c r="F61" s="93"/>
      <c r="G61" s="93"/>
      <c r="H61" s="106">
        <f t="shared" si="1"/>
        <v>0</v>
      </c>
      <c r="I61" s="63" t="str">
        <f t="shared" si="2"/>
        <v>N/TRANSITA</v>
      </c>
      <c r="J61" s="192"/>
      <c r="K61" s="199"/>
      <c r="L61" s="65"/>
      <c r="M61" s="40">
        <f t="shared" si="22"/>
        <v>0</v>
      </c>
      <c r="N61" s="63" t="str">
        <f t="shared" si="23"/>
        <v>N/TRANSITA</v>
      </c>
      <c r="O61" s="98"/>
      <c r="P61" s="102"/>
      <c r="Q61" s="65"/>
      <c r="R61" s="40">
        <f t="shared" si="24"/>
        <v>0</v>
      </c>
      <c r="S61" s="41">
        <f t="shared" si="25"/>
        <v>0</v>
      </c>
      <c r="T61" s="81" t="str">
        <f t="shared" si="26"/>
        <v>N/TRANSITA</v>
      </c>
    </row>
    <row r="62" spans="2:20" ht="14.25" customHeight="1" x14ac:dyDescent="0.3">
      <c r="B62" s="33">
        <v>54</v>
      </c>
      <c r="C62" s="128" t="s">
        <v>119</v>
      </c>
      <c r="D62" s="60"/>
      <c r="E62" s="92">
        <v>10</v>
      </c>
      <c r="F62" s="93">
        <v>0</v>
      </c>
      <c r="G62" s="93"/>
      <c r="H62" s="106">
        <f t="shared" si="1"/>
        <v>5</v>
      </c>
      <c r="I62" s="63" t="str">
        <f t="shared" si="2"/>
        <v>N/TRANSITA</v>
      </c>
      <c r="J62" s="192"/>
      <c r="K62" s="199"/>
      <c r="L62" s="65"/>
      <c r="M62" s="40">
        <f t="shared" si="22"/>
        <v>0</v>
      </c>
      <c r="N62" s="63" t="str">
        <f t="shared" si="23"/>
        <v>N/TRANSITA</v>
      </c>
      <c r="O62" s="98"/>
      <c r="P62" s="102"/>
      <c r="Q62" s="65"/>
      <c r="R62" s="40">
        <f t="shared" si="24"/>
        <v>0</v>
      </c>
      <c r="S62" s="41">
        <f t="shared" si="25"/>
        <v>1.6666666666666667</v>
      </c>
      <c r="T62" s="81" t="str">
        <f t="shared" si="26"/>
        <v>N/TRANSITA</v>
      </c>
    </row>
    <row r="63" spans="2:20" ht="14.25" customHeight="1" x14ac:dyDescent="0.3">
      <c r="B63" s="33">
        <v>55</v>
      </c>
      <c r="C63" s="127" t="s">
        <v>120</v>
      </c>
      <c r="D63" s="60"/>
      <c r="E63" s="92">
        <v>15</v>
      </c>
      <c r="F63" s="93">
        <v>7</v>
      </c>
      <c r="G63" s="93"/>
      <c r="H63" s="106">
        <f t="shared" si="1"/>
        <v>11</v>
      </c>
      <c r="I63" s="63" t="str">
        <f t="shared" si="2"/>
        <v>TRANSITA</v>
      </c>
      <c r="J63" s="192">
        <v>12</v>
      </c>
      <c r="K63" s="199">
        <v>15</v>
      </c>
      <c r="L63" s="65"/>
      <c r="M63" s="40">
        <f t="shared" si="22"/>
        <v>13.5</v>
      </c>
      <c r="N63" s="63" t="str">
        <f t="shared" si="23"/>
        <v>TRANSITA</v>
      </c>
      <c r="O63" s="98"/>
      <c r="P63" s="102"/>
      <c r="Q63" s="65"/>
      <c r="R63" s="40">
        <f t="shared" si="24"/>
        <v>0</v>
      </c>
      <c r="S63" s="41">
        <f t="shared" si="25"/>
        <v>8.1666666666666661</v>
      </c>
      <c r="T63" s="81" t="str">
        <f t="shared" si="26"/>
        <v>N/TRANSITA</v>
      </c>
    </row>
    <row r="64" spans="2:20" ht="14.25" customHeight="1" x14ac:dyDescent="0.3">
      <c r="B64" s="33">
        <v>56</v>
      </c>
      <c r="C64" s="127" t="s">
        <v>121</v>
      </c>
      <c r="D64" s="60"/>
      <c r="E64" s="92">
        <v>10</v>
      </c>
      <c r="F64" s="93">
        <v>3.5</v>
      </c>
      <c r="G64" s="93"/>
      <c r="H64" s="106">
        <f t="shared" si="1"/>
        <v>6.75</v>
      </c>
      <c r="I64" s="63" t="str">
        <f t="shared" si="2"/>
        <v>N/TRANSITA</v>
      </c>
      <c r="J64" s="192">
        <v>7</v>
      </c>
      <c r="K64" s="199">
        <v>7</v>
      </c>
      <c r="L64" s="65"/>
      <c r="M64" s="40">
        <f t="shared" si="3"/>
        <v>7</v>
      </c>
      <c r="N64" s="63" t="str">
        <f t="shared" si="4"/>
        <v>N/TRANSITA</v>
      </c>
      <c r="O64" s="98"/>
      <c r="P64" s="102"/>
      <c r="Q64" s="65"/>
      <c r="R64" s="40">
        <f t="shared" si="5"/>
        <v>0</v>
      </c>
      <c r="S64" s="41">
        <f t="shared" si="0"/>
        <v>4.583333333333333</v>
      </c>
      <c r="T64" s="81" t="str">
        <f t="shared" si="6"/>
        <v>N/TRANSITA</v>
      </c>
    </row>
    <row r="65" spans="1:20" ht="14.25" customHeight="1" x14ac:dyDescent="0.3">
      <c r="B65" s="33">
        <v>57</v>
      </c>
      <c r="C65" s="127" t="s">
        <v>122</v>
      </c>
      <c r="D65" s="61"/>
      <c r="E65" s="92"/>
      <c r="F65" s="93"/>
      <c r="G65" s="93"/>
      <c r="H65" s="106">
        <f t="shared" si="1"/>
        <v>0</v>
      </c>
      <c r="I65" s="63" t="str">
        <f t="shared" si="2"/>
        <v>N/TRANSITA</v>
      </c>
      <c r="J65" s="192"/>
      <c r="K65" s="199"/>
      <c r="L65" s="65"/>
      <c r="M65" s="40">
        <f t="shared" si="3"/>
        <v>0</v>
      </c>
      <c r="N65" s="63" t="str">
        <f t="shared" si="4"/>
        <v>N/TRANSITA</v>
      </c>
      <c r="O65" s="98"/>
      <c r="P65" s="102"/>
      <c r="Q65" s="65"/>
      <c r="R65" s="40">
        <f t="shared" si="5"/>
        <v>0</v>
      </c>
      <c r="S65" s="41">
        <f t="shared" si="0"/>
        <v>0</v>
      </c>
      <c r="T65" s="81" t="str">
        <f t="shared" si="6"/>
        <v>N/TRANSITA</v>
      </c>
    </row>
    <row r="66" spans="1:20" ht="14.25" customHeight="1" x14ac:dyDescent="0.3">
      <c r="B66" s="33">
        <v>58</v>
      </c>
      <c r="C66" s="127" t="s">
        <v>123</v>
      </c>
      <c r="D66" s="60"/>
      <c r="E66" s="92">
        <v>13.8</v>
      </c>
      <c r="F66" s="93">
        <v>8.5</v>
      </c>
      <c r="G66" s="93"/>
      <c r="H66" s="106">
        <f t="shared" si="1"/>
        <v>11.15</v>
      </c>
      <c r="I66" s="63" t="str">
        <f t="shared" si="2"/>
        <v>TRANSITA</v>
      </c>
      <c r="J66" s="192">
        <v>10</v>
      </c>
      <c r="K66" s="199">
        <v>14.5</v>
      </c>
      <c r="L66" s="65"/>
      <c r="M66" s="40">
        <f t="shared" si="3"/>
        <v>12.25</v>
      </c>
      <c r="N66" s="63" t="str">
        <f t="shared" si="4"/>
        <v>TRANSITA</v>
      </c>
      <c r="O66" s="98"/>
      <c r="P66" s="102"/>
      <c r="Q66" s="65"/>
      <c r="R66" s="40">
        <f t="shared" si="5"/>
        <v>0</v>
      </c>
      <c r="S66" s="41">
        <f t="shared" si="0"/>
        <v>7.8</v>
      </c>
      <c r="T66" s="81" t="str">
        <f t="shared" si="6"/>
        <v>N/TRANSITA</v>
      </c>
    </row>
    <row r="67" spans="1:20" ht="14.25" customHeight="1" x14ac:dyDescent="0.3">
      <c r="B67" s="33">
        <v>59</v>
      </c>
      <c r="C67" s="127" t="s">
        <v>124</v>
      </c>
      <c r="D67" s="60"/>
      <c r="E67" s="92">
        <v>12.3</v>
      </c>
      <c r="F67" s="93">
        <v>4.5</v>
      </c>
      <c r="G67" s="93">
        <v>10</v>
      </c>
      <c r="H67" s="106">
        <f t="shared" si="1"/>
        <v>11.15</v>
      </c>
      <c r="I67" s="63" t="str">
        <f t="shared" si="2"/>
        <v>TRANSITA</v>
      </c>
      <c r="J67" s="192">
        <v>10</v>
      </c>
      <c r="K67" s="199">
        <v>8</v>
      </c>
      <c r="L67" s="65"/>
      <c r="M67" s="40">
        <f t="shared" si="3"/>
        <v>9</v>
      </c>
      <c r="N67" s="63" t="str">
        <f t="shared" si="4"/>
        <v>N/TRANSITA</v>
      </c>
      <c r="O67" s="98"/>
      <c r="P67" s="102"/>
      <c r="Q67" s="65"/>
      <c r="R67" s="40">
        <f t="shared" si="5"/>
        <v>0</v>
      </c>
      <c r="S67" s="41">
        <f t="shared" si="0"/>
        <v>6.7166666666666659</v>
      </c>
      <c r="T67" s="81" t="str">
        <f t="shared" si="6"/>
        <v>N/TRANSITA</v>
      </c>
    </row>
    <row r="68" spans="1:20" ht="14.25" customHeight="1" x14ac:dyDescent="0.3">
      <c r="B68" s="33">
        <v>60</v>
      </c>
      <c r="C68" s="128" t="s">
        <v>125</v>
      </c>
      <c r="D68" s="60"/>
      <c r="E68" s="92">
        <v>10</v>
      </c>
      <c r="F68" s="93">
        <v>12</v>
      </c>
      <c r="G68" s="93"/>
      <c r="H68" s="106">
        <f t="shared" si="1"/>
        <v>11</v>
      </c>
      <c r="I68" s="63" t="str">
        <f t="shared" si="2"/>
        <v>TRANSITA</v>
      </c>
      <c r="J68" s="192">
        <v>11</v>
      </c>
      <c r="K68" s="199">
        <v>6.5</v>
      </c>
      <c r="L68" s="65"/>
      <c r="M68" s="40">
        <f t="shared" si="3"/>
        <v>8.75</v>
      </c>
      <c r="N68" s="63" t="str">
        <f t="shared" si="4"/>
        <v>N/TRANSITA</v>
      </c>
      <c r="O68" s="98"/>
      <c r="P68" s="102"/>
      <c r="Q68" s="65"/>
      <c r="R68" s="40">
        <f t="shared" si="5"/>
        <v>0</v>
      </c>
      <c r="S68" s="41">
        <f t="shared" si="0"/>
        <v>6.583333333333333</v>
      </c>
      <c r="T68" s="81" t="str">
        <f t="shared" si="6"/>
        <v>N/TRANSITA</v>
      </c>
    </row>
    <row r="69" spans="1:20" ht="14.25" customHeight="1" x14ac:dyDescent="0.3">
      <c r="B69" s="33">
        <v>61</v>
      </c>
      <c r="C69" s="127" t="s">
        <v>126</v>
      </c>
      <c r="D69" s="60"/>
      <c r="E69" s="92"/>
      <c r="F69" s="93"/>
      <c r="G69" s="93"/>
      <c r="H69" s="106">
        <f t="shared" si="1"/>
        <v>0</v>
      </c>
      <c r="I69" s="63" t="str">
        <f t="shared" si="2"/>
        <v>N/TRANSITA</v>
      </c>
      <c r="J69" s="192"/>
      <c r="K69" s="199"/>
      <c r="L69" s="65"/>
      <c r="M69" s="40">
        <f t="shared" si="3"/>
        <v>0</v>
      </c>
      <c r="N69" s="63" t="str">
        <f t="shared" si="4"/>
        <v>N/TRANSITA</v>
      </c>
      <c r="O69" s="98"/>
      <c r="P69" s="102"/>
      <c r="Q69" s="65"/>
      <c r="R69" s="40">
        <f t="shared" si="5"/>
        <v>0</v>
      </c>
      <c r="S69" s="41">
        <f t="shared" si="0"/>
        <v>0</v>
      </c>
      <c r="T69" s="81" t="str">
        <f t="shared" si="6"/>
        <v>N/TRANSITA</v>
      </c>
    </row>
    <row r="70" spans="1:20" ht="14.25" customHeight="1" x14ac:dyDescent="0.3">
      <c r="B70" s="33">
        <v>62</v>
      </c>
      <c r="C70" s="127" t="s">
        <v>127</v>
      </c>
      <c r="D70" s="60"/>
      <c r="E70" s="92">
        <v>12</v>
      </c>
      <c r="F70" s="93"/>
      <c r="G70" s="93"/>
      <c r="H70" s="106">
        <f t="shared" si="1"/>
        <v>6</v>
      </c>
      <c r="I70" s="63" t="str">
        <f t="shared" si="2"/>
        <v>N/TRANSITA</v>
      </c>
      <c r="J70" s="192"/>
      <c r="K70" s="199"/>
      <c r="L70" s="65"/>
      <c r="M70" s="40">
        <f t="shared" si="3"/>
        <v>0</v>
      </c>
      <c r="N70" s="63" t="str">
        <f t="shared" si="4"/>
        <v>N/TRANSITA</v>
      </c>
      <c r="O70" s="98"/>
      <c r="P70" s="102"/>
      <c r="Q70" s="65"/>
      <c r="R70" s="40">
        <f t="shared" si="5"/>
        <v>0</v>
      </c>
      <c r="S70" s="41">
        <f t="shared" si="0"/>
        <v>2</v>
      </c>
      <c r="T70" s="81" t="str">
        <f t="shared" si="6"/>
        <v>N/TRANSITA</v>
      </c>
    </row>
    <row r="71" spans="1:20" ht="14.25" customHeight="1" thickBot="1" x14ac:dyDescent="0.35">
      <c r="B71" s="33">
        <v>63</v>
      </c>
      <c r="C71" s="129" t="s">
        <v>128</v>
      </c>
      <c r="D71" s="62"/>
      <c r="E71" s="94">
        <v>15</v>
      </c>
      <c r="F71" s="95">
        <v>10.5</v>
      </c>
      <c r="G71" s="95"/>
      <c r="H71" s="147">
        <f t="shared" si="1"/>
        <v>12.75</v>
      </c>
      <c r="I71" s="75" t="str">
        <f t="shared" si="2"/>
        <v>TRANSITA</v>
      </c>
      <c r="J71" s="195"/>
      <c r="K71" s="200"/>
      <c r="L71" s="68"/>
      <c r="M71" s="156">
        <f t="shared" si="3"/>
        <v>0</v>
      </c>
      <c r="N71" s="75" t="str">
        <f t="shared" si="4"/>
        <v>N/TRANSITA</v>
      </c>
      <c r="O71" s="100"/>
      <c r="P71" s="103"/>
      <c r="Q71" s="68"/>
      <c r="R71" s="156">
        <f t="shared" si="5"/>
        <v>0</v>
      </c>
      <c r="S71" s="42">
        <f t="shared" si="0"/>
        <v>4.25</v>
      </c>
      <c r="T71" s="82" t="str">
        <f t="shared" si="6"/>
        <v>N/TRANSITA</v>
      </c>
    </row>
    <row r="72" spans="1:20" ht="93.75" customHeight="1" thickTop="1" x14ac:dyDescent="0.3">
      <c r="B72" s="19"/>
      <c r="C72" s="19"/>
      <c r="D72" s="19"/>
      <c r="E72" s="19"/>
      <c r="F72" s="19"/>
      <c r="G72" s="19"/>
      <c r="H72" s="19"/>
      <c r="I72" s="19"/>
      <c r="J72" s="19"/>
      <c r="O72" s="19"/>
      <c r="P72" s="19"/>
      <c r="Q72" s="19"/>
      <c r="R72" s="19"/>
      <c r="S72" s="19"/>
      <c r="T72" s="19"/>
    </row>
    <row r="73" spans="1:20" ht="20.25" customHeight="1" x14ac:dyDescent="0.45">
      <c r="A73" s="20"/>
      <c r="B73" s="20"/>
      <c r="C73" s="20"/>
      <c r="D73" s="20"/>
      <c r="E73" s="20"/>
      <c r="F73" s="20"/>
      <c r="G73" s="20"/>
      <c r="H73" s="20"/>
      <c r="I73" s="20"/>
      <c r="J73" s="20"/>
      <c r="O73" s="20"/>
      <c r="P73" s="21"/>
      <c r="Q73" s="21"/>
      <c r="R73" s="21"/>
      <c r="S73" s="20"/>
      <c r="T73" s="20"/>
    </row>
    <row r="74" spans="1:20" ht="15.6" x14ac:dyDescent="0.3">
      <c r="A74" s="253" t="s">
        <v>56</v>
      </c>
      <c r="B74" s="253"/>
      <c r="C74" s="253"/>
      <c r="D74" s="253"/>
      <c r="E74" s="253"/>
      <c r="F74" s="22"/>
      <c r="G74" s="22"/>
      <c r="H74" s="22"/>
      <c r="I74" s="22"/>
      <c r="J74" s="22"/>
      <c r="K74" s="23"/>
      <c r="L74" s="23"/>
      <c r="M74" s="23"/>
      <c r="N74" s="23"/>
      <c r="O74" s="253" t="s">
        <v>9</v>
      </c>
      <c r="P74" s="253"/>
      <c r="Q74" s="253"/>
      <c r="R74" s="253"/>
      <c r="S74" s="253"/>
      <c r="T74" s="253"/>
    </row>
    <row r="75" spans="1:20" ht="15.6" x14ac:dyDescent="0.3">
      <c r="A75" s="254" t="s">
        <v>22</v>
      </c>
      <c r="B75" s="254"/>
      <c r="C75" s="254"/>
      <c r="D75" s="254"/>
      <c r="E75" s="254"/>
      <c r="F75" s="24"/>
      <c r="G75" s="24"/>
      <c r="H75" s="24"/>
      <c r="I75" s="24"/>
      <c r="J75" s="24"/>
      <c r="O75" s="255" t="s">
        <v>23</v>
      </c>
      <c r="P75" s="255"/>
      <c r="Q75" s="255"/>
      <c r="R75" s="255"/>
      <c r="S75" s="255"/>
      <c r="T75" s="255"/>
    </row>
    <row r="76" spans="1:20" x14ac:dyDescent="0.3">
      <c r="A76" s="247"/>
      <c r="B76" s="247"/>
      <c r="C76" s="247"/>
      <c r="D76" s="247"/>
      <c r="E76" s="247"/>
      <c r="O76" s="247" t="s">
        <v>24</v>
      </c>
      <c r="P76" s="247"/>
      <c r="Q76" s="247"/>
      <c r="R76" s="247"/>
      <c r="S76" s="247"/>
      <c r="T76" s="247"/>
    </row>
  </sheetData>
  <mergeCells count="22">
    <mergeCell ref="A74:E74"/>
    <mergeCell ref="O74:T74"/>
    <mergeCell ref="A75:E75"/>
    <mergeCell ref="O75:T75"/>
    <mergeCell ref="A76:E76"/>
    <mergeCell ref="O76:T76"/>
    <mergeCell ref="B6:T6"/>
    <mergeCell ref="B7:B8"/>
    <mergeCell ref="C7:C8"/>
    <mergeCell ref="E7:H7"/>
    <mergeCell ref="I7:I8"/>
    <mergeCell ref="J7:M7"/>
    <mergeCell ref="N7:N8"/>
    <mergeCell ref="O7:R7"/>
    <mergeCell ref="S7:S8"/>
    <mergeCell ref="T7:T8"/>
    <mergeCell ref="A1:T1"/>
    <mergeCell ref="B3:R3"/>
    <mergeCell ref="B4:C4"/>
    <mergeCell ref="P4:T4"/>
    <mergeCell ref="B5:C5"/>
    <mergeCell ref="N5:T5"/>
  </mergeCells>
  <conditionalFormatting sqref="S9:S71">
    <cfRule type="cellIs" dxfId="175" priority="35" stopIfTrue="1" operator="greaterThan">
      <formula>9.5</formula>
    </cfRule>
    <cfRule type="cellIs" dxfId="174" priority="36" stopIfTrue="1" operator="lessThanOrEqual">
      <formula>9.5</formula>
    </cfRule>
  </conditionalFormatting>
  <conditionalFormatting sqref="M9:M71 R9:R71">
    <cfRule type="cellIs" dxfId="173" priority="33" stopIfTrue="1" operator="lessThan">
      <formula>10</formula>
    </cfRule>
    <cfRule type="cellIs" dxfId="172" priority="34" stopIfTrue="1" operator="greaterThanOrEqual">
      <formula>10</formula>
    </cfRule>
  </conditionalFormatting>
  <conditionalFormatting sqref="L9:L71 O9:Q71">
    <cfRule type="cellIs" dxfId="171" priority="27" stopIfTrue="1" operator="lessThan">
      <formula>10</formula>
    </cfRule>
    <cfRule type="cellIs" dxfId="170" priority="28" stopIfTrue="1" operator="greaterThan">
      <formula>9</formula>
    </cfRule>
    <cfRule type="cellIs" dxfId="169" priority="29" stopIfTrue="1" operator="lessThan">
      <formula>10</formula>
    </cfRule>
    <cfRule type="cellIs" dxfId="168" priority="30" stopIfTrue="1" operator="greaterThan">
      <formula>9</formula>
    </cfRule>
  </conditionalFormatting>
  <conditionalFormatting sqref="E9:F71">
    <cfRule type="cellIs" dxfId="167" priority="3" stopIfTrue="1" operator="lessThan">
      <formula>10</formula>
    </cfRule>
    <cfRule type="cellIs" dxfId="166" priority="4" stopIfTrue="1" operator="greaterThan">
      <formula>9</formula>
    </cfRule>
    <cfRule type="cellIs" dxfId="165" priority="5" stopIfTrue="1" operator="lessThan">
      <formula>10</formula>
    </cfRule>
    <cfRule type="cellIs" dxfId="164" priority="6" stopIfTrue="1" operator="greaterThan">
      <formula>9</formula>
    </cfRule>
  </conditionalFormatting>
  <conditionalFormatting sqref="G9:G16">
    <cfRule type="cellIs" dxfId="163" priority="7" stopIfTrue="1" operator="lessThan">
      <formula>10</formula>
    </cfRule>
    <cfRule type="cellIs" dxfId="162" priority="8" stopIfTrue="1" operator="greaterThan">
      <formula>9</formula>
    </cfRule>
    <cfRule type="cellIs" dxfId="161" priority="9" stopIfTrue="1" operator="lessThan">
      <formula>10</formula>
    </cfRule>
    <cfRule type="cellIs" dxfId="160" priority="10" stopIfTrue="1" operator="greaterThan">
      <formula>9</formula>
    </cfRule>
  </conditionalFormatting>
  <conditionalFormatting sqref="G17:G71 J9:K71">
    <cfRule type="cellIs" dxfId="159" priority="11" stopIfTrue="1" operator="lessThan">
      <formula>10</formula>
    </cfRule>
    <cfRule type="cellIs" dxfId="158" priority="12" stopIfTrue="1" operator="greaterThan">
      <formula>9</formula>
    </cfRule>
    <cfRule type="cellIs" dxfId="157" priority="13" stopIfTrue="1" operator="lessThan">
      <formula>10</formula>
    </cfRule>
    <cfRule type="cellIs" dxfId="156" priority="14" stopIfTrue="1" operator="greaterThan">
      <formula>9</formula>
    </cfRule>
  </conditionalFormatting>
  <conditionalFormatting sqref="H9:H71">
    <cfRule type="cellIs" dxfId="155" priority="17" stopIfTrue="1" operator="lessThan">
      <formula>10</formula>
    </cfRule>
    <cfRule type="cellIs" dxfId="154" priority="18" stopIfTrue="1" operator="greaterThanOrEqual">
      <formula>10</formula>
    </cfRule>
  </conditionalFormatting>
  <dataValidations count="1">
    <dataValidation type="decimal" allowBlank="1" showInputMessage="1" showErrorMessage="1" errorTitle="ATENÇÃO!" error="O valor introduzido não é válido. Grato!" sqref="J9:L71 O9:Q71 E9:G71">
      <formula1>0</formula1>
      <formula2>20</formula2>
    </dataValidation>
  </dataValidations>
  <pageMargins left="0.15748031496062992" right="0.51181102362204722" top="0.15748031496062992" bottom="0.15748031496062992" header="0.31496062992125984" footer="0.15748031496062992"/>
  <pageSetup paperSize="9" scale="95" orientation="portrait" verticalDpi="4294967293" r:id="rId1"/>
  <drawing r:id="rId2"/>
  <legacyDrawing r:id="rId3"/>
  <oleObjects>
    <mc:AlternateContent xmlns:mc="http://schemas.openxmlformats.org/markup-compatibility/2006">
      <mc:Choice Requires="x14">
        <oleObject progId="Word.Document.8" shapeId="15361" r:id="rId4">
          <objectPr defaultSize="0" r:id="rId5">
            <anchor moveWithCells="1">
              <from>
                <xdr:col>1</xdr:col>
                <xdr:colOff>60960</xdr:colOff>
                <xdr:row>71</xdr:row>
                <xdr:rowOff>160020</xdr:rowOff>
              </from>
              <to>
                <xdr:col>13</xdr:col>
                <xdr:colOff>182880</xdr:colOff>
                <xdr:row>73</xdr:row>
                <xdr:rowOff>22860</xdr:rowOff>
              </to>
            </anchor>
          </objectPr>
        </oleObject>
      </mc:Choice>
      <mc:Fallback>
        <oleObject progId="Word.Document.8" shapeId="15361" r:id="rId4"/>
      </mc:Fallback>
    </mc:AlternateContent>
  </oleObjec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1" stopIfTrue="1" operator="containsText" id="{6A4FBE51-9556-49DD-A708-ADF8B15CFBB7}">
            <xm:f>NOT(ISERROR(SEARCH("N/TRANSITA",N9)))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32" stopIfTrue="1" operator="containsText" id="{3C3D6384-E657-4C9E-AB19-B025CC3133C3}">
            <xm:f>NOT(ISERROR(SEARCH("TRANSITA",N9)))</xm:f>
            <xm:f>"TRANSITA"</xm:f>
            <x14:dxf>
              <font>
                <b/>
                <i val="0"/>
                <color rgb="FF0000FF"/>
              </font>
            </x14:dxf>
          </x14:cfRule>
          <xm:sqref>N9:N71 T9:T71</xm:sqref>
        </x14:conditionalFormatting>
        <x14:conditionalFormatting xmlns:xm="http://schemas.microsoft.com/office/excel/2006/main">
          <x14:cfRule type="containsText" priority="1" stopIfTrue="1" operator="containsText" id="{2EE8E193-12CF-431F-B857-08767B0F1307}">
            <xm:f>NOT(ISERROR(SEARCH("N/TRANSITA",I9)))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2" stopIfTrue="1" operator="containsText" id="{2832507B-6ACA-4C0C-8A93-FE264A520A93}">
            <xm:f>NOT(ISERROR(SEARCH("TRANSITA",I9)))</xm:f>
            <xm:f>"TRANSITA"</xm:f>
            <x14:dxf>
              <font>
                <b/>
                <i val="0"/>
                <color rgb="FF0000FF"/>
              </font>
            </x14:dxf>
          </x14:cfRule>
          <xm:sqref>I9:I71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W76"/>
  <sheetViews>
    <sheetView showGridLines="0" topLeftCell="A46" zoomScale="115" zoomScaleNormal="115" zoomScalePageLayoutView="85" workbookViewId="0">
      <selection activeCell="E62" sqref="E62"/>
    </sheetView>
  </sheetViews>
  <sheetFormatPr defaultRowHeight="14.4" x14ac:dyDescent="0.3"/>
  <cols>
    <col min="1" max="1" width="1.6640625" customWidth="1"/>
    <col min="2" max="2" width="3.6640625" customWidth="1"/>
    <col min="3" max="3" width="35.109375" customWidth="1"/>
    <col min="4" max="4" width="6.44140625" customWidth="1"/>
    <col min="5" max="8" width="5.109375" customWidth="1"/>
    <col min="9" max="9" width="11.109375" customWidth="1"/>
    <col min="10" max="13" width="5.109375" customWidth="1"/>
    <col min="14" max="14" width="11.109375" customWidth="1"/>
    <col min="15" max="18" width="5.109375" customWidth="1"/>
    <col min="19" max="19" width="6" customWidth="1"/>
    <col min="20" max="20" width="11.5546875" customWidth="1"/>
    <col min="21" max="21" width="3.44140625" customWidth="1"/>
    <col min="22" max="22" width="5" customWidth="1"/>
  </cols>
  <sheetData>
    <row r="1" spans="1:23" ht="30" customHeight="1" x14ac:dyDescent="0.3">
      <c r="A1" s="246" t="s">
        <v>50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</row>
    <row r="2" spans="1:23" ht="30" customHeight="1" x14ac:dyDescent="0.3"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23" ht="12" customHeight="1" x14ac:dyDescent="0.3">
      <c r="B3" s="247"/>
      <c r="C3" s="247"/>
      <c r="D3" s="247"/>
      <c r="E3" s="247"/>
      <c r="F3" s="247"/>
      <c r="G3" s="247"/>
      <c r="H3" s="247"/>
      <c r="I3" s="247"/>
      <c r="J3" s="247"/>
      <c r="K3" s="247"/>
      <c r="L3" s="247"/>
      <c r="M3" s="247"/>
      <c r="N3" s="247"/>
      <c r="O3" s="247"/>
      <c r="P3" s="247"/>
      <c r="Q3" s="247"/>
      <c r="R3" s="247"/>
    </row>
    <row r="4" spans="1:23" ht="17.399999999999999" customHeight="1" x14ac:dyDescent="0.3">
      <c r="B4" s="248" t="s">
        <v>68</v>
      </c>
      <c r="C4" s="248"/>
      <c r="D4" s="31"/>
      <c r="F4" s="76"/>
      <c r="G4" s="76"/>
      <c r="I4" s="76" t="s">
        <v>33</v>
      </c>
      <c r="J4" s="76"/>
      <c r="K4" s="76"/>
      <c r="L4" s="76"/>
      <c r="M4" s="76"/>
      <c r="N4" s="31"/>
      <c r="P4" s="250" t="s">
        <v>61</v>
      </c>
      <c r="Q4" s="250"/>
      <c r="R4" s="250"/>
      <c r="S4" s="250"/>
      <c r="T4" s="250"/>
    </row>
    <row r="5" spans="1:23" ht="18" customHeight="1" x14ac:dyDescent="0.3">
      <c r="B5" s="248" t="s">
        <v>51</v>
      </c>
      <c r="C5" s="248"/>
      <c r="D5" s="31"/>
      <c r="E5" s="77" t="s">
        <v>58</v>
      </c>
      <c r="F5" s="77"/>
      <c r="I5" s="77" t="s">
        <v>67</v>
      </c>
      <c r="J5" s="77"/>
      <c r="K5" s="77"/>
      <c r="N5" s="249" t="s">
        <v>66</v>
      </c>
      <c r="O5" s="249"/>
      <c r="P5" s="249"/>
      <c r="Q5" s="249"/>
      <c r="R5" s="249"/>
      <c r="S5" s="249"/>
      <c r="T5" s="249"/>
    </row>
    <row r="6" spans="1:23" ht="34.5" customHeight="1" thickBot="1" x14ac:dyDescent="1.05">
      <c r="B6" s="263" t="s">
        <v>45</v>
      </c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5"/>
    </row>
    <row r="7" spans="1:23" ht="19.5" customHeight="1" thickTop="1" x14ac:dyDescent="0.3">
      <c r="B7" s="256" t="s">
        <v>39</v>
      </c>
      <c r="C7" s="258" t="s">
        <v>14</v>
      </c>
      <c r="D7" s="43" t="s">
        <v>43</v>
      </c>
      <c r="E7" s="260" t="s">
        <v>40</v>
      </c>
      <c r="F7" s="261"/>
      <c r="G7" s="261"/>
      <c r="H7" s="262"/>
      <c r="I7" s="244" t="s">
        <v>16</v>
      </c>
      <c r="J7" s="260" t="s">
        <v>41</v>
      </c>
      <c r="K7" s="261"/>
      <c r="L7" s="261"/>
      <c r="M7" s="262"/>
      <c r="N7" s="244" t="s">
        <v>16</v>
      </c>
      <c r="O7" s="260" t="s">
        <v>42</v>
      </c>
      <c r="P7" s="261"/>
      <c r="Q7" s="261"/>
      <c r="R7" s="262"/>
      <c r="S7" s="251" t="s">
        <v>15</v>
      </c>
      <c r="T7" s="244" t="s">
        <v>16</v>
      </c>
    </row>
    <row r="8" spans="1:23" ht="20.25" customHeight="1" thickBot="1" x14ac:dyDescent="0.35">
      <c r="B8" s="257"/>
      <c r="C8" s="259"/>
      <c r="D8" s="44" t="s">
        <v>44</v>
      </c>
      <c r="E8" s="36" t="s">
        <v>17</v>
      </c>
      <c r="F8" s="35" t="s">
        <v>18</v>
      </c>
      <c r="G8" s="35" t="s">
        <v>38</v>
      </c>
      <c r="H8" s="37" t="s">
        <v>19</v>
      </c>
      <c r="I8" s="245"/>
      <c r="J8" s="36" t="s">
        <v>17</v>
      </c>
      <c r="K8" s="35" t="s">
        <v>18</v>
      </c>
      <c r="L8" s="35" t="s">
        <v>38</v>
      </c>
      <c r="M8" s="37" t="s">
        <v>20</v>
      </c>
      <c r="N8" s="245"/>
      <c r="O8" s="36" t="s">
        <v>17</v>
      </c>
      <c r="P8" s="35" t="s">
        <v>18</v>
      </c>
      <c r="Q8" s="35" t="s">
        <v>38</v>
      </c>
      <c r="R8" s="37" t="s">
        <v>21</v>
      </c>
      <c r="S8" s="252"/>
      <c r="T8" s="245"/>
    </row>
    <row r="9" spans="1:23" ht="14.25" customHeight="1" thickTop="1" x14ac:dyDescent="0.3">
      <c r="B9" s="135">
        <v>1</v>
      </c>
      <c r="C9" s="126" t="s">
        <v>69</v>
      </c>
      <c r="D9" s="136"/>
      <c r="E9" s="157">
        <v>18</v>
      </c>
      <c r="F9" s="158">
        <v>14</v>
      </c>
      <c r="G9" s="158"/>
      <c r="H9" s="150">
        <f>AVERAGE(E9,MAX(F9:G9))</f>
        <v>16</v>
      </c>
      <c r="I9" s="151" t="str">
        <f>IF(H9&gt;=10,"TRANSITA","N/TRANSITA")</f>
        <v>TRANSITA</v>
      </c>
      <c r="J9" s="152">
        <v>15</v>
      </c>
      <c r="K9" s="153">
        <v>15</v>
      </c>
      <c r="L9" s="154"/>
      <c r="M9" s="150">
        <f>AVERAGE(J9,MAX(K9:L9))</f>
        <v>15</v>
      </c>
      <c r="N9" s="151" t="str">
        <f>IF(M9&gt;=10,"TRANSITA","N/TRANSITA")</f>
        <v>TRANSITA</v>
      </c>
      <c r="O9" s="152"/>
      <c r="P9" s="153"/>
      <c r="Q9" s="154"/>
      <c r="R9" s="150">
        <f>AVERAGE(O9,MAX(P9:Q9))</f>
        <v>0</v>
      </c>
      <c r="S9" s="155">
        <f t="shared" ref="S9:S41" si="0">SUM(H9,M9,R9)/3</f>
        <v>10.333333333333334</v>
      </c>
      <c r="T9" s="80" t="str">
        <f>IF(S9&gt;=10,"TRANSITA","N/TRANSITA")</f>
        <v>TRANSITA</v>
      </c>
    </row>
    <row r="10" spans="1:23" ht="14.25" customHeight="1" x14ac:dyDescent="0.3">
      <c r="B10" s="33">
        <v>2</v>
      </c>
      <c r="C10" s="127" t="s">
        <v>70</v>
      </c>
      <c r="D10" s="60"/>
      <c r="E10" s="85">
        <v>14</v>
      </c>
      <c r="F10" s="86">
        <v>10</v>
      </c>
      <c r="G10" s="86"/>
      <c r="H10" s="40">
        <f t="shared" ref="H10:H71" si="1">AVERAGE(E10,MAX(F10:G10))</f>
        <v>12</v>
      </c>
      <c r="I10" s="63" t="str">
        <f t="shared" ref="I10:I71" si="2">IF(H10&gt;=10,"TRANSITA","N/TRANSITA")</f>
        <v>TRANSITA</v>
      </c>
      <c r="J10" s="98"/>
      <c r="K10" s="99"/>
      <c r="L10" s="64"/>
      <c r="M10" s="40">
        <f t="shared" ref="M10:M71" si="3">AVERAGE(J10,MAX(K10:L10))</f>
        <v>0</v>
      </c>
      <c r="N10" s="63" t="str">
        <f t="shared" ref="N10:N71" si="4">IF(M10&gt;=10,"TRANSITA","N/TRANSITA")</f>
        <v>N/TRANSITA</v>
      </c>
      <c r="O10" s="98"/>
      <c r="P10" s="99"/>
      <c r="Q10" s="64"/>
      <c r="R10" s="40">
        <f t="shared" ref="R10:R71" si="5">AVERAGE(O10,MAX(P10:Q10))</f>
        <v>0</v>
      </c>
      <c r="S10" s="41">
        <f t="shared" si="0"/>
        <v>4</v>
      </c>
      <c r="T10" s="81" t="str">
        <f t="shared" ref="T10:T71" si="6">IF(S10&gt;=10,"TRANSITA","N/TRANSITA")</f>
        <v>N/TRANSITA</v>
      </c>
    </row>
    <row r="11" spans="1:23" ht="14.25" customHeight="1" x14ac:dyDescent="0.3">
      <c r="B11" s="33">
        <v>3</v>
      </c>
      <c r="C11" s="127" t="s">
        <v>71</v>
      </c>
      <c r="D11" s="60"/>
      <c r="E11" s="85">
        <v>16</v>
      </c>
      <c r="F11" s="86">
        <v>18</v>
      </c>
      <c r="G11" s="86"/>
      <c r="H11" s="40">
        <f t="shared" si="1"/>
        <v>17</v>
      </c>
      <c r="I11" s="63" t="str">
        <f t="shared" si="2"/>
        <v>TRANSITA</v>
      </c>
      <c r="J11" s="98">
        <v>18</v>
      </c>
      <c r="K11" s="99">
        <v>14</v>
      </c>
      <c r="L11" s="64"/>
      <c r="M11" s="40">
        <f t="shared" si="3"/>
        <v>16</v>
      </c>
      <c r="N11" s="63" t="str">
        <f t="shared" si="4"/>
        <v>TRANSITA</v>
      </c>
      <c r="O11" s="98"/>
      <c r="P11" s="99"/>
      <c r="Q11" s="64"/>
      <c r="R11" s="40">
        <f t="shared" si="5"/>
        <v>0</v>
      </c>
      <c r="S11" s="41">
        <f t="shared" si="0"/>
        <v>11</v>
      </c>
      <c r="T11" s="81" t="str">
        <f t="shared" si="6"/>
        <v>TRANSITA</v>
      </c>
    </row>
    <row r="12" spans="1:23" ht="14.25" customHeight="1" x14ac:dyDescent="0.3">
      <c r="B12" s="33">
        <v>4</v>
      </c>
      <c r="C12" s="127" t="s">
        <v>72</v>
      </c>
      <c r="D12" s="60"/>
      <c r="E12" s="85">
        <v>16</v>
      </c>
      <c r="F12" s="86">
        <v>14</v>
      </c>
      <c r="G12" s="86"/>
      <c r="H12" s="40">
        <f t="shared" si="1"/>
        <v>15</v>
      </c>
      <c r="I12" s="63" t="str">
        <f t="shared" si="2"/>
        <v>TRANSITA</v>
      </c>
      <c r="J12" s="98"/>
      <c r="K12" s="99"/>
      <c r="L12" s="64"/>
      <c r="M12" s="40">
        <f t="shared" si="3"/>
        <v>0</v>
      </c>
      <c r="N12" s="63" t="str">
        <f t="shared" si="4"/>
        <v>N/TRANSITA</v>
      </c>
      <c r="O12" s="98"/>
      <c r="P12" s="99"/>
      <c r="Q12" s="64"/>
      <c r="R12" s="40">
        <f t="shared" si="5"/>
        <v>0</v>
      </c>
      <c r="S12" s="41">
        <f t="shared" si="0"/>
        <v>5</v>
      </c>
      <c r="T12" s="81" t="str">
        <f t="shared" si="6"/>
        <v>N/TRANSITA</v>
      </c>
    </row>
    <row r="13" spans="1:23" ht="14.25" customHeight="1" x14ac:dyDescent="0.3">
      <c r="B13" s="33">
        <v>5</v>
      </c>
      <c r="C13" s="127" t="s">
        <v>73</v>
      </c>
      <c r="D13" s="60"/>
      <c r="E13" s="85">
        <v>16</v>
      </c>
      <c r="F13" s="86">
        <v>18</v>
      </c>
      <c r="G13" s="86"/>
      <c r="H13" s="40">
        <f t="shared" si="1"/>
        <v>17</v>
      </c>
      <c r="I13" s="63" t="str">
        <f t="shared" si="2"/>
        <v>TRANSITA</v>
      </c>
      <c r="J13" s="98">
        <v>10</v>
      </c>
      <c r="K13" s="99">
        <v>0</v>
      </c>
      <c r="L13" s="64"/>
      <c r="M13" s="40">
        <f t="shared" si="3"/>
        <v>5</v>
      </c>
      <c r="N13" s="63" t="str">
        <f t="shared" si="4"/>
        <v>N/TRANSITA</v>
      </c>
      <c r="O13" s="98"/>
      <c r="P13" s="99"/>
      <c r="Q13" s="64"/>
      <c r="R13" s="40">
        <f t="shared" si="5"/>
        <v>0</v>
      </c>
      <c r="S13" s="41">
        <f t="shared" si="0"/>
        <v>7.333333333333333</v>
      </c>
      <c r="T13" s="81" t="str">
        <f t="shared" si="6"/>
        <v>N/TRANSITA</v>
      </c>
      <c r="U13" s="18"/>
      <c r="V13" s="18"/>
      <c r="W13" s="18"/>
    </row>
    <row r="14" spans="1:23" ht="14.25" customHeight="1" x14ac:dyDescent="0.3">
      <c r="B14" s="33">
        <v>6</v>
      </c>
      <c r="C14" s="127" t="s">
        <v>74</v>
      </c>
      <c r="D14" s="60"/>
      <c r="E14" s="85">
        <v>6</v>
      </c>
      <c r="F14" s="86">
        <v>10</v>
      </c>
      <c r="G14" s="86"/>
      <c r="H14" s="40">
        <f t="shared" si="1"/>
        <v>8</v>
      </c>
      <c r="I14" s="63" t="str">
        <f t="shared" si="2"/>
        <v>N/TRANSITA</v>
      </c>
      <c r="J14" s="98"/>
      <c r="K14" s="99"/>
      <c r="L14" s="64"/>
      <c r="M14" s="40">
        <f t="shared" si="3"/>
        <v>0</v>
      </c>
      <c r="N14" s="63" t="str">
        <f t="shared" si="4"/>
        <v>N/TRANSITA</v>
      </c>
      <c r="O14" s="98"/>
      <c r="P14" s="99"/>
      <c r="Q14" s="64"/>
      <c r="R14" s="40">
        <f t="shared" si="5"/>
        <v>0</v>
      </c>
      <c r="S14" s="41">
        <f t="shared" si="0"/>
        <v>2.6666666666666665</v>
      </c>
      <c r="T14" s="81" t="str">
        <f t="shared" si="6"/>
        <v>N/TRANSITA</v>
      </c>
    </row>
    <row r="15" spans="1:23" ht="14.25" customHeight="1" x14ac:dyDescent="0.3">
      <c r="B15" s="33">
        <v>7</v>
      </c>
      <c r="C15" s="127" t="s">
        <v>75</v>
      </c>
      <c r="D15" s="60"/>
      <c r="E15" s="85">
        <v>6</v>
      </c>
      <c r="F15" s="86">
        <v>10</v>
      </c>
      <c r="G15" s="86"/>
      <c r="H15" s="40">
        <f t="shared" si="1"/>
        <v>8</v>
      </c>
      <c r="I15" s="63" t="str">
        <f t="shared" si="2"/>
        <v>N/TRANSITA</v>
      </c>
      <c r="J15" s="98"/>
      <c r="K15" s="99"/>
      <c r="L15" s="64"/>
      <c r="M15" s="40">
        <f t="shared" si="3"/>
        <v>0</v>
      </c>
      <c r="N15" s="63" t="str">
        <f t="shared" si="4"/>
        <v>N/TRANSITA</v>
      </c>
      <c r="O15" s="98"/>
      <c r="P15" s="99"/>
      <c r="Q15" s="64"/>
      <c r="R15" s="40">
        <f t="shared" si="5"/>
        <v>0</v>
      </c>
      <c r="S15" s="41">
        <f t="shared" si="0"/>
        <v>2.6666666666666665</v>
      </c>
      <c r="T15" s="81" t="str">
        <f t="shared" si="6"/>
        <v>N/TRANSITA</v>
      </c>
    </row>
    <row r="16" spans="1:23" ht="14.25" customHeight="1" x14ac:dyDescent="0.3">
      <c r="B16" s="33">
        <v>8</v>
      </c>
      <c r="C16" s="127" t="s">
        <v>76</v>
      </c>
      <c r="D16" s="60"/>
      <c r="E16" s="85">
        <v>14</v>
      </c>
      <c r="F16" s="86">
        <v>14</v>
      </c>
      <c r="G16" s="86"/>
      <c r="H16" s="40">
        <f t="shared" si="1"/>
        <v>14</v>
      </c>
      <c r="I16" s="63" t="str">
        <f t="shared" si="2"/>
        <v>TRANSITA</v>
      </c>
      <c r="J16" s="98"/>
      <c r="K16" s="99"/>
      <c r="L16" s="64"/>
      <c r="M16" s="40">
        <f t="shared" si="3"/>
        <v>0</v>
      </c>
      <c r="N16" s="63" t="str">
        <f t="shared" si="4"/>
        <v>N/TRANSITA</v>
      </c>
      <c r="O16" s="98"/>
      <c r="P16" s="99"/>
      <c r="Q16" s="64"/>
      <c r="R16" s="40">
        <f t="shared" si="5"/>
        <v>0</v>
      </c>
      <c r="S16" s="41">
        <f t="shared" si="0"/>
        <v>4.666666666666667</v>
      </c>
      <c r="T16" s="81" t="str">
        <f t="shared" si="6"/>
        <v>N/TRANSITA</v>
      </c>
    </row>
    <row r="17" spans="2:20" ht="14.25" customHeight="1" x14ac:dyDescent="0.3">
      <c r="B17" s="33">
        <v>9</v>
      </c>
      <c r="C17" s="127" t="s">
        <v>77</v>
      </c>
      <c r="D17" s="60"/>
      <c r="E17" s="132">
        <v>14</v>
      </c>
      <c r="F17" s="133">
        <v>16</v>
      </c>
      <c r="G17" s="86"/>
      <c r="H17" s="40">
        <f t="shared" si="1"/>
        <v>15</v>
      </c>
      <c r="I17" s="63" t="str">
        <f t="shared" si="2"/>
        <v>TRANSITA</v>
      </c>
      <c r="J17" s="98">
        <v>13</v>
      </c>
      <c r="K17" s="134">
        <v>7</v>
      </c>
      <c r="L17" s="64"/>
      <c r="M17" s="40">
        <f t="shared" si="3"/>
        <v>10</v>
      </c>
      <c r="N17" s="63" t="str">
        <f t="shared" ref="N17:N18" si="7">IF(M17&gt;=10,"TRANSITA","N/TRANSITA")</f>
        <v>TRANSITA</v>
      </c>
      <c r="O17" s="98"/>
      <c r="P17" s="99"/>
      <c r="Q17" s="64"/>
      <c r="R17" s="40">
        <f t="shared" si="5"/>
        <v>0</v>
      </c>
      <c r="S17" s="41">
        <f t="shared" si="0"/>
        <v>8.3333333333333339</v>
      </c>
      <c r="T17" s="81" t="str">
        <f t="shared" ref="T17:T18" si="8">IF(S17&gt;=10,"TRANSITA","N/TRANSITA")</f>
        <v>N/TRANSITA</v>
      </c>
    </row>
    <row r="18" spans="2:20" ht="14.25" customHeight="1" x14ac:dyDescent="0.3">
      <c r="B18" s="33">
        <v>10</v>
      </c>
      <c r="C18" s="128" t="s">
        <v>78</v>
      </c>
      <c r="D18" s="60"/>
      <c r="E18" s="85"/>
      <c r="F18" s="86"/>
      <c r="G18" s="86"/>
      <c r="H18" s="40">
        <f t="shared" si="1"/>
        <v>0</v>
      </c>
      <c r="I18" s="63" t="str">
        <f t="shared" si="2"/>
        <v>N/TRANSITA</v>
      </c>
      <c r="J18" s="98"/>
      <c r="K18" s="99"/>
      <c r="L18" s="64"/>
      <c r="M18" s="40">
        <f t="shared" si="3"/>
        <v>0</v>
      </c>
      <c r="N18" s="63" t="str">
        <f t="shared" si="7"/>
        <v>N/TRANSITA</v>
      </c>
      <c r="O18" s="98"/>
      <c r="P18" s="99"/>
      <c r="Q18" s="64"/>
      <c r="R18" s="40">
        <f t="shared" si="5"/>
        <v>0</v>
      </c>
      <c r="S18" s="41">
        <f t="shared" si="0"/>
        <v>0</v>
      </c>
      <c r="T18" s="81" t="str">
        <f t="shared" si="8"/>
        <v>N/TRANSITA</v>
      </c>
    </row>
    <row r="19" spans="2:20" ht="14.25" customHeight="1" x14ac:dyDescent="0.3">
      <c r="B19" s="33">
        <v>11</v>
      </c>
      <c r="C19" s="127" t="s">
        <v>79</v>
      </c>
      <c r="D19" s="60"/>
      <c r="E19" s="85"/>
      <c r="F19" s="86"/>
      <c r="G19" s="86"/>
      <c r="H19" s="40">
        <f t="shared" si="1"/>
        <v>0</v>
      </c>
      <c r="I19" s="63" t="str">
        <f t="shared" si="2"/>
        <v>N/TRANSITA</v>
      </c>
      <c r="J19" s="98"/>
      <c r="K19" s="99"/>
      <c r="L19" s="64"/>
      <c r="M19" s="40">
        <f t="shared" si="3"/>
        <v>0</v>
      </c>
      <c r="N19" s="63" t="str">
        <f t="shared" si="4"/>
        <v>N/TRANSITA</v>
      </c>
      <c r="O19" s="98"/>
      <c r="P19" s="99"/>
      <c r="Q19" s="64"/>
      <c r="R19" s="40">
        <f t="shared" si="5"/>
        <v>0</v>
      </c>
      <c r="S19" s="41">
        <f t="shared" si="0"/>
        <v>0</v>
      </c>
      <c r="T19" s="81" t="str">
        <f t="shared" si="6"/>
        <v>N/TRANSITA</v>
      </c>
    </row>
    <row r="20" spans="2:20" ht="14.25" customHeight="1" x14ac:dyDescent="0.3">
      <c r="B20" s="33">
        <v>12</v>
      </c>
      <c r="C20" s="127" t="s">
        <v>80</v>
      </c>
      <c r="D20" s="60"/>
      <c r="E20" s="85">
        <v>14</v>
      </c>
      <c r="F20" s="86">
        <v>16</v>
      </c>
      <c r="G20" s="86"/>
      <c r="H20" s="40">
        <f t="shared" si="1"/>
        <v>15</v>
      </c>
      <c r="I20" s="63" t="str">
        <f t="shared" si="2"/>
        <v>TRANSITA</v>
      </c>
      <c r="J20" s="98"/>
      <c r="K20" s="99"/>
      <c r="L20" s="64"/>
      <c r="M20" s="40">
        <f t="shared" si="3"/>
        <v>0</v>
      </c>
      <c r="N20" s="63" t="str">
        <f t="shared" si="4"/>
        <v>N/TRANSITA</v>
      </c>
      <c r="O20" s="98"/>
      <c r="P20" s="99"/>
      <c r="Q20" s="64"/>
      <c r="R20" s="40">
        <f t="shared" si="5"/>
        <v>0</v>
      </c>
      <c r="S20" s="41">
        <f t="shared" si="0"/>
        <v>5</v>
      </c>
      <c r="T20" s="81" t="str">
        <f t="shared" si="6"/>
        <v>N/TRANSITA</v>
      </c>
    </row>
    <row r="21" spans="2:20" ht="14.25" customHeight="1" x14ac:dyDescent="0.3">
      <c r="B21" s="33">
        <v>13</v>
      </c>
      <c r="C21" s="127" t="s">
        <v>81</v>
      </c>
      <c r="D21" s="60"/>
      <c r="E21" s="85"/>
      <c r="F21" s="86"/>
      <c r="G21" s="86"/>
      <c r="H21" s="40">
        <f t="shared" si="1"/>
        <v>0</v>
      </c>
      <c r="I21" s="63" t="str">
        <f t="shared" si="2"/>
        <v>N/TRANSITA</v>
      </c>
      <c r="J21" s="98"/>
      <c r="K21" s="99"/>
      <c r="L21" s="64"/>
      <c r="M21" s="40">
        <f t="shared" si="3"/>
        <v>0</v>
      </c>
      <c r="N21" s="63" t="str">
        <f t="shared" si="4"/>
        <v>N/TRANSITA</v>
      </c>
      <c r="O21" s="98"/>
      <c r="P21" s="99"/>
      <c r="Q21" s="64"/>
      <c r="R21" s="40">
        <f t="shared" si="5"/>
        <v>0</v>
      </c>
      <c r="S21" s="41">
        <f t="shared" si="0"/>
        <v>0</v>
      </c>
      <c r="T21" s="81" t="str">
        <f t="shared" si="6"/>
        <v>N/TRANSITA</v>
      </c>
    </row>
    <row r="22" spans="2:20" ht="14.25" customHeight="1" x14ac:dyDescent="0.3">
      <c r="B22" s="33">
        <v>14</v>
      </c>
      <c r="C22" s="127" t="s">
        <v>82</v>
      </c>
      <c r="D22" s="60"/>
      <c r="E22" s="85"/>
      <c r="F22" s="86"/>
      <c r="G22" s="86"/>
      <c r="H22" s="40">
        <f t="shared" si="1"/>
        <v>0</v>
      </c>
      <c r="I22" s="63" t="str">
        <f t="shared" si="2"/>
        <v>N/TRANSITA</v>
      </c>
      <c r="J22" s="98"/>
      <c r="K22" s="99"/>
      <c r="L22" s="64"/>
      <c r="M22" s="40">
        <f t="shared" si="3"/>
        <v>0</v>
      </c>
      <c r="N22" s="63" t="str">
        <f t="shared" si="4"/>
        <v>N/TRANSITA</v>
      </c>
      <c r="O22" s="98"/>
      <c r="P22" s="99"/>
      <c r="Q22" s="64"/>
      <c r="R22" s="40">
        <f t="shared" si="5"/>
        <v>0</v>
      </c>
      <c r="S22" s="41">
        <f t="shared" si="0"/>
        <v>0</v>
      </c>
      <c r="T22" s="81" t="str">
        <f t="shared" si="6"/>
        <v>N/TRANSITA</v>
      </c>
    </row>
    <row r="23" spans="2:20" ht="14.25" customHeight="1" x14ac:dyDescent="0.3">
      <c r="B23" s="33">
        <v>15</v>
      </c>
      <c r="C23" s="127" t="s">
        <v>83</v>
      </c>
      <c r="D23" s="60"/>
      <c r="E23" s="85">
        <v>15</v>
      </c>
      <c r="F23" s="86">
        <v>17</v>
      </c>
      <c r="G23" s="86"/>
      <c r="H23" s="40">
        <f t="shared" si="1"/>
        <v>16</v>
      </c>
      <c r="I23" s="63" t="str">
        <f t="shared" si="2"/>
        <v>TRANSITA</v>
      </c>
      <c r="J23" s="98">
        <v>10</v>
      </c>
      <c r="K23" s="99">
        <v>0</v>
      </c>
      <c r="L23" s="64"/>
      <c r="M23" s="40">
        <f t="shared" si="3"/>
        <v>5</v>
      </c>
      <c r="N23" s="63" t="str">
        <f t="shared" si="4"/>
        <v>N/TRANSITA</v>
      </c>
      <c r="O23" s="98"/>
      <c r="P23" s="99"/>
      <c r="Q23" s="64"/>
      <c r="R23" s="40">
        <f t="shared" si="5"/>
        <v>0</v>
      </c>
      <c r="S23" s="41">
        <f t="shared" si="0"/>
        <v>7</v>
      </c>
      <c r="T23" s="81" t="str">
        <f t="shared" si="6"/>
        <v>N/TRANSITA</v>
      </c>
    </row>
    <row r="24" spans="2:20" ht="14.25" customHeight="1" x14ac:dyDescent="0.3">
      <c r="B24" s="33">
        <v>16</v>
      </c>
      <c r="C24" s="127" t="s">
        <v>84</v>
      </c>
      <c r="D24" s="60"/>
      <c r="E24" s="85">
        <v>15</v>
      </c>
      <c r="F24" s="86">
        <v>17</v>
      </c>
      <c r="G24" s="86"/>
      <c r="H24" s="40">
        <f t="shared" si="1"/>
        <v>16</v>
      </c>
      <c r="I24" s="63" t="str">
        <f t="shared" si="2"/>
        <v>TRANSITA</v>
      </c>
      <c r="J24" s="98"/>
      <c r="K24" s="99"/>
      <c r="L24" s="64"/>
      <c r="M24" s="40">
        <f t="shared" si="3"/>
        <v>0</v>
      </c>
      <c r="N24" s="63" t="str">
        <f t="shared" si="4"/>
        <v>N/TRANSITA</v>
      </c>
      <c r="O24" s="98"/>
      <c r="P24" s="99"/>
      <c r="Q24" s="64"/>
      <c r="R24" s="40">
        <f t="shared" si="5"/>
        <v>0</v>
      </c>
      <c r="S24" s="41">
        <f t="shared" si="0"/>
        <v>5.333333333333333</v>
      </c>
      <c r="T24" s="81" t="str">
        <f t="shared" si="6"/>
        <v>N/TRANSITA</v>
      </c>
    </row>
    <row r="25" spans="2:20" ht="14.25" customHeight="1" x14ac:dyDescent="0.3">
      <c r="B25" s="33">
        <v>17</v>
      </c>
      <c r="C25" s="127" t="s">
        <v>85</v>
      </c>
      <c r="D25" s="60"/>
      <c r="E25" s="85">
        <v>12</v>
      </c>
      <c r="F25" s="86">
        <v>16</v>
      </c>
      <c r="G25" s="86"/>
      <c r="H25" s="40">
        <f t="shared" si="1"/>
        <v>14</v>
      </c>
      <c r="I25" s="63" t="str">
        <f t="shared" si="2"/>
        <v>TRANSITA</v>
      </c>
      <c r="J25" s="98"/>
      <c r="K25" s="99"/>
      <c r="L25" s="64"/>
      <c r="M25" s="40">
        <f t="shared" si="3"/>
        <v>0</v>
      </c>
      <c r="N25" s="63" t="str">
        <f t="shared" si="4"/>
        <v>N/TRANSITA</v>
      </c>
      <c r="O25" s="98"/>
      <c r="P25" s="99"/>
      <c r="Q25" s="64"/>
      <c r="R25" s="40">
        <f t="shared" si="5"/>
        <v>0</v>
      </c>
      <c r="S25" s="41">
        <f t="shared" si="0"/>
        <v>4.666666666666667</v>
      </c>
      <c r="T25" s="81" t="str">
        <f t="shared" si="6"/>
        <v>N/TRANSITA</v>
      </c>
    </row>
    <row r="26" spans="2:20" ht="14.25" customHeight="1" x14ac:dyDescent="0.3">
      <c r="B26" s="33">
        <v>18</v>
      </c>
      <c r="C26" s="127" t="s">
        <v>140</v>
      </c>
      <c r="D26" s="60"/>
      <c r="E26" s="85">
        <v>12</v>
      </c>
      <c r="F26" s="86">
        <v>18</v>
      </c>
      <c r="G26" s="86"/>
      <c r="H26" s="40">
        <f t="shared" si="1"/>
        <v>15</v>
      </c>
      <c r="I26" s="63" t="str">
        <f t="shared" si="2"/>
        <v>TRANSITA</v>
      </c>
      <c r="J26" s="98">
        <v>14</v>
      </c>
      <c r="K26" s="99">
        <v>16</v>
      </c>
      <c r="L26" s="64"/>
      <c r="M26" s="40">
        <f t="shared" ref="M26:M27" si="9">AVERAGE(J26,MAX(K26:L26))</f>
        <v>15</v>
      </c>
      <c r="N26" s="63" t="str">
        <f t="shared" ref="N26:N27" si="10">IF(M26&gt;=10,"TRANSITA","N/TRANSITA")</f>
        <v>TRANSITA</v>
      </c>
      <c r="O26" s="98"/>
      <c r="P26" s="99"/>
      <c r="Q26" s="64"/>
      <c r="R26" s="40">
        <f t="shared" ref="R26:R27" si="11">AVERAGE(O26,MAX(P26:Q26))</f>
        <v>0</v>
      </c>
      <c r="S26" s="41">
        <f t="shared" ref="S26:S27" si="12">SUM(H26,M26,R26)/3</f>
        <v>10</v>
      </c>
      <c r="T26" s="81" t="str">
        <f t="shared" ref="T26:T27" si="13">IF(S26&gt;=10,"TRANSITA","N/TRANSITA")</f>
        <v>TRANSITA</v>
      </c>
    </row>
    <row r="27" spans="2:20" ht="14.25" customHeight="1" x14ac:dyDescent="0.3">
      <c r="B27" s="33">
        <v>19</v>
      </c>
      <c r="C27" s="127" t="s">
        <v>86</v>
      </c>
      <c r="D27" s="60"/>
      <c r="E27" s="85"/>
      <c r="F27" s="86"/>
      <c r="G27" s="86"/>
      <c r="H27" s="40">
        <f t="shared" si="1"/>
        <v>0</v>
      </c>
      <c r="I27" s="63" t="str">
        <f t="shared" si="2"/>
        <v>N/TRANSITA</v>
      </c>
      <c r="J27" s="98"/>
      <c r="K27" s="99"/>
      <c r="L27" s="64"/>
      <c r="M27" s="40">
        <f t="shared" si="9"/>
        <v>0</v>
      </c>
      <c r="N27" s="63" t="str">
        <f t="shared" si="10"/>
        <v>N/TRANSITA</v>
      </c>
      <c r="O27" s="98"/>
      <c r="P27" s="99"/>
      <c r="Q27" s="64"/>
      <c r="R27" s="40">
        <f t="shared" si="11"/>
        <v>0</v>
      </c>
      <c r="S27" s="41">
        <f t="shared" si="12"/>
        <v>0</v>
      </c>
      <c r="T27" s="81" t="str">
        <f t="shared" si="13"/>
        <v>N/TRANSITA</v>
      </c>
    </row>
    <row r="28" spans="2:20" ht="14.25" customHeight="1" x14ac:dyDescent="0.3">
      <c r="B28" s="33">
        <v>20</v>
      </c>
      <c r="C28" s="127" t="s">
        <v>87</v>
      </c>
      <c r="D28" s="60"/>
      <c r="E28" s="85">
        <v>12</v>
      </c>
      <c r="F28" s="86">
        <v>16</v>
      </c>
      <c r="G28" s="86"/>
      <c r="H28" s="40">
        <f t="shared" si="1"/>
        <v>14</v>
      </c>
      <c r="I28" s="63" t="str">
        <f t="shared" si="2"/>
        <v>TRANSITA</v>
      </c>
      <c r="J28" s="98"/>
      <c r="K28" s="99"/>
      <c r="L28" s="64"/>
      <c r="M28" s="40">
        <f t="shared" si="3"/>
        <v>0</v>
      </c>
      <c r="N28" s="63" t="str">
        <f t="shared" si="4"/>
        <v>N/TRANSITA</v>
      </c>
      <c r="O28" s="98"/>
      <c r="P28" s="99"/>
      <c r="Q28" s="64"/>
      <c r="R28" s="40">
        <f t="shared" si="5"/>
        <v>0</v>
      </c>
      <c r="S28" s="41">
        <f t="shared" si="0"/>
        <v>4.666666666666667</v>
      </c>
      <c r="T28" s="81" t="str">
        <f t="shared" si="6"/>
        <v>N/TRANSITA</v>
      </c>
    </row>
    <row r="29" spans="2:20" ht="14.25" customHeight="1" x14ac:dyDescent="0.3">
      <c r="B29" s="33">
        <v>21</v>
      </c>
      <c r="C29" s="127" t="s">
        <v>88</v>
      </c>
      <c r="D29" s="60"/>
      <c r="E29" s="85">
        <v>15</v>
      </c>
      <c r="F29" s="86">
        <v>17</v>
      </c>
      <c r="G29" s="86"/>
      <c r="H29" s="40">
        <f t="shared" si="1"/>
        <v>16</v>
      </c>
      <c r="I29" s="63" t="str">
        <f t="shared" si="2"/>
        <v>TRANSITA</v>
      </c>
      <c r="J29" s="98"/>
      <c r="K29" s="99"/>
      <c r="L29" s="64"/>
      <c r="M29" s="40">
        <f t="shared" si="3"/>
        <v>0</v>
      </c>
      <c r="N29" s="63" t="str">
        <f t="shared" si="4"/>
        <v>N/TRANSITA</v>
      </c>
      <c r="O29" s="98"/>
      <c r="P29" s="99"/>
      <c r="Q29" s="64"/>
      <c r="R29" s="40">
        <f t="shared" si="5"/>
        <v>0</v>
      </c>
      <c r="S29" s="41">
        <f t="shared" si="0"/>
        <v>5.333333333333333</v>
      </c>
      <c r="T29" s="81" t="str">
        <f t="shared" si="6"/>
        <v>N/TRANSITA</v>
      </c>
    </row>
    <row r="30" spans="2:20" ht="14.25" customHeight="1" x14ac:dyDescent="0.3">
      <c r="B30" s="33">
        <v>22</v>
      </c>
      <c r="C30" s="127" t="s">
        <v>89</v>
      </c>
      <c r="D30" s="60"/>
      <c r="E30" s="85">
        <v>14</v>
      </c>
      <c r="F30" s="86">
        <v>16</v>
      </c>
      <c r="G30" s="86"/>
      <c r="H30" s="40">
        <f t="shared" si="1"/>
        <v>15</v>
      </c>
      <c r="I30" s="63" t="str">
        <f t="shared" si="2"/>
        <v>TRANSITA</v>
      </c>
      <c r="J30" s="98"/>
      <c r="K30" s="99"/>
      <c r="L30" s="64"/>
      <c r="M30" s="40">
        <f t="shared" si="3"/>
        <v>0</v>
      </c>
      <c r="N30" s="63" t="str">
        <f t="shared" si="4"/>
        <v>N/TRANSITA</v>
      </c>
      <c r="O30" s="98"/>
      <c r="P30" s="99"/>
      <c r="Q30" s="64"/>
      <c r="R30" s="40">
        <f t="shared" si="5"/>
        <v>0</v>
      </c>
      <c r="S30" s="41">
        <f t="shared" si="0"/>
        <v>5</v>
      </c>
      <c r="T30" s="81" t="str">
        <f t="shared" si="6"/>
        <v>N/TRANSITA</v>
      </c>
    </row>
    <row r="31" spans="2:20" ht="14.25" customHeight="1" x14ac:dyDescent="0.3">
      <c r="B31" s="33">
        <v>23</v>
      </c>
      <c r="C31" s="127" t="s">
        <v>90</v>
      </c>
      <c r="D31" s="60"/>
      <c r="E31" s="85">
        <v>6</v>
      </c>
      <c r="F31" s="86">
        <v>10</v>
      </c>
      <c r="G31" s="86"/>
      <c r="H31" s="40">
        <f t="shared" si="1"/>
        <v>8</v>
      </c>
      <c r="I31" s="63" t="str">
        <f t="shared" si="2"/>
        <v>N/TRANSITA</v>
      </c>
      <c r="J31" s="98"/>
      <c r="K31" s="99"/>
      <c r="L31" s="64"/>
      <c r="M31" s="40">
        <f t="shared" si="3"/>
        <v>0</v>
      </c>
      <c r="N31" s="63" t="str">
        <f t="shared" si="4"/>
        <v>N/TRANSITA</v>
      </c>
      <c r="O31" s="98"/>
      <c r="P31" s="99"/>
      <c r="Q31" s="64"/>
      <c r="R31" s="40">
        <f t="shared" si="5"/>
        <v>0</v>
      </c>
      <c r="S31" s="41">
        <f t="shared" si="0"/>
        <v>2.6666666666666665</v>
      </c>
      <c r="T31" s="81" t="str">
        <f t="shared" si="6"/>
        <v>N/TRANSITA</v>
      </c>
    </row>
    <row r="32" spans="2:20" ht="14.25" customHeight="1" x14ac:dyDescent="0.3">
      <c r="B32" s="33">
        <v>24</v>
      </c>
      <c r="C32" s="127" t="s">
        <v>91</v>
      </c>
      <c r="D32" s="60"/>
      <c r="E32" s="85"/>
      <c r="F32" s="86"/>
      <c r="G32" s="86"/>
      <c r="H32" s="40">
        <f t="shared" si="1"/>
        <v>0</v>
      </c>
      <c r="I32" s="63" t="str">
        <f t="shared" si="2"/>
        <v>N/TRANSITA</v>
      </c>
      <c r="J32" s="98"/>
      <c r="K32" s="99"/>
      <c r="L32" s="64"/>
      <c r="M32" s="40">
        <f t="shared" si="3"/>
        <v>0</v>
      </c>
      <c r="N32" s="63" t="str">
        <f t="shared" si="4"/>
        <v>N/TRANSITA</v>
      </c>
      <c r="O32" s="98"/>
      <c r="P32" s="99"/>
      <c r="Q32" s="64"/>
      <c r="R32" s="40">
        <f t="shared" si="5"/>
        <v>0</v>
      </c>
      <c r="S32" s="41">
        <f t="shared" si="0"/>
        <v>0</v>
      </c>
      <c r="T32" s="81" t="str">
        <f t="shared" si="6"/>
        <v>N/TRANSITA</v>
      </c>
    </row>
    <row r="33" spans="2:20" ht="14.25" customHeight="1" x14ac:dyDescent="0.3">
      <c r="B33" s="33">
        <v>25</v>
      </c>
      <c r="C33" s="127" t="s">
        <v>92</v>
      </c>
      <c r="D33" s="60"/>
      <c r="E33" s="85">
        <v>13</v>
      </c>
      <c r="F33" s="86">
        <v>15</v>
      </c>
      <c r="G33" s="86"/>
      <c r="H33" s="40">
        <f t="shared" si="1"/>
        <v>14</v>
      </c>
      <c r="I33" s="63" t="str">
        <f t="shared" si="2"/>
        <v>TRANSITA</v>
      </c>
      <c r="J33" s="98">
        <v>13</v>
      </c>
      <c r="K33" s="99">
        <v>0</v>
      </c>
      <c r="L33" s="64"/>
      <c r="M33" s="40">
        <f t="shared" si="3"/>
        <v>6.5</v>
      </c>
      <c r="N33" s="63" t="str">
        <f t="shared" si="4"/>
        <v>N/TRANSITA</v>
      </c>
      <c r="O33" s="98"/>
      <c r="P33" s="99"/>
      <c r="Q33" s="64"/>
      <c r="R33" s="40">
        <f t="shared" si="5"/>
        <v>0</v>
      </c>
      <c r="S33" s="41">
        <f t="shared" si="0"/>
        <v>6.833333333333333</v>
      </c>
      <c r="T33" s="81" t="str">
        <f t="shared" si="6"/>
        <v>N/TRANSITA</v>
      </c>
    </row>
    <row r="34" spans="2:20" ht="14.25" customHeight="1" x14ac:dyDescent="0.3">
      <c r="B34" s="33">
        <v>26</v>
      </c>
      <c r="C34" s="127" t="s">
        <v>93</v>
      </c>
      <c r="D34" s="60"/>
      <c r="E34" s="85"/>
      <c r="F34" s="86"/>
      <c r="G34" s="86"/>
      <c r="H34" s="40">
        <f t="shared" si="1"/>
        <v>0</v>
      </c>
      <c r="I34" s="63" t="str">
        <f t="shared" si="2"/>
        <v>N/TRANSITA</v>
      </c>
      <c r="J34" s="98"/>
      <c r="K34" s="99"/>
      <c r="L34" s="64"/>
      <c r="M34" s="40">
        <f t="shared" si="3"/>
        <v>0</v>
      </c>
      <c r="N34" s="63" t="str">
        <f t="shared" si="4"/>
        <v>N/TRANSITA</v>
      </c>
      <c r="O34" s="98"/>
      <c r="P34" s="99"/>
      <c r="Q34" s="64"/>
      <c r="R34" s="40">
        <f t="shared" si="5"/>
        <v>0</v>
      </c>
      <c r="S34" s="41">
        <f t="shared" si="0"/>
        <v>0</v>
      </c>
      <c r="T34" s="81" t="str">
        <f t="shared" si="6"/>
        <v>N/TRANSITA</v>
      </c>
    </row>
    <row r="35" spans="2:20" ht="14.25" customHeight="1" x14ac:dyDescent="0.3">
      <c r="B35" s="33">
        <v>27</v>
      </c>
      <c r="C35" s="128" t="s">
        <v>94</v>
      </c>
      <c r="D35" s="60"/>
      <c r="E35" s="85"/>
      <c r="F35" s="86"/>
      <c r="G35" s="86"/>
      <c r="H35" s="40">
        <f t="shared" si="1"/>
        <v>0</v>
      </c>
      <c r="I35" s="63" t="str">
        <f t="shared" si="2"/>
        <v>N/TRANSITA</v>
      </c>
      <c r="J35" s="98"/>
      <c r="K35" s="99"/>
      <c r="L35" s="64"/>
      <c r="M35" s="40">
        <f t="shared" si="3"/>
        <v>0</v>
      </c>
      <c r="N35" s="63" t="str">
        <f t="shared" si="4"/>
        <v>N/TRANSITA</v>
      </c>
      <c r="O35" s="98"/>
      <c r="P35" s="99"/>
      <c r="Q35" s="64"/>
      <c r="R35" s="40">
        <f t="shared" si="5"/>
        <v>0</v>
      </c>
      <c r="S35" s="41">
        <f t="shared" si="0"/>
        <v>0</v>
      </c>
      <c r="T35" s="81" t="str">
        <f t="shared" si="6"/>
        <v>N/TRANSITA</v>
      </c>
    </row>
    <row r="36" spans="2:20" ht="14.25" customHeight="1" x14ac:dyDescent="0.3">
      <c r="B36" s="33">
        <v>28</v>
      </c>
      <c r="C36" s="127" t="s">
        <v>95</v>
      </c>
      <c r="D36" s="60"/>
      <c r="E36" s="85">
        <v>16</v>
      </c>
      <c r="F36" s="86">
        <v>12</v>
      </c>
      <c r="G36" s="86"/>
      <c r="H36" s="40">
        <f t="shared" si="1"/>
        <v>14</v>
      </c>
      <c r="I36" s="63" t="str">
        <f t="shared" si="2"/>
        <v>TRANSITA</v>
      </c>
      <c r="J36" s="98"/>
      <c r="K36" s="99"/>
      <c r="L36" s="64"/>
      <c r="M36" s="40">
        <f t="shared" si="3"/>
        <v>0</v>
      </c>
      <c r="N36" s="63" t="str">
        <f t="shared" si="4"/>
        <v>N/TRANSITA</v>
      </c>
      <c r="O36" s="98"/>
      <c r="P36" s="99"/>
      <c r="Q36" s="64"/>
      <c r="R36" s="40">
        <f t="shared" si="5"/>
        <v>0</v>
      </c>
      <c r="S36" s="41">
        <f t="shared" si="0"/>
        <v>4.666666666666667</v>
      </c>
      <c r="T36" s="81" t="str">
        <f t="shared" si="6"/>
        <v>N/TRANSITA</v>
      </c>
    </row>
    <row r="37" spans="2:20" ht="14.25" customHeight="1" x14ac:dyDescent="0.3">
      <c r="B37" s="33">
        <v>29</v>
      </c>
      <c r="C37" s="127" t="s">
        <v>96</v>
      </c>
      <c r="D37" s="60"/>
      <c r="E37" s="85">
        <v>12</v>
      </c>
      <c r="F37" s="86">
        <v>16</v>
      </c>
      <c r="G37" s="86"/>
      <c r="H37" s="40">
        <f t="shared" si="1"/>
        <v>14</v>
      </c>
      <c r="I37" s="63" t="str">
        <f t="shared" si="2"/>
        <v>TRANSITA</v>
      </c>
      <c r="J37" s="98"/>
      <c r="K37" s="99"/>
      <c r="L37" s="64"/>
      <c r="M37" s="40">
        <f t="shared" si="3"/>
        <v>0</v>
      </c>
      <c r="N37" s="63" t="str">
        <f t="shared" si="4"/>
        <v>N/TRANSITA</v>
      </c>
      <c r="O37" s="98"/>
      <c r="P37" s="99"/>
      <c r="Q37" s="64"/>
      <c r="R37" s="40">
        <f t="shared" si="5"/>
        <v>0</v>
      </c>
      <c r="S37" s="41">
        <f t="shared" si="0"/>
        <v>4.666666666666667</v>
      </c>
      <c r="T37" s="81" t="str">
        <f t="shared" si="6"/>
        <v>N/TRANSITA</v>
      </c>
    </row>
    <row r="38" spans="2:20" ht="14.25" customHeight="1" x14ac:dyDescent="0.3">
      <c r="B38" s="33">
        <v>30</v>
      </c>
      <c r="C38" s="127" t="s">
        <v>97</v>
      </c>
      <c r="D38" s="60"/>
      <c r="E38" s="85"/>
      <c r="F38" s="86"/>
      <c r="G38" s="86"/>
      <c r="H38" s="40">
        <f t="shared" si="1"/>
        <v>0</v>
      </c>
      <c r="I38" s="63" t="str">
        <f t="shared" si="2"/>
        <v>N/TRANSITA</v>
      </c>
      <c r="J38" s="98"/>
      <c r="K38" s="99"/>
      <c r="L38" s="64"/>
      <c r="M38" s="40">
        <f t="shared" si="3"/>
        <v>0</v>
      </c>
      <c r="N38" s="63" t="str">
        <f t="shared" si="4"/>
        <v>N/TRANSITA</v>
      </c>
      <c r="O38" s="98"/>
      <c r="P38" s="99"/>
      <c r="Q38" s="64"/>
      <c r="R38" s="40">
        <f t="shared" si="5"/>
        <v>0</v>
      </c>
      <c r="S38" s="41">
        <f t="shared" si="0"/>
        <v>0</v>
      </c>
      <c r="T38" s="81" t="str">
        <f t="shared" si="6"/>
        <v>N/TRANSITA</v>
      </c>
    </row>
    <row r="39" spans="2:20" ht="14.25" customHeight="1" x14ac:dyDescent="0.3">
      <c r="B39" s="33">
        <v>31</v>
      </c>
      <c r="C39" s="127" t="s">
        <v>98</v>
      </c>
      <c r="D39" s="60"/>
      <c r="E39" s="85">
        <v>6</v>
      </c>
      <c r="F39" s="86">
        <v>10</v>
      </c>
      <c r="G39" s="86"/>
      <c r="H39" s="40">
        <f t="shared" si="1"/>
        <v>8</v>
      </c>
      <c r="I39" s="63" t="str">
        <f t="shared" si="2"/>
        <v>N/TRANSITA</v>
      </c>
      <c r="J39" s="98"/>
      <c r="K39" s="99"/>
      <c r="L39" s="64"/>
      <c r="M39" s="40">
        <f t="shared" si="3"/>
        <v>0</v>
      </c>
      <c r="N39" s="63" t="str">
        <f t="shared" si="4"/>
        <v>N/TRANSITA</v>
      </c>
      <c r="O39" s="98"/>
      <c r="P39" s="99"/>
      <c r="Q39" s="64"/>
      <c r="R39" s="40">
        <f t="shared" si="5"/>
        <v>0</v>
      </c>
      <c r="S39" s="41">
        <f t="shared" si="0"/>
        <v>2.6666666666666665</v>
      </c>
      <c r="T39" s="81" t="str">
        <f t="shared" si="6"/>
        <v>N/TRANSITA</v>
      </c>
    </row>
    <row r="40" spans="2:20" ht="14.25" customHeight="1" x14ac:dyDescent="0.3">
      <c r="B40" s="33">
        <v>32</v>
      </c>
      <c r="C40" s="128" t="s">
        <v>99</v>
      </c>
      <c r="D40" s="60"/>
      <c r="E40" s="85"/>
      <c r="F40" s="86"/>
      <c r="G40" s="86"/>
      <c r="H40" s="40">
        <f t="shared" si="1"/>
        <v>0</v>
      </c>
      <c r="I40" s="63" t="str">
        <f t="shared" si="2"/>
        <v>N/TRANSITA</v>
      </c>
      <c r="J40" s="98"/>
      <c r="K40" s="99"/>
      <c r="L40" s="64"/>
      <c r="M40" s="40">
        <f t="shared" si="3"/>
        <v>0</v>
      </c>
      <c r="N40" s="63" t="str">
        <f t="shared" si="4"/>
        <v>N/TRANSITA</v>
      </c>
      <c r="O40" s="98"/>
      <c r="P40" s="99"/>
      <c r="Q40" s="64"/>
      <c r="R40" s="40">
        <f t="shared" si="5"/>
        <v>0</v>
      </c>
      <c r="S40" s="41">
        <f t="shared" si="0"/>
        <v>0</v>
      </c>
      <c r="T40" s="81" t="str">
        <f t="shared" si="6"/>
        <v>N/TRANSITA</v>
      </c>
    </row>
    <row r="41" spans="2:20" ht="14.25" customHeight="1" x14ac:dyDescent="0.3">
      <c r="B41" s="33">
        <v>33</v>
      </c>
      <c r="C41" s="127" t="s">
        <v>100</v>
      </c>
      <c r="D41" s="60"/>
      <c r="E41" s="85">
        <v>16</v>
      </c>
      <c r="F41" s="86">
        <v>16</v>
      </c>
      <c r="G41" s="86"/>
      <c r="H41" s="40">
        <f t="shared" si="1"/>
        <v>16</v>
      </c>
      <c r="I41" s="63" t="str">
        <f t="shared" si="2"/>
        <v>TRANSITA</v>
      </c>
      <c r="J41" s="98">
        <v>16</v>
      </c>
      <c r="K41" s="99">
        <v>14</v>
      </c>
      <c r="L41" s="64"/>
      <c r="M41" s="40">
        <f t="shared" si="3"/>
        <v>15</v>
      </c>
      <c r="N41" s="63" t="str">
        <f t="shared" si="4"/>
        <v>TRANSITA</v>
      </c>
      <c r="O41" s="98"/>
      <c r="P41" s="99"/>
      <c r="Q41" s="64"/>
      <c r="R41" s="40">
        <f t="shared" si="5"/>
        <v>0</v>
      </c>
      <c r="S41" s="41">
        <f t="shared" si="0"/>
        <v>10.333333333333334</v>
      </c>
      <c r="T41" s="81" t="str">
        <f t="shared" si="6"/>
        <v>TRANSITA</v>
      </c>
    </row>
    <row r="42" spans="2:20" ht="14.25" customHeight="1" x14ac:dyDescent="0.3">
      <c r="B42" s="33">
        <v>34</v>
      </c>
      <c r="C42" s="127" t="s">
        <v>101</v>
      </c>
      <c r="D42" s="60"/>
      <c r="E42" s="85"/>
      <c r="F42" s="86"/>
      <c r="G42" s="86"/>
      <c r="H42" s="40">
        <f t="shared" si="1"/>
        <v>0</v>
      </c>
      <c r="I42" s="63" t="str">
        <f t="shared" si="2"/>
        <v>N/TRANSITA</v>
      </c>
      <c r="J42" s="98"/>
      <c r="K42" s="99"/>
      <c r="L42" s="64"/>
      <c r="M42" s="40">
        <f t="shared" si="3"/>
        <v>0</v>
      </c>
      <c r="N42" s="63" t="str">
        <f t="shared" si="4"/>
        <v>N/TRANSITA</v>
      </c>
      <c r="O42" s="98"/>
      <c r="P42" s="99"/>
      <c r="Q42" s="64"/>
      <c r="R42" s="40">
        <f t="shared" si="5"/>
        <v>0</v>
      </c>
      <c r="S42" s="41">
        <f t="shared" ref="S42:S71" si="14">SUM(H42,M42,R42)/3</f>
        <v>0</v>
      </c>
      <c r="T42" s="81" t="str">
        <f t="shared" si="6"/>
        <v>N/TRANSITA</v>
      </c>
    </row>
    <row r="43" spans="2:20" ht="14.25" customHeight="1" x14ac:dyDescent="0.3">
      <c r="B43" s="33">
        <v>35</v>
      </c>
      <c r="C43" s="127" t="s">
        <v>102</v>
      </c>
      <c r="D43" s="60"/>
      <c r="E43" s="85">
        <v>16</v>
      </c>
      <c r="F43" s="86">
        <v>14</v>
      </c>
      <c r="G43" s="86"/>
      <c r="H43" s="40">
        <f t="shared" si="1"/>
        <v>15</v>
      </c>
      <c r="I43" s="63" t="str">
        <f t="shared" si="2"/>
        <v>TRANSITA</v>
      </c>
      <c r="J43" s="98">
        <v>13</v>
      </c>
      <c r="K43" s="99">
        <v>7</v>
      </c>
      <c r="L43" s="64"/>
      <c r="M43" s="40">
        <f t="shared" si="3"/>
        <v>10</v>
      </c>
      <c r="N43" s="63" t="str">
        <f t="shared" si="4"/>
        <v>TRANSITA</v>
      </c>
      <c r="O43" s="98"/>
      <c r="P43" s="99"/>
      <c r="Q43" s="64"/>
      <c r="R43" s="40">
        <f t="shared" si="5"/>
        <v>0</v>
      </c>
      <c r="S43" s="41">
        <f t="shared" si="14"/>
        <v>8.3333333333333339</v>
      </c>
      <c r="T43" s="81" t="str">
        <f t="shared" si="6"/>
        <v>N/TRANSITA</v>
      </c>
    </row>
    <row r="44" spans="2:20" ht="14.25" customHeight="1" x14ac:dyDescent="0.3">
      <c r="B44" s="33">
        <v>36</v>
      </c>
      <c r="C44" s="127" t="s">
        <v>103</v>
      </c>
      <c r="D44" s="60"/>
      <c r="E44" s="85"/>
      <c r="F44" s="86"/>
      <c r="G44" s="86"/>
      <c r="H44" s="40">
        <f t="shared" si="1"/>
        <v>0</v>
      </c>
      <c r="I44" s="63" t="str">
        <f t="shared" si="2"/>
        <v>N/TRANSITA</v>
      </c>
      <c r="J44" s="98"/>
      <c r="K44" s="99"/>
      <c r="L44" s="64"/>
      <c r="M44" s="40">
        <f t="shared" si="3"/>
        <v>0</v>
      </c>
      <c r="N44" s="63" t="str">
        <f t="shared" ref="N44:N49" si="15">IF(M44&gt;=10,"TRANSITA","N/TRANSITA")</f>
        <v>N/TRANSITA</v>
      </c>
      <c r="O44" s="98"/>
      <c r="P44" s="99"/>
      <c r="Q44" s="64"/>
      <c r="R44" s="40">
        <f t="shared" si="5"/>
        <v>0</v>
      </c>
      <c r="S44" s="41">
        <f t="shared" si="14"/>
        <v>0</v>
      </c>
      <c r="T44" s="81" t="str">
        <f t="shared" ref="T44:T49" si="16">IF(S44&gt;=10,"TRANSITA","N/TRANSITA")</f>
        <v>N/TRANSITA</v>
      </c>
    </row>
    <row r="45" spans="2:20" ht="14.25" customHeight="1" x14ac:dyDescent="0.3">
      <c r="B45" s="33">
        <v>37</v>
      </c>
      <c r="C45" s="127" t="s">
        <v>104</v>
      </c>
      <c r="D45" s="60"/>
      <c r="E45" s="85">
        <v>13</v>
      </c>
      <c r="F45" s="86">
        <v>15</v>
      </c>
      <c r="G45" s="86"/>
      <c r="H45" s="40">
        <f t="shared" si="1"/>
        <v>14</v>
      </c>
      <c r="I45" s="63" t="str">
        <f t="shared" si="2"/>
        <v>TRANSITA</v>
      </c>
      <c r="J45" s="98"/>
      <c r="K45" s="99"/>
      <c r="L45" s="64"/>
      <c r="M45" s="40">
        <f t="shared" si="3"/>
        <v>0</v>
      </c>
      <c r="N45" s="63" t="str">
        <f t="shared" si="15"/>
        <v>N/TRANSITA</v>
      </c>
      <c r="O45" s="98"/>
      <c r="P45" s="99"/>
      <c r="Q45" s="64"/>
      <c r="R45" s="40">
        <f t="shared" si="5"/>
        <v>0</v>
      </c>
      <c r="S45" s="41">
        <f t="shared" si="14"/>
        <v>4.666666666666667</v>
      </c>
      <c r="T45" s="81" t="str">
        <f t="shared" si="16"/>
        <v>N/TRANSITA</v>
      </c>
    </row>
    <row r="46" spans="2:20" ht="14.25" customHeight="1" x14ac:dyDescent="0.3">
      <c r="B46" s="33">
        <v>38</v>
      </c>
      <c r="C46" s="127" t="s">
        <v>105</v>
      </c>
      <c r="D46" s="60"/>
      <c r="E46" s="85"/>
      <c r="F46" s="86"/>
      <c r="G46" s="86"/>
      <c r="H46" s="40">
        <f t="shared" si="1"/>
        <v>0</v>
      </c>
      <c r="I46" s="63" t="str">
        <f t="shared" si="2"/>
        <v>N/TRANSITA</v>
      </c>
      <c r="J46" s="98"/>
      <c r="K46" s="99"/>
      <c r="L46" s="64"/>
      <c r="M46" s="40">
        <f t="shared" si="3"/>
        <v>0</v>
      </c>
      <c r="N46" s="63" t="str">
        <f t="shared" si="15"/>
        <v>N/TRANSITA</v>
      </c>
      <c r="O46" s="98"/>
      <c r="P46" s="99"/>
      <c r="Q46" s="64"/>
      <c r="R46" s="40">
        <f t="shared" si="5"/>
        <v>0</v>
      </c>
      <c r="S46" s="41">
        <f t="shared" si="14"/>
        <v>0</v>
      </c>
      <c r="T46" s="81" t="str">
        <f t="shared" si="16"/>
        <v>N/TRANSITA</v>
      </c>
    </row>
    <row r="47" spans="2:20" ht="14.25" customHeight="1" x14ac:dyDescent="0.3">
      <c r="B47" s="33">
        <v>39</v>
      </c>
      <c r="C47" s="127" t="s">
        <v>106</v>
      </c>
      <c r="D47" s="60"/>
      <c r="E47" s="85">
        <v>14</v>
      </c>
      <c r="F47" s="86">
        <v>10</v>
      </c>
      <c r="G47" s="86"/>
      <c r="H47" s="40">
        <f t="shared" si="1"/>
        <v>12</v>
      </c>
      <c r="I47" s="63" t="str">
        <f t="shared" si="2"/>
        <v>TRANSITA</v>
      </c>
      <c r="J47" s="98">
        <v>16</v>
      </c>
      <c r="K47" s="99">
        <v>16</v>
      </c>
      <c r="L47" s="64"/>
      <c r="M47" s="40">
        <f t="shared" si="3"/>
        <v>16</v>
      </c>
      <c r="N47" s="63" t="str">
        <f t="shared" si="15"/>
        <v>TRANSITA</v>
      </c>
      <c r="O47" s="98"/>
      <c r="P47" s="99"/>
      <c r="Q47" s="64"/>
      <c r="R47" s="40">
        <f t="shared" si="5"/>
        <v>0</v>
      </c>
      <c r="S47" s="41">
        <f t="shared" si="14"/>
        <v>9.3333333333333339</v>
      </c>
      <c r="T47" s="81" t="str">
        <f t="shared" si="16"/>
        <v>N/TRANSITA</v>
      </c>
    </row>
    <row r="48" spans="2:20" ht="14.25" customHeight="1" x14ac:dyDescent="0.3">
      <c r="B48" s="33">
        <v>40</v>
      </c>
      <c r="C48" s="127" t="s">
        <v>145</v>
      </c>
      <c r="D48" s="60"/>
      <c r="E48" s="85"/>
      <c r="F48" s="86"/>
      <c r="G48" s="86"/>
      <c r="H48" s="40">
        <f t="shared" si="1"/>
        <v>0</v>
      </c>
      <c r="I48" s="63" t="str">
        <f t="shared" si="2"/>
        <v>N/TRANSITA</v>
      </c>
      <c r="J48" s="98"/>
      <c r="K48" s="99"/>
      <c r="L48" s="64"/>
      <c r="M48" s="40">
        <f t="shared" ref="M48" si="17">AVERAGE(J48,MAX(K48:L48))</f>
        <v>0</v>
      </c>
      <c r="N48" s="63" t="str">
        <f t="shared" ref="N48" si="18">IF(M48&gt;=10,"TRANSITA","N/TRANSITA")</f>
        <v>N/TRANSITA</v>
      </c>
      <c r="O48" s="98"/>
      <c r="P48" s="99"/>
      <c r="Q48" s="64"/>
      <c r="R48" s="40">
        <f t="shared" ref="R48" si="19">AVERAGE(O48,MAX(P48:Q48))</f>
        <v>0</v>
      </c>
      <c r="S48" s="41">
        <f t="shared" ref="S48" si="20">SUM(H48,M48,R48)/3</f>
        <v>0</v>
      </c>
      <c r="T48" s="81" t="str">
        <f t="shared" ref="T48" si="21">IF(S48&gt;=10,"TRANSITA","N/TRANSITA")</f>
        <v>N/TRANSITA</v>
      </c>
    </row>
    <row r="49" spans="2:20" ht="14.25" customHeight="1" x14ac:dyDescent="0.3">
      <c r="B49" s="33">
        <v>41</v>
      </c>
      <c r="C49" s="128" t="s">
        <v>107</v>
      </c>
      <c r="D49" s="60"/>
      <c r="E49" s="85">
        <v>6</v>
      </c>
      <c r="F49" s="86">
        <v>10</v>
      </c>
      <c r="G49" s="86"/>
      <c r="H49" s="40">
        <f t="shared" si="1"/>
        <v>8</v>
      </c>
      <c r="I49" s="63" t="str">
        <f t="shared" si="2"/>
        <v>N/TRANSITA</v>
      </c>
      <c r="J49" s="98"/>
      <c r="K49" s="99"/>
      <c r="L49" s="64"/>
      <c r="M49" s="40">
        <f t="shared" si="3"/>
        <v>0</v>
      </c>
      <c r="N49" s="63" t="str">
        <f t="shared" si="15"/>
        <v>N/TRANSITA</v>
      </c>
      <c r="O49" s="98"/>
      <c r="P49" s="99"/>
      <c r="Q49" s="64"/>
      <c r="R49" s="40">
        <f t="shared" si="5"/>
        <v>0</v>
      </c>
      <c r="S49" s="41">
        <f t="shared" si="14"/>
        <v>2.6666666666666665</v>
      </c>
      <c r="T49" s="81" t="str">
        <f t="shared" si="16"/>
        <v>N/TRANSITA</v>
      </c>
    </row>
    <row r="50" spans="2:20" ht="14.25" customHeight="1" x14ac:dyDescent="0.3">
      <c r="B50" s="33">
        <v>42</v>
      </c>
      <c r="C50" s="127" t="s">
        <v>108</v>
      </c>
      <c r="D50" s="61"/>
      <c r="E50" s="85">
        <v>14</v>
      </c>
      <c r="F50" s="86">
        <v>18</v>
      </c>
      <c r="G50" s="86"/>
      <c r="H50" s="40">
        <f t="shared" si="1"/>
        <v>16</v>
      </c>
      <c r="I50" s="63" t="str">
        <f t="shared" si="2"/>
        <v>TRANSITA</v>
      </c>
      <c r="J50" s="98">
        <v>17</v>
      </c>
      <c r="K50" s="99">
        <v>15</v>
      </c>
      <c r="L50" s="64"/>
      <c r="M50" s="40">
        <f t="shared" si="3"/>
        <v>16</v>
      </c>
      <c r="N50" s="63" t="str">
        <f t="shared" si="4"/>
        <v>TRANSITA</v>
      </c>
      <c r="O50" s="98"/>
      <c r="P50" s="99"/>
      <c r="Q50" s="64"/>
      <c r="R50" s="40">
        <f t="shared" si="5"/>
        <v>0</v>
      </c>
      <c r="S50" s="41">
        <f t="shared" si="14"/>
        <v>10.666666666666666</v>
      </c>
      <c r="T50" s="81" t="str">
        <f t="shared" si="6"/>
        <v>TRANSITA</v>
      </c>
    </row>
    <row r="51" spans="2:20" ht="14.25" customHeight="1" x14ac:dyDescent="0.3">
      <c r="B51" s="33">
        <v>43</v>
      </c>
      <c r="C51" s="127" t="s">
        <v>109</v>
      </c>
      <c r="D51" s="61"/>
      <c r="E51" s="85">
        <v>14</v>
      </c>
      <c r="F51" s="86"/>
      <c r="G51" s="86"/>
      <c r="H51" s="40">
        <f t="shared" si="1"/>
        <v>7</v>
      </c>
      <c r="I51" s="63" t="str">
        <f t="shared" si="2"/>
        <v>N/TRANSITA</v>
      </c>
      <c r="J51" s="98"/>
      <c r="K51" s="99"/>
      <c r="L51" s="64"/>
      <c r="M51" s="40">
        <f t="shared" si="3"/>
        <v>0</v>
      </c>
      <c r="N51" s="63" t="str">
        <f t="shared" si="4"/>
        <v>N/TRANSITA</v>
      </c>
      <c r="O51" s="98"/>
      <c r="P51" s="99"/>
      <c r="Q51" s="64"/>
      <c r="R51" s="40">
        <f t="shared" si="5"/>
        <v>0</v>
      </c>
      <c r="S51" s="41">
        <f t="shared" si="14"/>
        <v>2.3333333333333335</v>
      </c>
      <c r="T51" s="81" t="str">
        <f t="shared" si="6"/>
        <v>N/TRANSITA</v>
      </c>
    </row>
    <row r="52" spans="2:20" ht="14.25" customHeight="1" x14ac:dyDescent="0.3">
      <c r="B52" s="33">
        <v>44</v>
      </c>
      <c r="C52" s="127" t="s">
        <v>110</v>
      </c>
      <c r="D52" s="60"/>
      <c r="E52" s="85">
        <v>14</v>
      </c>
      <c r="F52" s="86">
        <v>16</v>
      </c>
      <c r="G52" s="86"/>
      <c r="H52" s="40">
        <f t="shared" si="1"/>
        <v>15</v>
      </c>
      <c r="I52" s="63" t="str">
        <f t="shared" si="2"/>
        <v>TRANSITA</v>
      </c>
      <c r="J52" s="98">
        <v>16</v>
      </c>
      <c r="K52" s="99">
        <v>16</v>
      </c>
      <c r="L52" s="64"/>
      <c r="M52" s="40">
        <f t="shared" si="3"/>
        <v>16</v>
      </c>
      <c r="N52" s="63" t="str">
        <f t="shared" si="4"/>
        <v>TRANSITA</v>
      </c>
      <c r="O52" s="98"/>
      <c r="P52" s="99"/>
      <c r="Q52" s="64"/>
      <c r="R52" s="40">
        <f t="shared" si="5"/>
        <v>0</v>
      </c>
      <c r="S52" s="41">
        <f t="shared" si="14"/>
        <v>10.333333333333334</v>
      </c>
      <c r="T52" s="81" t="str">
        <f t="shared" si="6"/>
        <v>TRANSITA</v>
      </c>
    </row>
    <row r="53" spans="2:20" ht="14.25" customHeight="1" x14ac:dyDescent="0.3">
      <c r="B53" s="33">
        <v>45</v>
      </c>
      <c r="C53" s="127" t="s">
        <v>111</v>
      </c>
      <c r="D53" s="60"/>
      <c r="E53" s="85"/>
      <c r="F53" s="86"/>
      <c r="G53" s="86"/>
      <c r="H53" s="40">
        <f t="shared" si="1"/>
        <v>0</v>
      </c>
      <c r="I53" s="63" t="str">
        <f t="shared" si="2"/>
        <v>N/TRANSITA</v>
      </c>
      <c r="J53" s="98"/>
      <c r="K53" s="99"/>
      <c r="L53" s="64"/>
      <c r="M53" s="40">
        <f t="shared" si="3"/>
        <v>0</v>
      </c>
      <c r="N53" s="63" t="str">
        <f t="shared" si="4"/>
        <v>N/TRANSITA</v>
      </c>
      <c r="O53" s="98"/>
      <c r="P53" s="99"/>
      <c r="Q53" s="64"/>
      <c r="R53" s="40">
        <f t="shared" si="5"/>
        <v>0</v>
      </c>
      <c r="S53" s="41">
        <f t="shared" si="14"/>
        <v>0</v>
      </c>
      <c r="T53" s="81" t="str">
        <f t="shared" si="6"/>
        <v>N/TRANSITA</v>
      </c>
    </row>
    <row r="54" spans="2:20" ht="14.25" customHeight="1" x14ac:dyDescent="0.3">
      <c r="B54" s="33">
        <v>46</v>
      </c>
      <c r="C54" s="127" t="s">
        <v>112</v>
      </c>
      <c r="D54" s="60"/>
      <c r="E54" s="85">
        <v>16</v>
      </c>
      <c r="F54" s="86">
        <v>14</v>
      </c>
      <c r="G54" s="86"/>
      <c r="H54" s="40">
        <f t="shared" si="1"/>
        <v>15</v>
      </c>
      <c r="I54" s="63" t="str">
        <f t="shared" si="2"/>
        <v>TRANSITA</v>
      </c>
      <c r="J54" s="98">
        <v>18</v>
      </c>
      <c r="K54" s="99">
        <v>16</v>
      </c>
      <c r="L54" s="64"/>
      <c r="M54" s="40">
        <f t="shared" si="3"/>
        <v>17</v>
      </c>
      <c r="N54" s="63" t="str">
        <f t="shared" si="4"/>
        <v>TRANSITA</v>
      </c>
      <c r="O54" s="98"/>
      <c r="P54" s="99"/>
      <c r="Q54" s="64"/>
      <c r="R54" s="40">
        <f t="shared" si="5"/>
        <v>0</v>
      </c>
      <c r="S54" s="41">
        <f t="shared" si="14"/>
        <v>10.666666666666666</v>
      </c>
      <c r="T54" s="81" t="str">
        <f t="shared" si="6"/>
        <v>TRANSITA</v>
      </c>
    </row>
    <row r="55" spans="2:20" ht="14.25" customHeight="1" x14ac:dyDescent="0.3">
      <c r="B55" s="33">
        <v>47</v>
      </c>
      <c r="C55" s="127" t="s">
        <v>141</v>
      </c>
      <c r="D55" s="60"/>
      <c r="E55" s="85">
        <v>6</v>
      </c>
      <c r="F55" s="86">
        <v>10</v>
      </c>
      <c r="G55" s="86"/>
      <c r="H55" s="40">
        <f t="shared" si="1"/>
        <v>8</v>
      </c>
      <c r="I55" s="63" t="str">
        <f t="shared" si="2"/>
        <v>N/TRANSITA</v>
      </c>
      <c r="J55" s="98"/>
      <c r="K55" s="99"/>
      <c r="L55" s="64"/>
      <c r="M55" s="40">
        <f t="shared" ref="M55:M56" si="22">AVERAGE(J55,MAX(K55:L55))</f>
        <v>0</v>
      </c>
      <c r="N55" s="63" t="str">
        <f t="shared" ref="N55:N56" si="23">IF(M55&gt;=10,"TRANSITA","N/TRANSITA")</f>
        <v>N/TRANSITA</v>
      </c>
      <c r="O55" s="98"/>
      <c r="P55" s="99"/>
      <c r="Q55" s="64"/>
      <c r="R55" s="40">
        <f t="shared" ref="R55:R56" si="24">AVERAGE(O55,MAX(P55:Q55))</f>
        <v>0</v>
      </c>
      <c r="S55" s="41">
        <f t="shared" ref="S55:S56" si="25">SUM(H55,M55,R55)/3</f>
        <v>2.6666666666666665</v>
      </c>
      <c r="T55" s="81" t="str">
        <f t="shared" ref="T55:T56" si="26">IF(S55&gt;=10,"TRANSITA","N/TRANSITA")</f>
        <v>N/TRANSITA</v>
      </c>
    </row>
    <row r="56" spans="2:20" ht="14.25" customHeight="1" x14ac:dyDescent="0.3">
      <c r="B56" s="33">
        <v>48</v>
      </c>
      <c r="C56" s="127" t="s">
        <v>113</v>
      </c>
      <c r="D56" s="60"/>
      <c r="E56" s="85"/>
      <c r="F56" s="86"/>
      <c r="G56" s="86"/>
      <c r="H56" s="40">
        <f t="shared" si="1"/>
        <v>0</v>
      </c>
      <c r="I56" s="63" t="str">
        <f t="shared" si="2"/>
        <v>N/TRANSITA</v>
      </c>
      <c r="J56" s="98"/>
      <c r="K56" s="99"/>
      <c r="L56" s="64"/>
      <c r="M56" s="40">
        <f t="shared" si="22"/>
        <v>0</v>
      </c>
      <c r="N56" s="63" t="str">
        <f t="shared" si="23"/>
        <v>N/TRANSITA</v>
      </c>
      <c r="O56" s="98"/>
      <c r="P56" s="99"/>
      <c r="Q56" s="64"/>
      <c r="R56" s="40">
        <f t="shared" si="24"/>
        <v>0</v>
      </c>
      <c r="S56" s="41">
        <f t="shared" si="25"/>
        <v>0</v>
      </c>
      <c r="T56" s="81" t="str">
        <f t="shared" si="26"/>
        <v>N/TRANSITA</v>
      </c>
    </row>
    <row r="57" spans="2:20" ht="14.25" customHeight="1" x14ac:dyDescent="0.3">
      <c r="B57" s="33">
        <v>49</v>
      </c>
      <c r="C57" s="127" t="s">
        <v>114</v>
      </c>
      <c r="D57" s="60"/>
      <c r="E57" s="85"/>
      <c r="F57" s="86"/>
      <c r="G57" s="86"/>
      <c r="H57" s="40">
        <f t="shared" si="1"/>
        <v>0</v>
      </c>
      <c r="I57" s="63" t="str">
        <f t="shared" si="2"/>
        <v>N/TRANSITA</v>
      </c>
      <c r="J57" s="98"/>
      <c r="K57" s="99"/>
      <c r="L57" s="64"/>
      <c r="M57" s="40">
        <f t="shared" ref="M57:M63" si="27">AVERAGE(J57,MAX(K57:L57))</f>
        <v>0</v>
      </c>
      <c r="N57" s="63" t="str">
        <f t="shared" ref="N57:N63" si="28">IF(M57&gt;=10,"TRANSITA","N/TRANSITA")</f>
        <v>N/TRANSITA</v>
      </c>
      <c r="O57" s="98"/>
      <c r="P57" s="99"/>
      <c r="Q57" s="64"/>
      <c r="R57" s="40">
        <f t="shared" ref="R57:R63" si="29">AVERAGE(O57,MAX(P57:Q57))</f>
        <v>0</v>
      </c>
      <c r="S57" s="41">
        <f t="shared" ref="S57:S63" si="30">SUM(H57,M57,R57)/3</f>
        <v>0</v>
      </c>
      <c r="T57" s="81" t="str">
        <f t="shared" ref="T57:T63" si="31">IF(S57&gt;=10,"TRANSITA","N/TRANSITA")</f>
        <v>N/TRANSITA</v>
      </c>
    </row>
    <row r="58" spans="2:20" ht="14.25" customHeight="1" x14ac:dyDescent="0.3">
      <c r="B58" s="33">
        <v>50</v>
      </c>
      <c r="C58" s="127" t="s">
        <v>115</v>
      </c>
      <c r="D58" s="60"/>
      <c r="E58" s="85">
        <v>17</v>
      </c>
      <c r="F58" s="86">
        <v>15</v>
      </c>
      <c r="G58" s="86"/>
      <c r="H58" s="40">
        <f t="shared" si="1"/>
        <v>16</v>
      </c>
      <c r="I58" s="63" t="str">
        <f t="shared" si="2"/>
        <v>TRANSITA</v>
      </c>
      <c r="J58" s="98">
        <v>18</v>
      </c>
      <c r="K58" s="99">
        <v>16</v>
      </c>
      <c r="L58" s="64"/>
      <c r="M58" s="40">
        <f t="shared" si="27"/>
        <v>17</v>
      </c>
      <c r="N58" s="63" t="str">
        <f t="shared" si="28"/>
        <v>TRANSITA</v>
      </c>
      <c r="O58" s="98"/>
      <c r="P58" s="99"/>
      <c r="Q58" s="64"/>
      <c r="R58" s="40">
        <f t="shared" si="29"/>
        <v>0</v>
      </c>
      <c r="S58" s="41">
        <f t="shared" si="30"/>
        <v>11</v>
      </c>
      <c r="T58" s="81" t="str">
        <f t="shared" si="31"/>
        <v>TRANSITA</v>
      </c>
    </row>
    <row r="59" spans="2:20" ht="14.25" customHeight="1" x14ac:dyDescent="0.3">
      <c r="B59" s="33">
        <v>51</v>
      </c>
      <c r="C59" s="127" t="s">
        <v>116</v>
      </c>
      <c r="D59" s="60"/>
      <c r="E59" s="85"/>
      <c r="F59" s="86"/>
      <c r="G59" s="86"/>
      <c r="H59" s="40">
        <f t="shared" si="1"/>
        <v>0</v>
      </c>
      <c r="I59" s="63" t="str">
        <f t="shared" si="2"/>
        <v>N/TRANSITA</v>
      </c>
      <c r="J59" s="98"/>
      <c r="K59" s="99"/>
      <c r="L59" s="64"/>
      <c r="M59" s="40">
        <f t="shared" si="27"/>
        <v>0</v>
      </c>
      <c r="N59" s="63" t="str">
        <f t="shared" si="28"/>
        <v>N/TRANSITA</v>
      </c>
      <c r="O59" s="98"/>
      <c r="P59" s="99"/>
      <c r="Q59" s="64"/>
      <c r="R59" s="40">
        <f t="shared" si="29"/>
        <v>0</v>
      </c>
      <c r="S59" s="41">
        <f t="shared" si="30"/>
        <v>0</v>
      </c>
      <c r="T59" s="81" t="str">
        <f t="shared" si="31"/>
        <v>N/TRANSITA</v>
      </c>
    </row>
    <row r="60" spans="2:20" ht="14.25" customHeight="1" x14ac:dyDescent="0.3">
      <c r="B60" s="33">
        <v>52</v>
      </c>
      <c r="C60" s="127" t="s">
        <v>117</v>
      </c>
      <c r="D60" s="60"/>
      <c r="E60" s="85">
        <v>14</v>
      </c>
      <c r="F60" s="86"/>
      <c r="G60" s="86"/>
      <c r="H60" s="40">
        <f t="shared" si="1"/>
        <v>7</v>
      </c>
      <c r="I60" s="63" t="str">
        <f t="shared" si="2"/>
        <v>N/TRANSITA</v>
      </c>
      <c r="J60" s="98">
        <v>14</v>
      </c>
      <c r="K60" s="99">
        <v>0</v>
      </c>
      <c r="L60" s="64"/>
      <c r="M60" s="40">
        <f t="shared" si="27"/>
        <v>7</v>
      </c>
      <c r="N60" s="63" t="str">
        <f t="shared" si="28"/>
        <v>N/TRANSITA</v>
      </c>
      <c r="O60" s="98"/>
      <c r="P60" s="99"/>
      <c r="Q60" s="64"/>
      <c r="R60" s="40">
        <f t="shared" si="29"/>
        <v>0</v>
      </c>
      <c r="S60" s="41">
        <f t="shared" si="30"/>
        <v>4.666666666666667</v>
      </c>
      <c r="T60" s="81" t="str">
        <f t="shared" si="31"/>
        <v>N/TRANSITA</v>
      </c>
    </row>
    <row r="61" spans="2:20" ht="14.25" customHeight="1" x14ac:dyDescent="0.3">
      <c r="B61" s="33">
        <v>53</v>
      </c>
      <c r="C61" s="127" t="s">
        <v>118</v>
      </c>
      <c r="D61" s="60"/>
      <c r="E61" s="85"/>
      <c r="F61" s="86"/>
      <c r="G61" s="86"/>
      <c r="H61" s="40">
        <f t="shared" si="1"/>
        <v>0</v>
      </c>
      <c r="I61" s="63" t="str">
        <f t="shared" si="2"/>
        <v>N/TRANSITA</v>
      </c>
      <c r="J61" s="98"/>
      <c r="K61" s="99"/>
      <c r="L61" s="64"/>
      <c r="M61" s="40">
        <f t="shared" si="27"/>
        <v>0</v>
      </c>
      <c r="N61" s="63" t="str">
        <f t="shared" si="28"/>
        <v>N/TRANSITA</v>
      </c>
      <c r="O61" s="98"/>
      <c r="P61" s="99"/>
      <c r="Q61" s="64"/>
      <c r="R61" s="40">
        <f t="shared" si="29"/>
        <v>0</v>
      </c>
      <c r="S61" s="41">
        <f t="shared" si="30"/>
        <v>0</v>
      </c>
      <c r="T61" s="81" t="str">
        <f t="shared" si="31"/>
        <v>N/TRANSITA</v>
      </c>
    </row>
    <row r="62" spans="2:20" ht="14.25" customHeight="1" x14ac:dyDescent="0.3">
      <c r="B62" s="33">
        <v>54</v>
      </c>
      <c r="C62" s="128" t="s">
        <v>119</v>
      </c>
      <c r="D62" s="60"/>
      <c r="E62" s="85">
        <v>14</v>
      </c>
      <c r="F62" s="86"/>
      <c r="G62" s="86"/>
      <c r="H62" s="40">
        <f t="shared" si="1"/>
        <v>7</v>
      </c>
      <c r="I62" s="63" t="str">
        <f t="shared" si="2"/>
        <v>N/TRANSITA</v>
      </c>
      <c r="J62" s="98"/>
      <c r="K62" s="99"/>
      <c r="L62" s="64"/>
      <c r="M62" s="40">
        <f t="shared" si="27"/>
        <v>0</v>
      </c>
      <c r="N62" s="63" t="str">
        <f t="shared" si="28"/>
        <v>N/TRANSITA</v>
      </c>
      <c r="O62" s="98"/>
      <c r="P62" s="99"/>
      <c r="Q62" s="64"/>
      <c r="R62" s="40">
        <f t="shared" si="29"/>
        <v>0</v>
      </c>
      <c r="S62" s="41">
        <f t="shared" si="30"/>
        <v>2.3333333333333335</v>
      </c>
      <c r="T62" s="81" t="str">
        <f t="shared" si="31"/>
        <v>N/TRANSITA</v>
      </c>
    </row>
    <row r="63" spans="2:20" ht="14.25" customHeight="1" x14ac:dyDescent="0.3">
      <c r="B63" s="33">
        <v>55</v>
      </c>
      <c r="C63" s="127" t="s">
        <v>120</v>
      </c>
      <c r="D63" s="60"/>
      <c r="E63" s="85">
        <v>16</v>
      </c>
      <c r="F63" s="86">
        <v>14</v>
      </c>
      <c r="G63" s="86"/>
      <c r="H63" s="40">
        <f t="shared" si="1"/>
        <v>15</v>
      </c>
      <c r="I63" s="63" t="str">
        <f t="shared" si="2"/>
        <v>TRANSITA</v>
      </c>
      <c r="J63" s="98">
        <v>16</v>
      </c>
      <c r="K63" s="99">
        <v>14</v>
      </c>
      <c r="L63" s="64"/>
      <c r="M63" s="40">
        <f t="shared" si="27"/>
        <v>15</v>
      </c>
      <c r="N63" s="63" t="str">
        <f t="shared" si="28"/>
        <v>TRANSITA</v>
      </c>
      <c r="O63" s="98"/>
      <c r="P63" s="99"/>
      <c r="Q63" s="64"/>
      <c r="R63" s="40">
        <f t="shared" si="29"/>
        <v>0</v>
      </c>
      <c r="S63" s="41">
        <f t="shared" si="30"/>
        <v>10</v>
      </c>
      <c r="T63" s="81" t="str">
        <f t="shared" si="31"/>
        <v>TRANSITA</v>
      </c>
    </row>
    <row r="64" spans="2:20" ht="14.25" customHeight="1" x14ac:dyDescent="0.3">
      <c r="B64" s="33">
        <v>56</v>
      </c>
      <c r="C64" s="127" t="s">
        <v>121</v>
      </c>
      <c r="D64" s="60"/>
      <c r="E64" s="85"/>
      <c r="F64" s="86"/>
      <c r="G64" s="86"/>
      <c r="H64" s="40">
        <f t="shared" si="1"/>
        <v>0</v>
      </c>
      <c r="I64" s="63" t="str">
        <f t="shared" si="2"/>
        <v>N/TRANSITA</v>
      </c>
      <c r="J64" s="98"/>
      <c r="K64" s="99"/>
      <c r="L64" s="64"/>
      <c r="M64" s="40">
        <f t="shared" si="3"/>
        <v>0</v>
      </c>
      <c r="N64" s="63" t="str">
        <f t="shared" si="4"/>
        <v>N/TRANSITA</v>
      </c>
      <c r="O64" s="98"/>
      <c r="P64" s="99"/>
      <c r="Q64" s="64"/>
      <c r="R64" s="40">
        <f t="shared" si="5"/>
        <v>0</v>
      </c>
      <c r="S64" s="41">
        <f t="shared" si="14"/>
        <v>0</v>
      </c>
      <c r="T64" s="81" t="str">
        <f t="shared" si="6"/>
        <v>N/TRANSITA</v>
      </c>
    </row>
    <row r="65" spans="1:20" ht="14.25" customHeight="1" x14ac:dyDescent="0.3">
      <c r="B65" s="33">
        <v>57</v>
      </c>
      <c r="C65" s="127" t="s">
        <v>122</v>
      </c>
      <c r="D65" s="61"/>
      <c r="E65" s="85"/>
      <c r="F65" s="86"/>
      <c r="G65" s="86"/>
      <c r="H65" s="40">
        <f t="shared" si="1"/>
        <v>0</v>
      </c>
      <c r="I65" s="63" t="str">
        <f t="shared" si="2"/>
        <v>N/TRANSITA</v>
      </c>
      <c r="J65" s="98"/>
      <c r="K65" s="99"/>
      <c r="L65" s="64"/>
      <c r="M65" s="40">
        <f t="shared" si="3"/>
        <v>0</v>
      </c>
      <c r="N65" s="63" t="str">
        <f t="shared" si="4"/>
        <v>N/TRANSITA</v>
      </c>
      <c r="O65" s="98"/>
      <c r="P65" s="99"/>
      <c r="Q65" s="64"/>
      <c r="R65" s="40">
        <f t="shared" si="5"/>
        <v>0</v>
      </c>
      <c r="S65" s="41">
        <f t="shared" si="14"/>
        <v>0</v>
      </c>
      <c r="T65" s="81" t="str">
        <f t="shared" si="6"/>
        <v>N/TRANSITA</v>
      </c>
    </row>
    <row r="66" spans="1:20" ht="14.25" customHeight="1" x14ac:dyDescent="0.3">
      <c r="B66" s="33">
        <v>58</v>
      </c>
      <c r="C66" s="127" t="s">
        <v>123</v>
      </c>
      <c r="D66" s="60"/>
      <c r="E66" s="85">
        <v>6</v>
      </c>
      <c r="F66" s="86">
        <v>10</v>
      </c>
      <c r="G66" s="86"/>
      <c r="H66" s="40">
        <f t="shared" si="1"/>
        <v>8</v>
      </c>
      <c r="I66" s="63" t="str">
        <f t="shared" si="2"/>
        <v>N/TRANSITA</v>
      </c>
      <c r="J66" s="98">
        <v>14</v>
      </c>
      <c r="K66" s="99">
        <v>0</v>
      </c>
      <c r="L66" s="64"/>
      <c r="M66" s="40">
        <f t="shared" si="3"/>
        <v>7</v>
      </c>
      <c r="N66" s="63" t="str">
        <f t="shared" si="4"/>
        <v>N/TRANSITA</v>
      </c>
      <c r="O66" s="98"/>
      <c r="P66" s="99"/>
      <c r="Q66" s="64"/>
      <c r="R66" s="40">
        <f t="shared" si="5"/>
        <v>0</v>
      </c>
      <c r="S66" s="41">
        <f t="shared" si="14"/>
        <v>5</v>
      </c>
      <c r="T66" s="81" t="str">
        <f t="shared" si="6"/>
        <v>N/TRANSITA</v>
      </c>
    </row>
    <row r="67" spans="1:20" ht="14.25" customHeight="1" x14ac:dyDescent="0.3">
      <c r="B67" s="33">
        <v>59</v>
      </c>
      <c r="C67" s="127" t="s">
        <v>124</v>
      </c>
      <c r="D67" s="60"/>
      <c r="E67" s="85">
        <v>17</v>
      </c>
      <c r="F67" s="86">
        <v>15</v>
      </c>
      <c r="G67" s="86"/>
      <c r="H67" s="40">
        <f t="shared" si="1"/>
        <v>16</v>
      </c>
      <c r="I67" s="63" t="str">
        <f t="shared" si="2"/>
        <v>TRANSITA</v>
      </c>
      <c r="J67" s="98"/>
      <c r="K67" s="99"/>
      <c r="L67" s="64"/>
      <c r="M67" s="40">
        <f t="shared" si="3"/>
        <v>0</v>
      </c>
      <c r="N67" s="63" t="str">
        <f t="shared" si="4"/>
        <v>N/TRANSITA</v>
      </c>
      <c r="O67" s="98"/>
      <c r="P67" s="99"/>
      <c r="Q67" s="64"/>
      <c r="R67" s="40">
        <f t="shared" si="5"/>
        <v>0</v>
      </c>
      <c r="S67" s="41">
        <f t="shared" si="14"/>
        <v>5.333333333333333</v>
      </c>
      <c r="T67" s="81" t="str">
        <f t="shared" si="6"/>
        <v>N/TRANSITA</v>
      </c>
    </row>
    <row r="68" spans="1:20" ht="14.25" customHeight="1" x14ac:dyDescent="0.3">
      <c r="B68" s="33">
        <v>60</v>
      </c>
      <c r="C68" s="128" t="s">
        <v>125</v>
      </c>
      <c r="D68" s="60"/>
      <c r="E68" s="85"/>
      <c r="F68" s="86"/>
      <c r="G68" s="86"/>
      <c r="H68" s="40">
        <f t="shared" si="1"/>
        <v>0</v>
      </c>
      <c r="I68" s="63" t="str">
        <f t="shared" si="2"/>
        <v>N/TRANSITA</v>
      </c>
      <c r="J68" s="98">
        <v>10</v>
      </c>
      <c r="K68" s="99">
        <v>0</v>
      </c>
      <c r="L68" s="64"/>
      <c r="M68" s="40">
        <f t="shared" si="3"/>
        <v>5</v>
      </c>
      <c r="N68" s="63" t="str">
        <f t="shared" si="4"/>
        <v>N/TRANSITA</v>
      </c>
      <c r="O68" s="98"/>
      <c r="P68" s="99"/>
      <c r="Q68" s="64"/>
      <c r="R68" s="40">
        <f t="shared" si="5"/>
        <v>0</v>
      </c>
      <c r="S68" s="41">
        <f t="shared" si="14"/>
        <v>1.6666666666666667</v>
      </c>
      <c r="T68" s="81" t="str">
        <f t="shared" si="6"/>
        <v>N/TRANSITA</v>
      </c>
    </row>
    <row r="69" spans="1:20" ht="14.25" customHeight="1" x14ac:dyDescent="0.3">
      <c r="B69" s="33">
        <v>61</v>
      </c>
      <c r="C69" s="127" t="s">
        <v>126</v>
      </c>
      <c r="D69" s="60"/>
      <c r="E69" s="85"/>
      <c r="F69" s="86"/>
      <c r="G69" s="86"/>
      <c r="H69" s="40">
        <f t="shared" si="1"/>
        <v>0</v>
      </c>
      <c r="I69" s="63" t="str">
        <f t="shared" si="2"/>
        <v>N/TRANSITA</v>
      </c>
      <c r="J69" s="98"/>
      <c r="K69" s="99"/>
      <c r="L69" s="64"/>
      <c r="M69" s="40">
        <f t="shared" si="3"/>
        <v>0</v>
      </c>
      <c r="N69" s="63" t="str">
        <f t="shared" si="4"/>
        <v>N/TRANSITA</v>
      </c>
      <c r="O69" s="98"/>
      <c r="P69" s="99"/>
      <c r="Q69" s="64"/>
      <c r="R69" s="40">
        <f t="shared" si="5"/>
        <v>0</v>
      </c>
      <c r="S69" s="41">
        <f t="shared" si="14"/>
        <v>0</v>
      </c>
      <c r="T69" s="81" t="str">
        <f t="shared" si="6"/>
        <v>N/TRANSITA</v>
      </c>
    </row>
    <row r="70" spans="1:20" ht="14.25" customHeight="1" x14ac:dyDescent="0.3">
      <c r="B70" s="33">
        <v>62</v>
      </c>
      <c r="C70" s="127" t="s">
        <v>127</v>
      </c>
      <c r="D70" s="60"/>
      <c r="E70" s="85"/>
      <c r="F70" s="86"/>
      <c r="G70" s="86"/>
      <c r="H70" s="40">
        <f t="shared" si="1"/>
        <v>0</v>
      </c>
      <c r="I70" s="63" t="str">
        <f t="shared" si="2"/>
        <v>N/TRANSITA</v>
      </c>
      <c r="J70" s="98"/>
      <c r="K70" s="99"/>
      <c r="L70" s="64"/>
      <c r="M70" s="40">
        <f t="shared" si="3"/>
        <v>0</v>
      </c>
      <c r="N70" s="63" t="str">
        <f t="shared" si="4"/>
        <v>N/TRANSITA</v>
      </c>
      <c r="O70" s="98"/>
      <c r="P70" s="99"/>
      <c r="Q70" s="64"/>
      <c r="R70" s="40">
        <f t="shared" si="5"/>
        <v>0</v>
      </c>
      <c r="S70" s="41">
        <f t="shared" si="14"/>
        <v>0</v>
      </c>
      <c r="T70" s="81" t="str">
        <f t="shared" si="6"/>
        <v>N/TRANSITA</v>
      </c>
    </row>
    <row r="71" spans="1:20" ht="14.25" customHeight="1" thickBot="1" x14ac:dyDescent="0.35">
      <c r="B71" s="33">
        <v>63</v>
      </c>
      <c r="C71" s="129" t="s">
        <v>128</v>
      </c>
      <c r="D71" s="62"/>
      <c r="E71" s="87">
        <v>16</v>
      </c>
      <c r="F71" s="88">
        <v>14</v>
      </c>
      <c r="G71" s="88"/>
      <c r="H71" s="156">
        <f t="shared" si="1"/>
        <v>15</v>
      </c>
      <c r="I71" s="75" t="str">
        <f t="shared" si="2"/>
        <v>TRANSITA</v>
      </c>
      <c r="J71" s="100"/>
      <c r="K71" s="101"/>
      <c r="L71" s="67"/>
      <c r="M71" s="156">
        <f t="shared" si="3"/>
        <v>0</v>
      </c>
      <c r="N71" s="75" t="str">
        <f t="shared" si="4"/>
        <v>N/TRANSITA</v>
      </c>
      <c r="O71" s="100"/>
      <c r="P71" s="101"/>
      <c r="Q71" s="67"/>
      <c r="R71" s="156">
        <f t="shared" si="5"/>
        <v>0</v>
      </c>
      <c r="S71" s="42">
        <f t="shared" si="14"/>
        <v>5</v>
      </c>
      <c r="T71" s="82" t="str">
        <f t="shared" si="6"/>
        <v>N/TRANSITA</v>
      </c>
    </row>
    <row r="72" spans="1:20" ht="93.75" customHeight="1" thickTop="1" x14ac:dyDescent="0.3">
      <c r="B72" s="19"/>
      <c r="C72" s="19"/>
      <c r="D72" s="19"/>
      <c r="E72" s="19"/>
      <c r="F72" s="19"/>
      <c r="G72" s="19"/>
      <c r="H72" s="19"/>
      <c r="I72" s="19"/>
      <c r="J72" s="19"/>
      <c r="O72" s="19"/>
      <c r="P72" s="19"/>
      <c r="Q72" s="19"/>
      <c r="R72" s="19"/>
      <c r="S72" s="19"/>
      <c r="T72" s="19"/>
    </row>
    <row r="73" spans="1:20" ht="20.25" customHeight="1" x14ac:dyDescent="0.45">
      <c r="A73" s="20"/>
      <c r="B73" s="20"/>
      <c r="C73" s="20"/>
      <c r="D73" s="20"/>
      <c r="E73" s="20"/>
      <c r="F73" s="20"/>
      <c r="G73" s="20"/>
      <c r="H73" s="20"/>
      <c r="I73" s="20"/>
      <c r="J73" s="20"/>
      <c r="O73" s="20"/>
      <c r="P73" s="21"/>
      <c r="Q73" s="21"/>
      <c r="R73" s="21"/>
      <c r="S73" s="20"/>
      <c r="T73" s="20"/>
    </row>
    <row r="74" spans="1:20" ht="15.6" x14ac:dyDescent="0.3">
      <c r="A74" s="253" t="s">
        <v>56</v>
      </c>
      <c r="B74" s="253"/>
      <c r="C74" s="253"/>
      <c r="D74" s="253"/>
      <c r="E74" s="253"/>
      <c r="F74" s="22"/>
      <c r="G74" s="22"/>
      <c r="H74" s="22"/>
      <c r="I74" s="22"/>
      <c r="J74" s="22"/>
      <c r="K74" s="23"/>
      <c r="L74" s="23"/>
      <c r="M74" s="23"/>
      <c r="N74" s="23"/>
      <c r="O74" s="253" t="s">
        <v>9</v>
      </c>
      <c r="P74" s="253"/>
      <c r="Q74" s="253"/>
      <c r="R74" s="253"/>
      <c r="S74" s="253"/>
      <c r="T74" s="253"/>
    </row>
    <row r="75" spans="1:20" ht="15.6" x14ac:dyDescent="0.3">
      <c r="A75" s="254" t="s">
        <v>22</v>
      </c>
      <c r="B75" s="254"/>
      <c r="C75" s="254"/>
      <c r="D75" s="254"/>
      <c r="E75" s="254"/>
      <c r="F75" s="24"/>
      <c r="G75" s="24"/>
      <c r="H75" s="24"/>
      <c r="I75" s="24"/>
      <c r="J75" s="24"/>
      <c r="O75" s="255" t="s">
        <v>23</v>
      </c>
      <c r="P75" s="255"/>
      <c r="Q75" s="255"/>
      <c r="R75" s="255"/>
      <c r="S75" s="255"/>
      <c r="T75" s="255"/>
    </row>
    <row r="76" spans="1:20" x14ac:dyDescent="0.3">
      <c r="A76" s="247"/>
      <c r="B76" s="247"/>
      <c r="C76" s="247"/>
      <c r="D76" s="247"/>
      <c r="E76" s="247"/>
      <c r="O76" s="247" t="s">
        <v>24</v>
      </c>
      <c r="P76" s="247"/>
      <c r="Q76" s="247"/>
      <c r="R76" s="247"/>
      <c r="S76" s="247"/>
      <c r="T76" s="247"/>
    </row>
  </sheetData>
  <mergeCells count="22">
    <mergeCell ref="A76:E76"/>
    <mergeCell ref="O76:T76"/>
    <mergeCell ref="S7:S8"/>
    <mergeCell ref="T7:T8"/>
    <mergeCell ref="A74:E74"/>
    <mergeCell ref="O74:T74"/>
    <mergeCell ref="A75:E75"/>
    <mergeCell ref="O75:T75"/>
    <mergeCell ref="B7:B8"/>
    <mergeCell ref="C7:C8"/>
    <mergeCell ref="E7:H7"/>
    <mergeCell ref="J7:M7"/>
    <mergeCell ref="O7:R7"/>
    <mergeCell ref="I7:I8"/>
    <mergeCell ref="N7:N8"/>
    <mergeCell ref="B6:T6"/>
    <mergeCell ref="B5:C5"/>
    <mergeCell ref="A1:T1"/>
    <mergeCell ref="B3:R3"/>
    <mergeCell ref="B4:C4"/>
    <mergeCell ref="P4:T4"/>
    <mergeCell ref="N5:T5"/>
  </mergeCells>
  <conditionalFormatting sqref="S9:S71">
    <cfRule type="cellIs" dxfId="149" priority="161" stopIfTrue="1" operator="greaterThan">
      <formula>9.5</formula>
    </cfRule>
    <cfRule type="cellIs" dxfId="148" priority="162" stopIfTrue="1" operator="lessThanOrEqual">
      <formula>9.5</formula>
    </cfRule>
  </conditionalFormatting>
  <conditionalFormatting sqref="M9:M71 R9:R71">
    <cfRule type="cellIs" dxfId="147" priority="127" stopIfTrue="1" operator="lessThan">
      <formula>10</formula>
    </cfRule>
    <cfRule type="cellIs" dxfId="146" priority="128" stopIfTrue="1" operator="greaterThanOrEqual">
      <formula>10</formula>
    </cfRule>
  </conditionalFormatting>
  <conditionalFormatting sqref="L9:L71 O9:Q71">
    <cfRule type="cellIs" dxfId="145" priority="57" stopIfTrue="1" operator="lessThan">
      <formula>10</formula>
    </cfRule>
    <cfRule type="cellIs" dxfId="144" priority="58" stopIfTrue="1" operator="greaterThan">
      <formula>9</formula>
    </cfRule>
    <cfRule type="cellIs" dxfId="143" priority="59" stopIfTrue="1" operator="lessThan">
      <formula>10</formula>
    </cfRule>
    <cfRule type="cellIs" dxfId="142" priority="60" stopIfTrue="1" operator="greaterThan">
      <formula>9</formula>
    </cfRule>
  </conditionalFormatting>
  <conditionalFormatting sqref="H9:H71">
    <cfRule type="cellIs" dxfId="141" priority="15" stopIfTrue="1" operator="lessThan">
      <formula>10</formula>
    </cfRule>
    <cfRule type="cellIs" dxfId="140" priority="16" stopIfTrue="1" operator="greaterThanOrEqual">
      <formula>10</formula>
    </cfRule>
  </conditionalFormatting>
  <conditionalFormatting sqref="G17:G71 J9:K71">
    <cfRule type="cellIs" dxfId="139" priority="9" stopIfTrue="1" operator="lessThan">
      <formula>10</formula>
    </cfRule>
    <cfRule type="cellIs" dxfId="138" priority="10" stopIfTrue="1" operator="greaterThan">
      <formula>9</formula>
    </cfRule>
    <cfRule type="cellIs" dxfId="137" priority="11" stopIfTrue="1" operator="lessThan">
      <formula>10</formula>
    </cfRule>
    <cfRule type="cellIs" dxfId="136" priority="12" stopIfTrue="1" operator="greaterThan">
      <formula>9</formula>
    </cfRule>
  </conditionalFormatting>
  <conditionalFormatting sqref="G9:G16">
    <cfRule type="cellIs" dxfId="135" priority="5" stopIfTrue="1" operator="lessThan">
      <formula>10</formula>
    </cfRule>
    <cfRule type="cellIs" dxfId="134" priority="6" stopIfTrue="1" operator="greaterThan">
      <formula>9</formula>
    </cfRule>
    <cfRule type="cellIs" dxfId="133" priority="7" stopIfTrue="1" operator="lessThan">
      <formula>10</formula>
    </cfRule>
    <cfRule type="cellIs" dxfId="132" priority="8" stopIfTrue="1" operator="greaterThan">
      <formula>9</formula>
    </cfRule>
  </conditionalFormatting>
  <conditionalFormatting sqref="E9:F71">
    <cfRule type="cellIs" dxfId="131" priority="1" stopIfTrue="1" operator="lessThan">
      <formula>10</formula>
    </cfRule>
    <cfRule type="cellIs" dxfId="130" priority="2" stopIfTrue="1" operator="greaterThan">
      <formula>9</formula>
    </cfRule>
    <cfRule type="cellIs" dxfId="129" priority="3" stopIfTrue="1" operator="lessThan">
      <formula>10</formula>
    </cfRule>
    <cfRule type="cellIs" dxfId="128" priority="4" stopIfTrue="1" operator="greaterThan">
      <formula>9</formula>
    </cfRule>
  </conditionalFormatting>
  <dataValidations count="1">
    <dataValidation type="decimal" allowBlank="1" showInputMessage="1" showErrorMessage="1" errorTitle="ATENÇÃO!" error="O valor introduzido não é válido. Grato!" sqref="J9:L71 O9:Q71 E9:G71">
      <formula1>0</formula1>
      <formula2>20</formula2>
    </dataValidation>
  </dataValidations>
  <pageMargins left="0.15748031496062992" right="0.51181102362204722" top="0.15748031496062992" bottom="0.15748031496062992" header="0.31496062992125984" footer="0.15748031496062992"/>
  <pageSetup paperSize="9" scale="95" orientation="portrait" verticalDpi="4294967293" r:id="rId1"/>
  <drawing r:id="rId2"/>
  <legacyDrawing r:id="rId3"/>
  <oleObjects>
    <mc:AlternateContent xmlns:mc="http://schemas.openxmlformats.org/markup-compatibility/2006">
      <mc:Choice Requires="x14">
        <oleObject progId="Word.Document.8" shapeId="14337" r:id="rId4">
          <objectPr defaultSize="0" r:id="rId5">
            <anchor moveWithCells="1">
              <from>
                <xdr:col>1</xdr:col>
                <xdr:colOff>60960</xdr:colOff>
                <xdr:row>71</xdr:row>
                <xdr:rowOff>160020</xdr:rowOff>
              </from>
              <to>
                <xdr:col>8</xdr:col>
                <xdr:colOff>327660</xdr:colOff>
                <xdr:row>73</xdr:row>
                <xdr:rowOff>76200</xdr:rowOff>
              </to>
            </anchor>
          </objectPr>
        </oleObject>
      </mc:Choice>
      <mc:Fallback>
        <oleObject progId="Word.Document.8" shapeId="14337" r:id="rId4"/>
      </mc:Fallback>
    </mc:AlternateContent>
  </oleObjec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7" stopIfTrue="1" operator="containsText" id="{D06EEA46-DBF9-4186-8A51-583BED8D4DD0}">
            <xm:f>NOT(ISERROR(SEARCH("N/TRANSITA",N9)))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68" stopIfTrue="1" operator="containsText" id="{FAED0E8C-0DB9-4B07-98D6-89F1881F9353}">
            <xm:f>NOT(ISERROR(SEARCH("TRANSITA",N9)))</xm:f>
            <xm:f>"TRANSITA"</xm:f>
            <x14:dxf>
              <font>
                <b/>
                <i val="0"/>
                <color rgb="FF0000FF"/>
              </font>
            </x14:dxf>
          </x14:cfRule>
          <xm:sqref>N9:N71 T9:T71</xm:sqref>
        </x14:conditionalFormatting>
        <x14:conditionalFormatting xmlns:xm="http://schemas.microsoft.com/office/excel/2006/main">
          <x14:cfRule type="containsText" priority="13" stopIfTrue="1" operator="containsText" id="{75556BBE-D876-404B-9CEA-D59BFBDD3A45}">
            <xm:f>NOT(ISERROR(SEARCH("N/TRANSITA",I9)))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14" stopIfTrue="1" operator="containsText" id="{EAAE5809-CC16-408C-B13F-AF94E468103D}">
            <xm:f>NOT(ISERROR(SEARCH("TRANSITA",I9)))</xm:f>
            <xm:f>"TRANSITA"</xm:f>
            <x14:dxf>
              <font>
                <b/>
                <i val="0"/>
                <color rgb="FF0000FF"/>
              </font>
            </x14:dxf>
          </x14:cfRule>
          <xm:sqref>I9:I71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W76"/>
  <sheetViews>
    <sheetView showGridLines="0" topLeftCell="A49" zoomScale="115" zoomScaleNormal="115" zoomScalePageLayoutView="85" workbookViewId="0">
      <selection activeCell="F16" sqref="F16"/>
    </sheetView>
  </sheetViews>
  <sheetFormatPr defaultRowHeight="14.4" x14ac:dyDescent="0.3"/>
  <cols>
    <col min="1" max="1" width="1.6640625" customWidth="1"/>
    <col min="2" max="2" width="3.6640625" customWidth="1"/>
    <col min="3" max="3" width="35.109375" customWidth="1"/>
    <col min="4" max="4" width="6.44140625" customWidth="1"/>
    <col min="5" max="8" width="5.109375" customWidth="1"/>
    <col min="9" max="9" width="11.109375" customWidth="1"/>
    <col min="10" max="13" width="5.109375" customWidth="1"/>
    <col min="14" max="14" width="11.109375" customWidth="1"/>
    <col min="15" max="18" width="5.109375" customWidth="1"/>
    <col min="19" max="19" width="6" customWidth="1"/>
    <col min="20" max="20" width="11.5546875" customWidth="1"/>
    <col min="21" max="21" width="3.44140625" customWidth="1"/>
    <col min="22" max="22" width="5" customWidth="1"/>
  </cols>
  <sheetData>
    <row r="1" spans="1:23" ht="30" customHeight="1" x14ac:dyDescent="0.3">
      <c r="A1" s="246" t="s">
        <v>48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</row>
    <row r="2" spans="1:23" ht="30" customHeight="1" x14ac:dyDescent="0.3"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23" ht="12" customHeight="1" x14ac:dyDescent="0.3">
      <c r="B3" s="247"/>
      <c r="C3" s="247"/>
      <c r="D3" s="247"/>
      <c r="E3" s="247"/>
      <c r="F3" s="247"/>
      <c r="G3" s="247"/>
      <c r="H3" s="247"/>
      <c r="I3" s="247"/>
      <c r="J3" s="247"/>
      <c r="K3" s="247"/>
      <c r="L3" s="247"/>
      <c r="M3" s="247"/>
      <c r="N3" s="247"/>
      <c r="O3" s="247"/>
      <c r="P3" s="247"/>
      <c r="Q3" s="247"/>
      <c r="R3" s="247"/>
    </row>
    <row r="4" spans="1:23" ht="17.399999999999999" customHeight="1" x14ac:dyDescent="0.3">
      <c r="B4" s="248" t="s">
        <v>68</v>
      </c>
      <c r="C4" s="248"/>
      <c r="D4" s="31"/>
      <c r="F4" s="76"/>
      <c r="G4" s="76"/>
      <c r="I4" s="76" t="s">
        <v>30</v>
      </c>
      <c r="J4" s="76"/>
      <c r="K4" s="76"/>
      <c r="L4" s="76"/>
      <c r="M4" s="76"/>
      <c r="N4" s="31"/>
      <c r="P4" s="250" t="s">
        <v>61</v>
      </c>
      <c r="Q4" s="250"/>
      <c r="R4" s="250"/>
      <c r="S4" s="250"/>
      <c r="T4" s="250"/>
    </row>
    <row r="5" spans="1:23" ht="18" customHeight="1" x14ac:dyDescent="0.3">
      <c r="B5" s="248" t="s">
        <v>51</v>
      </c>
      <c r="C5" s="248"/>
      <c r="D5" s="31"/>
      <c r="E5" s="77" t="s">
        <v>58</v>
      </c>
      <c r="F5" s="77"/>
      <c r="I5" s="77" t="s">
        <v>67</v>
      </c>
      <c r="J5" s="77"/>
      <c r="K5" s="77"/>
      <c r="N5" s="249" t="s">
        <v>66</v>
      </c>
      <c r="O5" s="249"/>
      <c r="P5" s="249"/>
      <c r="Q5" s="249"/>
      <c r="R5" s="249"/>
      <c r="S5" s="249"/>
      <c r="T5" s="249"/>
    </row>
    <row r="6" spans="1:23" ht="34.5" customHeight="1" thickBot="1" x14ac:dyDescent="1.05">
      <c r="B6" s="263" t="s">
        <v>45</v>
      </c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5"/>
    </row>
    <row r="7" spans="1:23" ht="19.5" customHeight="1" thickTop="1" x14ac:dyDescent="0.3">
      <c r="B7" s="256" t="s">
        <v>39</v>
      </c>
      <c r="C7" s="258" t="s">
        <v>14</v>
      </c>
      <c r="D7" s="43" t="s">
        <v>43</v>
      </c>
      <c r="E7" s="260" t="s">
        <v>40</v>
      </c>
      <c r="F7" s="261"/>
      <c r="G7" s="261"/>
      <c r="H7" s="262"/>
      <c r="I7" s="244" t="s">
        <v>16</v>
      </c>
      <c r="J7" s="260" t="s">
        <v>41</v>
      </c>
      <c r="K7" s="261"/>
      <c r="L7" s="261"/>
      <c r="M7" s="262"/>
      <c r="N7" s="244" t="s">
        <v>16</v>
      </c>
      <c r="O7" s="260" t="s">
        <v>42</v>
      </c>
      <c r="P7" s="261"/>
      <c r="Q7" s="261"/>
      <c r="R7" s="262"/>
      <c r="S7" s="251" t="s">
        <v>15</v>
      </c>
      <c r="T7" s="244" t="s">
        <v>16</v>
      </c>
    </row>
    <row r="8" spans="1:23" ht="20.25" customHeight="1" thickBot="1" x14ac:dyDescent="0.35">
      <c r="B8" s="257"/>
      <c r="C8" s="259"/>
      <c r="D8" s="44" t="s">
        <v>44</v>
      </c>
      <c r="E8" s="36" t="s">
        <v>17</v>
      </c>
      <c r="F8" s="35" t="s">
        <v>18</v>
      </c>
      <c r="G8" s="35" t="s">
        <v>38</v>
      </c>
      <c r="H8" s="37" t="s">
        <v>19</v>
      </c>
      <c r="I8" s="245"/>
      <c r="J8" s="36" t="s">
        <v>17</v>
      </c>
      <c r="K8" s="35" t="s">
        <v>18</v>
      </c>
      <c r="L8" s="35" t="s">
        <v>38</v>
      </c>
      <c r="M8" s="37" t="s">
        <v>20</v>
      </c>
      <c r="N8" s="245"/>
      <c r="O8" s="36" t="s">
        <v>17</v>
      </c>
      <c r="P8" s="35" t="s">
        <v>18</v>
      </c>
      <c r="Q8" s="35" t="s">
        <v>38</v>
      </c>
      <c r="R8" s="37" t="s">
        <v>21</v>
      </c>
      <c r="S8" s="252"/>
      <c r="T8" s="245"/>
    </row>
    <row r="9" spans="1:23" ht="14.25" customHeight="1" thickTop="1" x14ac:dyDescent="0.3">
      <c r="B9" s="135">
        <v>1</v>
      </c>
      <c r="C9" s="126" t="s">
        <v>69</v>
      </c>
      <c r="D9" s="136"/>
      <c r="E9" s="157">
        <v>14</v>
      </c>
      <c r="F9" s="158">
        <v>4</v>
      </c>
      <c r="G9" s="159"/>
      <c r="H9" s="150">
        <f>AVERAGE(E9,MAX(F9:G9))</f>
        <v>9</v>
      </c>
      <c r="I9" s="151" t="str">
        <f>IF(H9&gt;=10,"TRANSITA","N/TRANSITA")</f>
        <v>N/TRANSITA</v>
      </c>
      <c r="J9" s="157">
        <v>15</v>
      </c>
      <c r="K9" s="158">
        <v>5</v>
      </c>
      <c r="L9" s="149"/>
      <c r="M9" s="150">
        <f>AVERAGE(J9,MAX(K9:L9))</f>
        <v>10</v>
      </c>
      <c r="N9" s="151" t="str">
        <f>IF(M9&gt;=10,"TRANSITA","N/TRANSITA")</f>
        <v>TRANSITA</v>
      </c>
      <c r="O9" s="157"/>
      <c r="P9" s="158"/>
      <c r="Q9" s="149"/>
      <c r="R9" s="150">
        <f>AVERAGE(O9,MAX(P9:Q9))</f>
        <v>0</v>
      </c>
      <c r="S9" s="155">
        <f t="shared" ref="S9:S41" si="0">SUM(H9,M9,R9)/3</f>
        <v>6.333333333333333</v>
      </c>
      <c r="T9" s="80" t="str">
        <f>IF(S9&gt;=10,"TRANSITA","N/TRANSITA")</f>
        <v>N/TRANSITA</v>
      </c>
    </row>
    <row r="10" spans="1:23" ht="14.25" customHeight="1" x14ac:dyDescent="0.3">
      <c r="B10" s="33">
        <v>2</v>
      </c>
      <c r="C10" s="127" t="s">
        <v>70</v>
      </c>
      <c r="D10" s="60"/>
      <c r="E10" s="85">
        <v>14</v>
      </c>
      <c r="F10" s="86">
        <v>6.5</v>
      </c>
      <c r="G10" s="104"/>
      <c r="H10" s="40">
        <f t="shared" ref="H10:H71" si="1">AVERAGE(E10,MAX(F10:G10))</f>
        <v>10.25</v>
      </c>
      <c r="I10" s="63" t="str">
        <f t="shared" ref="I10:I71" si="2">IF(H10&gt;=10,"TRANSITA","N/TRANSITA")</f>
        <v>TRANSITA</v>
      </c>
      <c r="J10" s="85">
        <v>12</v>
      </c>
      <c r="K10" s="86">
        <v>3.5</v>
      </c>
      <c r="L10" s="70"/>
      <c r="M10" s="40">
        <f t="shared" ref="M10:M71" si="3">AVERAGE(J10,MAX(K10:L10))</f>
        <v>7.75</v>
      </c>
      <c r="N10" s="63" t="str">
        <f t="shared" ref="N10:N71" si="4">IF(M10&gt;=10,"TRANSITA","N/TRANSITA")</f>
        <v>N/TRANSITA</v>
      </c>
      <c r="O10" s="85"/>
      <c r="P10" s="86"/>
      <c r="Q10" s="70"/>
      <c r="R10" s="40">
        <f t="shared" ref="R10:R71" si="5">AVERAGE(O10,MAX(P10:Q10))</f>
        <v>0</v>
      </c>
      <c r="S10" s="41">
        <f t="shared" si="0"/>
        <v>6</v>
      </c>
      <c r="T10" s="81" t="str">
        <f t="shared" ref="T10:T71" si="6">IF(S10&gt;=10,"TRANSITA","N/TRANSITA")</f>
        <v>N/TRANSITA</v>
      </c>
    </row>
    <row r="11" spans="1:23" ht="14.25" customHeight="1" x14ac:dyDescent="0.3">
      <c r="B11" s="33">
        <v>3</v>
      </c>
      <c r="C11" s="127" t="s">
        <v>71</v>
      </c>
      <c r="D11" s="60"/>
      <c r="E11" s="85">
        <v>14</v>
      </c>
      <c r="F11" s="86">
        <v>10</v>
      </c>
      <c r="G11" s="104"/>
      <c r="H11" s="40">
        <f t="shared" si="1"/>
        <v>12</v>
      </c>
      <c r="I11" s="63" t="str">
        <f t="shared" si="2"/>
        <v>TRANSITA</v>
      </c>
      <c r="J11" s="85">
        <v>13</v>
      </c>
      <c r="K11" s="86">
        <v>2.5</v>
      </c>
      <c r="L11" s="70"/>
      <c r="M11" s="40">
        <f t="shared" si="3"/>
        <v>7.75</v>
      </c>
      <c r="N11" s="63" t="str">
        <f t="shared" si="4"/>
        <v>N/TRANSITA</v>
      </c>
      <c r="O11" s="85"/>
      <c r="P11" s="86"/>
      <c r="Q11" s="70"/>
      <c r="R11" s="40">
        <f t="shared" si="5"/>
        <v>0</v>
      </c>
      <c r="S11" s="41">
        <f t="shared" si="0"/>
        <v>6.583333333333333</v>
      </c>
      <c r="T11" s="81" t="str">
        <f t="shared" si="6"/>
        <v>N/TRANSITA</v>
      </c>
    </row>
    <row r="12" spans="1:23" ht="14.25" customHeight="1" x14ac:dyDescent="0.3">
      <c r="B12" s="33">
        <v>4</v>
      </c>
      <c r="C12" s="127" t="s">
        <v>72</v>
      </c>
      <c r="D12" s="60"/>
      <c r="E12" s="85">
        <v>10</v>
      </c>
      <c r="F12" s="86">
        <v>0.5</v>
      </c>
      <c r="G12" s="104"/>
      <c r="H12" s="40">
        <f t="shared" si="1"/>
        <v>5.25</v>
      </c>
      <c r="I12" s="63" t="str">
        <f t="shared" si="2"/>
        <v>N/TRANSITA</v>
      </c>
      <c r="J12" s="169">
        <v>0</v>
      </c>
      <c r="K12" s="170">
        <v>0</v>
      </c>
      <c r="L12" s="70"/>
      <c r="M12" s="40">
        <f t="shared" si="3"/>
        <v>0</v>
      </c>
      <c r="N12" s="63" t="str">
        <f t="shared" si="4"/>
        <v>N/TRANSITA</v>
      </c>
      <c r="O12" s="85"/>
      <c r="P12" s="86"/>
      <c r="Q12" s="70"/>
      <c r="R12" s="40">
        <f t="shared" si="5"/>
        <v>0</v>
      </c>
      <c r="S12" s="41">
        <f t="shared" si="0"/>
        <v>1.75</v>
      </c>
      <c r="T12" s="81" t="str">
        <f t="shared" si="6"/>
        <v>N/TRANSITA</v>
      </c>
    </row>
    <row r="13" spans="1:23" ht="14.25" customHeight="1" x14ac:dyDescent="0.3">
      <c r="B13" s="33">
        <v>5</v>
      </c>
      <c r="C13" s="127" t="s">
        <v>73</v>
      </c>
      <c r="D13" s="60"/>
      <c r="E13" s="85">
        <v>20</v>
      </c>
      <c r="F13" s="86">
        <v>11</v>
      </c>
      <c r="G13" s="104"/>
      <c r="H13" s="40">
        <f t="shared" si="1"/>
        <v>15.5</v>
      </c>
      <c r="I13" s="63" t="str">
        <f t="shared" si="2"/>
        <v>TRANSITA</v>
      </c>
      <c r="J13" s="85">
        <v>18</v>
      </c>
      <c r="K13" s="86">
        <v>18</v>
      </c>
      <c r="L13" s="70"/>
      <c r="M13" s="40">
        <f t="shared" si="3"/>
        <v>18</v>
      </c>
      <c r="N13" s="63" t="str">
        <f t="shared" si="4"/>
        <v>TRANSITA</v>
      </c>
      <c r="O13" s="85"/>
      <c r="P13" s="86"/>
      <c r="Q13" s="70"/>
      <c r="R13" s="40">
        <f t="shared" si="5"/>
        <v>0</v>
      </c>
      <c r="S13" s="41">
        <f t="shared" si="0"/>
        <v>11.166666666666666</v>
      </c>
      <c r="T13" s="81" t="str">
        <f t="shared" si="6"/>
        <v>TRANSITA</v>
      </c>
      <c r="U13" s="18"/>
      <c r="V13" s="18"/>
      <c r="W13" s="18"/>
    </row>
    <row r="14" spans="1:23" ht="14.25" customHeight="1" x14ac:dyDescent="0.3">
      <c r="B14" s="33">
        <v>6</v>
      </c>
      <c r="C14" s="127" t="s">
        <v>74</v>
      </c>
      <c r="D14" s="60"/>
      <c r="E14" s="85">
        <v>8</v>
      </c>
      <c r="F14" s="86">
        <v>5.5</v>
      </c>
      <c r="G14" s="104"/>
      <c r="H14" s="40">
        <f t="shared" si="1"/>
        <v>6.75</v>
      </c>
      <c r="I14" s="63" t="str">
        <f t="shared" si="2"/>
        <v>N/TRANSITA</v>
      </c>
      <c r="J14" s="85">
        <v>4</v>
      </c>
      <c r="K14" s="86">
        <v>3</v>
      </c>
      <c r="L14" s="70"/>
      <c r="M14" s="40">
        <f t="shared" si="3"/>
        <v>3.5</v>
      </c>
      <c r="N14" s="63" t="str">
        <f t="shared" si="4"/>
        <v>N/TRANSITA</v>
      </c>
      <c r="O14" s="85"/>
      <c r="P14" s="86"/>
      <c r="Q14" s="70"/>
      <c r="R14" s="40">
        <f t="shared" si="5"/>
        <v>0</v>
      </c>
      <c r="S14" s="41">
        <f t="shared" si="0"/>
        <v>3.4166666666666665</v>
      </c>
      <c r="T14" s="81" t="str">
        <f t="shared" si="6"/>
        <v>N/TRANSITA</v>
      </c>
    </row>
    <row r="15" spans="1:23" ht="14.25" customHeight="1" x14ac:dyDescent="0.3">
      <c r="B15" s="33">
        <v>7</v>
      </c>
      <c r="C15" s="127" t="s">
        <v>75</v>
      </c>
      <c r="D15" s="60"/>
      <c r="E15" s="85">
        <v>12</v>
      </c>
      <c r="F15" s="86">
        <v>11</v>
      </c>
      <c r="G15" s="104"/>
      <c r="H15" s="40">
        <f t="shared" si="1"/>
        <v>11.5</v>
      </c>
      <c r="I15" s="63" t="str">
        <f t="shared" si="2"/>
        <v>TRANSITA</v>
      </c>
      <c r="J15" s="169"/>
      <c r="K15" s="170"/>
      <c r="L15" s="70"/>
      <c r="M15" s="40">
        <f t="shared" si="3"/>
        <v>0</v>
      </c>
      <c r="N15" s="63" t="str">
        <f t="shared" si="4"/>
        <v>N/TRANSITA</v>
      </c>
      <c r="O15" s="85"/>
      <c r="P15" s="86"/>
      <c r="Q15" s="70"/>
      <c r="R15" s="40">
        <f t="shared" si="5"/>
        <v>0</v>
      </c>
      <c r="S15" s="41">
        <f t="shared" si="0"/>
        <v>3.8333333333333335</v>
      </c>
      <c r="T15" s="81" t="str">
        <f t="shared" si="6"/>
        <v>N/TRANSITA</v>
      </c>
    </row>
    <row r="16" spans="1:23" ht="14.25" customHeight="1" x14ac:dyDescent="0.3">
      <c r="B16" s="33">
        <v>8</v>
      </c>
      <c r="C16" s="127" t="s">
        <v>76</v>
      </c>
      <c r="D16" s="60"/>
      <c r="E16" s="85">
        <v>9</v>
      </c>
      <c r="F16" s="86">
        <v>12</v>
      </c>
      <c r="G16" s="104"/>
      <c r="H16" s="40">
        <f t="shared" si="1"/>
        <v>10.5</v>
      </c>
      <c r="I16" s="63" t="str">
        <f t="shared" si="2"/>
        <v>TRANSITA</v>
      </c>
      <c r="J16" s="85">
        <v>10</v>
      </c>
      <c r="K16" s="86">
        <v>1</v>
      </c>
      <c r="L16" s="70"/>
      <c r="M16" s="40">
        <f t="shared" si="3"/>
        <v>5.5</v>
      </c>
      <c r="N16" s="63" t="str">
        <f t="shared" si="4"/>
        <v>N/TRANSITA</v>
      </c>
      <c r="O16" s="85"/>
      <c r="P16" s="86"/>
      <c r="Q16" s="70"/>
      <c r="R16" s="40">
        <f t="shared" si="5"/>
        <v>0</v>
      </c>
      <c r="S16" s="41">
        <f t="shared" si="0"/>
        <v>5.333333333333333</v>
      </c>
      <c r="T16" s="81" t="str">
        <f t="shared" si="6"/>
        <v>N/TRANSITA</v>
      </c>
    </row>
    <row r="17" spans="2:20" ht="14.25" customHeight="1" x14ac:dyDescent="0.3">
      <c r="B17" s="33">
        <v>9</v>
      </c>
      <c r="C17" s="127" t="s">
        <v>77</v>
      </c>
      <c r="D17" s="60"/>
      <c r="E17" s="85">
        <v>12</v>
      </c>
      <c r="F17" s="86">
        <v>4</v>
      </c>
      <c r="G17" s="104"/>
      <c r="H17" s="40">
        <f t="shared" si="1"/>
        <v>8</v>
      </c>
      <c r="I17" s="63" t="str">
        <f t="shared" si="2"/>
        <v>N/TRANSITA</v>
      </c>
      <c r="J17" s="85">
        <v>12</v>
      </c>
      <c r="K17" s="86">
        <v>4</v>
      </c>
      <c r="L17" s="70"/>
      <c r="M17" s="40">
        <f t="shared" si="3"/>
        <v>8</v>
      </c>
      <c r="N17" s="63" t="str">
        <f t="shared" ref="N17:N18" si="7">IF(M17&gt;=10,"TRANSITA","N/TRANSITA")</f>
        <v>N/TRANSITA</v>
      </c>
      <c r="O17" s="85"/>
      <c r="P17" s="86"/>
      <c r="Q17" s="70"/>
      <c r="R17" s="40">
        <f t="shared" si="5"/>
        <v>0</v>
      </c>
      <c r="S17" s="41">
        <f t="shared" si="0"/>
        <v>5.333333333333333</v>
      </c>
      <c r="T17" s="81" t="str">
        <f t="shared" ref="T17:T18" si="8">IF(S17&gt;=10,"TRANSITA","N/TRANSITA")</f>
        <v>N/TRANSITA</v>
      </c>
    </row>
    <row r="18" spans="2:20" ht="14.25" customHeight="1" x14ac:dyDescent="0.3">
      <c r="B18" s="33">
        <v>10</v>
      </c>
      <c r="C18" s="128" t="s">
        <v>78</v>
      </c>
      <c r="D18" s="60"/>
      <c r="E18" s="85">
        <v>7</v>
      </c>
      <c r="F18" s="86">
        <v>0.5</v>
      </c>
      <c r="G18" s="104"/>
      <c r="H18" s="40">
        <f t="shared" si="1"/>
        <v>3.75</v>
      </c>
      <c r="I18" s="63" t="str">
        <f t="shared" si="2"/>
        <v>N/TRANSITA</v>
      </c>
      <c r="J18" s="85">
        <v>14</v>
      </c>
      <c r="K18" s="86">
        <v>6</v>
      </c>
      <c r="L18" s="70"/>
      <c r="M18" s="40">
        <f t="shared" si="3"/>
        <v>10</v>
      </c>
      <c r="N18" s="63" t="str">
        <f t="shared" si="7"/>
        <v>TRANSITA</v>
      </c>
      <c r="O18" s="85"/>
      <c r="P18" s="86"/>
      <c r="Q18" s="70"/>
      <c r="R18" s="40">
        <f t="shared" si="5"/>
        <v>0</v>
      </c>
      <c r="S18" s="41">
        <f t="shared" si="0"/>
        <v>4.583333333333333</v>
      </c>
      <c r="T18" s="81" t="str">
        <f t="shared" si="8"/>
        <v>N/TRANSITA</v>
      </c>
    </row>
    <row r="19" spans="2:20" ht="14.25" customHeight="1" x14ac:dyDescent="0.3">
      <c r="B19" s="33">
        <v>11</v>
      </c>
      <c r="C19" s="127" t="s">
        <v>79</v>
      </c>
      <c r="D19" s="60"/>
      <c r="E19" s="169"/>
      <c r="F19" s="170"/>
      <c r="G19" s="104"/>
      <c r="H19" s="40">
        <f t="shared" si="1"/>
        <v>0</v>
      </c>
      <c r="I19" s="63" t="str">
        <f t="shared" si="2"/>
        <v>N/TRANSITA</v>
      </c>
      <c r="J19" s="169"/>
      <c r="K19" s="170"/>
      <c r="L19" s="70"/>
      <c r="M19" s="40">
        <f t="shared" si="3"/>
        <v>0</v>
      </c>
      <c r="N19" s="63" t="str">
        <f t="shared" si="4"/>
        <v>N/TRANSITA</v>
      </c>
      <c r="O19" s="85"/>
      <c r="P19" s="86"/>
      <c r="Q19" s="70"/>
      <c r="R19" s="40">
        <f t="shared" si="5"/>
        <v>0</v>
      </c>
      <c r="S19" s="41">
        <f t="shared" si="0"/>
        <v>0</v>
      </c>
      <c r="T19" s="81" t="str">
        <f t="shared" si="6"/>
        <v>N/TRANSITA</v>
      </c>
    </row>
    <row r="20" spans="2:20" ht="14.25" customHeight="1" x14ac:dyDescent="0.3">
      <c r="B20" s="33">
        <v>12</v>
      </c>
      <c r="C20" s="127" t="s">
        <v>80</v>
      </c>
      <c r="D20" s="60"/>
      <c r="E20" s="85">
        <v>16.5</v>
      </c>
      <c r="F20" s="86">
        <v>10</v>
      </c>
      <c r="G20" s="104"/>
      <c r="H20" s="40">
        <f t="shared" si="1"/>
        <v>13.25</v>
      </c>
      <c r="I20" s="63" t="str">
        <f t="shared" si="2"/>
        <v>TRANSITA</v>
      </c>
      <c r="J20" s="85">
        <v>15</v>
      </c>
      <c r="K20" s="86">
        <v>5</v>
      </c>
      <c r="L20" s="70"/>
      <c r="M20" s="40">
        <f t="shared" si="3"/>
        <v>10</v>
      </c>
      <c r="N20" s="63" t="str">
        <f t="shared" si="4"/>
        <v>TRANSITA</v>
      </c>
      <c r="O20" s="85"/>
      <c r="P20" s="86"/>
      <c r="Q20" s="70"/>
      <c r="R20" s="40">
        <f t="shared" si="5"/>
        <v>0</v>
      </c>
      <c r="S20" s="41">
        <f t="shared" si="0"/>
        <v>7.75</v>
      </c>
      <c r="T20" s="81" t="str">
        <f t="shared" si="6"/>
        <v>N/TRANSITA</v>
      </c>
    </row>
    <row r="21" spans="2:20" ht="14.25" customHeight="1" x14ac:dyDescent="0.3">
      <c r="B21" s="33">
        <v>13</v>
      </c>
      <c r="C21" s="127" t="s">
        <v>81</v>
      </c>
      <c r="D21" s="60"/>
      <c r="E21" s="169"/>
      <c r="F21" s="170"/>
      <c r="G21" s="104"/>
      <c r="H21" s="40">
        <f t="shared" si="1"/>
        <v>0</v>
      </c>
      <c r="I21" s="63" t="str">
        <f t="shared" si="2"/>
        <v>N/TRANSITA</v>
      </c>
      <c r="J21" s="169"/>
      <c r="K21" s="170"/>
      <c r="L21" s="70"/>
      <c r="M21" s="40">
        <f t="shared" si="3"/>
        <v>0</v>
      </c>
      <c r="N21" s="63" t="str">
        <f t="shared" si="4"/>
        <v>N/TRANSITA</v>
      </c>
      <c r="O21" s="85"/>
      <c r="P21" s="86"/>
      <c r="Q21" s="70"/>
      <c r="R21" s="40">
        <f t="shared" si="5"/>
        <v>0</v>
      </c>
      <c r="S21" s="41">
        <f t="shared" si="0"/>
        <v>0</v>
      </c>
      <c r="T21" s="81" t="str">
        <f t="shared" si="6"/>
        <v>N/TRANSITA</v>
      </c>
    </row>
    <row r="22" spans="2:20" ht="14.25" customHeight="1" x14ac:dyDescent="0.3">
      <c r="B22" s="33">
        <v>14</v>
      </c>
      <c r="C22" s="127" t="s">
        <v>82</v>
      </c>
      <c r="D22" s="60"/>
      <c r="E22" s="169"/>
      <c r="F22" s="170"/>
      <c r="G22" s="104"/>
      <c r="H22" s="40">
        <f t="shared" si="1"/>
        <v>0</v>
      </c>
      <c r="I22" s="63" t="str">
        <f t="shared" si="2"/>
        <v>N/TRANSITA</v>
      </c>
      <c r="J22" s="169"/>
      <c r="K22" s="170"/>
      <c r="L22" s="70"/>
      <c r="M22" s="40">
        <f t="shared" si="3"/>
        <v>0</v>
      </c>
      <c r="N22" s="63" t="str">
        <f t="shared" si="4"/>
        <v>N/TRANSITA</v>
      </c>
      <c r="O22" s="85"/>
      <c r="P22" s="86"/>
      <c r="Q22" s="70"/>
      <c r="R22" s="40">
        <f t="shared" si="5"/>
        <v>0</v>
      </c>
      <c r="S22" s="41">
        <f t="shared" si="0"/>
        <v>0</v>
      </c>
      <c r="T22" s="81" t="str">
        <f t="shared" si="6"/>
        <v>N/TRANSITA</v>
      </c>
    </row>
    <row r="23" spans="2:20" ht="14.25" customHeight="1" x14ac:dyDescent="0.3">
      <c r="B23" s="33">
        <v>15</v>
      </c>
      <c r="C23" s="127" t="s">
        <v>83</v>
      </c>
      <c r="D23" s="60"/>
      <c r="E23" s="85">
        <v>15</v>
      </c>
      <c r="F23" s="86">
        <v>7.5</v>
      </c>
      <c r="G23" s="104"/>
      <c r="H23" s="40">
        <f t="shared" si="1"/>
        <v>11.25</v>
      </c>
      <c r="I23" s="63" t="str">
        <f t="shared" si="2"/>
        <v>TRANSITA</v>
      </c>
      <c r="J23" s="85">
        <v>15</v>
      </c>
      <c r="K23" s="86">
        <v>7</v>
      </c>
      <c r="L23" s="70"/>
      <c r="M23" s="40">
        <f t="shared" si="3"/>
        <v>11</v>
      </c>
      <c r="N23" s="63" t="str">
        <f t="shared" si="4"/>
        <v>TRANSITA</v>
      </c>
      <c r="O23" s="85"/>
      <c r="P23" s="86"/>
      <c r="Q23" s="70"/>
      <c r="R23" s="40">
        <f t="shared" si="5"/>
        <v>0</v>
      </c>
      <c r="S23" s="41">
        <f t="shared" si="0"/>
        <v>7.416666666666667</v>
      </c>
      <c r="T23" s="81" t="str">
        <f t="shared" si="6"/>
        <v>N/TRANSITA</v>
      </c>
    </row>
    <row r="24" spans="2:20" ht="14.25" customHeight="1" x14ac:dyDescent="0.3">
      <c r="B24" s="33">
        <v>16</v>
      </c>
      <c r="C24" s="127" t="s">
        <v>84</v>
      </c>
      <c r="D24" s="60"/>
      <c r="E24" s="85">
        <v>15</v>
      </c>
      <c r="F24" s="86">
        <v>6.5</v>
      </c>
      <c r="G24" s="104"/>
      <c r="H24" s="40">
        <f t="shared" si="1"/>
        <v>10.75</v>
      </c>
      <c r="I24" s="63" t="str">
        <f t="shared" si="2"/>
        <v>TRANSITA</v>
      </c>
      <c r="J24" s="85">
        <v>15</v>
      </c>
      <c r="K24" s="86">
        <v>5.5</v>
      </c>
      <c r="L24" s="70"/>
      <c r="M24" s="40">
        <f t="shared" si="3"/>
        <v>10.25</v>
      </c>
      <c r="N24" s="63" t="str">
        <f t="shared" si="4"/>
        <v>TRANSITA</v>
      </c>
      <c r="O24" s="85"/>
      <c r="P24" s="86"/>
      <c r="Q24" s="70"/>
      <c r="R24" s="40">
        <f t="shared" si="5"/>
        <v>0</v>
      </c>
      <c r="S24" s="41">
        <f t="shared" si="0"/>
        <v>7</v>
      </c>
      <c r="T24" s="81" t="str">
        <f t="shared" si="6"/>
        <v>N/TRANSITA</v>
      </c>
    </row>
    <row r="25" spans="2:20" ht="14.25" customHeight="1" x14ac:dyDescent="0.3">
      <c r="B25" s="33">
        <v>17</v>
      </c>
      <c r="C25" s="127" t="s">
        <v>85</v>
      </c>
      <c r="D25" s="60"/>
      <c r="E25" s="85">
        <v>12</v>
      </c>
      <c r="F25" s="86">
        <v>4</v>
      </c>
      <c r="G25" s="104"/>
      <c r="H25" s="40">
        <f t="shared" si="1"/>
        <v>8</v>
      </c>
      <c r="I25" s="63" t="str">
        <f t="shared" si="2"/>
        <v>N/TRANSITA</v>
      </c>
      <c r="J25" s="85">
        <v>9</v>
      </c>
      <c r="K25" s="86">
        <v>3.5</v>
      </c>
      <c r="L25" s="70"/>
      <c r="M25" s="40">
        <f t="shared" si="3"/>
        <v>6.25</v>
      </c>
      <c r="N25" s="63" t="str">
        <f t="shared" si="4"/>
        <v>N/TRANSITA</v>
      </c>
      <c r="O25" s="85"/>
      <c r="P25" s="86"/>
      <c r="Q25" s="70"/>
      <c r="R25" s="40">
        <f t="shared" si="5"/>
        <v>0</v>
      </c>
      <c r="S25" s="41">
        <f t="shared" si="0"/>
        <v>4.75</v>
      </c>
      <c r="T25" s="81" t="str">
        <f t="shared" si="6"/>
        <v>N/TRANSITA</v>
      </c>
    </row>
    <row r="26" spans="2:20" ht="14.25" customHeight="1" x14ac:dyDescent="0.3">
      <c r="B26" s="33">
        <v>18</v>
      </c>
      <c r="C26" s="127" t="s">
        <v>140</v>
      </c>
      <c r="D26" s="60"/>
      <c r="E26" s="85"/>
      <c r="F26" s="86"/>
      <c r="G26" s="104"/>
      <c r="H26" s="40">
        <f t="shared" si="1"/>
        <v>0</v>
      </c>
      <c r="I26" s="63" t="str">
        <f t="shared" si="2"/>
        <v>N/TRANSITA</v>
      </c>
      <c r="J26" s="85">
        <v>14</v>
      </c>
      <c r="K26" s="86">
        <v>6</v>
      </c>
      <c r="L26" s="70"/>
      <c r="M26" s="40">
        <f t="shared" ref="M26:M27" si="9">AVERAGE(J26,MAX(K26:L26))</f>
        <v>10</v>
      </c>
      <c r="N26" s="63" t="str">
        <f t="shared" ref="N26:N27" si="10">IF(M26&gt;=10,"TRANSITA","N/TRANSITA")</f>
        <v>TRANSITA</v>
      </c>
      <c r="O26" s="85"/>
      <c r="P26" s="86"/>
      <c r="Q26" s="70"/>
      <c r="R26" s="40">
        <f t="shared" ref="R26:R27" si="11">AVERAGE(O26,MAX(P26:Q26))</f>
        <v>0</v>
      </c>
      <c r="S26" s="41">
        <f t="shared" ref="S26:S27" si="12">SUM(H26,M26,R26)/3</f>
        <v>3.3333333333333335</v>
      </c>
      <c r="T26" s="81" t="str">
        <f t="shared" ref="T26:T27" si="13">IF(S26&gt;=10,"TRANSITA","N/TRANSITA")</f>
        <v>N/TRANSITA</v>
      </c>
    </row>
    <row r="27" spans="2:20" ht="14.25" customHeight="1" x14ac:dyDescent="0.3">
      <c r="B27" s="33">
        <v>19</v>
      </c>
      <c r="C27" s="127" t="s">
        <v>86</v>
      </c>
      <c r="D27" s="60"/>
      <c r="E27" s="132">
        <v>14</v>
      </c>
      <c r="F27" s="133">
        <v>9</v>
      </c>
      <c r="G27" s="104"/>
      <c r="H27" s="40">
        <f t="shared" si="1"/>
        <v>11.5</v>
      </c>
      <c r="I27" s="63" t="str">
        <f t="shared" si="2"/>
        <v>TRANSITA</v>
      </c>
      <c r="J27" s="169"/>
      <c r="K27" s="170"/>
      <c r="L27" s="70"/>
      <c r="M27" s="40">
        <f t="shared" si="9"/>
        <v>0</v>
      </c>
      <c r="N27" s="63" t="str">
        <f t="shared" si="10"/>
        <v>N/TRANSITA</v>
      </c>
      <c r="O27" s="85"/>
      <c r="P27" s="86"/>
      <c r="Q27" s="70"/>
      <c r="R27" s="40">
        <f t="shared" si="11"/>
        <v>0</v>
      </c>
      <c r="S27" s="41">
        <f t="shared" si="12"/>
        <v>3.8333333333333335</v>
      </c>
      <c r="T27" s="81" t="str">
        <f t="shared" si="13"/>
        <v>N/TRANSITA</v>
      </c>
    </row>
    <row r="28" spans="2:20" ht="14.25" customHeight="1" x14ac:dyDescent="0.3">
      <c r="B28" s="33">
        <v>20</v>
      </c>
      <c r="C28" s="127" t="s">
        <v>87</v>
      </c>
      <c r="D28" s="60"/>
      <c r="E28" s="85">
        <v>15</v>
      </c>
      <c r="F28" s="86">
        <v>13</v>
      </c>
      <c r="G28" s="104"/>
      <c r="H28" s="40">
        <f t="shared" si="1"/>
        <v>14</v>
      </c>
      <c r="I28" s="63" t="str">
        <f t="shared" si="2"/>
        <v>TRANSITA</v>
      </c>
      <c r="J28" s="85">
        <v>9</v>
      </c>
      <c r="K28" s="86">
        <v>3</v>
      </c>
      <c r="L28" s="70"/>
      <c r="M28" s="40">
        <f t="shared" si="3"/>
        <v>6</v>
      </c>
      <c r="N28" s="63" t="str">
        <f t="shared" si="4"/>
        <v>N/TRANSITA</v>
      </c>
      <c r="O28" s="85"/>
      <c r="P28" s="86"/>
      <c r="Q28" s="70"/>
      <c r="R28" s="40">
        <f t="shared" si="5"/>
        <v>0</v>
      </c>
      <c r="S28" s="41">
        <f t="shared" si="0"/>
        <v>6.666666666666667</v>
      </c>
      <c r="T28" s="81" t="str">
        <f t="shared" si="6"/>
        <v>N/TRANSITA</v>
      </c>
    </row>
    <row r="29" spans="2:20" ht="14.25" customHeight="1" x14ac:dyDescent="0.3">
      <c r="B29" s="33">
        <v>21</v>
      </c>
      <c r="C29" s="127" t="s">
        <v>88</v>
      </c>
      <c r="D29" s="60"/>
      <c r="E29" s="85">
        <v>10</v>
      </c>
      <c r="F29" s="86">
        <v>5</v>
      </c>
      <c r="G29" s="104"/>
      <c r="H29" s="40">
        <f t="shared" si="1"/>
        <v>7.5</v>
      </c>
      <c r="I29" s="63" t="str">
        <f t="shared" si="2"/>
        <v>N/TRANSITA</v>
      </c>
      <c r="J29" s="169"/>
      <c r="K29" s="170"/>
      <c r="L29" s="70"/>
      <c r="M29" s="40">
        <f t="shared" si="3"/>
        <v>0</v>
      </c>
      <c r="N29" s="63" t="str">
        <f t="shared" si="4"/>
        <v>N/TRANSITA</v>
      </c>
      <c r="O29" s="85"/>
      <c r="P29" s="86"/>
      <c r="Q29" s="70"/>
      <c r="R29" s="40">
        <f t="shared" si="5"/>
        <v>0</v>
      </c>
      <c r="S29" s="41">
        <f t="shared" si="0"/>
        <v>2.5</v>
      </c>
      <c r="T29" s="81" t="str">
        <f t="shared" si="6"/>
        <v>N/TRANSITA</v>
      </c>
    </row>
    <row r="30" spans="2:20" ht="14.25" customHeight="1" x14ac:dyDescent="0.3">
      <c r="B30" s="33">
        <v>22</v>
      </c>
      <c r="C30" s="127" t="s">
        <v>89</v>
      </c>
      <c r="D30" s="60"/>
      <c r="E30" s="85">
        <v>11</v>
      </c>
      <c r="F30" s="86">
        <v>6.5</v>
      </c>
      <c r="G30" s="104"/>
      <c r="H30" s="40">
        <f t="shared" si="1"/>
        <v>8.75</v>
      </c>
      <c r="I30" s="63" t="str">
        <f t="shared" si="2"/>
        <v>N/TRANSITA</v>
      </c>
      <c r="J30" s="85">
        <v>13</v>
      </c>
      <c r="K30" s="86">
        <v>4.5</v>
      </c>
      <c r="L30" s="70"/>
      <c r="M30" s="40">
        <f t="shared" si="3"/>
        <v>8.75</v>
      </c>
      <c r="N30" s="63" t="str">
        <f t="shared" si="4"/>
        <v>N/TRANSITA</v>
      </c>
      <c r="O30" s="85"/>
      <c r="P30" s="86"/>
      <c r="Q30" s="70"/>
      <c r="R30" s="40">
        <f t="shared" si="5"/>
        <v>0</v>
      </c>
      <c r="S30" s="41">
        <f t="shared" si="0"/>
        <v>5.833333333333333</v>
      </c>
      <c r="T30" s="81" t="str">
        <f t="shared" si="6"/>
        <v>N/TRANSITA</v>
      </c>
    </row>
    <row r="31" spans="2:20" ht="14.25" customHeight="1" x14ac:dyDescent="0.3">
      <c r="B31" s="33">
        <v>23</v>
      </c>
      <c r="C31" s="127" t="s">
        <v>90</v>
      </c>
      <c r="D31" s="60"/>
      <c r="E31" s="85">
        <v>12</v>
      </c>
      <c r="F31" s="86">
        <v>7.5</v>
      </c>
      <c r="G31" s="104"/>
      <c r="H31" s="40">
        <f t="shared" si="1"/>
        <v>9.75</v>
      </c>
      <c r="I31" s="63" t="str">
        <f t="shared" si="2"/>
        <v>N/TRANSITA</v>
      </c>
      <c r="J31" s="85">
        <v>8</v>
      </c>
      <c r="K31" s="86">
        <v>2</v>
      </c>
      <c r="L31" s="70"/>
      <c r="M31" s="40">
        <f t="shared" si="3"/>
        <v>5</v>
      </c>
      <c r="N31" s="63" t="str">
        <f t="shared" si="4"/>
        <v>N/TRANSITA</v>
      </c>
      <c r="O31" s="85"/>
      <c r="P31" s="86"/>
      <c r="Q31" s="70"/>
      <c r="R31" s="40">
        <f t="shared" si="5"/>
        <v>0</v>
      </c>
      <c r="S31" s="41">
        <f t="shared" si="0"/>
        <v>4.916666666666667</v>
      </c>
      <c r="T31" s="81" t="str">
        <f t="shared" si="6"/>
        <v>N/TRANSITA</v>
      </c>
    </row>
    <row r="32" spans="2:20" ht="14.25" customHeight="1" x14ac:dyDescent="0.3">
      <c r="B32" s="33">
        <v>24</v>
      </c>
      <c r="C32" s="127" t="s">
        <v>91</v>
      </c>
      <c r="D32" s="60"/>
      <c r="E32" s="169"/>
      <c r="F32" s="170"/>
      <c r="G32" s="104"/>
      <c r="H32" s="40">
        <f t="shared" si="1"/>
        <v>0</v>
      </c>
      <c r="I32" s="63" t="str">
        <f t="shared" si="2"/>
        <v>N/TRANSITA</v>
      </c>
      <c r="J32" s="169"/>
      <c r="K32" s="170"/>
      <c r="L32" s="70"/>
      <c r="M32" s="40">
        <f t="shared" si="3"/>
        <v>0</v>
      </c>
      <c r="N32" s="63" t="str">
        <f t="shared" si="4"/>
        <v>N/TRANSITA</v>
      </c>
      <c r="O32" s="85"/>
      <c r="P32" s="86"/>
      <c r="Q32" s="70"/>
      <c r="R32" s="40">
        <f t="shared" si="5"/>
        <v>0</v>
      </c>
      <c r="S32" s="41">
        <f t="shared" si="0"/>
        <v>0</v>
      </c>
      <c r="T32" s="81" t="str">
        <f t="shared" si="6"/>
        <v>N/TRANSITA</v>
      </c>
    </row>
    <row r="33" spans="2:20" ht="14.25" customHeight="1" x14ac:dyDescent="0.3">
      <c r="B33" s="33">
        <v>25</v>
      </c>
      <c r="C33" s="127" t="s">
        <v>92</v>
      </c>
      <c r="D33" s="60"/>
      <c r="E33" s="132">
        <v>13</v>
      </c>
      <c r="F33" s="133">
        <v>7.5</v>
      </c>
      <c r="G33" s="104"/>
      <c r="H33" s="40">
        <f t="shared" si="1"/>
        <v>10.25</v>
      </c>
      <c r="I33" s="63" t="str">
        <f t="shared" si="2"/>
        <v>TRANSITA</v>
      </c>
      <c r="J33" s="85">
        <v>10</v>
      </c>
      <c r="K33" s="86">
        <v>3</v>
      </c>
      <c r="L33" s="70"/>
      <c r="M33" s="40">
        <f t="shared" si="3"/>
        <v>6.5</v>
      </c>
      <c r="N33" s="63" t="str">
        <f t="shared" si="4"/>
        <v>N/TRANSITA</v>
      </c>
      <c r="O33" s="85"/>
      <c r="P33" s="86"/>
      <c r="Q33" s="70"/>
      <c r="R33" s="40">
        <f t="shared" si="5"/>
        <v>0</v>
      </c>
      <c r="S33" s="41">
        <f t="shared" si="0"/>
        <v>5.583333333333333</v>
      </c>
      <c r="T33" s="81" t="str">
        <f t="shared" si="6"/>
        <v>N/TRANSITA</v>
      </c>
    </row>
    <row r="34" spans="2:20" ht="14.25" customHeight="1" x14ac:dyDescent="0.3">
      <c r="B34" s="33">
        <v>26</v>
      </c>
      <c r="C34" s="127" t="s">
        <v>93</v>
      </c>
      <c r="D34" s="60"/>
      <c r="E34" s="132">
        <v>8</v>
      </c>
      <c r="F34" s="170"/>
      <c r="G34" s="104"/>
      <c r="H34" s="40">
        <f t="shared" si="1"/>
        <v>4</v>
      </c>
      <c r="I34" s="63" t="str">
        <f t="shared" si="2"/>
        <v>N/TRANSITA</v>
      </c>
      <c r="J34" s="169"/>
      <c r="K34" s="170"/>
      <c r="L34" s="70"/>
      <c r="M34" s="40">
        <f t="shared" si="3"/>
        <v>0</v>
      </c>
      <c r="N34" s="63" t="str">
        <f t="shared" si="4"/>
        <v>N/TRANSITA</v>
      </c>
      <c r="O34" s="85"/>
      <c r="P34" s="86"/>
      <c r="Q34" s="70"/>
      <c r="R34" s="40">
        <f t="shared" si="5"/>
        <v>0</v>
      </c>
      <c r="S34" s="41">
        <f t="shared" si="0"/>
        <v>1.3333333333333333</v>
      </c>
      <c r="T34" s="81" t="str">
        <f t="shared" si="6"/>
        <v>N/TRANSITA</v>
      </c>
    </row>
    <row r="35" spans="2:20" ht="14.25" customHeight="1" x14ac:dyDescent="0.3">
      <c r="B35" s="33">
        <v>27</v>
      </c>
      <c r="C35" s="128" t="s">
        <v>94</v>
      </c>
      <c r="D35" s="60"/>
      <c r="E35" s="169"/>
      <c r="F35" s="170"/>
      <c r="G35" s="104"/>
      <c r="H35" s="40">
        <f t="shared" si="1"/>
        <v>0</v>
      </c>
      <c r="I35" s="63" t="str">
        <f t="shared" si="2"/>
        <v>N/TRANSITA</v>
      </c>
      <c r="J35" s="169"/>
      <c r="K35" s="170"/>
      <c r="L35" s="70"/>
      <c r="M35" s="40">
        <f t="shared" si="3"/>
        <v>0</v>
      </c>
      <c r="N35" s="63" t="str">
        <f t="shared" si="4"/>
        <v>N/TRANSITA</v>
      </c>
      <c r="O35" s="85"/>
      <c r="P35" s="86"/>
      <c r="Q35" s="70"/>
      <c r="R35" s="40">
        <f t="shared" si="5"/>
        <v>0</v>
      </c>
      <c r="S35" s="41">
        <f t="shared" si="0"/>
        <v>0</v>
      </c>
      <c r="T35" s="81" t="str">
        <f t="shared" si="6"/>
        <v>N/TRANSITA</v>
      </c>
    </row>
    <row r="36" spans="2:20" ht="14.25" customHeight="1" x14ac:dyDescent="0.3">
      <c r="B36" s="33">
        <v>28</v>
      </c>
      <c r="C36" s="127" t="s">
        <v>95</v>
      </c>
      <c r="D36" s="60"/>
      <c r="E36" s="85">
        <v>12</v>
      </c>
      <c r="F36" s="86">
        <v>9</v>
      </c>
      <c r="G36" s="104"/>
      <c r="H36" s="40">
        <f t="shared" si="1"/>
        <v>10.5</v>
      </c>
      <c r="I36" s="63" t="str">
        <f t="shared" si="2"/>
        <v>TRANSITA</v>
      </c>
      <c r="J36" s="169"/>
      <c r="K36" s="170"/>
      <c r="L36" s="70"/>
      <c r="M36" s="40">
        <f t="shared" si="3"/>
        <v>0</v>
      </c>
      <c r="N36" s="63" t="str">
        <f t="shared" si="4"/>
        <v>N/TRANSITA</v>
      </c>
      <c r="O36" s="85"/>
      <c r="P36" s="86"/>
      <c r="Q36" s="70"/>
      <c r="R36" s="40">
        <f t="shared" si="5"/>
        <v>0</v>
      </c>
      <c r="S36" s="41">
        <f t="shared" si="0"/>
        <v>3.5</v>
      </c>
      <c r="T36" s="81" t="str">
        <f t="shared" si="6"/>
        <v>N/TRANSITA</v>
      </c>
    </row>
    <row r="37" spans="2:20" ht="14.25" customHeight="1" x14ac:dyDescent="0.3">
      <c r="B37" s="33">
        <v>29</v>
      </c>
      <c r="C37" s="127" t="s">
        <v>96</v>
      </c>
      <c r="D37" s="60"/>
      <c r="E37" s="85">
        <v>12</v>
      </c>
      <c r="F37" s="86">
        <v>4</v>
      </c>
      <c r="G37" s="104"/>
      <c r="H37" s="40">
        <f t="shared" si="1"/>
        <v>8</v>
      </c>
      <c r="I37" s="63" t="str">
        <f t="shared" si="2"/>
        <v>N/TRANSITA</v>
      </c>
      <c r="J37" s="85">
        <v>12</v>
      </c>
      <c r="K37" s="86">
        <v>2.5</v>
      </c>
      <c r="L37" s="70"/>
      <c r="M37" s="40">
        <f t="shared" si="3"/>
        <v>7.25</v>
      </c>
      <c r="N37" s="63" t="str">
        <f t="shared" si="4"/>
        <v>N/TRANSITA</v>
      </c>
      <c r="O37" s="85"/>
      <c r="P37" s="86"/>
      <c r="Q37" s="70"/>
      <c r="R37" s="40">
        <f t="shared" si="5"/>
        <v>0</v>
      </c>
      <c r="S37" s="41">
        <f t="shared" si="0"/>
        <v>5.083333333333333</v>
      </c>
      <c r="T37" s="81" t="str">
        <f t="shared" si="6"/>
        <v>N/TRANSITA</v>
      </c>
    </row>
    <row r="38" spans="2:20" ht="14.25" customHeight="1" x14ac:dyDescent="0.3">
      <c r="B38" s="33">
        <v>30</v>
      </c>
      <c r="C38" s="127" t="s">
        <v>97</v>
      </c>
      <c r="D38" s="60"/>
      <c r="E38" s="169"/>
      <c r="F38" s="170"/>
      <c r="G38" s="104"/>
      <c r="H38" s="40">
        <f t="shared" si="1"/>
        <v>0</v>
      </c>
      <c r="I38" s="63" t="str">
        <f t="shared" si="2"/>
        <v>N/TRANSITA</v>
      </c>
      <c r="J38" s="169"/>
      <c r="K38" s="170"/>
      <c r="L38" s="70"/>
      <c r="M38" s="40">
        <f t="shared" si="3"/>
        <v>0</v>
      </c>
      <c r="N38" s="63" t="str">
        <f t="shared" si="4"/>
        <v>N/TRANSITA</v>
      </c>
      <c r="O38" s="85"/>
      <c r="P38" s="86"/>
      <c r="Q38" s="70"/>
      <c r="R38" s="40">
        <f t="shared" si="5"/>
        <v>0</v>
      </c>
      <c r="S38" s="41">
        <f t="shared" si="0"/>
        <v>0</v>
      </c>
      <c r="T38" s="81" t="str">
        <f t="shared" si="6"/>
        <v>N/TRANSITA</v>
      </c>
    </row>
    <row r="39" spans="2:20" ht="14.25" customHeight="1" x14ac:dyDescent="0.3">
      <c r="B39" s="33">
        <v>31</v>
      </c>
      <c r="C39" s="127" t="s">
        <v>98</v>
      </c>
      <c r="D39" s="60"/>
      <c r="E39" s="169"/>
      <c r="F39" s="170"/>
      <c r="G39" s="104"/>
      <c r="H39" s="40">
        <f t="shared" si="1"/>
        <v>0</v>
      </c>
      <c r="I39" s="63" t="str">
        <f t="shared" si="2"/>
        <v>N/TRANSITA</v>
      </c>
      <c r="J39" s="169"/>
      <c r="K39" s="170"/>
      <c r="L39" s="70"/>
      <c r="M39" s="40">
        <f t="shared" si="3"/>
        <v>0</v>
      </c>
      <c r="N39" s="63" t="str">
        <f t="shared" si="4"/>
        <v>N/TRANSITA</v>
      </c>
      <c r="O39" s="85"/>
      <c r="P39" s="86"/>
      <c r="Q39" s="70"/>
      <c r="R39" s="40">
        <f t="shared" si="5"/>
        <v>0</v>
      </c>
      <c r="S39" s="41">
        <f t="shared" si="0"/>
        <v>0</v>
      </c>
      <c r="T39" s="81" t="str">
        <f t="shared" si="6"/>
        <v>N/TRANSITA</v>
      </c>
    </row>
    <row r="40" spans="2:20" ht="14.25" customHeight="1" x14ac:dyDescent="0.3">
      <c r="B40" s="33">
        <v>32</v>
      </c>
      <c r="C40" s="128" t="s">
        <v>99</v>
      </c>
      <c r="D40" s="60"/>
      <c r="E40" s="85">
        <v>12</v>
      </c>
      <c r="F40" s="86">
        <v>2</v>
      </c>
      <c r="G40" s="104"/>
      <c r="H40" s="40">
        <f t="shared" si="1"/>
        <v>7</v>
      </c>
      <c r="I40" s="63" t="str">
        <f t="shared" si="2"/>
        <v>N/TRANSITA</v>
      </c>
      <c r="J40" s="85">
        <v>8</v>
      </c>
      <c r="K40" s="86">
        <v>2</v>
      </c>
      <c r="L40" s="70"/>
      <c r="M40" s="40">
        <f t="shared" si="3"/>
        <v>5</v>
      </c>
      <c r="N40" s="63" t="str">
        <f t="shared" si="4"/>
        <v>N/TRANSITA</v>
      </c>
      <c r="O40" s="85"/>
      <c r="P40" s="86"/>
      <c r="Q40" s="70"/>
      <c r="R40" s="40">
        <f t="shared" si="5"/>
        <v>0</v>
      </c>
      <c r="S40" s="41">
        <f t="shared" si="0"/>
        <v>4</v>
      </c>
      <c r="T40" s="81" t="str">
        <f t="shared" si="6"/>
        <v>N/TRANSITA</v>
      </c>
    </row>
    <row r="41" spans="2:20" ht="14.25" customHeight="1" x14ac:dyDescent="0.3">
      <c r="B41" s="33">
        <v>33</v>
      </c>
      <c r="C41" s="127" t="s">
        <v>100</v>
      </c>
      <c r="D41" s="60"/>
      <c r="E41" s="85">
        <v>13</v>
      </c>
      <c r="F41" s="86">
        <v>10</v>
      </c>
      <c r="G41" s="104"/>
      <c r="H41" s="40">
        <f t="shared" si="1"/>
        <v>11.5</v>
      </c>
      <c r="I41" s="63" t="str">
        <f t="shared" si="2"/>
        <v>TRANSITA</v>
      </c>
      <c r="J41" s="85">
        <v>12</v>
      </c>
      <c r="K41" s="86">
        <v>2</v>
      </c>
      <c r="L41" s="70"/>
      <c r="M41" s="40">
        <f t="shared" si="3"/>
        <v>7</v>
      </c>
      <c r="N41" s="63" t="str">
        <f t="shared" si="4"/>
        <v>N/TRANSITA</v>
      </c>
      <c r="O41" s="85"/>
      <c r="P41" s="86"/>
      <c r="Q41" s="70"/>
      <c r="R41" s="40">
        <f t="shared" si="5"/>
        <v>0</v>
      </c>
      <c r="S41" s="41">
        <f t="shared" si="0"/>
        <v>6.166666666666667</v>
      </c>
      <c r="T41" s="81" t="str">
        <f t="shared" si="6"/>
        <v>N/TRANSITA</v>
      </c>
    </row>
    <row r="42" spans="2:20" ht="14.25" customHeight="1" x14ac:dyDescent="0.3">
      <c r="B42" s="33">
        <v>34</v>
      </c>
      <c r="C42" s="127" t="s">
        <v>101</v>
      </c>
      <c r="D42" s="60"/>
      <c r="E42" s="169"/>
      <c r="F42" s="170"/>
      <c r="G42" s="104"/>
      <c r="H42" s="40">
        <f t="shared" si="1"/>
        <v>0</v>
      </c>
      <c r="I42" s="63" t="str">
        <f t="shared" si="2"/>
        <v>N/TRANSITA</v>
      </c>
      <c r="J42" s="169"/>
      <c r="K42" s="170"/>
      <c r="L42" s="70"/>
      <c r="M42" s="40">
        <f t="shared" si="3"/>
        <v>0</v>
      </c>
      <c r="N42" s="63" t="str">
        <f t="shared" si="4"/>
        <v>N/TRANSITA</v>
      </c>
      <c r="O42" s="85"/>
      <c r="P42" s="86"/>
      <c r="Q42" s="70"/>
      <c r="R42" s="40">
        <f t="shared" si="5"/>
        <v>0</v>
      </c>
      <c r="S42" s="41">
        <f t="shared" ref="S42:S71" si="14">SUM(H42,M42,R42)/3</f>
        <v>0</v>
      </c>
      <c r="T42" s="81" t="str">
        <f t="shared" si="6"/>
        <v>N/TRANSITA</v>
      </c>
    </row>
    <row r="43" spans="2:20" ht="14.25" customHeight="1" x14ac:dyDescent="0.3">
      <c r="B43" s="33">
        <v>35</v>
      </c>
      <c r="C43" s="127" t="s">
        <v>102</v>
      </c>
      <c r="D43" s="60"/>
      <c r="E43" s="85">
        <v>13</v>
      </c>
      <c r="F43" s="86">
        <v>6</v>
      </c>
      <c r="G43" s="104"/>
      <c r="H43" s="40">
        <f t="shared" si="1"/>
        <v>9.5</v>
      </c>
      <c r="I43" s="63" t="str">
        <f t="shared" si="2"/>
        <v>N/TRANSITA</v>
      </c>
      <c r="J43" s="85">
        <v>8</v>
      </c>
      <c r="K43" s="86">
        <v>4</v>
      </c>
      <c r="L43" s="70"/>
      <c r="M43" s="40">
        <f t="shared" si="3"/>
        <v>6</v>
      </c>
      <c r="N43" s="63" t="str">
        <f t="shared" si="4"/>
        <v>N/TRANSITA</v>
      </c>
      <c r="O43" s="85"/>
      <c r="P43" s="86"/>
      <c r="Q43" s="70"/>
      <c r="R43" s="40">
        <f t="shared" si="5"/>
        <v>0</v>
      </c>
      <c r="S43" s="41">
        <f t="shared" si="14"/>
        <v>5.166666666666667</v>
      </c>
      <c r="T43" s="81" t="str">
        <f t="shared" si="6"/>
        <v>N/TRANSITA</v>
      </c>
    </row>
    <row r="44" spans="2:20" ht="14.25" customHeight="1" x14ac:dyDescent="0.3">
      <c r="B44" s="33">
        <v>36</v>
      </c>
      <c r="C44" s="127" t="s">
        <v>103</v>
      </c>
      <c r="D44" s="60"/>
      <c r="E44" s="132">
        <v>8</v>
      </c>
      <c r="F44" s="86">
        <v>2</v>
      </c>
      <c r="G44" s="104"/>
      <c r="H44" s="40">
        <f t="shared" si="1"/>
        <v>5</v>
      </c>
      <c r="I44" s="63" t="str">
        <f t="shared" si="2"/>
        <v>N/TRANSITA</v>
      </c>
      <c r="J44" s="169"/>
      <c r="K44" s="170"/>
      <c r="L44" s="70"/>
      <c r="M44" s="40">
        <f t="shared" si="3"/>
        <v>0</v>
      </c>
      <c r="N44" s="63" t="str">
        <f t="shared" ref="N44:N49" si="15">IF(M44&gt;=10,"TRANSITA","N/TRANSITA")</f>
        <v>N/TRANSITA</v>
      </c>
      <c r="O44" s="85"/>
      <c r="P44" s="86"/>
      <c r="Q44" s="70"/>
      <c r="R44" s="40">
        <f t="shared" si="5"/>
        <v>0</v>
      </c>
      <c r="S44" s="41">
        <f t="shared" si="14"/>
        <v>1.6666666666666667</v>
      </c>
      <c r="T44" s="81" t="str">
        <f t="shared" ref="T44:T49" si="16">IF(S44&gt;=10,"TRANSITA","N/TRANSITA")</f>
        <v>N/TRANSITA</v>
      </c>
    </row>
    <row r="45" spans="2:20" ht="14.25" customHeight="1" x14ac:dyDescent="0.3">
      <c r="B45" s="33">
        <v>37</v>
      </c>
      <c r="C45" s="127" t="s">
        <v>104</v>
      </c>
      <c r="D45" s="60"/>
      <c r="E45" s="132">
        <v>8</v>
      </c>
      <c r="F45" s="133">
        <v>5</v>
      </c>
      <c r="G45" s="104"/>
      <c r="H45" s="40">
        <f t="shared" si="1"/>
        <v>6.5</v>
      </c>
      <c r="I45" s="63" t="str">
        <f t="shared" si="2"/>
        <v>N/TRANSITA</v>
      </c>
      <c r="J45" s="85">
        <v>8</v>
      </c>
      <c r="K45" s="86">
        <v>3</v>
      </c>
      <c r="L45" s="70"/>
      <c r="M45" s="40">
        <f t="shared" si="3"/>
        <v>5.5</v>
      </c>
      <c r="N45" s="63" t="str">
        <f t="shared" si="15"/>
        <v>N/TRANSITA</v>
      </c>
      <c r="O45" s="85"/>
      <c r="P45" s="86"/>
      <c r="Q45" s="70"/>
      <c r="R45" s="40">
        <f t="shared" si="5"/>
        <v>0</v>
      </c>
      <c r="S45" s="41">
        <f t="shared" si="14"/>
        <v>4</v>
      </c>
      <c r="T45" s="81" t="str">
        <f t="shared" si="16"/>
        <v>N/TRANSITA</v>
      </c>
    </row>
    <row r="46" spans="2:20" ht="14.25" customHeight="1" x14ac:dyDescent="0.3">
      <c r="B46" s="33">
        <v>38</v>
      </c>
      <c r="C46" s="127" t="s">
        <v>105</v>
      </c>
      <c r="D46" s="60"/>
      <c r="E46" s="132">
        <v>11</v>
      </c>
      <c r="F46" s="133"/>
      <c r="G46" s="104"/>
      <c r="H46" s="40">
        <f t="shared" si="1"/>
        <v>5.5</v>
      </c>
      <c r="I46" s="63" t="str">
        <f t="shared" si="2"/>
        <v>N/TRANSITA</v>
      </c>
      <c r="J46" s="169"/>
      <c r="K46" s="170"/>
      <c r="L46" s="70"/>
      <c r="M46" s="40">
        <f t="shared" si="3"/>
        <v>0</v>
      </c>
      <c r="N46" s="63" t="str">
        <f t="shared" si="15"/>
        <v>N/TRANSITA</v>
      </c>
      <c r="O46" s="85"/>
      <c r="P46" s="86"/>
      <c r="Q46" s="70"/>
      <c r="R46" s="40">
        <f t="shared" si="5"/>
        <v>0</v>
      </c>
      <c r="S46" s="41">
        <f t="shared" si="14"/>
        <v>1.8333333333333333</v>
      </c>
      <c r="T46" s="81" t="str">
        <f t="shared" si="16"/>
        <v>N/TRANSITA</v>
      </c>
    </row>
    <row r="47" spans="2:20" ht="14.25" customHeight="1" x14ac:dyDescent="0.3">
      <c r="B47" s="33">
        <v>39</v>
      </c>
      <c r="C47" s="127" t="s">
        <v>106</v>
      </c>
      <c r="D47" s="60"/>
      <c r="E47" s="85">
        <v>15</v>
      </c>
      <c r="F47" s="86">
        <v>4.5</v>
      </c>
      <c r="G47" s="104"/>
      <c r="H47" s="40">
        <f t="shared" si="1"/>
        <v>9.75</v>
      </c>
      <c r="I47" s="63" t="str">
        <f t="shared" si="2"/>
        <v>N/TRANSITA</v>
      </c>
      <c r="J47" s="85">
        <v>15</v>
      </c>
      <c r="K47" s="86">
        <v>5</v>
      </c>
      <c r="L47" s="70"/>
      <c r="M47" s="40">
        <f t="shared" si="3"/>
        <v>10</v>
      </c>
      <c r="N47" s="63" t="str">
        <f t="shared" si="15"/>
        <v>TRANSITA</v>
      </c>
      <c r="O47" s="85"/>
      <c r="P47" s="86"/>
      <c r="Q47" s="70"/>
      <c r="R47" s="40">
        <f t="shared" si="5"/>
        <v>0</v>
      </c>
      <c r="S47" s="41">
        <f t="shared" si="14"/>
        <v>6.583333333333333</v>
      </c>
      <c r="T47" s="81" t="str">
        <f t="shared" si="16"/>
        <v>N/TRANSITA</v>
      </c>
    </row>
    <row r="48" spans="2:20" ht="14.25" customHeight="1" x14ac:dyDescent="0.3">
      <c r="B48" s="33">
        <v>40</v>
      </c>
      <c r="C48" s="127" t="s">
        <v>145</v>
      </c>
      <c r="D48" s="60"/>
      <c r="E48" s="169"/>
      <c r="F48" s="170"/>
      <c r="G48" s="201"/>
      <c r="H48" s="40">
        <f t="shared" si="1"/>
        <v>0</v>
      </c>
      <c r="I48" s="63" t="str">
        <f t="shared" si="2"/>
        <v>N/TRANSITA</v>
      </c>
      <c r="J48" s="85">
        <v>9</v>
      </c>
      <c r="K48" s="86">
        <v>4.5</v>
      </c>
      <c r="L48" s="70"/>
      <c r="M48" s="40">
        <f t="shared" ref="M48" si="17">AVERAGE(J48,MAX(K48:L48))</f>
        <v>6.75</v>
      </c>
      <c r="N48" s="63" t="str">
        <f t="shared" ref="N48" si="18">IF(M48&gt;=10,"TRANSITA","N/TRANSITA")</f>
        <v>N/TRANSITA</v>
      </c>
      <c r="O48" s="85"/>
      <c r="P48" s="86"/>
      <c r="Q48" s="70"/>
      <c r="R48" s="40">
        <f t="shared" ref="R48" si="19">AVERAGE(O48,MAX(P48:Q48))</f>
        <v>0</v>
      </c>
      <c r="S48" s="41">
        <f t="shared" ref="S48" si="20">SUM(H48,M48,R48)/3</f>
        <v>2.25</v>
      </c>
      <c r="T48" s="81" t="str">
        <f t="shared" ref="T48" si="21">IF(S48&gt;=10,"TRANSITA","N/TRANSITA")</f>
        <v>N/TRANSITA</v>
      </c>
    </row>
    <row r="49" spans="2:20" ht="14.25" customHeight="1" x14ac:dyDescent="0.3">
      <c r="B49" s="33">
        <v>41</v>
      </c>
      <c r="C49" s="128" t="s">
        <v>107</v>
      </c>
      <c r="D49" s="60"/>
      <c r="E49" s="85">
        <v>8</v>
      </c>
      <c r="F49" s="86">
        <v>9</v>
      </c>
      <c r="G49" s="104"/>
      <c r="H49" s="40">
        <f t="shared" si="1"/>
        <v>8.5</v>
      </c>
      <c r="I49" s="63" t="str">
        <f t="shared" si="2"/>
        <v>N/TRANSITA</v>
      </c>
      <c r="J49" s="85">
        <v>14</v>
      </c>
      <c r="K49" s="86">
        <v>6</v>
      </c>
      <c r="L49" s="70"/>
      <c r="M49" s="40">
        <f t="shared" si="3"/>
        <v>10</v>
      </c>
      <c r="N49" s="63" t="str">
        <f t="shared" si="15"/>
        <v>TRANSITA</v>
      </c>
      <c r="O49" s="85"/>
      <c r="P49" s="86"/>
      <c r="Q49" s="70"/>
      <c r="R49" s="40">
        <f t="shared" si="5"/>
        <v>0</v>
      </c>
      <c r="S49" s="41">
        <f t="shared" si="14"/>
        <v>6.166666666666667</v>
      </c>
      <c r="T49" s="81" t="str">
        <f t="shared" si="16"/>
        <v>N/TRANSITA</v>
      </c>
    </row>
    <row r="50" spans="2:20" ht="14.25" customHeight="1" x14ac:dyDescent="0.3">
      <c r="B50" s="33">
        <v>42</v>
      </c>
      <c r="C50" s="127" t="s">
        <v>108</v>
      </c>
      <c r="D50" s="61"/>
      <c r="E50" s="85">
        <v>10</v>
      </c>
      <c r="F50" s="86">
        <v>7.5</v>
      </c>
      <c r="G50" s="104"/>
      <c r="H50" s="40">
        <f t="shared" si="1"/>
        <v>8.75</v>
      </c>
      <c r="I50" s="63" t="str">
        <f t="shared" si="2"/>
        <v>N/TRANSITA</v>
      </c>
      <c r="J50" s="85">
        <v>14</v>
      </c>
      <c r="K50" s="86">
        <v>6</v>
      </c>
      <c r="L50" s="70"/>
      <c r="M50" s="40">
        <f t="shared" si="3"/>
        <v>10</v>
      </c>
      <c r="N50" s="63" t="str">
        <f t="shared" si="4"/>
        <v>TRANSITA</v>
      </c>
      <c r="O50" s="85"/>
      <c r="P50" s="86"/>
      <c r="Q50" s="70"/>
      <c r="R50" s="40">
        <f t="shared" si="5"/>
        <v>0</v>
      </c>
      <c r="S50" s="41">
        <f t="shared" si="14"/>
        <v>6.25</v>
      </c>
      <c r="T50" s="81" t="str">
        <f t="shared" si="6"/>
        <v>N/TRANSITA</v>
      </c>
    </row>
    <row r="51" spans="2:20" ht="14.25" customHeight="1" x14ac:dyDescent="0.3">
      <c r="B51" s="33">
        <v>43</v>
      </c>
      <c r="C51" s="127" t="s">
        <v>109</v>
      </c>
      <c r="D51" s="61"/>
      <c r="E51" s="85">
        <v>14</v>
      </c>
      <c r="F51" s="86">
        <v>7.5</v>
      </c>
      <c r="G51" s="104"/>
      <c r="H51" s="40">
        <f t="shared" si="1"/>
        <v>10.75</v>
      </c>
      <c r="I51" s="63" t="str">
        <f t="shared" si="2"/>
        <v>TRANSITA</v>
      </c>
      <c r="J51" s="169"/>
      <c r="K51" s="170"/>
      <c r="L51" s="70"/>
      <c r="M51" s="40">
        <f t="shared" si="3"/>
        <v>0</v>
      </c>
      <c r="N51" s="63" t="str">
        <f t="shared" si="4"/>
        <v>N/TRANSITA</v>
      </c>
      <c r="O51" s="85"/>
      <c r="P51" s="86"/>
      <c r="Q51" s="70"/>
      <c r="R51" s="40">
        <f t="shared" si="5"/>
        <v>0</v>
      </c>
      <c r="S51" s="41">
        <f t="shared" si="14"/>
        <v>3.5833333333333335</v>
      </c>
      <c r="T51" s="81" t="str">
        <f t="shared" si="6"/>
        <v>N/TRANSITA</v>
      </c>
    </row>
    <row r="52" spans="2:20" ht="14.25" customHeight="1" x14ac:dyDescent="0.3">
      <c r="B52" s="33">
        <v>44</v>
      </c>
      <c r="C52" s="127" t="s">
        <v>110</v>
      </c>
      <c r="D52" s="60"/>
      <c r="E52" s="85">
        <v>12</v>
      </c>
      <c r="F52" s="86">
        <v>7.5</v>
      </c>
      <c r="G52" s="104"/>
      <c r="H52" s="40">
        <f t="shared" si="1"/>
        <v>9.75</v>
      </c>
      <c r="I52" s="63" t="str">
        <f t="shared" si="2"/>
        <v>N/TRANSITA</v>
      </c>
      <c r="J52" s="85">
        <v>8</v>
      </c>
      <c r="K52" s="86">
        <v>5</v>
      </c>
      <c r="L52" s="70"/>
      <c r="M52" s="40">
        <f t="shared" si="3"/>
        <v>6.5</v>
      </c>
      <c r="N52" s="63" t="str">
        <f t="shared" si="4"/>
        <v>N/TRANSITA</v>
      </c>
      <c r="O52" s="85"/>
      <c r="P52" s="86"/>
      <c r="Q52" s="70"/>
      <c r="R52" s="40">
        <f t="shared" si="5"/>
        <v>0</v>
      </c>
      <c r="S52" s="41">
        <f t="shared" si="14"/>
        <v>5.416666666666667</v>
      </c>
      <c r="T52" s="81" t="str">
        <f t="shared" si="6"/>
        <v>N/TRANSITA</v>
      </c>
    </row>
    <row r="53" spans="2:20" ht="14.25" customHeight="1" x14ac:dyDescent="0.3">
      <c r="B53" s="33">
        <v>45</v>
      </c>
      <c r="C53" s="127" t="s">
        <v>111</v>
      </c>
      <c r="D53" s="60"/>
      <c r="E53" s="169"/>
      <c r="F53" s="170"/>
      <c r="G53" s="104"/>
      <c r="H53" s="40">
        <f t="shared" si="1"/>
        <v>0</v>
      </c>
      <c r="I53" s="63" t="str">
        <f t="shared" si="2"/>
        <v>N/TRANSITA</v>
      </c>
      <c r="J53" s="169"/>
      <c r="K53" s="170"/>
      <c r="L53" s="70"/>
      <c r="M53" s="40">
        <f t="shared" si="3"/>
        <v>0</v>
      </c>
      <c r="N53" s="63" t="str">
        <f t="shared" si="4"/>
        <v>N/TRANSITA</v>
      </c>
      <c r="O53" s="85"/>
      <c r="P53" s="86"/>
      <c r="Q53" s="70"/>
      <c r="R53" s="40">
        <f t="shared" si="5"/>
        <v>0</v>
      </c>
      <c r="S53" s="41">
        <f t="shared" si="14"/>
        <v>0</v>
      </c>
      <c r="T53" s="81" t="str">
        <f t="shared" si="6"/>
        <v>N/TRANSITA</v>
      </c>
    </row>
    <row r="54" spans="2:20" ht="14.25" customHeight="1" x14ac:dyDescent="0.3">
      <c r="B54" s="33">
        <v>46</v>
      </c>
      <c r="C54" s="127" t="s">
        <v>112</v>
      </c>
      <c r="D54" s="60"/>
      <c r="E54" s="85"/>
      <c r="F54" s="86">
        <v>2</v>
      </c>
      <c r="G54" s="104"/>
      <c r="H54" s="40">
        <f t="shared" si="1"/>
        <v>2</v>
      </c>
      <c r="I54" s="63" t="str">
        <f t="shared" si="2"/>
        <v>N/TRANSITA</v>
      </c>
      <c r="J54" s="85">
        <v>13</v>
      </c>
      <c r="K54" s="86">
        <v>2.5</v>
      </c>
      <c r="L54" s="70"/>
      <c r="M54" s="40">
        <f t="shared" si="3"/>
        <v>7.75</v>
      </c>
      <c r="N54" s="63" t="str">
        <f t="shared" si="4"/>
        <v>N/TRANSITA</v>
      </c>
      <c r="O54" s="85"/>
      <c r="P54" s="86"/>
      <c r="Q54" s="70"/>
      <c r="R54" s="40">
        <f t="shared" si="5"/>
        <v>0</v>
      </c>
      <c r="S54" s="41">
        <f t="shared" si="14"/>
        <v>3.25</v>
      </c>
      <c r="T54" s="81" t="str">
        <f t="shared" si="6"/>
        <v>N/TRANSITA</v>
      </c>
    </row>
    <row r="55" spans="2:20" ht="14.25" customHeight="1" x14ac:dyDescent="0.3">
      <c r="B55" s="33">
        <v>47</v>
      </c>
      <c r="C55" s="127" t="s">
        <v>141</v>
      </c>
      <c r="D55" s="60"/>
      <c r="E55" s="85"/>
      <c r="F55" s="86"/>
      <c r="G55" s="104"/>
      <c r="H55" s="40">
        <f t="shared" si="1"/>
        <v>0</v>
      </c>
      <c r="I55" s="63" t="str">
        <f t="shared" si="2"/>
        <v>N/TRANSITA</v>
      </c>
      <c r="J55" s="85">
        <v>8</v>
      </c>
      <c r="K55" s="86">
        <v>2</v>
      </c>
      <c r="L55" s="70"/>
      <c r="M55" s="40">
        <f t="shared" ref="M55:M56" si="22">AVERAGE(J55,MAX(K55:L55))</f>
        <v>5</v>
      </c>
      <c r="N55" s="63" t="str">
        <f t="shared" ref="N55:N56" si="23">IF(M55&gt;=10,"TRANSITA","N/TRANSITA")</f>
        <v>N/TRANSITA</v>
      </c>
      <c r="O55" s="85"/>
      <c r="P55" s="86"/>
      <c r="Q55" s="70"/>
      <c r="R55" s="40">
        <f t="shared" ref="R55:R56" si="24">AVERAGE(O55,MAX(P55:Q55))</f>
        <v>0</v>
      </c>
      <c r="S55" s="41">
        <f t="shared" ref="S55:S56" si="25">SUM(H55,M55,R55)/3</f>
        <v>1.6666666666666667</v>
      </c>
      <c r="T55" s="81" t="str">
        <f t="shared" ref="T55:T56" si="26">IF(S55&gt;=10,"TRANSITA","N/TRANSITA")</f>
        <v>N/TRANSITA</v>
      </c>
    </row>
    <row r="56" spans="2:20" ht="14.25" customHeight="1" x14ac:dyDescent="0.3">
      <c r="B56" s="33">
        <v>48</v>
      </c>
      <c r="C56" s="127" t="s">
        <v>113</v>
      </c>
      <c r="D56" s="60"/>
      <c r="E56" s="169"/>
      <c r="F56" s="170"/>
      <c r="G56" s="104"/>
      <c r="H56" s="40">
        <f t="shared" si="1"/>
        <v>0</v>
      </c>
      <c r="I56" s="63" t="str">
        <f t="shared" si="2"/>
        <v>N/TRANSITA</v>
      </c>
      <c r="J56" s="169"/>
      <c r="K56" s="170"/>
      <c r="L56" s="70"/>
      <c r="M56" s="40">
        <f t="shared" si="22"/>
        <v>0</v>
      </c>
      <c r="N56" s="63" t="str">
        <f t="shared" si="23"/>
        <v>N/TRANSITA</v>
      </c>
      <c r="O56" s="85"/>
      <c r="P56" s="86"/>
      <c r="Q56" s="70"/>
      <c r="R56" s="40">
        <f t="shared" si="24"/>
        <v>0</v>
      </c>
      <c r="S56" s="41">
        <f t="shared" si="25"/>
        <v>0</v>
      </c>
      <c r="T56" s="81" t="str">
        <f t="shared" si="26"/>
        <v>N/TRANSITA</v>
      </c>
    </row>
    <row r="57" spans="2:20" ht="14.25" customHeight="1" x14ac:dyDescent="0.3">
      <c r="B57" s="33">
        <v>49</v>
      </c>
      <c r="C57" s="127" t="s">
        <v>114</v>
      </c>
      <c r="D57" s="60"/>
      <c r="E57" s="85">
        <v>13</v>
      </c>
      <c r="F57" s="86">
        <v>6</v>
      </c>
      <c r="G57" s="104"/>
      <c r="H57" s="40">
        <f t="shared" si="1"/>
        <v>9.5</v>
      </c>
      <c r="I57" s="63" t="str">
        <f t="shared" si="2"/>
        <v>N/TRANSITA</v>
      </c>
      <c r="J57" s="85">
        <v>12</v>
      </c>
      <c r="K57" s="86">
        <v>5</v>
      </c>
      <c r="L57" s="70"/>
      <c r="M57" s="40">
        <f t="shared" ref="M57:M63" si="27">AVERAGE(J57,MAX(K57:L57))</f>
        <v>8.5</v>
      </c>
      <c r="N57" s="63" t="str">
        <f t="shared" ref="N57:N63" si="28">IF(M57&gt;=10,"TRANSITA","N/TRANSITA")</f>
        <v>N/TRANSITA</v>
      </c>
      <c r="O57" s="85"/>
      <c r="P57" s="86"/>
      <c r="Q57" s="70"/>
      <c r="R57" s="40">
        <f t="shared" ref="R57:R63" si="29">AVERAGE(O57,MAX(P57:Q57))</f>
        <v>0</v>
      </c>
      <c r="S57" s="41">
        <f t="shared" ref="S57:S63" si="30">SUM(H57,M57,R57)/3</f>
        <v>6</v>
      </c>
      <c r="T57" s="81" t="str">
        <f t="shared" ref="T57:T63" si="31">IF(S57&gt;=10,"TRANSITA","N/TRANSITA")</f>
        <v>N/TRANSITA</v>
      </c>
    </row>
    <row r="58" spans="2:20" ht="14.25" customHeight="1" x14ac:dyDescent="0.3">
      <c r="B58" s="33">
        <v>50</v>
      </c>
      <c r="C58" s="127" t="s">
        <v>115</v>
      </c>
      <c r="D58" s="60"/>
      <c r="E58" s="85">
        <v>15</v>
      </c>
      <c r="F58" s="86">
        <v>10.5</v>
      </c>
      <c r="G58" s="104"/>
      <c r="H58" s="40">
        <f t="shared" si="1"/>
        <v>12.75</v>
      </c>
      <c r="I58" s="63" t="str">
        <f t="shared" si="2"/>
        <v>TRANSITA</v>
      </c>
      <c r="J58" s="85">
        <v>15</v>
      </c>
      <c r="K58" s="86">
        <v>5</v>
      </c>
      <c r="L58" s="70"/>
      <c r="M58" s="40">
        <f t="shared" si="27"/>
        <v>10</v>
      </c>
      <c r="N58" s="63" t="str">
        <f t="shared" si="28"/>
        <v>TRANSITA</v>
      </c>
      <c r="O58" s="85"/>
      <c r="P58" s="86"/>
      <c r="Q58" s="70"/>
      <c r="R58" s="40">
        <f t="shared" si="29"/>
        <v>0</v>
      </c>
      <c r="S58" s="41">
        <f t="shared" si="30"/>
        <v>7.583333333333333</v>
      </c>
      <c r="T58" s="81" t="str">
        <f t="shared" si="31"/>
        <v>N/TRANSITA</v>
      </c>
    </row>
    <row r="59" spans="2:20" ht="14.25" customHeight="1" x14ac:dyDescent="0.3">
      <c r="B59" s="33">
        <v>51</v>
      </c>
      <c r="C59" s="127" t="s">
        <v>116</v>
      </c>
      <c r="D59" s="60"/>
      <c r="E59" s="169"/>
      <c r="F59" s="170"/>
      <c r="G59" s="104"/>
      <c r="H59" s="40">
        <f t="shared" si="1"/>
        <v>0</v>
      </c>
      <c r="I59" s="63" t="str">
        <f t="shared" si="2"/>
        <v>N/TRANSITA</v>
      </c>
      <c r="J59" s="169"/>
      <c r="K59" s="170"/>
      <c r="L59" s="70"/>
      <c r="M59" s="40">
        <f t="shared" si="27"/>
        <v>0</v>
      </c>
      <c r="N59" s="63" t="str">
        <f t="shared" si="28"/>
        <v>N/TRANSITA</v>
      </c>
      <c r="O59" s="85"/>
      <c r="P59" s="86"/>
      <c r="Q59" s="70"/>
      <c r="R59" s="40">
        <f t="shared" si="29"/>
        <v>0</v>
      </c>
      <c r="S59" s="41">
        <f t="shared" si="30"/>
        <v>0</v>
      </c>
      <c r="T59" s="81" t="str">
        <f t="shared" si="31"/>
        <v>N/TRANSITA</v>
      </c>
    </row>
    <row r="60" spans="2:20" ht="14.25" customHeight="1" x14ac:dyDescent="0.3">
      <c r="B60" s="33">
        <v>52</v>
      </c>
      <c r="C60" s="127" t="s">
        <v>117</v>
      </c>
      <c r="D60" s="60"/>
      <c r="E60" s="169"/>
      <c r="F60" s="170"/>
      <c r="G60" s="104"/>
      <c r="H60" s="40">
        <f t="shared" si="1"/>
        <v>0</v>
      </c>
      <c r="I60" s="63" t="str">
        <f t="shared" si="2"/>
        <v>N/TRANSITA</v>
      </c>
      <c r="J60" s="85">
        <v>8</v>
      </c>
      <c r="K60" s="86">
        <v>2.5</v>
      </c>
      <c r="L60" s="70"/>
      <c r="M60" s="40">
        <f t="shared" si="27"/>
        <v>5.25</v>
      </c>
      <c r="N60" s="63" t="str">
        <f t="shared" si="28"/>
        <v>N/TRANSITA</v>
      </c>
      <c r="O60" s="85"/>
      <c r="P60" s="86"/>
      <c r="Q60" s="70"/>
      <c r="R60" s="40">
        <f t="shared" si="29"/>
        <v>0</v>
      </c>
      <c r="S60" s="41">
        <f t="shared" si="30"/>
        <v>1.75</v>
      </c>
      <c r="T60" s="81" t="str">
        <f t="shared" si="31"/>
        <v>N/TRANSITA</v>
      </c>
    </row>
    <row r="61" spans="2:20" ht="14.25" customHeight="1" x14ac:dyDescent="0.3">
      <c r="B61" s="33">
        <v>53</v>
      </c>
      <c r="C61" s="127" t="s">
        <v>118</v>
      </c>
      <c r="D61" s="60"/>
      <c r="E61" s="85">
        <v>12</v>
      </c>
      <c r="F61" s="86"/>
      <c r="G61" s="104"/>
      <c r="H61" s="40">
        <f t="shared" si="1"/>
        <v>6</v>
      </c>
      <c r="I61" s="63" t="str">
        <f t="shared" si="2"/>
        <v>N/TRANSITA</v>
      </c>
      <c r="J61" s="169"/>
      <c r="K61" s="170"/>
      <c r="L61" s="70"/>
      <c r="M61" s="40">
        <f t="shared" si="27"/>
        <v>0</v>
      </c>
      <c r="N61" s="63" t="str">
        <f t="shared" si="28"/>
        <v>N/TRANSITA</v>
      </c>
      <c r="O61" s="85"/>
      <c r="P61" s="86"/>
      <c r="Q61" s="70"/>
      <c r="R61" s="40">
        <f t="shared" si="29"/>
        <v>0</v>
      </c>
      <c r="S61" s="41">
        <f t="shared" si="30"/>
        <v>2</v>
      </c>
      <c r="T61" s="81" t="str">
        <f t="shared" si="31"/>
        <v>N/TRANSITA</v>
      </c>
    </row>
    <row r="62" spans="2:20" ht="14.25" customHeight="1" x14ac:dyDescent="0.3">
      <c r="B62" s="33">
        <v>54</v>
      </c>
      <c r="C62" s="128" t="s">
        <v>119</v>
      </c>
      <c r="D62" s="60"/>
      <c r="E62" s="85">
        <v>13</v>
      </c>
      <c r="F62" s="86">
        <v>2</v>
      </c>
      <c r="G62" s="104"/>
      <c r="H62" s="40">
        <f t="shared" si="1"/>
        <v>7.5</v>
      </c>
      <c r="I62" s="63" t="str">
        <f t="shared" si="2"/>
        <v>N/TRANSITA</v>
      </c>
      <c r="J62" s="169"/>
      <c r="K62" s="170"/>
      <c r="L62" s="70"/>
      <c r="M62" s="40">
        <f t="shared" si="27"/>
        <v>0</v>
      </c>
      <c r="N62" s="63" t="str">
        <f t="shared" si="28"/>
        <v>N/TRANSITA</v>
      </c>
      <c r="O62" s="85"/>
      <c r="P62" s="86"/>
      <c r="Q62" s="70"/>
      <c r="R62" s="40">
        <f t="shared" si="29"/>
        <v>0</v>
      </c>
      <c r="S62" s="41">
        <f t="shared" si="30"/>
        <v>2.5</v>
      </c>
      <c r="T62" s="81" t="str">
        <f t="shared" si="31"/>
        <v>N/TRANSITA</v>
      </c>
    </row>
    <row r="63" spans="2:20" ht="14.25" customHeight="1" x14ac:dyDescent="0.3">
      <c r="B63" s="33">
        <v>55</v>
      </c>
      <c r="C63" s="127" t="s">
        <v>120</v>
      </c>
      <c r="D63" s="60"/>
      <c r="E63" s="85">
        <v>13</v>
      </c>
      <c r="F63" s="86">
        <v>11</v>
      </c>
      <c r="G63" s="104"/>
      <c r="H63" s="40">
        <f t="shared" si="1"/>
        <v>12</v>
      </c>
      <c r="I63" s="63" t="str">
        <f t="shared" si="2"/>
        <v>TRANSITA</v>
      </c>
      <c r="J63" s="85">
        <v>11</v>
      </c>
      <c r="K63" s="86">
        <v>6</v>
      </c>
      <c r="L63" s="70"/>
      <c r="M63" s="40">
        <f t="shared" si="27"/>
        <v>8.5</v>
      </c>
      <c r="N63" s="63" t="str">
        <f t="shared" si="28"/>
        <v>N/TRANSITA</v>
      </c>
      <c r="O63" s="85"/>
      <c r="P63" s="86"/>
      <c r="Q63" s="70"/>
      <c r="R63" s="40">
        <f t="shared" si="29"/>
        <v>0</v>
      </c>
      <c r="S63" s="41">
        <f t="shared" si="30"/>
        <v>6.833333333333333</v>
      </c>
      <c r="T63" s="81" t="str">
        <f t="shared" si="31"/>
        <v>N/TRANSITA</v>
      </c>
    </row>
    <row r="64" spans="2:20" ht="14.25" customHeight="1" x14ac:dyDescent="0.3">
      <c r="B64" s="33">
        <v>56</v>
      </c>
      <c r="C64" s="127" t="s">
        <v>121</v>
      </c>
      <c r="D64" s="60"/>
      <c r="E64" s="85">
        <v>12</v>
      </c>
      <c r="F64" s="86">
        <v>6</v>
      </c>
      <c r="G64" s="104"/>
      <c r="H64" s="40">
        <f t="shared" si="1"/>
        <v>9</v>
      </c>
      <c r="I64" s="63" t="str">
        <f t="shared" si="2"/>
        <v>N/TRANSITA</v>
      </c>
      <c r="J64" s="169"/>
      <c r="K64" s="170"/>
      <c r="L64" s="70"/>
      <c r="M64" s="40">
        <f t="shared" si="3"/>
        <v>0</v>
      </c>
      <c r="N64" s="63" t="str">
        <f t="shared" si="4"/>
        <v>N/TRANSITA</v>
      </c>
      <c r="O64" s="85"/>
      <c r="P64" s="86"/>
      <c r="Q64" s="70"/>
      <c r="R64" s="40">
        <f t="shared" si="5"/>
        <v>0</v>
      </c>
      <c r="S64" s="41">
        <f t="shared" si="14"/>
        <v>3</v>
      </c>
      <c r="T64" s="81" t="str">
        <f t="shared" si="6"/>
        <v>N/TRANSITA</v>
      </c>
    </row>
    <row r="65" spans="1:20" ht="14.25" customHeight="1" x14ac:dyDescent="0.3">
      <c r="B65" s="33">
        <v>57</v>
      </c>
      <c r="C65" s="127" t="s">
        <v>122</v>
      </c>
      <c r="D65" s="61"/>
      <c r="E65" s="169"/>
      <c r="F65" s="170"/>
      <c r="G65" s="104"/>
      <c r="H65" s="40">
        <f t="shared" si="1"/>
        <v>0</v>
      </c>
      <c r="I65" s="63" t="str">
        <f t="shared" si="2"/>
        <v>N/TRANSITA</v>
      </c>
      <c r="J65" s="169"/>
      <c r="K65" s="170"/>
      <c r="L65" s="70"/>
      <c r="M65" s="40">
        <f t="shared" si="3"/>
        <v>0</v>
      </c>
      <c r="N65" s="63" t="str">
        <f t="shared" si="4"/>
        <v>N/TRANSITA</v>
      </c>
      <c r="O65" s="85"/>
      <c r="P65" s="86"/>
      <c r="Q65" s="70"/>
      <c r="R65" s="40">
        <f t="shared" si="5"/>
        <v>0</v>
      </c>
      <c r="S65" s="41">
        <f t="shared" si="14"/>
        <v>0</v>
      </c>
      <c r="T65" s="81" t="str">
        <f t="shared" si="6"/>
        <v>N/TRANSITA</v>
      </c>
    </row>
    <row r="66" spans="1:20" ht="14.25" customHeight="1" x14ac:dyDescent="0.3">
      <c r="B66" s="33">
        <v>58</v>
      </c>
      <c r="C66" s="127" t="s">
        <v>123</v>
      </c>
      <c r="D66" s="60"/>
      <c r="E66" s="85">
        <v>12</v>
      </c>
      <c r="F66" s="86">
        <v>5.5</v>
      </c>
      <c r="G66" s="104"/>
      <c r="H66" s="40">
        <f t="shared" si="1"/>
        <v>8.75</v>
      </c>
      <c r="I66" s="63" t="str">
        <f t="shared" si="2"/>
        <v>N/TRANSITA</v>
      </c>
      <c r="J66" s="85">
        <v>10</v>
      </c>
      <c r="K66" s="86">
        <v>5</v>
      </c>
      <c r="L66" s="70"/>
      <c r="M66" s="40">
        <f t="shared" si="3"/>
        <v>7.5</v>
      </c>
      <c r="N66" s="63" t="str">
        <f t="shared" si="4"/>
        <v>N/TRANSITA</v>
      </c>
      <c r="O66" s="85"/>
      <c r="P66" s="86"/>
      <c r="Q66" s="70"/>
      <c r="R66" s="40">
        <f t="shared" si="5"/>
        <v>0</v>
      </c>
      <c r="S66" s="41">
        <f t="shared" si="14"/>
        <v>5.416666666666667</v>
      </c>
      <c r="T66" s="81" t="str">
        <f t="shared" si="6"/>
        <v>N/TRANSITA</v>
      </c>
    </row>
    <row r="67" spans="1:20" ht="14.25" customHeight="1" x14ac:dyDescent="0.3">
      <c r="B67" s="33">
        <v>59</v>
      </c>
      <c r="C67" s="127" t="s">
        <v>124</v>
      </c>
      <c r="D67" s="60"/>
      <c r="E67" s="85">
        <v>8</v>
      </c>
      <c r="F67" s="86">
        <v>4</v>
      </c>
      <c r="G67" s="104"/>
      <c r="H67" s="40">
        <f t="shared" si="1"/>
        <v>6</v>
      </c>
      <c r="I67" s="63" t="str">
        <f t="shared" si="2"/>
        <v>N/TRANSITA</v>
      </c>
      <c r="J67" s="85">
        <v>14</v>
      </c>
      <c r="K67" s="86">
        <v>6</v>
      </c>
      <c r="L67" s="70"/>
      <c r="M67" s="40">
        <f t="shared" si="3"/>
        <v>10</v>
      </c>
      <c r="N67" s="63" t="str">
        <f t="shared" si="4"/>
        <v>TRANSITA</v>
      </c>
      <c r="O67" s="85"/>
      <c r="P67" s="86"/>
      <c r="Q67" s="70"/>
      <c r="R67" s="40">
        <f t="shared" si="5"/>
        <v>0</v>
      </c>
      <c r="S67" s="41">
        <f t="shared" si="14"/>
        <v>5.333333333333333</v>
      </c>
      <c r="T67" s="81" t="str">
        <f t="shared" si="6"/>
        <v>N/TRANSITA</v>
      </c>
    </row>
    <row r="68" spans="1:20" ht="14.25" customHeight="1" x14ac:dyDescent="0.3">
      <c r="B68" s="33">
        <v>60</v>
      </c>
      <c r="C68" s="128" t="s">
        <v>125</v>
      </c>
      <c r="D68" s="60"/>
      <c r="E68" s="169"/>
      <c r="F68" s="170"/>
      <c r="G68" s="104"/>
      <c r="H68" s="40">
        <f t="shared" si="1"/>
        <v>0</v>
      </c>
      <c r="I68" s="63" t="str">
        <f t="shared" si="2"/>
        <v>N/TRANSITA</v>
      </c>
      <c r="J68" s="85">
        <v>7</v>
      </c>
      <c r="K68" s="86">
        <v>3</v>
      </c>
      <c r="L68" s="70"/>
      <c r="M68" s="40">
        <f t="shared" si="3"/>
        <v>5</v>
      </c>
      <c r="N68" s="63" t="str">
        <f t="shared" si="4"/>
        <v>N/TRANSITA</v>
      </c>
      <c r="O68" s="85"/>
      <c r="P68" s="86"/>
      <c r="Q68" s="70"/>
      <c r="R68" s="40">
        <f t="shared" si="5"/>
        <v>0</v>
      </c>
      <c r="S68" s="41">
        <f t="shared" si="14"/>
        <v>1.6666666666666667</v>
      </c>
      <c r="T68" s="81" t="str">
        <f t="shared" si="6"/>
        <v>N/TRANSITA</v>
      </c>
    </row>
    <row r="69" spans="1:20" ht="14.25" customHeight="1" x14ac:dyDescent="0.3">
      <c r="B69" s="33">
        <v>61</v>
      </c>
      <c r="C69" s="127" t="s">
        <v>126</v>
      </c>
      <c r="D69" s="60"/>
      <c r="E69" s="169"/>
      <c r="F69" s="170"/>
      <c r="G69" s="104"/>
      <c r="H69" s="40">
        <f t="shared" si="1"/>
        <v>0</v>
      </c>
      <c r="I69" s="63" t="str">
        <f t="shared" si="2"/>
        <v>N/TRANSITA</v>
      </c>
      <c r="J69" s="169"/>
      <c r="K69" s="170"/>
      <c r="L69" s="70"/>
      <c r="M69" s="40">
        <f t="shared" si="3"/>
        <v>0</v>
      </c>
      <c r="N69" s="63" t="str">
        <f t="shared" si="4"/>
        <v>N/TRANSITA</v>
      </c>
      <c r="O69" s="85"/>
      <c r="P69" s="86"/>
      <c r="Q69" s="70"/>
      <c r="R69" s="40">
        <f t="shared" si="5"/>
        <v>0</v>
      </c>
      <c r="S69" s="41">
        <f t="shared" si="14"/>
        <v>0</v>
      </c>
      <c r="T69" s="81" t="str">
        <f t="shared" si="6"/>
        <v>N/TRANSITA</v>
      </c>
    </row>
    <row r="70" spans="1:20" ht="14.25" customHeight="1" x14ac:dyDescent="0.3">
      <c r="B70" s="33">
        <v>62</v>
      </c>
      <c r="C70" s="127" t="s">
        <v>127</v>
      </c>
      <c r="D70" s="60"/>
      <c r="E70" s="85">
        <v>8</v>
      </c>
      <c r="F70" s="133"/>
      <c r="G70" s="104"/>
      <c r="H70" s="40">
        <f t="shared" si="1"/>
        <v>4</v>
      </c>
      <c r="I70" s="63" t="str">
        <f t="shared" si="2"/>
        <v>N/TRANSITA</v>
      </c>
      <c r="J70" s="169"/>
      <c r="K70" s="170"/>
      <c r="L70" s="70"/>
      <c r="M70" s="40">
        <f t="shared" si="3"/>
        <v>0</v>
      </c>
      <c r="N70" s="63" t="str">
        <f t="shared" si="4"/>
        <v>N/TRANSITA</v>
      </c>
      <c r="O70" s="85"/>
      <c r="P70" s="86"/>
      <c r="Q70" s="70"/>
      <c r="R70" s="40">
        <f t="shared" si="5"/>
        <v>0</v>
      </c>
      <c r="S70" s="41">
        <f t="shared" si="14"/>
        <v>1.3333333333333333</v>
      </c>
      <c r="T70" s="81" t="str">
        <f t="shared" si="6"/>
        <v>N/TRANSITA</v>
      </c>
    </row>
    <row r="71" spans="1:20" ht="14.25" customHeight="1" thickBot="1" x14ac:dyDescent="0.35">
      <c r="B71" s="33">
        <v>63</v>
      </c>
      <c r="C71" s="129" t="s">
        <v>128</v>
      </c>
      <c r="D71" s="62"/>
      <c r="E71" s="87">
        <v>12</v>
      </c>
      <c r="F71" s="88">
        <v>11</v>
      </c>
      <c r="G71" s="105"/>
      <c r="H71" s="156">
        <f t="shared" si="1"/>
        <v>11.5</v>
      </c>
      <c r="I71" s="75" t="str">
        <f t="shared" si="2"/>
        <v>TRANSITA</v>
      </c>
      <c r="J71" s="202"/>
      <c r="K71" s="203"/>
      <c r="L71" s="71"/>
      <c r="M71" s="156">
        <f t="shared" si="3"/>
        <v>0</v>
      </c>
      <c r="N71" s="75" t="str">
        <f t="shared" si="4"/>
        <v>N/TRANSITA</v>
      </c>
      <c r="O71" s="87"/>
      <c r="P71" s="88"/>
      <c r="Q71" s="71"/>
      <c r="R71" s="156">
        <f t="shared" si="5"/>
        <v>0</v>
      </c>
      <c r="S71" s="42">
        <f t="shared" si="14"/>
        <v>3.8333333333333335</v>
      </c>
      <c r="T71" s="82" t="str">
        <f t="shared" si="6"/>
        <v>N/TRANSITA</v>
      </c>
    </row>
    <row r="72" spans="1:20" ht="93.75" customHeight="1" thickTop="1" x14ac:dyDescent="0.3">
      <c r="B72" s="19"/>
      <c r="C72" s="19"/>
      <c r="D72" s="19"/>
      <c r="E72" s="19"/>
      <c r="F72" s="19"/>
      <c r="G72" s="19"/>
      <c r="H72" s="19"/>
      <c r="I72" s="19"/>
      <c r="J72" s="19"/>
      <c r="O72" s="19"/>
      <c r="P72" s="19"/>
      <c r="Q72" s="19"/>
      <c r="R72" s="19"/>
      <c r="S72" s="19"/>
      <c r="T72" s="19"/>
    </row>
    <row r="73" spans="1:20" ht="20.25" customHeight="1" x14ac:dyDescent="0.45">
      <c r="A73" s="20"/>
      <c r="B73" s="20"/>
      <c r="C73" s="20"/>
      <c r="D73" s="20"/>
      <c r="E73" s="20"/>
      <c r="F73" s="20"/>
      <c r="G73" s="20"/>
      <c r="H73" s="20"/>
      <c r="I73" s="20"/>
      <c r="J73" s="20"/>
      <c r="O73" s="20"/>
      <c r="P73" s="21"/>
      <c r="Q73" s="21"/>
      <c r="R73" s="21"/>
      <c r="S73" s="20"/>
      <c r="T73" s="20"/>
    </row>
    <row r="74" spans="1:20" ht="15.6" x14ac:dyDescent="0.3">
      <c r="A74" s="253" t="s">
        <v>56</v>
      </c>
      <c r="B74" s="253"/>
      <c r="C74" s="253"/>
      <c r="D74" s="253"/>
      <c r="E74" s="253"/>
      <c r="F74" s="22"/>
      <c r="G74" s="22"/>
      <c r="H74" s="22"/>
      <c r="I74" s="22"/>
      <c r="J74" s="22"/>
      <c r="K74" s="23"/>
      <c r="L74" s="23"/>
      <c r="M74" s="23"/>
      <c r="N74" s="23"/>
      <c r="O74" s="253" t="s">
        <v>9</v>
      </c>
      <c r="P74" s="253"/>
      <c r="Q74" s="253"/>
      <c r="R74" s="253"/>
      <c r="S74" s="253"/>
      <c r="T74" s="253"/>
    </row>
    <row r="75" spans="1:20" ht="15.6" x14ac:dyDescent="0.3">
      <c r="A75" s="254" t="s">
        <v>22</v>
      </c>
      <c r="B75" s="254"/>
      <c r="C75" s="254"/>
      <c r="D75" s="254"/>
      <c r="E75" s="254"/>
      <c r="F75" s="24"/>
      <c r="G75" s="24"/>
      <c r="H75" s="24"/>
      <c r="I75" s="24"/>
      <c r="J75" s="24"/>
      <c r="O75" s="255" t="s">
        <v>23</v>
      </c>
      <c r="P75" s="255"/>
      <c r="Q75" s="255"/>
      <c r="R75" s="255"/>
      <c r="S75" s="255"/>
      <c r="T75" s="255"/>
    </row>
    <row r="76" spans="1:20" x14ac:dyDescent="0.3">
      <c r="A76" s="247"/>
      <c r="B76" s="247"/>
      <c r="C76" s="247"/>
      <c r="D76" s="247"/>
      <c r="E76" s="247"/>
      <c r="O76" s="247" t="s">
        <v>24</v>
      </c>
      <c r="P76" s="247"/>
      <c r="Q76" s="247"/>
      <c r="R76" s="247"/>
      <c r="S76" s="247"/>
      <c r="T76" s="247"/>
    </row>
  </sheetData>
  <mergeCells count="22">
    <mergeCell ref="A76:E76"/>
    <mergeCell ref="O76:T76"/>
    <mergeCell ref="S7:S8"/>
    <mergeCell ref="T7:T8"/>
    <mergeCell ref="A74:E74"/>
    <mergeCell ref="O74:T74"/>
    <mergeCell ref="A75:E75"/>
    <mergeCell ref="O75:T75"/>
    <mergeCell ref="B7:B8"/>
    <mergeCell ref="C7:C8"/>
    <mergeCell ref="E7:H7"/>
    <mergeCell ref="J7:M7"/>
    <mergeCell ref="O7:R7"/>
    <mergeCell ref="I7:I8"/>
    <mergeCell ref="N7:N8"/>
    <mergeCell ref="B6:T6"/>
    <mergeCell ref="B5:C5"/>
    <mergeCell ref="A1:T1"/>
    <mergeCell ref="B3:R3"/>
    <mergeCell ref="B4:C4"/>
    <mergeCell ref="P4:T4"/>
    <mergeCell ref="N5:T5"/>
  </mergeCells>
  <conditionalFormatting sqref="S9:S71">
    <cfRule type="cellIs" dxfId="123" priority="159" stopIfTrue="1" operator="greaterThan">
      <formula>9.5</formula>
    </cfRule>
    <cfRule type="cellIs" dxfId="122" priority="160" stopIfTrue="1" operator="lessThanOrEqual">
      <formula>9.5</formula>
    </cfRule>
  </conditionalFormatting>
  <conditionalFormatting sqref="M9:M71 R9:R71">
    <cfRule type="cellIs" dxfId="121" priority="125" stopIfTrue="1" operator="lessThan">
      <formula>10</formula>
    </cfRule>
    <cfRule type="cellIs" dxfId="120" priority="126" stopIfTrue="1" operator="greaterThanOrEqual">
      <formula>10</formula>
    </cfRule>
  </conditionalFormatting>
  <conditionalFormatting sqref="L9:L71 O9:Q71">
    <cfRule type="cellIs" dxfId="119" priority="61" stopIfTrue="1" operator="lessThan">
      <formula>10</formula>
    </cfRule>
    <cfRule type="cellIs" dxfId="118" priority="62" stopIfTrue="1" operator="greaterThan">
      <formula>9</formula>
    </cfRule>
    <cfRule type="cellIs" dxfId="117" priority="63" stopIfTrue="1" operator="lessThan">
      <formula>10</formula>
    </cfRule>
    <cfRule type="cellIs" dxfId="116" priority="64" stopIfTrue="1" operator="greaterThan">
      <formula>9</formula>
    </cfRule>
  </conditionalFormatting>
  <conditionalFormatting sqref="H9:H71">
    <cfRule type="cellIs" dxfId="115" priority="15" stopIfTrue="1" operator="lessThan">
      <formula>10</formula>
    </cfRule>
    <cfRule type="cellIs" dxfId="114" priority="16" stopIfTrue="1" operator="greaterThanOrEqual">
      <formula>10</formula>
    </cfRule>
  </conditionalFormatting>
  <conditionalFormatting sqref="G17:G71 J9:K71">
    <cfRule type="cellIs" dxfId="113" priority="9" stopIfTrue="1" operator="lessThan">
      <formula>10</formula>
    </cfRule>
    <cfRule type="cellIs" dxfId="112" priority="10" stopIfTrue="1" operator="greaterThan">
      <formula>9</formula>
    </cfRule>
    <cfRule type="cellIs" dxfId="111" priority="11" stopIfTrue="1" operator="lessThan">
      <formula>10</formula>
    </cfRule>
    <cfRule type="cellIs" dxfId="110" priority="12" stopIfTrue="1" operator="greaterThan">
      <formula>9</formula>
    </cfRule>
  </conditionalFormatting>
  <conditionalFormatting sqref="G9:G16">
    <cfRule type="cellIs" dxfId="109" priority="5" stopIfTrue="1" operator="lessThan">
      <formula>10</formula>
    </cfRule>
    <cfRule type="cellIs" dxfId="108" priority="6" stopIfTrue="1" operator="greaterThan">
      <formula>9</formula>
    </cfRule>
    <cfRule type="cellIs" dxfId="107" priority="7" stopIfTrue="1" operator="lessThan">
      <formula>10</formula>
    </cfRule>
    <cfRule type="cellIs" dxfId="106" priority="8" stopIfTrue="1" operator="greaterThan">
      <formula>9</formula>
    </cfRule>
  </conditionalFormatting>
  <conditionalFormatting sqref="E9:F71">
    <cfRule type="cellIs" dxfId="105" priority="2" stopIfTrue="1" operator="greaterThan">
      <formula>9</formula>
    </cfRule>
    <cfRule type="cellIs" dxfId="104" priority="3" stopIfTrue="1" operator="lessThan">
      <formula>10</formula>
    </cfRule>
    <cfRule type="cellIs" dxfId="103" priority="4" stopIfTrue="1" operator="greaterThan">
      <formula>9</formula>
    </cfRule>
  </conditionalFormatting>
  <conditionalFormatting sqref="E9:F71">
    <cfRule type="cellIs" dxfId="102" priority="1" stopIfTrue="1" operator="lessThan">
      <formula>10</formula>
    </cfRule>
  </conditionalFormatting>
  <dataValidations count="1">
    <dataValidation type="decimal" allowBlank="1" showInputMessage="1" showErrorMessage="1" errorTitle="ATENÇÃO!" error="O valor introduzido não é válido. Grato!" sqref="J9:L71 O9:Q71 E9:G71">
      <formula1>0</formula1>
      <formula2>20</formula2>
    </dataValidation>
  </dataValidations>
  <pageMargins left="0.15748031496062992" right="0.51181102362204722" top="0.15748031496062992" bottom="0.15748031496062992" header="0.31496062992125984" footer="0.15748031496062992"/>
  <pageSetup paperSize="9" scale="95" orientation="portrait" verticalDpi="4294967293" r:id="rId1"/>
  <drawing r:id="rId2"/>
  <legacyDrawing r:id="rId3"/>
  <oleObjects>
    <mc:AlternateContent xmlns:mc="http://schemas.openxmlformats.org/markup-compatibility/2006">
      <mc:Choice Requires="x14">
        <oleObject progId="Word.Document.8" shapeId="8193" r:id="rId4">
          <objectPr defaultSize="0" r:id="rId5">
            <anchor moveWithCells="1">
              <from>
                <xdr:col>1</xdr:col>
                <xdr:colOff>60960</xdr:colOff>
                <xdr:row>71</xdr:row>
                <xdr:rowOff>160020</xdr:rowOff>
              </from>
              <to>
                <xdr:col>13</xdr:col>
                <xdr:colOff>175260</xdr:colOff>
                <xdr:row>73</xdr:row>
                <xdr:rowOff>22860</xdr:rowOff>
              </to>
            </anchor>
          </objectPr>
        </oleObject>
      </mc:Choice>
      <mc:Fallback>
        <oleObject progId="Word.Document.8" shapeId="8193" r:id="rId4"/>
      </mc:Fallback>
    </mc:AlternateContent>
  </oleObjec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1" stopIfTrue="1" operator="containsText" id="{22AE514C-77C1-4F96-81F7-41CBD81CB32C}">
            <xm:f>NOT(ISERROR(SEARCH("N/TRANSITA",N9)))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72" stopIfTrue="1" operator="containsText" id="{9CF32F0B-644F-471C-BE99-D1891CEC736F}">
            <xm:f>NOT(ISERROR(SEARCH("TRANSITA",N9)))</xm:f>
            <xm:f>"TRANSITA"</xm:f>
            <x14:dxf>
              <font>
                <b/>
                <i val="0"/>
                <color rgb="FF0000FF"/>
              </font>
            </x14:dxf>
          </x14:cfRule>
          <xm:sqref>N9:N71 T9:T71</xm:sqref>
        </x14:conditionalFormatting>
        <x14:conditionalFormatting xmlns:xm="http://schemas.microsoft.com/office/excel/2006/main">
          <x14:cfRule type="containsText" priority="13" stopIfTrue="1" operator="containsText" id="{DDF4FEBE-F769-4382-BECC-CC2A05C2175C}">
            <xm:f>NOT(ISERROR(SEARCH("N/TRANSITA",I9)))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14" stopIfTrue="1" operator="containsText" id="{1B5AB123-CBD4-445F-8988-69D62E104A44}">
            <xm:f>NOT(ISERROR(SEARCH("TRANSITA",I9)))</xm:f>
            <xm:f>"TRANSITA"</xm:f>
            <x14:dxf>
              <font>
                <b/>
                <i val="0"/>
                <color rgb="FF0000FF"/>
              </font>
            </x14:dxf>
          </x14:cfRule>
          <xm:sqref>I9:I71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W76"/>
  <sheetViews>
    <sheetView showGridLines="0" topLeftCell="A52" zoomScale="115" zoomScaleNormal="115" zoomScalePageLayoutView="85" workbookViewId="0">
      <selection activeCell="G71" sqref="G71"/>
    </sheetView>
  </sheetViews>
  <sheetFormatPr defaultRowHeight="14.4" x14ac:dyDescent="0.3"/>
  <cols>
    <col min="1" max="1" width="1.6640625" customWidth="1"/>
    <col min="2" max="2" width="3.6640625" customWidth="1"/>
    <col min="3" max="3" width="35.109375" customWidth="1"/>
    <col min="4" max="4" width="6.44140625" customWidth="1"/>
    <col min="5" max="8" width="5.109375" customWidth="1"/>
    <col min="9" max="9" width="11.109375" customWidth="1"/>
    <col min="10" max="13" width="5.109375" customWidth="1"/>
    <col min="14" max="14" width="11.109375" customWidth="1"/>
    <col min="15" max="18" width="5.109375" customWidth="1"/>
    <col min="19" max="19" width="6" customWidth="1"/>
    <col min="20" max="20" width="11.5546875" customWidth="1"/>
    <col min="21" max="21" width="3.44140625" customWidth="1"/>
    <col min="22" max="22" width="5" customWidth="1"/>
  </cols>
  <sheetData>
    <row r="1" spans="1:23" ht="30" customHeight="1" x14ac:dyDescent="0.3">
      <c r="A1" s="246" t="s">
        <v>48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</row>
    <row r="2" spans="1:23" ht="30" customHeight="1" x14ac:dyDescent="0.3"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23" ht="12" customHeight="1" x14ac:dyDescent="0.3">
      <c r="B3" s="247"/>
      <c r="C3" s="247"/>
      <c r="D3" s="247"/>
      <c r="E3" s="247"/>
      <c r="F3" s="247"/>
      <c r="G3" s="247"/>
      <c r="H3" s="247"/>
      <c r="I3" s="247"/>
      <c r="J3" s="247"/>
      <c r="K3" s="247"/>
      <c r="L3" s="247"/>
      <c r="M3" s="247"/>
      <c r="N3" s="247"/>
      <c r="O3" s="247"/>
      <c r="P3" s="247"/>
      <c r="Q3" s="247"/>
      <c r="R3" s="247"/>
    </row>
    <row r="4" spans="1:23" ht="17.399999999999999" customHeight="1" x14ac:dyDescent="0.3">
      <c r="B4" s="248" t="s">
        <v>68</v>
      </c>
      <c r="C4" s="248"/>
      <c r="D4" s="31"/>
      <c r="F4" s="76"/>
      <c r="G4" s="76"/>
      <c r="I4" s="76" t="s">
        <v>29</v>
      </c>
      <c r="J4" s="76"/>
      <c r="K4" s="76"/>
      <c r="L4" s="76"/>
      <c r="M4" s="76"/>
      <c r="N4" s="31"/>
      <c r="P4" s="250" t="s">
        <v>61</v>
      </c>
      <c r="Q4" s="250"/>
      <c r="R4" s="250"/>
      <c r="S4" s="250"/>
      <c r="T4" s="250"/>
    </row>
    <row r="5" spans="1:23" ht="18" customHeight="1" x14ac:dyDescent="0.3">
      <c r="B5" s="248" t="s">
        <v>51</v>
      </c>
      <c r="C5" s="248"/>
      <c r="D5" s="31"/>
      <c r="E5" s="77" t="s">
        <v>58</v>
      </c>
      <c r="F5" s="77"/>
      <c r="I5" s="77" t="s">
        <v>67</v>
      </c>
      <c r="J5" s="77"/>
      <c r="K5" s="77"/>
      <c r="N5" s="249" t="s">
        <v>66</v>
      </c>
      <c r="O5" s="249"/>
      <c r="P5" s="249"/>
      <c r="Q5" s="249"/>
      <c r="R5" s="249"/>
      <c r="S5" s="249"/>
      <c r="T5" s="249"/>
    </row>
    <row r="6" spans="1:23" ht="34.5" customHeight="1" thickBot="1" x14ac:dyDescent="1.05">
      <c r="B6" s="263" t="s">
        <v>45</v>
      </c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5"/>
    </row>
    <row r="7" spans="1:23" ht="19.5" customHeight="1" thickTop="1" x14ac:dyDescent="0.3">
      <c r="B7" s="256" t="s">
        <v>39</v>
      </c>
      <c r="C7" s="258" t="s">
        <v>14</v>
      </c>
      <c r="D7" s="43" t="s">
        <v>43</v>
      </c>
      <c r="E7" s="260" t="s">
        <v>40</v>
      </c>
      <c r="F7" s="261"/>
      <c r="G7" s="261"/>
      <c r="H7" s="262"/>
      <c r="I7" s="244" t="s">
        <v>16</v>
      </c>
      <c r="J7" s="260" t="s">
        <v>41</v>
      </c>
      <c r="K7" s="261"/>
      <c r="L7" s="261"/>
      <c r="M7" s="262"/>
      <c r="N7" s="244" t="s">
        <v>16</v>
      </c>
      <c r="O7" s="260" t="s">
        <v>42</v>
      </c>
      <c r="P7" s="261"/>
      <c r="Q7" s="261"/>
      <c r="R7" s="262"/>
      <c r="S7" s="251" t="s">
        <v>15</v>
      </c>
      <c r="T7" s="244" t="s">
        <v>16</v>
      </c>
    </row>
    <row r="8" spans="1:23" ht="20.25" customHeight="1" thickBot="1" x14ac:dyDescent="0.35">
      <c r="B8" s="257"/>
      <c r="C8" s="259"/>
      <c r="D8" s="44" t="s">
        <v>44</v>
      </c>
      <c r="E8" s="36" t="s">
        <v>17</v>
      </c>
      <c r="F8" s="35" t="s">
        <v>18</v>
      </c>
      <c r="G8" s="35" t="s">
        <v>38</v>
      </c>
      <c r="H8" s="37" t="s">
        <v>19</v>
      </c>
      <c r="I8" s="245"/>
      <c r="J8" s="36" t="s">
        <v>17</v>
      </c>
      <c r="K8" s="35" t="s">
        <v>18</v>
      </c>
      <c r="L8" s="35" t="s">
        <v>38</v>
      </c>
      <c r="M8" s="37" t="s">
        <v>20</v>
      </c>
      <c r="N8" s="245"/>
      <c r="O8" s="36" t="s">
        <v>17</v>
      </c>
      <c r="P8" s="35" t="s">
        <v>18</v>
      </c>
      <c r="Q8" s="35" t="s">
        <v>38</v>
      </c>
      <c r="R8" s="37" t="s">
        <v>21</v>
      </c>
      <c r="S8" s="252"/>
      <c r="T8" s="245"/>
    </row>
    <row r="9" spans="1:23" ht="14.25" customHeight="1" thickTop="1" x14ac:dyDescent="0.3">
      <c r="B9" s="135">
        <v>1</v>
      </c>
      <c r="C9" s="126" t="s">
        <v>69</v>
      </c>
      <c r="D9" s="136"/>
      <c r="E9" s="157">
        <v>15</v>
      </c>
      <c r="F9" s="158">
        <v>5</v>
      </c>
      <c r="G9" s="159"/>
      <c r="H9" s="150">
        <f>AVERAGE(E9,MAX(F9:G9))</f>
        <v>10</v>
      </c>
      <c r="I9" s="151" t="str">
        <f>IF(H9&gt;=10,"TRANSITA","N/TRANSITA")</f>
        <v>TRANSITA</v>
      </c>
      <c r="J9" s="157">
        <v>14</v>
      </c>
      <c r="K9" s="158">
        <v>13</v>
      </c>
      <c r="L9" s="158"/>
      <c r="M9" s="150">
        <f>AVERAGE(J9,MAX(K9:L9))</f>
        <v>13.5</v>
      </c>
      <c r="N9" s="151" t="str">
        <f>IF(M9&gt;=10,"TRANSITA","N/TRANSITA")</f>
        <v>TRANSITA</v>
      </c>
      <c r="O9" s="157"/>
      <c r="P9" s="158"/>
      <c r="Q9" s="149"/>
      <c r="R9" s="150">
        <f>AVERAGE(O9,MAX(P9:Q9))</f>
        <v>0</v>
      </c>
      <c r="S9" s="155">
        <f t="shared" ref="S9:S41" si="0">SUM(H9,M9,R9)/3</f>
        <v>7.833333333333333</v>
      </c>
      <c r="T9" s="80" t="str">
        <f>IF(S9&gt;=10,"TRANSITA","N/TRANSITA")</f>
        <v>N/TRANSITA</v>
      </c>
    </row>
    <row r="10" spans="1:23" ht="14.25" customHeight="1" x14ac:dyDescent="0.3">
      <c r="B10" s="33">
        <v>2</v>
      </c>
      <c r="C10" s="127" t="s">
        <v>70</v>
      </c>
      <c r="D10" s="60"/>
      <c r="E10" s="85">
        <v>17</v>
      </c>
      <c r="F10" s="86">
        <v>3</v>
      </c>
      <c r="G10" s="104"/>
      <c r="H10" s="40">
        <f t="shared" ref="H10:H71" si="1">AVERAGE(E10,MAX(F10:G10))</f>
        <v>10</v>
      </c>
      <c r="I10" s="63" t="str">
        <f t="shared" ref="I10:I71" si="2">IF(H10&gt;=10,"TRANSITA","N/TRANSITA")</f>
        <v>TRANSITA</v>
      </c>
      <c r="J10" s="85">
        <v>11</v>
      </c>
      <c r="K10" s="86"/>
      <c r="L10" s="86"/>
      <c r="M10" s="40">
        <f t="shared" ref="M10:M71" si="3">AVERAGE(J10,MAX(K10:L10))</f>
        <v>5.5</v>
      </c>
      <c r="N10" s="63" t="str">
        <f t="shared" ref="N10:N71" si="4">IF(M10&gt;=10,"TRANSITA","N/TRANSITA")</f>
        <v>N/TRANSITA</v>
      </c>
      <c r="O10" s="85"/>
      <c r="P10" s="86"/>
      <c r="Q10" s="70"/>
      <c r="R10" s="40">
        <f t="shared" ref="R10:R71" si="5">AVERAGE(O10,MAX(P10:Q10))</f>
        <v>0</v>
      </c>
      <c r="S10" s="41">
        <f t="shared" si="0"/>
        <v>5.166666666666667</v>
      </c>
      <c r="T10" s="81" t="str">
        <f t="shared" ref="T10:T71" si="6">IF(S10&gt;=10,"TRANSITA","N/TRANSITA")</f>
        <v>N/TRANSITA</v>
      </c>
    </row>
    <row r="11" spans="1:23" ht="14.25" customHeight="1" x14ac:dyDescent="0.3">
      <c r="B11" s="33">
        <v>3</v>
      </c>
      <c r="C11" s="127" t="s">
        <v>71</v>
      </c>
      <c r="D11" s="60"/>
      <c r="E11" s="85">
        <v>16</v>
      </c>
      <c r="F11" s="86">
        <v>4</v>
      </c>
      <c r="G11" s="104"/>
      <c r="H11" s="40">
        <f t="shared" si="1"/>
        <v>10</v>
      </c>
      <c r="I11" s="63" t="str">
        <f t="shared" si="2"/>
        <v>TRANSITA</v>
      </c>
      <c r="J11" s="85">
        <v>13.5</v>
      </c>
      <c r="K11" s="86">
        <v>10</v>
      </c>
      <c r="L11" s="86"/>
      <c r="M11" s="40">
        <f t="shared" si="3"/>
        <v>11.75</v>
      </c>
      <c r="N11" s="63" t="str">
        <f t="shared" si="4"/>
        <v>TRANSITA</v>
      </c>
      <c r="O11" s="85"/>
      <c r="P11" s="86"/>
      <c r="Q11" s="70"/>
      <c r="R11" s="40">
        <f t="shared" si="5"/>
        <v>0</v>
      </c>
      <c r="S11" s="41">
        <f t="shared" si="0"/>
        <v>7.25</v>
      </c>
      <c r="T11" s="81" t="str">
        <f t="shared" si="6"/>
        <v>N/TRANSITA</v>
      </c>
    </row>
    <row r="12" spans="1:23" ht="14.25" customHeight="1" x14ac:dyDescent="0.3">
      <c r="B12" s="33">
        <v>4</v>
      </c>
      <c r="C12" s="127" t="s">
        <v>72</v>
      </c>
      <c r="D12" s="60"/>
      <c r="E12" s="85">
        <v>16</v>
      </c>
      <c r="F12" s="86">
        <v>14</v>
      </c>
      <c r="G12" s="104"/>
      <c r="H12" s="40">
        <f t="shared" si="1"/>
        <v>15</v>
      </c>
      <c r="I12" s="63" t="str">
        <f t="shared" si="2"/>
        <v>TRANSITA</v>
      </c>
      <c r="J12" s="85"/>
      <c r="K12" s="86"/>
      <c r="L12" s="86"/>
      <c r="M12" s="40">
        <f t="shared" si="3"/>
        <v>0</v>
      </c>
      <c r="N12" s="63" t="str">
        <f t="shared" si="4"/>
        <v>N/TRANSITA</v>
      </c>
      <c r="O12" s="85"/>
      <c r="P12" s="86"/>
      <c r="Q12" s="70"/>
      <c r="R12" s="40">
        <f t="shared" si="5"/>
        <v>0</v>
      </c>
      <c r="S12" s="41">
        <f t="shared" si="0"/>
        <v>5</v>
      </c>
      <c r="T12" s="81" t="str">
        <f t="shared" si="6"/>
        <v>N/TRANSITA</v>
      </c>
    </row>
    <row r="13" spans="1:23" ht="14.25" customHeight="1" x14ac:dyDescent="0.3">
      <c r="B13" s="33">
        <v>5</v>
      </c>
      <c r="C13" s="127" t="s">
        <v>73</v>
      </c>
      <c r="D13" s="60"/>
      <c r="E13" s="85">
        <v>18</v>
      </c>
      <c r="F13" s="86">
        <v>18</v>
      </c>
      <c r="G13" s="104"/>
      <c r="H13" s="40">
        <f t="shared" si="1"/>
        <v>18</v>
      </c>
      <c r="I13" s="63" t="str">
        <f t="shared" si="2"/>
        <v>TRANSITA</v>
      </c>
      <c r="J13" s="85">
        <v>17</v>
      </c>
      <c r="K13" s="86">
        <v>14</v>
      </c>
      <c r="L13" s="86"/>
      <c r="M13" s="40">
        <f t="shared" si="3"/>
        <v>15.5</v>
      </c>
      <c r="N13" s="63" t="str">
        <f t="shared" si="4"/>
        <v>TRANSITA</v>
      </c>
      <c r="O13" s="85"/>
      <c r="P13" s="86"/>
      <c r="Q13" s="70"/>
      <c r="R13" s="40">
        <f t="shared" si="5"/>
        <v>0</v>
      </c>
      <c r="S13" s="41">
        <f t="shared" si="0"/>
        <v>11.166666666666666</v>
      </c>
      <c r="T13" s="81" t="str">
        <f t="shared" si="6"/>
        <v>TRANSITA</v>
      </c>
      <c r="U13" s="18"/>
      <c r="V13" s="18"/>
      <c r="W13" s="18"/>
    </row>
    <row r="14" spans="1:23" ht="14.25" customHeight="1" x14ac:dyDescent="0.3">
      <c r="B14" s="33">
        <v>6</v>
      </c>
      <c r="C14" s="127" t="s">
        <v>74</v>
      </c>
      <c r="D14" s="60"/>
      <c r="E14" s="85">
        <v>16</v>
      </c>
      <c r="F14" s="86">
        <v>4</v>
      </c>
      <c r="G14" s="104"/>
      <c r="H14" s="40">
        <f t="shared" si="1"/>
        <v>10</v>
      </c>
      <c r="I14" s="63" t="str">
        <f t="shared" si="2"/>
        <v>TRANSITA</v>
      </c>
      <c r="J14" s="85"/>
      <c r="K14" s="86"/>
      <c r="L14" s="86"/>
      <c r="M14" s="40">
        <f t="shared" si="3"/>
        <v>0</v>
      </c>
      <c r="N14" s="63" t="str">
        <f t="shared" si="4"/>
        <v>N/TRANSITA</v>
      </c>
      <c r="O14" s="85"/>
      <c r="P14" s="86"/>
      <c r="Q14" s="70"/>
      <c r="R14" s="40">
        <f t="shared" si="5"/>
        <v>0</v>
      </c>
      <c r="S14" s="41">
        <f t="shared" si="0"/>
        <v>3.3333333333333335</v>
      </c>
      <c r="T14" s="81" t="str">
        <f t="shared" si="6"/>
        <v>N/TRANSITA</v>
      </c>
    </row>
    <row r="15" spans="1:23" ht="14.25" customHeight="1" x14ac:dyDescent="0.3">
      <c r="B15" s="33">
        <v>7</v>
      </c>
      <c r="C15" s="127" t="s">
        <v>75</v>
      </c>
      <c r="D15" s="60"/>
      <c r="E15" s="85">
        <v>16</v>
      </c>
      <c r="F15" s="86">
        <v>2</v>
      </c>
      <c r="G15" s="104"/>
      <c r="H15" s="40">
        <f t="shared" si="1"/>
        <v>9</v>
      </c>
      <c r="I15" s="63" t="str">
        <f t="shared" si="2"/>
        <v>N/TRANSITA</v>
      </c>
      <c r="J15" s="85"/>
      <c r="K15" s="86"/>
      <c r="L15" s="86"/>
      <c r="M15" s="40">
        <f t="shared" si="3"/>
        <v>0</v>
      </c>
      <c r="N15" s="63" t="str">
        <f t="shared" si="4"/>
        <v>N/TRANSITA</v>
      </c>
      <c r="O15" s="85"/>
      <c r="P15" s="86"/>
      <c r="Q15" s="70"/>
      <c r="R15" s="40">
        <f t="shared" si="5"/>
        <v>0</v>
      </c>
      <c r="S15" s="41">
        <f t="shared" si="0"/>
        <v>3</v>
      </c>
      <c r="T15" s="81" t="str">
        <f t="shared" si="6"/>
        <v>N/TRANSITA</v>
      </c>
    </row>
    <row r="16" spans="1:23" ht="14.25" customHeight="1" x14ac:dyDescent="0.3">
      <c r="B16" s="33">
        <v>8</v>
      </c>
      <c r="C16" s="127" t="s">
        <v>76</v>
      </c>
      <c r="D16" s="60"/>
      <c r="E16" s="85">
        <v>16</v>
      </c>
      <c r="F16" s="86">
        <v>2</v>
      </c>
      <c r="G16" s="104"/>
      <c r="H16" s="40">
        <f t="shared" si="1"/>
        <v>9</v>
      </c>
      <c r="I16" s="63" t="str">
        <f t="shared" si="2"/>
        <v>N/TRANSITA</v>
      </c>
      <c r="J16" s="85">
        <v>11</v>
      </c>
      <c r="K16" s="86">
        <v>7</v>
      </c>
      <c r="L16" s="86"/>
      <c r="M16" s="40">
        <f t="shared" si="3"/>
        <v>9</v>
      </c>
      <c r="N16" s="63" t="str">
        <f t="shared" si="4"/>
        <v>N/TRANSITA</v>
      </c>
      <c r="O16" s="85"/>
      <c r="P16" s="86"/>
      <c r="Q16" s="70"/>
      <c r="R16" s="40">
        <f t="shared" si="5"/>
        <v>0</v>
      </c>
      <c r="S16" s="41">
        <f t="shared" si="0"/>
        <v>6</v>
      </c>
      <c r="T16" s="81" t="str">
        <f t="shared" si="6"/>
        <v>N/TRANSITA</v>
      </c>
    </row>
    <row r="17" spans="2:20" ht="14.25" customHeight="1" x14ac:dyDescent="0.3">
      <c r="B17" s="33">
        <v>9</v>
      </c>
      <c r="C17" s="127" t="s">
        <v>77</v>
      </c>
      <c r="D17" s="60"/>
      <c r="E17" s="85">
        <v>15</v>
      </c>
      <c r="F17" s="86">
        <v>5</v>
      </c>
      <c r="G17" s="104"/>
      <c r="H17" s="40">
        <f t="shared" si="1"/>
        <v>10</v>
      </c>
      <c r="I17" s="63" t="str">
        <f t="shared" si="2"/>
        <v>TRANSITA</v>
      </c>
      <c r="J17" s="85">
        <v>13</v>
      </c>
      <c r="K17" s="86">
        <v>8</v>
      </c>
      <c r="L17" s="86"/>
      <c r="M17" s="40">
        <f t="shared" si="3"/>
        <v>10.5</v>
      </c>
      <c r="N17" s="63" t="str">
        <f t="shared" si="4"/>
        <v>TRANSITA</v>
      </c>
      <c r="O17" s="85"/>
      <c r="P17" s="86"/>
      <c r="Q17" s="70"/>
      <c r="R17" s="40">
        <f t="shared" si="5"/>
        <v>0</v>
      </c>
      <c r="S17" s="41">
        <f t="shared" si="0"/>
        <v>6.833333333333333</v>
      </c>
      <c r="T17" s="81" t="str">
        <f t="shared" ref="T17:T18" si="7">IF(S17&gt;=10,"TRANSITA","N/TRANSITA")</f>
        <v>N/TRANSITA</v>
      </c>
    </row>
    <row r="18" spans="2:20" ht="14.25" customHeight="1" x14ac:dyDescent="0.3">
      <c r="B18" s="33">
        <v>10</v>
      </c>
      <c r="C18" s="128" t="s">
        <v>78</v>
      </c>
      <c r="D18" s="60"/>
      <c r="E18" s="85">
        <v>16</v>
      </c>
      <c r="F18" s="86">
        <v>2</v>
      </c>
      <c r="G18" s="104"/>
      <c r="H18" s="40">
        <f t="shared" si="1"/>
        <v>9</v>
      </c>
      <c r="I18" s="63" t="str">
        <f t="shared" si="2"/>
        <v>N/TRANSITA</v>
      </c>
      <c r="J18" s="85">
        <v>9</v>
      </c>
      <c r="K18" s="86">
        <v>8</v>
      </c>
      <c r="L18" s="86"/>
      <c r="M18" s="40">
        <f t="shared" si="3"/>
        <v>8.5</v>
      </c>
      <c r="N18" s="63" t="str">
        <f t="shared" si="4"/>
        <v>N/TRANSITA</v>
      </c>
      <c r="O18" s="85"/>
      <c r="P18" s="86"/>
      <c r="Q18" s="70"/>
      <c r="R18" s="40">
        <f t="shared" si="5"/>
        <v>0</v>
      </c>
      <c r="S18" s="41">
        <f t="shared" si="0"/>
        <v>5.833333333333333</v>
      </c>
      <c r="T18" s="81" t="str">
        <f t="shared" si="7"/>
        <v>N/TRANSITA</v>
      </c>
    </row>
    <row r="19" spans="2:20" ht="14.25" customHeight="1" x14ac:dyDescent="0.3">
      <c r="B19" s="33">
        <v>11</v>
      </c>
      <c r="C19" s="127" t="s">
        <v>79</v>
      </c>
      <c r="D19" s="60"/>
      <c r="E19" s="85">
        <v>10</v>
      </c>
      <c r="F19" s="86"/>
      <c r="G19" s="104"/>
      <c r="H19" s="40">
        <f t="shared" si="1"/>
        <v>5</v>
      </c>
      <c r="I19" s="63" t="str">
        <f t="shared" si="2"/>
        <v>N/TRANSITA</v>
      </c>
      <c r="J19" s="85"/>
      <c r="K19" s="86"/>
      <c r="L19" s="86"/>
      <c r="M19" s="40">
        <f t="shared" si="3"/>
        <v>0</v>
      </c>
      <c r="N19" s="63" t="str">
        <f t="shared" si="4"/>
        <v>N/TRANSITA</v>
      </c>
      <c r="O19" s="85"/>
      <c r="P19" s="86"/>
      <c r="Q19" s="70"/>
      <c r="R19" s="40">
        <f t="shared" si="5"/>
        <v>0</v>
      </c>
      <c r="S19" s="41">
        <f t="shared" si="0"/>
        <v>1.6666666666666667</v>
      </c>
      <c r="T19" s="81" t="str">
        <f t="shared" si="6"/>
        <v>N/TRANSITA</v>
      </c>
    </row>
    <row r="20" spans="2:20" ht="14.25" customHeight="1" x14ac:dyDescent="0.3">
      <c r="B20" s="33">
        <v>12</v>
      </c>
      <c r="C20" s="127" t="s">
        <v>80</v>
      </c>
      <c r="D20" s="60"/>
      <c r="E20" s="85">
        <v>12</v>
      </c>
      <c r="F20" s="86">
        <v>12</v>
      </c>
      <c r="G20" s="104"/>
      <c r="H20" s="40">
        <f t="shared" si="1"/>
        <v>12</v>
      </c>
      <c r="I20" s="63" t="str">
        <f t="shared" si="2"/>
        <v>TRANSITA</v>
      </c>
      <c r="J20" s="85">
        <v>10</v>
      </c>
      <c r="K20" s="86">
        <v>9</v>
      </c>
      <c r="L20" s="86"/>
      <c r="M20" s="40">
        <f t="shared" si="3"/>
        <v>9.5</v>
      </c>
      <c r="N20" s="63" t="str">
        <f t="shared" si="4"/>
        <v>N/TRANSITA</v>
      </c>
      <c r="O20" s="85"/>
      <c r="P20" s="86"/>
      <c r="Q20" s="70"/>
      <c r="R20" s="40">
        <f t="shared" si="5"/>
        <v>0</v>
      </c>
      <c r="S20" s="41">
        <f t="shared" si="0"/>
        <v>7.166666666666667</v>
      </c>
      <c r="T20" s="81" t="str">
        <f t="shared" si="6"/>
        <v>N/TRANSITA</v>
      </c>
    </row>
    <row r="21" spans="2:20" ht="14.25" customHeight="1" x14ac:dyDescent="0.3">
      <c r="B21" s="33">
        <v>13</v>
      </c>
      <c r="C21" s="127" t="s">
        <v>81</v>
      </c>
      <c r="D21" s="60"/>
      <c r="E21" s="85">
        <v>10</v>
      </c>
      <c r="F21" s="86"/>
      <c r="G21" s="104"/>
      <c r="H21" s="40">
        <f t="shared" si="1"/>
        <v>5</v>
      </c>
      <c r="I21" s="63" t="str">
        <f t="shared" si="2"/>
        <v>N/TRANSITA</v>
      </c>
      <c r="J21" s="85"/>
      <c r="K21" s="86"/>
      <c r="L21" s="86"/>
      <c r="M21" s="40">
        <f t="shared" si="3"/>
        <v>0</v>
      </c>
      <c r="N21" s="63" t="str">
        <f t="shared" si="4"/>
        <v>N/TRANSITA</v>
      </c>
      <c r="O21" s="85"/>
      <c r="P21" s="86"/>
      <c r="Q21" s="70"/>
      <c r="R21" s="40">
        <f t="shared" si="5"/>
        <v>0</v>
      </c>
      <c r="S21" s="41">
        <f t="shared" si="0"/>
        <v>1.6666666666666667</v>
      </c>
      <c r="T21" s="81" t="str">
        <f t="shared" si="6"/>
        <v>N/TRANSITA</v>
      </c>
    </row>
    <row r="22" spans="2:20" ht="14.25" customHeight="1" x14ac:dyDescent="0.3">
      <c r="B22" s="33">
        <v>14</v>
      </c>
      <c r="C22" s="127" t="s">
        <v>82</v>
      </c>
      <c r="D22" s="60"/>
      <c r="E22" s="85">
        <v>10</v>
      </c>
      <c r="F22" s="86"/>
      <c r="G22" s="104"/>
      <c r="H22" s="40">
        <f t="shared" si="1"/>
        <v>5</v>
      </c>
      <c r="I22" s="63" t="str">
        <f t="shared" si="2"/>
        <v>N/TRANSITA</v>
      </c>
      <c r="J22" s="85"/>
      <c r="K22" s="86"/>
      <c r="L22" s="86"/>
      <c r="M22" s="40">
        <f t="shared" si="3"/>
        <v>0</v>
      </c>
      <c r="N22" s="63" t="str">
        <f t="shared" si="4"/>
        <v>N/TRANSITA</v>
      </c>
      <c r="O22" s="85"/>
      <c r="P22" s="86"/>
      <c r="Q22" s="70"/>
      <c r="R22" s="40">
        <f t="shared" si="5"/>
        <v>0</v>
      </c>
      <c r="S22" s="41">
        <f t="shared" si="0"/>
        <v>1.6666666666666667</v>
      </c>
      <c r="T22" s="81" t="str">
        <f t="shared" si="6"/>
        <v>N/TRANSITA</v>
      </c>
    </row>
    <row r="23" spans="2:20" ht="14.25" customHeight="1" x14ac:dyDescent="0.3">
      <c r="B23" s="33">
        <v>15</v>
      </c>
      <c r="C23" s="127" t="s">
        <v>83</v>
      </c>
      <c r="D23" s="60"/>
      <c r="E23" s="85">
        <v>20</v>
      </c>
      <c r="F23" s="86">
        <v>8</v>
      </c>
      <c r="G23" s="104"/>
      <c r="H23" s="40">
        <f t="shared" si="1"/>
        <v>14</v>
      </c>
      <c r="I23" s="63" t="str">
        <f t="shared" si="2"/>
        <v>TRANSITA</v>
      </c>
      <c r="J23" s="85">
        <v>14.5</v>
      </c>
      <c r="K23" s="86">
        <v>10</v>
      </c>
      <c r="L23" s="86"/>
      <c r="M23" s="40">
        <f t="shared" si="3"/>
        <v>12.25</v>
      </c>
      <c r="N23" s="63" t="str">
        <f t="shared" si="4"/>
        <v>TRANSITA</v>
      </c>
      <c r="O23" s="85"/>
      <c r="P23" s="86"/>
      <c r="Q23" s="70"/>
      <c r="R23" s="40">
        <f t="shared" si="5"/>
        <v>0</v>
      </c>
      <c r="S23" s="41">
        <f t="shared" si="0"/>
        <v>8.75</v>
      </c>
      <c r="T23" s="81" t="str">
        <f t="shared" si="6"/>
        <v>N/TRANSITA</v>
      </c>
    </row>
    <row r="24" spans="2:20" ht="14.25" customHeight="1" x14ac:dyDescent="0.3">
      <c r="B24" s="33">
        <v>16</v>
      </c>
      <c r="C24" s="127" t="s">
        <v>84</v>
      </c>
      <c r="D24" s="60"/>
      <c r="E24" s="85">
        <v>15</v>
      </c>
      <c r="F24" s="86">
        <v>10</v>
      </c>
      <c r="G24" s="104"/>
      <c r="H24" s="40">
        <f t="shared" si="1"/>
        <v>12.5</v>
      </c>
      <c r="I24" s="63" t="str">
        <f t="shared" si="2"/>
        <v>TRANSITA</v>
      </c>
      <c r="J24" s="85">
        <v>12</v>
      </c>
      <c r="K24" s="86">
        <v>11</v>
      </c>
      <c r="L24" s="86"/>
      <c r="M24" s="40">
        <f t="shared" si="3"/>
        <v>11.5</v>
      </c>
      <c r="N24" s="63" t="str">
        <f t="shared" si="4"/>
        <v>TRANSITA</v>
      </c>
      <c r="O24" s="85"/>
      <c r="P24" s="86"/>
      <c r="Q24" s="70"/>
      <c r="R24" s="40">
        <f t="shared" si="5"/>
        <v>0</v>
      </c>
      <c r="S24" s="41">
        <f t="shared" si="0"/>
        <v>8</v>
      </c>
      <c r="T24" s="81" t="str">
        <f t="shared" si="6"/>
        <v>N/TRANSITA</v>
      </c>
    </row>
    <row r="25" spans="2:20" ht="14.25" customHeight="1" x14ac:dyDescent="0.3">
      <c r="B25" s="33">
        <v>17</v>
      </c>
      <c r="C25" s="127" t="s">
        <v>85</v>
      </c>
      <c r="D25" s="60"/>
      <c r="E25" s="85">
        <v>14</v>
      </c>
      <c r="F25" s="86">
        <v>6</v>
      </c>
      <c r="G25" s="104"/>
      <c r="H25" s="40">
        <f t="shared" si="1"/>
        <v>10</v>
      </c>
      <c r="I25" s="63" t="str">
        <f t="shared" si="2"/>
        <v>TRANSITA</v>
      </c>
      <c r="J25" s="85"/>
      <c r="K25" s="86"/>
      <c r="L25" s="86"/>
      <c r="M25" s="40">
        <f t="shared" si="3"/>
        <v>0</v>
      </c>
      <c r="N25" s="63" t="str">
        <f t="shared" si="4"/>
        <v>N/TRANSITA</v>
      </c>
      <c r="O25" s="85"/>
      <c r="P25" s="86"/>
      <c r="Q25" s="70"/>
      <c r="R25" s="40">
        <f t="shared" si="5"/>
        <v>0</v>
      </c>
      <c r="S25" s="41">
        <f t="shared" si="0"/>
        <v>3.3333333333333335</v>
      </c>
      <c r="T25" s="81" t="str">
        <f t="shared" si="6"/>
        <v>N/TRANSITA</v>
      </c>
    </row>
    <row r="26" spans="2:20" ht="14.25" customHeight="1" x14ac:dyDescent="0.3">
      <c r="B26" s="33">
        <v>18</v>
      </c>
      <c r="C26" s="127" t="s">
        <v>140</v>
      </c>
      <c r="D26" s="60"/>
      <c r="E26" s="85"/>
      <c r="F26" s="86"/>
      <c r="G26" s="104"/>
      <c r="H26" s="40">
        <f t="shared" si="1"/>
        <v>0</v>
      </c>
      <c r="I26" s="63" t="str">
        <f t="shared" si="2"/>
        <v>N/TRANSITA</v>
      </c>
      <c r="J26" s="85">
        <v>10</v>
      </c>
      <c r="K26" s="86">
        <v>7</v>
      </c>
      <c r="L26" s="86"/>
      <c r="M26" s="40">
        <f t="shared" ref="M26:M27" si="8">AVERAGE(J26,MAX(K26:L26))</f>
        <v>8.5</v>
      </c>
      <c r="N26" s="63" t="str">
        <f t="shared" ref="N26:N27" si="9">IF(M26&gt;=10,"TRANSITA","N/TRANSITA")</f>
        <v>N/TRANSITA</v>
      </c>
      <c r="O26" s="85"/>
      <c r="P26" s="86"/>
      <c r="Q26" s="70"/>
      <c r="R26" s="40">
        <f t="shared" ref="R26:R27" si="10">AVERAGE(O26,MAX(P26:Q26))</f>
        <v>0</v>
      </c>
      <c r="S26" s="41">
        <f t="shared" ref="S26:S27" si="11">SUM(H26,M26,R26)/3</f>
        <v>2.8333333333333335</v>
      </c>
      <c r="T26" s="81" t="str">
        <f t="shared" ref="T26:T27" si="12">IF(S26&gt;=10,"TRANSITA","N/TRANSITA")</f>
        <v>N/TRANSITA</v>
      </c>
    </row>
    <row r="27" spans="2:20" ht="14.25" customHeight="1" x14ac:dyDescent="0.3">
      <c r="B27" s="33">
        <v>19</v>
      </c>
      <c r="C27" s="127" t="s">
        <v>86</v>
      </c>
      <c r="D27" s="60"/>
      <c r="E27" s="85">
        <v>10</v>
      </c>
      <c r="F27" s="86"/>
      <c r="G27" s="104"/>
      <c r="H27" s="40">
        <f t="shared" si="1"/>
        <v>5</v>
      </c>
      <c r="I27" s="63" t="str">
        <f t="shared" si="2"/>
        <v>N/TRANSITA</v>
      </c>
      <c r="J27" s="85"/>
      <c r="K27" s="86"/>
      <c r="L27" s="86"/>
      <c r="M27" s="40">
        <f t="shared" si="8"/>
        <v>0</v>
      </c>
      <c r="N27" s="63" t="str">
        <f t="shared" si="9"/>
        <v>N/TRANSITA</v>
      </c>
      <c r="O27" s="85"/>
      <c r="P27" s="86"/>
      <c r="Q27" s="70"/>
      <c r="R27" s="40">
        <f t="shared" si="10"/>
        <v>0</v>
      </c>
      <c r="S27" s="41">
        <f t="shared" si="11"/>
        <v>1.6666666666666667</v>
      </c>
      <c r="T27" s="81" t="str">
        <f t="shared" si="12"/>
        <v>N/TRANSITA</v>
      </c>
    </row>
    <row r="28" spans="2:20" ht="14.25" customHeight="1" x14ac:dyDescent="0.3">
      <c r="B28" s="33">
        <v>20</v>
      </c>
      <c r="C28" s="127" t="s">
        <v>87</v>
      </c>
      <c r="D28" s="60"/>
      <c r="E28" s="85">
        <v>14</v>
      </c>
      <c r="F28" s="86">
        <v>7</v>
      </c>
      <c r="G28" s="104"/>
      <c r="H28" s="40">
        <f t="shared" si="1"/>
        <v>10.5</v>
      </c>
      <c r="I28" s="63" t="str">
        <f t="shared" si="2"/>
        <v>TRANSITA</v>
      </c>
      <c r="J28" s="85">
        <v>14</v>
      </c>
      <c r="K28" s="86">
        <v>7</v>
      </c>
      <c r="L28" s="86"/>
      <c r="M28" s="40">
        <f t="shared" si="3"/>
        <v>10.5</v>
      </c>
      <c r="N28" s="63" t="str">
        <f t="shared" si="4"/>
        <v>TRANSITA</v>
      </c>
      <c r="O28" s="85"/>
      <c r="P28" s="86"/>
      <c r="Q28" s="70"/>
      <c r="R28" s="40">
        <f t="shared" si="5"/>
        <v>0</v>
      </c>
      <c r="S28" s="41">
        <f t="shared" si="0"/>
        <v>7</v>
      </c>
      <c r="T28" s="81" t="str">
        <f t="shared" si="6"/>
        <v>N/TRANSITA</v>
      </c>
    </row>
    <row r="29" spans="2:20" ht="14.25" customHeight="1" x14ac:dyDescent="0.3">
      <c r="B29" s="33">
        <v>21</v>
      </c>
      <c r="C29" s="127" t="s">
        <v>88</v>
      </c>
      <c r="D29" s="60"/>
      <c r="E29" s="85">
        <v>14</v>
      </c>
      <c r="F29" s="86">
        <v>4</v>
      </c>
      <c r="G29" s="104"/>
      <c r="H29" s="40">
        <f t="shared" si="1"/>
        <v>9</v>
      </c>
      <c r="I29" s="63" t="str">
        <f t="shared" si="2"/>
        <v>N/TRANSITA</v>
      </c>
      <c r="J29" s="85"/>
      <c r="K29" s="86"/>
      <c r="L29" s="86"/>
      <c r="M29" s="40">
        <f t="shared" si="3"/>
        <v>0</v>
      </c>
      <c r="N29" s="63" t="str">
        <f t="shared" si="4"/>
        <v>N/TRANSITA</v>
      </c>
      <c r="O29" s="85"/>
      <c r="P29" s="86"/>
      <c r="Q29" s="70"/>
      <c r="R29" s="40">
        <f t="shared" si="5"/>
        <v>0</v>
      </c>
      <c r="S29" s="41">
        <f t="shared" si="0"/>
        <v>3</v>
      </c>
      <c r="T29" s="81" t="str">
        <f t="shared" si="6"/>
        <v>N/TRANSITA</v>
      </c>
    </row>
    <row r="30" spans="2:20" ht="14.25" customHeight="1" x14ac:dyDescent="0.3">
      <c r="B30" s="33">
        <v>22</v>
      </c>
      <c r="C30" s="127" t="s">
        <v>89</v>
      </c>
      <c r="D30" s="60"/>
      <c r="E30" s="85">
        <v>18</v>
      </c>
      <c r="F30" s="86">
        <v>2</v>
      </c>
      <c r="G30" s="104"/>
      <c r="H30" s="40">
        <f t="shared" si="1"/>
        <v>10</v>
      </c>
      <c r="I30" s="63" t="str">
        <f t="shared" si="2"/>
        <v>TRANSITA</v>
      </c>
      <c r="J30" s="85">
        <v>13</v>
      </c>
      <c r="K30" s="86">
        <v>11</v>
      </c>
      <c r="L30" s="86"/>
      <c r="M30" s="40">
        <f t="shared" si="3"/>
        <v>12</v>
      </c>
      <c r="N30" s="63" t="str">
        <f t="shared" si="4"/>
        <v>TRANSITA</v>
      </c>
      <c r="O30" s="85"/>
      <c r="P30" s="86"/>
      <c r="Q30" s="70"/>
      <c r="R30" s="40">
        <f t="shared" si="5"/>
        <v>0</v>
      </c>
      <c r="S30" s="41">
        <f t="shared" si="0"/>
        <v>7.333333333333333</v>
      </c>
      <c r="T30" s="81" t="str">
        <f t="shared" si="6"/>
        <v>N/TRANSITA</v>
      </c>
    </row>
    <row r="31" spans="2:20" ht="14.25" customHeight="1" x14ac:dyDescent="0.3">
      <c r="B31" s="33">
        <v>23</v>
      </c>
      <c r="C31" s="127" t="s">
        <v>90</v>
      </c>
      <c r="D31" s="60"/>
      <c r="E31" s="85">
        <v>18</v>
      </c>
      <c r="F31" s="86">
        <v>6</v>
      </c>
      <c r="G31" s="104"/>
      <c r="H31" s="40">
        <f t="shared" si="1"/>
        <v>12</v>
      </c>
      <c r="I31" s="63" t="str">
        <f t="shared" si="2"/>
        <v>TRANSITA</v>
      </c>
      <c r="J31" s="85">
        <v>13</v>
      </c>
      <c r="K31" s="86">
        <v>10</v>
      </c>
      <c r="L31" s="86"/>
      <c r="M31" s="40">
        <f t="shared" si="3"/>
        <v>11.5</v>
      </c>
      <c r="N31" s="63" t="str">
        <f t="shared" si="4"/>
        <v>TRANSITA</v>
      </c>
      <c r="O31" s="85"/>
      <c r="P31" s="86"/>
      <c r="Q31" s="70"/>
      <c r="R31" s="40">
        <f t="shared" si="5"/>
        <v>0</v>
      </c>
      <c r="S31" s="41">
        <f t="shared" si="0"/>
        <v>7.833333333333333</v>
      </c>
      <c r="T31" s="81" t="str">
        <f t="shared" si="6"/>
        <v>N/TRANSITA</v>
      </c>
    </row>
    <row r="32" spans="2:20" ht="14.25" customHeight="1" x14ac:dyDescent="0.3">
      <c r="B32" s="33">
        <v>24</v>
      </c>
      <c r="C32" s="127" t="s">
        <v>91</v>
      </c>
      <c r="D32" s="60"/>
      <c r="E32" s="85">
        <v>10</v>
      </c>
      <c r="F32" s="86"/>
      <c r="G32" s="104"/>
      <c r="H32" s="40">
        <f t="shared" si="1"/>
        <v>5</v>
      </c>
      <c r="I32" s="63" t="str">
        <f t="shared" si="2"/>
        <v>N/TRANSITA</v>
      </c>
      <c r="J32" s="85"/>
      <c r="K32" s="86"/>
      <c r="L32" s="86"/>
      <c r="M32" s="40">
        <f t="shared" si="3"/>
        <v>0</v>
      </c>
      <c r="N32" s="63" t="str">
        <f t="shared" si="4"/>
        <v>N/TRANSITA</v>
      </c>
      <c r="O32" s="85"/>
      <c r="P32" s="86"/>
      <c r="Q32" s="70"/>
      <c r="R32" s="40">
        <f t="shared" si="5"/>
        <v>0</v>
      </c>
      <c r="S32" s="41">
        <f t="shared" si="0"/>
        <v>1.6666666666666667</v>
      </c>
      <c r="T32" s="81" t="str">
        <f t="shared" si="6"/>
        <v>N/TRANSITA</v>
      </c>
    </row>
    <row r="33" spans="2:20" ht="14.25" customHeight="1" x14ac:dyDescent="0.3">
      <c r="B33" s="33">
        <v>25</v>
      </c>
      <c r="C33" s="127" t="s">
        <v>92</v>
      </c>
      <c r="D33" s="60"/>
      <c r="E33" s="85">
        <v>10</v>
      </c>
      <c r="F33" s="86"/>
      <c r="G33" s="104"/>
      <c r="H33" s="40">
        <f t="shared" si="1"/>
        <v>5</v>
      </c>
      <c r="I33" s="63" t="str">
        <f t="shared" si="2"/>
        <v>N/TRANSITA</v>
      </c>
      <c r="J33" s="85">
        <v>14</v>
      </c>
      <c r="K33" s="86">
        <v>7</v>
      </c>
      <c r="L33" s="86"/>
      <c r="M33" s="40">
        <f t="shared" si="3"/>
        <v>10.5</v>
      </c>
      <c r="N33" s="63" t="str">
        <f t="shared" si="4"/>
        <v>TRANSITA</v>
      </c>
      <c r="O33" s="85"/>
      <c r="P33" s="86"/>
      <c r="Q33" s="70"/>
      <c r="R33" s="40">
        <f t="shared" si="5"/>
        <v>0</v>
      </c>
      <c r="S33" s="41">
        <f t="shared" si="0"/>
        <v>5.166666666666667</v>
      </c>
      <c r="T33" s="81" t="str">
        <f t="shared" si="6"/>
        <v>N/TRANSITA</v>
      </c>
    </row>
    <row r="34" spans="2:20" ht="14.25" customHeight="1" x14ac:dyDescent="0.3">
      <c r="B34" s="33">
        <v>26</v>
      </c>
      <c r="C34" s="127" t="s">
        <v>93</v>
      </c>
      <c r="D34" s="60"/>
      <c r="E34" s="85">
        <v>10</v>
      </c>
      <c r="F34" s="86"/>
      <c r="G34" s="104"/>
      <c r="H34" s="40">
        <f t="shared" si="1"/>
        <v>5</v>
      </c>
      <c r="I34" s="63" t="str">
        <f t="shared" si="2"/>
        <v>N/TRANSITA</v>
      </c>
      <c r="J34" s="85"/>
      <c r="K34" s="86"/>
      <c r="L34" s="86"/>
      <c r="M34" s="40">
        <f t="shared" si="3"/>
        <v>0</v>
      </c>
      <c r="N34" s="63" t="str">
        <f t="shared" si="4"/>
        <v>N/TRANSITA</v>
      </c>
      <c r="O34" s="85"/>
      <c r="P34" s="86"/>
      <c r="Q34" s="70"/>
      <c r="R34" s="40">
        <f t="shared" si="5"/>
        <v>0</v>
      </c>
      <c r="S34" s="41">
        <f t="shared" si="0"/>
        <v>1.6666666666666667</v>
      </c>
      <c r="T34" s="81" t="str">
        <f t="shared" si="6"/>
        <v>N/TRANSITA</v>
      </c>
    </row>
    <row r="35" spans="2:20" ht="14.25" customHeight="1" x14ac:dyDescent="0.3">
      <c r="B35" s="33">
        <v>27</v>
      </c>
      <c r="C35" s="128" t="s">
        <v>94</v>
      </c>
      <c r="D35" s="60"/>
      <c r="E35" s="85">
        <v>10</v>
      </c>
      <c r="F35" s="86"/>
      <c r="G35" s="104"/>
      <c r="H35" s="40">
        <f t="shared" si="1"/>
        <v>5</v>
      </c>
      <c r="I35" s="63" t="str">
        <f t="shared" si="2"/>
        <v>N/TRANSITA</v>
      </c>
      <c r="J35" s="85"/>
      <c r="K35" s="86"/>
      <c r="L35" s="86"/>
      <c r="M35" s="40">
        <f t="shared" si="3"/>
        <v>0</v>
      </c>
      <c r="N35" s="63" t="str">
        <f t="shared" si="4"/>
        <v>N/TRANSITA</v>
      </c>
      <c r="O35" s="85"/>
      <c r="P35" s="86"/>
      <c r="Q35" s="70"/>
      <c r="R35" s="40">
        <f t="shared" si="5"/>
        <v>0</v>
      </c>
      <c r="S35" s="41">
        <f t="shared" si="0"/>
        <v>1.6666666666666667</v>
      </c>
      <c r="T35" s="81" t="str">
        <f t="shared" si="6"/>
        <v>N/TRANSITA</v>
      </c>
    </row>
    <row r="36" spans="2:20" ht="14.25" customHeight="1" x14ac:dyDescent="0.3">
      <c r="B36" s="33">
        <v>28</v>
      </c>
      <c r="C36" s="127" t="s">
        <v>95</v>
      </c>
      <c r="D36" s="60"/>
      <c r="E36" s="85">
        <v>15</v>
      </c>
      <c r="F36" s="86">
        <v>5</v>
      </c>
      <c r="G36" s="104"/>
      <c r="H36" s="40">
        <f t="shared" si="1"/>
        <v>10</v>
      </c>
      <c r="I36" s="63" t="str">
        <f t="shared" si="2"/>
        <v>TRANSITA</v>
      </c>
      <c r="J36" s="85"/>
      <c r="K36" s="86"/>
      <c r="L36" s="86"/>
      <c r="M36" s="40">
        <f t="shared" si="3"/>
        <v>0</v>
      </c>
      <c r="N36" s="63" t="str">
        <f t="shared" si="4"/>
        <v>N/TRANSITA</v>
      </c>
      <c r="O36" s="85"/>
      <c r="P36" s="86"/>
      <c r="Q36" s="70"/>
      <c r="R36" s="40">
        <f t="shared" si="5"/>
        <v>0</v>
      </c>
      <c r="S36" s="41">
        <f t="shared" si="0"/>
        <v>3.3333333333333335</v>
      </c>
      <c r="T36" s="81" t="str">
        <f t="shared" si="6"/>
        <v>N/TRANSITA</v>
      </c>
    </row>
    <row r="37" spans="2:20" ht="14.25" customHeight="1" x14ac:dyDescent="0.3">
      <c r="B37" s="33">
        <v>29</v>
      </c>
      <c r="C37" s="127" t="s">
        <v>96</v>
      </c>
      <c r="D37" s="60"/>
      <c r="E37" s="85">
        <v>15</v>
      </c>
      <c r="F37" s="86">
        <v>7</v>
      </c>
      <c r="G37" s="104"/>
      <c r="H37" s="40">
        <f t="shared" si="1"/>
        <v>11</v>
      </c>
      <c r="I37" s="63" t="str">
        <f t="shared" si="2"/>
        <v>TRANSITA</v>
      </c>
      <c r="J37" s="85">
        <v>11</v>
      </c>
      <c r="K37" s="86">
        <v>7</v>
      </c>
      <c r="L37" s="86"/>
      <c r="M37" s="40">
        <f t="shared" si="3"/>
        <v>9</v>
      </c>
      <c r="N37" s="63" t="str">
        <f t="shared" si="4"/>
        <v>N/TRANSITA</v>
      </c>
      <c r="O37" s="85"/>
      <c r="P37" s="86"/>
      <c r="Q37" s="70"/>
      <c r="R37" s="40">
        <f t="shared" si="5"/>
        <v>0</v>
      </c>
      <c r="S37" s="41">
        <f t="shared" si="0"/>
        <v>6.666666666666667</v>
      </c>
      <c r="T37" s="81" t="str">
        <f t="shared" si="6"/>
        <v>N/TRANSITA</v>
      </c>
    </row>
    <row r="38" spans="2:20" ht="14.25" customHeight="1" x14ac:dyDescent="0.3">
      <c r="B38" s="33">
        <v>30</v>
      </c>
      <c r="C38" s="127" t="s">
        <v>97</v>
      </c>
      <c r="D38" s="60"/>
      <c r="E38" s="85">
        <v>10</v>
      </c>
      <c r="F38" s="86"/>
      <c r="G38" s="104"/>
      <c r="H38" s="40">
        <f t="shared" si="1"/>
        <v>5</v>
      </c>
      <c r="I38" s="63" t="str">
        <f t="shared" si="2"/>
        <v>N/TRANSITA</v>
      </c>
      <c r="J38" s="85"/>
      <c r="K38" s="86"/>
      <c r="L38" s="86"/>
      <c r="M38" s="40">
        <f t="shared" si="3"/>
        <v>0</v>
      </c>
      <c r="N38" s="63" t="str">
        <f t="shared" si="4"/>
        <v>N/TRANSITA</v>
      </c>
      <c r="O38" s="85"/>
      <c r="P38" s="86"/>
      <c r="Q38" s="70"/>
      <c r="R38" s="40">
        <f t="shared" si="5"/>
        <v>0</v>
      </c>
      <c r="S38" s="41">
        <f t="shared" si="0"/>
        <v>1.6666666666666667</v>
      </c>
      <c r="T38" s="81" t="str">
        <f t="shared" si="6"/>
        <v>N/TRANSITA</v>
      </c>
    </row>
    <row r="39" spans="2:20" ht="14.25" customHeight="1" x14ac:dyDescent="0.3">
      <c r="B39" s="33">
        <v>31</v>
      </c>
      <c r="C39" s="127" t="s">
        <v>98</v>
      </c>
      <c r="D39" s="60"/>
      <c r="E39" s="85">
        <v>10</v>
      </c>
      <c r="F39" s="86"/>
      <c r="G39" s="104"/>
      <c r="H39" s="40">
        <f t="shared" si="1"/>
        <v>5</v>
      </c>
      <c r="I39" s="63" t="str">
        <f t="shared" si="2"/>
        <v>N/TRANSITA</v>
      </c>
      <c r="J39" s="85"/>
      <c r="K39" s="86"/>
      <c r="L39" s="86"/>
      <c r="M39" s="40">
        <f t="shared" si="3"/>
        <v>0</v>
      </c>
      <c r="N39" s="63" t="str">
        <f t="shared" si="4"/>
        <v>N/TRANSITA</v>
      </c>
      <c r="O39" s="85"/>
      <c r="P39" s="86"/>
      <c r="Q39" s="70"/>
      <c r="R39" s="40">
        <f t="shared" si="5"/>
        <v>0</v>
      </c>
      <c r="S39" s="41">
        <f t="shared" si="0"/>
        <v>1.6666666666666667</v>
      </c>
      <c r="T39" s="81" t="str">
        <f t="shared" si="6"/>
        <v>N/TRANSITA</v>
      </c>
    </row>
    <row r="40" spans="2:20" ht="14.25" customHeight="1" x14ac:dyDescent="0.3">
      <c r="B40" s="33">
        <v>32</v>
      </c>
      <c r="C40" s="128" t="s">
        <v>99</v>
      </c>
      <c r="D40" s="60"/>
      <c r="E40" s="85">
        <v>16</v>
      </c>
      <c r="F40" s="86">
        <v>3</v>
      </c>
      <c r="G40" s="104"/>
      <c r="H40" s="40">
        <f t="shared" si="1"/>
        <v>9.5</v>
      </c>
      <c r="I40" s="63" t="str">
        <f t="shared" si="2"/>
        <v>N/TRANSITA</v>
      </c>
      <c r="J40" s="85"/>
      <c r="K40" s="86"/>
      <c r="L40" s="86"/>
      <c r="M40" s="40">
        <f t="shared" si="3"/>
        <v>0</v>
      </c>
      <c r="N40" s="63" t="str">
        <f t="shared" si="4"/>
        <v>N/TRANSITA</v>
      </c>
      <c r="O40" s="85"/>
      <c r="P40" s="86"/>
      <c r="Q40" s="70"/>
      <c r="R40" s="40">
        <f t="shared" si="5"/>
        <v>0</v>
      </c>
      <c r="S40" s="41">
        <f t="shared" si="0"/>
        <v>3.1666666666666665</v>
      </c>
      <c r="T40" s="81" t="str">
        <f t="shared" si="6"/>
        <v>N/TRANSITA</v>
      </c>
    </row>
    <row r="41" spans="2:20" ht="14.25" customHeight="1" x14ac:dyDescent="0.3">
      <c r="B41" s="33">
        <v>33</v>
      </c>
      <c r="C41" s="127" t="s">
        <v>100</v>
      </c>
      <c r="D41" s="60"/>
      <c r="E41" s="85">
        <v>16</v>
      </c>
      <c r="F41" s="86">
        <v>4</v>
      </c>
      <c r="G41" s="104"/>
      <c r="H41" s="40">
        <f t="shared" si="1"/>
        <v>10</v>
      </c>
      <c r="I41" s="63" t="str">
        <f t="shared" si="2"/>
        <v>TRANSITA</v>
      </c>
      <c r="J41" s="85">
        <v>12</v>
      </c>
      <c r="K41" s="86">
        <v>12.5</v>
      </c>
      <c r="L41" s="86"/>
      <c r="M41" s="40">
        <f t="shared" si="3"/>
        <v>12.25</v>
      </c>
      <c r="N41" s="63" t="str">
        <f t="shared" si="4"/>
        <v>TRANSITA</v>
      </c>
      <c r="O41" s="85"/>
      <c r="P41" s="86"/>
      <c r="Q41" s="70"/>
      <c r="R41" s="40">
        <f t="shared" si="5"/>
        <v>0</v>
      </c>
      <c r="S41" s="41">
        <f t="shared" si="0"/>
        <v>7.416666666666667</v>
      </c>
      <c r="T41" s="81" t="str">
        <f t="shared" si="6"/>
        <v>N/TRANSITA</v>
      </c>
    </row>
    <row r="42" spans="2:20" ht="14.25" customHeight="1" x14ac:dyDescent="0.3">
      <c r="B42" s="33">
        <v>34</v>
      </c>
      <c r="C42" s="127" t="s">
        <v>101</v>
      </c>
      <c r="D42" s="60"/>
      <c r="E42" s="85">
        <v>10</v>
      </c>
      <c r="F42" s="86"/>
      <c r="G42" s="104"/>
      <c r="H42" s="40">
        <f t="shared" si="1"/>
        <v>5</v>
      </c>
      <c r="I42" s="63" t="str">
        <f t="shared" si="2"/>
        <v>N/TRANSITA</v>
      </c>
      <c r="J42" s="85"/>
      <c r="K42" s="86"/>
      <c r="L42" s="86"/>
      <c r="M42" s="40">
        <f t="shared" si="3"/>
        <v>0</v>
      </c>
      <c r="N42" s="63" t="str">
        <f t="shared" si="4"/>
        <v>N/TRANSITA</v>
      </c>
      <c r="O42" s="85"/>
      <c r="P42" s="86"/>
      <c r="Q42" s="70"/>
      <c r="R42" s="40">
        <f t="shared" si="5"/>
        <v>0</v>
      </c>
      <c r="S42" s="41">
        <f t="shared" ref="S42:S71" si="13">SUM(H42,M42,R42)/3</f>
        <v>1.6666666666666667</v>
      </c>
      <c r="T42" s="81" t="str">
        <f t="shared" si="6"/>
        <v>N/TRANSITA</v>
      </c>
    </row>
    <row r="43" spans="2:20" ht="14.25" customHeight="1" x14ac:dyDescent="0.3">
      <c r="B43" s="33">
        <v>35</v>
      </c>
      <c r="C43" s="127" t="s">
        <v>102</v>
      </c>
      <c r="D43" s="60"/>
      <c r="E43" s="85">
        <v>16</v>
      </c>
      <c r="F43" s="86">
        <v>3</v>
      </c>
      <c r="G43" s="104"/>
      <c r="H43" s="40">
        <f t="shared" si="1"/>
        <v>9.5</v>
      </c>
      <c r="I43" s="63" t="str">
        <f t="shared" si="2"/>
        <v>N/TRANSITA</v>
      </c>
      <c r="J43" s="85">
        <v>12</v>
      </c>
      <c r="K43" s="86">
        <v>11</v>
      </c>
      <c r="L43" s="86"/>
      <c r="M43" s="40">
        <f t="shared" si="3"/>
        <v>11.5</v>
      </c>
      <c r="N43" s="63" t="str">
        <f t="shared" si="4"/>
        <v>TRANSITA</v>
      </c>
      <c r="O43" s="85"/>
      <c r="P43" s="86"/>
      <c r="Q43" s="70"/>
      <c r="R43" s="40">
        <f t="shared" si="5"/>
        <v>0</v>
      </c>
      <c r="S43" s="41">
        <f t="shared" si="13"/>
        <v>7</v>
      </c>
      <c r="T43" s="81" t="str">
        <f t="shared" si="6"/>
        <v>N/TRANSITA</v>
      </c>
    </row>
    <row r="44" spans="2:20" ht="14.25" customHeight="1" x14ac:dyDescent="0.3">
      <c r="B44" s="33">
        <v>36</v>
      </c>
      <c r="C44" s="127" t="s">
        <v>103</v>
      </c>
      <c r="D44" s="60"/>
      <c r="E44" s="85">
        <v>10</v>
      </c>
      <c r="F44" s="86"/>
      <c r="G44" s="104"/>
      <c r="H44" s="40">
        <f t="shared" si="1"/>
        <v>5</v>
      </c>
      <c r="I44" s="63" t="str">
        <f t="shared" si="2"/>
        <v>N/TRANSITA</v>
      </c>
      <c r="J44" s="85"/>
      <c r="K44" s="86"/>
      <c r="L44" s="86"/>
      <c r="M44" s="40">
        <f t="shared" si="3"/>
        <v>0</v>
      </c>
      <c r="N44" s="63" t="str">
        <f t="shared" si="4"/>
        <v>N/TRANSITA</v>
      </c>
      <c r="O44" s="85"/>
      <c r="P44" s="86"/>
      <c r="Q44" s="70"/>
      <c r="R44" s="40">
        <f t="shared" si="5"/>
        <v>0</v>
      </c>
      <c r="S44" s="41">
        <f t="shared" si="13"/>
        <v>1.6666666666666667</v>
      </c>
      <c r="T44" s="81" t="str">
        <f t="shared" ref="T44:T49" si="14">IF(S44&gt;=10,"TRANSITA","N/TRANSITA")</f>
        <v>N/TRANSITA</v>
      </c>
    </row>
    <row r="45" spans="2:20" ht="14.25" customHeight="1" x14ac:dyDescent="0.3">
      <c r="B45" s="33">
        <v>37</v>
      </c>
      <c r="C45" s="127" t="s">
        <v>104</v>
      </c>
      <c r="D45" s="60"/>
      <c r="E45" s="85">
        <v>16</v>
      </c>
      <c r="F45" s="86">
        <v>3</v>
      </c>
      <c r="G45" s="104"/>
      <c r="H45" s="40">
        <f t="shared" si="1"/>
        <v>9.5</v>
      </c>
      <c r="I45" s="63" t="str">
        <f t="shared" si="2"/>
        <v>N/TRANSITA</v>
      </c>
      <c r="J45" s="85">
        <v>10</v>
      </c>
      <c r="K45" s="86">
        <v>10</v>
      </c>
      <c r="L45" s="86"/>
      <c r="M45" s="40">
        <f t="shared" si="3"/>
        <v>10</v>
      </c>
      <c r="N45" s="63" t="str">
        <f t="shared" si="4"/>
        <v>TRANSITA</v>
      </c>
      <c r="O45" s="85"/>
      <c r="P45" s="86"/>
      <c r="Q45" s="70"/>
      <c r="R45" s="40">
        <f t="shared" si="5"/>
        <v>0</v>
      </c>
      <c r="S45" s="41">
        <f t="shared" si="13"/>
        <v>6.5</v>
      </c>
      <c r="T45" s="81" t="str">
        <f t="shared" si="14"/>
        <v>N/TRANSITA</v>
      </c>
    </row>
    <row r="46" spans="2:20" ht="14.25" customHeight="1" x14ac:dyDescent="0.3">
      <c r="B46" s="33">
        <v>38</v>
      </c>
      <c r="C46" s="127" t="s">
        <v>105</v>
      </c>
      <c r="D46" s="60"/>
      <c r="E46" s="85">
        <v>10</v>
      </c>
      <c r="F46" s="86"/>
      <c r="G46" s="104"/>
      <c r="H46" s="40">
        <f t="shared" si="1"/>
        <v>5</v>
      </c>
      <c r="I46" s="63" t="str">
        <f t="shared" si="2"/>
        <v>N/TRANSITA</v>
      </c>
      <c r="J46" s="85"/>
      <c r="K46" s="86"/>
      <c r="L46" s="86"/>
      <c r="M46" s="40">
        <f t="shared" si="3"/>
        <v>0</v>
      </c>
      <c r="N46" s="63" t="str">
        <f t="shared" si="4"/>
        <v>N/TRANSITA</v>
      </c>
      <c r="O46" s="85"/>
      <c r="P46" s="86"/>
      <c r="Q46" s="70"/>
      <c r="R46" s="40">
        <f t="shared" si="5"/>
        <v>0</v>
      </c>
      <c r="S46" s="41">
        <f t="shared" si="13"/>
        <v>1.6666666666666667</v>
      </c>
      <c r="T46" s="81" t="str">
        <f t="shared" si="14"/>
        <v>N/TRANSITA</v>
      </c>
    </row>
    <row r="47" spans="2:20" ht="14.25" customHeight="1" x14ac:dyDescent="0.3">
      <c r="B47" s="33">
        <v>39</v>
      </c>
      <c r="C47" s="127" t="s">
        <v>106</v>
      </c>
      <c r="D47" s="60"/>
      <c r="E47" s="85">
        <v>16</v>
      </c>
      <c r="F47" s="86">
        <v>6</v>
      </c>
      <c r="G47" s="104"/>
      <c r="H47" s="40">
        <f t="shared" si="1"/>
        <v>11</v>
      </c>
      <c r="I47" s="63" t="str">
        <f t="shared" si="2"/>
        <v>TRANSITA</v>
      </c>
      <c r="J47" s="85">
        <v>14</v>
      </c>
      <c r="K47" s="86">
        <v>7</v>
      </c>
      <c r="L47" s="86"/>
      <c r="M47" s="40">
        <f t="shared" si="3"/>
        <v>10.5</v>
      </c>
      <c r="N47" s="63" t="str">
        <f t="shared" si="4"/>
        <v>TRANSITA</v>
      </c>
      <c r="O47" s="85"/>
      <c r="P47" s="86"/>
      <c r="Q47" s="70"/>
      <c r="R47" s="40">
        <f t="shared" si="5"/>
        <v>0</v>
      </c>
      <c r="S47" s="41">
        <f t="shared" si="13"/>
        <v>7.166666666666667</v>
      </c>
      <c r="T47" s="81" t="str">
        <f t="shared" si="14"/>
        <v>N/TRANSITA</v>
      </c>
    </row>
    <row r="48" spans="2:20" ht="14.25" customHeight="1" x14ac:dyDescent="0.3">
      <c r="B48" s="33">
        <v>40</v>
      </c>
      <c r="C48" s="127" t="s">
        <v>145</v>
      </c>
      <c r="D48" s="60"/>
      <c r="E48" s="85"/>
      <c r="F48" s="86"/>
      <c r="G48" s="104"/>
      <c r="H48" s="40">
        <f t="shared" si="1"/>
        <v>0</v>
      </c>
      <c r="I48" s="63" t="str">
        <f t="shared" si="2"/>
        <v>N/TRANSITA</v>
      </c>
      <c r="J48" s="85">
        <v>13</v>
      </c>
      <c r="K48" s="86">
        <v>10</v>
      </c>
      <c r="L48" s="86"/>
      <c r="M48" s="40">
        <f t="shared" ref="M48" si="15">AVERAGE(J48,MAX(K48:L48))</f>
        <v>11.5</v>
      </c>
      <c r="N48" s="63" t="str">
        <f t="shared" ref="N48" si="16">IF(M48&gt;=10,"TRANSITA","N/TRANSITA")</f>
        <v>TRANSITA</v>
      </c>
      <c r="O48" s="85"/>
      <c r="P48" s="86"/>
      <c r="Q48" s="70"/>
      <c r="R48" s="40">
        <f t="shared" ref="R48" si="17">AVERAGE(O48,MAX(P48:Q48))</f>
        <v>0</v>
      </c>
      <c r="S48" s="41">
        <f t="shared" ref="S48" si="18">SUM(H48,M48,R48)/3</f>
        <v>3.8333333333333335</v>
      </c>
      <c r="T48" s="81" t="str">
        <f t="shared" ref="T48" si="19">IF(S48&gt;=10,"TRANSITA","N/TRANSITA")</f>
        <v>N/TRANSITA</v>
      </c>
    </row>
    <row r="49" spans="2:20" ht="14.25" customHeight="1" x14ac:dyDescent="0.3">
      <c r="B49" s="33">
        <v>41</v>
      </c>
      <c r="C49" s="128" t="s">
        <v>107</v>
      </c>
      <c r="D49" s="60"/>
      <c r="E49" s="85">
        <v>14</v>
      </c>
      <c r="F49" s="86">
        <v>5</v>
      </c>
      <c r="G49" s="104"/>
      <c r="H49" s="40">
        <f t="shared" si="1"/>
        <v>9.5</v>
      </c>
      <c r="I49" s="63" t="str">
        <f t="shared" si="2"/>
        <v>N/TRANSITA</v>
      </c>
      <c r="J49" s="85">
        <v>13</v>
      </c>
      <c r="K49" s="86">
        <v>10</v>
      </c>
      <c r="L49" s="86"/>
      <c r="M49" s="40">
        <f t="shared" si="3"/>
        <v>11.5</v>
      </c>
      <c r="N49" s="63" t="str">
        <f t="shared" si="4"/>
        <v>TRANSITA</v>
      </c>
      <c r="O49" s="85"/>
      <c r="P49" s="86"/>
      <c r="Q49" s="70"/>
      <c r="R49" s="40">
        <f t="shared" si="5"/>
        <v>0</v>
      </c>
      <c r="S49" s="41">
        <f t="shared" si="13"/>
        <v>7</v>
      </c>
      <c r="T49" s="81" t="str">
        <f t="shared" si="14"/>
        <v>N/TRANSITA</v>
      </c>
    </row>
    <row r="50" spans="2:20" ht="14.25" customHeight="1" x14ac:dyDescent="0.3">
      <c r="B50" s="33">
        <v>42</v>
      </c>
      <c r="C50" s="127" t="s">
        <v>108</v>
      </c>
      <c r="D50" s="61"/>
      <c r="E50" s="85">
        <v>16</v>
      </c>
      <c r="F50" s="86">
        <v>4</v>
      </c>
      <c r="G50" s="104"/>
      <c r="H50" s="40">
        <f t="shared" si="1"/>
        <v>10</v>
      </c>
      <c r="I50" s="63" t="str">
        <f t="shared" si="2"/>
        <v>TRANSITA</v>
      </c>
      <c r="J50" s="85">
        <v>14</v>
      </c>
      <c r="K50" s="86">
        <v>12</v>
      </c>
      <c r="L50" s="86"/>
      <c r="M50" s="40">
        <f t="shared" si="3"/>
        <v>13</v>
      </c>
      <c r="N50" s="63" t="str">
        <f t="shared" si="4"/>
        <v>TRANSITA</v>
      </c>
      <c r="O50" s="85"/>
      <c r="P50" s="86"/>
      <c r="Q50" s="70"/>
      <c r="R50" s="40">
        <f t="shared" si="5"/>
        <v>0</v>
      </c>
      <c r="S50" s="41">
        <f t="shared" si="13"/>
        <v>7.666666666666667</v>
      </c>
      <c r="T50" s="81" t="str">
        <f t="shared" si="6"/>
        <v>N/TRANSITA</v>
      </c>
    </row>
    <row r="51" spans="2:20" ht="14.25" customHeight="1" x14ac:dyDescent="0.3">
      <c r="B51" s="33">
        <v>43</v>
      </c>
      <c r="C51" s="127" t="s">
        <v>109</v>
      </c>
      <c r="D51" s="61"/>
      <c r="E51" s="85">
        <v>14</v>
      </c>
      <c r="F51" s="86">
        <v>11</v>
      </c>
      <c r="G51" s="104"/>
      <c r="H51" s="40">
        <f t="shared" si="1"/>
        <v>12.5</v>
      </c>
      <c r="I51" s="63" t="str">
        <f t="shared" si="2"/>
        <v>TRANSITA</v>
      </c>
      <c r="J51" s="85"/>
      <c r="K51" s="86"/>
      <c r="L51" s="86"/>
      <c r="M51" s="40">
        <f t="shared" si="3"/>
        <v>0</v>
      </c>
      <c r="N51" s="63" t="str">
        <f t="shared" si="4"/>
        <v>N/TRANSITA</v>
      </c>
      <c r="O51" s="85"/>
      <c r="P51" s="86"/>
      <c r="Q51" s="70"/>
      <c r="R51" s="40">
        <f t="shared" si="5"/>
        <v>0</v>
      </c>
      <c r="S51" s="41">
        <f t="shared" si="13"/>
        <v>4.166666666666667</v>
      </c>
      <c r="T51" s="81" t="str">
        <f t="shared" si="6"/>
        <v>N/TRANSITA</v>
      </c>
    </row>
    <row r="52" spans="2:20" ht="14.25" customHeight="1" x14ac:dyDescent="0.3">
      <c r="B52" s="33">
        <v>44</v>
      </c>
      <c r="C52" s="127" t="s">
        <v>110</v>
      </c>
      <c r="D52" s="60"/>
      <c r="E52" s="85">
        <v>20</v>
      </c>
      <c r="F52" s="86">
        <v>7</v>
      </c>
      <c r="G52" s="104"/>
      <c r="H52" s="40">
        <f t="shared" si="1"/>
        <v>13.5</v>
      </c>
      <c r="I52" s="63" t="str">
        <f t="shared" si="2"/>
        <v>TRANSITA</v>
      </c>
      <c r="J52" s="85">
        <v>15</v>
      </c>
      <c r="K52" s="86">
        <v>8</v>
      </c>
      <c r="L52" s="86"/>
      <c r="M52" s="40">
        <f t="shared" si="3"/>
        <v>11.5</v>
      </c>
      <c r="N52" s="63" t="str">
        <f t="shared" si="4"/>
        <v>TRANSITA</v>
      </c>
      <c r="O52" s="85"/>
      <c r="P52" s="86"/>
      <c r="Q52" s="70"/>
      <c r="R52" s="40">
        <f t="shared" si="5"/>
        <v>0</v>
      </c>
      <c r="S52" s="41">
        <f t="shared" si="13"/>
        <v>8.3333333333333339</v>
      </c>
      <c r="T52" s="81" t="str">
        <f t="shared" si="6"/>
        <v>N/TRANSITA</v>
      </c>
    </row>
    <row r="53" spans="2:20" ht="14.25" customHeight="1" x14ac:dyDescent="0.3">
      <c r="B53" s="33">
        <v>45</v>
      </c>
      <c r="C53" s="127" t="s">
        <v>111</v>
      </c>
      <c r="D53" s="60"/>
      <c r="E53" s="85">
        <v>10</v>
      </c>
      <c r="F53" s="86"/>
      <c r="G53" s="104"/>
      <c r="H53" s="40">
        <f t="shared" si="1"/>
        <v>5</v>
      </c>
      <c r="I53" s="63" t="str">
        <f t="shared" si="2"/>
        <v>N/TRANSITA</v>
      </c>
      <c r="J53" s="85"/>
      <c r="K53" s="86"/>
      <c r="L53" s="86"/>
      <c r="M53" s="40">
        <f t="shared" si="3"/>
        <v>0</v>
      </c>
      <c r="N53" s="63" t="str">
        <f t="shared" si="4"/>
        <v>N/TRANSITA</v>
      </c>
      <c r="O53" s="85"/>
      <c r="P53" s="86"/>
      <c r="Q53" s="70"/>
      <c r="R53" s="40">
        <f t="shared" si="5"/>
        <v>0</v>
      </c>
      <c r="S53" s="41">
        <f t="shared" si="13"/>
        <v>1.6666666666666667</v>
      </c>
      <c r="T53" s="81" t="str">
        <f t="shared" si="6"/>
        <v>N/TRANSITA</v>
      </c>
    </row>
    <row r="54" spans="2:20" ht="14.25" customHeight="1" x14ac:dyDescent="0.3">
      <c r="B54" s="33">
        <v>46</v>
      </c>
      <c r="C54" s="127" t="s">
        <v>112</v>
      </c>
      <c r="D54" s="60"/>
      <c r="E54" s="85">
        <v>16</v>
      </c>
      <c r="F54" s="86">
        <v>2</v>
      </c>
      <c r="G54" s="104"/>
      <c r="H54" s="40">
        <f t="shared" si="1"/>
        <v>9</v>
      </c>
      <c r="I54" s="63" t="str">
        <f t="shared" si="2"/>
        <v>N/TRANSITA</v>
      </c>
      <c r="J54" s="85">
        <v>12</v>
      </c>
      <c r="K54" s="86">
        <v>7</v>
      </c>
      <c r="L54" s="86"/>
      <c r="M54" s="40">
        <f t="shared" si="3"/>
        <v>9.5</v>
      </c>
      <c r="N54" s="63" t="str">
        <f t="shared" si="4"/>
        <v>N/TRANSITA</v>
      </c>
      <c r="O54" s="85"/>
      <c r="P54" s="86"/>
      <c r="Q54" s="70"/>
      <c r="R54" s="40">
        <f t="shared" si="5"/>
        <v>0</v>
      </c>
      <c r="S54" s="41">
        <f t="shared" si="13"/>
        <v>6.166666666666667</v>
      </c>
      <c r="T54" s="81" t="str">
        <f t="shared" si="6"/>
        <v>N/TRANSITA</v>
      </c>
    </row>
    <row r="55" spans="2:20" ht="14.25" customHeight="1" x14ac:dyDescent="0.3">
      <c r="B55" s="33">
        <v>47</v>
      </c>
      <c r="C55" s="127" t="s">
        <v>141</v>
      </c>
      <c r="D55" s="60"/>
      <c r="E55" s="85"/>
      <c r="F55" s="86"/>
      <c r="G55" s="104"/>
      <c r="H55" s="40">
        <f t="shared" si="1"/>
        <v>0</v>
      </c>
      <c r="I55" s="63" t="str">
        <f t="shared" si="2"/>
        <v>N/TRANSITA</v>
      </c>
      <c r="J55" s="85">
        <v>12</v>
      </c>
      <c r="K55" s="86">
        <v>7</v>
      </c>
      <c r="L55" s="86"/>
      <c r="M55" s="40">
        <f t="shared" ref="M55:M56" si="20">AVERAGE(J55,MAX(K55:L55))</f>
        <v>9.5</v>
      </c>
      <c r="N55" s="63" t="str">
        <f t="shared" ref="N55:N56" si="21">IF(M55&gt;=10,"TRANSITA","N/TRANSITA")</f>
        <v>N/TRANSITA</v>
      </c>
      <c r="O55" s="85"/>
      <c r="P55" s="86"/>
      <c r="Q55" s="70"/>
      <c r="R55" s="40">
        <f t="shared" ref="R55:R56" si="22">AVERAGE(O55,MAX(P55:Q55))</f>
        <v>0</v>
      </c>
      <c r="S55" s="41">
        <f t="shared" ref="S55:S56" si="23">SUM(H55,M55,R55)/3</f>
        <v>3.1666666666666665</v>
      </c>
      <c r="T55" s="81" t="str">
        <f t="shared" ref="T55:T56" si="24">IF(S55&gt;=10,"TRANSITA","N/TRANSITA")</f>
        <v>N/TRANSITA</v>
      </c>
    </row>
    <row r="56" spans="2:20" ht="14.25" customHeight="1" x14ac:dyDescent="0.3">
      <c r="B56" s="33">
        <v>48</v>
      </c>
      <c r="C56" s="127" t="s">
        <v>113</v>
      </c>
      <c r="D56" s="60"/>
      <c r="E56" s="85">
        <v>10</v>
      </c>
      <c r="F56" s="86"/>
      <c r="G56" s="104"/>
      <c r="H56" s="40">
        <f t="shared" si="1"/>
        <v>5</v>
      </c>
      <c r="I56" s="63" t="str">
        <f t="shared" si="2"/>
        <v>N/TRANSITA</v>
      </c>
      <c r="J56" s="85"/>
      <c r="K56" s="86"/>
      <c r="L56" s="86"/>
      <c r="M56" s="40">
        <f t="shared" si="20"/>
        <v>0</v>
      </c>
      <c r="N56" s="63" t="str">
        <f t="shared" si="21"/>
        <v>N/TRANSITA</v>
      </c>
      <c r="O56" s="85"/>
      <c r="P56" s="86"/>
      <c r="Q56" s="70"/>
      <c r="R56" s="40">
        <f t="shared" si="22"/>
        <v>0</v>
      </c>
      <c r="S56" s="41">
        <f t="shared" si="23"/>
        <v>1.6666666666666667</v>
      </c>
      <c r="T56" s="81" t="str">
        <f t="shared" si="24"/>
        <v>N/TRANSITA</v>
      </c>
    </row>
    <row r="57" spans="2:20" ht="14.25" customHeight="1" x14ac:dyDescent="0.3">
      <c r="B57" s="33">
        <v>49</v>
      </c>
      <c r="C57" s="127" t="s">
        <v>114</v>
      </c>
      <c r="D57" s="60"/>
      <c r="E57" s="85">
        <v>18</v>
      </c>
      <c r="F57" s="86">
        <v>2</v>
      </c>
      <c r="G57" s="104"/>
      <c r="H57" s="40">
        <f t="shared" si="1"/>
        <v>10</v>
      </c>
      <c r="I57" s="63" t="str">
        <f t="shared" si="2"/>
        <v>TRANSITA</v>
      </c>
      <c r="J57" s="85"/>
      <c r="K57" s="86"/>
      <c r="L57" s="86"/>
      <c r="M57" s="40">
        <f t="shared" ref="M57:M63" si="25">AVERAGE(J57,MAX(K57:L57))</f>
        <v>0</v>
      </c>
      <c r="N57" s="63" t="str">
        <f t="shared" ref="N57:N63" si="26">IF(M57&gt;=10,"TRANSITA","N/TRANSITA")</f>
        <v>N/TRANSITA</v>
      </c>
      <c r="O57" s="85"/>
      <c r="P57" s="86"/>
      <c r="Q57" s="70"/>
      <c r="R57" s="40">
        <f t="shared" ref="R57:R63" si="27">AVERAGE(O57,MAX(P57:Q57))</f>
        <v>0</v>
      </c>
      <c r="S57" s="41">
        <f t="shared" ref="S57:S63" si="28">SUM(H57,M57,R57)/3</f>
        <v>3.3333333333333335</v>
      </c>
      <c r="T57" s="81" t="str">
        <f t="shared" ref="T57:T63" si="29">IF(S57&gt;=10,"TRANSITA","N/TRANSITA")</f>
        <v>N/TRANSITA</v>
      </c>
    </row>
    <row r="58" spans="2:20" ht="14.25" customHeight="1" x14ac:dyDescent="0.3">
      <c r="B58" s="33">
        <v>50</v>
      </c>
      <c r="C58" s="127" t="s">
        <v>115</v>
      </c>
      <c r="D58" s="60"/>
      <c r="E58" s="85">
        <v>16</v>
      </c>
      <c r="F58" s="86">
        <v>3</v>
      </c>
      <c r="G58" s="104"/>
      <c r="H58" s="40">
        <f t="shared" si="1"/>
        <v>9.5</v>
      </c>
      <c r="I58" s="63" t="str">
        <f t="shared" si="2"/>
        <v>N/TRANSITA</v>
      </c>
      <c r="J58" s="85">
        <v>15</v>
      </c>
      <c r="K58" s="86">
        <v>11</v>
      </c>
      <c r="L58" s="86"/>
      <c r="M58" s="40">
        <f t="shared" si="25"/>
        <v>13</v>
      </c>
      <c r="N58" s="63" t="str">
        <f t="shared" si="26"/>
        <v>TRANSITA</v>
      </c>
      <c r="O58" s="85"/>
      <c r="P58" s="86"/>
      <c r="Q58" s="70"/>
      <c r="R58" s="40">
        <f t="shared" si="27"/>
        <v>0</v>
      </c>
      <c r="S58" s="41">
        <f t="shared" si="28"/>
        <v>7.5</v>
      </c>
      <c r="T58" s="81" t="str">
        <f t="shared" si="29"/>
        <v>N/TRANSITA</v>
      </c>
    </row>
    <row r="59" spans="2:20" ht="14.25" customHeight="1" x14ac:dyDescent="0.3">
      <c r="B59" s="33">
        <v>51</v>
      </c>
      <c r="C59" s="127" t="s">
        <v>116</v>
      </c>
      <c r="D59" s="60"/>
      <c r="E59" s="85">
        <v>10</v>
      </c>
      <c r="F59" s="86"/>
      <c r="G59" s="104"/>
      <c r="H59" s="40">
        <f t="shared" si="1"/>
        <v>5</v>
      </c>
      <c r="I59" s="63" t="str">
        <f t="shared" si="2"/>
        <v>N/TRANSITA</v>
      </c>
      <c r="J59" s="85"/>
      <c r="K59" s="86"/>
      <c r="L59" s="86"/>
      <c r="M59" s="40">
        <f t="shared" si="25"/>
        <v>0</v>
      </c>
      <c r="N59" s="63" t="str">
        <f t="shared" si="26"/>
        <v>N/TRANSITA</v>
      </c>
      <c r="O59" s="85"/>
      <c r="P59" s="86"/>
      <c r="Q59" s="70"/>
      <c r="R59" s="40">
        <f t="shared" si="27"/>
        <v>0</v>
      </c>
      <c r="S59" s="41">
        <f t="shared" si="28"/>
        <v>1.6666666666666667</v>
      </c>
      <c r="T59" s="81" t="str">
        <f t="shared" si="29"/>
        <v>N/TRANSITA</v>
      </c>
    </row>
    <row r="60" spans="2:20" ht="14.25" customHeight="1" x14ac:dyDescent="0.3">
      <c r="B60" s="33">
        <v>52</v>
      </c>
      <c r="C60" s="127" t="s">
        <v>117</v>
      </c>
      <c r="D60" s="60"/>
      <c r="E60" s="85">
        <v>16</v>
      </c>
      <c r="F60" s="86">
        <v>2</v>
      </c>
      <c r="G60" s="104"/>
      <c r="H60" s="40">
        <f t="shared" si="1"/>
        <v>9</v>
      </c>
      <c r="I60" s="63" t="str">
        <f t="shared" si="2"/>
        <v>N/TRANSITA</v>
      </c>
      <c r="J60" s="85">
        <v>11</v>
      </c>
      <c r="K60" s="86">
        <v>7</v>
      </c>
      <c r="L60" s="86"/>
      <c r="M60" s="40">
        <f t="shared" si="25"/>
        <v>9</v>
      </c>
      <c r="N60" s="63" t="str">
        <f t="shared" si="26"/>
        <v>N/TRANSITA</v>
      </c>
      <c r="O60" s="85"/>
      <c r="P60" s="86"/>
      <c r="Q60" s="70"/>
      <c r="R60" s="40">
        <f t="shared" si="27"/>
        <v>0</v>
      </c>
      <c r="S60" s="41">
        <f t="shared" si="28"/>
        <v>6</v>
      </c>
      <c r="T60" s="81" t="str">
        <f t="shared" si="29"/>
        <v>N/TRANSITA</v>
      </c>
    </row>
    <row r="61" spans="2:20" ht="14.25" customHeight="1" x14ac:dyDescent="0.3">
      <c r="B61" s="33">
        <v>53</v>
      </c>
      <c r="C61" s="127" t="s">
        <v>118</v>
      </c>
      <c r="D61" s="60"/>
      <c r="E61" s="85">
        <v>10</v>
      </c>
      <c r="F61" s="86"/>
      <c r="G61" s="104"/>
      <c r="H61" s="40">
        <f t="shared" si="1"/>
        <v>5</v>
      </c>
      <c r="I61" s="63" t="str">
        <f t="shared" si="2"/>
        <v>N/TRANSITA</v>
      </c>
      <c r="J61" s="85"/>
      <c r="K61" s="86"/>
      <c r="L61" s="86"/>
      <c r="M61" s="40">
        <f t="shared" si="25"/>
        <v>0</v>
      </c>
      <c r="N61" s="63" t="str">
        <f t="shared" si="26"/>
        <v>N/TRANSITA</v>
      </c>
      <c r="O61" s="85"/>
      <c r="P61" s="86"/>
      <c r="Q61" s="70"/>
      <c r="R61" s="40">
        <f t="shared" si="27"/>
        <v>0</v>
      </c>
      <c r="S61" s="41">
        <f t="shared" si="28"/>
        <v>1.6666666666666667</v>
      </c>
      <c r="T61" s="81" t="str">
        <f t="shared" si="29"/>
        <v>N/TRANSITA</v>
      </c>
    </row>
    <row r="62" spans="2:20" ht="14.25" customHeight="1" x14ac:dyDescent="0.3">
      <c r="B62" s="33">
        <v>54</v>
      </c>
      <c r="C62" s="128" t="s">
        <v>119</v>
      </c>
      <c r="D62" s="60"/>
      <c r="E62" s="85">
        <v>16</v>
      </c>
      <c r="F62" s="86">
        <v>0</v>
      </c>
      <c r="G62" s="104"/>
      <c r="H62" s="40">
        <f t="shared" si="1"/>
        <v>8</v>
      </c>
      <c r="I62" s="63" t="str">
        <f t="shared" si="2"/>
        <v>N/TRANSITA</v>
      </c>
      <c r="J62" s="85"/>
      <c r="K62" s="86"/>
      <c r="L62" s="86"/>
      <c r="M62" s="40">
        <f t="shared" si="25"/>
        <v>0</v>
      </c>
      <c r="N62" s="63" t="str">
        <f t="shared" si="26"/>
        <v>N/TRANSITA</v>
      </c>
      <c r="O62" s="85"/>
      <c r="P62" s="86"/>
      <c r="Q62" s="70"/>
      <c r="R62" s="40">
        <f t="shared" si="27"/>
        <v>0</v>
      </c>
      <c r="S62" s="41">
        <f t="shared" si="28"/>
        <v>2.6666666666666665</v>
      </c>
      <c r="T62" s="81" t="str">
        <f t="shared" si="29"/>
        <v>N/TRANSITA</v>
      </c>
    </row>
    <row r="63" spans="2:20" ht="14.25" customHeight="1" x14ac:dyDescent="0.3">
      <c r="B63" s="33">
        <v>55</v>
      </c>
      <c r="C63" s="127" t="s">
        <v>120</v>
      </c>
      <c r="D63" s="60"/>
      <c r="E63" s="85">
        <v>16</v>
      </c>
      <c r="F63" s="86">
        <v>0</v>
      </c>
      <c r="G63" s="104"/>
      <c r="H63" s="40">
        <f t="shared" si="1"/>
        <v>8</v>
      </c>
      <c r="I63" s="63" t="str">
        <f t="shared" si="2"/>
        <v>N/TRANSITA</v>
      </c>
      <c r="J63" s="85">
        <v>14</v>
      </c>
      <c r="K63" s="86">
        <v>8</v>
      </c>
      <c r="L63" s="86"/>
      <c r="M63" s="40">
        <f t="shared" si="25"/>
        <v>11</v>
      </c>
      <c r="N63" s="63" t="str">
        <f t="shared" si="26"/>
        <v>TRANSITA</v>
      </c>
      <c r="O63" s="85"/>
      <c r="P63" s="86"/>
      <c r="Q63" s="70"/>
      <c r="R63" s="40">
        <f t="shared" si="27"/>
        <v>0</v>
      </c>
      <c r="S63" s="41">
        <f t="shared" si="28"/>
        <v>6.333333333333333</v>
      </c>
      <c r="T63" s="81" t="str">
        <f t="shared" si="29"/>
        <v>N/TRANSITA</v>
      </c>
    </row>
    <row r="64" spans="2:20" ht="14.25" customHeight="1" x14ac:dyDescent="0.3">
      <c r="B64" s="33">
        <v>56</v>
      </c>
      <c r="C64" s="127" t="s">
        <v>121</v>
      </c>
      <c r="D64" s="60"/>
      <c r="E64" s="85">
        <v>16</v>
      </c>
      <c r="F64" s="86">
        <v>3</v>
      </c>
      <c r="G64" s="104"/>
      <c r="H64" s="40">
        <f t="shared" si="1"/>
        <v>9.5</v>
      </c>
      <c r="I64" s="63" t="str">
        <f t="shared" si="2"/>
        <v>N/TRANSITA</v>
      </c>
      <c r="J64" s="85">
        <v>10</v>
      </c>
      <c r="K64" s="86">
        <v>12</v>
      </c>
      <c r="L64" s="86"/>
      <c r="M64" s="40">
        <f t="shared" si="3"/>
        <v>11</v>
      </c>
      <c r="N64" s="63" t="str">
        <f t="shared" si="4"/>
        <v>TRANSITA</v>
      </c>
      <c r="O64" s="85"/>
      <c r="P64" s="86"/>
      <c r="Q64" s="70"/>
      <c r="R64" s="40">
        <f t="shared" si="5"/>
        <v>0</v>
      </c>
      <c r="S64" s="41">
        <f t="shared" si="13"/>
        <v>6.833333333333333</v>
      </c>
      <c r="T64" s="81" t="str">
        <f t="shared" si="6"/>
        <v>N/TRANSITA</v>
      </c>
    </row>
    <row r="65" spans="1:20" ht="14.25" customHeight="1" x14ac:dyDescent="0.3">
      <c r="B65" s="33">
        <v>57</v>
      </c>
      <c r="C65" s="127" t="s">
        <v>122</v>
      </c>
      <c r="D65" s="61"/>
      <c r="E65" s="85">
        <v>10</v>
      </c>
      <c r="F65" s="86"/>
      <c r="G65" s="104"/>
      <c r="H65" s="40">
        <f t="shared" si="1"/>
        <v>5</v>
      </c>
      <c r="I65" s="63" t="str">
        <f t="shared" si="2"/>
        <v>N/TRANSITA</v>
      </c>
      <c r="J65" s="85"/>
      <c r="K65" s="86"/>
      <c r="L65" s="86"/>
      <c r="M65" s="40">
        <f t="shared" si="3"/>
        <v>0</v>
      </c>
      <c r="N65" s="63" t="str">
        <f t="shared" si="4"/>
        <v>N/TRANSITA</v>
      </c>
      <c r="O65" s="85"/>
      <c r="P65" s="86"/>
      <c r="Q65" s="70"/>
      <c r="R65" s="40">
        <f t="shared" si="5"/>
        <v>0</v>
      </c>
      <c r="S65" s="41">
        <f t="shared" si="13"/>
        <v>1.6666666666666667</v>
      </c>
      <c r="T65" s="81" t="str">
        <f t="shared" si="6"/>
        <v>N/TRANSITA</v>
      </c>
    </row>
    <row r="66" spans="1:20" ht="14.25" customHeight="1" x14ac:dyDescent="0.3">
      <c r="B66" s="33">
        <v>58</v>
      </c>
      <c r="C66" s="127" t="s">
        <v>123</v>
      </c>
      <c r="D66" s="60"/>
      <c r="E66" s="85">
        <v>16</v>
      </c>
      <c r="F66" s="86">
        <v>5</v>
      </c>
      <c r="G66" s="104"/>
      <c r="H66" s="40">
        <f t="shared" si="1"/>
        <v>10.5</v>
      </c>
      <c r="I66" s="63" t="str">
        <f t="shared" si="2"/>
        <v>TRANSITA</v>
      </c>
      <c r="J66" s="85">
        <v>10</v>
      </c>
      <c r="K66" s="86">
        <v>7</v>
      </c>
      <c r="L66" s="86"/>
      <c r="M66" s="40">
        <f t="shared" si="3"/>
        <v>8.5</v>
      </c>
      <c r="N66" s="63" t="str">
        <f t="shared" si="4"/>
        <v>N/TRANSITA</v>
      </c>
      <c r="O66" s="85"/>
      <c r="P66" s="86"/>
      <c r="Q66" s="70"/>
      <c r="R66" s="40">
        <f t="shared" si="5"/>
        <v>0</v>
      </c>
      <c r="S66" s="41">
        <f t="shared" si="13"/>
        <v>6.333333333333333</v>
      </c>
      <c r="T66" s="81" t="str">
        <f t="shared" si="6"/>
        <v>N/TRANSITA</v>
      </c>
    </row>
    <row r="67" spans="1:20" ht="14.25" customHeight="1" x14ac:dyDescent="0.3">
      <c r="B67" s="33">
        <v>59</v>
      </c>
      <c r="C67" s="127" t="s">
        <v>124</v>
      </c>
      <c r="D67" s="60"/>
      <c r="E67" s="85">
        <v>14</v>
      </c>
      <c r="F67" s="86">
        <v>6</v>
      </c>
      <c r="G67" s="104"/>
      <c r="H67" s="40">
        <f t="shared" si="1"/>
        <v>10</v>
      </c>
      <c r="I67" s="63" t="str">
        <f t="shared" si="2"/>
        <v>TRANSITA</v>
      </c>
      <c r="J67" s="85">
        <v>12</v>
      </c>
      <c r="K67" s="86">
        <v>7</v>
      </c>
      <c r="L67" s="86"/>
      <c r="M67" s="40">
        <f t="shared" si="3"/>
        <v>9.5</v>
      </c>
      <c r="N67" s="63" t="str">
        <f t="shared" si="4"/>
        <v>N/TRANSITA</v>
      </c>
      <c r="O67" s="85"/>
      <c r="P67" s="86"/>
      <c r="Q67" s="70"/>
      <c r="R67" s="40">
        <f t="shared" si="5"/>
        <v>0</v>
      </c>
      <c r="S67" s="41">
        <f t="shared" si="13"/>
        <v>6.5</v>
      </c>
      <c r="T67" s="81" t="str">
        <f t="shared" si="6"/>
        <v>N/TRANSITA</v>
      </c>
    </row>
    <row r="68" spans="1:20" ht="14.25" customHeight="1" thickBot="1" x14ac:dyDescent="0.35">
      <c r="B68" s="33">
        <v>60</v>
      </c>
      <c r="C68" s="128" t="s">
        <v>125</v>
      </c>
      <c r="D68" s="60"/>
      <c r="E68" s="85">
        <v>10</v>
      </c>
      <c r="F68" s="86"/>
      <c r="G68" s="104"/>
      <c r="H68" s="40">
        <f t="shared" si="1"/>
        <v>5</v>
      </c>
      <c r="I68" s="63" t="str">
        <f t="shared" si="2"/>
        <v>N/TRANSITA</v>
      </c>
      <c r="J68" s="87">
        <v>12.5</v>
      </c>
      <c r="K68" s="88">
        <v>10</v>
      </c>
      <c r="L68" s="86"/>
      <c r="M68" s="40">
        <f t="shared" si="3"/>
        <v>11.25</v>
      </c>
      <c r="N68" s="63" t="str">
        <f t="shared" si="4"/>
        <v>TRANSITA</v>
      </c>
      <c r="O68" s="85"/>
      <c r="P68" s="86"/>
      <c r="Q68" s="70"/>
      <c r="R68" s="40">
        <f t="shared" si="5"/>
        <v>0</v>
      </c>
      <c r="S68" s="41">
        <f t="shared" si="13"/>
        <v>5.416666666666667</v>
      </c>
      <c r="T68" s="81" t="str">
        <f t="shared" si="6"/>
        <v>N/TRANSITA</v>
      </c>
    </row>
    <row r="69" spans="1:20" ht="14.25" customHeight="1" thickTop="1" x14ac:dyDescent="0.3">
      <c r="B69" s="33">
        <v>61</v>
      </c>
      <c r="C69" s="127" t="s">
        <v>126</v>
      </c>
      <c r="D69" s="60"/>
      <c r="E69" s="85">
        <v>10</v>
      </c>
      <c r="F69" s="86"/>
      <c r="G69" s="104"/>
      <c r="H69" s="40">
        <f t="shared" si="1"/>
        <v>5</v>
      </c>
      <c r="I69" s="63" t="str">
        <f t="shared" si="2"/>
        <v>N/TRANSITA</v>
      </c>
      <c r="J69" s="19"/>
      <c r="K69" s="86"/>
      <c r="L69" s="86"/>
      <c r="M69" s="40">
        <f t="shared" si="3"/>
        <v>0</v>
      </c>
      <c r="N69" s="63" t="str">
        <f t="shared" si="4"/>
        <v>N/TRANSITA</v>
      </c>
      <c r="O69" s="85"/>
      <c r="P69" s="86"/>
      <c r="Q69" s="70"/>
      <c r="R69" s="40">
        <f t="shared" si="5"/>
        <v>0</v>
      </c>
      <c r="S69" s="41">
        <f t="shared" si="13"/>
        <v>1.6666666666666667</v>
      </c>
      <c r="T69" s="81" t="str">
        <f t="shared" si="6"/>
        <v>N/TRANSITA</v>
      </c>
    </row>
    <row r="70" spans="1:20" ht="14.25" customHeight="1" x14ac:dyDescent="0.3">
      <c r="B70" s="33">
        <v>62</v>
      </c>
      <c r="C70" s="127" t="s">
        <v>127</v>
      </c>
      <c r="D70" s="60"/>
      <c r="E70" s="85">
        <v>10</v>
      </c>
      <c r="F70" s="86"/>
      <c r="G70" s="104"/>
      <c r="H70" s="40">
        <f t="shared" si="1"/>
        <v>5</v>
      </c>
      <c r="I70" s="63" t="str">
        <f t="shared" si="2"/>
        <v>N/TRANSITA</v>
      </c>
      <c r="J70" s="20"/>
      <c r="K70" s="86"/>
      <c r="L70" s="86"/>
      <c r="M70" s="40">
        <f t="shared" si="3"/>
        <v>0</v>
      </c>
      <c r="N70" s="63" t="str">
        <f t="shared" si="4"/>
        <v>N/TRANSITA</v>
      </c>
      <c r="O70" s="85"/>
      <c r="P70" s="86"/>
      <c r="Q70" s="70"/>
      <c r="R70" s="40">
        <f t="shared" si="5"/>
        <v>0</v>
      </c>
      <c r="S70" s="41">
        <f t="shared" si="13"/>
        <v>1.6666666666666667</v>
      </c>
      <c r="T70" s="81" t="str">
        <f t="shared" si="6"/>
        <v>N/TRANSITA</v>
      </c>
    </row>
    <row r="71" spans="1:20" ht="14.25" customHeight="1" thickBot="1" x14ac:dyDescent="0.35">
      <c r="B71" s="33">
        <v>63</v>
      </c>
      <c r="C71" s="129" t="s">
        <v>128</v>
      </c>
      <c r="D71" s="62"/>
      <c r="E71" s="87">
        <v>14</v>
      </c>
      <c r="F71" s="88">
        <v>8</v>
      </c>
      <c r="G71" s="105"/>
      <c r="H71" s="156">
        <f t="shared" si="1"/>
        <v>11</v>
      </c>
      <c r="I71" s="75" t="str">
        <f t="shared" si="2"/>
        <v>TRANSITA</v>
      </c>
      <c r="J71" s="22"/>
      <c r="K71" s="88"/>
      <c r="L71" s="88"/>
      <c r="M71" s="156">
        <f t="shared" si="3"/>
        <v>0</v>
      </c>
      <c r="N71" s="75" t="str">
        <f t="shared" si="4"/>
        <v>N/TRANSITA</v>
      </c>
      <c r="O71" s="87"/>
      <c r="P71" s="88"/>
      <c r="Q71" s="71"/>
      <c r="R71" s="156">
        <f t="shared" si="5"/>
        <v>0</v>
      </c>
      <c r="S71" s="42">
        <f t="shared" si="13"/>
        <v>3.6666666666666665</v>
      </c>
      <c r="T71" s="82" t="str">
        <f t="shared" si="6"/>
        <v>N/TRANSITA</v>
      </c>
    </row>
    <row r="72" spans="1:20" ht="93.75" customHeight="1" thickTop="1" x14ac:dyDescent="0.3">
      <c r="B72" s="19"/>
      <c r="C72" s="19"/>
      <c r="D72" s="19"/>
      <c r="E72" s="19"/>
      <c r="F72" s="19"/>
      <c r="G72" s="19"/>
      <c r="H72" s="19"/>
      <c r="I72" s="19"/>
      <c r="J72" s="19"/>
      <c r="O72" s="19"/>
      <c r="P72" s="19"/>
      <c r="Q72" s="19"/>
      <c r="R72" s="19"/>
      <c r="S72" s="19"/>
      <c r="T72" s="19"/>
    </row>
    <row r="73" spans="1:20" ht="20.25" customHeight="1" x14ac:dyDescent="0.45">
      <c r="A73" s="20"/>
      <c r="B73" s="20"/>
      <c r="C73" s="20"/>
      <c r="D73" s="20"/>
      <c r="E73" s="20"/>
      <c r="F73" s="20"/>
      <c r="G73" s="20"/>
      <c r="H73" s="20"/>
      <c r="I73" s="20"/>
      <c r="J73" s="20"/>
      <c r="O73" s="20"/>
      <c r="P73" s="21"/>
      <c r="Q73" s="21"/>
      <c r="R73" s="21"/>
      <c r="S73" s="20"/>
      <c r="T73" s="20"/>
    </row>
    <row r="74" spans="1:20" ht="15.6" x14ac:dyDescent="0.3">
      <c r="A74" s="253" t="s">
        <v>56</v>
      </c>
      <c r="B74" s="253"/>
      <c r="C74" s="253"/>
      <c r="D74" s="253"/>
      <c r="E74" s="253"/>
      <c r="F74" s="22"/>
      <c r="G74" s="22"/>
      <c r="H74" s="22"/>
      <c r="I74" s="22"/>
      <c r="J74" s="22"/>
      <c r="K74" s="23"/>
      <c r="L74" s="23"/>
      <c r="M74" s="23"/>
      <c r="N74" s="23"/>
      <c r="O74" s="253" t="s">
        <v>9</v>
      </c>
      <c r="P74" s="253"/>
      <c r="Q74" s="253"/>
      <c r="R74" s="253"/>
      <c r="S74" s="253"/>
      <c r="T74" s="253"/>
    </row>
    <row r="75" spans="1:20" ht="15.6" x14ac:dyDescent="0.3">
      <c r="A75" s="254" t="s">
        <v>22</v>
      </c>
      <c r="B75" s="254"/>
      <c r="C75" s="254"/>
      <c r="D75" s="254"/>
      <c r="E75" s="254"/>
      <c r="F75" s="24"/>
      <c r="G75" s="24"/>
      <c r="H75" s="24"/>
      <c r="I75" s="24"/>
      <c r="J75" s="24"/>
      <c r="O75" s="255" t="s">
        <v>23</v>
      </c>
      <c r="P75" s="255"/>
      <c r="Q75" s="255"/>
      <c r="R75" s="255"/>
      <c r="S75" s="255"/>
      <c r="T75" s="255"/>
    </row>
    <row r="76" spans="1:20" x14ac:dyDescent="0.3">
      <c r="A76" s="247"/>
      <c r="B76" s="247"/>
      <c r="C76" s="247"/>
      <c r="D76" s="247"/>
      <c r="E76" s="247"/>
      <c r="O76" s="247" t="s">
        <v>24</v>
      </c>
      <c r="P76" s="247"/>
      <c r="Q76" s="247"/>
      <c r="R76" s="247"/>
      <c r="S76" s="247"/>
      <c r="T76" s="247"/>
    </row>
  </sheetData>
  <mergeCells count="22">
    <mergeCell ref="A76:E76"/>
    <mergeCell ref="O76:T76"/>
    <mergeCell ref="S7:S8"/>
    <mergeCell ref="T7:T8"/>
    <mergeCell ref="A74:E74"/>
    <mergeCell ref="O74:T74"/>
    <mergeCell ref="A75:E75"/>
    <mergeCell ref="O75:T75"/>
    <mergeCell ref="B7:B8"/>
    <mergeCell ref="C7:C8"/>
    <mergeCell ref="E7:H7"/>
    <mergeCell ref="J7:M7"/>
    <mergeCell ref="O7:R7"/>
    <mergeCell ref="I7:I8"/>
    <mergeCell ref="N7:N8"/>
    <mergeCell ref="B6:T6"/>
    <mergeCell ref="B5:C5"/>
    <mergeCell ref="A1:T1"/>
    <mergeCell ref="B3:R3"/>
    <mergeCell ref="B4:C4"/>
    <mergeCell ref="P4:T4"/>
    <mergeCell ref="N5:T5"/>
  </mergeCells>
  <conditionalFormatting sqref="S9:S71">
    <cfRule type="cellIs" dxfId="97" priority="189" stopIfTrue="1" operator="greaterThan">
      <formula>9.5</formula>
    </cfRule>
    <cfRule type="cellIs" dxfId="96" priority="190" stopIfTrue="1" operator="lessThanOrEqual">
      <formula>9.5</formula>
    </cfRule>
  </conditionalFormatting>
  <conditionalFormatting sqref="M9:M71 R9:R71">
    <cfRule type="cellIs" dxfId="95" priority="163" stopIfTrue="1" operator="lessThan">
      <formula>10</formula>
    </cfRule>
    <cfRule type="cellIs" dxfId="94" priority="164" stopIfTrue="1" operator="greaterThanOrEqual">
      <formula>10</formula>
    </cfRule>
  </conditionalFormatting>
  <conditionalFormatting sqref="L9:L71 O9:Q71">
    <cfRule type="cellIs" dxfId="93" priority="95" stopIfTrue="1" operator="lessThan">
      <formula>10</formula>
    </cfRule>
    <cfRule type="cellIs" dxfId="92" priority="96" stopIfTrue="1" operator="greaterThan">
      <formula>9</formula>
    </cfRule>
    <cfRule type="cellIs" dxfId="91" priority="97" stopIfTrue="1" operator="lessThan">
      <formula>10</formula>
    </cfRule>
    <cfRule type="cellIs" dxfId="90" priority="98" stopIfTrue="1" operator="greaterThan">
      <formula>9</formula>
    </cfRule>
  </conditionalFormatting>
  <conditionalFormatting sqref="H9:H71">
    <cfRule type="cellIs" dxfId="25" priority="23" stopIfTrue="1" operator="lessThan">
      <formula>10</formula>
    </cfRule>
    <cfRule type="cellIs" dxfId="24" priority="24" stopIfTrue="1" operator="greaterThanOrEqual">
      <formula>10</formula>
    </cfRule>
  </conditionalFormatting>
  <conditionalFormatting sqref="G9:G71 K69:K71">
    <cfRule type="cellIs" dxfId="23" priority="17" stopIfTrue="1" operator="lessThan">
      <formula>10</formula>
    </cfRule>
    <cfRule type="cellIs" dxfId="22" priority="18" stopIfTrue="1" operator="greaterThan">
      <formula>9</formula>
    </cfRule>
    <cfRule type="cellIs" dxfId="21" priority="19" stopIfTrue="1" operator="lessThan">
      <formula>10</formula>
    </cfRule>
    <cfRule type="cellIs" dxfId="20" priority="20" stopIfTrue="1" operator="greaterThan">
      <formula>9</formula>
    </cfRule>
  </conditionalFormatting>
  <conditionalFormatting sqref="E9:F71">
    <cfRule type="cellIs" dxfId="19" priority="13" stopIfTrue="1" operator="lessThan">
      <formula>10</formula>
    </cfRule>
    <cfRule type="cellIs" dxfId="18" priority="14" stopIfTrue="1" operator="greaterThan">
      <formula>9</formula>
    </cfRule>
    <cfRule type="cellIs" dxfId="17" priority="15" stopIfTrue="1" operator="lessThan">
      <formula>10</formula>
    </cfRule>
    <cfRule type="cellIs" dxfId="16" priority="16" stopIfTrue="1" operator="greaterThan">
      <formula>9</formula>
    </cfRule>
  </conditionalFormatting>
  <conditionalFormatting sqref="J13:J68">
    <cfRule type="cellIs" dxfId="15" priority="9" stopIfTrue="1" operator="lessThan">
      <formula>10</formula>
    </cfRule>
    <cfRule type="cellIs" dxfId="14" priority="10" stopIfTrue="1" operator="greaterThan">
      <formula>9</formula>
    </cfRule>
    <cfRule type="cellIs" dxfId="13" priority="11" stopIfTrue="1" operator="lessThan">
      <formula>10</formula>
    </cfRule>
    <cfRule type="cellIs" dxfId="12" priority="12" stopIfTrue="1" operator="greaterThan">
      <formula>9</formula>
    </cfRule>
  </conditionalFormatting>
  <conditionalFormatting sqref="K9:K68">
    <cfRule type="cellIs" dxfId="11" priority="5" stopIfTrue="1" operator="lessThan">
      <formula>10</formula>
    </cfRule>
    <cfRule type="cellIs" dxfId="10" priority="6" stopIfTrue="1" operator="greaterThan">
      <formula>9</formula>
    </cfRule>
    <cfRule type="cellIs" dxfId="9" priority="7" stopIfTrue="1" operator="lessThan">
      <formula>10</formula>
    </cfRule>
    <cfRule type="cellIs" dxfId="8" priority="8" stopIfTrue="1" operator="greaterThan">
      <formula>9</formula>
    </cfRule>
  </conditionalFormatting>
  <conditionalFormatting sqref="J9:J12">
    <cfRule type="cellIs" dxfId="7" priority="1" stopIfTrue="1" operator="lessThan">
      <formula>10</formula>
    </cfRule>
    <cfRule type="cellIs" dxfId="6" priority="2" stopIfTrue="1" operator="greaterThan">
      <formula>9</formula>
    </cfRule>
    <cfRule type="cellIs" dxfId="5" priority="3" stopIfTrue="1" operator="lessThan">
      <formula>10</formula>
    </cfRule>
    <cfRule type="cellIs" dxfId="4" priority="4" stopIfTrue="1" operator="greaterThan">
      <formula>9</formula>
    </cfRule>
  </conditionalFormatting>
  <dataValidations count="1">
    <dataValidation type="decimal" allowBlank="1" showInputMessage="1" showErrorMessage="1" errorTitle="ATENÇÃO!" error="O valor introduzido não é válido. Grato!" sqref="L9:L71 O9:Q71 E9:G71 K69:K71 J9:K68">
      <formula1>0</formula1>
      <formula2>20</formula2>
    </dataValidation>
  </dataValidations>
  <pageMargins left="0.15748031496062992" right="0.51181102362204722" top="0.15748031496062992" bottom="0.15748031496062992" header="0.31496062992125984" footer="0.15748031496062992"/>
  <pageSetup paperSize="9" scale="95" orientation="portrait" verticalDpi="4294967293" r:id="rId1"/>
  <drawing r:id="rId2"/>
  <legacyDrawing r:id="rId3"/>
  <oleObjects>
    <mc:AlternateContent xmlns:mc="http://schemas.openxmlformats.org/markup-compatibility/2006">
      <mc:Choice Requires="x14">
        <oleObject progId="Word.Document.8" shapeId="7169" r:id="rId4">
          <objectPr defaultSize="0" r:id="rId5">
            <anchor moveWithCells="1">
              <from>
                <xdr:col>1</xdr:col>
                <xdr:colOff>60960</xdr:colOff>
                <xdr:row>71</xdr:row>
                <xdr:rowOff>160020</xdr:rowOff>
              </from>
              <to>
                <xdr:col>13</xdr:col>
                <xdr:colOff>175260</xdr:colOff>
                <xdr:row>73</xdr:row>
                <xdr:rowOff>22860</xdr:rowOff>
              </to>
            </anchor>
          </objectPr>
        </oleObject>
      </mc:Choice>
      <mc:Fallback>
        <oleObject progId="Word.Document.8" shapeId="7169" r:id="rId4"/>
      </mc:Fallback>
    </mc:AlternateContent>
  </oleObjec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07" stopIfTrue="1" operator="containsText" id="{32BABD13-7AFE-446E-BCD4-5021C9F368F8}">
            <xm:f>NOT(ISERROR(SEARCH("N/TRANSITA",N9)))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108" stopIfTrue="1" operator="containsText" id="{8C086791-81CA-4DDB-A495-0B1A683CF9E2}">
            <xm:f>NOT(ISERROR(SEARCH("TRANSITA",N9)))</xm:f>
            <xm:f>"TRANSITA"</xm:f>
            <x14:dxf>
              <font>
                <b/>
                <i val="0"/>
                <color rgb="FF0000FF"/>
              </font>
            </x14:dxf>
          </x14:cfRule>
          <xm:sqref>T9:T71 N9:N71</xm:sqref>
        </x14:conditionalFormatting>
        <x14:conditionalFormatting xmlns:xm="http://schemas.microsoft.com/office/excel/2006/main">
          <x14:cfRule type="containsText" priority="21" stopIfTrue="1" operator="containsText" id="{B34A8C55-AA62-4216-80A7-023F88A1B182}">
            <xm:f>NOT(ISERROR(SEARCH("N/TRANSITA",I9)))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22" stopIfTrue="1" operator="containsText" id="{F66F14D1-2536-4EDE-8225-79C0A3954E72}">
            <xm:f>NOT(ISERROR(SEARCH("TRANSITA",I9)))</xm:f>
            <xm:f>"TRANSITA"</xm:f>
            <x14:dxf>
              <font>
                <b/>
                <i val="0"/>
                <color rgb="FF0000FF"/>
              </font>
            </x14:dxf>
          </x14:cfRule>
          <xm:sqref>I9:I71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W76"/>
  <sheetViews>
    <sheetView showGridLines="0" topLeftCell="A40" zoomScaleNormal="100" zoomScalePageLayoutView="85" workbookViewId="0">
      <selection activeCell="E9" sqref="E9:K71"/>
    </sheetView>
  </sheetViews>
  <sheetFormatPr defaultRowHeight="14.4" x14ac:dyDescent="0.3"/>
  <cols>
    <col min="1" max="1" width="1.6640625" customWidth="1"/>
    <col min="2" max="2" width="3.6640625" customWidth="1"/>
    <col min="3" max="3" width="35.109375" customWidth="1"/>
    <col min="4" max="4" width="6.44140625" customWidth="1"/>
    <col min="5" max="8" width="5.109375" customWidth="1"/>
    <col min="9" max="9" width="11.109375" customWidth="1"/>
    <col min="10" max="13" width="5.109375" customWidth="1"/>
    <col min="14" max="14" width="11.109375" customWidth="1"/>
    <col min="15" max="18" width="5.109375" customWidth="1"/>
    <col min="19" max="19" width="6" customWidth="1"/>
    <col min="20" max="20" width="11.5546875" customWidth="1"/>
    <col min="21" max="21" width="3.44140625" customWidth="1"/>
    <col min="22" max="22" width="5" customWidth="1"/>
  </cols>
  <sheetData>
    <row r="1" spans="1:23" ht="30" customHeight="1" x14ac:dyDescent="0.3">
      <c r="A1" s="246" t="s">
        <v>48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</row>
    <row r="2" spans="1:23" ht="30" customHeight="1" x14ac:dyDescent="0.3"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23" ht="12" customHeight="1" x14ac:dyDescent="0.3">
      <c r="B3" s="247"/>
      <c r="C3" s="247"/>
      <c r="D3" s="247"/>
      <c r="E3" s="247"/>
      <c r="F3" s="247"/>
      <c r="G3" s="247"/>
      <c r="H3" s="247"/>
      <c r="I3" s="247"/>
      <c r="J3" s="247"/>
      <c r="K3" s="247"/>
      <c r="L3" s="247"/>
      <c r="M3" s="247"/>
      <c r="N3" s="247"/>
      <c r="O3" s="247"/>
      <c r="P3" s="247"/>
      <c r="Q3" s="247"/>
      <c r="R3" s="247"/>
    </row>
    <row r="4" spans="1:23" ht="17.399999999999999" customHeight="1" x14ac:dyDescent="0.3">
      <c r="B4" s="248" t="s">
        <v>68</v>
      </c>
      <c r="C4" s="248"/>
      <c r="D4" s="31"/>
      <c r="F4" s="76"/>
      <c r="G4" s="76"/>
      <c r="I4" s="76" t="s">
        <v>28</v>
      </c>
      <c r="J4" s="76"/>
      <c r="K4" s="76"/>
      <c r="L4" s="76"/>
      <c r="M4" s="76"/>
      <c r="N4" s="31"/>
      <c r="P4" s="250" t="s">
        <v>61</v>
      </c>
      <c r="Q4" s="250"/>
      <c r="R4" s="250"/>
      <c r="S4" s="250"/>
      <c r="T4" s="250"/>
    </row>
    <row r="5" spans="1:23" ht="18" customHeight="1" x14ac:dyDescent="0.3">
      <c r="B5" s="248" t="s">
        <v>51</v>
      </c>
      <c r="C5" s="248"/>
      <c r="D5" s="31"/>
      <c r="E5" s="77" t="s">
        <v>58</v>
      </c>
      <c r="F5" s="77"/>
      <c r="I5" s="77" t="s">
        <v>67</v>
      </c>
      <c r="J5" s="77"/>
      <c r="K5" s="77"/>
      <c r="N5" s="249" t="s">
        <v>66</v>
      </c>
      <c r="O5" s="249"/>
      <c r="P5" s="249"/>
      <c r="Q5" s="249"/>
      <c r="R5" s="249"/>
      <c r="S5" s="249"/>
      <c r="T5" s="249"/>
    </row>
    <row r="6" spans="1:23" ht="34.5" customHeight="1" thickBot="1" x14ac:dyDescent="1.05">
      <c r="B6" s="263" t="s">
        <v>45</v>
      </c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5"/>
    </row>
    <row r="7" spans="1:23" ht="19.5" customHeight="1" thickTop="1" x14ac:dyDescent="0.3">
      <c r="B7" s="256" t="s">
        <v>39</v>
      </c>
      <c r="C7" s="258" t="s">
        <v>14</v>
      </c>
      <c r="D7" s="43" t="s">
        <v>43</v>
      </c>
      <c r="E7" s="260" t="s">
        <v>40</v>
      </c>
      <c r="F7" s="261"/>
      <c r="G7" s="261"/>
      <c r="H7" s="262"/>
      <c r="I7" s="244" t="s">
        <v>16</v>
      </c>
      <c r="J7" s="260" t="s">
        <v>41</v>
      </c>
      <c r="K7" s="261"/>
      <c r="L7" s="261"/>
      <c r="M7" s="262"/>
      <c r="N7" s="244" t="s">
        <v>16</v>
      </c>
      <c r="O7" s="260" t="s">
        <v>42</v>
      </c>
      <c r="P7" s="261"/>
      <c r="Q7" s="261"/>
      <c r="R7" s="262"/>
      <c r="S7" s="251" t="s">
        <v>15</v>
      </c>
      <c r="T7" s="244" t="s">
        <v>16</v>
      </c>
    </row>
    <row r="8" spans="1:23" ht="20.25" customHeight="1" thickBot="1" x14ac:dyDescent="0.35">
      <c r="B8" s="257"/>
      <c r="C8" s="259"/>
      <c r="D8" s="44" t="s">
        <v>44</v>
      </c>
      <c r="E8" s="36" t="s">
        <v>17</v>
      </c>
      <c r="F8" s="35" t="s">
        <v>18</v>
      </c>
      <c r="G8" s="35" t="s">
        <v>38</v>
      </c>
      <c r="H8" s="37" t="s">
        <v>19</v>
      </c>
      <c r="I8" s="245"/>
      <c r="J8" s="36" t="s">
        <v>17</v>
      </c>
      <c r="K8" s="35" t="s">
        <v>18</v>
      </c>
      <c r="L8" s="35" t="s">
        <v>38</v>
      </c>
      <c r="M8" s="37" t="s">
        <v>20</v>
      </c>
      <c r="N8" s="245"/>
      <c r="O8" s="36" t="s">
        <v>17</v>
      </c>
      <c r="P8" s="35" t="s">
        <v>18</v>
      </c>
      <c r="Q8" s="35" t="s">
        <v>38</v>
      </c>
      <c r="R8" s="37" t="s">
        <v>21</v>
      </c>
      <c r="S8" s="252"/>
      <c r="T8" s="245"/>
    </row>
    <row r="9" spans="1:23" ht="14.25" customHeight="1" thickTop="1" x14ac:dyDescent="0.3">
      <c r="B9" s="135">
        <v>1</v>
      </c>
      <c r="C9" s="126" t="s">
        <v>69</v>
      </c>
      <c r="D9" s="136"/>
      <c r="E9" s="157">
        <v>18</v>
      </c>
      <c r="F9" s="158">
        <v>7</v>
      </c>
      <c r="G9" s="158"/>
      <c r="H9" s="150">
        <f>AVERAGE(E9,MAX(F9:G9))</f>
        <v>12.5</v>
      </c>
      <c r="I9" s="151" t="str">
        <f>IF(H9&gt;=10,"TRANSITA","N/TRANSITA")</f>
        <v>TRANSITA</v>
      </c>
      <c r="J9" s="157">
        <v>17</v>
      </c>
      <c r="K9" s="158">
        <v>16</v>
      </c>
      <c r="L9" s="158"/>
      <c r="M9" s="150">
        <f>AVERAGE(J9,MAX(K9:L9))</f>
        <v>16.5</v>
      </c>
      <c r="N9" s="151" t="str">
        <f>IF(M9&gt;=10,"TRANSITA","N/TRANSITA")</f>
        <v>TRANSITA</v>
      </c>
      <c r="O9" s="157"/>
      <c r="P9" s="158"/>
      <c r="Q9" s="149"/>
      <c r="R9" s="150">
        <f>AVERAGE(O9,MAX(P9:Q9))</f>
        <v>0</v>
      </c>
      <c r="S9" s="155">
        <f t="shared" ref="S9:S41" si="0">SUM(H9,M9,R9)/3</f>
        <v>9.6666666666666661</v>
      </c>
      <c r="T9" s="80" t="str">
        <f>IF(S9&gt;=10,"TRANSITA","N/TRANSITA")</f>
        <v>N/TRANSITA</v>
      </c>
    </row>
    <row r="10" spans="1:23" ht="14.25" customHeight="1" x14ac:dyDescent="0.3">
      <c r="B10" s="33">
        <v>2</v>
      </c>
      <c r="C10" s="127" t="s">
        <v>70</v>
      </c>
      <c r="D10" s="60"/>
      <c r="E10" s="85">
        <v>7</v>
      </c>
      <c r="F10" s="86">
        <v>14</v>
      </c>
      <c r="G10" s="86"/>
      <c r="H10" s="40">
        <f t="shared" ref="H10:H71" si="1">AVERAGE(E10,MAX(F10:G10))</f>
        <v>10.5</v>
      </c>
      <c r="I10" s="63" t="str">
        <f t="shared" ref="I10:I71" si="2">IF(H10&gt;=10,"TRANSITA","N/TRANSITA")</f>
        <v>TRANSITA</v>
      </c>
      <c r="J10" s="85">
        <v>15</v>
      </c>
      <c r="K10" s="86">
        <v>15</v>
      </c>
      <c r="L10" s="86"/>
      <c r="M10" s="40">
        <f t="shared" ref="M10:M71" si="3">AVERAGE(J10,MAX(K10:L10))</f>
        <v>15</v>
      </c>
      <c r="N10" s="63" t="str">
        <f t="shared" ref="N10:N71" si="4">IF(M10&gt;=10,"TRANSITA","N/TRANSITA")</f>
        <v>TRANSITA</v>
      </c>
      <c r="O10" s="85"/>
      <c r="P10" s="86"/>
      <c r="Q10" s="70"/>
      <c r="R10" s="40">
        <f t="shared" ref="R10:R71" si="5">AVERAGE(O10,MAX(P10:Q10))</f>
        <v>0</v>
      </c>
      <c r="S10" s="41">
        <f t="shared" si="0"/>
        <v>8.5</v>
      </c>
      <c r="T10" s="81" t="str">
        <f t="shared" ref="T10:T71" si="6">IF(S10&gt;=10,"TRANSITA","N/TRANSITA")</f>
        <v>N/TRANSITA</v>
      </c>
    </row>
    <row r="11" spans="1:23" ht="14.25" customHeight="1" x14ac:dyDescent="0.3">
      <c r="B11" s="33">
        <v>3</v>
      </c>
      <c r="C11" s="127" t="s">
        <v>71</v>
      </c>
      <c r="D11" s="60"/>
      <c r="E11" s="85">
        <v>20</v>
      </c>
      <c r="F11" s="86">
        <v>15</v>
      </c>
      <c r="G11" s="86"/>
      <c r="H11" s="40">
        <f t="shared" si="1"/>
        <v>17.5</v>
      </c>
      <c r="I11" s="63" t="str">
        <f t="shared" si="2"/>
        <v>TRANSITA</v>
      </c>
      <c r="J11" s="85">
        <v>10</v>
      </c>
      <c r="K11" s="86">
        <v>14</v>
      </c>
      <c r="L11" s="86"/>
      <c r="M11" s="40">
        <f t="shared" si="3"/>
        <v>12</v>
      </c>
      <c r="N11" s="63" t="str">
        <f t="shared" si="4"/>
        <v>TRANSITA</v>
      </c>
      <c r="O11" s="85"/>
      <c r="P11" s="86"/>
      <c r="Q11" s="70"/>
      <c r="R11" s="40">
        <f t="shared" si="5"/>
        <v>0</v>
      </c>
      <c r="S11" s="41">
        <f t="shared" si="0"/>
        <v>9.8333333333333339</v>
      </c>
      <c r="T11" s="81" t="str">
        <f t="shared" si="6"/>
        <v>N/TRANSITA</v>
      </c>
    </row>
    <row r="12" spans="1:23" ht="14.25" customHeight="1" x14ac:dyDescent="0.3">
      <c r="B12" s="33">
        <v>4</v>
      </c>
      <c r="C12" s="127" t="s">
        <v>72</v>
      </c>
      <c r="D12" s="60"/>
      <c r="E12" s="85">
        <v>7</v>
      </c>
      <c r="F12" s="86">
        <v>9</v>
      </c>
      <c r="G12" s="86"/>
      <c r="H12" s="40">
        <f t="shared" si="1"/>
        <v>8</v>
      </c>
      <c r="I12" s="63" t="str">
        <f t="shared" si="2"/>
        <v>N/TRANSITA</v>
      </c>
      <c r="J12" s="85"/>
      <c r="K12" s="86"/>
      <c r="L12" s="86"/>
      <c r="M12" s="40">
        <f t="shared" si="3"/>
        <v>0</v>
      </c>
      <c r="N12" s="63" t="str">
        <f t="shared" si="4"/>
        <v>N/TRANSITA</v>
      </c>
      <c r="O12" s="85"/>
      <c r="P12" s="86"/>
      <c r="Q12" s="70"/>
      <c r="R12" s="40">
        <f t="shared" si="5"/>
        <v>0</v>
      </c>
      <c r="S12" s="41">
        <f t="shared" si="0"/>
        <v>2.6666666666666665</v>
      </c>
      <c r="T12" s="81" t="str">
        <f t="shared" si="6"/>
        <v>N/TRANSITA</v>
      </c>
    </row>
    <row r="13" spans="1:23" ht="14.25" customHeight="1" x14ac:dyDescent="0.3">
      <c r="B13" s="33">
        <v>5</v>
      </c>
      <c r="C13" s="127" t="s">
        <v>73</v>
      </c>
      <c r="D13" s="60"/>
      <c r="E13" s="85">
        <v>18</v>
      </c>
      <c r="F13" s="86">
        <v>19</v>
      </c>
      <c r="G13" s="86"/>
      <c r="H13" s="40">
        <f t="shared" si="1"/>
        <v>18.5</v>
      </c>
      <c r="I13" s="63" t="str">
        <f t="shared" si="2"/>
        <v>TRANSITA</v>
      </c>
      <c r="J13" s="85">
        <v>12</v>
      </c>
      <c r="K13" s="86">
        <v>18</v>
      </c>
      <c r="L13" s="86"/>
      <c r="M13" s="40">
        <f t="shared" si="3"/>
        <v>15</v>
      </c>
      <c r="N13" s="63" t="str">
        <f t="shared" si="4"/>
        <v>TRANSITA</v>
      </c>
      <c r="O13" s="85"/>
      <c r="P13" s="86"/>
      <c r="Q13" s="70"/>
      <c r="R13" s="40">
        <f t="shared" si="5"/>
        <v>0</v>
      </c>
      <c r="S13" s="41">
        <f t="shared" si="0"/>
        <v>11.166666666666666</v>
      </c>
      <c r="T13" s="81" t="str">
        <f t="shared" si="6"/>
        <v>TRANSITA</v>
      </c>
      <c r="U13" s="18"/>
      <c r="V13" s="18"/>
      <c r="W13" s="18"/>
    </row>
    <row r="14" spans="1:23" ht="14.25" customHeight="1" x14ac:dyDescent="0.3">
      <c r="B14" s="33">
        <v>6</v>
      </c>
      <c r="C14" s="127" t="s">
        <v>74</v>
      </c>
      <c r="D14" s="60"/>
      <c r="E14" s="85">
        <v>4</v>
      </c>
      <c r="F14" s="86">
        <v>16</v>
      </c>
      <c r="G14" s="86"/>
      <c r="H14" s="40">
        <f t="shared" si="1"/>
        <v>10</v>
      </c>
      <c r="I14" s="63" t="str">
        <f t="shared" si="2"/>
        <v>TRANSITA</v>
      </c>
      <c r="J14" s="85">
        <v>6</v>
      </c>
      <c r="K14" s="86">
        <v>7</v>
      </c>
      <c r="L14" s="86"/>
      <c r="M14" s="40">
        <f t="shared" si="3"/>
        <v>6.5</v>
      </c>
      <c r="N14" s="63" t="str">
        <f t="shared" si="4"/>
        <v>N/TRANSITA</v>
      </c>
      <c r="O14" s="85"/>
      <c r="P14" s="86"/>
      <c r="Q14" s="70"/>
      <c r="R14" s="40">
        <f t="shared" si="5"/>
        <v>0</v>
      </c>
      <c r="S14" s="41">
        <f t="shared" si="0"/>
        <v>5.5</v>
      </c>
      <c r="T14" s="81" t="str">
        <f t="shared" si="6"/>
        <v>N/TRANSITA</v>
      </c>
    </row>
    <row r="15" spans="1:23" ht="14.25" customHeight="1" x14ac:dyDescent="0.3">
      <c r="B15" s="33">
        <v>7</v>
      </c>
      <c r="C15" s="127" t="s">
        <v>75</v>
      </c>
      <c r="D15" s="60"/>
      <c r="E15" s="85">
        <v>2</v>
      </c>
      <c r="F15" s="86">
        <v>16</v>
      </c>
      <c r="G15" s="86"/>
      <c r="H15" s="40">
        <f t="shared" si="1"/>
        <v>9</v>
      </c>
      <c r="I15" s="63" t="str">
        <f t="shared" si="2"/>
        <v>N/TRANSITA</v>
      </c>
      <c r="J15" s="85"/>
      <c r="K15" s="86"/>
      <c r="L15" s="86"/>
      <c r="M15" s="40">
        <f t="shared" si="3"/>
        <v>0</v>
      </c>
      <c r="N15" s="63" t="str">
        <f t="shared" si="4"/>
        <v>N/TRANSITA</v>
      </c>
      <c r="O15" s="85"/>
      <c r="P15" s="86"/>
      <c r="Q15" s="70"/>
      <c r="R15" s="40">
        <f t="shared" si="5"/>
        <v>0</v>
      </c>
      <c r="S15" s="41">
        <f t="shared" si="0"/>
        <v>3</v>
      </c>
      <c r="T15" s="81" t="str">
        <f t="shared" si="6"/>
        <v>N/TRANSITA</v>
      </c>
    </row>
    <row r="16" spans="1:23" ht="14.25" customHeight="1" x14ac:dyDescent="0.3">
      <c r="B16" s="33">
        <v>8</v>
      </c>
      <c r="C16" s="127" t="s">
        <v>76</v>
      </c>
      <c r="D16" s="60"/>
      <c r="E16" s="85">
        <v>2</v>
      </c>
      <c r="F16" s="86">
        <v>16</v>
      </c>
      <c r="G16" s="86"/>
      <c r="H16" s="40">
        <f t="shared" si="1"/>
        <v>9</v>
      </c>
      <c r="I16" s="63" t="str">
        <f t="shared" si="2"/>
        <v>N/TRANSITA</v>
      </c>
      <c r="J16" s="85">
        <v>10</v>
      </c>
      <c r="K16" s="86">
        <v>14</v>
      </c>
      <c r="L16" s="86"/>
      <c r="M16" s="40">
        <f t="shared" si="3"/>
        <v>12</v>
      </c>
      <c r="N16" s="63" t="str">
        <f t="shared" si="4"/>
        <v>TRANSITA</v>
      </c>
      <c r="O16" s="85"/>
      <c r="P16" s="86"/>
      <c r="Q16" s="70"/>
      <c r="R16" s="40">
        <f t="shared" si="5"/>
        <v>0</v>
      </c>
      <c r="S16" s="41">
        <f t="shared" si="0"/>
        <v>7</v>
      </c>
      <c r="T16" s="81" t="str">
        <f t="shared" si="6"/>
        <v>N/TRANSITA</v>
      </c>
    </row>
    <row r="17" spans="2:20" ht="14.25" customHeight="1" x14ac:dyDescent="0.3">
      <c r="B17" s="33">
        <v>9</v>
      </c>
      <c r="C17" s="127" t="s">
        <v>77</v>
      </c>
      <c r="D17" s="60"/>
      <c r="E17" s="85">
        <v>11</v>
      </c>
      <c r="F17" s="86">
        <v>19</v>
      </c>
      <c r="G17" s="86"/>
      <c r="H17" s="40">
        <f t="shared" si="1"/>
        <v>15</v>
      </c>
      <c r="I17" s="63" t="str">
        <f t="shared" si="2"/>
        <v>TRANSITA</v>
      </c>
      <c r="J17" s="85">
        <v>10</v>
      </c>
      <c r="K17" s="86">
        <v>8</v>
      </c>
      <c r="L17" s="86"/>
      <c r="M17" s="40">
        <f t="shared" si="3"/>
        <v>9</v>
      </c>
      <c r="N17" s="63" t="str">
        <f t="shared" si="4"/>
        <v>N/TRANSITA</v>
      </c>
      <c r="O17" s="85"/>
      <c r="P17" s="86"/>
      <c r="Q17" s="70"/>
      <c r="R17" s="40">
        <f t="shared" si="5"/>
        <v>0</v>
      </c>
      <c r="S17" s="41">
        <f t="shared" si="0"/>
        <v>8</v>
      </c>
      <c r="T17" s="81" t="str">
        <f t="shared" ref="T17:T18" si="7">IF(S17&gt;=10,"TRANSITA","N/TRANSITA")</f>
        <v>N/TRANSITA</v>
      </c>
    </row>
    <row r="18" spans="2:20" ht="14.25" customHeight="1" x14ac:dyDescent="0.3">
      <c r="B18" s="33">
        <v>10</v>
      </c>
      <c r="C18" s="128" t="s">
        <v>78</v>
      </c>
      <c r="D18" s="60"/>
      <c r="E18" s="85">
        <v>3</v>
      </c>
      <c r="F18" s="86">
        <v>7</v>
      </c>
      <c r="G18" s="86"/>
      <c r="H18" s="40">
        <f t="shared" si="1"/>
        <v>5</v>
      </c>
      <c r="I18" s="63" t="str">
        <f t="shared" si="2"/>
        <v>N/TRANSITA</v>
      </c>
      <c r="J18" s="85">
        <v>12</v>
      </c>
      <c r="K18" s="86">
        <v>10</v>
      </c>
      <c r="L18" s="86"/>
      <c r="M18" s="40">
        <f t="shared" si="3"/>
        <v>11</v>
      </c>
      <c r="N18" s="63" t="str">
        <f t="shared" si="4"/>
        <v>TRANSITA</v>
      </c>
      <c r="O18" s="85"/>
      <c r="P18" s="86"/>
      <c r="Q18" s="70"/>
      <c r="R18" s="40">
        <f t="shared" si="5"/>
        <v>0</v>
      </c>
      <c r="S18" s="41">
        <f t="shared" si="0"/>
        <v>5.333333333333333</v>
      </c>
      <c r="T18" s="81" t="str">
        <f t="shared" si="7"/>
        <v>N/TRANSITA</v>
      </c>
    </row>
    <row r="19" spans="2:20" ht="14.25" customHeight="1" x14ac:dyDescent="0.3">
      <c r="B19" s="33">
        <v>11</v>
      </c>
      <c r="C19" s="127" t="s">
        <v>79</v>
      </c>
      <c r="D19" s="60"/>
      <c r="E19" s="85"/>
      <c r="F19" s="86"/>
      <c r="G19" s="86"/>
      <c r="H19" s="40">
        <f t="shared" si="1"/>
        <v>0</v>
      </c>
      <c r="I19" s="63" t="str">
        <f t="shared" si="2"/>
        <v>N/TRANSITA</v>
      </c>
      <c r="J19" s="85"/>
      <c r="K19" s="86"/>
      <c r="L19" s="86"/>
      <c r="M19" s="40">
        <f t="shared" si="3"/>
        <v>0</v>
      </c>
      <c r="N19" s="63" t="str">
        <f t="shared" si="4"/>
        <v>N/TRANSITA</v>
      </c>
      <c r="O19" s="85"/>
      <c r="P19" s="86"/>
      <c r="Q19" s="70"/>
      <c r="R19" s="40">
        <f t="shared" si="5"/>
        <v>0</v>
      </c>
      <c r="S19" s="41">
        <f t="shared" si="0"/>
        <v>0</v>
      </c>
      <c r="T19" s="81" t="str">
        <f t="shared" si="6"/>
        <v>N/TRANSITA</v>
      </c>
    </row>
    <row r="20" spans="2:20" ht="14.25" customHeight="1" x14ac:dyDescent="0.3">
      <c r="B20" s="33">
        <v>12</v>
      </c>
      <c r="C20" s="127" t="s">
        <v>80</v>
      </c>
      <c r="D20" s="60"/>
      <c r="E20" s="85">
        <v>15</v>
      </c>
      <c r="F20" s="86">
        <v>15</v>
      </c>
      <c r="G20" s="86"/>
      <c r="H20" s="40">
        <f t="shared" si="1"/>
        <v>15</v>
      </c>
      <c r="I20" s="63" t="str">
        <f t="shared" si="2"/>
        <v>TRANSITA</v>
      </c>
      <c r="J20" s="85">
        <v>15</v>
      </c>
      <c r="K20" s="86">
        <v>15</v>
      </c>
      <c r="L20" s="86"/>
      <c r="M20" s="40">
        <f t="shared" si="3"/>
        <v>15</v>
      </c>
      <c r="N20" s="63" t="str">
        <f t="shared" si="4"/>
        <v>TRANSITA</v>
      </c>
      <c r="O20" s="85"/>
      <c r="P20" s="86"/>
      <c r="Q20" s="70"/>
      <c r="R20" s="40">
        <f t="shared" si="5"/>
        <v>0</v>
      </c>
      <c r="S20" s="41">
        <f t="shared" si="0"/>
        <v>10</v>
      </c>
      <c r="T20" s="81" t="str">
        <f t="shared" si="6"/>
        <v>TRANSITA</v>
      </c>
    </row>
    <row r="21" spans="2:20" ht="14.25" customHeight="1" x14ac:dyDescent="0.3">
      <c r="B21" s="33">
        <v>13</v>
      </c>
      <c r="C21" s="127" t="s">
        <v>81</v>
      </c>
      <c r="D21" s="60"/>
      <c r="E21" s="85"/>
      <c r="F21" s="86"/>
      <c r="G21" s="86"/>
      <c r="H21" s="40">
        <f t="shared" si="1"/>
        <v>0</v>
      </c>
      <c r="I21" s="63" t="str">
        <f t="shared" si="2"/>
        <v>N/TRANSITA</v>
      </c>
      <c r="J21" s="85"/>
      <c r="K21" s="86"/>
      <c r="L21" s="86"/>
      <c r="M21" s="40">
        <f t="shared" si="3"/>
        <v>0</v>
      </c>
      <c r="N21" s="63" t="str">
        <f t="shared" si="4"/>
        <v>N/TRANSITA</v>
      </c>
      <c r="O21" s="85"/>
      <c r="P21" s="86"/>
      <c r="Q21" s="70"/>
      <c r="R21" s="40">
        <f t="shared" si="5"/>
        <v>0</v>
      </c>
      <c r="S21" s="41">
        <f t="shared" si="0"/>
        <v>0</v>
      </c>
      <c r="T21" s="81" t="str">
        <f t="shared" si="6"/>
        <v>N/TRANSITA</v>
      </c>
    </row>
    <row r="22" spans="2:20" ht="14.25" customHeight="1" x14ac:dyDescent="0.3">
      <c r="B22" s="33">
        <v>14</v>
      </c>
      <c r="C22" s="127" t="s">
        <v>82</v>
      </c>
      <c r="D22" s="60"/>
      <c r="E22" s="85"/>
      <c r="F22" s="86"/>
      <c r="G22" s="86"/>
      <c r="H22" s="40">
        <f t="shared" si="1"/>
        <v>0</v>
      </c>
      <c r="I22" s="63" t="str">
        <f t="shared" si="2"/>
        <v>N/TRANSITA</v>
      </c>
      <c r="J22" s="85"/>
      <c r="K22" s="86"/>
      <c r="L22" s="86"/>
      <c r="M22" s="40">
        <f t="shared" si="3"/>
        <v>0</v>
      </c>
      <c r="N22" s="63" t="str">
        <f t="shared" si="4"/>
        <v>N/TRANSITA</v>
      </c>
      <c r="O22" s="85"/>
      <c r="P22" s="86"/>
      <c r="Q22" s="70"/>
      <c r="R22" s="40">
        <f t="shared" si="5"/>
        <v>0</v>
      </c>
      <c r="S22" s="41">
        <f t="shared" si="0"/>
        <v>0</v>
      </c>
      <c r="T22" s="81" t="str">
        <f t="shared" si="6"/>
        <v>N/TRANSITA</v>
      </c>
    </row>
    <row r="23" spans="2:20" ht="14.25" customHeight="1" x14ac:dyDescent="0.3">
      <c r="B23" s="33">
        <v>15</v>
      </c>
      <c r="C23" s="127" t="s">
        <v>83</v>
      </c>
      <c r="D23" s="60"/>
      <c r="E23" s="85">
        <v>20</v>
      </c>
      <c r="F23" s="86">
        <v>16</v>
      </c>
      <c r="G23" s="86"/>
      <c r="H23" s="40">
        <f t="shared" si="1"/>
        <v>18</v>
      </c>
      <c r="I23" s="63" t="str">
        <f t="shared" si="2"/>
        <v>TRANSITA</v>
      </c>
      <c r="J23" s="85">
        <v>16</v>
      </c>
      <c r="K23" s="86">
        <v>10</v>
      </c>
      <c r="L23" s="86"/>
      <c r="M23" s="40">
        <f t="shared" si="3"/>
        <v>13</v>
      </c>
      <c r="N23" s="63" t="str">
        <f t="shared" si="4"/>
        <v>TRANSITA</v>
      </c>
      <c r="O23" s="85"/>
      <c r="P23" s="86"/>
      <c r="Q23" s="70"/>
      <c r="R23" s="40">
        <f t="shared" si="5"/>
        <v>0</v>
      </c>
      <c r="S23" s="41">
        <f t="shared" si="0"/>
        <v>10.333333333333334</v>
      </c>
      <c r="T23" s="81" t="str">
        <f t="shared" si="6"/>
        <v>TRANSITA</v>
      </c>
    </row>
    <row r="24" spans="2:20" ht="14.25" customHeight="1" x14ac:dyDescent="0.3">
      <c r="B24" s="33">
        <v>16</v>
      </c>
      <c r="C24" s="127" t="s">
        <v>84</v>
      </c>
      <c r="D24" s="60"/>
      <c r="E24" s="85">
        <v>18</v>
      </c>
      <c r="F24" s="86">
        <v>14</v>
      </c>
      <c r="G24" s="86"/>
      <c r="H24" s="40">
        <f t="shared" si="1"/>
        <v>16</v>
      </c>
      <c r="I24" s="63" t="str">
        <f t="shared" si="2"/>
        <v>TRANSITA</v>
      </c>
      <c r="J24" s="85">
        <v>13</v>
      </c>
      <c r="K24" s="86">
        <v>9</v>
      </c>
      <c r="L24" s="86"/>
      <c r="M24" s="40">
        <f t="shared" si="3"/>
        <v>11</v>
      </c>
      <c r="N24" s="63" t="str">
        <f t="shared" si="4"/>
        <v>TRANSITA</v>
      </c>
      <c r="O24" s="85"/>
      <c r="P24" s="86"/>
      <c r="Q24" s="70"/>
      <c r="R24" s="40">
        <f t="shared" si="5"/>
        <v>0</v>
      </c>
      <c r="S24" s="41">
        <f t="shared" si="0"/>
        <v>9</v>
      </c>
      <c r="T24" s="81" t="str">
        <f t="shared" si="6"/>
        <v>N/TRANSITA</v>
      </c>
    </row>
    <row r="25" spans="2:20" ht="14.25" customHeight="1" x14ac:dyDescent="0.3">
      <c r="B25" s="33">
        <v>17</v>
      </c>
      <c r="C25" s="127" t="s">
        <v>85</v>
      </c>
      <c r="D25" s="60"/>
      <c r="E25" s="85">
        <v>14</v>
      </c>
      <c r="F25" s="86">
        <v>15</v>
      </c>
      <c r="G25" s="86"/>
      <c r="H25" s="40">
        <f t="shared" si="1"/>
        <v>14.5</v>
      </c>
      <c r="I25" s="63" t="str">
        <f t="shared" si="2"/>
        <v>TRANSITA</v>
      </c>
      <c r="J25" s="85">
        <v>9</v>
      </c>
      <c r="K25" s="86">
        <v>11</v>
      </c>
      <c r="L25" s="86"/>
      <c r="M25" s="40">
        <f t="shared" si="3"/>
        <v>10</v>
      </c>
      <c r="N25" s="63" t="str">
        <f t="shared" si="4"/>
        <v>TRANSITA</v>
      </c>
      <c r="O25" s="85"/>
      <c r="P25" s="86"/>
      <c r="Q25" s="70"/>
      <c r="R25" s="40">
        <f t="shared" si="5"/>
        <v>0</v>
      </c>
      <c r="S25" s="41">
        <f t="shared" si="0"/>
        <v>8.1666666666666661</v>
      </c>
      <c r="T25" s="81" t="str">
        <f t="shared" si="6"/>
        <v>N/TRANSITA</v>
      </c>
    </row>
    <row r="26" spans="2:20" ht="14.25" customHeight="1" x14ac:dyDescent="0.3">
      <c r="B26" s="33">
        <v>18</v>
      </c>
      <c r="C26" s="127" t="s">
        <v>140</v>
      </c>
      <c r="D26" s="60"/>
      <c r="E26" s="85"/>
      <c r="F26" s="86"/>
      <c r="G26" s="86"/>
      <c r="H26" s="40">
        <f t="shared" si="1"/>
        <v>0</v>
      </c>
      <c r="I26" s="63" t="str">
        <f t="shared" si="2"/>
        <v>N/TRANSITA</v>
      </c>
      <c r="J26" s="85">
        <v>13</v>
      </c>
      <c r="K26" s="86">
        <v>15</v>
      </c>
      <c r="L26" s="86"/>
      <c r="M26" s="40">
        <f t="shared" ref="M26:M27" si="8">AVERAGE(J26,MAX(K26:L26))</f>
        <v>14</v>
      </c>
      <c r="N26" s="63" t="str">
        <f t="shared" ref="N26:N27" si="9">IF(M26&gt;=10,"TRANSITA","N/TRANSITA")</f>
        <v>TRANSITA</v>
      </c>
      <c r="O26" s="85"/>
      <c r="P26" s="86"/>
      <c r="Q26" s="70"/>
      <c r="R26" s="40">
        <f t="shared" ref="R26:R27" si="10">AVERAGE(O26,MAX(P26:Q26))</f>
        <v>0</v>
      </c>
      <c r="S26" s="41">
        <f t="shared" ref="S26:S27" si="11">SUM(H26,M26,R26)/3</f>
        <v>4.666666666666667</v>
      </c>
      <c r="T26" s="81" t="str">
        <f t="shared" ref="T26:T27" si="12">IF(S26&gt;=10,"TRANSITA","N/TRANSITA")</f>
        <v>N/TRANSITA</v>
      </c>
    </row>
    <row r="27" spans="2:20" ht="14.25" customHeight="1" x14ac:dyDescent="0.3">
      <c r="B27" s="33">
        <v>19</v>
      </c>
      <c r="C27" s="127" t="s">
        <v>86</v>
      </c>
      <c r="D27" s="60"/>
      <c r="E27" s="85"/>
      <c r="F27" s="86"/>
      <c r="G27" s="86"/>
      <c r="H27" s="40">
        <f t="shared" si="1"/>
        <v>0</v>
      </c>
      <c r="I27" s="63" t="str">
        <f t="shared" si="2"/>
        <v>N/TRANSITA</v>
      </c>
      <c r="J27" s="85"/>
      <c r="K27" s="86"/>
      <c r="L27" s="86"/>
      <c r="M27" s="40">
        <f t="shared" si="8"/>
        <v>0</v>
      </c>
      <c r="N27" s="63" t="str">
        <f t="shared" si="9"/>
        <v>N/TRANSITA</v>
      </c>
      <c r="O27" s="85"/>
      <c r="P27" s="86"/>
      <c r="Q27" s="70"/>
      <c r="R27" s="40">
        <f t="shared" si="10"/>
        <v>0</v>
      </c>
      <c r="S27" s="41">
        <f t="shared" si="11"/>
        <v>0</v>
      </c>
      <c r="T27" s="81" t="str">
        <f t="shared" si="12"/>
        <v>N/TRANSITA</v>
      </c>
    </row>
    <row r="28" spans="2:20" ht="14.25" customHeight="1" x14ac:dyDescent="0.3">
      <c r="B28" s="33">
        <v>20</v>
      </c>
      <c r="C28" s="127" t="s">
        <v>87</v>
      </c>
      <c r="D28" s="60"/>
      <c r="E28" s="85">
        <v>7</v>
      </c>
      <c r="F28" s="86">
        <v>18</v>
      </c>
      <c r="G28" s="86"/>
      <c r="H28" s="40">
        <f t="shared" si="1"/>
        <v>12.5</v>
      </c>
      <c r="I28" s="63" t="str">
        <f t="shared" si="2"/>
        <v>TRANSITA</v>
      </c>
      <c r="J28" s="85">
        <v>14</v>
      </c>
      <c r="K28" s="86">
        <v>18</v>
      </c>
      <c r="L28" s="86"/>
      <c r="M28" s="40">
        <f t="shared" si="3"/>
        <v>16</v>
      </c>
      <c r="N28" s="63" t="str">
        <f t="shared" si="4"/>
        <v>TRANSITA</v>
      </c>
      <c r="O28" s="85"/>
      <c r="P28" s="86"/>
      <c r="Q28" s="70"/>
      <c r="R28" s="40">
        <f t="shared" si="5"/>
        <v>0</v>
      </c>
      <c r="S28" s="41">
        <f t="shared" si="0"/>
        <v>9.5</v>
      </c>
      <c r="T28" s="81" t="str">
        <f t="shared" si="6"/>
        <v>N/TRANSITA</v>
      </c>
    </row>
    <row r="29" spans="2:20" ht="14.25" customHeight="1" x14ac:dyDescent="0.3">
      <c r="B29" s="33">
        <v>21</v>
      </c>
      <c r="C29" s="127" t="s">
        <v>88</v>
      </c>
      <c r="D29" s="60"/>
      <c r="E29" s="85">
        <v>4</v>
      </c>
      <c r="F29" s="86">
        <v>6</v>
      </c>
      <c r="G29" s="86"/>
      <c r="H29" s="40">
        <f t="shared" si="1"/>
        <v>5</v>
      </c>
      <c r="I29" s="63" t="str">
        <f t="shared" si="2"/>
        <v>N/TRANSITA</v>
      </c>
      <c r="J29" s="85"/>
      <c r="K29" s="86"/>
      <c r="L29" s="86"/>
      <c r="M29" s="40">
        <f t="shared" si="3"/>
        <v>0</v>
      </c>
      <c r="N29" s="63" t="str">
        <f t="shared" si="4"/>
        <v>N/TRANSITA</v>
      </c>
      <c r="O29" s="85"/>
      <c r="P29" s="86"/>
      <c r="Q29" s="70"/>
      <c r="R29" s="40">
        <f t="shared" si="5"/>
        <v>0</v>
      </c>
      <c r="S29" s="41">
        <f t="shared" si="0"/>
        <v>1.6666666666666667</v>
      </c>
      <c r="T29" s="81" t="str">
        <f t="shared" si="6"/>
        <v>N/TRANSITA</v>
      </c>
    </row>
    <row r="30" spans="2:20" ht="14.25" customHeight="1" x14ac:dyDescent="0.3">
      <c r="B30" s="33">
        <v>22</v>
      </c>
      <c r="C30" s="127" t="s">
        <v>89</v>
      </c>
      <c r="D30" s="60"/>
      <c r="E30" s="85">
        <v>8</v>
      </c>
      <c r="F30" s="86">
        <v>16</v>
      </c>
      <c r="G30" s="86"/>
      <c r="H30" s="40">
        <f t="shared" si="1"/>
        <v>12</v>
      </c>
      <c r="I30" s="63" t="str">
        <f t="shared" si="2"/>
        <v>TRANSITA</v>
      </c>
      <c r="J30" s="85">
        <v>10</v>
      </c>
      <c r="K30" s="86">
        <v>7</v>
      </c>
      <c r="L30" s="86"/>
      <c r="M30" s="40">
        <f t="shared" si="3"/>
        <v>8.5</v>
      </c>
      <c r="N30" s="63" t="str">
        <f t="shared" si="4"/>
        <v>N/TRANSITA</v>
      </c>
      <c r="O30" s="85"/>
      <c r="P30" s="86"/>
      <c r="Q30" s="70"/>
      <c r="R30" s="40">
        <f t="shared" si="5"/>
        <v>0</v>
      </c>
      <c r="S30" s="41">
        <f t="shared" si="0"/>
        <v>6.833333333333333</v>
      </c>
      <c r="T30" s="81" t="str">
        <f t="shared" si="6"/>
        <v>N/TRANSITA</v>
      </c>
    </row>
    <row r="31" spans="2:20" ht="14.25" customHeight="1" x14ac:dyDescent="0.3">
      <c r="B31" s="33">
        <v>23</v>
      </c>
      <c r="C31" s="127" t="s">
        <v>90</v>
      </c>
      <c r="D31" s="60"/>
      <c r="E31" s="85">
        <v>3</v>
      </c>
      <c r="F31" s="86">
        <v>15</v>
      </c>
      <c r="G31" s="86"/>
      <c r="H31" s="40">
        <f t="shared" si="1"/>
        <v>9</v>
      </c>
      <c r="I31" s="63" t="str">
        <f t="shared" si="2"/>
        <v>N/TRANSITA</v>
      </c>
      <c r="J31" s="85">
        <v>3</v>
      </c>
      <c r="K31" s="86">
        <v>11</v>
      </c>
      <c r="L31" s="86"/>
      <c r="M31" s="40">
        <f t="shared" si="3"/>
        <v>7</v>
      </c>
      <c r="N31" s="63" t="str">
        <f t="shared" si="4"/>
        <v>N/TRANSITA</v>
      </c>
      <c r="O31" s="85"/>
      <c r="P31" s="86"/>
      <c r="Q31" s="70"/>
      <c r="R31" s="40">
        <f t="shared" si="5"/>
        <v>0</v>
      </c>
      <c r="S31" s="41">
        <f t="shared" si="0"/>
        <v>5.333333333333333</v>
      </c>
      <c r="T31" s="81" t="str">
        <f t="shared" si="6"/>
        <v>N/TRANSITA</v>
      </c>
    </row>
    <row r="32" spans="2:20" ht="14.25" customHeight="1" x14ac:dyDescent="0.3">
      <c r="B32" s="33">
        <v>24</v>
      </c>
      <c r="C32" s="127" t="s">
        <v>91</v>
      </c>
      <c r="D32" s="60"/>
      <c r="E32" s="85"/>
      <c r="F32" s="86"/>
      <c r="G32" s="86"/>
      <c r="H32" s="40">
        <f t="shared" si="1"/>
        <v>0</v>
      </c>
      <c r="I32" s="63" t="str">
        <f t="shared" si="2"/>
        <v>N/TRANSITA</v>
      </c>
      <c r="J32" s="85"/>
      <c r="K32" s="86"/>
      <c r="L32" s="86"/>
      <c r="M32" s="40">
        <f t="shared" si="3"/>
        <v>0</v>
      </c>
      <c r="N32" s="63" t="str">
        <f t="shared" si="4"/>
        <v>N/TRANSITA</v>
      </c>
      <c r="O32" s="85"/>
      <c r="P32" s="86"/>
      <c r="Q32" s="70"/>
      <c r="R32" s="40">
        <f t="shared" si="5"/>
        <v>0</v>
      </c>
      <c r="S32" s="41">
        <f t="shared" si="0"/>
        <v>0</v>
      </c>
      <c r="T32" s="81" t="str">
        <f t="shared" si="6"/>
        <v>N/TRANSITA</v>
      </c>
    </row>
    <row r="33" spans="2:20" ht="14.25" customHeight="1" x14ac:dyDescent="0.3">
      <c r="B33" s="33">
        <v>25</v>
      </c>
      <c r="C33" s="127" t="s">
        <v>92</v>
      </c>
      <c r="D33" s="60"/>
      <c r="E33" s="85">
        <v>10</v>
      </c>
      <c r="F33" s="86">
        <v>17</v>
      </c>
      <c r="G33" s="86"/>
      <c r="H33" s="40">
        <f t="shared" si="1"/>
        <v>13.5</v>
      </c>
      <c r="I33" s="63" t="str">
        <f t="shared" si="2"/>
        <v>TRANSITA</v>
      </c>
      <c r="J33" s="85">
        <v>11</v>
      </c>
      <c r="K33" s="86">
        <v>12</v>
      </c>
      <c r="L33" s="86"/>
      <c r="M33" s="40">
        <f t="shared" si="3"/>
        <v>11.5</v>
      </c>
      <c r="N33" s="63" t="str">
        <f t="shared" si="4"/>
        <v>TRANSITA</v>
      </c>
      <c r="O33" s="85"/>
      <c r="P33" s="86"/>
      <c r="Q33" s="70"/>
      <c r="R33" s="40">
        <f t="shared" si="5"/>
        <v>0</v>
      </c>
      <c r="S33" s="41">
        <f t="shared" si="0"/>
        <v>8.3333333333333339</v>
      </c>
      <c r="T33" s="81" t="str">
        <f t="shared" si="6"/>
        <v>N/TRANSITA</v>
      </c>
    </row>
    <row r="34" spans="2:20" ht="14.25" customHeight="1" x14ac:dyDescent="0.3">
      <c r="B34" s="33">
        <v>26</v>
      </c>
      <c r="C34" s="127" t="s">
        <v>93</v>
      </c>
      <c r="D34" s="60"/>
      <c r="E34" s="85"/>
      <c r="F34" s="86"/>
      <c r="G34" s="86"/>
      <c r="H34" s="40">
        <f t="shared" si="1"/>
        <v>0</v>
      </c>
      <c r="I34" s="63" t="str">
        <f t="shared" si="2"/>
        <v>N/TRANSITA</v>
      </c>
      <c r="J34" s="85"/>
      <c r="K34" s="86"/>
      <c r="L34" s="86"/>
      <c r="M34" s="40">
        <f t="shared" si="3"/>
        <v>0</v>
      </c>
      <c r="N34" s="63" t="str">
        <f t="shared" si="4"/>
        <v>N/TRANSITA</v>
      </c>
      <c r="O34" s="85"/>
      <c r="P34" s="86"/>
      <c r="Q34" s="70"/>
      <c r="R34" s="40">
        <f t="shared" si="5"/>
        <v>0</v>
      </c>
      <c r="S34" s="41">
        <f t="shared" si="0"/>
        <v>0</v>
      </c>
      <c r="T34" s="81" t="str">
        <f t="shared" si="6"/>
        <v>N/TRANSITA</v>
      </c>
    </row>
    <row r="35" spans="2:20" ht="14.25" customHeight="1" x14ac:dyDescent="0.3">
      <c r="B35" s="33">
        <v>27</v>
      </c>
      <c r="C35" s="128" t="s">
        <v>94</v>
      </c>
      <c r="D35" s="60"/>
      <c r="E35" s="85"/>
      <c r="F35" s="86"/>
      <c r="G35" s="86"/>
      <c r="H35" s="40">
        <f t="shared" si="1"/>
        <v>0</v>
      </c>
      <c r="I35" s="63" t="str">
        <f t="shared" si="2"/>
        <v>N/TRANSITA</v>
      </c>
      <c r="J35" s="85"/>
      <c r="K35" s="86"/>
      <c r="L35" s="86"/>
      <c r="M35" s="40">
        <f t="shared" si="3"/>
        <v>0</v>
      </c>
      <c r="N35" s="63" t="str">
        <f t="shared" si="4"/>
        <v>N/TRANSITA</v>
      </c>
      <c r="O35" s="85"/>
      <c r="P35" s="86"/>
      <c r="Q35" s="70"/>
      <c r="R35" s="40">
        <f t="shared" si="5"/>
        <v>0</v>
      </c>
      <c r="S35" s="41">
        <f t="shared" si="0"/>
        <v>0</v>
      </c>
      <c r="T35" s="81" t="str">
        <f t="shared" si="6"/>
        <v>N/TRANSITA</v>
      </c>
    </row>
    <row r="36" spans="2:20" ht="14.25" customHeight="1" x14ac:dyDescent="0.3">
      <c r="B36" s="33">
        <v>28</v>
      </c>
      <c r="C36" s="127" t="s">
        <v>95</v>
      </c>
      <c r="D36" s="60"/>
      <c r="E36" s="85">
        <v>15</v>
      </c>
      <c r="F36" s="86">
        <v>17</v>
      </c>
      <c r="G36" s="86"/>
      <c r="H36" s="40">
        <f t="shared" si="1"/>
        <v>16</v>
      </c>
      <c r="I36" s="63" t="str">
        <f t="shared" si="2"/>
        <v>TRANSITA</v>
      </c>
      <c r="J36" s="85">
        <v>5</v>
      </c>
      <c r="K36" s="86"/>
      <c r="L36" s="86"/>
      <c r="M36" s="40">
        <f t="shared" si="3"/>
        <v>2.5</v>
      </c>
      <c r="N36" s="63" t="str">
        <f t="shared" si="4"/>
        <v>N/TRANSITA</v>
      </c>
      <c r="O36" s="85"/>
      <c r="P36" s="86"/>
      <c r="Q36" s="70"/>
      <c r="R36" s="40">
        <f t="shared" si="5"/>
        <v>0</v>
      </c>
      <c r="S36" s="41">
        <f t="shared" si="0"/>
        <v>6.166666666666667</v>
      </c>
      <c r="T36" s="81" t="str">
        <f t="shared" si="6"/>
        <v>N/TRANSITA</v>
      </c>
    </row>
    <row r="37" spans="2:20" ht="14.25" customHeight="1" x14ac:dyDescent="0.3">
      <c r="B37" s="33">
        <v>29</v>
      </c>
      <c r="C37" s="127" t="s">
        <v>96</v>
      </c>
      <c r="D37" s="60"/>
      <c r="E37" s="85">
        <v>12</v>
      </c>
      <c r="F37" s="86">
        <v>13</v>
      </c>
      <c r="G37" s="86"/>
      <c r="H37" s="40">
        <f t="shared" si="1"/>
        <v>12.5</v>
      </c>
      <c r="I37" s="63" t="str">
        <f t="shared" si="2"/>
        <v>TRANSITA</v>
      </c>
      <c r="J37" s="85">
        <v>9</v>
      </c>
      <c r="K37" s="86">
        <v>16</v>
      </c>
      <c r="L37" s="86"/>
      <c r="M37" s="40">
        <f t="shared" si="3"/>
        <v>12.5</v>
      </c>
      <c r="N37" s="63" t="str">
        <f t="shared" si="4"/>
        <v>TRANSITA</v>
      </c>
      <c r="O37" s="85"/>
      <c r="P37" s="86"/>
      <c r="Q37" s="70"/>
      <c r="R37" s="40">
        <f t="shared" si="5"/>
        <v>0</v>
      </c>
      <c r="S37" s="41">
        <f t="shared" si="0"/>
        <v>8.3333333333333339</v>
      </c>
      <c r="T37" s="81" t="str">
        <f t="shared" si="6"/>
        <v>N/TRANSITA</v>
      </c>
    </row>
    <row r="38" spans="2:20" ht="14.25" customHeight="1" x14ac:dyDescent="0.3">
      <c r="B38" s="33">
        <v>30</v>
      </c>
      <c r="C38" s="127" t="s">
        <v>97</v>
      </c>
      <c r="D38" s="60"/>
      <c r="E38" s="85"/>
      <c r="F38" s="86"/>
      <c r="G38" s="86"/>
      <c r="H38" s="40">
        <f t="shared" si="1"/>
        <v>0</v>
      </c>
      <c r="I38" s="63" t="str">
        <f t="shared" si="2"/>
        <v>N/TRANSITA</v>
      </c>
      <c r="J38" s="85"/>
      <c r="K38" s="86"/>
      <c r="L38" s="86"/>
      <c r="M38" s="40">
        <f t="shared" si="3"/>
        <v>0</v>
      </c>
      <c r="N38" s="63" t="str">
        <f t="shared" si="4"/>
        <v>N/TRANSITA</v>
      </c>
      <c r="O38" s="85"/>
      <c r="P38" s="86"/>
      <c r="Q38" s="70"/>
      <c r="R38" s="40">
        <f t="shared" si="5"/>
        <v>0</v>
      </c>
      <c r="S38" s="41">
        <f t="shared" si="0"/>
        <v>0</v>
      </c>
      <c r="T38" s="81" t="str">
        <f t="shared" si="6"/>
        <v>N/TRANSITA</v>
      </c>
    </row>
    <row r="39" spans="2:20" ht="14.25" customHeight="1" x14ac:dyDescent="0.3">
      <c r="B39" s="33">
        <v>31</v>
      </c>
      <c r="C39" s="127" t="s">
        <v>98</v>
      </c>
      <c r="D39" s="60"/>
      <c r="E39" s="85">
        <v>5</v>
      </c>
      <c r="F39" s="86"/>
      <c r="G39" s="86"/>
      <c r="H39" s="40">
        <f t="shared" si="1"/>
        <v>2.5</v>
      </c>
      <c r="I39" s="63" t="str">
        <f t="shared" si="2"/>
        <v>N/TRANSITA</v>
      </c>
      <c r="J39" s="85"/>
      <c r="K39" s="86"/>
      <c r="L39" s="86"/>
      <c r="M39" s="40">
        <f t="shared" si="3"/>
        <v>0</v>
      </c>
      <c r="N39" s="63" t="str">
        <f t="shared" si="4"/>
        <v>N/TRANSITA</v>
      </c>
      <c r="O39" s="85"/>
      <c r="P39" s="86"/>
      <c r="Q39" s="70"/>
      <c r="R39" s="40">
        <f t="shared" si="5"/>
        <v>0</v>
      </c>
      <c r="S39" s="41">
        <f t="shared" si="0"/>
        <v>0.83333333333333337</v>
      </c>
      <c r="T39" s="81" t="str">
        <f t="shared" si="6"/>
        <v>N/TRANSITA</v>
      </c>
    </row>
    <row r="40" spans="2:20" ht="14.25" customHeight="1" x14ac:dyDescent="0.3">
      <c r="B40" s="33">
        <v>32</v>
      </c>
      <c r="C40" s="128" t="s">
        <v>99</v>
      </c>
      <c r="D40" s="60"/>
      <c r="E40" s="85">
        <v>5</v>
      </c>
      <c r="F40" s="86">
        <v>10</v>
      </c>
      <c r="G40" s="86"/>
      <c r="H40" s="40">
        <f t="shared" si="1"/>
        <v>7.5</v>
      </c>
      <c r="I40" s="63" t="str">
        <f t="shared" si="2"/>
        <v>N/TRANSITA</v>
      </c>
      <c r="J40" s="85">
        <v>6</v>
      </c>
      <c r="K40" s="86">
        <v>7</v>
      </c>
      <c r="L40" s="86"/>
      <c r="M40" s="40">
        <f t="shared" si="3"/>
        <v>6.5</v>
      </c>
      <c r="N40" s="63" t="str">
        <f t="shared" si="4"/>
        <v>N/TRANSITA</v>
      </c>
      <c r="O40" s="85"/>
      <c r="P40" s="86"/>
      <c r="Q40" s="70"/>
      <c r="R40" s="40">
        <f t="shared" si="5"/>
        <v>0</v>
      </c>
      <c r="S40" s="41">
        <f t="shared" si="0"/>
        <v>4.666666666666667</v>
      </c>
      <c r="T40" s="81" t="str">
        <f t="shared" si="6"/>
        <v>N/TRANSITA</v>
      </c>
    </row>
    <row r="41" spans="2:20" ht="14.25" customHeight="1" x14ac:dyDescent="0.3">
      <c r="B41" s="33">
        <v>33</v>
      </c>
      <c r="C41" s="127" t="s">
        <v>100</v>
      </c>
      <c r="D41" s="60"/>
      <c r="E41" s="85">
        <v>19</v>
      </c>
      <c r="F41" s="86">
        <v>15</v>
      </c>
      <c r="G41" s="86"/>
      <c r="H41" s="40">
        <f t="shared" si="1"/>
        <v>17</v>
      </c>
      <c r="I41" s="63" t="str">
        <f t="shared" si="2"/>
        <v>TRANSITA</v>
      </c>
      <c r="J41" s="85">
        <v>9</v>
      </c>
      <c r="K41" s="86">
        <v>15</v>
      </c>
      <c r="L41" s="86"/>
      <c r="M41" s="40">
        <f t="shared" si="3"/>
        <v>12</v>
      </c>
      <c r="N41" s="63" t="str">
        <f t="shared" si="4"/>
        <v>TRANSITA</v>
      </c>
      <c r="O41" s="85"/>
      <c r="P41" s="86"/>
      <c r="Q41" s="70"/>
      <c r="R41" s="40">
        <f t="shared" si="5"/>
        <v>0</v>
      </c>
      <c r="S41" s="41">
        <f t="shared" si="0"/>
        <v>9.6666666666666661</v>
      </c>
      <c r="T41" s="81" t="str">
        <f t="shared" si="6"/>
        <v>N/TRANSITA</v>
      </c>
    </row>
    <row r="42" spans="2:20" ht="14.25" customHeight="1" x14ac:dyDescent="0.3">
      <c r="B42" s="33">
        <v>34</v>
      </c>
      <c r="C42" s="127" t="s">
        <v>101</v>
      </c>
      <c r="D42" s="60"/>
      <c r="E42" s="85"/>
      <c r="F42" s="86"/>
      <c r="G42" s="86"/>
      <c r="H42" s="40">
        <f t="shared" si="1"/>
        <v>0</v>
      </c>
      <c r="I42" s="63" t="str">
        <f t="shared" si="2"/>
        <v>N/TRANSITA</v>
      </c>
      <c r="J42" s="85"/>
      <c r="K42" s="86"/>
      <c r="L42" s="86"/>
      <c r="M42" s="40">
        <f t="shared" si="3"/>
        <v>0</v>
      </c>
      <c r="N42" s="63" t="str">
        <f t="shared" si="4"/>
        <v>N/TRANSITA</v>
      </c>
      <c r="O42" s="85"/>
      <c r="P42" s="86"/>
      <c r="Q42" s="70"/>
      <c r="R42" s="40">
        <f t="shared" si="5"/>
        <v>0</v>
      </c>
      <c r="S42" s="41">
        <f t="shared" ref="S42:S71" si="13">SUM(H42,M42,R42)/3</f>
        <v>0</v>
      </c>
      <c r="T42" s="81" t="str">
        <f t="shared" si="6"/>
        <v>N/TRANSITA</v>
      </c>
    </row>
    <row r="43" spans="2:20" ht="14.25" customHeight="1" x14ac:dyDescent="0.3">
      <c r="B43" s="33">
        <v>35</v>
      </c>
      <c r="C43" s="127" t="s">
        <v>102</v>
      </c>
      <c r="D43" s="60"/>
      <c r="E43" s="85">
        <v>8</v>
      </c>
      <c r="F43" s="86">
        <v>14</v>
      </c>
      <c r="G43" s="86"/>
      <c r="H43" s="40">
        <f t="shared" si="1"/>
        <v>11</v>
      </c>
      <c r="I43" s="63" t="str">
        <f t="shared" si="2"/>
        <v>TRANSITA</v>
      </c>
      <c r="J43" s="85">
        <v>3</v>
      </c>
      <c r="K43" s="86">
        <v>12</v>
      </c>
      <c r="L43" s="86"/>
      <c r="M43" s="40">
        <f t="shared" si="3"/>
        <v>7.5</v>
      </c>
      <c r="N43" s="63" t="str">
        <f t="shared" si="4"/>
        <v>N/TRANSITA</v>
      </c>
      <c r="O43" s="85"/>
      <c r="P43" s="86"/>
      <c r="Q43" s="70"/>
      <c r="R43" s="40">
        <f t="shared" si="5"/>
        <v>0</v>
      </c>
      <c r="S43" s="41">
        <f t="shared" si="13"/>
        <v>6.166666666666667</v>
      </c>
      <c r="T43" s="81" t="str">
        <f t="shared" si="6"/>
        <v>N/TRANSITA</v>
      </c>
    </row>
    <row r="44" spans="2:20" ht="14.25" customHeight="1" x14ac:dyDescent="0.3">
      <c r="B44" s="33">
        <v>36</v>
      </c>
      <c r="C44" s="127" t="s">
        <v>103</v>
      </c>
      <c r="D44" s="60"/>
      <c r="E44" s="85">
        <v>5</v>
      </c>
      <c r="F44" s="86">
        <v>12</v>
      </c>
      <c r="G44" s="86"/>
      <c r="H44" s="40">
        <f t="shared" si="1"/>
        <v>8.5</v>
      </c>
      <c r="I44" s="63" t="str">
        <f t="shared" si="2"/>
        <v>N/TRANSITA</v>
      </c>
      <c r="J44" s="85"/>
      <c r="K44" s="86"/>
      <c r="L44" s="86"/>
      <c r="M44" s="40">
        <f t="shared" si="3"/>
        <v>0</v>
      </c>
      <c r="N44" s="63" t="str">
        <f t="shared" si="4"/>
        <v>N/TRANSITA</v>
      </c>
      <c r="O44" s="85"/>
      <c r="P44" s="86"/>
      <c r="Q44" s="70"/>
      <c r="R44" s="40">
        <f t="shared" si="5"/>
        <v>0</v>
      </c>
      <c r="S44" s="41">
        <f t="shared" si="13"/>
        <v>2.8333333333333335</v>
      </c>
      <c r="T44" s="81" t="str">
        <f t="shared" ref="T44:T49" si="14">IF(S44&gt;=10,"TRANSITA","N/TRANSITA")</f>
        <v>N/TRANSITA</v>
      </c>
    </row>
    <row r="45" spans="2:20" ht="14.25" customHeight="1" x14ac:dyDescent="0.3">
      <c r="B45" s="33">
        <v>37</v>
      </c>
      <c r="C45" s="127" t="s">
        <v>104</v>
      </c>
      <c r="D45" s="60"/>
      <c r="E45" s="85">
        <v>7</v>
      </c>
      <c r="F45" s="86">
        <v>11</v>
      </c>
      <c r="G45" s="86"/>
      <c r="H45" s="40">
        <f t="shared" si="1"/>
        <v>9</v>
      </c>
      <c r="I45" s="63" t="str">
        <f t="shared" si="2"/>
        <v>N/TRANSITA</v>
      </c>
      <c r="J45" s="85">
        <v>14</v>
      </c>
      <c r="K45" s="86">
        <v>1</v>
      </c>
      <c r="L45" s="86"/>
      <c r="M45" s="40">
        <f t="shared" si="3"/>
        <v>7.5</v>
      </c>
      <c r="N45" s="63" t="str">
        <f t="shared" si="4"/>
        <v>N/TRANSITA</v>
      </c>
      <c r="O45" s="85"/>
      <c r="P45" s="86"/>
      <c r="Q45" s="70"/>
      <c r="R45" s="40">
        <f t="shared" si="5"/>
        <v>0</v>
      </c>
      <c r="S45" s="41">
        <f t="shared" si="13"/>
        <v>5.5</v>
      </c>
      <c r="T45" s="81" t="str">
        <f t="shared" si="14"/>
        <v>N/TRANSITA</v>
      </c>
    </row>
    <row r="46" spans="2:20" ht="14.25" customHeight="1" x14ac:dyDescent="0.3">
      <c r="B46" s="33">
        <v>38</v>
      </c>
      <c r="C46" s="127" t="s">
        <v>105</v>
      </c>
      <c r="D46" s="60"/>
      <c r="E46" s="85">
        <v>9</v>
      </c>
      <c r="F46" s="86"/>
      <c r="G46" s="86"/>
      <c r="H46" s="40">
        <f t="shared" si="1"/>
        <v>4.5</v>
      </c>
      <c r="I46" s="63" t="str">
        <f t="shared" si="2"/>
        <v>N/TRANSITA</v>
      </c>
      <c r="J46" s="85"/>
      <c r="K46" s="86"/>
      <c r="L46" s="86"/>
      <c r="M46" s="40">
        <f t="shared" si="3"/>
        <v>0</v>
      </c>
      <c r="N46" s="63" t="str">
        <f t="shared" si="4"/>
        <v>N/TRANSITA</v>
      </c>
      <c r="O46" s="85"/>
      <c r="P46" s="86"/>
      <c r="Q46" s="70"/>
      <c r="R46" s="40">
        <f t="shared" si="5"/>
        <v>0</v>
      </c>
      <c r="S46" s="41">
        <f t="shared" si="13"/>
        <v>1.5</v>
      </c>
      <c r="T46" s="81" t="str">
        <f t="shared" si="14"/>
        <v>N/TRANSITA</v>
      </c>
    </row>
    <row r="47" spans="2:20" ht="14.25" customHeight="1" x14ac:dyDescent="0.3">
      <c r="B47" s="33">
        <v>39</v>
      </c>
      <c r="C47" s="127" t="s">
        <v>106</v>
      </c>
      <c r="D47" s="60"/>
      <c r="E47" s="85">
        <v>18</v>
      </c>
      <c r="F47" s="86">
        <v>19</v>
      </c>
      <c r="G47" s="86"/>
      <c r="H47" s="40">
        <f t="shared" si="1"/>
        <v>18.5</v>
      </c>
      <c r="I47" s="63" t="str">
        <f t="shared" si="2"/>
        <v>TRANSITA</v>
      </c>
      <c r="J47" s="85">
        <v>15</v>
      </c>
      <c r="K47" s="86">
        <v>15</v>
      </c>
      <c r="L47" s="86"/>
      <c r="M47" s="40">
        <f t="shared" si="3"/>
        <v>15</v>
      </c>
      <c r="N47" s="63" t="str">
        <f t="shared" si="4"/>
        <v>TRANSITA</v>
      </c>
      <c r="O47" s="85"/>
      <c r="P47" s="86"/>
      <c r="Q47" s="70"/>
      <c r="R47" s="40">
        <f t="shared" si="5"/>
        <v>0</v>
      </c>
      <c r="S47" s="41">
        <f t="shared" si="13"/>
        <v>11.166666666666666</v>
      </c>
      <c r="T47" s="81" t="str">
        <f t="shared" si="14"/>
        <v>TRANSITA</v>
      </c>
    </row>
    <row r="48" spans="2:20" ht="14.25" customHeight="1" x14ac:dyDescent="0.3">
      <c r="B48" s="33">
        <v>40</v>
      </c>
      <c r="C48" s="127" t="s">
        <v>145</v>
      </c>
      <c r="D48" s="60"/>
      <c r="E48" s="85"/>
      <c r="F48" s="86"/>
      <c r="G48" s="86"/>
      <c r="H48" s="40">
        <f t="shared" si="1"/>
        <v>0</v>
      </c>
      <c r="I48" s="63" t="str">
        <f t="shared" si="2"/>
        <v>N/TRANSITA</v>
      </c>
      <c r="J48" s="85">
        <v>8</v>
      </c>
      <c r="K48" s="86">
        <v>7</v>
      </c>
      <c r="L48" s="86"/>
      <c r="M48" s="40">
        <f t="shared" ref="M48" si="15">AVERAGE(J48,MAX(K48:L48))</f>
        <v>7.5</v>
      </c>
      <c r="N48" s="63" t="str">
        <f t="shared" ref="N48" si="16">IF(M48&gt;=10,"TRANSITA","N/TRANSITA")</f>
        <v>N/TRANSITA</v>
      </c>
      <c r="O48" s="85"/>
      <c r="P48" s="86"/>
      <c r="Q48" s="70"/>
      <c r="R48" s="40">
        <f t="shared" ref="R48" si="17">AVERAGE(O48,MAX(P48:Q48))</f>
        <v>0</v>
      </c>
      <c r="S48" s="41">
        <f t="shared" ref="S48" si="18">SUM(H48,M48,R48)/3</f>
        <v>2.5</v>
      </c>
      <c r="T48" s="81" t="str">
        <f t="shared" ref="T48" si="19">IF(S48&gt;=10,"TRANSITA","N/TRANSITA")</f>
        <v>N/TRANSITA</v>
      </c>
    </row>
    <row r="49" spans="2:20" ht="14.25" customHeight="1" x14ac:dyDescent="0.3">
      <c r="B49" s="33">
        <v>41</v>
      </c>
      <c r="C49" s="128" t="s">
        <v>107</v>
      </c>
      <c r="D49" s="60"/>
      <c r="E49" s="85">
        <v>4</v>
      </c>
      <c r="F49" s="86">
        <v>14</v>
      </c>
      <c r="G49" s="86"/>
      <c r="H49" s="40">
        <f t="shared" si="1"/>
        <v>9</v>
      </c>
      <c r="I49" s="63" t="str">
        <f t="shared" si="2"/>
        <v>N/TRANSITA</v>
      </c>
      <c r="J49" s="85">
        <v>10</v>
      </c>
      <c r="K49" s="86">
        <v>13</v>
      </c>
      <c r="L49" s="86"/>
      <c r="M49" s="40">
        <f t="shared" si="3"/>
        <v>11.5</v>
      </c>
      <c r="N49" s="63" t="str">
        <f t="shared" si="4"/>
        <v>TRANSITA</v>
      </c>
      <c r="O49" s="85"/>
      <c r="P49" s="86"/>
      <c r="Q49" s="70"/>
      <c r="R49" s="40">
        <f t="shared" si="5"/>
        <v>0</v>
      </c>
      <c r="S49" s="41">
        <f t="shared" si="13"/>
        <v>6.833333333333333</v>
      </c>
      <c r="T49" s="81" t="str">
        <f t="shared" si="14"/>
        <v>N/TRANSITA</v>
      </c>
    </row>
    <row r="50" spans="2:20" ht="14.25" customHeight="1" x14ac:dyDescent="0.3">
      <c r="B50" s="33">
        <v>42</v>
      </c>
      <c r="C50" s="127" t="s">
        <v>108</v>
      </c>
      <c r="D50" s="61"/>
      <c r="E50" s="85">
        <v>5</v>
      </c>
      <c r="F50" s="86">
        <v>7</v>
      </c>
      <c r="G50" s="86"/>
      <c r="H50" s="40">
        <f t="shared" si="1"/>
        <v>6</v>
      </c>
      <c r="I50" s="63" t="str">
        <f t="shared" si="2"/>
        <v>N/TRANSITA</v>
      </c>
      <c r="J50" s="85">
        <v>12</v>
      </c>
      <c r="K50" s="86">
        <v>16</v>
      </c>
      <c r="L50" s="86"/>
      <c r="M50" s="40">
        <f t="shared" si="3"/>
        <v>14</v>
      </c>
      <c r="N50" s="63" t="str">
        <f t="shared" si="4"/>
        <v>TRANSITA</v>
      </c>
      <c r="O50" s="85"/>
      <c r="P50" s="86"/>
      <c r="Q50" s="70"/>
      <c r="R50" s="40">
        <f t="shared" si="5"/>
        <v>0</v>
      </c>
      <c r="S50" s="41">
        <f t="shared" si="13"/>
        <v>6.666666666666667</v>
      </c>
      <c r="T50" s="81" t="str">
        <f t="shared" si="6"/>
        <v>N/TRANSITA</v>
      </c>
    </row>
    <row r="51" spans="2:20" ht="14.25" customHeight="1" x14ac:dyDescent="0.3">
      <c r="B51" s="33">
        <v>43</v>
      </c>
      <c r="C51" s="127" t="s">
        <v>109</v>
      </c>
      <c r="D51" s="61"/>
      <c r="E51" s="85">
        <v>10</v>
      </c>
      <c r="F51" s="86">
        <v>17</v>
      </c>
      <c r="G51" s="86"/>
      <c r="H51" s="40">
        <f t="shared" si="1"/>
        <v>13.5</v>
      </c>
      <c r="I51" s="63" t="str">
        <f t="shared" si="2"/>
        <v>TRANSITA</v>
      </c>
      <c r="J51" s="85"/>
      <c r="K51" s="86"/>
      <c r="L51" s="86"/>
      <c r="M51" s="40">
        <f t="shared" si="3"/>
        <v>0</v>
      </c>
      <c r="N51" s="63" t="str">
        <f t="shared" si="4"/>
        <v>N/TRANSITA</v>
      </c>
      <c r="O51" s="85"/>
      <c r="P51" s="86"/>
      <c r="Q51" s="70"/>
      <c r="R51" s="40">
        <f t="shared" si="5"/>
        <v>0</v>
      </c>
      <c r="S51" s="41">
        <f t="shared" si="13"/>
        <v>4.5</v>
      </c>
      <c r="T51" s="81" t="str">
        <f t="shared" si="6"/>
        <v>N/TRANSITA</v>
      </c>
    </row>
    <row r="52" spans="2:20" ht="14.25" customHeight="1" x14ac:dyDescent="0.3">
      <c r="B52" s="33">
        <v>44</v>
      </c>
      <c r="C52" s="127" t="s">
        <v>110</v>
      </c>
      <c r="D52" s="60"/>
      <c r="E52" s="85">
        <v>18</v>
      </c>
      <c r="F52" s="86">
        <v>16</v>
      </c>
      <c r="G52" s="86"/>
      <c r="H52" s="40">
        <f t="shared" si="1"/>
        <v>17</v>
      </c>
      <c r="I52" s="63" t="str">
        <f t="shared" si="2"/>
        <v>TRANSITA</v>
      </c>
      <c r="J52" s="85">
        <v>7</v>
      </c>
      <c r="K52" s="86">
        <v>7</v>
      </c>
      <c r="L52" s="86"/>
      <c r="M52" s="40">
        <f t="shared" si="3"/>
        <v>7</v>
      </c>
      <c r="N52" s="63" t="str">
        <f t="shared" si="4"/>
        <v>N/TRANSITA</v>
      </c>
      <c r="O52" s="85"/>
      <c r="P52" s="86"/>
      <c r="Q52" s="70"/>
      <c r="R52" s="40">
        <f t="shared" si="5"/>
        <v>0</v>
      </c>
      <c r="S52" s="41">
        <f t="shared" si="13"/>
        <v>8</v>
      </c>
      <c r="T52" s="81" t="str">
        <f t="shared" si="6"/>
        <v>N/TRANSITA</v>
      </c>
    </row>
    <row r="53" spans="2:20" ht="14.25" customHeight="1" x14ac:dyDescent="0.3">
      <c r="B53" s="33">
        <v>45</v>
      </c>
      <c r="C53" s="127" t="s">
        <v>111</v>
      </c>
      <c r="D53" s="60"/>
      <c r="E53" s="85"/>
      <c r="F53" s="86"/>
      <c r="G53" s="86"/>
      <c r="H53" s="40">
        <f t="shared" si="1"/>
        <v>0</v>
      </c>
      <c r="I53" s="63" t="str">
        <f t="shared" si="2"/>
        <v>N/TRANSITA</v>
      </c>
      <c r="J53" s="85"/>
      <c r="K53" s="86"/>
      <c r="L53" s="86"/>
      <c r="M53" s="40">
        <f t="shared" si="3"/>
        <v>0</v>
      </c>
      <c r="N53" s="63" t="str">
        <f t="shared" si="4"/>
        <v>N/TRANSITA</v>
      </c>
      <c r="O53" s="85"/>
      <c r="P53" s="86"/>
      <c r="Q53" s="70"/>
      <c r="R53" s="40">
        <f t="shared" si="5"/>
        <v>0</v>
      </c>
      <c r="S53" s="41">
        <f t="shared" si="13"/>
        <v>0</v>
      </c>
      <c r="T53" s="81" t="str">
        <f t="shared" si="6"/>
        <v>N/TRANSITA</v>
      </c>
    </row>
    <row r="54" spans="2:20" ht="14.25" customHeight="1" x14ac:dyDescent="0.3">
      <c r="B54" s="33">
        <v>46</v>
      </c>
      <c r="C54" s="127" t="s">
        <v>112</v>
      </c>
      <c r="D54" s="60"/>
      <c r="E54" s="85">
        <v>11</v>
      </c>
      <c r="F54" s="86">
        <v>8</v>
      </c>
      <c r="G54" s="86"/>
      <c r="H54" s="40">
        <f t="shared" si="1"/>
        <v>9.5</v>
      </c>
      <c r="I54" s="63" t="str">
        <f t="shared" si="2"/>
        <v>N/TRANSITA</v>
      </c>
      <c r="J54" s="85">
        <v>14</v>
      </c>
      <c r="K54" s="86">
        <v>8</v>
      </c>
      <c r="L54" s="86"/>
      <c r="M54" s="40">
        <f t="shared" si="3"/>
        <v>11</v>
      </c>
      <c r="N54" s="63" t="str">
        <f t="shared" si="4"/>
        <v>TRANSITA</v>
      </c>
      <c r="O54" s="85"/>
      <c r="P54" s="86"/>
      <c r="Q54" s="70"/>
      <c r="R54" s="40">
        <f t="shared" si="5"/>
        <v>0</v>
      </c>
      <c r="S54" s="41">
        <f t="shared" si="13"/>
        <v>6.833333333333333</v>
      </c>
      <c r="T54" s="81" t="str">
        <f t="shared" si="6"/>
        <v>N/TRANSITA</v>
      </c>
    </row>
    <row r="55" spans="2:20" ht="14.25" customHeight="1" x14ac:dyDescent="0.3">
      <c r="B55" s="33">
        <v>47</v>
      </c>
      <c r="C55" s="127" t="s">
        <v>141</v>
      </c>
      <c r="D55" s="60"/>
      <c r="E55" s="85"/>
      <c r="F55" s="86"/>
      <c r="G55" s="86"/>
      <c r="H55" s="40">
        <f t="shared" si="1"/>
        <v>0</v>
      </c>
      <c r="I55" s="63" t="str">
        <f t="shared" si="2"/>
        <v>N/TRANSITA</v>
      </c>
      <c r="J55" s="85">
        <v>4</v>
      </c>
      <c r="K55" s="86">
        <v>6</v>
      </c>
      <c r="L55" s="86"/>
      <c r="M55" s="40">
        <f t="shared" ref="M55:M56" si="20">AVERAGE(J55,MAX(K55:L55))</f>
        <v>5</v>
      </c>
      <c r="N55" s="63" t="str">
        <f t="shared" ref="N55:N56" si="21">IF(M55&gt;=10,"TRANSITA","N/TRANSITA")</f>
        <v>N/TRANSITA</v>
      </c>
      <c r="O55" s="85"/>
      <c r="P55" s="86"/>
      <c r="Q55" s="70"/>
      <c r="R55" s="40">
        <f t="shared" ref="R55:R56" si="22">AVERAGE(O55,MAX(P55:Q55))</f>
        <v>0</v>
      </c>
      <c r="S55" s="41">
        <f t="shared" ref="S55:S56" si="23">SUM(H55,M55,R55)/3</f>
        <v>1.6666666666666667</v>
      </c>
      <c r="T55" s="81" t="str">
        <f t="shared" ref="T55:T56" si="24">IF(S55&gt;=10,"TRANSITA","N/TRANSITA")</f>
        <v>N/TRANSITA</v>
      </c>
    </row>
    <row r="56" spans="2:20" ht="14.25" customHeight="1" x14ac:dyDescent="0.3">
      <c r="B56" s="33">
        <v>48</v>
      </c>
      <c r="C56" s="127" t="s">
        <v>113</v>
      </c>
      <c r="D56" s="60"/>
      <c r="E56" s="85"/>
      <c r="F56" s="86"/>
      <c r="G56" s="86"/>
      <c r="H56" s="40">
        <f t="shared" si="1"/>
        <v>0</v>
      </c>
      <c r="I56" s="63" t="str">
        <f t="shared" si="2"/>
        <v>N/TRANSITA</v>
      </c>
      <c r="J56" s="85"/>
      <c r="K56" s="86"/>
      <c r="L56" s="86"/>
      <c r="M56" s="40">
        <f t="shared" si="20"/>
        <v>0</v>
      </c>
      <c r="N56" s="63" t="str">
        <f t="shared" si="21"/>
        <v>N/TRANSITA</v>
      </c>
      <c r="O56" s="85"/>
      <c r="P56" s="86"/>
      <c r="Q56" s="70"/>
      <c r="R56" s="40">
        <f t="shared" si="22"/>
        <v>0</v>
      </c>
      <c r="S56" s="41">
        <f t="shared" si="23"/>
        <v>0</v>
      </c>
      <c r="T56" s="81" t="str">
        <f t="shared" si="24"/>
        <v>N/TRANSITA</v>
      </c>
    </row>
    <row r="57" spans="2:20" ht="14.25" customHeight="1" x14ac:dyDescent="0.3">
      <c r="B57" s="33">
        <v>49</v>
      </c>
      <c r="C57" s="127" t="s">
        <v>114</v>
      </c>
      <c r="D57" s="60"/>
      <c r="E57" s="85">
        <v>5</v>
      </c>
      <c r="F57" s="86">
        <v>13</v>
      </c>
      <c r="G57" s="86"/>
      <c r="H57" s="40">
        <f t="shared" si="1"/>
        <v>9</v>
      </c>
      <c r="I57" s="63" t="str">
        <f t="shared" si="2"/>
        <v>N/TRANSITA</v>
      </c>
      <c r="J57" s="85">
        <v>7</v>
      </c>
      <c r="K57" s="86">
        <v>9</v>
      </c>
      <c r="L57" s="86"/>
      <c r="M57" s="40">
        <f t="shared" ref="M57:M63" si="25">AVERAGE(J57,MAX(K57:L57))</f>
        <v>8</v>
      </c>
      <c r="N57" s="63" t="str">
        <f t="shared" ref="N57:N63" si="26">IF(M57&gt;=10,"TRANSITA","N/TRANSITA")</f>
        <v>N/TRANSITA</v>
      </c>
      <c r="O57" s="85"/>
      <c r="P57" s="86"/>
      <c r="Q57" s="70"/>
      <c r="R57" s="40">
        <f t="shared" ref="R57:R63" si="27">AVERAGE(O57,MAX(P57:Q57))</f>
        <v>0</v>
      </c>
      <c r="S57" s="41">
        <f t="shared" ref="S57:S63" si="28">SUM(H57,M57,R57)/3</f>
        <v>5.666666666666667</v>
      </c>
      <c r="T57" s="81" t="str">
        <f t="shared" ref="T57:T63" si="29">IF(S57&gt;=10,"TRANSITA","N/TRANSITA")</f>
        <v>N/TRANSITA</v>
      </c>
    </row>
    <row r="58" spans="2:20" ht="14.25" customHeight="1" x14ac:dyDescent="0.3">
      <c r="B58" s="33">
        <v>50</v>
      </c>
      <c r="C58" s="127" t="s">
        <v>115</v>
      </c>
      <c r="D58" s="60"/>
      <c r="E58" s="85">
        <v>18</v>
      </c>
      <c r="F58" s="86">
        <v>19</v>
      </c>
      <c r="G58" s="86"/>
      <c r="H58" s="40">
        <f t="shared" si="1"/>
        <v>18.5</v>
      </c>
      <c r="I58" s="63" t="str">
        <f t="shared" si="2"/>
        <v>TRANSITA</v>
      </c>
      <c r="J58" s="85">
        <v>13</v>
      </c>
      <c r="K58" s="86">
        <v>18</v>
      </c>
      <c r="L58" s="86"/>
      <c r="M58" s="40">
        <f t="shared" si="25"/>
        <v>15.5</v>
      </c>
      <c r="N58" s="63" t="str">
        <f t="shared" si="26"/>
        <v>TRANSITA</v>
      </c>
      <c r="O58" s="85"/>
      <c r="P58" s="86"/>
      <c r="Q58" s="70"/>
      <c r="R58" s="40">
        <f t="shared" si="27"/>
        <v>0</v>
      </c>
      <c r="S58" s="41">
        <f t="shared" si="28"/>
        <v>11.333333333333334</v>
      </c>
      <c r="T58" s="81" t="str">
        <f t="shared" si="29"/>
        <v>TRANSITA</v>
      </c>
    </row>
    <row r="59" spans="2:20" ht="14.25" customHeight="1" x14ac:dyDescent="0.3">
      <c r="B59" s="33">
        <v>51</v>
      </c>
      <c r="C59" s="127" t="s">
        <v>116</v>
      </c>
      <c r="D59" s="60"/>
      <c r="E59" s="85"/>
      <c r="F59" s="86"/>
      <c r="G59" s="86"/>
      <c r="H59" s="40">
        <f t="shared" si="1"/>
        <v>0</v>
      </c>
      <c r="I59" s="63" t="str">
        <f t="shared" si="2"/>
        <v>N/TRANSITA</v>
      </c>
      <c r="J59" s="85"/>
      <c r="K59" s="86"/>
      <c r="L59" s="86"/>
      <c r="M59" s="40">
        <f t="shared" si="25"/>
        <v>0</v>
      </c>
      <c r="N59" s="63" t="str">
        <f t="shared" si="26"/>
        <v>N/TRANSITA</v>
      </c>
      <c r="O59" s="85"/>
      <c r="P59" s="86"/>
      <c r="Q59" s="70"/>
      <c r="R59" s="40">
        <f t="shared" si="27"/>
        <v>0</v>
      </c>
      <c r="S59" s="41">
        <f t="shared" si="28"/>
        <v>0</v>
      </c>
      <c r="T59" s="81" t="str">
        <f t="shared" si="29"/>
        <v>N/TRANSITA</v>
      </c>
    </row>
    <row r="60" spans="2:20" ht="14.25" customHeight="1" x14ac:dyDescent="0.3">
      <c r="B60" s="33">
        <v>52</v>
      </c>
      <c r="C60" s="127" t="s">
        <v>117</v>
      </c>
      <c r="D60" s="60"/>
      <c r="E60" s="85">
        <v>3</v>
      </c>
      <c r="F60" s="86">
        <v>7</v>
      </c>
      <c r="G60" s="86"/>
      <c r="H60" s="40">
        <f t="shared" si="1"/>
        <v>5</v>
      </c>
      <c r="I60" s="63" t="str">
        <f t="shared" si="2"/>
        <v>N/TRANSITA</v>
      </c>
      <c r="J60" s="85">
        <v>9</v>
      </c>
      <c r="K60" s="86">
        <v>7</v>
      </c>
      <c r="L60" s="86"/>
      <c r="M60" s="40">
        <f t="shared" si="25"/>
        <v>8</v>
      </c>
      <c r="N60" s="63" t="str">
        <f t="shared" si="26"/>
        <v>N/TRANSITA</v>
      </c>
      <c r="O60" s="85"/>
      <c r="P60" s="86"/>
      <c r="Q60" s="70"/>
      <c r="R60" s="40">
        <f t="shared" si="27"/>
        <v>0</v>
      </c>
      <c r="S60" s="41">
        <f t="shared" si="28"/>
        <v>4.333333333333333</v>
      </c>
      <c r="T60" s="81" t="str">
        <f t="shared" si="29"/>
        <v>N/TRANSITA</v>
      </c>
    </row>
    <row r="61" spans="2:20" ht="14.25" customHeight="1" x14ac:dyDescent="0.3">
      <c r="B61" s="33">
        <v>53</v>
      </c>
      <c r="C61" s="127" t="s">
        <v>118</v>
      </c>
      <c r="D61" s="60"/>
      <c r="E61" s="85"/>
      <c r="F61" s="86"/>
      <c r="G61" s="86"/>
      <c r="H61" s="40">
        <f t="shared" si="1"/>
        <v>0</v>
      </c>
      <c r="I61" s="63" t="str">
        <f t="shared" si="2"/>
        <v>N/TRANSITA</v>
      </c>
      <c r="J61" s="85"/>
      <c r="K61" s="86"/>
      <c r="L61" s="86"/>
      <c r="M61" s="40">
        <f t="shared" si="25"/>
        <v>0</v>
      </c>
      <c r="N61" s="63" t="str">
        <f t="shared" si="26"/>
        <v>N/TRANSITA</v>
      </c>
      <c r="O61" s="85"/>
      <c r="P61" s="86"/>
      <c r="Q61" s="70"/>
      <c r="R61" s="40">
        <f t="shared" si="27"/>
        <v>0</v>
      </c>
      <c r="S61" s="41">
        <f t="shared" si="28"/>
        <v>0</v>
      </c>
      <c r="T61" s="81" t="str">
        <f t="shared" si="29"/>
        <v>N/TRANSITA</v>
      </c>
    </row>
    <row r="62" spans="2:20" ht="14.25" customHeight="1" x14ac:dyDescent="0.3">
      <c r="B62" s="33">
        <v>54</v>
      </c>
      <c r="C62" s="128" t="s">
        <v>119</v>
      </c>
      <c r="D62" s="60"/>
      <c r="E62" s="85">
        <v>3</v>
      </c>
      <c r="F62" s="86">
        <v>10</v>
      </c>
      <c r="G62" s="86"/>
      <c r="H62" s="40">
        <f t="shared" si="1"/>
        <v>6.5</v>
      </c>
      <c r="I62" s="63" t="str">
        <f t="shared" si="2"/>
        <v>N/TRANSITA</v>
      </c>
      <c r="J62" s="85"/>
      <c r="K62" s="86"/>
      <c r="L62" s="86"/>
      <c r="M62" s="40">
        <f t="shared" si="25"/>
        <v>0</v>
      </c>
      <c r="N62" s="63" t="str">
        <f t="shared" si="26"/>
        <v>N/TRANSITA</v>
      </c>
      <c r="O62" s="85"/>
      <c r="P62" s="86"/>
      <c r="Q62" s="70"/>
      <c r="R62" s="40">
        <f t="shared" si="27"/>
        <v>0</v>
      </c>
      <c r="S62" s="41">
        <f t="shared" si="28"/>
        <v>2.1666666666666665</v>
      </c>
      <c r="T62" s="81" t="str">
        <f t="shared" si="29"/>
        <v>N/TRANSITA</v>
      </c>
    </row>
    <row r="63" spans="2:20" ht="14.25" customHeight="1" x14ac:dyDescent="0.3">
      <c r="B63" s="33">
        <v>55</v>
      </c>
      <c r="C63" s="127" t="s">
        <v>120</v>
      </c>
      <c r="D63" s="60"/>
      <c r="E63" s="85">
        <v>12</v>
      </c>
      <c r="F63" s="86">
        <v>10</v>
      </c>
      <c r="G63" s="86"/>
      <c r="H63" s="40">
        <f t="shared" si="1"/>
        <v>11</v>
      </c>
      <c r="I63" s="63" t="str">
        <f t="shared" si="2"/>
        <v>TRANSITA</v>
      </c>
      <c r="J63" s="85">
        <v>14</v>
      </c>
      <c r="K63" s="86">
        <v>16</v>
      </c>
      <c r="L63" s="86"/>
      <c r="M63" s="40">
        <f t="shared" si="25"/>
        <v>15</v>
      </c>
      <c r="N63" s="63" t="str">
        <f t="shared" si="26"/>
        <v>TRANSITA</v>
      </c>
      <c r="O63" s="85"/>
      <c r="P63" s="86"/>
      <c r="Q63" s="70"/>
      <c r="R63" s="40">
        <f t="shared" si="27"/>
        <v>0</v>
      </c>
      <c r="S63" s="41">
        <f t="shared" si="28"/>
        <v>8.6666666666666661</v>
      </c>
      <c r="T63" s="81" t="str">
        <f t="shared" si="29"/>
        <v>N/TRANSITA</v>
      </c>
    </row>
    <row r="64" spans="2:20" ht="14.25" customHeight="1" x14ac:dyDescent="0.3">
      <c r="B64" s="33">
        <v>56</v>
      </c>
      <c r="C64" s="127" t="s">
        <v>121</v>
      </c>
      <c r="D64" s="60"/>
      <c r="E64" s="85">
        <v>8</v>
      </c>
      <c r="F64" s="86">
        <v>10</v>
      </c>
      <c r="G64" s="86"/>
      <c r="H64" s="40">
        <f t="shared" si="1"/>
        <v>9</v>
      </c>
      <c r="I64" s="63" t="str">
        <f t="shared" si="2"/>
        <v>N/TRANSITA</v>
      </c>
      <c r="J64" s="85">
        <v>7</v>
      </c>
      <c r="K64" s="86">
        <v>9</v>
      </c>
      <c r="L64" s="86"/>
      <c r="M64" s="40">
        <f t="shared" si="3"/>
        <v>8</v>
      </c>
      <c r="N64" s="63" t="str">
        <f t="shared" si="4"/>
        <v>N/TRANSITA</v>
      </c>
      <c r="O64" s="85"/>
      <c r="P64" s="86"/>
      <c r="Q64" s="70"/>
      <c r="R64" s="40">
        <f t="shared" si="5"/>
        <v>0</v>
      </c>
      <c r="S64" s="41">
        <f t="shared" si="13"/>
        <v>5.666666666666667</v>
      </c>
      <c r="T64" s="81" t="str">
        <f t="shared" si="6"/>
        <v>N/TRANSITA</v>
      </c>
    </row>
    <row r="65" spans="1:20" ht="14.25" customHeight="1" x14ac:dyDescent="0.3">
      <c r="B65" s="33">
        <v>57</v>
      </c>
      <c r="C65" s="127" t="s">
        <v>122</v>
      </c>
      <c r="D65" s="61"/>
      <c r="E65" s="85"/>
      <c r="F65" s="86"/>
      <c r="G65" s="86"/>
      <c r="H65" s="40">
        <f t="shared" si="1"/>
        <v>0</v>
      </c>
      <c r="I65" s="63" t="str">
        <f t="shared" si="2"/>
        <v>N/TRANSITA</v>
      </c>
      <c r="J65" s="85"/>
      <c r="K65" s="86"/>
      <c r="L65" s="86"/>
      <c r="M65" s="40">
        <f t="shared" si="3"/>
        <v>0</v>
      </c>
      <c r="N65" s="63" t="str">
        <f t="shared" si="4"/>
        <v>N/TRANSITA</v>
      </c>
      <c r="O65" s="85"/>
      <c r="P65" s="86"/>
      <c r="Q65" s="70"/>
      <c r="R65" s="40">
        <f t="shared" si="5"/>
        <v>0</v>
      </c>
      <c r="S65" s="41">
        <f t="shared" si="13"/>
        <v>0</v>
      </c>
      <c r="T65" s="81" t="str">
        <f t="shared" si="6"/>
        <v>N/TRANSITA</v>
      </c>
    </row>
    <row r="66" spans="1:20" ht="14.25" customHeight="1" x14ac:dyDescent="0.3">
      <c r="B66" s="33">
        <v>58</v>
      </c>
      <c r="C66" s="127" t="s">
        <v>123</v>
      </c>
      <c r="D66" s="60"/>
      <c r="E66" s="85">
        <v>2</v>
      </c>
      <c r="F66" s="86">
        <v>13</v>
      </c>
      <c r="G66" s="86"/>
      <c r="H66" s="40">
        <f t="shared" si="1"/>
        <v>7.5</v>
      </c>
      <c r="I66" s="63" t="str">
        <f t="shared" si="2"/>
        <v>N/TRANSITA</v>
      </c>
      <c r="J66" s="85">
        <v>15</v>
      </c>
      <c r="K66" s="86">
        <v>11</v>
      </c>
      <c r="L66" s="86"/>
      <c r="M66" s="40">
        <f t="shared" si="3"/>
        <v>13</v>
      </c>
      <c r="N66" s="63" t="str">
        <f t="shared" si="4"/>
        <v>TRANSITA</v>
      </c>
      <c r="O66" s="85"/>
      <c r="P66" s="86"/>
      <c r="Q66" s="70"/>
      <c r="R66" s="40">
        <f t="shared" si="5"/>
        <v>0</v>
      </c>
      <c r="S66" s="41">
        <f t="shared" si="13"/>
        <v>6.833333333333333</v>
      </c>
      <c r="T66" s="81" t="str">
        <f t="shared" si="6"/>
        <v>N/TRANSITA</v>
      </c>
    </row>
    <row r="67" spans="1:20" ht="14.25" customHeight="1" x14ac:dyDescent="0.3">
      <c r="B67" s="33">
        <v>59</v>
      </c>
      <c r="C67" s="127" t="s">
        <v>124</v>
      </c>
      <c r="D67" s="60"/>
      <c r="E67" s="85">
        <v>14</v>
      </c>
      <c r="F67" s="86">
        <v>8</v>
      </c>
      <c r="G67" s="86"/>
      <c r="H67" s="40">
        <f t="shared" si="1"/>
        <v>11</v>
      </c>
      <c r="I67" s="63" t="str">
        <f t="shared" si="2"/>
        <v>TRANSITA</v>
      </c>
      <c r="J67" s="85">
        <v>10</v>
      </c>
      <c r="K67" s="86">
        <v>13</v>
      </c>
      <c r="L67" s="86"/>
      <c r="M67" s="40">
        <f t="shared" si="3"/>
        <v>11.5</v>
      </c>
      <c r="N67" s="63" t="str">
        <f t="shared" si="4"/>
        <v>TRANSITA</v>
      </c>
      <c r="O67" s="85"/>
      <c r="P67" s="86"/>
      <c r="Q67" s="70"/>
      <c r="R67" s="40">
        <f t="shared" si="5"/>
        <v>0</v>
      </c>
      <c r="S67" s="41">
        <f t="shared" si="13"/>
        <v>7.5</v>
      </c>
      <c r="T67" s="81" t="str">
        <f t="shared" si="6"/>
        <v>N/TRANSITA</v>
      </c>
    </row>
    <row r="68" spans="1:20" ht="14.25" customHeight="1" x14ac:dyDescent="0.3">
      <c r="B68" s="33">
        <v>60</v>
      </c>
      <c r="C68" s="128" t="s">
        <v>125</v>
      </c>
      <c r="D68" s="60"/>
      <c r="E68" s="85"/>
      <c r="F68" s="86"/>
      <c r="G68" s="86"/>
      <c r="H68" s="40">
        <f t="shared" si="1"/>
        <v>0</v>
      </c>
      <c r="I68" s="63" t="str">
        <f t="shared" si="2"/>
        <v>N/TRANSITA</v>
      </c>
      <c r="J68" s="85">
        <v>8</v>
      </c>
      <c r="K68" s="86">
        <v>7</v>
      </c>
      <c r="L68" s="86"/>
      <c r="M68" s="40">
        <f t="shared" si="3"/>
        <v>7.5</v>
      </c>
      <c r="N68" s="63" t="str">
        <f t="shared" si="4"/>
        <v>N/TRANSITA</v>
      </c>
      <c r="O68" s="85"/>
      <c r="P68" s="86"/>
      <c r="Q68" s="70"/>
      <c r="R68" s="40">
        <f t="shared" si="5"/>
        <v>0</v>
      </c>
      <c r="S68" s="41">
        <f t="shared" si="13"/>
        <v>2.5</v>
      </c>
      <c r="T68" s="81" t="str">
        <f t="shared" si="6"/>
        <v>N/TRANSITA</v>
      </c>
    </row>
    <row r="69" spans="1:20" ht="14.25" customHeight="1" x14ac:dyDescent="0.3">
      <c r="B69" s="33">
        <v>61</v>
      </c>
      <c r="C69" s="127" t="s">
        <v>126</v>
      </c>
      <c r="D69" s="60"/>
      <c r="E69" s="85"/>
      <c r="F69" s="86"/>
      <c r="G69" s="86"/>
      <c r="H69" s="40">
        <f t="shared" si="1"/>
        <v>0</v>
      </c>
      <c r="I69" s="63" t="str">
        <f t="shared" si="2"/>
        <v>N/TRANSITA</v>
      </c>
      <c r="J69" s="85"/>
      <c r="K69" s="86"/>
      <c r="L69" s="86"/>
      <c r="M69" s="40">
        <f t="shared" si="3"/>
        <v>0</v>
      </c>
      <c r="N69" s="63" t="str">
        <f t="shared" si="4"/>
        <v>N/TRANSITA</v>
      </c>
      <c r="O69" s="85"/>
      <c r="P69" s="86"/>
      <c r="Q69" s="70"/>
      <c r="R69" s="40">
        <f t="shared" si="5"/>
        <v>0</v>
      </c>
      <c r="S69" s="41">
        <f t="shared" si="13"/>
        <v>0</v>
      </c>
      <c r="T69" s="81" t="str">
        <f t="shared" si="6"/>
        <v>N/TRANSITA</v>
      </c>
    </row>
    <row r="70" spans="1:20" ht="14.25" customHeight="1" x14ac:dyDescent="0.3">
      <c r="B70" s="33">
        <v>62</v>
      </c>
      <c r="C70" s="127" t="s">
        <v>127</v>
      </c>
      <c r="D70" s="60"/>
      <c r="E70" s="85"/>
      <c r="F70" s="86"/>
      <c r="G70" s="86"/>
      <c r="H70" s="40">
        <f t="shared" si="1"/>
        <v>0</v>
      </c>
      <c r="I70" s="63" t="str">
        <f t="shared" si="2"/>
        <v>N/TRANSITA</v>
      </c>
      <c r="J70" s="85"/>
      <c r="K70" s="86"/>
      <c r="L70" s="86"/>
      <c r="M70" s="40">
        <f t="shared" si="3"/>
        <v>0</v>
      </c>
      <c r="N70" s="63" t="str">
        <f t="shared" si="4"/>
        <v>N/TRANSITA</v>
      </c>
      <c r="O70" s="85"/>
      <c r="P70" s="86"/>
      <c r="Q70" s="70"/>
      <c r="R70" s="40">
        <f t="shared" si="5"/>
        <v>0</v>
      </c>
      <c r="S70" s="41">
        <f t="shared" si="13"/>
        <v>0</v>
      </c>
      <c r="T70" s="81" t="str">
        <f t="shared" si="6"/>
        <v>N/TRANSITA</v>
      </c>
    </row>
    <row r="71" spans="1:20" ht="14.25" customHeight="1" thickBot="1" x14ac:dyDescent="0.35">
      <c r="B71" s="33">
        <v>63</v>
      </c>
      <c r="C71" s="129" t="s">
        <v>128</v>
      </c>
      <c r="D71" s="62"/>
      <c r="E71" s="87">
        <v>9</v>
      </c>
      <c r="F71" s="88">
        <v>19</v>
      </c>
      <c r="G71" s="88"/>
      <c r="H71" s="156">
        <f t="shared" si="1"/>
        <v>14</v>
      </c>
      <c r="I71" s="75" t="str">
        <f t="shared" si="2"/>
        <v>TRANSITA</v>
      </c>
      <c r="J71" s="87">
        <v>13</v>
      </c>
      <c r="K71" s="88"/>
      <c r="L71" s="88"/>
      <c r="M71" s="156">
        <f t="shared" si="3"/>
        <v>6.5</v>
      </c>
      <c r="N71" s="75" t="str">
        <f t="shared" si="4"/>
        <v>N/TRANSITA</v>
      </c>
      <c r="O71" s="87"/>
      <c r="P71" s="88"/>
      <c r="Q71" s="71"/>
      <c r="R71" s="156">
        <f t="shared" si="5"/>
        <v>0</v>
      </c>
      <c r="S71" s="42">
        <f t="shared" si="13"/>
        <v>6.833333333333333</v>
      </c>
      <c r="T71" s="82" t="str">
        <f t="shared" si="6"/>
        <v>N/TRANSITA</v>
      </c>
    </row>
    <row r="72" spans="1:20" ht="93.75" customHeight="1" thickTop="1" x14ac:dyDescent="0.3">
      <c r="B72" s="19"/>
      <c r="C72" s="19"/>
      <c r="D72" s="19"/>
      <c r="E72" s="19"/>
      <c r="F72" s="19"/>
      <c r="G72" s="19"/>
      <c r="H72" s="19"/>
      <c r="I72" s="19"/>
      <c r="J72" s="19"/>
      <c r="O72" s="19"/>
      <c r="P72" s="19"/>
      <c r="Q72" s="19"/>
      <c r="R72" s="19"/>
      <c r="S72" s="19"/>
      <c r="T72" s="19"/>
    </row>
    <row r="73" spans="1:20" ht="20.25" customHeight="1" x14ac:dyDescent="0.45">
      <c r="A73" s="20"/>
      <c r="B73" s="20"/>
      <c r="C73" s="20"/>
      <c r="D73" s="20"/>
      <c r="E73" s="20"/>
      <c r="F73" s="20"/>
      <c r="G73" s="20"/>
      <c r="H73" s="20"/>
      <c r="I73" s="20"/>
      <c r="J73" s="20"/>
      <c r="O73" s="20"/>
      <c r="P73" s="21"/>
      <c r="Q73" s="21"/>
      <c r="R73" s="21"/>
      <c r="S73" s="20"/>
      <c r="T73" s="20"/>
    </row>
    <row r="74" spans="1:20" ht="15.6" x14ac:dyDescent="0.3">
      <c r="A74" s="253" t="s">
        <v>56</v>
      </c>
      <c r="B74" s="253"/>
      <c r="C74" s="253"/>
      <c r="D74" s="253"/>
      <c r="E74" s="253"/>
      <c r="F74" s="22"/>
      <c r="G74" s="22"/>
      <c r="H74" s="22"/>
      <c r="I74" s="22"/>
      <c r="J74" s="22"/>
      <c r="K74" s="23"/>
      <c r="L74" s="23"/>
      <c r="M74" s="23"/>
      <c r="N74" s="23"/>
      <c r="O74" s="253" t="s">
        <v>9</v>
      </c>
      <c r="P74" s="253"/>
      <c r="Q74" s="253"/>
      <c r="R74" s="253"/>
      <c r="S74" s="253"/>
      <c r="T74" s="253"/>
    </row>
    <row r="75" spans="1:20" ht="15.6" x14ac:dyDescent="0.3">
      <c r="A75" s="254" t="s">
        <v>22</v>
      </c>
      <c r="B75" s="254"/>
      <c r="C75" s="254"/>
      <c r="D75" s="254"/>
      <c r="E75" s="254"/>
      <c r="F75" s="24"/>
      <c r="G75" s="24"/>
      <c r="H75" s="24"/>
      <c r="I75" s="24"/>
      <c r="J75" s="24"/>
      <c r="O75" s="255" t="s">
        <v>23</v>
      </c>
      <c r="P75" s="255"/>
      <c r="Q75" s="255"/>
      <c r="R75" s="255"/>
      <c r="S75" s="255"/>
      <c r="T75" s="255"/>
    </row>
    <row r="76" spans="1:20" x14ac:dyDescent="0.3">
      <c r="A76" s="247"/>
      <c r="B76" s="247"/>
      <c r="C76" s="247"/>
      <c r="D76" s="247"/>
      <c r="E76" s="247"/>
      <c r="O76" s="247" t="s">
        <v>24</v>
      </c>
      <c r="P76" s="247"/>
      <c r="Q76" s="247"/>
      <c r="R76" s="247"/>
      <c r="S76" s="247"/>
      <c r="T76" s="247"/>
    </row>
  </sheetData>
  <mergeCells count="22">
    <mergeCell ref="A76:E76"/>
    <mergeCell ref="O76:T76"/>
    <mergeCell ref="S7:S8"/>
    <mergeCell ref="T7:T8"/>
    <mergeCell ref="A74:E74"/>
    <mergeCell ref="O74:T74"/>
    <mergeCell ref="A75:E75"/>
    <mergeCell ref="O75:T75"/>
    <mergeCell ref="B7:B8"/>
    <mergeCell ref="C7:C8"/>
    <mergeCell ref="E7:H7"/>
    <mergeCell ref="J7:M7"/>
    <mergeCell ref="O7:R7"/>
    <mergeCell ref="I7:I8"/>
    <mergeCell ref="N7:N8"/>
    <mergeCell ref="B6:T6"/>
    <mergeCell ref="B5:C5"/>
    <mergeCell ref="A1:T1"/>
    <mergeCell ref="B3:R3"/>
    <mergeCell ref="B4:C4"/>
    <mergeCell ref="P4:T4"/>
    <mergeCell ref="N5:T5"/>
  </mergeCells>
  <conditionalFormatting sqref="S9:S71">
    <cfRule type="cellIs" dxfId="83" priority="171" stopIfTrue="1" operator="greaterThan">
      <formula>9.5</formula>
    </cfRule>
    <cfRule type="cellIs" dxfId="82" priority="172" stopIfTrue="1" operator="lessThanOrEqual">
      <formula>9.5</formula>
    </cfRule>
  </conditionalFormatting>
  <conditionalFormatting sqref="M9:M71 R9:R71">
    <cfRule type="cellIs" dxfId="81" priority="141" stopIfTrue="1" operator="lessThan">
      <formula>10</formula>
    </cfRule>
    <cfRule type="cellIs" dxfId="80" priority="142" stopIfTrue="1" operator="greaterThanOrEqual">
      <formula>10</formula>
    </cfRule>
  </conditionalFormatting>
  <conditionalFormatting sqref="L9:L71 O9:Q71">
    <cfRule type="cellIs" dxfId="79" priority="83" stopIfTrue="1" operator="lessThan">
      <formula>10</formula>
    </cfRule>
    <cfRule type="cellIs" dxfId="78" priority="84" stopIfTrue="1" operator="greaterThan">
      <formula>9</formula>
    </cfRule>
    <cfRule type="cellIs" dxfId="77" priority="85" stopIfTrue="1" operator="lessThan">
      <formula>10</formula>
    </cfRule>
    <cfRule type="cellIs" dxfId="76" priority="86" stopIfTrue="1" operator="greaterThan">
      <formula>9</formula>
    </cfRule>
  </conditionalFormatting>
  <conditionalFormatting sqref="H9:H71">
    <cfRule type="cellIs" dxfId="75" priority="11" stopIfTrue="1" operator="lessThan">
      <formula>10</formula>
    </cfRule>
    <cfRule type="cellIs" dxfId="74" priority="12" stopIfTrue="1" operator="greaterThanOrEqual">
      <formula>10</formula>
    </cfRule>
  </conditionalFormatting>
  <conditionalFormatting sqref="G9:G71 J9:K71">
    <cfRule type="cellIs" dxfId="73" priority="5" stopIfTrue="1" operator="lessThan">
      <formula>10</formula>
    </cfRule>
    <cfRule type="cellIs" dxfId="72" priority="6" stopIfTrue="1" operator="greaterThan">
      <formula>9</formula>
    </cfRule>
    <cfRule type="cellIs" dxfId="71" priority="7" stopIfTrue="1" operator="lessThan">
      <formula>10</formula>
    </cfRule>
    <cfRule type="cellIs" dxfId="70" priority="8" stopIfTrue="1" operator="greaterThan">
      <formula>9</formula>
    </cfRule>
  </conditionalFormatting>
  <conditionalFormatting sqref="E9:F71">
    <cfRule type="cellIs" dxfId="69" priority="1" stopIfTrue="1" operator="lessThan">
      <formula>10</formula>
    </cfRule>
    <cfRule type="cellIs" dxfId="68" priority="2" stopIfTrue="1" operator="greaterThan">
      <formula>9</formula>
    </cfRule>
    <cfRule type="cellIs" dxfId="67" priority="3" stopIfTrue="1" operator="lessThan">
      <formula>10</formula>
    </cfRule>
    <cfRule type="cellIs" dxfId="66" priority="4" stopIfTrue="1" operator="greaterThan">
      <formula>9</formula>
    </cfRule>
  </conditionalFormatting>
  <dataValidations count="1">
    <dataValidation type="decimal" allowBlank="1" showInputMessage="1" showErrorMessage="1" errorTitle="ATENÇÃO!" error="O valor introduzido não é válido. Grato!" sqref="J9:L71 O9:Q71 E9:G71">
      <formula1>0</formula1>
      <formula2>20</formula2>
    </dataValidation>
  </dataValidations>
  <pageMargins left="0.15748031496062992" right="0.51181102362204722" top="0.15748031496062992" bottom="0.15748031496062992" header="0.31496062992125984" footer="0.15748031496062992"/>
  <pageSetup paperSize="9" scale="95" orientation="portrait" verticalDpi="4294967293" r:id="rId1"/>
  <drawing r:id="rId2"/>
  <legacyDrawing r:id="rId3"/>
  <oleObjects>
    <mc:AlternateContent xmlns:mc="http://schemas.openxmlformats.org/markup-compatibility/2006">
      <mc:Choice Requires="x14">
        <oleObject progId="Word.Document.8" shapeId="4097" r:id="rId4">
          <objectPr defaultSize="0" r:id="rId5">
            <anchor moveWithCells="1">
              <from>
                <xdr:col>1</xdr:col>
                <xdr:colOff>60960</xdr:colOff>
                <xdr:row>71</xdr:row>
                <xdr:rowOff>160020</xdr:rowOff>
              </from>
              <to>
                <xdr:col>13</xdr:col>
                <xdr:colOff>175260</xdr:colOff>
                <xdr:row>73</xdr:row>
                <xdr:rowOff>22860</xdr:rowOff>
              </to>
            </anchor>
          </objectPr>
        </oleObject>
      </mc:Choice>
      <mc:Fallback>
        <oleObject progId="Word.Document.8" shapeId="4097" r:id="rId4"/>
      </mc:Fallback>
    </mc:AlternateContent>
  </oleObjec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5" stopIfTrue="1" operator="containsText" id="{A73CEF9D-047F-435B-A719-CB7361207B32}">
            <xm:f>NOT(ISERROR(SEARCH("N/TRANSITA",N9)))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96" stopIfTrue="1" operator="containsText" id="{E93E796E-3B56-4DC4-9736-606E2AD748D4}">
            <xm:f>NOT(ISERROR(SEARCH("TRANSITA",N9)))</xm:f>
            <xm:f>"TRANSITA"</xm:f>
            <x14:dxf>
              <font>
                <b/>
                <i val="0"/>
                <color rgb="FF0000FF"/>
              </font>
            </x14:dxf>
          </x14:cfRule>
          <xm:sqref>T9:T71 N9:N71</xm:sqref>
        </x14:conditionalFormatting>
        <x14:conditionalFormatting xmlns:xm="http://schemas.microsoft.com/office/excel/2006/main">
          <x14:cfRule type="containsText" priority="9" stopIfTrue="1" operator="containsText" id="{E853F81A-6EBF-47D2-A65D-846F80BBDA5D}">
            <xm:f>NOT(ISERROR(SEARCH("N/TRANSITA",I9)))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10" stopIfTrue="1" operator="containsText" id="{23AADBF2-A528-444B-AE47-440CED668FF2}">
            <xm:f>NOT(ISERROR(SEARCH("TRANSITA",I9)))</xm:f>
            <xm:f>"TRANSITA"</xm:f>
            <x14:dxf>
              <font>
                <b/>
                <i val="0"/>
                <color rgb="FF0000FF"/>
              </font>
            </x14:dxf>
          </x14:cfRule>
          <xm:sqref>I9:I71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W76"/>
  <sheetViews>
    <sheetView showGridLines="0" zoomScale="115" zoomScaleNormal="115" zoomScalePageLayoutView="85" workbookViewId="0">
      <selection activeCell="G14" sqref="G14"/>
    </sheetView>
  </sheetViews>
  <sheetFormatPr defaultRowHeight="14.4" x14ac:dyDescent="0.3"/>
  <cols>
    <col min="1" max="1" width="1.6640625" customWidth="1"/>
    <col min="2" max="2" width="3.6640625" customWidth="1"/>
    <col min="3" max="3" width="35.109375" customWidth="1"/>
    <col min="4" max="4" width="6.44140625" customWidth="1"/>
    <col min="5" max="8" width="5.109375" customWidth="1"/>
    <col min="9" max="9" width="11.109375" customWidth="1"/>
    <col min="10" max="13" width="5.109375" customWidth="1"/>
    <col min="14" max="14" width="11.109375" customWidth="1"/>
    <col min="15" max="18" width="5.109375" customWidth="1"/>
    <col min="19" max="19" width="6" customWidth="1"/>
    <col min="20" max="20" width="11.5546875" customWidth="1"/>
    <col min="21" max="21" width="3.44140625" customWidth="1"/>
    <col min="22" max="22" width="5" customWidth="1"/>
  </cols>
  <sheetData>
    <row r="1" spans="1:23" ht="30" customHeight="1" x14ac:dyDescent="0.3">
      <c r="A1" s="246" t="s">
        <v>49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</row>
    <row r="2" spans="1:23" ht="30" customHeight="1" x14ac:dyDescent="0.3"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23" ht="12" customHeight="1" x14ac:dyDescent="0.3">
      <c r="B3" s="247"/>
      <c r="C3" s="247"/>
      <c r="D3" s="247"/>
      <c r="E3" s="247"/>
      <c r="F3" s="247"/>
      <c r="G3" s="247"/>
      <c r="H3" s="247"/>
      <c r="I3" s="247"/>
      <c r="J3" s="247"/>
      <c r="K3" s="247"/>
      <c r="L3" s="247"/>
      <c r="M3" s="247"/>
      <c r="N3" s="247"/>
      <c r="O3" s="247"/>
      <c r="P3" s="247"/>
      <c r="Q3" s="247"/>
      <c r="R3" s="247"/>
    </row>
    <row r="4" spans="1:23" ht="17.399999999999999" customHeight="1" x14ac:dyDescent="0.3">
      <c r="B4" s="248" t="s">
        <v>68</v>
      </c>
      <c r="C4" s="248"/>
      <c r="D4" s="31"/>
      <c r="F4" s="76"/>
      <c r="G4" s="76"/>
      <c r="I4" s="76" t="s">
        <v>32</v>
      </c>
      <c r="J4" s="76"/>
      <c r="K4" s="76"/>
      <c r="L4" s="76"/>
      <c r="M4" s="76"/>
      <c r="N4" s="31"/>
      <c r="P4" s="250" t="s">
        <v>61</v>
      </c>
      <c r="Q4" s="250"/>
      <c r="R4" s="250"/>
      <c r="S4" s="250"/>
      <c r="T4" s="250"/>
    </row>
    <row r="5" spans="1:23" ht="18" customHeight="1" x14ac:dyDescent="0.3">
      <c r="B5" s="248" t="s">
        <v>51</v>
      </c>
      <c r="C5" s="248"/>
      <c r="D5" s="31"/>
      <c r="E5" s="77" t="s">
        <v>58</v>
      </c>
      <c r="F5" s="77"/>
      <c r="I5" s="77" t="s">
        <v>67</v>
      </c>
      <c r="J5" s="77"/>
      <c r="K5" s="77"/>
      <c r="N5" s="249" t="s">
        <v>66</v>
      </c>
      <c r="O5" s="249"/>
      <c r="P5" s="249"/>
      <c r="Q5" s="249"/>
      <c r="R5" s="249"/>
      <c r="S5" s="249"/>
      <c r="T5" s="249"/>
    </row>
    <row r="6" spans="1:23" ht="34.5" customHeight="1" thickBot="1" x14ac:dyDescent="1.05">
      <c r="B6" s="263" t="s">
        <v>45</v>
      </c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5"/>
    </row>
    <row r="7" spans="1:23" ht="19.5" customHeight="1" thickTop="1" x14ac:dyDescent="0.3">
      <c r="B7" s="256" t="s">
        <v>39</v>
      </c>
      <c r="C7" s="258" t="s">
        <v>14</v>
      </c>
      <c r="D7" s="43" t="s">
        <v>43</v>
      </c>
      <c r="E7" s="260" t="s">
        <v>40</v>
      </c>
      <c r="F7" s="261"/>
      <c r="G7" s="261"/>
      <c r="H7" s="262"/>
      <c r="I7" s="244" t="s">
        <v>16</v>
      </c>
      <c r="J7" s="260" t="s">
        <v>41</v>
      </c>
      <c r="K7" s="261"/>
      <c r="L7" s="261"/>
      <c r="M7" s="262"/>
      <c r="N7" s="244" t="s">
        <v>16</v>
      </c>
      <c r="O7" s="260" t="s">
        <v>42</v>
      </c>
      <c r="P7" s="261"/>
      <c r="Q7" s="261"/>
      <c r="R7" s="262"/>
      <c r="S7" s="251" t="s">
        <v>15</v>
      </c>
      <c r="T7" s="244" t="s">
        <v>16</v>
      </c>
    </row>
    <row r="8" spans="1:23" ht="20.25" customHeight="1" thickBot="1" x14ac:dyDescent="0.35">
      <c r="B8" s="257"/>
      <c r="C8" s="259"/>
      <c r="D8" s="44" t="s">
        <v>44</v>
      </c>
      <c r="E8" s="36" t="s">
        <v>17</v>
      </c>
      <c r="F8" s="35" t="s">
        <v>18</v>
      </c>
      <c r="G8" s="35" t="s">
        <v>38</v>
      </c>
      <c r="H8" s="37" t="s">
        <v>19</v>
      </c>
      <c r="I8" s="245"/>
      <c r="J8" s="36" t="s">
        <v>17</v>
      </c>
      <c r="K8" s="35" t="s">
        <v>18</v>
      </c>
      <c r="L8" s="35" t="s">
        <v>38</v>
      </c>
      <c r="M8" s="37" t="s">
        <v>20</v>
      </c>
      <c r="N8" s="245"/>
      <c r="O8" s="36" t="s">
        <v>17</v>
      </c>
      <c r="P8" s="35" t="s">
        <v>18</v>
      </c>
      <c r="Q8" s="35" t="s">
        <v>38</v>
      </c>
      <c r="R8" s="37" t="s">
        <v>21</v>
      </c>
      <c r="S8" s="252"/>
      <c r="T8" s="245"/>
    </row>
    <row r="9" spans="1:23" ht="14.25" customHeight="1" thickTop="1" x14ac:dyDescent="0.3">
      <c r="B9" s="135">
        <v>1</v>
      </c>
      <c r="C9" s="126" t="s">
        <v>69</v>
      </c>
      <c r="D9" s="136"/>
      <c r="E9" s="137">
        <v>13</v>
      </c>
      <c r="F9" s="138">
        <v>15.5</v>
      </c>
      <c r="G9" s="138"/>
      <c r="H9" s="139">
        <f>AVERAGE(E9,MAX(F9:G9))</f>
        <v>14.25</v>
      </c>
      <c r="I9" s="151" t="str">
        <f>IF(H9&gt;=10,"TRANSITA","N/TRANSITA")</f>
        <v>TRANSITA</v>
      </c>
      <c r="J9" s="188">
        <v>10</v>
      </c>
      <c r="K9" s="189">
        <v>5</v>
      </c>
      <c r="L9" s="154"/>
      <c r="M9" s="150">
        <f>AVERAGE(J9,MAX(K9:L9))</f>
        <v>7.5</v>
      </c>
      <c r="N9" s="151" t="str">
        <f>IF(M9&gt;=10,"TRANSITA","N/TRANSITA")</f>
        <v>N/TRANSITA</v>
      </c>
      <c r="O9" s="152"/>
      <c r="P9" s="153"/>
      <c r="Q9" s="154"/>
      <c r="R9" s="150">
        <f>AVERAGE(O9,MAX(P9:Q9))</f>
        <v>0</v>
      </c>
      <c r="S9" s="155">
        <f t="shared" ref="S9:S41" si="0">SUM(H9,M9,R9)/3</f>
        <v>7.25</v>
      </c>
      <c r="T9" s="80" t="str">
        <f>IF(S9&gt;=10,"TRANSITA","N/TRANSITA")</f>
        <v>N/TRANSITA</v>
      </c>
    </row>
    <row r="10" spans="1:23" ht="14.25" customHeight="1" x14ac:dyDescent="0.3">
      <c r="B10" s="33">
        <v>2</v>
      </c>
      <c r="C10" s="127" t="s">
        <v>70</v>
      </c>
      <c r="D10" s="60"/>
      <c r="E10" s="188">
        <v>12</v>
      </c>
      <c r="F10" s="190">
        <v>15.5</v>
      </c>
      <c r="G10" s="93"/>
      <c r="H10" s="106">
        <f t="shared" ref="H10:H71" si="1">AVERAGE(E10,MAX(F10:G10))</f>
        <v>13.75</v>
      </c>
      <c r="I10" s="63" t="str">
        <f t="shared" ref="I10:I71" si="2">IF(H10&gt;=10,"TRANSITA","N/TRANSITA")</f>
        <v>TRANSITA</v>
      </c>
      <c r="J10" s="92">
        <v>14</v>
      </c>
      <c r="K10" s="191">
        <v>3</v>
      </c>
      <c r="L10" s="64"/>
      <c r="M10" s="40">
        <f t="shared" ref="M10:M71" si="3">AVERAGE(J10,MAX(K10:L10))</f>
        <v>8.5</v>
      </c>
      <c r="N10" s="63" t="str">
        <f t="shared" ref="N10:N71" si="4">IF(M10&gt;=10,"TRANSITA","N/TRANSITA")</f>
        <v>N/TRANSITA</v>
      </c>
      <c r="O10" s="98"/>
      <c r="P10" s="99"/>
      <c r="Q10" s="64"/>
      <c r="R10" s="40">
        <f t="shared" ref="R10:R71" si="5">AVERAGE(O10,MAX(P10:Q10))</f>
        <v>0</v>
      </c>
      <c r="S10" s="41">
        <f t="shared" si="0"/>
        <v>7.416666666666667</v>
      </c>
      <c r="T10" s="81" t="str">
        <f t="shared" ref="T10:T71" si="6">IF(S10&gt;=10,"TRANSITA","N/TRANSITA")</f>
        <v>N/TRANSITA</v>
      </c>
    </row>
    <row r="11" spans="1:23" ht="14.25" customHeight="1" x14ac:dyDescent="0.3">
      <c r="B11" s="33">
        <v>3</v>
      </c>
      <c r="C11" s="127" t="s">
        <v>71</v>
      </c>
      <c r="D11" s="60"/>
      <c r="E11" s="188">
        <v>12</v>
      </c>
      <c r="F11" s="190">
        <v>8</v>
      </c>
      <c r="G11" s="93"/>
      <c r="H11" s="106">
        <f t="shared" si="1"/>
        <v>10</v>
      </c>
      <c r="I11" s="63" t="str">
        <f t="shared" si="2"/>
        <v>TRANSITA</v>
      </c>
      <c r="J11" s="92">
        <v>12</v>
      </c>
      <c r="K11" s="191">
        <v>11</v>
      </c>
      <c r="L11" s="64"/>
      <c r="M11" s="40">
        <f t="shared" si="3"/>
        <v>11.5</v>
      </c>
      <c r="N11" s="63" t="str">
        <f t="shared" si="4"/>
        <v>TRANSITA</v>
      </c>
      <c r="O11" s="98"/>
      <c r="P11" s="99"/>
      <c r="Q11" s="64"/>
      <c r="R11" s="40">
        <f t="shared" si="5"/>
        <v>0</v>
      </c>
      <c r="S11" s="41">
        <f t="shared" si="0"/>
        <v>7.166666666666667</v>
      </c>
      <c r="T11" s="81" t="str">
        <f t="shared" si="6"/>
        <v>N/TRANSITA</v>
      </c>
    </row>
    <row r="12" spans="1:23" ht="14.25" customHeight="1" x14ac:dyDescent="0.3">
      <c r="B12" s="33">
        <v>4</v>
      </c>
      <c r="C12" s="127" t="s">
        <v>72</v>
      </c>
      <c r="D12" s="60"/>
      <c r="E12" s="188">
        <v>0</v>
      </c>
      <c r="F12" s="190">
        <v>11</v>
      </c>
      <c r="G12" s="93"/>
      <c r="H12" s="106">
        <f t="shared" si="1"/>
        <v>5.5</v>
      </c>
      <c r="I12" s="63" t="str">
        <f t="shared" si="2"/>
        <v>N/TRANSITA</v>
      </c>
      <c r="J12" s="92">
        <v>4</v>
      </c>
      <c r="K12" s="191">
        <v>0</v>
      </c>
      <c r="L12" s="64"/>
      <c r="M12" s="40">
        <f t="shared" si="3"/>
        <v>2</v>
      </c>
      <c r="N12" s="63" t="str">
        <f t="shared" si="4"/>
        <v>N/TRANSITA</v>
      </c>
      <c r="O12" s="98"/>
      <c r="P12" s="99"/>
      <c r="Q12" s="64"/>
      <c r="R12" s="40">
        <f t="shared" si="5"/>
        <v>0</v>
      </c>
      <c r="S12" s="41">
        <f t="shared" si="0"/>
        <v>2.5</v>
      </c>
      <c r="T12" s="81" t="str">
        <f t="shared" si="6"/>
        <v>N/TRANSITA</v>
      </c>
    </row>
    <row r="13" spans="1:23" ht="14.25" customHeight="1" x14ac:dyDescent="0.3">
      <c r="B13" s="33">
        <v>5</v>
      </c>
      <c r="C13" s="127" t="s">
        <v>73</v>
      </c>
      <c r="D13" s="60"/>
      <c r="E13" s="188">
        <v>13</v>
      </c>
      <c r="F13" s="190">
        <v>17.5</v>
      </c>
      <c r="G13" s="93"/>
      <c r="H13" s="106">
        <f t="shared" si="1"/>
        <v>15.25</v>
      </c>
      <c r="I13" s="63" t="str">
        <f t="shared" si="2"/>
        <v>TRANSITA</v>
      </c>
      <c r="J13" s="92">
        <v>7</v>
      </c>
      <c r="K13" s="191">
        <v>18</v>
      </c>
      <c r="L13" s="64"/>
      <c r="M13" s="40">
        <f t="shared" si="3"/>
        <v>12.5</v>
      </c>
      <c r="N13" s="63" t="str">
        <f t="shared" si="4"/>
        <v>TRANSITA</v>
      </c>
      <c r="O13" s="98"/>
      <c r="P13" s="99"/>
      <c r="Q13" s="64"/>
      <c r="R13" s="40">
        <f t="shared" si="5"/>
        <v>0</v>
      </c>
      <c r="S13" s="41">
        <f t="shared" si="0"/>
        <v>9.25</v>
      </c>
      <c r="T13" s="81" t="str">
        <f t="shared" si="6"/>
        <v>N/TRANSITA</v>
      </c>
      <c r="U13" s="18"/>
      <c r="V13" s="18"/>
      <c r="W13" s="18"/>
    </row>
    <row r="14" spans="1:23" ht="14.25" customHeight="1" x14ac:dyDescent="0.3">
      <c r="B14" s="33">
        <v>6</v>
      </c>
      <c r="C14" s="127" t="s">
        <v>74</v>
      </c>
      <c r="D14" s="60"/>
      <c r="E14" s="188">
        <v>0</v>
      </c>
      <c r="F14" s="190">
        <v>11</v>
      </c>
      <c r="G14" s="93"/>
      <c r="H14" s="106">
        <f t="shared" si="1"/>
        <v>5.5</v>
      </c>
      <c r="I14" s="63" t="str">
        <f t="shared" si="2"/>
        <v>N/TRANSITA</v>
      </c>
      <c r="J14" s="92">
        <v>5</v>
      </c>
      <c r="K14" s="191">
        <v>8</v>
      </c>
      <c r="L14" s="64"/>
      <c r="M14" s="40">
        <f t="shared" si="3"/>
        <v>6.5</v>
      </c>
      <c r="N14" s="63" t="str">
        <f t="shared" si="4"/>
        <v>N/TRANSITA</v>
      </c>
      <c r="O14" s="98"/>
      <c r="P14" s="99"/>
      <c r="Q14" s="64"/>
      <c r="R14" s="40">
        <f t="shared" si="5"/>
        <v>0</v>
      </c>
      <c r="S14" s="41">
        <f t="shared" si="0"/>
        <v>4</v>
      </c>
      <c r="T14" s="81" t="str">
        <f t="shared" si="6"/>
        <v>N/TRANSITA</v>
      </c>
    </row>
    <row r="15" spans="1:23" ht="14.25" customHeight="1" x14ac:dyDescent="0.3">
      <c r="B15" s="33">
        <v>7</v>
      </c>
      <c r="C15" s="127" t="s">
        <v>75</v>
      </c>
      <c r="D15" s="60"/>
      <c r="E15" s="188">
        <v>7</v>
      </c>
      <c r="F15" s="190">
        <v>9.5</v>
      </c>
      <c r="G15" s="93"/>
      <c r="H15" s="106">
        <f t="shared" si="1"/>
        <v>8.25</v>
      </c>
      <c r="I15" s="63" t="str">
        <f t="shared" si="2"/>
        <v>N/TRANSITA</v>
      </c>
      <c r="J15" s="92">
        <v>4</v>
      </c>
      <c r="K15" s="191">
        <v>0</v>
      </c>
      <c r="L15" s="64"/>
      <c r="M15" s="40">
        <f t="shared" si="3"/>
        <v>2</v>
      </c>
      <c r="N15" s="63" t="str">
        <f t="shared" si="4"/>
        <v>N/TRANSITA</v>
      </c>
      <c r="O15" s="98"/>
      <c r="P15" s="99"/>
      <c r="Q15" s="64"/>
      <c r="R15" s="40">
        <f t="shared" si="5"/>
        <v>0</v>
      </c>
      <c r="S15" s="41">
        <f t="shared" si="0"/>
        <v>3.4166666666666665</v>
      </c>
      <c r="T15" s="81" t="str">
        <f t="shared" si="6"/>
        <v>N/TRANSITA</v>
      </c>
    </row>
    <row r="16" spans="1:23" ht="14.25" customHeight="1" x14ac:dyDescent="0.3">
      <c r="B16" s="33">
        <v>8</v>
      </c>
      <c r="C16" s="127" t="s">
        <v>76</v>
      </c>
      <c r="D16" s="60"/>
      <c r="E16" s="188">
        <v>13</v>
      </c>
      <c r="F16" s="190">
        <v>11</v>
      </c>
      <c r="G16" s="93"/>
      <c r="H16" s="106">
        <f t="shared" si="1"/>
        <v>12</v>
      </c>
      <c r="I16" s="63" t="str">
        <f t="shared" si="2"/>
        <v>TRANSITA</v>
      </c>
      <c r="J16" s="92">
        <v>8</v>
      </c>
      <c r="K16" s="191">
        <v>12</v>
      </c>
      <c r="L16" s="64"/>
      <c r="M16" s="40">
        <f t="shared" si="3"/>
        <v>10</v>
      </c>
      <c r="N16" s="63" t="str">
        <f t="shared" si="4"/>
        <v>TRANSITA</v>
      </c>
      <c r="O16" s="98"/>
      <c r="P16" s="99"/>
      <c r="Q16" s="64"/>
      <c r="R16" s="40">
        <f t="shared" si="5"/>
        <v>0</v>
      </c>
      <c r="S16" s="41">
        <f t="shared" si="0"/>
        <v>7.333333333333333</v>
      </c>
      <c r="T16" s="81" t="str">
        <f t="shared" si="6"/>
        <v>N/TRANSITA</v>
      </c>
    </row>
    <row r="17" spans="2:20" ht="14.25" customHeight="1" x14ac:dyDescent="0.3">
      <c r="B17" s="33">
        <v>9</v>
      </c>
      <c r="C17" s="127" t="s">
        <v>77</v>
      </c>
      <c r="D17" s="60"/>
      <c r="E17" s="188">
        <v>12</v>
      </c>
      <c r="F17" s="190">
        <v>10.5</v>
      </c>
      <c r="G17" s="93"/>
      <c r="H17" s="106">
        <f t="shared" si="1"/>
        <v>11.25</v>
      </c>
      <c r="I17" s="63" t="str">
        <f t="shared" si="2"/>
        <v>TRANSITA</v>
      </c>
      <c r="J17" s="92">
        <v>8</v>
      </c>
      <c r="K17" s="191">
        <v>9</v>
      </c>
      <c r="L17" s="64"/>
      <c r="M17" s="40">
        <f t="shared" si="3"/>
        <v>8.5</v>
      </c>
      <c r="N17" s="63" t="str">
        <f t="shared" ref="N17:N18" si="7">IF(M17&gt;=10,"TRANSITA","N/TRANSITA")</f>
        <v>N/TRANSITA</v>
      </c>
      <c r="O17" s="98"/>
      <c r="P17" s="99"/>
      <c r="Q17" s="64"/>
      <c r="R17" s="40">
        <f t="shared" si="5"/>
        <v>0</v>
      </c>
      <c r="S17" s="41">
        <f t="shared" si="0"/>
        <v>6.583333333333333</v>
      </c>
      <c r="T17" s="81" t="str">
        <f t="shared" ref="T17:T18" si="8">IF(S17&gt;=10,"TRANSITA","N/TRANSITA")</f>
        <v>N/TRANSITA</v>
      </c>
    </row>
    <row r="18" spans="2:20" ht="14.25" customHeight="1" x14ac:dyDescent="0.3">
      <c r="B18" s="33">
        <v>10</v>
      </c>
      <c r="C18" s="128" t="s">
        <v>78</v>
      </c>
      <c r="D18" s="60"/>
      <c r="E18" s="188">
        <v>0</v>
      </c>
      <c r="F18" s="190">
        <v>11</v>
      </c>
      <c r="G18" s="93"/>
      <c r="H18" s="106">
        <f t="shared" si="1"/>
        <v>5.5</v>
      </c>
      <c r="I18" s="63" t="str">
        <f t="shared" si="2"/>
        <v>N/TRANSITA</v>
      </c>
      <c r="J18" s="92">
        <v>8</v>
      </c>
      <c r="K18" s="191">
        <v>10</v>
      </c>
      <c r="L18" s="64"/>
      <c r="M18" s="40">
        <f t="shared" si="3"/>
        <v>9</v>
      </c>
      <c r="N18" s="63" t="str">
        <f t="shared" si="7"/>
        <v>N/TRANSITA</v>
      </c>
      <c r="O18" s="98"/>
      <c r="P18" s="99"/>
      <c r="Q18" s="64"/>
      <c r="R18" s="40">
        <f t="shared" si="5"/>
        <v>0</v>
      </c>
      <c r="S18" s="41">
        <f t="shared" si="0"/>
        <v>4.833333333333333</v>
      </c>
      <c r="T18" s="81" t="str">
        <f t="shared" si="8"/>
        <v>N/TRANSITA</v>
      </c>
    </row>
    <row r="19" spans="2:20" ht="14.25" customHeight="1" x14ac:dyDescent="0.3">
      <c r="B19" s="33">
        <v>11</v>
      </c>
      <c r="C19" s="127" t="s">
        <v>79</v>
      </c>
      <c r="D19" s="60"/>
      <c r="E19" s="188"/>
      <c r="F19" s="190"/>
      <c r="G19" s="93"/>
      <c r="H19" s="106">
        <f t="shared" si="1"/>
        <v>0</v>
      </c>
      <c r="I19" s="63" t="str">
        <f t="shared" si="2"/>
        <v>N/TRANSITA</v>
      </c>
      <c r="J19" s="192">
        <v>4</v>
      </c>
      <c r="K19" s="191">
        <v>0</v>
      </c>
      <c r="L19" s="64"/>
      <c r="M19" s="40">
        <f t="shared" si="3"/>
        <v>2</v>
      </c>
      <c r="N19" s="63" t="str">
        <f t="shared" si="4"/>
        <v>N/TRANSITA</v>
      </c>
      <c r="O19" s="98"/>
      <c r="P19" s="99"/>
      <c r="Q19" s="64"/>
      <c r="R19" s="40">
        <f t="shared" si="5"/>
        <v>0</v>
      </c>
      <c r="S19" s="41">
        <f t="shared" si="0"/>
        <v>0.66666666666666663</v>
      </c>
      <c r="T19" s="81" t="str">
        <f t="shared" si="6"/>
        <v>N/TRANSITA</v>
      </c>
    </row>
    <row r="20" spans="2:20" ht="14.25" customHeight="1" x14ac:dyDescent="0.3">
      <c r="B20" s="33">
        <v>12</v>
      </c>
      <c r="C20" s="127" t="s">
        <v>80</v>
      </c>
      <c r="D20" s="60"/>
      <c r="E20" s="188">
        <v>12</v>
      </c>
      <c r="F20" s="190">
        <v>13</v>
      </c>
      <c r="G20" s="93"/>
      <c r="H20" s="106">
        <f t="shared" si="1"/>
        <v>12.5</v>
      </c>
      <c r="I20" s="63" t="str">
        <f t="shared" si="2"/>
        <v>TRANSITA</v>
      </c>
      <c r="J20" s="192">
        <v>10</v>
      </c>
      <c r="K20" s="191">
        <v>14</v>
      </c>
      <c r="L20" s="64"/>
      <c r="M20" s="40">
        <f t="shared" si="3"/>
        <v>12</v>
      </c>
      <c r="N20" s="63" t="str">
        <f t="shared" si="4"/>
        <v>TRANSITA</v>
      </c>
      <c r="O20" s="98"/>
      <c r="P20" s="99"/>
      <c r="Q20" s="64"/>
      <c r="R20" s="40">
        <f t="shared" si="5"/>
        <v>0</v>
      </c>
      <c r="S20" s="41">
        <f t="shared" si="0"/>
        <v>8.1666666666666661</v>
      </c>
      <c r="T20" s="81" t="str">
        <f t="shared" si="6"/>
        <v>N/TRANSITA</v>
      </c>
    </row>
    <row r="21" spans="2:20" ht="14.25" customHeight="1" x14ac:dyDescent="0.3">
      <c r="B21" s="33">
        <v>13</v>
      </c>
      <c r="C21" s="127" t="s">
        <v>81</v>
      </c>
      <c r="D21" s="60"/>
      <c r="E21" s="188"/>
      <c r="F21" s="190"/>
      <c r="G21" s="93"/>
      <c r="H21" s="106">
        <f t="shared" si="1"/>
        <v>0</v>
      </c>
      <c r="I21" s="63" t="str">
        <f t="shared" si="2"/>
        <v>N/TRANSITA</v>
      </c>
      <c r="J21" s="192">
        <v>4</v>
      </c>
      <c r="K21" s="191">
        <v>0</v>
      </c>
      <c r="L21" s="64"/>
      <c r="M21" s="40">
        <f t="shared" si="3"/>
        <v>2</v>
      </c>
      <c r="N21" s="63" t="str">
        <f t="shared" si="4"/>
        <v>N/TRANSITA</v>
      </c>
      <c r="O21" s="98"/>
      <c r="P21" s="99"/>
      <c r="Q21" s="64"/>
      <c r="R21" s="40">
        <f t="shared" si="5"/>
        <v>0</v>
      </c>
      <c r="S21" s="41">
        <f t="shared" si="0"/>
        <v>0.66666666666666663</v>
      </c>
      <c r="T21" s="81" t="str">
        <f t="shared" si="6"/>
        <v>N/TRANSITA</v>
      </c>
    </row>
    <row r="22" spans="2:20" ht="14.25" customHeight="1" x14ac:dyDescent="0.3">
      <c r="B22" s="33">
        <v>14</v>
      </c>
      <c r="C22" s="127" t="s">
        <v>82</v>
      </c>
      <c r="D22" s="60"/>
      <c r="E22" s="188"/>
      <c r="F22" s="190"/>
      <c r="G22" s="93"/>
      <c r="H22" s="106">
        <f t="shared" si="1"/>
        <v>0</v>
      </c>
      <c r="I22" s="63" t="str">
        <f t="shared" si="2"/>
        <v>N/TRANSITA</v>
      </c>
      <c r="J22" s="192">
        <v>4</v>
      </c>
      <c r="K22" s="191">
        <v>0</v>
      </c>
      <c r="L22" s="64"/>
      <c r="M22" s="40">
        <f t="shared" si="3"/>
        <v>2</v>
      </c>
      <c r="N22" s="63" t="str">
        <f t="shared" si="4"/>
        <v>N/TRANSITA</v>
      </c>
      <c r="O22" s="98"/>
      <c r="P22" s="99"/>
      <c r="Q22" s="64"/>
      <c r="R22" s="40">
        <f t="shared" si="5"/>
        <v>0</v>
      </c>
      <c r="S22" s="41">
        <f t="shared" si="0"/>
        <v>0.66666666666666663</v>
      </c>
      <c r="T22" s="81" t="str">
        <f t="shared" si="6"/>
        <v>N/TRANSITA</v>
      </c>
    </row>
    <row r="23" spans="2:20" ht="14.25" customHeight="1" x14ac:dyDescent="0.3">
      <c r="B23" s="33">
        <v>15</v>
      </c>
      <c r="C23" s="127" t="s">
        <v>83</v>
      </c>
      <c r="D23" s="60"/>
      <c r="E23" s="188">
        <v>13</v>
      </c>
      <c r="F23" s="190">
        <v>15.5</v>
      </c>
      <c r="G23" s="93"/>
      <c r="H23" s="106">
        <f t="shared" si="1"/>
        <v>14.25</v>
      </c>
      <c r="I23" s="63" t="str">
        <f t="shared" si="2"/>
        <v>TRANSITA</v>
      </c>
      <c r="J23" s="192">
        <v>12</v>
      </c>
      <c r="K23" s="191">
        <v>9</v>
      </c>
      <c r="L23" s="64"/>
      <c r="M23" s="40">
        <f t="shared" si="3"/>
        <v>10.5</v>
      </c>
      <c r="N23" s="63" t="str">
        <f t="shared" si="4"/>
        <v>TRANSITA</v>
      </c>
      <c r="O23" s="98"/>
      <c r="P23" s="99"/>
      <c r="Q23" s="64"/>
      <c r="R23" s="40">
        <f t="shared" si="5"/>
        <v>0</v>
      </c>
      <c r="S23" s="41">
        <f t="shared" si="0"/>
        <v>8.25</v>
      </c>
      <c r="T23" s="81" t="str">
        <f t="shared" si="6"/>
        <v>N/TRANSITA</v>
      </c>
    </row>
    <row r="24" spans="2:20" ht="14.25" customHeight="1" x14ac:dyDescent="0.3">
      <c r="B24" s="33">
        <v>16</v>
      </c>
      <c r="C24" s="127" t="s">
        <v>84</v>
      </c>
      <c r="D24" s="60"/>
      <c r="E24" s="188">
        <v>12</v>
      </c>
      <c r="F24" s="190">
        <v>18</v>
      </c>
      <c r="G24" s="93"/>
      <c r="H24" s="106">
        <f t="shared" si="1"/>
        <v>15</v>
      </c>
      <c r="I24" s="63" t="str">
        <f t="shared" si="2"/>
        <v>TRANSITA</v>
      </c>
      <c r="J24" s="192">
        <v>11</v>
      </c>
      <c r="K24" s="191">
        <v>15</v>
      </c>
      <c r="L24" s="64"/>
      <c r="M24" s="40">
        <f t="shared" si="3"/>
        <v>13</v>
      </c>
      <c r="N24" s="63" t="str">
        <f t="shared" si="4"/>
        <v>TRANSITA</v>
      </c>
      <c r="O24" s="98"/>
      <c r="P24" s="99"/>
      <c r="Q24" s="64"/>
      <c r="R24" s="40">
        <f t="shared" si="5"/>
        <v>0</v>
      </c>
      <c r="S24" s="41">
        <f t="shared" si="0"/>
        <v>9.3333333333333339</v>
      </c>
      <c r="T24" s="81" t="str">
        <f t="shared" si="6"/>
        <v>N/TRANSITA</v>
      </c>
    </row>
    <row r="25" spans="2:20" ht="14.25" customHeight="1" x14ac:dyDescent="0.3">
      <c r="B25" s="33">
        <v>17</v>
      </c>
      <c r="C25" s="127" t="s">
        <v>85</v>
      </c>
      <c r="D25" s="60"/>
      <c r="E25" s="188">
        <v>11</v>
      </c>
      <c r="F25" s="190">
        <v>10</v>
      </c>
      <c r="G25" s="93"/>
      <c r="H25" s="106">
        <f t="shared" si="1"/>
        <v>10.5</v>
      </c>
      <c r="I25" s="63" t="str">
        <f t="shared" si="2"/>
        <v>TRANSITA</v>
      </c>
      <c r="J25" s="192">
        <v>10</v>
      </c>
      <c r="K25" s="191">
        <v>1</v>
      </c>
      <c r="L25" s="64"/>
      <c r="M25" s="40">
        <f t="shared" si="3"/>
        <v>5.5</v>
      </c>
      <c r="N25" s="63" t="str">
        <f t="shared" si="4"/>
        <v>N/TRANSITA</v>
      </c>
      <c r="O25" s="98"/>
      <c r="P25" s="99"/>
      <c r="Q25" s="64"/>
      <c r="R25" s="40">
        <f t="shared" si="5"/>
        <v>0</v>
      </c>
      <c r="S25" s="41">
        <f t="shared" si="0"/>
        <v>5.333333333333333</v>
      </c>
      <c r="T25" s="81" t="str">
        <f t="shared" si="6"/>
        <v>N/TRANSITA</v>
      </c>
    </row>
    <row r="26" spans="2:20" ht="14.25" customHeight="1" x14ac:dyDescent="0.3">
      <c r="B26" s="33">
        <v>18</v>
      </c>
      <c r="C26" s="127" t="s">
        <v>140</v>
      </c>
      <c r="D26" s="60"/>
      <c r="E26" s="188"/>
      <c r="F26" s="190"/>
      <c r="G26" s="93"/>
      <c r="H26" s="106">
        <f t="shared" si="1"/>
        <v>0</v>
      </c>
      <c r="I26" s="63" t="str">
        <f t="shared" si="2"/>
        <v>N/TRANSITA</v>
      </c>
      <c r="J26" s="192">
        <v>8</v>
      </c>
      <c r="K26" s="191">
        <v>11</v>
      </c>
      <c r="L26" s="64"/>
      <c r="M26" s="40">
        <f t="shared" ref="M26:M27" si="9">AVERAGE(J26,MAX(K26:L26))</f>
        <v>9.5</v>
      </c>
      <c r="N26" s="63" t="str">
        <f t="shared" ref="N26:N27" si="10">IF(M26&gt;=10,"TRANSITA","N/TRANSITA")</f>
        <v>N/TRANSITA</v>
      </c>
      <c r="O26" s="98"/>
      <c r="P26" s="99"/>
      <c r="Q26" s="64"/>
      <c r="R26" s="40">
        <f t="shared" ref="R26:R27" si="11">AVERAGE(O26,MAX(P26:Q26))</f>
        <v>0</v>
      </c>
      <c r="S26" s="41">
        <f t="shared" ref="S26:S27" si="12">SUM(H26,M26,R26)/3</f>
        <v>3.1666666666666665</v>
      </c>
      <c r="T26" s="81" t="str">
        <f t="shared" ref="T26:T27" si="13">IF(S26&gt;=10,"TRANSITA","N/TRANSITA")</f>
        <v>N/TRANSITA</v>
      </c>
    </row>
    <row r="27" spans="2:20" ht="14.25" customHeight="1" x14ac:dyDescent="0.3">
      <c r="B27" s="33">
        <v>19</v>
      </c>
      <c r="C27" s="127" t="s">
        <v>86</v>
      </c>
      <c r="D27" s="60"/>
      <c r="E27" s="188"/>
      <c r="F27" s="190"/>
      <c r="G27" s="93"/>
      <c r="H27" s="106">
        <f t="shared" si="1"/>
        <v>0</v>
      </c>
      <c r="I27" s="63" t="str">
        <f t="shared" si="2"/>
        <v>N/TRANSITA</v>
      </c>
      <c r="J27" s="192">
        <v>4</v>
      </c>
      <c r="K27" s="191">
        <v>0</v>
      </c>
      <c r="L27" s="64"/>
      <c r="M27" s="40">
        <f t="shared" si="9"/>
        <v>2</v>
      </c>
      <c r="N27" s="63" t="str">
        <f t="shared" si="10"/>
        <v>N/TRANSITA</v>
      </c>
      <c r="O27" s="98"/>
      <c r="P27" s="99"/>
      <c r="Q27" s="64"/>
      <c r="R27" s="40">
        <f t="shared" si="11"/>
        <v>0</v>
      </c>
      <c r="S27" s="41">
        <f t="shared" si="12"/>
        <v>0.66666666666666663</v>
      </c>
      <c r="T27" s="81" t="str">
        <f t="shared" si="13"/>
        <v>N/TRANSITA</v>
      </c>
    </row>
    <row r="28" spans="2:20" ht="14.25" customHeight="1" x14ac:dyDescent="0.3">
      <c r="B28" s="33">
        <v>20</v>
      </c>
      <c r="C28" s="127" t="s">
        <v>87</v>
      </c>
      <c r="D28" s="60"/>
      <c r="E28" s="188">
        <v>13</v>
      </c>
      <c r="F28" s="190">
        <v>18.5</v>
      </c>
      <c r="G28" s="93"/>
      <c r="H28" s="106">
        <f t="shared" si="1"/>
        <v>15.75</v>
      </c>
      <c r="I28" s="63" t="str">
        <f t="shared" si="2"/>
        <v>TRANSITA</v>
      </c>
      <c r="J28" s="192">
        <v>8</v>
      </c>
      <c r="K28" s="191">
        <v>6</v>
      </c>
      <c r="L28" s="64"/>
      <c r="M28" s="40">
        <f t="shared" si="3"/>
        <v>7</v>
      </c>
      <c r="N28" s="63" t="str">
        <f t="shared" si="4"/>
        <v>N/TRANSITA</v>
      </c>
      <c r="O28" s="98"/>
      <c r="P28" s="99"/>
      <c r="Q28" s="64"/>
      <c r="R28" s="40">
        <f t="shared" si="5"/>
        <v>0</v>
      </c>
      <c r="S28" s="41">
        <f t="shared" si="0"/>
        <v>7.583333333333333</v>
      </c>
      <c r="T28" s="81" t="str">
        <f t="shared" si="6"/>
        <v>N/TRANSITA</v>
      </c>
    </row>
    <row r="29" spans="2:20" ht="14.25" customHeight="1" x14ac:dyDescent="0.3">
      <c r="B29" s="33">
        <v>21</v>
      </c>
      <c r="C29" s="127" t="s">
        <v>88</v>
      </c>
      <c r="D29" s="60"/>
      <c r="E29" s="188">
        <v>0</v>
      </c>
      <c r="F29" s="190">
        <v>5</v>
      </c>
      <c r="G29" s="93"/>
      <c r="H29" s="106">
        <f t="shared" si="1"/>
        <v>2.5</v>
      </c>
      <c r="I29" s="63" t="str">
        <f t="shared" si="2"/>
        <v>N/TRANSITA</v>
      </c>
      <c r="J29" s="192">
        <v>4</v>
      </c>
      <c r="K29" s="191">
        <v>0</v>
      </c>
      <c r="L29" s="64"/>
      <c r="M29" s="40">
        <f t="shared" si="3"/>
        <v>2</v>
      </c>
      <c r="N29" s="63" t="str">
        <f t="shared" si="4"/>
        <v>N/TRANSITA</v>
      </c>
      <c r="O29" s="98"/>
      <c r="P29" s="99"/>
      <c r="Q29" s="64"/>
      <c r="R29" s="40">
        <f t="shared" si="5"/>
        <v>0</v>
      </c>
      <c r="S29" s="41">
        <f t="shared" si="0"/>
        <v>1.5</v>
      </c>
      <c r="T29" s="81" t="str">
        <f t="shared" si="6"/>
        <v>N/TRANSITA</v>
      </c>
    </row>
    <row r="30" spans="2:20" ht="14.25" customHeight="1" x14ac:dyDescent="0.3">
      <c r="B30" s="33">
        <v>22</v>
      </c>
      <c r="C30" s="127" t="s">
        <v>89</v>
      </c>
      <c r="D30" s="60"/>
      <c r="E30" s="188">
        <v>10</v>
      </c>
      <c r="F30" s="190">
        <v>9</v>
      </c>
      <c r="G30" s="93"/>
      <c r="H30" s="106">
        <f t="shared" si="1"/>
        <v>9.5</v>
      </c>
      <c r="I30" s="63" t="str">
        <f t="shared" si="2"/>
        <v>N/TRANSITA</v>
      </c>
      <c r="J30" s="192">
        <v>10</v>
      </c>
      <c r="K30" s="191">
        <v>5</v>
      </c>
      <c r="L30" s="64"/>
      <c r="M30" s="40">
        <f t="shared" si="3"/>
        <v>7.5</v>
      </c>
      <c r="N30" s="63" t="str">
        <f t="shared" si="4"/>
        <v>N/TRANSITA</v>
      </c>
      <c r="O30" s="98"/>
      <c r="P30" s="99"/>
      <c r="Q30" s="64"/>
      <c r="R30" s="40">
        <f t="shared" si="5"/>
        <v>0</v>
      </c>
      <c r="S30" s="41">
        <f t="shared" si="0"/>
        <v>5.666666666666667</v>
      </c>
      <c r="T30" s="81" t="str">
        <f t="shared" si="6"/>
        <v>N/TRANSITA</v>
      </c>
    </row>
    <row r="31" spans="2:20" ht="14.25" customHeight="1" x14ac:dyDescent="0.3">
      <c r="B31" s="33">
        <v>23</v>
      </c>
      <c r="C31" s="127" t="s">
        <v>90</v>
      </c>
      <c r="D31" s="60"/>
      <c r="E31" s="188">
        <v>12</v>
      </c>
      <c r="F31" s="190">
        <v>10</v>
      </c>
      <c r="G31" s="93"/>
      <c r="H31" s="106">
        <f t="shared" si="1"/>
        <v>11</v>
      </c>
      <c r="I31" s="63" t="str">
        <f t="shared" si="2"/>
        <v>TRANSITA</v>
      </c>
      <c r="J31" s="192">
        <v>11</v>
      </c>
      <c r="K31" s="191">
        <v>3</v>
      </c>
      <c r="L31" s="64"/>
      <c r="M31" s="40">
        <f t="shared" si="3"/>
        <v>7</v>
      </c>
      <c r="N31" s="63" t="str">
        <f t="shared" si="4"/>
        <v>N/TRANSITA</v>
      </c>
      <c r="O31" s="98"/>
      <c r="P31" s="99"/>
      <c r="Q31" s="64"/>
      <c r="R31" s="40">
        <f t="shared" si="5"/>
        <v>0</v>
      </c>
      <c r="S31" s="41">
        <f t="shared" si="0"/>
        <v>6</v>
      </c>
      <c r="T31" s="81" t="str">
        <f t="shared" si="6"/>
        <v>N/TRANSITA</v>
      </c>
    </row>
    <row r="32" spans="2:20" ht="14.25" customHeight="1" x14ac:dyDescent="0.3">
      <c r="B32" s="33">
        <v>24</v>
      </c>
      <c r="C32" s="127" t="s">
        <v>91</v>
      </c>
      <c r="D32" s="60"/>
      <c r="E32" s="188"/>
      <c r="F32" s="190"/>
      <c r="G32" s="93"/>
      <c r="H32" s="106">
        <f t="shared" si="1"/>
        <v>0</v>
      </c>
      <c r="I32" s="63" t="str">
        <f t="shared" si="2"/>
        <v>N/TRANSITA</v>
      </c>
      <c r="J32" s="192">
        <v>4</v>
      </c>
      <c r="K32" s="191">
        <v>0</v>
      </c>
      <c r="L32" s="64"/>
      <c r="M32" s="40">
        <f t="shared" si="3"/>
        <v>2</v>
      </c>
      <c r="N32" s="63" t="str">
        <f t="shared" si="4"/>
        <v>N/TRANSITA</v>
      </c>
      <c r="O32" s="98"/>
      <c r="P32" s="99"/>
      <c r="Q32" s="64"/>
      <c r="R32" s="40">
        <f t="shared" si="5"/>
        <v>0</v>
      </c>
      <c r="S32" s="41">
        <f t="shared" si="0"/>
        <v>0.66666666666666663</v>
      </c>
      <c r="T32" s="81" t="str">
        <f t="shared" si="6"/>
        <v>N/TRANSITA</v>
      </c>
    </row>
    <row r="33" spans="2:20" ht="14.25" customHeight="1" x14ac:dyDescent="0.3">
      <c r="B33" s="33">
        <v>25</v>
      </c>
      <c r="C33" s="127" t="s">
        <v>92</v>
      </c>
      <c r="D33" s="60"/>
      <c r="E33" s="188"/>
      <c r="F33" s="190"/>
      <c r="G33" s="93"/>
      <c r="H33" s="106">
        <f t="shared" si="1"/>
        <v>0</v>
      </c>
      <c r="I33" s="63" t="str">
        <f t="shared" si="2"/>
        <v>N/TRANSITA</v>
      </c>
      <c r="J33" s="192">
        <v>13</v>
      </c>
      <c r="K33" s="191">
        <v>6</v>
      </c>
      <c r="L33" s="64"/>
      <c r="M33" s="40">
        <f t="shared" si="3"/>
        <v>9.5</v>
      </c>
      <c r="N33" s="63" t="str">
        <f t="shared" si="4"/>
        <v>N/TRANSITA</v>
      </c>
      <c r="O33" s="98"/>
      <c r="P33" s="99"/>
      <c r="Q33" s="64"/>
      <c r="R33" s="40">
        <f t="shared" si="5"/>
        <v>0</v>
      </c>
      <c r="S33" s="41">
        <f t="shared" si="0"/>
        <v>3.1666666666666665</v>
      </c>
      <c r="T33" s="81" t="str">
        <f t="shared" si="6"/>
        <v>N/TRANSITA</v>
      </c>
    </row>
    <row r="34" spans="2:20" ht="14.25" customHeight="1" x14ac:dyDescent="0.3">
      <c r="B34" s="33">
        <v>26</v>
      </c>
      <c r="C34" s="127" t="s">
        <v>93</v>
      </c>
      <c r="D34" s="60"/>
      <c r="E34" s="188"/>
      <c r="F34" s="190"/>
      <c r="G34" s="93"/>
      <c r="H34" s="106">
        <f t="shared" si="1"/>
        <v>0</v>
      </c>
      <c r="I34" s="63" t="str">
        <f t="shared" si="2"/>
        <v>N/TRANSITA</v>
      </c>
      <c r="J34" s="192">
        <v>4</v>
      </c>
      <c r="K34" s="191">
        <v>0</v>
      </c>
      <c r="L34" s="64"/>
      <c r="M34" s="40">
        <f t="shared" si="3"/>
        <v>2</v>
      </c>
      <c r="N34" s="63" t="str">
        <f t="shared" si="4"/>
        <v>N/TRANSITA</v>
      </c>
      <c r="O34" s="98"/>
      <c r="P34" s="99"/>
      <c r="Q34" s="64"/>
      <c r="R34" s="40">
        <f t="shared" si="5"/>
        <v>0</v>
      </c>
      <c r="S34" s="41">
        <f t="shared" si="0"/>
        <v>0.66666666666666663</v>
      </c>
      <c r="T34" s="81" t="str">
        <f t="shared" si="6"/>
        <v>N/TRANSITA</v>
      </c>
    </row>
    <row r="35" spans="2:20" ht="14.25" customHeight="1" x14ac:dyDescent="0.3">
      <c r="B35" s="33">
        <v>27</v>
      </c>
      <c r="C35" s="128" t="s">
        <v>94</v>
      </c>
      <c r="D35" s="60"/>
      <c r="E35" s="188"/>
      <c r="F35" s="190"/>
      <c r="G35" s="93"/>
      <c r="H35" s="106">
        <f t="shared" si="1"/>
        <v>0</v>
      </c>
      <c r="I35" s="63" t="str">
        <f t="shared" si="2"/>
        <v>N/TRANSITA</v>
      </c>
      <c r="J35" s="192">
        <v>10</v>
      </c>
      <c r="K35" s="191">
        <v>0</v>
      </c>
      <c r="L35" s="64"/>
      <c r="M35" s="40">
        <f t="shared" si="3"/>
        <v>5</v>
      </c>
      <c r="N35" s="63" t="str">
        <f t="shared" si="4"/>
        <v>N/TRANSITA</v>
      </c>
      <c r="O35" s="98"/>
      <c r="P35" s="99"/>
      <c r="Q35" s="64"/>
      <c r="R35" s="40">
        <f t="shared" si="5"/>
        <v>0</v>
      </c>
      <c r="S35" s="41">
        <f t="shared" si="0"/>
        <v>1.6666666666666667</v>
      </c>
      <c r="T35" s="81" t="str">
        <f t="shared" si="6"/>
        <v>N/TRANSITA</v>
      </c>
    </row>
    <row r="36" spans="2:20" ht="14.25" customHeight="1" x14ac:dyDescent="0.3">
      <c r="B36" s="33">
        <v>28</v>
      </c>
      <c r="C36" s="127" t="s">
        <v>95</v>
      </c>
      <c r="D36" s="60"/>
      <c r="E36" s="188">
        <v>12</v>
      </c>
      <c r="F36" s="190">
        <v>12.5</v>
      </c>
      <c r="G36" s="93"/>
      <c r="H36" s="106">
        <f t="shared" si="1"/>
        <v>12.25</v>
      </c>
      <c r="I36" s="63" t="str">
        <f t="shared" si="2"/>
        <v>TRANSITA</v>
      </c>
      <c r="J36" s="192">
        <v>4</v>
      </c>
      <c r="K36" s="191">
        <v>0</v>
      </c>
      <c r="L36" s="64"/>
      <c r="M36" s="40">
        <f t="shared" si="3"/>
        <v>2</v>
      </c>
      <c r="N36" s="63" t="str">
        <f t="shared" si="4"/>
        <v>N/TRANSITA</v>
      </c>
      <c r="O36" s="98"/>
      <c r="P36" s="99"/>
      <c r="Q36" s="64"/>
      <c r="R36" s="40">
        <f t="shared" si="5"/>
        <v>0</v>
      </c>
      <c r="S36" s="41">
        <f t="shared" si="0"/>
        <v>4.75</v>
      </c>
      <c r="T36" s="81" t="str">
        <f t="shared" si="6"/>
        <v>N/TRANSITA</v>
      </c>
    </row>
    <row r="37" spans="2:20" ht="14.25" customHeight="1" x14ac:dyDescent="0.3">
      <c r="B37" s="33">
        <v>29</v>
      </c>
      <c r="C37" s="127" t="s">
        <v>96</v>
      </c>
      <c r="D37" s="60"/>
      <c r="E37" s="188">
        <v>0</v>
      </c>
      <c r="F37" s="190">
        <v>13</v>
      </c>
      <c r="G37" s="93"/>
      <c r="H37" s="106">
        <f t="shared" si="1"/>
        <v>6.5</v>
      </c>
      <c r="I37" s="63" t="str">
        <f t="shared" si="2"/>
        <v>N/TRANSITA</v>
      </c>
      <c r="J37" s="192">
        <v>13</v>
      </c>
      <c r="K37" s="191">
        <v>6</v>
      </c>
      <c r="L37" s="64"/>
      <c r="M37" s="40">
        <f t="shared" si="3"/>
        <v>9.5</v>
      </c>
      <c r="N37" s="63" t="str">
        <f t="shared" si="4"/>
        <v>N/TRANSITA</v>
      </c>
      <c r="O37" s="98"/>
      <c r="P37" s="99"/>
      <c r="Q37" s="64"/>
      <c r="R37" s="40">
        <f t="shared" si="5"/>
        <v>0</v>
      </c>
      <c r="S37" s="41">
        <f t="shared" si="0"/>
        <v>5.333333333333333</v>
      </c>
      <c r="T37" s="81" t="str">
        <f t="shared" si="6"/>
        <v>N/TRANSITA</v>
      </c>
    </row>
    <row r="38" spans="2:20" ht="14.25" customHeight="1" x14ac:dyDescent="0.3">
      <c r="B38" s="33">
        <v>30</v>
      </c>
      <c r="C38" s="127" t="s">
        <v>97</v>
      </c>
      <c r="D38" s="60"/>
      <c r="E38" s="188"/>
      <c r="F38" s="190"/>
      <c r="G38" s="93"/>
      <c r="H38" s="106">
        <f t="shared" si="1"/>
        <v>0</v>
      </c>
      <c r="I38" s="63" t="str">
        <f t="shared" si="2"/>
        <v>N/TRANSITA</v>
      </c>
      <c r="J38" s="192">
        <v>4</v>
      </c>
      <c r="K38" s="191">
        <v>0</v>
      </c>
      <c r="L38" s="64"/>
      <c r="M38" s="40">
        <f t="shared" si="3"/>
        <v>2</v>
      </c>
      <c r="N38" s="63" t="str">
        <f t="shared" si="4"/>
        <v>N/TRANSITA</v>
      </c>
      <c r="O38" s="98"/>
      <c r="P38" s="99"/>
      <c r="Q38" s="64"/>
      <c r="R38" s="40">
        <f t="shared" si="5"/>
        <v>0</v>
      </c>
      <c r="S38" s="41">
        <f t="shared" si="0"/>
        <v>0.66666666666666663</v>
      </c>
      <c r="T38" s="81" t="str">
        <f t="shared" si="6"/>
        <v>N/TRANSITA</v>
      </c>
    </row>
    <row r="39" spans="2:20" ht="14.25" customHeight="1" x14ac:dyDescent="0.3">
      <c r="B39" s="33">
        <v>31</v>
      </c>
      <c r="C39" s="127" t="s">
        <v>98</v>
      </c>
      <c r="D39" s="60"/>
      <c r="E39" s="188"/>
      <c r="F39" s="190"/>
      <c r="G39" s="93"/>
      <c r="H39" s="106">
        <f t="shared" si="1"/>
        <v>0</v>
      </c>
      <c r="I39" s="63" t="str">
        <f t="shared" si="2"/>
        <v>N/TRANSITA</v>
      </c>
      <c r="J39" s="192">
        <v>4</v>
      </c>
      <c r="K39" s="191">
        <v>0</v>
      </c>
      <c r="L39" s="64"/>
      <c r="M39" s="40">
        <f t="shared" si="3"/>
        <v>2</v>
      </c>
      <c r="N39" s="63" t="str">
        <f t="shared" si="4"/>
        <v>N/TRANSITA</v>
      </c>
      <c r="O39" s="98"/>
      <c r="P39" s="99"/>
      <c r="Q39" s="64"/>
      <c r="R39" s="40">
        <f t="shared" si="5"/>
        <v>0</v>
      </c>
      <c r="S39" s="41">
        <f t="shared" si="0"/>
        <v>0.66666666666666663</v>
      </c>
      <c r="T39" s="81" t="str">
        <f t="shared" si="6"/>
        <v>N/TRANSITA</v>
      </c>
    </row>
    <row r="40" spans="2:20" ht="14.25" customHeight="1" x14ac:dyDescent="0.3">
      <c r="B40" s="33">
        <v>32</v>
      </c>
      <c r="C40" s="128" t="s">
        <v>99</v>
      </c>
      <c r="D40" s="60"/>
      <c r="E40" s="188">
        <v>0</v>
      </c>
      <c r="F40" s="190">
        <v>9</v>
      </c>
      <c r="G40" s="93"/>
      <c r="H40" s="106">
        <f t="shared" si="1"/>
        <v>4.5</v>
      </c>
      <c r="I40" s="63" t="str">
        <f t="shared" si="2"/>
        <v>N/TRANSITA</v>
      </c>
      <c r="J40" s="192">
        <v>10</v>
      </c>
      <c r="K40" s="191">
        <v>3</v>
      </c>
      <c r="L40" s="64"/>
      <c r="M40" s="40">
        <f t="shared" si="3"/>
        <v>6.5</v>
      </c>
      <c r="N40" s="63" t="str">
        <f t="shared" si="4"/>
        <v>N/TRANSITA</v>
      </c>
      <c r="O40" s="98"/>
      <c r="P40" s="99"/>
      <c r="Q40" s="64"/>
      <c r="R40" s="40">
        <f t="shared" si="5"/>
        <v>0</v>
      </c>
      <c r="S40" s="41">
        <f t="shared" si="0"/>
        <v>3.6666666666666665</v>
      </c>
      <c r="T40" s="81" t="str">
        <f t="shared" si="6"/>
        <v>N/TRANSITA</v>
      </c>
    </row>
    <row r="41" spans="2:20" ht="14.25" customHeight="1" x14ac:dyDescent="0.3">
      <c r="B41" s="33">
        <v>33</v>
      </c>
      <c r="C41" s="127" t="s">
        <v>100</v>
      </c>
      <c r="D41" s="60"/>
      <c r="E41" s="188">
        <v>12</v>
      </c>
      <c r="F41" s="190">
        <v>16.5</v>
      </c>
      <c r="G41" s="93"/>
      <c r="H41" s="106">
        <f t="shared" si="1"/>
        <v>14.25</v>
      </c>
      <c r="I41" s="63" t="str">
        <f t="shared" si="2"/>
        <v>TRANSITA</v>
      </c>
      <c r="J41" s="192">
        <v>7</v>
      </c>
      <c r="K41" s="191">
        <v>7</v>
      </c>
      <c r="L41" s="64"/>
      <c r="M41" s="40">
        <f t="shared" si="3"/>
        <v>7</v>
      </c>
      <c r="N41" s="63" t="str">
        <f t="shared" si="4"/>
        <v>N/TRANSITA</v>
      </c>
      <c r="O41" s="98"/>
      <c r="P41" s="99"/>
      <c r="Q41" s="64"/>
      <c r="R41" s="40">
        <f t="shared" si="5"/>
        <v>0</v>
      </c>
      <c r="S41" s="41">
        <f t="shared" si="0"/>
        <v>7.083333333333333</v>
      </c>
      <c r="T41" s="81" t="str">
        <f t="shared" si="6"/>
        <v>N/TRANSITA</v>
      </c>
    </row>
    <row r="42" spans="2:20" ht="14.25" customHeight="1" x14ac:dyDescent="0.3">
      <c r="B42" s="33">
        <v>34</v>
      </c>
      <c r="C42" s="127" t="s">
        <v>101</v>
      </c>
      <c r="D42" s="60"/>
      <c r="E42" s="188"/>
      <c r="F42" s="190"/>
      <c r="G42" s="93"/>
      <c r="H42" s="106">
        <f t="shared" si="1"/>
        <v>0</v>
      </c>
      <c r="I42" s="63" t="str">
        <f t="shared" si="2"/>
        <v>N/TRANSITA</v>
      </c>
      <c r="J42" s="192">
        <v>10</v>
      </c>
      <c r="K42" s="191">
        <v>0</v>
      </c>
      <c r="L42" s="64"/>
      <c r="M42" s="40">
        <f t="shared" si="3"/>
        <v>5</v>
      </c>
      <c r="N42" s="63" t="str">
        <f t="shared" si="4"/>
        <v>N/TRANSITA</v>
      </c>
      <c r="O42" s="98"/>
      <c r="P42" s="99"/>
      <c r="Q42" s="64"/>
      <c r="R42" s="40">
        <f t="shared" si="5"/>
        <v>0</v>
      </c>
      <c r="S42" s="41">
        <f t="shared" ref="S42:S71" si="14">SUM(H42,M42,R42)/3</f>
        <v>1.6666666666666667</v>
      </c>
      <c r="T42" s="81" t="str">
        <f t="shared" si="6"/>
        <v>N/TRANSITA</v>
      </c>
    </row>
    <row r="43" spans="2:20" ht="14.25" customHeight="1" x14ac:dyDescent="0.3">
      <c r="B43" s="33">
        <v>35</v>
      </c>
      <c r="C43" s="127" t="s">
        <v>102</v>
      </c>
      <c r="D43" s="60"/>
      <c r="E43" s="188">
        <v>11</v>
      </c>
      <c r="F43" s="190">
        <v>14.5</v>
      </c>
      <c r="G43" s="93"/>
      <c r="H43" s="106">
        <f t="shared" si="1"/>
        <v>12.75</v>
      </c>
      <c r="I43" s="63" t="str">
        <f t="shared" si="2"/>
        <v>TRANSITA</v>
      </c>
      <c r="J43" s="192">
        <v>7</v>
      </c>
      <c r="K43" s="191">
        <v>9</v>
      </c>
      <c r="L43" s="64"/>
      <c r="M43" s="40">
        <f t="shared" si="3"/>
        <v>8</v>
      </c>
      <c r="N43" s="63" t="str">
        <f t="shared" si="4"/>
        <v>N/TRANSITA</v>
      </c>
      <c r="O43" s="98"/>
      <c r="P43" s="99"/>
      <c r="Q43" s="64"/>
      <c r="R43" s="40">
        <f t="shared" si="5"/>
        <v>0</v>
      </c>
      <c r="S43" s="41">
        <f t="shared" si="14"/>
        <v>6.916666666666667</v>
      </c>
      <c r="T43" s="81" t="str">
        <f t="shared" si="6"/>
        <v>N/TRANSITA</v>
      </c>
    </row>
    <row r="44" spans="2:20" ht="14.25" customHeight="1" x14ac:dyDescent="0.3">
      <c r="B44" s="33">
        <v>36</v>
      </c>
      <c r="C44" s="127" t="s">
        <v>103</v>
      </c>
      <c r="D44" s="60"/>
      <c r="E44" s="188"/>
      <c r="F44" s="190"/>
      <c r="G44" s="93"/>
      <c r="H44" s="106">
        <f t="shared" si="1"/>
        <v>0</v>
      </c>
      <c r="I44" s="63" t="str">
        <f t="shared" si="2"/>
        <v>N/TRANSITA</v>
      </c>
      <c r="J44" s="192">
        <v>4</v>
      </c>
      <c r="K44" s="191">
        <v>0</v>
      </c>
      <c r="L44" s="64"/>
      <c r="M44" s="40">
        <f t="shared" si="3"/>
        <v>2</v>
      </c>
      <c r="N44" s="63" t="str">
        <f t="shared" ref="N44:N49" si="15">IF(M44&gt;=10,"TRANSITA","N/TRANSITA")</f>
        <v>N/TRANSITA</v>
      </c>
      <c r="O44" s="98"/>
      <c r="P44" s="99"/>
      <c r="Q44" s="64"/>
      <c r="R44" s="40">
        <f t="shared" si="5"/>
        <v>0</v>
      </c>
      <c r="S44" s="41">
        <f t="shared" si="14"/>
        <v>0.66666666666666663</v>
      </c>
      <c r="T44" s="81" t="str">
        <f t="shared" ref="T44:T49" si="16">IF(S44&gt;=10,"TRANSITA","N/TRANSITA")</f>
        <v>N/TRANSITA</v>
      </c>
    </row>
    <row r="45" spans="2:20" ht="14.25" customHeight="1" x14ac:dyDescent="0.3">
      <c r="B45" s="33">
        <v>37</v>
      </c>
      <c r="C45" s="127" t="s">
        <v>104</v>
      </c>
      <c r="D45" s="60"/>
      <c r="E45" s="188">
        <v>7</v>
      </c>
      <c r="F45" s="190">
        <v>8</v>
      </c>
      <c r="G45" s="93"/>
      <c r="H45" s="106">
        <f t="shared" si="1"/>
        <v>7.5</v>
      </c>
      <c r="I45" s="63" t="str">
        <f t="shared" si="2"/>
        <v>N/TRANSITA</v>
      </c>
      <c r="J45" s="192">
        <v>8</v>
      </c>
      <c r="K45" s="191">
        <v>1</v>
      </c>
      <c r="L45" s="64"/>
      <c r="M45" s="40">
        <f t="shared" si="3"/>
        <v>4.5</v>
      </c>
      <c r="N45" s="63" t="str">
        <f t="shared" si="15"/>
        <v>N/TRANSITA</v>
      </c>
      <c r="O45" s="98"/>
      <c r="P45" s="99"/>
      <c r="Q45" s="64"/>
      <c r="R45" s="40">
        <f t="shared" si="5"/>
        <v>0</v>
      </c>
      <c r="S45" s="41">
        <f t="shared" si="14"/>
        <v>4</v>
      </c>
      <c r="T45" s="81" t="str">
        <f t="shared" si="16"/>
        <v>N/TRANSITA</v>
      </c>
    </row>
    <row r="46" spans="2:20" ht="14.25" customHeight="1" x14ac:dyDescent="0.3">
      <c r="B46" s="33">
        <v>38</v>
      </c>
      <c r="C46" s="127" t="s">
        <v>105</v>
      </c>
      <c r="D46" s="60"/>
      <c r="E46" s="188">
        <v>7</v>
      </c>
      <c r="F46" s="190"/>
      <c r="G46" s="93"/>
      <c r="H46" s="106">
        <f t="shared" si="1"/>
        <v>3.5</v>
      </c>
      <c r="I46" s="63" t="str">
        <f t="shared" si="2"/>
        <v>N/TRANSITA</v>
      </c>
      <c r="J46" s="192">
        <v>4</v>
      </c>
      <c r="K46" s="191">
        <v>0</v>
      </c>
      <c r="L46" s="64"/>
      <c r="M46" s="40">
        <f t="shared" si="3"/>
        <v>2</v>
      </c>
      <c r="N46" s="63" t="str">
        <f t="shared" si="15"/>
        <v>N/TRANSITA</v>
      </c>
      <c r="O46" s="98"/>
      <c r="P46" s="99"/>
      <c r="Q46" s="64"/>
      <c r="R46" s="40">
        <f t="shared" si="5"/>
        <v>0</v>
      </c>
      <c r="S46" s="41">
        <f t="shared" si="14"/>
        <v>1.8333333333333333</v>
      </c>
      <c r="T46" s="81" t="str">
        <f t="shared" si="16"/>
        <v>N/TRANSITA</v>
      </c>
    </row>
    <row r="47" spans="2:20" ht="14.25" customHeight="1" x14ac:dyDescent="0.3">
      <c r="B47" s="33">
        <v>39</v>
      </c>
      <c r="C47" s="127" t="s">
        <v>106</v>
      </c>
      <c r="D47" s="60"/>
      <c r="E47" s="188">
        <v>12</v>
      </c>
      <c r="F47" s="190">
        <v>15.5</v>
      </c>
      <c r="G47" s="93"/>
      <c r="H47" s="106">
        <f t="shared" si="1"/>
        <v>13.75</v>
      </c>
      <c r="I47" s="63" t="str">
        <f t="shared" si="2"/>
        <v>TRANSITA</v>
      </c>
      <c r="J47" s="192">
        <v>10</v>
      </c>
      <c r="K47" s="191">
        <v>0</v>
      </c>
      <c r="L47" s="64"/>
      <c r="M47" s="40">
        <f t="shared" si="3"/>
        <v>5</v>
      </c>
      <c r="N47" s="63" t="str">
        <f t="shared" si="15"/>
        <v>N/TRANSITA</v>
      </c>
      <c r="O47" s="98"/>
      <c r="P47" s="99"/>
      <c r="Q47" s="64"/>
      <c r="R47" s="40">
        <f t="shared" si="5"/>
        <v>0</v>
      </c>
      <c r="S47" s="41">
        <f t="shared" si="14"/>
        <v>6.25</v>
      </c>
      <c r="T47" s="81" t="str">
        <f t="shared" si="16"/>
        <v>N/TRANSITA</v>
      </c>
    </row>
    <row r="48" spans="2:20" ht="14.25" customHeight="1" x14ac:dyDescent="0.3">
      <c r="B48" s="33">
        <v>40</v>
      </c>
      <c r="C48" s="127" t="s">
        <v>145</v>
      </c>
      <c r="D48" s="60"/>
      <c r="E48" s="188"/>
      <c r="F48" s="190"/>
      <c r="G48" s="93"/>
      <c r="H48" s="106">
        <f t="shared" si="1"/>
        <v>0</v>
      </c>
      <c r="I48" s="63" t="str">
        <f t="shared" si="2"/>
        <v>N/TRANSITA</v>
      </c>
      <c r="J48" s="192">
        <v>12</v>
      </c>
      <c r="K48" s="191">
        <v>4</v>
      </c>
      <c r="L48" s="64"/>
      <c r="M48" s="40">
        <f t="shared" ref="M48" si="17">AVERAGE(J48,MAX(K48:L48))</f>
        <v>8</v>
      </c>
      <c r="N48" s="63" t="str">
        <f t="shared" ref="N48" si="18">IF(M48&gt;=10,"TRANSITA","N/TRANSITA")</f>
        <v>N/TRANSITA</v>
      </c>
      <c r="O48" s="98"/>
      <c r="P48" s="99"/>
      <c r="Q48" s="64"/>
      <c r="R48" s="40">
        <f t="shared" ref="R48" si="19">AVERAGE(O48,MAX(P48:Q48))</f>
        <v>0</v>
      </c>
      <c r="S48" s="41">
        <f t="shared" ref="S48" si="20">SUM(H48,M48,R48)/3</f>
        <v>2.6666666666666665</v>
      </c>
      <c r="T48" s="81" t="str">
        <f t="shared" ref="T48" si="21">IF(S48&gt;=10,"TRANSITA","N/TRANSITA")</f>
        <v>N/TRANSITA</v>
      </c>
    </row>
    <row r="49" spans="2:20" ht="14.25" customHeight="1" x14ac:dyDescent="0.3">
      <c r="B49" s="33">
        <v>41</v>
      </c>
      <c r="C49" s="128" t="s">
        <v>107</v>
      </c>
      <c r="D49" s="60"/>
      <c r="E49" s="188">
        <v>0</v>
      </c>
      <c r="F49" s="190">
        <v>17</v>
      </c>
      <c r="G49" s="93"/>
      <c r="H49" s="106">
        <f t="shared" si="1"/>
        <v>8.5</v>
      </c>
      <c r="I49" s="63" t="str">
        <f t="shared" si="2"/>
        <v>N/TRANSITA</v>
      </c>
      <c r="J49" s="192">
        <v>7</v>
      </c>
      <c r="K49" s="191">
        <v>17</v>
      </c>
      <c r="L49" s="64"/>
      <c r="M49" s="40">
        <f t="shared" si="3"/>
        <v>12</v>
      </c>
      <c r="N49" s="63" t="str">
        <f t="shared" si="15"/>
        <v>TRANSITA</v>
      </c>
      <c r="O49" s="98"/>
      <c r="P49" s="99"/>
      <c r="Q49" s="64"/>
      <c r="R49" s="40">
        <f t="shared" si="5"/>
        <v>0</v>
      </c>
      <c r="S49" s="41">
        <f t="shared" si="14"/>
        <v>6.833333333333333</v>
      </c>
      <c r="T49" s="81" t="str">
        <f t="shared" si="16"/>
        <v>N/TRANSITA</v>
      </c>
    </row>
    <row r="50" spans="2:20" ht="14.25" customHeight="1" x14ac:dyDescent="0.3">
      <c r="B50" s="33">
        <v>42</v>
      </c>
      <c r="C50" s="127" t="s">
        <v>108</v>
      </c>
      <c r="D50" s="61"/>
      <c r="E50" s="188">
        <v>10</v>
      </c>
      <c r="F50" s="190">
        <v>14</v>
      </c>
      <c r="G50" s="93"/>
      <c r="H50" s="106">
        <f t="shared" si="1"/>
        <v>12</v>
      </c>
      <c r="I50" s="63" t="str">
        <f t="shared" si="2"/>
        <v>TRANSITA</v>
      </c>
      <c r="J50" s="192">
        <v>5</v>
      </c>
      <c r="K50" s="191">
        <v>5</v>
      </c>
      <c r="L50" s="64"/>
      <c r="M50" s="40">
        <f t="shared" si="3"/>
        <v>5</v>
      </c>
      <c r="N50" s="63" t="str">
        <f t="shared" si="4"/>
        <v>N/TRANSITA</v>
      </c>
      <c r="O50" s="98"/>
      <c r="P50" s="99"/>
      <c r="Q50" s="64"/>
      <c r="R50" s="40">
        <f t="shared" si="5"/>
        <v>0</v>
      </c>
      <c r="S50" s="41">
        <f t="shared" si="14"/>
        <v>5.666666666666667</v>
      </c>
      <c r="T50" s="81" t="str">
        <f t="shared" si="6"/>
        <v>N/TRANSITA</v>
      </c>
    </row>
    <row r="51" spans="2:20" ht="14.25" customHeight="1" x14ac:dyDescent="0.3">
      <c r="B51" s="33">
        <v>43</v>
      </c>
      <c r="C51" s="127" t="s">
        <v>109</v>
      </c>
      <c r="D51" s="61"/>
      <c r="E51" s="188">
        <v>11</v>
      </c>
      <c r="F51" s="190">
        <v>13.5</v>
      </c>
      <c r="G51" s="93"/>
      <c r="H51" s="106">
        <f t="shared" si="1"/>
        <v>12.25</v>
      </c>
      <c r="I51" s="63" t="str">
        <f t="shared" si="2"/>
        <v>TRANSITA</v>
      </c>
      <c r="J51" s="192">
        <v>4</v>
      </c>
      <c r="K51" s="191">
        <v>0</v>
      </c>
      <c r="L51" s="64"/>
      <c r="M51" s="40">
        <f t="shared" si="3"/>
        <v>2</v>
      </c>
      <c r="N51" s="63" t="str">
        <f t="shared" si="4"/>
        <v>N/TRANSITA</v>
      </c>
      <c r="O51" s="98"/>
      <c r="P51" s="99"/>
      <c r="Q51" s="64"/>
      <c r="R51" s="40">
        <f t="shared" si="5"/>
        <v>0</v>
      </c>
      <c r="S51" s="41">
        <f t="shared" si="14"/>
        <v>4.75</v>
      </c>
      <c r="T51" s="81" t="str">
        <f t="shared" si="6"/>
        <v>N/TRANSITA</v>
      </c>
    </row>
    <row r="52" spans="2:20" ht="14.25" customHeight="1" x14ac:dyDescent="0.3">
      <c r="B52" s="33">
        <v>44</v>
      </c>
      <c r="C52" s="127" t="s">
        <v>110</v>
      </c>
      <c r="D52" s="60"/>
      <c r="E52" s="188">
        <v>11</v>
      </c>
      <c r="F52" s="190">
        <v>16.5</v>
      </c>
      <c r="G52" s="93"/>
      <c r="H52" s="106">
        <f t="shared" si="1"/>
        <v>13.75</v>
      </c>
      <c r="I52" s="63" t="str">
        <f t="shared" si="2"/>
        <v>TRANSITA</v>
      </c>
      <c r="J52" s="192">
        <v>10</v>
      </c>
      <c r="K52" s="191">
        <v>5</v>
      </c>
      <c r="L52" s="64"/>
      <c r="M52" s="40">
        <f t="shared" si="3"/>
        <v>7.5</v>
      </c>
      <c r="N52" s="63" t="str">
        <f t="shared" si="4"/>
        <v>N/TRANSITA</v>
      </c>
      <c r="O52" s="98"/>
      <c r="P52" s="99"/>
      <c r="Q52" s="64"/>
      <c r="R52" s="40">
        <f t="shared" si="5"/>
        <v>0</v>
      </c>
      <c r="S52" s="41">
        <f t="shared" si="14"/>
        <v>7.083333333333333</v>
      </c>
      <c r="T52" s="81" t="str">
        <f t="shared" si="6"/>
        <v>N/TRANSITA</v>
      </c>
    </row>
    <row r="53" spans="2:20" ht="14.25" customHeight="1" x14ac:dyDescent="0.3">
      <c r="B53" s="33">
        <v>45</v>
      </c>
      <c r="C53" s="127" t="s">
        <v>111</v>
      </c>
      <c r="D53" s="60"/>
      <c r="E53" s="188"/>
      <c r="F53" s="190"/>
      <c r="G53" s="93"/>
      <c r="H53" s="106">
        <f t="shared" si="1"/>
        <v>0</v>
      </c>
      <c r="I53" s="63" t="str">
        <f t="shared" si="2"/>
        <v>N/TRANSITA</v>
      </c>
      <c r="J53" s="192">
        <v>4</v>
      </c>
      <c r="K53" s="191">
        <v>0</v>
      </c>
      <c r="L53" s="64"/>
      <c r="M53" s="40">
        <f t="shared" si="3"/>
        <v>2</v>
      </c>
      <c r="N53" s="63" t="str">
        <f t="shared" si="4"/>
        <v>N/TRANSITA</v>
      </c>
      <c r="O53" s="98"/>
      <c r="P53" s="99"/>
      <c r="Q53" s="64"/>
      <c r="R53" s="40">
        <f t="shared" si="5"/>
        <v>0</v>
      </c>
      <c r="S53" s="41">
        <f t="shared" si="14"/>
        <v>0.66666666666666663</v>
      </c>
      <c r="T53" s="81" t="str">
        <f t="shared" si="6"/>
        <v>N/TRANSITA</v>
      </c>
    </row>
    <row r="54" spans="2:20" ht="14.25" customHeight="1" x14ac:dyDescent="0.3">
      <c r="B54" s="33">
        <v>46</v>
      </c>
      <c r="C54" s="127" t="s">
        <v>112</v>
      </c>
      <c r="D54" s="60"/>
      <c r="E54" s="188">
        <v>10</v>
      </c>
      <c r="F54" s="190">
        <v>0</v>
      </c>
      <c r="G54" s="93"/>
      <c r="H54" s="106">
        <f t="shared" si="1"/>
        <v>5</v>
      </c>
      <c r="I54" s="63" t="str">
        <f t="shared" si="2"/>
        <v>N/TRANSITA</v>
      </c>
      <c r="J54" s="192">
        <v>10</v>
      </c>
      <c r="K54" s="191">
        <v>3</v>
      </c>
      <c r="L54" s="64"/>
      <c r="M54" s="40">
        <f t="shared" si="3"/>
        <v>6.5</v>
      </c>
      <c r="N54" s="63" t="str">
        <f t="shared" si="4"/>
        <v>N/TRANSITA</v>
      </c>
      <c r="O54" s="98"/>
      <c r="P54" s="99"/>
      <c r="Q54" s="64"/>
      <c r="R54" s="40">
        <f t="shared" si="5"/>
        <v>0</v>
      </c>
      <c r="S54" s="41">
        <f t="shared" si="14"/>
        <v>3.8333333333333335</v>
      </c>
      <c r="T54" s="81" t="str">
        <f t="shared" si="6"/>
        <v>N/TRANSITA</v>
      </c>
    </row>
    <row r="55" spans="2:20" ht="14.25" customHeight="1" x14ac:dyDescent="0.3">
      <c r="B55" s="33">
        <v>47</v>
      </c>
      <c r="C55" s="127" t="s">
        <v>141</v>
      </c>
      <c r="D55" s="60"/>
      <c r="E55" s="188"/>
      <c r="F55" s="190"/>
      <c r="G55" s="93"/>
      <c r="H55" s="106">
        <f t="shared" si="1"/>
        <v>0</v>
      </c>
      <c r="I55" s="63" t="str">
        <f t="shared" si="2"/>
        <v>N/TRANSITA</v>
      </c>
      <c r="J55" s="192">
        <v>13</v>
      </c>
      <c r="K55" s="191">
        <v>4</v>
      </c>
      <c r="L55" s="64"/>
      <c r="M55" s="40">
        <f t="shared" ref="M55:M56" si="22">AVERAGE(J55,MAX(K55:L55))</f>
        <v>8.5</v>
      </c>
      <c r="N55" s="63" t="str">
        <f t="shared" ref="N55:N56" si="23">IF(M55&gt;=10,"TRANSITA","N/TRANSITA")</f>
        <v>N/TRANSITA</v>
      </c>
      <c r="O55" s="98"/>
      <c r="P55" s="99"/>
      <c r="Q55" s="64"/>
      <c r="R55" s="40">
        <f t="shared" ref="R55:R56" si="24">AVERAGE(O55,MAX(P55:Q55))</f>
        <v>0</v>
      </c>
      <c r="S55" s="41">
        <f t="shared" ref="S55:S56" si="25">SUM(H55,M55,R55)/3</f>
        <v>2.8333333333333335</v>
      </c>
      <c r="T55" s="81" t="str">
        <f t="shared" ref="T55:T56" si="26">IF(S55&gt;=10,"TRANSITA","N/TRANSITA")</f>
        <v>N/TRANSITA</v>
      </c>
    </row>
    <row r="56" spans="2:20" ht="14.25" customHeight="1" x14ac:dyDescent="0.3">
      <c r="B56" s="33">
        <v>48</v>
      </c>
      <c r="C56" s="127" t="s">
        <v>113</v>
      </c>
      <c r="D56" s="60"/>
      <c r="E56" s="188"/>
      <c r="F56" s="190"/>
      <c r="G56" s="93"/>
      <c r="H56" s="106">
        <f t="shared" si="1"/>
        <v>0</v>
      </c>
      <c r="I56" s="63" t="str">
        <f t="shared" si="2"/>
        <v>N/TRANSITA</v>
      </c>
      <c r="J56" s="192">
        <v>4</v>
      </c>
      <c r="K56" s="191">
        <v>0</v>
      </c>
      <c r="L56" s="64"/>
      <c r="M56" s="40">
        <f t="shared" si="22"/>
        <v>2</v>
      </c>
      <c r="N56" s="63" t="str">
        <f t="shared" si="23"/>
        <v>N/TRANSITA</v>
      </c>
      <c r="O56" s="98"/>
      <c r="P56" s="99"/>
      <c r="Q56" s="64"/>
      <c r="R56" s="40">
        <f t="shared" si="24"/>
        <v>0</v>
      </c>
      <c r="S56" s="41">
        <f t="shared" si="25"/>
        <v>0.66666666666666663</v>
      </c>
      <c r="T56" s="81" t="str">
        <f t="shared" si="26"/>
        <v>N/TRANSITA</v>
      </c>
    </row>
    <row r="57" spans="2:20" ht="14.25" customHeight="1" x14ac:dyDescent="0.3">
      <c r="B57" s="33">
        <v>49</v>
      </c>
      <c r="C57" s="127" t="s">
        <v>114</v>
      </c>
      <c r="D57" s="60"/>
      <c r="E57" s="188">
        <v>0</v>
      </c>
      <c r="F57" s="190">
        <v>10</v>
      </c>
      <c r="G57" s="93"/>
      <c r="H57" s="106">
        <f t="shared" si="1"/>
        <v>5</v>
      </c>
      <c r="I57" s="63" t="str">
        <f t="shared" si="2"/>
        <v>N/TRANSITA</v>
      </c>
      <c r="J57" s="192">
        <v>12</v>
      </c>
      <c r="K57" s="191">
        <v>2</v>
      </c>
      <c r="L57" s="64"/>
      <c r="M57" s="40">
        <f t="shared" ref="M57:M63" si="27">AVERAGE(J57,MAX(K57:L57))</f>
        <v>7</v>
      </c>
      <c r="N57" s="63" t="str">
        <f t="shared" ref="N57:N63" si="28">IF(M57&gt;=10,"TRANSITA","N/TRANSITA")</f>
        <v>N/TRANSITA</v>
      </c>
      <c r="O57" s="98"/>
      <c r="P57" s="99"/>
      <c r="Q57" s="64"/>
      <c r="R57" s="40">
        <f t="shared" ref="R57:R63" si="29">AVERAGE(O57,MAX(P57:Q57))</f>
        <v>0</v>
      </c>
      <c r="S57" s="41">
        <f t="shared" ref="S57:S63" si="30">SUM(H57,M57,R57)/3</f>
        <v>4</v>
      </c>
      <c r="T57" s="81" t="str">
        <f t="shared" ref="T57:T63" si="31">IF(S57&gt;=10,"TRANSITA","N/TRANSITA")</f>
        <v>N/TRANSITA</v>
      </c>
    </row>
    <row r="58" spans="2:20" ht="14.25" customHeight="1" x14ac:dyDescent="0.3">
      <c r="B58" s="33">
        <v>50</v>
      </c>
      <c r="C58" s="127" t="s">
        <v>115</v>
      </c>
      <c r="D58" s="60"/>
      <c r="E58" s="188">
        <v>16</v>
      </c>
      <c r="F58" s="190">
        <v>16.5</v>
      </c>
      <c r="G58" s="93"/>
      <c r="H58" s="106">
        <f t="shared" si="1"/>
        <v>16.25</v>
      </c>
      <c r="I58" s="63" t="str">
        <f t="shared" si="2"/>
        <v>TRANSITA</v>
      </c>
      <c r="J58" s="192">
        <v>9</v>
      </c>
      <c r="K58" s="191">
        <v>10</v>
      </c>
      <c r="L58" s="64"/>
      <c r="M58" s="40">
        <f t="shared" si="27"/>
        <v>9.5</v>
      </c>
      <c r="N58" s="63" t="str">
        <f t="shared" si="28"/>
        <v>N/TRANSITA</v>
      </c>
      <c r="O58" s="98"/>
      <c r="P58" s="99"/>
      <c r="Q58" s="64"/>
      <c r="R58" s="40">
        <f t="shared" si="29"/>
        <v>0</v>
      </c>
      <c r="S58" s="41">
        <f t="shared" si="30"/>
        <v>8.5833333333333339</v>
      </c>
      <c r="T58" s="81" t="str">
        <f t="shared" si="31"/>
        <v>N/TRANSITA</v>
      </c>
    </row>
    <row r="59" spans="2:20" ht="14.25" customHeight="1" x14ac:dyDescent="0.3">
      <c r="B59" s="33">
        <v>51</v>
      </c>
      <c r="C59" s="127" t="s">
        <v>116</v>
      </c>
      <c r="D59" s="60"/>
      <c r="E59" s="188"/>
      <c r="F59" s="190"/>
      <c r="G59" s="93"/>
      <c r="H59" s="106">
        <f t="shared" si="1"/>
        <v>0</v>
      </c>
      <c r="I59" s="63" t="str">
        <f t="shared" si="2"/>
        <v>N/TRANSITA</v>
      </c>
      <c r="J59" s="192">
        <v>4</v>
      </c>
      <c r="K59" s="191"/>
      <c r="L59" s="64"/>
      <c r="M59" s="40">
        <f t="shared" si="27"/>
        <v>2</v>
      </c>
      <c r="N59" s="63" t="str">
        <f t="shared" si="28"/>
        <v>N/TRANSITA</v>
      </c>
      <c r="O59" s="98"/>
      <c r="P59" s="99"/>
      <c r="Q59" s="64"/>
      <c r="R59" s="40">
        <f t="shared" si="29"/>
        <v>0</v>
      </c>
      <c r="S59" s="41">
        <f t="shared" si="30"/>
        <v>0.66666666666666663</v>
      </c>
      <c r="T59" s="81" t="str">
        <f t="shared" si="31"/>
        <v>N/TRANSITA</v>
      </c>
    </row>
    <row r="60" spans="2:20" ht="14.25" customHeight="1" x14ac:dyDescent="0.3">
      <c r="B60" s="33">
        <v>52</v>
      </c>
      <c r="C60" s="127" t="s">
        <v>117</v>
      </c>
      <c r="D60" s="60"/>
      <c r="E60" s="188"/>
      <c r="F60" s="190">
        <v>14.5</v>
      </c>
      <c r="G60" s="93"/>
      <c r="H60" s="106">
        <f t="shared" si="1"/>
        <v>14.5</v>
      </c>
      <c r="I60" s="63" t="str">
        <f t="shared" si="2"/>
        <v>TRANSITA</v>
      </c>
      <c r="J60" s="192">
        <v>9</v>
      </c>
      <c r="K60" s="191">
        <v>3</v>
      </c>
      <c r="L60" s="64"/>
      <c r="M60" s="40">
        <f t="shared" si="27"/>
        <v>6</v>
      </c>
      <c r="N60" s="63" t="str">
        <f t="shared" si="28"/>
        <v>N/TRANSITA</v>
      </c>
      <c r="O60" s="98"/>
      <c r="P60" s="99"/>
      <c r="Q60" s="64"/>
      <c r="R60" s="40">
        <f t="shared" si="29"/>
        <v>0</v>
      </c>
      <c r="S60" s="41">
        <f t="shared" si="30"/>
        <v>6.833333333333333</v>
      </c>
      <c r="T60" s="81" t="str">
        <f t="shared" si="31"/>
        <v>N/TRANSITA</v>
      </c>
    </row>
    <row r="61" spans="2:20" ht="14.25" customHeight="1" x14ac:dyDescent="0.3">
      <c r="B61" s="33">
        <v>53</v>
      </c>
      <c r="C61" s="127" t="s">
        <v>118</v>
      </c>
      <c r="D61" s="60"/>
      <c r="E61" s="188"/>
      <c r="F61" s="190"/>
      <c r="G61" s="93"/>
      <c r="H61" s="106">
        <f t="shared" si="1"/>
        <v>0</v>
      </c>
      <c r="I61" s="63" t="str">
        <f t="shared" si="2"/>
        <v>N/TRANSITA</v>
      </c>
      <c r="J61" s="192">
        <v>4</v>
      </c>
      <c r="K61" s="191">
        <v>0</v>
      </c>
      <c r="L61" s="64"/>
      <c r="M61" s="40">
        <f t="shared" si="27"/>
        <v>2</v>
      </c>
      <c r="N61" s="63" t="str">
        <f t="shared" si="28"/>
        <v>N/TRANSITA</v>
      </c>
      <c r="O61" s="98"/>
      <c r="P61" s="99"/>
      <c r="Q61" s="64"/>
      <c r="R61" s="40">
        <f t="shared" si="29"/>
        <v>0</v>
      </c>
      <c r="S61" s="41">
        <f t="shared" si="30"/>
        <v>0.66666666666666663</v>
      </c>
      <c r="T61" s="81" t="str">
        <f t="shared" si="31"/>
        <v>N/TRANSITA</v>
      </c>
    </row>
    <row r="62" spans="2:20" ht="14.25" customHeight="1" x14ac:dyDescent="0.3">
      <c r="B62" s="33">
        <v>54</v>
      </c>
      <c r="C62" s="128" t="s">
        <v>119</v>
      </c>
      <c r="D62" s="60"/>
      <c r="E62" s="188">
        <v>7</v>
      </c>
      <c r="F62" s="190">
        <v>4</v>
      </c>
      <c r="G62" s="93"/>
      <c r="H62" s="106">
        <f t="shared" si="1"/>
        <v>5.5</v>
      </c>
      <c r="I62" s="63" t="str">
        <f t="shared" si="2"/>
        <v>N/TRANSITA</v>
      </c>
      <c r="J62" s="192">
        <v>4</v>
      </c>
      <c r="K62" s="191">
        <v>0</v>
      </c>
      <c r="L62" s="64"/>
      <c r="M62" s="40">
        <f t="shared" si="27"/>
        <v>2</v>
      </c>
      <c r="N62" s="63" t="str">
        <f t="shared" si="28"/>
        <v>N/TRANSITA</v>
      </c>
      <c r="O62" s="98"/>
      <c r="P62" s="99"/>
      <c r="Q62" s="64"/>
      <c r="R62" s="40">
        <f t="shared" si="29"/>
        <v>0</v>
      </c>
      <c r="S62" s="41">
        <f t="shared" si="30"/>
        <v>2.5</v>
      </c>
      <c r="T62" s="81" t="str">
        <f t="shared" si="31"/>
        <v>N/TRANSITA</v>
      </c>
    </row>
    <row r="63" spans="2:20" ht="14.25" customHeight="1" x14ac:dyDescent="0.3">
      <c r="B63" s="33">
        <v>55</v>
      </c>
      <c r="C63" s="127" t="s">
        <v>120</v>
      </c>
      <c r="D63" s="60"/>
      <c r="E63" s="188">
        <v>12</v>
      </c>
      <c r="F63" s="190">
        <v>8</v>
      </c>
      <c r="G63" s="93"/>
      <c r="H63" s="106">
        <f t="shared" si="1"/>
        <v>10</v>
      </c>
      <c r="I63" s="63" t="str">
        <f t="shared" si="2"/>
        <v>TRANSITA</v>
      </c>
      <c r="J63" s="192">
        <v>10</v>
      </c>
      <c r="K63" s="191">
        <v>16</v>
      </c>
      <c r="L63" s="64"/>
      <c r="M63" s="40">
        <f t="shared" si="27"/>
        <v>13</v>
      </c>
      <c r="N63" s="63" t="str">
        <f t="shared" si="28"/>
        <v>TRANSITA</v>
      </c>
      <c r="O63" s="98"/>
      <c r="P63" s="99"/>
      <c r="Q63" s="64"/>
      <c r="R63" s="40">
        <f t="shared" si="29"/>
        <v>0</v>
      </c>
      <c r="S63" s="41">
        <f t="shared" si="30"/>
        <v>7.666666666666667</v>
      </c>
      <c r="T63" s="81" t="str">
        <f t="shared" si="31"/>
        <v>N/TRANSITA</v>
      </c>
    </row>
    <row r="64" spans="2:20" ht="14.25" customHeight="1" x14ac:dyDescent="0.3">
      <c r="B64" s="33">
        <v>56</v>
      </c>
      <c r="C64" s="127" t="s">
        <v>121</v>
      </c>
      <c r="D64" s="60"/>
      <c r="E64" s="188">
        <v>0</v>
      </c>
      <c r="F64" s="190">
        <v>9.5</v>
      </c>
      <c r="G64" s="93"/>
      <c r="H64" s="106">
        <f t="shared" si="1"/>
        <v>4.75</v>
      </c>
      <c r="I64" s="63" t="str">
        <f t="shared" si="2"/>
        <v>N/TRANSITA</v>
      </c>
      <c r="J64" s="192">
        <v>8</v>
      </c>
      <c r="K64" s="191">
        <v>6</v>
      </c>
      <c r="L64" s="64"/>
      <c r="M64" s="40">
        <f t="shared" si="3"/>
        <v>7</v>
      </c>
      <c r="N64" s="63" t="str">
        <f t="shared" si="4"/>
        <v>N/TRANSITA</v>
      </c>
      <c r="O64" s="98"/>
      <c r="P64" s="99"/>
      <c r="Q64" s="64"/>
      <c r="R64" s="40">
        <f t="shared" si="5"/>
        <v>0</v>
      </c>
      <c r="S64" s="41">
        <f t="shared" si="14"/>
        <v>3.9166666666666665</v>
      </c>
      <c r="T64" s="81" t="str">
        <f t="shared" si="6"/>
        <v>N/TRANSITA</v>
      </c>
    </row>
    <row r="65" spans="1:20" ht="14.25" customHeight="1" x14ac:dyDescent="0.3">
      <c r="B65" s="33">
        <v>57</v>
      </c>
      <c r="C65" s="127" t="s">
        <v>122</v>
      </c>
      <c r="D65" s="61"/>
      <c r="E65" s="188"/>
      <c r="F65" s="190"/>
      <c r="G65" s="93"/>
      <c r="H65" s="106">
        <f t="shared" si="1"/>
        <v>0</v>
      </c>
      <c r="I65" s="63" t="str">
        <f t="shared" si="2"/>
        <v>N/TRANSITA</v>
      </c>
      <c r="J65" s="192">
        <v>4</v>
      </c>
      <c r="K65" s="191">
        <v>0</v>
      </c>
      <c r="L65" s="64"/>
      <c r="M65" s="40">
        <f t="shared" si="3"/>
        <v>2</v>
      </c>
      <c r="N65" s="63" t="str">
        <f t="shared" si="4"/>
        <v>N/TRANSITA</v>
      </c>
      <c r="O65" s="98"/>
      <c r="P65" s="99"/>
      <c r="Q65" s="64"/>
      <c r="R65" s="40">
        <f t="shared" si="5"/>
        <v>0</v>
      </c>
      <c r="S65" s="41">
        <f t="shared" si="14"/>
        <v>0.66666666666666663</v>
      </c>
      <c r="T65" s="81" t="str">
        <f t="shared" si="6"/>
        <v>N/TRANSITA</v>
      </c>
    </row>
    <row r="66" spans="1:20" ht="14.25" customHeight="1" x14ac:dyDescent="0.3">
      <c r="B66" s="33">
        <v>58</v>
      </c>
      <c r="C66" s="127" t="s">
        <v>123</v>
      </c>
      <c r="D66" s="60"/>
      <c r="E66" s="188">
        <v>12</v>
      </c>
      <c r="F66" s="190">
        <v>14.5</v>
      </c>
      <c r="G66" s="93"/>
      <c r="H66" s="106">
        <f t="shared" si="1"/>
        <v>13.25</v>
      </c>
      <c r="I66" s="63" t="str">
        <f t="shared" si="2"/>
        <v>TRANSITA</v>
      </c>
      <c r="J66" s="192">
        <v>13</v>
      </c>
      <c r="K66" s="191">
        <v>9</v>
      </c>
      <c r="L66" s="64"/>
      <c r="M66" s="40">
        <f t="shared" si="3"/>
        <v>11</v>
      </c>
      <c r="N66" s="63" t="str">
        <f t="shared" si="4"/>
        <v>TRANSITA</v>
      </c>
      <c r="O66" s="98"/>
      <c r="P66" s="99"/>
      <c r="Q66" s="64"/>
      <c r="R66" s="40">
        <f t="shared" si="5"/>
        <v>0</v>
      </c>
      <c r="S66" s="41">
        <f t="shared" si="14"/>
        <v>8.0833333333333339</v>
      </c>
      <c r="T66" s="81" t="str">
        <f t="shared" si="6"/>
        <v>N/TRANSITA</v>
      </c>
    </row>
    <row r="67" spans="1:20" ht="14.25" customHeight="1" x14ac:dyDescent="0.3">
      <c r="B67" s="33">
        <v>59</v>
      </c>
      <c r="C67" s="127" t="s">
        <v>124</v>
      </c>
      <c r="D67" s="60"/>
      <c r="E67" s="188">
        <v>12</v>
      </c>
      <c r="F67" s="190">
        <v>9</v>
      </c>
      <c r="G67" s="93"/>
      <c r="H67" s="106">
        <f t="shared" si="1"/>
        <v>10.5</v>
      </c>
      <c r="I67" s="63" t="str">
        <f t="shared" si="2"/>
        <v>TRANSITA</v>
      </c>
      <c r="J67" s="192">
        <v>10</v>
      </c>
      <c r="K67" s="191">
        <v>3</v>
      </c>
      <c r="L67" s="64"/>
      <c r="M67" s="40">
        <f t="shared" si="3"/>
        <v>6.5</v>
      </c>
      <c r="N67" s="63" t="str">
        <f t="shared" si="4"/>
        <v>N/TRANSITA</v>
      </c>
      <c r="O67" s="98"/>
      <c r="P67" s="99"/>
      <c r="Q67" s="64"/>
      <c r="R67" s="40">
        <f t="shared" si="5"/>
        <v>0</v>
      </c>
      <c r="S67" s="41">
        <f t="shared" si="14"/>
        <v>5.666666666666667</v>
      </c>
      <c r="T67" s="81" t="str">
        <f t="shared" si="6"/>
        <v>N/TRANSITA</v>
      </c>
    </row>
    <row r="68" spans="1:20" ht="14.25" customHeight="1" x14ac:dyDescent="0.3">
      <c r="B68" s="33">
        <v>60</v>
      </c>
      <c r="C68" s="128" t="s">
        <v>125</v>
      </c>
      <c r="D68" s="60"/>
      <c r="E68" s="188"/>
      <c r="F68" s="190"/>
      <c r="G68" s="93"/>
      <c r="H68" s="106">
        <f t="shared" si="1"/>
        <v>0</v>
      </c>
      <c r="I68" s="63" t="str">
        <f t="shared" si="2"/>
        <v>N/TRANSITA</v>
      </c>
      <c r="J68" s="192">
        <v>10</v>
      </c>
      <c r="K68" s="191">
        <v>0</v>
      </c>
      <c r="L68" s="64"/>
      <c r="M68" s="40">
        <f t="shared" si="3"/>
        <v>5</v>
      </c>
      <c r="N68" s="63" t="str">
        <f t="shared" si="4"/>
        <v>N/TRANSITA</v>
      </c>
      <c r="O68" s="98"/>
      <c r="P68" s="99"/>
      <c r="Q68" s="64"/>
      <c r="R68" s="40">
        <f t="shared" si="5"/>
        <v>0</v>
      </c>
      <c r="S68" s="41">
        <f t="shared" si="14"/>
        <v>1.6666666666666667</v>
      </c>
      <c r="T68" s="81" t="str">
        <f t="shared" si="6"/>
        <v>N/TRANSITA</v>
      </c>
    </row>
    <row r="69" spans="1:20" ht="14.25" customHeight="1" x14ac:dyDescent="0.3">
      <c r="B69" s="33">
        <v>61</v>
      </c>
      <c r="C69" s="127" t="s">
        <v>126</v>
      </c>
      <c r="D69" s="60"/>
      <c r="E69" s="188"/>
      <c r="F69" s="190"/>
      <c r="G69" s="93"/>
      <c r="H69" s="106">
        <f t="shared" si="1"/>
        <v>0</v>
      </c>
      <c r="I69" s="63" t="str">
        <f t="shared" si="2"/>
        <v>N/TRANSITA</v>
      </c>
      <c r="J69" s="192">
        <v>4</v>
      </c>
      <c r="K69" s="191">
        <v>0</v>
      </c>
      <c r="L69" s="64"/>
      <c r="M69" s="40">
        <f t="shared" si="3"/>
        <v>2</v>
      </c>
      <c r="N69" s="63" t="str">
        <f t="shared" si="4"/>
        <v>N/TRANSITA</v>
      </c>
      <c r="O69" s="98"/>
      <c r="P69" s="99"/>
      <c r="Q69" s="64"/>
      <c r="R69" s="40">
        <f t="shared" si="5"/>
        <v>0</v>
      </c>
      <c r="S69" s="41">
        <f t="shared" si="14"/>
        <v>0.66666666666666663</v>
      </c>
      <c r="T69" s="81" t="str">
        <f t="shared" si="6"/>
        <v>N/TRANSITA</v>
      </c>
    </row>
    <row r="70" spans="1:20" ht="14.25" customHeight="1" x14ac:dyDescent="0.3">
      <c r="B70" s="33">
        <v>62</v>
      </c>
      <c r="C70" s="127" t="s">
        <v>127</v>
      </c>
      <c r="D70" s="60"/>
      <c r="E70" s="188">
        <v>10</v>
      </c>
      <c r="F70" s="190">
        <v>0</v>
      </c>
      <c r="G70" s="93"/>
      <c r="H70" s="106">
        <f t="shared" si="1"/>
        <v>5</v>
      </c>
      <c r="I70" s="63" t="str">
        <f t="shared" si="2"/>
        <v>N/TRANSITA</v>
      </c>
      <c r="J70" s="192">
        <v>4</v>
      </c>
      <c r="K70" s="191">
        <v>0</v>
      </c>
      <c r="L70" s="64"/>
      <c r="M70" s="40">
        <f t="shared" si="3"/>
        <v>2</v>
      </c>
      <c r="N70" s="63" t="str">
        <f t="shared" si="4"/>
        <v>N/TRANSITA</v>
      </c>
      <c r="O70" s="98"/>
      <c r="P70" s="99"/>
      <c r="Q70" s="64"/>
      <c r="R70" s="40">
        <f t="shared" si="5"/>
        <v>0</v>
      </c>
      <c r="S70" s="41">
        <f t="shared" si="14"/>
        <v>2.3333333333333335</v>
      </c>
      <c r="T70" s="81" t="str">
        <f t="shared" si="6"/>
        <v>N/TRANSITA</v>
      </c>
    </row>
    <row r="71" spans="1:20" ht="14.25" customHeight="1" thickBot="1" x14ac:dyDescent="0.35">
      <c r="B71" s="33">
        <v>63</v>
      </c>
      <c r="C71" s="129" t="s">
        <v>128</v>
      </c>
      <c r="D71" s="62"/>
      <c r="E71" s="193">
        <v>12</v>
      </c>
      <c r="F71" s="194">
        <v>18</v>
      </c>
      <c r="G71" s="95"/>
      <c r="H71" s="147">
        <f t="shared" si="1"/>
        <v>15</v>
      </c>
      <c r="I71" s="75" t="str">
        <f t="shared" si="2"/>
        <v>TRANSITA</v>
      </c>
      <c r="J71" s="195">
        <v>4</v>
      </c>
      <c r="K71" s="196">
        <v>0</v>
      </c>
      <c r="L71" s="67"/>
      <c r="M71" s="156">
        <f t="shared" si="3"/>
        <v>2</v>
      </c>
      <c r="N71" s="75" t="str">
        <f t="shared" si="4"/>
        <v>N/TRANSITA</v>
      </c>
      <c r="O71" s="100"/>
      <c r="P71" s="101"/>
      <c r="Q71" s="67"/>
      <c r="R71" s="156">
        <f t="shared" si="5"/>
        <v>0</v>
      </c>
      <c r="S71" s="42">
        <f t="shared" si="14"/>
        <v>5.666666666666667</v>
      </c>
      <c r="T71" s="82" t="str">
        <f t="shared" si="6"/>
        <v>N/TRANSITA</v>
      </c>
    </row>
    <row r="72" spans="1:20" ht="93.75" customHeight="1" thickTop="1" x14ac:dyDescent="0.3">
      <c r="B72" s="19"/>
      <c r="C72" s="19"/>
      <c r="D72" s="19"/>
      <c r="E72" s="19"/>
      <c r="F72" s="19"/>
      <c r="G72" s="19"/>
      <c r="H72" s="19"/>
      <c r="I72" s="19"/>
      <c r="J72" s="19"/>
      <c r="O72" s="19"/>
      <c r="P72" s="19"/>
      <c r="Q72" s="19"/>
      <c r="R72" s="19"/>
      <c r="S72" s="19"/>
      <c r="T72" s="19"/>
    </row>
    <row r="73" spans="1:20" ht="20.25" customHeight="1" x14ac:dyDescent="0.45">
      <c r="A73" s="20"/>
      <c r="B73" s="20"/>
      <c r="C73" s="20"/>
      <c r="D73" s="20"/>
      <c r="E73" s="20"/>
      <c r="F73" s="20"/>
      <c r="G73" s="20"/>
      <c r="H73" s="20"/>
      <c r="I73" s="20"/>
      <c r="J73" s="20"/>
      <c r="O73" s="20"/>
      <c r="P73" s="21"/>
      <c r="Q73" s="21"/>
      <c r="R73" s="21"/>
      <c r="S73" s="20"/>
      <c r="T73" s="20"/>
    </row>
    <row r="74" spans="1:20" ht="15.6" x14ac:dyDescent="0.3">
      <c r="A74" s="253" t="s">
        <v>56</v>
      </c>
      <c r="B74" s="253"/>
      <c r="C74" s="253"/>
      <c r="D74" s="253"/>
      <c r="E74" s="253"/>
      <c r="F74" s="22"/>
      <c r="G74" s="22"/>
      <c r="H74" s="22"/>
      <c r="I74" s="22"/>
      <c r="J74" s="22"/>
      <c r="K74" s="23"/>
      <c r="L74" s="23"/>
      <c r="M74" s="23"/>
      <c r="N74" s="23"/>
      <c r="O74" s="253" t="s">
        <v>9</v>
      </c>
      <c r="P74" s="253"/>
      <c r="Q74" s="253"/>
      <c r="R74" s="253"/>
      <c r="S74" s="253"/>
      <c r="T74" s="253"/>
    </row>
    <row r="75" spans="1:20" ht="15.6" x14ac:dyDescent="0.3">
      <c r="A75" s="254" t="s">
        <v>22</v>
      </c>
      <c r="B75" s="254"/>
      <c r="C75" s="254"/>
      <c r="D75" s="254"/>
      <c r="E75" s="254"/>
      <c r="F75" s="24"/>
      <c r="G75" s="24"/>
      <c r="H75" s="24"/>
      <c r="I75" s="24"/>
      <c r="J75" s="24"/>
      <c r="O75" s="255" t="s">
        <v>23</v>
      </c>
      <c r="P75" s="255"/>
      <c r="Q75" s="255"/>
      <c r="R75" s="255"/>
      <c r="S75" s="255"/>
      <c r="T75" s="255"/>
    </row>
    <row r="76" spans="1:20" x14ac:dyDescent="0.3">
      <c r="A76" s="247"/>
      <c r="B76" s="247"/>
      <c r="C76" s="247"/>
      <c r="D76" s="247"/>
      <c r="E76" s="247"/>
      <c r="O76" s="247" t="s">
        <v>24</v>
      </c>
      <c r="P76" s="247"/>
      <c r="Q76" s="247"/>
      <c r="R76" s="247"/>
      <c r="S76" s="247"/>
      <c r="T76" s="247"/>
    </row>
  </sheetData>
  <mergeCells count="22">
    <mergeCell ref="A76:E76"/>
    <mergeCell ref="O76:T76"/>
    <mergeCell ref="S7:S8"/>
    <mergeCell ref="T7:T8"/>
    <mergeCell ref="A74:E74"/>
    <mergeCell ref="O74:T74"/>
    <mergeCell ref="A75:E75"/>
    <mergeCell ref="O75:T75"/>
    <mergeCell ref="B7:B8"/>
    <mergeCell ref="C7:C8"/>
    <mergeCell ref="E7:H7"/>
    <mergeCell ref="J7:M7"/>
    <mergeCell ref="O7:R7"/>
    <mergeCell ref="I7:I8"/>
    <mergeCell ref="N7:N8"/>
    <mergeCell ref="B6:T6"/>
    <mergeCell ref="B5:C5"/>
    <mergeCell ref="A1:T1"/>
    <mergeCell ref="B3:R3"/>
    <mergeCell ref="B4:C4"/>
    <mergeCell ref="P4:T4"/>
    <mergeCell ref="N5:T5"/>
  </mergeCells>
  <conditionalFormatting sqref="S9:S71">
    <cfRule type="cellIs" dxfId="61" priority="173" stopIfTrue="1" operator="greaterThan">
      <formula>9.5</formula>
    </cfRule>
    <cfRule type="cellIs" dxfId="60" priority="174" stopIfTrue="1" operator="lessThanOrEqual">
      <formula>9.5</formula>
    </cfRule>
  </conditionalFormatting>
  <conditionalFormatting sqref="M9:M71 R9:R71">
    <cfRule type="cellIs" dxfId="59" priority="151" stopIfTrue="1" operator="lessThan">
      <formula>10</formula>
    </cfRule>
    <cfRule type="cellIs" dxfId="58" priority="152" stopIfTrue="1" operator="greaterThanOrEqual">
      <formula>10</formula>
    </cfRule>
  </conditionalFormatting>
  <conditionalFormatting sqref="L9:L71 O9:Q71">
    <cfRule type="cellIs" dxfId="57" priority="51" stopIfTrue="1" operator="lessThan">
      <formula>10</formula>
    </cfRule>
    <cfRule type="cellIs" dxfId="56" priority="52" stopIfTrue="1" operator="greaterThan">
      <formula>9</formula>
    </cfRule>
    <cfRule type="cellIs" dxfId="55" priority="53" stopIfTrue="1" operator="lessThan">
      <formula>10</formula>
    </cfRule>
    <cfRule type="cellIs" dxfId="54" priority="54" stopIfTrue="1" operator="greaterThan">
      <formula>9</formula>
    </cfRule>
  </conditionalFormatting>
  <conditionalFormatting sqref="E9:F70">
    <cfRule type="cellIs" dxfId="53" priority="19" stopIfTrue="1" operator="lessThan">
      <formula>10</formula>
    </cfRule>
    <cfRule type="cellIs" dxfId="52" priority="20" stopIfTrue="1" operator="greaterThan">
      <formula>9</formula>
    </cfRule>
    <cfRule type="cellIs" dxfId="51" priority="21" stopIfTrue="1" operator="lessThan">
      <formula>10</formula>
    </cfRule>
    <cfRule type="cellIs" dxfId="50" priority="22" stopIfTrue="1" operator="greaterThan">
      <formula>9</formula>
    </cfRule>
  </conditionalFormatting>
  <conditionalFormatting sqref="G9:G70 J19:K70 K9:K18">
    <cfRule type="cellIs" dxfId="49" priority="23" stopIfTrue="1" operator="lessThan">
      <formula>10</formula>
    </cfRule>
    <cfRule type="cellIs" dxfId="48" priority="24" stopIfTrue="1" operator="greaterThan">
      <formula>9</formula>
    </cfRule>
    <cfRule type="cellIs" dxfId="47" priority="25" stopIfTrue="1" operator="lessThan">
      <formula>10</formula>
    </cfRule>
    <cfRule type="cellIs" dxfId="46" priority="26" stopIfTrue="1" operator="greaterThan">
      <formula>9</formula>
    </cfRule>
  </conditionalFormatting>
  <conditionalFormatting sqref="H9:H70">
    <cfRule type="cellIs" dxfId="45" priority="29" stopIfTrue="1" operator="lessThan">
      <formula>10</formula>
    </cfRule>
    <cfRule type="cellIs" dxfId="44" priority="30" stopIfTrue="1" operator="greaterThanOrEqual">
      <formula>10</formula>
    </cfRule>
  </conditionalFormatting>
  <conditionalFormatting sqref="J9:J18">
    <cfRule type="cellIs" dxfId="43" priority="15" stopIfTrue="1" operator="lessThan">
      <formula>10</formula>
    </cfRule>
    <cfRule type="cellIs" dxfId="42" priority="16" stopIfTrue="1" operator="greaterThan">
      <formula>9</formula>
    </cfRule>
    <cfRule type="cellIs" dxfId="41" priority="17" stopIfTrue="1" operator="lessThan">
      <formula>10</formula>
    </cfRule>
    <cfRule type="cellIs" dxfId="40" priority="18" stopIfTrue="1" operator="greaterThan">
      <formula>9</formula>
    </cfRule>
  </conditionalFormatting>
  <conditionalFormatting sqref="E71:F71">
    <cfRule type="cellIs" dxfId="39" priority="3" stopIfTrue="1" operator="lessThan">
      <formula>10</formula>
    </cfRule>
    <cfRule type="cellIs" dxfId="38" priority="4" stopIfTrue="1" operator="greaterThan">
      <formula>9</formula>
    </cfRule>
    <cfRule type="cellIs" dxfId="37" priority="5" stopIfTrue="1" operator="lessThan">
      <formula>10</formula>
    </cfRule>
    <cfRule type="cellIs" dxfId="36" priority="6" stopIfTrue="1" operator="greaterThan">
      <formula>9</formula>
    </cfRule>
  </conditionalFormatting>
  <conditionalFormatting sqref="J71:K71 G71">
    <cfRule type="cellIs" dxfId="35" priority="7" stopIfTrue="1" operator="lessThan">
      <formula>10</formula>
    </cfRule>
    <cfRule type="cellIs" dxfId="34" priority="8" stopIfTrue="1" operator="greaterThan">
      <formula>9</formula>
    </cfRule>
    <cfRule type="cellIs" dxfId="33" priority="9" stopIfTrue="1" operator="lessThan">
      <formula>10</formula>
    </cfRule>
    <cfRule type="cellIs" dxfId="32" priority="10" stopIfTrue="1" operator="greaterThan">
      <formula>9</formula>
    </cfRule>
  </conditionalFormatting>
  <conditionalFormatting sqref="H71">
    <cfRule type="cellIs" dxfId="31" priority="13" stopIfTrue="1" operator="lessThan">
      <formula>10</formula>
    </cfRule>
    <cfRule type="cellIs" dxfId="30" priority="14" stopIfTrue="1" operator="greaterThanOrEqual">
      <formula>10</formula>
    </cfRule>
  </conditionalFormatting>
  <dataValidations count="1">
    <dataValidation type="decimal" allowBlank="1" showInputMessage="1" showErrorMessage="1" errorTitle="ATENÇÃO!" error="O valor introduzido não é válido. Grato!" sqref="O9:Q71 J9:L71 E9:G71">
      <formula1>0</formula1>
      <formula2>20</formula2>
    </dataValidation>
  </dataValidations>
  <pageMargins left="0.15748031496062992" right="0.51181102362204722" top="0.15748031496062992" bottom="0.15748031496062992" header="0.31496062992125984" footer="0.15748031496062992"/>
  <pageSetup paperSize="9" scale="95" orientation="portrait" verticalDpi="4294967293" r:id="rId1"/>
  <drawing r:id="rId2"/>
  <legacyDrawing r:id="rId3"/>
  <oleObjects>
    <mc:AlternateContent xmlns:mc="http://schemas.openxmlformats.org/markup-compatibility/2006">
      <mc:Choice Requires="x14">
        <oleObject progId="Word.Document.8" shapeId="13313" r:id="rId4">
          <objectPr defaultSize="0" r:id="rId5">
            <anchor moveWithCells="1">
              <from>
                <xdr:col>1</xdr:col>
                <xdr:colOff>60960</xdr:colOff>
                <xdr:row>71</xdr:row>
                <xdr:rowOff>160020</xdr:rowOff>
              </from>
              <to>
                <xdr:col>13</xdr:col>
                <xdr:colOff>175260</xdr:colOff>
                <xdr:row>73</xdr:row>
                <xdr:rowOff>22860</xdr:rowOff>
              </to>
            </anchor>
          </objectPr>
        </oleObject>
      </mc:Choice>
      <mc:Fallback>
        <oleObject progId="Word.Document.8" shapeId="13313" r:id="rId4"/>
      </mc:Fallback>
    </mc:AlternateContent>
  </oleObjec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9" stopIfTrue="1" operator="containsText" id="{D52883B5-7EC4-40FF-8824-1AF567AAC214}">
            <xm:f>NOT(ISERROR(SEARCH("N/TRANSITA",N9)))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60" stopIfTrue="1" operator="containsText" id="{BE16F3DD-E60B-4D80-A2C5-A94FC125F307}">
            <xm:f>NOT(ISERROR(SEARCH("TRANSITA",N9)))</xm:f>
            <xm:f>"TRANSITA"</xm:f>
            <x14:dxf>
              <font>
                <b/>
                <i val="0"/>
                <color rgb="FF0000FF"/>
              </font>
            </x14:dxf>
          </x14:cfRule>
          <xm:sqref>N9:N71 T9:T71</xm:sqref>
        </x14:conditionalFormatting>
        <x14:conditionalFormatting xmlns:xm="http://schemas.microsoft.com/office/excel/2006/main">
          <x14:cfRule type="containsText" priority="1" stopIfTrue="1" operator="containsText" id="{96E2D32A-F415-4D9F-A3C8-854223EDA6D7}">
            <xm:f>NOT(ISERROR(SEARCH("N/TRANSITA",I9)))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2" stopIfTrue="1" operator="containsText" id="{4884B8DB-7FF7-4903-8207-DE2B6BE1B757}">
            <xm:f>NOT(ISERROR(SEARCH("TRANSITA",I9)))</xm:f>
            <xm:f>"TRANSITA"</xm:f>
            <x14:dxf>
              <font>
                <b/>
                <i val="0"/>
                <color rgb="FF0000FF"/>
              </font>
            </x14:dxf>
          </x14:cfRule>
          <xm:sqref>I9:I71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EDITAL - 10ª CFB-UNICA (I TRIM)</vt:lpstr>
      <vt:lpstr>EDITAL - 10ª CFB-UNICA II TRIM</vt:lpstr>
      <vt:lpstr>10ªCFB-U-L PORT</vt:lpstr>
      <vt:lpstr>10ªCFB-U-INGLES</vt:lpstr>
      <vt:lpstr>10ªCFB-U-MAT</vt:lpstr>
      <vt:lpstr>10ªCFB-U-INFOR</vt:lpstr>
      <vt:lpstr>10ªCFB-U-ED. FIS</vt:lpstr>
      <vt:lpstr>10ªCFB-U-FIS</vt:lpstr>
      <vt:lpstr>10ªCFB-U-QCA</vt:lpstr>
      <vt:lpstr>10ªCFB-U-BIOL</vt:lpstr>
      <vt:lpstr>10ªCFB-U-EMPREEND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fuene</dc:creator>
  <cp:lastModifiedBy>SP JM</cp:lastModifiedBy>
  <cp:lastPrinted>2023-05-18T19:15:36Z</cp:lastPrinted>
  <dcterms:created xsi:type="dcterms:W3CDTF">2021-10-18T14:18:43Z</dcterms:created>
  <dcterms:modified xsi:type="dcterms:W3CDTF">2026-04-06T16:01:38Z</dcterms:modified>
</cp:coreProperties>
</file>